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claude\worktrees\retrofit-isic-split\InputData\bldgs\SoBCaICbIC\"/>
    </mc:Choice>
  </mc:AlternateContent>
  <xr:revisionPtr revIDLastSave="0" documentId="13_ncr:1_{DD2B0B6C-2F69-4186-BED7-4FBADD1B3755}" xr6:coauthVersionLast="47" xr6:coauthVersionMax="47" xr10:uidLastSave="{00000000-0000-0000-0000-000000000000}"/>
  <bookViews>
    <workbookView xWindow="-120" yWindow="-120" windowWidth="29040" windowHeight="17520" tabRatio="940" firstSheet="4" activeTab="17" xr2:uid="{00000000-000D-0000-FFFF-FFFF00000000}"/>
  </bookViews>
  <sheets>
    <sheet name="About" sheetId="1" r:id="rId1"/>
    <sheet name="Factors applied" sheetId="2" r:id="rId2"/>
    <sheet name="source data&gt;" sheetId="3" r:id="rId3"/>
    <sheet name="OECD Mapping" sheetId="4" r:id="rId4"/>
    <sheet name="ISIC Code Mapping" sheetId="5" r:id="rId5"/>
    <sheet name="Cost Summary New" sheetId="6" r:id="rId6"/>
    <sheet name="COM_NEMS Cost" sheetId="7" r:id="rId7"/>
    <sheet name="calcs&gt;" sheetId="8" r:id="rId8"/>
    <sheet name="Summary_Com Appliances" sheetId="9" r:id="rId9"/>
    <sheet name="Summary_Res Appliances" sheetId="10" r:id="rId10"/>
    <sheet name="Cost Breakdowns" sheetId="11" r:id="rId11"/>
    <sheet name="TableB39" sheetId="12" state="hidden" r:id="rId12"/>
    <sheet name="TableB44" sheetId="13" state="hidden" r:id="rId13"/>
    <sheet name="TableB42" sheetId="14" state="hidden" r:id="rId14"/>
    <sheet name="AEO26 Table 21" sheetId="15" r:id="rId15"/>
    <sheet name="BEA 2017 Margins" sheetId="20" r:id="rId16"/>
    <sheet name="BEA Buyer Groups" sheetId="21" r:id="rId17"/>
    <sheet name="Margin Calcs" sheetId="22" r:id="rId18"/>
    <sheet name="Checks" sheetId="16" r:id="rId19"/>
    <sheet name="SoBCaICbIC-urbanresidential" sheetId="17" r:id="rId20"/>
    <sheet name="SoBCaICbIC-ruralresidential" sheetId="18" r:id="rId21"/>
    <sheet name="SoBCaICbIC-commercial" sheetId="19" r:id="rId22"/>
  </sheets>
  <definedNames>
    <definedName name="_xlnm.Print_Titles" localSheetId="11">TableB39!$2:$6</definedName>
    <definedName name="_xlnm.Print_Titles" localSheetId="13">TableB42!$2:$6</definedName>
    <definedName name="_xlnm.Print_Titles" localSheetId="12">TableB44!$2:$6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1" i="16" l="1"/>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I4" i="19"/>
  <c r="AI4" i="18"/>
  <c r="AI4" i="17"/>
  <c r="F21" i="11"/>
  <c r="F20" i="11"/>
  <c r="F17" i="11"/>
  <c r="F16" i="11"/>
  <c r="F13" i="11"/>
  <c r="F12" i="11"/>
  <c r="F9" i="11"/>
  <c r="F8" i="11"/>
  <c r="F5" i="11"/>
  <c r="F4" i="11"/>
  <c r="F5" i="22"/>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I9" i="22" s="1"/>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F9" i="22" s="1"/>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I8" i="22" s="1"/>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H10" i="22" s="1"/>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J1000" i="20"/>
  <c r="J1001" i="20"/>
  <c r="J1002" i="20"/>
  <c r="J1003" i="20"/>
  <c r="J1004" i="20"/>
  <c r="J1005" i="20"/>
  <c r="J1006" i="20"/>
  <c r="J1007" i="20"/>
  <c r="J1008" i="20"/>
  <c r="J1009" i="20"/>
  <c r="J1010" i="20"/>
  <c r="J1011" i="20"/>
  <c r="J1012" i="20"/>
  <c r="J1013" i="20"/>
  <c r="J1014" i="20"/>
  <c r="J1015" i="20"/>
  <c r="J1016" i="20"/>
  <c r="J1017" i="20"/>
  <c r="J1018" i="20"/>
  <c r="J1019" i="20"/>
  <c r="J1020" i="20"/>
  <c r="J1021" i="20"/>
  <c r="J1022" i="20"/>
  <c r="J1023" i="20"/>
  <c r="J1024" i="20"/>
  <c r="J1025" i="20"/>
  <c r="J1026" i="20"/>
  <c r="J1027" i="20"/>
  <c r="J1028" i="20"/>
  <c r="J1029" i="20"/>
  <c r="J1030" i="20"/>
  <c r="J1031" i="20"/>
  <c r="J1032" i="20"/>
  <c r="J1033" i="20"/>
  <c r="J1034" i="20"/>
  <c r="J1035" i="20"/>
  <c r="J1036" i="20"/>
  <c r="J1037" i="20"/>
  <c r="J1038" i="20"/>
  <c r="J1039" i="20"/>
  <c r="J1040" i="20"/>
  <c r="J1041" i="20"/>
  <c r="J1042" i="20"/>
  <c r="J1043" i="20"/>
  <c r="J1044" i="20"/>
  <c r="J1045" i="20"/>
  <c r="J1046" i="20"/>
  <c r="J1047" i="20"/>
  <c r="J1048" i="20"/>
  <c r="J1049" i="20"/>
  <c r="J1050" i="20"/>
  <c r="J1051" i="20"/>
  <c r="J1052" i="20"/>
  <c r="J1053" i="20"/>
  <c r="J1054" i="20"/>
  <c r="J1055" i="20"/>
  <c r="J1056" i="20"/>
  <c r="J1057" i="20"/>
  <c r="J1058" i="20"/>
  <c r="J1059" i="20"/>
  <c r="J1060" i="20"/>
  <c r="J1061" i="20"/>
  <c r="J1062" i="20"/>
  <c r="J1063" i="20"/>
  <c r="J1064" i="20"/>
  <c r="J1065" i="20"/>
  <c r="J1066" i="20"/>
  <c r="J1067" i="20"/>
  <c r="J1068" i="20"/>
  <c r="J1069" i="20"/>
  <c r="J1070" i="20"/>
  <c r="J1071" i="20"/>
  <c r="J1072" i="20"/>
  <c r="J1073" i="20"/>
  <c r="J1074" i="20"/>
  <c r="BA4" i="19"/>
  <c r="AZ4" i="19"/>
  <c r="AY4" i="19"/>
  <c r="AX4" i="19"/>
  <c r="AW4" i="19"/>
  <c r="AV4" i="19"/>
  <c r="AU4" i="19"/>
  <c r="AT4" i="19"/>
  <c r="AS4" i="19"/>
  <c r="AR4" i="19"/>
  <c r="AQ4" i="19"/>
  <c r="AP4" i="19"/>
  <c r="AO4" i="19"/>
  <c r="AN4" i="19"/>
  <c r="AM4" i="19"/>
  <c r="AL4" i="19"/>
  <c r="AK4" i="19"/>
  <c r="AJ4" i="19"/>
  <c r="AH4" i="19"/>
  <c r="AG4" i="19"/>
  <c r="AF4" i="19"/>
  <c r="AE4" i="19"/>
  <c r="AD4" i="19"/>
  <c r="AC4" i="19"/>
  <c r="AB4" i="19"/>
  <c r="AA4" i="19"/>
  <c r="Z4" i="19"/>
  <c r="Y4" i="19"/>
  <c r="X4" i="19"/>
  <c r="W4" i="19"/>
  <c r="V4" i="19"/>
  <c r="U4" i="19"/>
  <c r="T4" i="19"/>
  <c r="S4" i="19"/>
  <c r="R4" i="19"/>
  <c r="Q4" i="19"/>
  <c r="P4" i="19"/>
  <c r="O4" i="19"/>
  <c r="N4" i="19"/>
  <c r="M4" i="19"/>
  <c r="L4" i="19"/>
  <c r="K4" i="19"/>
  <c r="J4" i="19"/>
  <c r="I4" i="19"/>
  <c r="H4" i="19"/>
  <c r="G4" i="19"/>
  <c r="F4" i="19"/>
  <c r="E4" i="19"/>
  <c r="D4" i="19"/>
  <c r="C4" i="19"/>
  <c r="B4" i="19"/>
  <c r="B128" i="16" s="1"/>
  <c r="C128" i="16" s="1"/>
  <c r="BA4" i="18"/>
  <c r="AZ4" i="18"/>
  <c r="AY4" i="18"/>
  <c r="AX4" i="18"/>
  <c r="AW4" i="18"/>
  <c r="AV4" i="18"/>
  <c r="AU4" i="18"/>
  <c r="AT4" i="18"/>
  <c r="AS4" i="18"/>
  <c r="AR4" i="18"/>
  <c r="AQ4" i="18"/>
  <c r="AP4" i="18"/>
  <c r="AO4" i="18"/>
  <c r="AN4" i="18"/>
  <c r="AM4" i="18"/>
  <c r="AL4" i="18"/>
  <c r="AK4" i="18"/>
  <c r="AJ4" i="18"/>
  <c r="AH4" i="18"/>
  <c r="AG4" i="18"/>
  <c r="AF4" i="18"/>
  <c r="AE4" i="18"/>
  <c r="AD4" i="18"/>
  <c r="AC4" i="18"/>
  <c r="AB4" i="18"/>
  <c r="AA4" i="18"/>
  <c r="Z4" i="18"/>
  <c r="Y4" i="18"/>
  <c r="X4" i="18"/>
  <c r="W4" i="18"/>
  <c r="V4" i="18"/>
  <c r="U4" i="18"/>
  <c r="T4" i="18"/>
  <c r="S4" i="18"/>
  <c r="R4" i="18"/>
  <c r="Q4" i="18"/>
  <c r="P4" i="18"/>
  <c r="O4" i="18"/>
  <c r="N4" i="18"/>
  <c r="M4" i="18"/>
  <c r="L4" i="18"/>
  <c r="K4" i="18"/>
  <c r="J4" i="18"/>
  <c r="I4" i="18"/>
  <c r="H4" i="18"/>
  <c r="G4" i="18"/>
  <c r="F4" i="18"/>
  <c r="E4" i="18"/>
  <c r="D4" i="18"/>
  <c r="C4" i="18"/>
  <c r="B4" i="18"/>
  <c r="BA4" i="17"/>
  <c r="AZ4" i="17"/>
  <c r="AY4" i="17"/>
  <c r="AX4" i="17"/>
  <c r="AW4" i="17"/>
  <c r="AV4" i="17"/>
  <c r="AU4" i="17"/>
  <c r="AT4" i="17"/>
  <c r="AS4" i="17"/>
  <c r="AR4" i="17"/>
  <c r="AQ4" i="17"/>
  <c r="AP4" i="17"/>
  <c r="AO4" i="17"/>
  <c r="AN4" i="17"/>
  <c r="AM4" i="17"/>
  <c r="AL4" i="17"/>
  <c r="AK4" i="17"/>
  <c r="AJ4" i="17"/>
  <c r="AH4" i="17"/>
  <c r="AG4" i="17"/>
  <c r="AF4" i="17"/>
  <c r="AE4" i="17"/>
  <c r="AD4" i="17"/>
  <c r="AC4" i="17"/>
  <c r="AB4" i="17"/>
  <c r="AA4" i="17"/>
  <c r="Z4" i="17"/>
  <c r="Y4" i="17"/>
  <c r="X4" i="17"/>
  <c r="W4" i="17"/>
  <c r="V4" i="17"/>
  <c r="U4" i="17"/>
  <c r="T4" i="17"/>
  <c r="S4" i="17"/>
  <c r="R4" i="17"/>
  <c r="Q4" i="17"/>
  <c r="P4" i="17"/>
  <c r="O4" i="17"/>
  <c r="N4" i="17"/>
  <c r="M4" i="17"/>
  <c r="L4" i="17"/>
  <c r="K4" i="17"/>
  <c r="J4" i="17"/>
  <c r="I4" i="17"/>
  <c r="H4" i="17"/>
  <c r="G4" i="17"/>
  <c r="F4" i="17"/>
  <c r="E4" i="17"/>
  <c r="D4" i="17"/>
  <c r="C4" i="17"/>
  <c r="B4" i="17"/>
  <c r="B116" i="16" s="1"/>
  <c r="C116" i="16" s="1"/>
  <c r="B111" i="16"/>
  <c r="C111" i="16" s="1"/>
  <c r="B110" i="16"/>
  <c r="C110" i="16" s="1"/>
  <c r="B109" i="16"/>
  <c r="C109" i="16" s="1"/>
  <c r="B108" i="16"/>
  <c r="C108" i="16" s="1"/>
  <c r="B107" i="16"/>
  <c r="C107" i="16" s="1"/>
  <c r="B106" i="16"/>
  <c r="C106" i="16" s="1"/>
  <c r="B105" i="16"/>
  <c r="C105" i="16" s="1"/>
  <c r="B104" i="16"/>
  <c r="C104" i="16" s="1"/>
  <c r="B103" i="16"/>
  <c r="C103" i="16" s="1"/>
  <c r="B102" i="16"/>
  <c r="C102" i="16" s="1"/>
  <c r="B101" i="16"/>
  <c r="C101" i="16" s="1"/>
  <c r="B100" i="16"/>
  <c r="C100" i="16" s="1"/>
  <c r="B99" i="16"/>
  <c r="C99" i="16" s="1"/>
  <c r="B98" i="16"/>
  <c r="C98" i="16" s="1"/>
  <c r="B97" i="16"/>
  <c r="C97" i="16" s="1"/>
  <c r="B96" i="16"/>
  <c r="C96" i="16" s="1"/>
  <c r="B95" i="16"/>
  <c r="C95" i="16" s="1"/>
  <c r="B94" i="16"/>
  <c r="C94" i="16" s="1"/>
  <c r="B93" i="16"/>
  <c r="C93" i="16" s="1"/>
  <c r="B92" i="16"/>
  <c r="C92" i="16" s="1"/>
  <c r="B91" i="16"/>
  <c r="C91" i="16" s="1"/>
  <c r="B90" i="16"/>
  <c r="C90" i="16" s="1"/>
  <c r="B89" i="16"/>
  <c r="C89" i="16" s="1"/>
  <c r="B88" i="16"/>
  <c r="C88" i="16" s="1"/>
  <c r="B87" i="16"/>
  <c r="C87" i="16" s="1"/>
  <c r="B86" i="16"/>
  <c r="C86" i="16" s="1"/>
  <c r="B85" i="16"/>
  <c r="C85" i="16" s="1"/>
  <c r="B84" i="16"/>
  <c r="C84" i="16" s="1"/>
  <c r="B83" i="16"/>
  <c r="C83" i="16" s="1"/>
  <c r="B82" i="16"/>
  <c r="C82" i="16" s="1"/>
  <c r="B81" i="16"/>
  <c r="C81" i="16" s="1"/>
  <c r="B80" i="16"/>
  <c r="C80" i="16" s="1"/>
  <c r="B79" i="16"/>
  <c r="C79" i="16" s="1"/>
  <c r="B78" i="16"/>
  <c r="C78" i="16" s="1"/>
  <c r="B77" i="16"/>
  <c r="C77" i="16" s="1"/>
  <c r="B76" i="16"/>
  <c r="C76" i="16" s="1"/>
  <c r="B75" i="16"/>
  <c r="C75" i="16" s="1"/>
  <c r="B74" i="16"/>
  <c r="C74" i="16" s="1"/>
  <c r="B73" i="16"/>
  <c r="C73" i="16" s="1"/>
  <c r="B72" i="16"/>
  <c r="C72" i="16" s="1"/>
  <c r="B71" i="16"/>
  <c r="C71" i="16" s="1"/>
  <c r="B70" i="16"/>
  <c r="C70" i="16" s="1"/>
  <c r="B69" i="16"/>
  <c r="C69" i="16" s="1"/>
  <c r="B68" i="16"/>
  <c r="C68" i="16" s="1"/>
  <c r="B67" i="16"/>
  <c r="C67" i="16" s="1"/>
  <c r="B66" i="16"/>
  <c r="C66" i="16" s="1"/>
  <c r="B65" i="16"/>
  <c r="C65" i="16" s="1"/>
  <c r="B64" i="16"/>
  <c r="C64" i="16" s="1"/>
  <c r="B63" i="16"/>
  <c r="C63" i="16" s="1"/>
  <c r="B62" i="16"/>
  <c r="C62" i="16" s="1"/>
  <c r="B61" i="16"/>
  <c r="C61" i="16" s="1"/>
  <c r="B60" i="16"/>
  <c r="C60" i="16" s="1"/>
  <c r="B59" i="16"/>
  <c r="C59" i="16" s="1"/>
  <c r="B58" i="16"/>
  <c r="C58" i="16" s="1"/>
  <c r="B57" i="16"/>
  <c r="C57" i="16" s="1"/>
  <c r="B56" i="16"/>
  <c r="C56" i="16" s="1"/>
  <c r="B55" i="16"/>
  <c r="C55" i="16" s="1"/>
  <c r="B54" i="16"/>
  <c r="C54" i="16" s="1"/>
  <c r="B53" i="16"/>
  <c r="C53" i="16" s="1"/>
  <c r="B52" i="16"/>
  <c r="C52" i="16" s="1"/>
  <c r="B51" i="16"/>
  <c r="C51" i="16" s="1"/>
  <c r="B50" i="16"/>
  <c r="C50" i="16" s="1"/>
  <c r="B49" i="16"/>
  <c r="C49" i="16" s="1"/>
  <c r="B48" i="16"/>
  <c r="C48" i="16" s="1"/>
  <c r="B47" i="16"/>
  <c r="C47" i="16" s="1"/>
  <c r="B46" i="16"/>
  <c r="C46" i="16" s="1"/>
  <c r="B45" i="16"/>
  <c r="C45" i="16" s="1"/>
  <c r="B44" i="16"/>
  <c r="C44" i="16" s="1"/>
  <c r="B43" i="16"/>
  <c r="C43" i="16" s="1"/>
  <c r="B42" i="16"/>
  <c r="C42" i="16" s="1"/>
  <c r="B41" i="16"/>
  <c r="C41" i="16" s="1"/>
  <c r="B40" i="16"/>
  <c r="C40" i="16" s="1"/>
  <c r="B39" i="16"/>
  <c r="C39" i="16" s="1"/>
  <c r="B38" i="16"/>
  <c r="C38" i="16" s="1"/>
  <c r="B37" i="16"/>
  <c r="C37" i="16" s="1"/>
  <c r="B36" i="16"/>
  <c r="C36" i="16" s="1"/>
  <c r="B35" i="16"/>
  <c r="C35" i="16" s="1"/>
  <c r="B34" i="16"/>
  <c r="C34" i="16" s="1"/>
  <c r="B33" i="16"/>
  <c r="C33" i="16" s="1"/>
  <c r="B32" i="16"/>
  <c r="C32" i="16" s="1"/>
  <c r="B31" i="16"/>
  <c r="C31" i="16" s="1"/>
  <c r="B30" i="16"/>
  <c r="C30" i="16" s="1"/>
  <c r="B29" i="16"/>
  <c r="C29" i="16" s="1"/>
  <c r="B28" i="16"/>
  <c r="C28" i="16" s="1"/>
  <c r="B27" i="16"/>
  <c r="C27" i="16" s="1"/>
  <c r="B26" i="16"/>
  <c r="C26" i="16" s="1"/>
  <c r="B25" i="16"/>
  <c r="C25" i="16" s="1"/>
  <c r="B24" i="16"/>
  <c r="C24" i="16" s="1"/>
  <c r="B23" i="16"/>
  <c r="C23" i="16" s="1"/>
  <c r="B22" i="16"/>
  <c r="C22" i="16" s="1"/>
  <c r="B21" i="16"/>
  <c r="C21" i="16" s="1"/>
  <c r="B20" i="16"/>
  <c r="C20" i="16" s="1"/>
  <c r="B19" i="16"/>
  <c r="C19" i="16" s="1"/>
  <c r="B18" i="16"/>
  <c r="C18" i="16" s="1"/>
  <c r="B17" i="16"/>
  <c r="C17" i="16" s="1"/>
  <c r="B16" i="16"/>
  <c r="C16" i="16" s="1"/>
  <c r="B15" i="16"/>
  <c r="C15" i="16" s="1"/>
  <c r="B14" i="16"/>
  <c r="C14" i="16" s="1"/>
  <c r="B13" i="16"/>
  <c r="C13" i="16" s="1"/>
  <c r="B12" i="16"/>
  <c r="C12" i="16" s="1"/>
  <c r="B11" i="16"/>
  <c r="C11" i="16" s="1"/>
  <c r="B10" i="16"/>
  <c r="C10" i="16" s="1"/>
  <c r="B9" i="16"/>
  <c r="C9" i="16" s="1"/>
  <c r="B8" i="16"/>
  <c r="C8" i="16" s="1"/>
  <c r="B7" i="16"/>
  <c r="C7" i="16" s="1"/>
  <c r="B6" i="16"/>
  <c r="C6" i="16" s="1"/>
  <c r="B5" i="16"/>
  <c r="C5" i="16" s="1"/>
  <c r="B4" i="16"/>
  <c r="C4" i="16" s="1"/>
  <c r="I41" i="10"/>
  <c r="E41" i="10"/>
  <c r="I40" i="10"/>
  <c r="E40" i="10"/>
  <c r="I39" i="10"/>
  <c r="E39" i="10"/>
  <c r="I38" i="10"/>
  <c r="E38" i="10"/>
  <c r="F38" i="10" s="1"/>
  <c r="I37" i="10"/>
  <c r="E37" i="10"/>
  <c r="F37" i="10" s="1"/>
  <c r="G37" i="10" s="1"/>
  <c r="D33" i="6" s="1"/>
  <c r="E33" i="6" s="1"/>
  <c r="I36" i="10"/>
  <c r="E36" i="10"/>
  <c r="I35" i="10"/>
  <c r="E35" i="10"/>
  <c r="I34" i="10"/>
  <c r="E34" i="10"/>
  <c r="F34" i="10" s="1"/>
  <c r="I33" i="10"/>
  <c r="E33" i="10"/>
  <c r="F33" i="10" s="1"/>
  <c r="I32" i="10"/>
  <c r="E32" i="10"/>
  <c r="F32" i="10" s="1"/>
  <c r="I31" i="10"/>
  <c r="E31" i="10"/>
  <c r="F31" i="10" s="1"/>
  <c r="I30" i="10"/>
  <c r="E30" i="10"/>
  <c r="I29" i="10"/>
  <c r="E29" i="10"/>
  <c r="F29" i="10" s="1"/>
  <c r="I28" i="10"/>
  <c r="E28" i="10"/>
  <c r="F28" i="10" s="1"/>
  <c r="I27" i="10"/>
  <c r="E27" i="10"/>
  <c r="F27" i="10" s="1"/>
  <c r="I26" i="10"/>
  <c r="E26" i="10"/>
  <c r="F26" i="10" s="1"/>
  <c r="I25" i="10"/>
  <c r="E25" i="10"/>
  <c r="I24" i="10"/>
  <c r="E24" i="10"/>
  <c r="I23" i="10"/>
  <c r="E23" i="10"/>
  <c r="I22" i="10"/>
  <c r="E22" i="10"/>
  <c r="F22" i="10" s="1"/>
  <c r="I21" i="10"/>
  <c r="E21" i="10"/>
  <c r="I20" i="10"/>
  <c r="E20" i="10"/>
  <c r="I19" i="10"/>
  <c r="E19" i="10"/>
  <c r="F19" i="10" s="1"/>
  <c r="I18" i="10"/>
  <c r="E18" i="10"/>
  <c r="F18" i="10" s="1"/>
  <c r="I17" i="10"/>
  <c r="E17" i="10"/>
  <c r="I16" i="10"/>
  <c r="E16" i="10"/>
  <c r="I15" i="10"/>
  <c r="E15" i="10"/>
  <c r="F15" i="10" s="1"/>
  <c r="I14" i="10"/>
  <c r="E14" i="10"/>
  <c r="F14" i="10" s="1"/>
  <c r="I13" i="10"/>
  <c r="E13" i="10"/>
  <c r="F13" i="10" s="1"/>
  <c r="I12" i="10"/>
  <c r="E12" i="10"/>
  <c r="F12" i="10" s="1"/>
  <c r="I11" i="10"/>
  <c r="E11" i="10"/>
  <c r="F11" i="10" s="1"/>
  <c r="I10" i="10"/>
  <c r="E10" i="10"/>
  <c r="F10" i="10" s="1"/>
  <c r="I9" i="10"/>
  <c r="E9" i="10"/>
  <c r="I8" i="10"/>
  <c r="E8" i="10"/>
  <c r="F8" i="10" s="1"/>
  <c r="I7" i="10"/>
  <c r="E7" i="10"/>
  <c r="I6" i="10"/>
  <c r="E6" i="10"/>
  <c r="I5" i="10"/>
  <c r="I4" i="10"/>
  <c r="I50" i="9"/>
  <c r="C50" i="9"/>
  <c r="I49" i="9"/>
  <c r="C49" i="9"/>
  <c r="I48" i="9"/>
  <c r="C48" i="9"/>
  <c r="I47" i="9"/>
  <c r="C47" i="9"/>
  <c r="I46" i="9"/>
  <c r="C46" i="9"/>
  <c r="I43" i="9"/>
  <c r="I42" i="9"/>
  <c r="C42" i="9"/>
  <c r="I41" i="9"/>
  <c r="C41" i="9"/>
  <c r="I40" i="9"/>
  <c r="C40" i="9"/>
  <c r="I39" i="9"/>
  <c r="C39" i="9"/>
  <c r="I38" i="9"/>
  <c r="C38" i="9"/>
  <c r="I37" i="9"/>
  <c r="C37" i="9"/>
  <c r="I36" i="9"/>
  <c r="C36" i="9"/>
  <c r="I35" i="9"/>
  <c r="C35" i="9"/>
  <c r="I34" i="9"/>
  <c r="C34" i="9"/>
  <c r="I33" i="9"/>
  <c r="C33" i="9"/>
  <c r="I32" i="9"/>
  <c r="C32" i="9"/>
  <c r="I31" i="9"/>
  <c r="C31" i="9"/>
  <c r="I30" i="9"/>
  <c r="C30" i="9"/>
  <c r="I29" i="9"/>
  <c r="C29" i="9"/>
  <c r="I28" i="9"/>
  <c r="C28" i="9"/>
  <c r="I27" i="9"/>
  <c r="C27" i="9"/>
  <c r="I26" i="9"/>
  <c r="C26" i="9"/>
  <c r="I25" i="9"/>
  <c r="C25" i="9"/>
  <c r="I24" i="9"/>
  <c r="C24" i="9"/>
  <c r="I23" i="9"/>
  <c r="C23" i="9"/>
  <c r="I22" i="9"/>
  <c r="C22" i="9"/>
  <c r="I21" i="9"/>
  <c r="C21" i="9"/>
  <c r="I20" i="9"/>
  <c r="C20" i="9"/>
  <c r="I19" i="9"/>
  <c r="C19" i="9"/>
  <c r="I18" i="9"/>
  <c r="C18" i="9"/>
  <c r="I17" i="9"/>
  <c r="C17" i="9"/>
  <c r="I16" i="9"/>
  <c r="C16" i="9"/>
  <c r="I15" i="9"/>
  <c r="C15" i="9"/>
  <c r="I14" i="9"/>
  <c r="C14" i="9"/>
  <c r="I13" i="9"/>
  <c r="C13" i="9"/>
  <c r="I12" i="9"/>
  <c r="C12" i="9"/>
  <c r="I11" i="9"/>
  <c r="C11" i="9"/>
  <c r="I10" i="9"/>
  <c r="C10" i="9"/>
  <c r="I9" i="9"/>
  <c r="C9" i="9"/>
  <c r="I8" i="9"/>
  <c r="C8" i="9"/>
  <c r="I7" i="9"/>
  <c r="C7" i="9"/>
  <c r="I6" i="9"/>
  <c r="C6" i="9"/>
  <c r="I5" i="9"/>
  <c r="C5" i="9"/>
  <c r="I4" i="9"/>
  <c r="C4" i="9"/>
  <c r="C103" i="6"/>
  <c r="C102" i="6"/>
  <c r="C101" i="6"/>
  <c r="E100" i="6"/>
  <c r="C98" i="6"/>
  <c r="C97" i="6"/>
  <c r="C96" i="6"/>
  <c r="E95" i="6"/>
  <c r="C91" i="6"/>
  <c r="C90" i="6"/>
  <c r="C89" i="6"/>
  <c r="C67" i="6"/>
  <c r="C64" i="6"/>
  <c r="C59" i="6"/>
  <c r="C56" i="6"/>
  <c r="C51" i="6"/>
  <c r="C48" i="6"/>
  <c r="E39" i="6"/>
  <c r="E34" i="6"/>
  <c r="F34" i="6" s="1"/>
  <c r="D30" i="6"/>
  <c r="E30" i="6" s="1"/>
  <c r="D29" i="6"/>
  <c r="E29" i="6" s="1"/>
  <c r="D28" i="6"/>
  <c r="E28" i="6" s="1"/>
  <c r="D27" i="6"/>
  <c r="E27" i="6" s="1"/>
  <c r="E26" i="6" s="1"/>
  <c r="F26" i="6" s="1"/>
  <c r="D25" i="6"/>
  <c r="E25" i="6" s="1"/>
  <c r="D24" i="6"/>
  <c r="E24" i="6" s="1"/>
  <c r="D23" i="6"/>
  <c r="E23" i="6" s="1"/>
  <c r="D17" i="6"/>
  <c r="E17" i="6" s="1"/>
  <c r="D16" i="6"/>
  <c r="E16" i="6" s="1"/>
  <c r="D13" i="6"/>
  <c r="E13" i="6" s="1"/>
  <c r="D12" i="6"/>
  <c r="E12" i="6" s="1"/>
  <c r="D11" i="6"/>
  <c r="E11" i="6" s="1"/>
  <c r="D10" i="6"/>
  <c r="E10" i="6" s="1"/>
  <c r="D9" i="6"/>
  <c r="E9" i="6" s="1"/>
  <c r="D7" i="6"/>
  <c r="E7" i="6" s="1"/>
  <c r="G3" i="5"/>
  <c r="F22" i="11" s="1"/>
  <c r="F3" i="5"/>
  <c r="F18" i="11" s="1"/>
  <c r="E3" i="5"/>
  <c r="F14" i="11" s="1"/>
  <c r="D3" i="5"/>
  <c r="C3" i="5"/>
  <c r="F10" i="11" s="1"/>
  <c r="B3" i="5"/>
  <c r="F6" i="11" s="1"/>
  <c r="G2" i="5"/>
  <c r="F19" i="11" s="1"/>
  <c r="F2" i="5"/>
  <c r="F15" i="11" s="1"/>
  <c r="E2" i="5"/>
  <c r="F11" i="11" s="1"/>
  <c r="D2" i="5"/>
  <c r="C2" i="5"/>
  <c r="F7" i="11" s="1"/>
  <c r="B2" i="5"/>
  <c r="F3" i="11" s="1"/>
  <c r="F12" i="22" l="1"/>
  <c r="H12" i="22"/>
  <c r="G12" i="22"/>
  <c r="I10" i="22"/>
  <c r="F10" i="22"/>
  <c r="G10" i="22"/>
  <c r="M10" i="22" s="1"/>
  <c r="E13" i="11" s="1"/>
  <c r="AI5" i="19" s="1"/>
  <c r="B122" i="16"/>
  <c r="C122" i="16" s="1"/>
  <c r="H9" i="22"/>
  <c r="N9" i="22" s="1"/>
  <c r="G9" i="22"/>
  <c r="H8" i="22"/>
  <c r="N8" i="22" s="1"/>
  <c r="E8" i="11" s="1"/>
  <c r="AH3" i="19" s="1"/>
  <c r="G8" i="22"/>
  <c r="F8" i="22"/>
  <c r="I7" i="22"/>
  <c r="H7" i="22"/>
  <c r="G7" i="22"/>
  <c r="M7" i="22" s="1"/>
  <c r="F7" i="22"/>
  <c r="F6" i="22"/>
  <c r="I6" i="22"/>
  <c r="H6" i="22"/>
  <c r="N6" i="22" s="1"/>
  <c r="G6" i="22"/>
  <c r="J8" i="22"/>
  <c r="J6" i="22"/>
  <c r="K8" i="22"/>
  <c r="O8" i="22" s="1"/>
  <c r="K6" i="22"/>
  <c r="K10" i="22"/>
  <c r="J10" i="22"/>
  <c r="J7" i="22"/>
  <c r="K7" i="22"/>
  <c r="K9" i="22"/>
  <c r="J9" i="22"/>
  <c r="J11" i="22"/>
  <c r="K11" i="22"/>
  <c r="O11" i="22" s="1"/>
  <c r="I13" i="22"/>
  <c r="K14" i="22"/>
  <c r="F13" i="22"/>
  <c r="J14" i="22"/>
  <c r="I14" i="22"/>
  <c r="G13" i="22"/>
  <c r="H14" i="22"/>
  <c r="G14" i="22"/>
  <c r="H13" i="22"/>
  <c r="F14" i="22"/>
  <c r="L14" i="22" s="1"/>
  <c r="K13" i="22"/>
  <c r="J13" i="22"/>
  <c r="I5" i="22"/>
  <c r="K5" i="22"/>
  <c r="J5" i="22"/>
  <c r="G5" i="22"/>
  <c r="H5" i="22"/>
  <c r="N5" i="22" s="1"/>
  <c r="I12" i="22"/>
  <c r="J12" i="22"/>
  <c r="K12" i="22"/>
  <c r="O12" i="22" s="1"/>
  <c r="I11" i="22"/>
  <c r="H11" i="22"/>
  <c r="G11" i="22"/>
  <c r="F11" i="22"/>
  <c r="L10" i="22"/>
  <c r="G38" i="10"/>
  <c r="F36" i="10"/>
  <c r="G36" i="10" s="1"/>
  <c r="D32" i="6" s="1"/>
  <c r="E32" i="6" s="1"/>
  <c r="E31" i="6" s="1"/>
  <c r="F25" i="10"/>
  <c r="G29" i="10"/>
  <c r="G25" i="10" s="1"/>
  <c r="D22" i="6" s="1"/>
  <c r="E22" i="6" s="1"/>
  <c r="G24" i="10"/>
  <c r="D21" i="6" s="1"/>
  <c r="E21" i="6" s="1"/>
  <c r="F24" i="10"/>
  <c r="F21" i="10"/>
  <c r="F20" i="10"/>
  <c r="G22" i="10"/>
  <c r="F17" i="10"/>
  <c r="F9" i="10"/>
  <c r="F7" i="10"/>
  <c r="F6" i="10"/>
  <c r="G15" i="10"/>
  <c r="D51" i="9"/>
  <c r="C51" i="9"/>
  <c r="E51" i="9"/>
  <c r="D46" i="9"/>
  <c r="D43" i="9"/>
  <c r="D4" i="9" s="1"/>
  <c r="E43" i="9"/>
  <c r="F100" i="6"/>
  <c r="E14" i="11" s="1"/>
  <c r="AG5" i="19" s="1"/>
  <c r="F95" i="6"/>
  <c r="E10" i="11" s="1"/>
  <c r="AG3" i="19" s="1"/>
  <c r="F39" i="6"/>
  <c r="D7" i="18"/>
  <c r="I7" i="18"/>
  <c r="O7" i="18"/>
  <c r="U7" i="18"/>
  <c r="AC7" i="18"/>
  <c r="AO7" i="18"/>
  <c r="AT7" i="18"/>
  <c r="BA7" i="18"/>
  <c r="C7" i="19"/>
  <c r="G7" i="19"/>
  <c r="I7" i="19"/>
  <c r="P7" i="19"/>
  <c r="B7" i="18"/>
  <c r="N7" i="18"/>
  <c r="AF7" i="18"/>
  <c r="AP7" i="18"/>
  <c r="AY7" i="18"/>
  <c r="F7" i="18"/>
  <c r="K7" i="18"/>
  <c r="R7" i="18"/>
  <c r="W7" i="18"/>
  <c r="AB7" i="18"/>
  <c r="AM7" i="18"/>
  <c r="AR7" i="18"/>
  <c r="AZ7" i="18"/>
  <c r="B7" i="17"/>
  <c r="C7" i="17"/>
  <c r="D7" i="17"/>
  <c r="E7" i="17"/>
  <c r="F7" i="17"/>
  <c r="G7" i="17"/>
  <c r="H7" i="17"/>
  <c r="I7" i="17"/>
  <c r="J7" i="17"/>
  <c r="K7" i="17"/>
  <c r="L7" i="17"/>
  <c r="M7" i="17"/>
  <c r="N7" i="17"/>
  <c r="O7" i="17"/>
  <c r="P7" i="17"/>
  <c r="Q7" i="17"/>
  <c r="R7" i="17"/>
  <c r="S7" i="17"/>
  <c r="T7" i="17"/>
  <c r="U7" i="17"/>
  <c r="V7" i="17"/>
  <c r="W7" i="17"/>
  <c r="Y7" i="17"/>
  <c r="Z7" i="17"/>
  <c r="AA7" i="17"/>
  <c r="AB7" i="17"/>
  <c r="AC7" i="17"/>
  <c r="AD7" i="17"/>
  <c r="AE7" i="17"/>
  <c r="AF7" i="17"/>
  <c r="G7" i="18"/>
  <c r="L7" i="18"/>
  <c r="S7" i="18"/>
  <c r="Y7" i="18"/>
  <c r="AE7" i="18"/>
  <c r="AK7" i="18"/>
  <c r="AQ7" i="18"/>
  <c r="AV7" i="18"/>
  <c r="AJ7" i="17"/>
  <c r="AK7" i="17"/>
  <c r="AL7" i="17"/>
  <c r="AM7" i="17"/>
  <c r="AN7" i="17"/>
  <c r="AO7" i="17"/>
  <c r="AP7" i="17"/>
  <c r="AQ7" i="17"/>
  <c r="AR7" i="17"/>
  <c r="AS7" i="17"/>
  <c r="AT7" i="17"/>
  <c r="AU7" i="17"/>
  <c r="AV7" i="17"/>
  <c r="AW7" i="17"/>
  <c r="AX7" i="17"/>
  <c r="AY7" i="17"/>
  <c r="AZ7" i="17"/>
  <c r="BA7" i="17"/>
  <c r="H7" i="18"/>
  <c r="E7" i="18"/>
  <c r="Q7" i="18"/>
  <c r="AA7" i="18"/>
  <c r="AJ7" i="18"/>
  <c r="AU7" i="18"/>
  <c r="BA7" i="19"/>
  <c r="C7" i="18"/>
  <c r="J7" i="18"/>
  <c r="P7" i="18"/>
  <c r="T7" i="18"/>
  <c r="Z7" i="18"/>
  <c r="AN7" i="18"/>
  <c r="AS7" i="18"/>
  <c r="AX7" i="18"/>
  <c r="D7" i="19"/>
  <c r="F7" i="19"/>
  <c r="J7" i="19"/>
  <c r="K7" i="19"/>
  <c r="M7" i="19"/>
  <c r="N7" i="19"/>
  <c r="O7" i="19"/>
  <c r="Q7" i="19"/>
  <c r="R7" i="19"/>
  <c r="S7" i="19"/>
  <c r="T7" i="19"/>
  <c r="U7" i="19"/>
  <c r="V7" i="19"/>
  <c r="W7" i="19"/>
  <c r="Y7" i="19"/>
  <c r="Z7" i="19"/>
  <c r="AA7" i="19"/>
  <c r="AB7" i="19"/>
  <c r="AC7" i="19"/>
  <c r="AD7" i="19"/>
  <c r="AE7" i="19"/>
  <c r="AF7" i="19"/>
  <c r="AJ7" i="19"/>
  <c r="AK7" i="19"/>
  <c r="AL7" i="19"/>
  <c r="AM7" i="19"/>
  <c r="AN7" i="19"/>
  <c r="AO7" i="19"/>
  <c r="AP7" i="19"/>
  <c r="AQ7" i="19"/>
  <c r="AR7" i="19"/>
  <c r="AS7" i="19"/>
  <c r="AT7" i="19"/>
  <c r="AU7" i="19"/>
  <c r="AV7" i="19"/>
  <c r="AW7" i="19"/>
  <c r="AX7" i="19"/>
  <c r="AY7" i="19"/>
  <c r="AZ7" i="19"/>
  <c r="M7" i="18"/>
  <c r="V7" i="18"/>
  <c r="AD7" i="18"/>
  <c r="AL7" i="18"/>
  <c r="AW7" i="18"/>
  <c r="B7" i="19"/>
  <c r="E7" i="19"/>
  <c r="H7" i="19"/>
  <c r="L7" i="19"/>
  <c r="C6" i="18"/>
  <c r="I6" i="18"/>
  <c r="O6" i="18"/>
  <c r="S6" i="18"/>
  <c r="AD6" i="18"/>
  <c r="AN6" i="18"/>
  <c r="AS6" i="18"/>
  <c r="AX6" i="18"/>
  <c r="C6" i="19"/>
  <c r="G6" i="19"/>
  <c r="L6" i="19"/>
  <c r="Q6" i="19"/>
  <c r="V6" i="19"/>
  <c r="Z6" i="19"/>
  <c r="AD6" i="19"/>
  <c r="AJ6" i="19"/>
  <c r="AO6" i="19"/>
  <c r="AT6" i="19"/>
  <c r="AW6" i="19"/>
  <c r="AZ6" i="19"/>
  <c r="H6" i="18"/>
  <c r="AQ6" i="18"/>
  <c r="H6" i="19"/>
  <c r="P6" i="19"/>
  <c r="AE6" i="19"/>
  <c r="AM6" i="19"/>
  <c r="B6" i="17"/>
  <c r="C6" i="17"/>
  <c r="D6" i="17"/>
  <c r="E6" i="17"/>
  <c r="F6" i="17"/>
  <c r="G6" i="17"/>
  <c r="H6" i="17"/>
  <c r="I6" i="17"/>
  <c r="J6" i="17"/>
  <c r="K6" i="17"/>
  <c r="L6" i="17"/>
  <c r="M6" i="17"/>
  <c r="N6" i="17"/>
  <c r="O6" i="17"/>
  <c r="D6" i="18"/>
  <c r="J6" i="18"/>
  <c r="P6" i="18"/>
  <c r="V6" i="18"/>
  <c r="Z6" i="18"/>
  <c r="AF6" i="18"/>
  <c r="AJ6" i="18"/>
  <c r="AO6" i="18"/>
  <c r="AU6" i="18"/>
  <c r="AZ6" i="18"/>
  <c r="D6" i="19"/>
  <c r="I6" i="19"/>
  <c r="M6" i="19"/>
  <c r="R6" i="19"/>
  <c r="U6" i="19"/>
  <c r="Y6" i="19"/>
  <c r="AC6" i="19"/>
  <c r="AN6" i="19"/>
  <c r="AR6" i="19"/>
  <c r="P6" i="17"/>
  <c r="Q6" i="17"/>
  <c r="R6" i="17"/>
  <c r="S6" i="17"/>
  <c r="T6" i="17"/>
  <c r="U6" i="17"/>
  <c r="V6" i="17"/>
  <c r="W6" i="17"/>
  <c r="Y6" i="17"/>
  <c r="Z6" i="17"/>
  <c r="AA6" i="17"/>
  <c r="AB6" i="17"/>
  <c r="AC6" i="17"/>
  <c r="AD6" i="17"/>
  <c r="AE6" i="17"/>
  <c r="AF6" i="17"/>
  <c r="AJ6" i="17"/>
  <c r="AK6" i="17"/>
  <c r="AL6" i="17"/>
  <c r="AM6" i="17"/>
  <c r="AN6" i="17"/>
  <c r="AO6" i="17"/>
  <c r="AP6" i="17"/>
  <c r="AQ6" i="17"/>
  <c r="AR6" i="17"/>
  <c r="AS6" i="17"/>
  <c r="AT6" i="17"/>
  <c r="AU6" i="17"/>
  <c r="AV6" i="17"/>
  <c r="AW6" i="17"/>
  <c r="AX6" i="17"/>
  <c r="AY6" i="17"/>
  <c r="AZ6" i="17"/>
  <c r="BA6" i="17"/>
  <c r="F6" i="18"/>
  <c r="L6" i="18"/>
  <c r="Q6" i="18"/>
  <c r="W6" i="18"/>
  <c r="AB6" i="18"/>
  <c r="AR6" i="18"/>
  <c r="AY6" i="18"/>
  <c r="B6" i="18"/>
  <c r="K6" i="18"/>
  <c r="U6" i="18"/>
  <c r="AC6" i="18"/>
  <c r="AM6" i="18"/>
  <c r="AV6" i="18"/>
  <c r="G6" i="18"/>
  <c r="M6" i="18"/>
  <c r="R6" i="18"/>
  <c r="Y6" i="18"/>
  <c r="AE6" i="18"/>
  <c r="AK6" i="18"/>
  <c r="AP6" i="18"/>
  <c r="AW6" i="18"/>
  <c r="B6" i="19"/>
  <c r="F6" i="19"/>
  <c r="J6" i="19"/>
  <c r="N6" i="19"/>
  <c r="S6" i="19"/>
  <c r="W6" i="19"/>
  <c r="AB6" i="19"/>
  <c r="AF6" i="19"/>
  <c r="AL6" i="19"/>
  <c r="AP6" i="19"/>
  <c r="AS6" i="19"/>
  <c r="AV6" i="19"/>
  <c r="AX6" i="19"/>
  <c r="BA6" i="19"/>
  <c r="E6" i="18"/>
  <c r="N6" i="18"/>
  <c r="T6" i="18"/>
  <c r="AA6" i="18"/>
  <c r="AL6" i="18"/>
  <c r="AT6" i="18"/>
  <c r="BA6" i="18"/>
  <c r="E6" i="19"/>
  <c r="K6" i="19"/>
  <c r="O6" i="19"/>
  <c r="T6" i="19"/>
  <c r="AA6" i="19"/>
  <c r="AK6" i="19"/>
  <c r="AQ6" i="19"/>
  <c r="AU6" i="19"/>
  <c r="AY6" i="19"/>
  <c r="AR5" i="18"/>
  <c r="AY5" i="18"/>
  <c r="E5" i="19"/>
  <c r="K5" i="19"/>
  <c r="Q5" i="19"/>
  <c r="T5" i="19"/>
  <c r="Y5" i="19"/>
  <c r="AC5" i="19"/>
  <c r="AL5" i="19"/>
  <c r="AP5" i="19"/>
  <c r="AT5" i="19"/>
  <c r="AX5" i="19"/>
  <c r="AV5" i="18"/>
  <c r="G5" i="19"/>
  <c r="L5" i="19"/>
  <c r="V5" i="19"/>
  <c r="AD5" i="19"/>
  <c r="AK5" i="19"/>
  <c r="AS5" i="19"/>
  <c r="AZ5" i="19"/>
  <c r="B5" i="17"/>
  <c r="E5" i="17"/>
  <c r="G5" i="17"/>
  <c r="J5" i="17"/>
  <c r="M5" i="17"/>
  <c r="N5" i="17"/>
  <c r="P5" i="17"/>
  <c r="S5" i="17"/>
  <c r="V5" i="17"/>
  <c r="Y5" i="17"/>
  <c r="AA5" i="17"/>
  <c r="AD5" i="17"/>
  <c r="AK5" i="17"/>
  <c r="AL5" i="17"/>
  <c r="AM5" i="17"/>
  <c r="AN5" i="17"/>
  <c r="AO5" i="17"/>
  <c r="AP5" i="17"/>
  <c r="AQ5" i="17"/>
  <c r="AR5" i="17"/>
  <c r="AS5" i="17"/>
  <c r="AT5" i="17"/>
  <c r="AU5" i="17"/>
  <c r="AV5" i="17"/>
  <c r="AW5" i="17"/>
  <c r="AX5" i="17"/>
  <c r="AY5" i="17"/>
  <c r="AZ5" i="17"/>
  <c r="BA5" i="17"/>
  <c r="AP5" i="18"/>
  <c r="AX5" i="18"/>
  <c r="C5" i="19"/>
  <c r="I5" i="19"/>
  <c r="N5" i="19"/>
  <c r="S5" i="19"/>
  <c r="AA5" i="19"/>
  <c r="AF5" i="19"/>
  <c r="AJ5" i="19"/>
  <c r="AO5" i="19"/>
  <c r="AR5" i="19"/>
  <c r="AV5" i="19"/>
  <c r="BA5" i="19"/>
  <c r="C5" i="17"/>
  <c r="D5" i="17"/>
  <c r="F5" i="17"/>
  <c r="H5" i="17"/>
  <c r="I5" i="17"/>
  <c r="K5" i="17"/>
  <c r="L5" i="17"/>
  <c r="O5" i="17"/>
  <c r="Q5" i="17"/>
  <c r="R5" i="17"/>
  <c r="T5" i="17"/>
  <c r="U5" i="17"/>
  <c r="W5" i="17"/>
  <c r="Z5" i="17"/>
  <c r="AB5" i="17"/>
  <c r="AC5" i="17"/>
  <c r="AE5" i="17"/>
  <c r="AF5" i="17"/>
  <c r="AJ5" i="17"/>
  <c r="AU5" i="18"/>
  <c r="BA5" i="18"/>
  <c r="B5" i="18"/>
  <c r="C5" i="18"/>
  <c r="D5" i="18"/>
  <c r="E5" i="18"/>
  <c r="F5" i="18"/>
  <c r="G5" i="18"/>
  <c r="H5" i="18"/>
  <c r="I5" i="18"/>
  <c r="J5" i="18"/>
  <c r="K5" i="18"/>
  <c r="L5" i="18"/>
  <c r="M5" i="18"/>
  <c r="N5" i="18"/>
  <c r="O5" i="18"/>
  <c r="P5" i="18"/>
  <c r="Q5" i="18"/>
  <c r="R5" i="18"/>
  <c r="S5" i="18"/>
  <c r="T5" i="18"/>
  <c r="U5" i="18"/>
  <c r="V5" i="18"/>
  <c r="W5" i="18"/>
  <c r="Y5" i="18"/>
  <c r="Z5" i="18"/>
  <c r="AA5" i="18"/>
  <c r="AB5" i="18"/>
  <c r="AC5" i="18"/>
  <c r="AD5" i="18"/>
  <c r="AE5" i="18"/>
  <c r="AF5" i="18"/>
  <c r="AJ5" i="18"/>
  <c r="AK5" i="18"/>
  <c r="AL5" i="18"/>
  <c r="AM5" i="18"/>
  <c r="AN5" i="18"/>
  <c r="AO5" i="18"/>
  <c r="O5" i="19"/>
  <c r="AS5" i="18"/>
  <c r="M5" i="19"/>
  <c r="AT5" i="18"/>
  <c r="AZ5" i="18"/>
  <c r="B5" i="19"/>
  <c r="F5" i="19"/>
  <c r="H5" i="19"/>
  <c r="P5" i="19"/>
  <c r="U5" i="19"/>
  <c r="Z5" i="19"/>
  <c r="AE5" i="19"/>
  <c r="AM5" i="19"/>
  <c r="AQ5" i="19"/>
  <c r="AW5" i="19"/>
  <c r="AQ5" i="18"/>
  <c r="AW5" i="18"/>
  <c r="D5" i="19"/>
  <c r="J5" i="19"/>
  <c r="R5" i="19"/>
  <c r="W5" i="19"/>
  <c r="AB5" i="19"/>
  <c r="AN5" i="19"/>
  <c r="AU5" i="19"/>
  <c r="AY5" i="19"/>
  <c r="C3" i="19"/>
  <c r="G3" i="19"/>
  <c r="L3" i="19"/>
  <c r="R3" i="19"/>
  <c r="W3" i="19"/>
  <c r="AB3" i="19"/>
  <c r="AK3" i="19"/>
  <c r="AP3" i="19"/>
  <c r="AW3" i="19"/>
  <c r="B3" i="17"/>
  <c r="C3" i="17"/>
  <c r="D3" i="17"/>
  <c r="E3" i="17"/>
  <c r="F3" i="17"/>
  <c r="G3" i="17"/>
  <c r="H3" i="17"/>
  <c r="I3" i="17"/>
  <c r="J3" i="17"/>
  <c r="K3" i="17"/>
  <c r="L3" i="17"/>
  <c r="M3" i="17"/>
  <c r="N3" i="17"/>
  <c r="O3" i="17"/>
  <c r="P3" i="17"/>
  <c r="Q3" i="17"/>
  <c r="R3" i="17"/>
  <c r="S3" i="17"/>
  <c r="T3" i="17"/>
  <c r="U3" i="17"/>
  <c r="V3" i="17"/>
  <c r="W3" i="17"/>
  <c r="X3" i="17"/>
  <c r="Z3" i="17"/>
  <c r="AA3" i="17"/>
  <c r="AB3" i="17"/>
  <c r="AC3" i="17"/>
  <c r="D3" i="19"/>
  <c r="N3" i="19"/>
  <c r="V3" i="19"/>
  <c r="AE3" i="19"/>
  <c r="AM3" i="19"/>
  <c r="AV3" i="19"/>
  <c r="AD3" i="17"/>
  <c r="AL3" i="17"/>
  <c r="AO3" i="17"/>
  <c r="AR3" i="17"/>
  <c r="AT3" i="17"/>
  <c r="AW3" i="17"/>
  <c r="AZ3" i="17"/>
  <c r="F3" i="19"/>
  <c r="J3" i="19"/>
  <c r="O3" i="19"/>
  <c r="T3" i="19"/>
  <c r="AD3" i="19"/>
  <c r="AN3" i="19"/>
  <c r="AT3" i="19"/>
  <c r="BA3" i="19"/>
  <c r="AE3" i="17"/>
  <c r="AF3" i="17"/>
  <c r="AJ3" i="17"/>
  <c r="AK3" i="17"/>
  <c r="AM3" i="17"/>
  <c r="AN3" i="17"/>
  <c r="AP3" i="17"/>
  <c r="AQ3" i="17"/>
  <c r="AS3" i="17"/>
  <c r="AU3" i="17"/>
  <c r="AV3" i="17"/>
  <c r="AX3" i="17"/>
  <c r="AY3" i="17"/>
  <c r="BA3" i="17"/>
  <c r="B3" i="18"/>
  <c r="C3" i="18"/>
  <c r="D3" i="18"/>
  <c r="E3" i="18"/>
  <c r="F3" i="18"/>
  <c r="G3" i="18"/>
  <c r="H3" i="18"/>
  <c r="I3" i="18"/>
  <c r="J3" i="18"/>
  <c r="K3" i="18"/>
  <c r="L3" i="18"/>
  <c r="M3" i="18"/>
  <c r="N3" i="18"/>
  <c r="O3" i="18"/>
  <c r="P3" i="18"/>
  <c r="Q3" i="18"/>
  <c r="R3" i="18"/>
  <c r="S3" i="18"/>
  <c r="T3" i="18"/>
  <c r="U3" i="18"/>
  <c r="V3" i="18"/>
  <c r="W3" i="18"/>
  <c r="X3" i="18"/>
  <c r="Z3" i="18"/>
  <c r="AA3" i="18"/>
  <c r="AB3" i="18"/>
  <c r="AC3" i="18"/>
  <c r="AD3" i="18"/>
  <c r="AE3" i="18"/>
  <c r="AF3" i="18"/>
  <c r="AJ3" i="18"/>
  <c r="AK3" i="18"/>
  <c r="AL3" i="18"/>
  <c r="AM3" i="18"/>
  <c r="AN3" i="18"/>
  <c r="AO3" i="18"/>
  <c r="AP3" i="18"/>
  <c r="AQ3" i="18"/>
  <c r="AR3" i="18"/>
  <c r="AS3" i="18"/>
  <c r="AT3" i="18"/>
  <c r="AU3" i="18"/>
  <c r="AV3" i="18"/>
  <c r="AW3" i="18"/>
  <c r="AX3" i="18"/>
  <c r="AY3" i="18"/>
  <c r="AZ3" i="18"/>
  <c r="BA3" i="18"/>
  <c r="AU3" i="19"/>
  <c r="B3" i="19"/>
  <c r="I3" i="19"/>
  <c r="S3" i="19"/>
  <c r="AA3" i="19"/>
  <c r="AQ3" i="19"/>
  <c r="AZ3" i="19"/>
  <c r="H3" i="19"/>
  <c r="M3" i="19"/>
  <c r="Q3" i="19"/>
  <c r="U3" i="19"/>
  <c r="Z3" i="19"/>
  <c r="AF3" i="19"/>
  <c r="AJ3" i="19"/>
  <c r="AO3" i="19"/>
  <c r="AS3" i="19"/>
  <c r="AY3" i="19"/>
  <c r="E3" i="19"/>
  <c r="K3" i="19"/>
  <c r="P3" i="19"/>
  <c r="X3" i="19"/>
  <c r="AC3" i="19"/>
  <c r="AL3" i="19"/>
  <c r="AR3" i="19"/>
  <c r="AX3" i="19"/>
  <c r="F2" i="19"/>
  <c r="K2" i="19"/>
  <c r="P2" i="19"/>
  <c r="U2" i="19"/>
  <c r="AD2" i="19"/>
  <c r="AN2" i="19"/>
  <c r="AS2" i="19"/>
  <c r="AX2" i="19"/>
  <c r="I2" i="17"/>
  <c r="B2" i="17"/>
  <c r="C2" i="17"/>
  <c r="D2" i="17"/>
  <c r="E2" i="17"/>
  <c r="F2" i="17"/>
  <c r="G2" i="17"/>
  <c r="H2" i="17"/>
  <c r="J2" i="17"/>
  <c r="K2" i="17"/>
  <c r="L2" i="17"/>
  <c r="M2" i="17"/>
  <c r="N2" i="17"/>
  <c r="O2" i="17"/>
  <c r="P2" i="17"/>
  <c r="Q2" i="17"/>
  <c r="R2" i="17"/>
  <c r="S2" i="17"/>
  <c r="T2" i="17"/>
  <c r="U2" i="17"/>
  <c r="V2" i="17"/>
  <c r="W2" i="17"/>
  <c r="X2" i="17"/>
  <c r="Z2" i="17"/>
  <c r="AA2" i="17"/>
  <c r="AB2" i="17"/>
  <c r="AC2" i="17"/>
  <c r="AD2" i="17"/>
  <c r="AE2" i="17"/>
  <c r="AF2" i="17"/>
  <c r="AJ2" i="17"/>
  <c r="AK2" i="17"/>
  <c r="AL2" i="17"/>
  <c r="AM2" i="17"/>
  <c r="AN2" i="17"/>
  <c r="AO2" i="17"/>
  <c r="AP2" i="17"/>
  <c r="AQ2" i="17"/>
  <c r="AR2" i="17"/>
  <c r="AS2" i="17"/>
  <c r="AT2" i="17"/>
  <c r="AU2" i="17"/>
  <c r="AV2" i="17"/>
  <c r="AW2" i="17"/>
  <c r="AX2" i="17"/>
  <c r="AY2" i="17"/>
  <c r="AZ2" i="17"/>
  <c r="BA2" i="17"/>
  <c r="G2" i="19"/>
  <c r="O2" i="19"/>
  <c r="X2" i="19"/>
  <c r="AF2" i="19"/>
  <c r="AO2" i="19"/>
  <c r="AW2" i="19"/>
  <c r="E2" i="19"/>
  <c r="I2" i="19"/>
  <c r="M2" i="19"/>
  <c r="R2" i="19"/>
  <c r="V2" i="19"/>
  <c r="Z2" i="19"/>
  <c r="AL2" i="19"/>
  <c r="AR2" i="19"/>
  <c r="AV2" i="19"/>
  <c r="AZ2" i="19"/>
  <c r="B2" i="18"/>
  <c r="C2" i="18"/>
  <c r="D2" i="18"/>
  <c r="E2" i="18"/>
  <c r="F2" i="18"/>
  <c r="G2" i="18"/>
  <c r="H2" i="18"/>
  <c r="I2" i="18"/>
  <c r="J2" i="18"/>
  <c r="K2" i="18"/>
  <c r="L2" i="18"/>
  <c r="M2" i="18"/>
  <c r="N2" i="18"/>
  <c r="O2" i="18"/>
  <c r="P2" i="18"/>
  <c r="Q2" i="18"/>
  <c r="R2" i="18"/>
  <c r="S2" i="18"/>
  <c r="T2" i="18"/>
  <c r="U2" i="18"/>
  <c r="V2" i="18"/>
  <c r="W2" i="18"/>
  <c r="X2" i="18"/>
  <c r="Z2" i="18"/>
  <c r="AA2" i="18"/>
  <c r="AB2" i="18"/>
  <c r="AC2" i="18"/>
  <c r="AD2" i="18"/>
  <c r="AE2" i="18"/>
  <c r="AF2" i="18"/>
  <c r="AJ2" i="18"/>
  <c r="AK2" i="18"/>
  <c r="AL2" i="18"/>
  <c r="AM2" i="18"/>
  <c r="AN2" i="18"/>
  <c r="AO2" i="18"/>
  <c r="AP2" i="18"/>
  <c r="AQ2" i="18"/>
  <c r="AR2" i="18"/>
  <c r="AS2" i="18"/>
  <c r="AT2" i="18"/>
  <c r="AU2" i="18"/>
  <c r="AV2" i="18"/>
  <c r="AW2" i="18"/>
  <c r="AX2" i="18"/>
  <c r="AY2" i="18"/>
  <c r="AZ2" i="18"/>
  <c r="BA2" i="18"/>
  <c r="AB2" i="19"/>
  <c r="C2" i="19"/>
  <c r="L2" i="19"/>
  <c r="S2" i="19"/>
  <c r="AA2" i="19"/>
  <c r="AK2" i="19"/>
  <c r="AT2" i="19"/>
  <c r="D2" i="19"/>
  <c r="J2" i="19"/>
  <c r="N2" i="19"/>
  <c r="T2" i="19"/>
  <c r="AC2" i="19"/>
  <c r="AM2" i="19"/>
  <c r="AP2" i="19"/>
  <c r="AU2" i="19"/>
  <c r="BA2" i="19"/>
  <c r="B2" i="19"/>
  <c r="H2" i="19"/>
  <c r="Q2" i="19"/>
  <c r="W2" i="19"/>
  <c r="AE2" i="19"/>
  <c r="AJ2" i="19"/>
  <c r="AQ2" i="19"/>
  <c r="AY2" i="19"/>
  <c r="L9" i="22" l="1"/>
  <c r="M9" i="22"/>
  <c r="N10" i="22"/>
  <c r="E12" i="11" s="1"/>
  <c r="AH5" i="19" s="1"/>
  <c r="L7" i="22"/>
  <c r="B134" i="16" s="1"/>
  <c r="C134" i="16" s="1"/>
  <c r="L6" i="22"/>
  <c r="O5" i="22"/>
  <c r="E20" i="6"/>
  <c r="L8" i="22"/>
  <c r="M8" i="22"/>
  <c r="E9" i="11" s="1"/>
  <c r="AI3" i="19" s="1"/>
  <c r="L11" i="22"/>
  <c r="B138" i="16" s="1"/>
  <c r="C138" i="16" s="1"/>
  <c r="M6" i="22"/>
  <c r="N13" i="22"/>
  <c r="N7" i="22"/>
  <c r="C12" i="11"/>
  <c r="AH5" i="17" s="1"/>
  <c r="D12" i="11"/>
  <c r="AH5" i="18" s="1"/>
  <c r="D14" i="11"/>
  <c r="AG5" i="18" s="1"/>
  <c r="C14" i="11"/>
  <c r="AG5" i="17" s="1"/>
  <c r="L5" i="22"/>
  <c r="M5" i="22"/>
  <c r="E11" i="11"/>
  <c r="X5" i="19" s="1"/>
  <c r="B137" i="16"/>
  <c r="C137" i="16" s="1"/>
  <c r="N14" i="22"/>
  <c r="M14" i="22"/>
  <c r="E21" i="11" s="1"/>
  <c r="AI7" i="19" s="1"/>
  <c r="O14" i="22"/>
  <c r="L13" i="22"/>
  <c r="O6" i="22"/>
  <c r="M11" i="22"/>
  <c r="O10" i="22"/>
  <c r="N11" i="22"/>
  <c r="O7" i="22"/>
  <c r="O9" i="22"/>
  <c r="O13" i="22"/>
  <c r="M13" i="22"/>
  <c r="N12" i="22"/>
  <c r="E16" i="11" s="1"/>
  <c r="AH6" i="19" s="1"/>
  <c r="L12" i="22"/>
  <c r="M12" i="22"/>
  <c r="E17" i="11" s="1"/>
  <c r="AI6" i="19" s="1"/>
  <c r="F31" i="6"/>
  <c r="D49" i="9"/>
  <c r="D50" i="9"/>
  <c r="D39" i="9"/>
  <c r="D42" i="9"/>
  <c r="D30" i="9"/>
  <c r="D31" i="9"/>
  <c r="D32" i="9"/>
  <c r="D33" i="9"/>
  <c r="D34" i="9"/>
  <c r="D35" i="9"/>
  <c r="D36" i="9"/>
  <c r="D37" i="9"/>
  <c r="D38" i="9"/>
  <c r="D40" i="9"/>
  <c r="D5" i="9"/>
  <c r="D6" i="9"/>
  <c r="D7" i="9"/>
  <c r="D8" i="9"/>
  <c r="D9" i="9"/>
  <c r="D10" i="9"/>
  <c r="D11" i="9"/>
  <c r="D12" i="9"/>
  <c r="D13" i="9"/>
  <c r="D14" i="9"/>
  <c r="D15" i="9"/>
  <c r="D16" i="9"/>
  <c r="D17" i="9"/>
  <c r="D18" i="9"/>
  <c r="D19" i="9"/>
  <c r="D20" i="9"/>
  <c r="D21" i="9"/>
  <c r="D22" i="9"/>
  <c r="D23" i="9"/>
  <c r="D24" i="9"/>
  <c r="D25" i="9"/>
  <c r="D26" i="9"/>
  <c r="D27" i="9"/>
  <c r="D28" i="9"/>
  <c r="D29" i="9"/>
  <c r="D41" i="9"/>
  <c r="E11" i="9"/>
  <c r="D54" i="6" s="1"/>
  <c r="E54" i="6" s="1"/>
  <c r="F54" i="6" s="1"/>
  <c r="E3" i="9"/>
  <c r="D46" i="6" s="1"/>
  <c r="E46" i="6" s="1"/>
  <c r="E19" i="9"/>
  <c r="D62" i="6" s="1"/>
  <c r="E62" i="6" s="1"/>
  <c r="F62" i="6" s="1"/>
  <c r="G21" i="10"/>
  <c r="D19" i="6" s="1"/>
  <c r="E19" i="6" s="1"/>
  <c r="G17" i="10"/>
  <c r="D15" i="6" s="1"/>
  <c r="G20" i="10"/>
  <c r="D18" i="6" s="1"/>
  <c r="E18" i="6" s="1"/>
  <c r="G9" i="10"/>
  <c r="D8" i="6" s="1"/>
  <c r="E8" i="6" s="1"/>
  <c r="G7" i="10"/>
  <c r="D6" i="6" s="1"/>
  <c r="E6" i="6" s="1"/>
  <c r="G6" i="10"/>
  <c r="D5" i="6" s="1"/>
  <c r="D47" i="9"/>
  <c r="D48" i="9"/>
  <c r="E48" i="9"/>
  <c r="D91" i="6" s="1"/>
  <c r="E91" i="6" s="1"/>
  <c r="E47" i="9"/>
  <c r="D90" i="6" s="1"/>
  <c r="E90" i="6" s="1"/>
  <c r="E46" i="9"/>
  <c r="D89" i="6" s="1"/>
  <c r="E89" i="6" s="1"/>
  <c r="E88" i="6" s="1"/>
  <c r="E19" i="11" s="1"/>
  <c r="D11" i="11" l="1"/>
  <c r="X5" i="18" s="1"/>
  <c r="B123" i="16" s="1"/>
  <c r="C123" i="16" s="1"/>
  <c r="C11" i="11"/>
  <c r="X5" i="17" s="1"/>
  <c r="B117" i="16" s="1"/>
  <c r="C117" i="16" s="1"/>
  <c r="B136" i="16"/>
  <c r="C136" i="16" s="1"/>
  <c r="D13" i="11"/>
  <c r="AI5" i="18" s="1"/>
  <c r="C13" i="11"/>
  <c r="AI5" i="17" s="1"/>
  <c r="B135" i="16"/>
  <c r="C135" i="16" s="1"/>
  <c r="E7" i="11"/>
  <c r="Y3" i="19" s="1"/>
  <c r="B127" i="16" s="1"/>
  <c r="C127" i="16" s="1"/>
  <c r="B129" i="16"/>
  <c r="C129" i="16" s="1"/>
  <c r="B133" i="16"/>
  <c r="C133" i="16" s="1"/>
  <c r="F20" i="6"/>
  <c r="E41" i="6"/>
  <c r="B132" i="16"/>
  <c r="C132" i="16" s="1"/>
  <c r="D3" i="11"/>
  <c r="C3" i="11"/>
  <c r="C5" i="11"/>
  <c r="AI2" i="17" s="1"/>
  <c r="D5" i="11"/>
  <c r="AI2" i="18" s="1"/>
  <c r="B140" i="16"/>
  <c r="C140" i="16" s="1"/>
  <c r="E15" i="11"/>
  <c r="B139" i="16"/>
  <c r="C139" i="16" s="1"/>
  <c r="E20" i="11"/>
  <c r="AH7" i="19" s="1"/>
  <c r="B141" i="16"/>
  <c r="C141" i="16" s="1"/>
  <c r="F46" i="6"/>
  <c r="E45" i="6"/>
  <c r="D14" i="6"/>
  <c r="E15" i="6"/>
  <c r="E14" i="6" s="1"/>
  <c r="D4" i="6"/>
  <c r="E5" i="6"/>
  <c r="E4" i="6" s="1"/>
  <c r="F88" i="6"/>
  <c r="D15" i="11" l="1"/>
  <c r="X6" i="18" s="1"/>
  <c r="C15" i="11"/>
  <c r="X6" i="17" s="1"/>
  <c r="D20" i="11"/>
  <c r="AH7" i="18" s="1"/>
  <c r="C20" i="11"/>
  <c r="AH7" i="17" s="1"/>
  <c r="D19" i="11"/>
  <c r="X7" i="18" s="1"/>
  <c r="C19" i="11"/>
  <c r="X7" i="17" s="1"/>
  <c r="D17" i="11"/>
  <c r="AI6" i="18" s="1"/>
  <c r="C17" i="11"/>
  <c r="AI6" i="17" s="1"/>
  <c r="D16" i="11"/>
  <c r="AH6" i="18" s="1"/>
  <c r="C16" i="11"/>
  <c r="AH6" i="17" s="1"/>
  <c r="D21" i="11"/>
  <c r="AI7" i="18" s="1"/>
  <c r="C21" i="11"/>
  <c r="AI7" i="17" s="1"/>
  <c r="F41" i="6"/>
  <c r="E3" i="11"/>
  <c r="Y2" i="19" s="1"/>
  <c r="E4" i="11"/>
  <c r="AH2" i="19" s="1"/>
  <c r="E5" i="11"/>
  <c r="AI2" i="19" s="1"/>
  <c r="C8" i="11"/>
  <c r="AH3" i="17" s="1"/>
  <c r="D8" i="11"/>
  <c r="AH3" i="18" s="1"/>
  <c r="C9" i="11"/>
  <c r="AI3" i="17" s="1"/>
  <c r="D9" i="11"/>
  <c r="AI3" i="18" s="1"/>
  <c r="C7" i="11"/>
  <c r="Y3" i="17" s="1"/>
  <c r="D7" i="11"/>
  <c r="C4" i="11"/>
  <c r="AH2" i="17" s="1"/>
  <c r="D4" i="11"/>
  <c r="AH2" i="18" s="1"/>
  <c r="E22" i="11"/>
  <c r="E18" i="11"/>
  <c r="F45" i="6"/>
  <c r="E6" i="11" s="1"/>
  <c r="AG2" i="19" s="1"/>
  <c r="F14" i="6"/>
  <c r="Y3" i="18"/>
  <c r="F4" i="6"/>
  <c r="Y2" i="17"/>
  <c r="Y2" i="18"/>
  <c r="X6" i="19"/>
  <c r="X7" i="19"/>
  <c r="AG6" i="19"/>
  <c r="AG7" i="19"/>
  <c r="C18" i="11" l="1"/>
  <c r="D18" i="11"/>
  <c r="C22" i="11"/>
  <c r="D22" i="11"/>
  <c r="B130" i="16"/>
  <c r="C130" i="16" s="1"/>
  <c r="B131" i="16"/>
  <c r="C131" i="16" s="1"/>
  <c r="D10" i="11"/>
  <c r="C10" i="11"/>
  <c r="D6" i="11"/>
  <c r="C6" i="11"/>
  <c r="B126" i="16"/>
  <c r="C126" i="16" s="1"/>
  <c r="AG6" i="17"/>
  <c r="B118" i="16" s="1"/>
  <c r="C118" i="16" s="1"/>
  <c r="AG7" i="17"/>
  <c r="B119" i="16" s="1"/>
  <c r="C119" i="16" s="1"/>
  <c r="AG6" i="18"/>
  <c r="B124" i="16" s="1"/>
  <c r="C124" i="16" s="1"/>
  <c r="AG7" i="18"/>
  <c r="B125" i="16" s="1"/>
  <c r="C125" i="16" s="1"/>
  <c r="AG3" i="17"/>
  <c r="B115" i="16" s="1"/>
  <c r="C115" i="16" s="1"/>
  <c r="AG3" i="18"/>
  <c r="B121" i="16" s="1"/>
  <c r="C121" i="16" s="1"/>
  <c r="AG2" i="17"/>
  <c r="B114" i="16" s="1"/>
  <c r="C114" i="16" s="1"/>
  <c r="AG2" i="18"/>
  <c r="B120" i="16" s="1"/>
  <c r="C120" i="16" s="1"/>
</calcChain>
</file>

<file path=xl/sharedStrings.xml><?xml version="1.0" encoding="utf-8"?>
<sst xmlns="http://schemas.openxmlformats.org/spreadsheetml/2006/main" count="9766" uniqueCount="1635">
  <si>
    <t>SoBCaICbIC Share of Buildings Capital and Installation Costs by ISIC Code</t>
  </si>
  <si>
    <t>Sources:</t>
  </si>
  <si>
    <t>Building Sector Appliance and Equipment Costs and Efficiencies</t>
  </si>
  <si>
    <t>EIA</t>
  </si>
  <si>
    <t>"Updated Buildings Sector Appliance and Equipment Costs and Efficiencies"</t>
  </si>
  <si>
    <t>https://www.eia.gov/analysis/studies/buildings/equipcosts/pdf/full.pdf</t>
  </si>
  <si>
    <t>Commercial Equipment Prevalence</t>
  </si>
  <si>
    <t>Table B39. Heating equipment, floorspace &amp; Table42. Water-heating equipment, number of buildings and floorspace</t>
  </si>
  <si>
    <t>https://www.eia.gov/consumption/commercial/data/2012/#b38-b46</t>
  </si>
  <si>
    <t>Residential Equipment Prevelance</t>
  </si>
  <si>
    <t>U.S. Energy Information Administration</t>
  </si>
  <si>
    <t>Annual Energy Outlook 2026</t>
  </si>
  <si>
    <t>Alternative electricity and transportation: Table 21</t>
  </si>
  <si>
    <t>https://www.eia.gov/outlooks/aeo/tables_side_xls.php</t>
  </si>
  <si>
    <t>ISIC Code Mapping</t>
  </si>
  <si>
    <t>United Nations</t>
  </si>
  <si>
    <t>International Standard Industrial Classification of All Economic Activities Revision 4</t>
  </si>
  <si>
    <t>https://unstats.un.org/unsd/publication/seriesM/seriesm_4rev4e.pdf</t>
  </si>
  <si>
    <t>Notes:</t>
  </si>
  <si>
    <t>Note from "Updated Building Sector Appliance and Equipment Costs and Efficiencies."</t>
  </si>
  <si>
    <t>The Energy Independence and Security Act of 2007 prescribes standards for current 100 watt incandescent lamps</t>
  </si>
  <si>
    <t>as of January 1, 2012. Starting in 2012, 100-watt incandescent lamps will be replaced by halogen lamps.</t>
  </si>
  <si>
    <t>For commercial lighting - estimated cost averages based on selected commercial light fixtures assumed to be most common</t>
  </si>
  <si>
    <t>Cost averages from NEMS are across appliance type and years (2012-2050)</t>
  </si>
  <si>
    <t>Water heating, refrigeration, clothes washing/drying, cooking, and diswashing equipment are all assigned to appliances</t>
  </si>
  <si>
    <t>Other equipment includes primarily additional plug load equipment including computers and televisions</t>
  </si>
  <si>
    <t>52-code expansion (2026-07-17):</t>
  </si>
  <si>
    <t>The output tabs produce the 52-code ISIC list. The derivation above is unchanged and live; output-tab formulas reference the derivation tabs</t>
  </si>
  <si>
    <t>directly, with the original header-label criteria written as literals (the derivation tabs still use the pre-split 42-code labels).</t>
  </si>
  <si>
    <t>Children of split parents multiply the parent's allocation by the factors on the 'Factors applied' tab (editable; defaults = BEA 2024 gross-</t>
  </si>
  <si>
    <t>output shares from io-model/BObIC; semantic overrides documented per row with rationale).</t>
  </si>
  <si>
    <t>Child factors applied inline in the output-tab formulas (editable). Defaults = BEA 2024 output shares; semantic overrides and fuel reroutes noted per row.</t>
  </si>
  <si>
    <t>File</t>
  </si>
  <si>
    <t>Row context</t>
  </si>
  <si>
    <t>Child</t>
  </si>
  <si>
    <t>Parent</t>
  </si>
  <si>
    <t>Factor</t>
  </si>
  <si>
    <t>Rationale</t>
  </si>
  <si>
    <t>BEA 2024 output share</t>
  </si>
  <si>
    <t>SoBCaICbIC-commercial.csv</t>
  </si>
  <si>
    <t>Appliances</t>
  </si>
  <si>
    <t>ISIC 01</t>
  </si>
  <si>
    <t>ISIC 01T03</t>
  </si>
  <si>
    <t>BEA 2024 output share (default)</t>
  </si>
  <si>
    <t>ISIC 02</t>
  </si>
  <si>
    <t>ISIC 03</t>
  </si>
  <si>
    <t>ISIC 07</t>
  </si>
  <si>
    <t>ISIC 07T08</t>
  </si>
  <si>
    <t>ISIC 08</t>
  </si>
  <si>
    <t>ISIC 301</t>
  </si>
  <si>
    <t>ISIC 30</t>
  </si>
  <si>
    <t>ISIC 302T309</t>
  </si>
  <si>
    <t>ISIC 49</t>
  </si>
  <si>
    <t>ISIC 49T53</t>
  </si>
  <si>
    <t>ISIC 50</t>
  </si>
  <si>
    <t>ISIC 51</t>
  </si>
  <si>
    <t>ISIC 52</t>
  </si>
  <si>
    <t>ISIC 53</t>
  </si>
  <si>
    <t>ISIC 69T75</t>
  </si>
  <si>
    <t>ISIC 69T82</t>
  </si>
  <si>
    <t>semantic override</t>
  </si>
  <si>
    <t>ISIC 77T82</t>
  </si>
  <si>
    <t>ISIC 90T93</t>
  </si>
  <si>
    <t>ISIC 90T96</t>
  </si>
  <si>
    <t>ISIC 94T96</t>
  </si>
  <si>
    <t>Cooling</t>
  </si>
  <si>
    <t>Envelope</t>
  </si>
  <si>
    <t>Heating</t>
  </si>
  <si>
    <t>Lighting</t>
  </si>
  <si>
    <t>Other</t>
  </si>
  <si>
    <t>SoBCaICbIC-ruralresidential.csv</t>
  </si>
  <si>
    <t>SoBCaICbIC-urbanresidential.csv</t>
  </si>
  <si>
    <t>OECD Code</t>
  </si>
  <si>
    <t>ISIC Code</t>
  </si>
  <si>
    <t>D01T03: Agriculture, forestry and fishing</t>
  </si>
  <si>
    <t>D05: Coal mining</t>
  </si>
  <si>
    <t>ISIC 05</t>
  </si>
  <si>
    <t>D06: Oil and gas extraction</t>
  </si>
  <si>
    <t>ISIC 06</t>
  </si>
  <si>
    <t>D07T08: Mining and quarrying of non-energy producing products</t>
  </si>
  <si>
    <t>D09: Mining support service activities</t>
  </si>
  <si>
    <t>ISIC 09</t>
  </si>
  <si>
    <t>D10T12: Food products, beverages and tobacco</t>
  </si>
  <si>
    <t>ISIC 10T12</t>
  </si>
  <si>
    <t>D13T15: Textiles, wearing apparel, leather and related products</t>
  </si>
  <si>
    <t>ISIC 13T15</t>
  </si>
  <si>
    <t>D16: Wood and products of wood and cork</t>
  </si>
  <si>
    <t>ISIC 16</t>
  </si>
  <si>
    <t>D17T18: Paper products and printing</t>
  </si>
  <si>
    <t>ISIC 17T18</t>
  </si>
  <si>
    <t>D19: Coke and refined petroleum products</t>
  </si>
  <si>
    <t>ISIC 19</t>
  </si>
  <si>
    <t>D20: Chemicals</t>
  </si>
  <si>
    <t>ISIC 20</t>
  </si>
  <si>
    <t>D21: Pharmaceuticals</t>
  </si>
  <si>
    <t>ISIC 21</t>
  </si>
  <si>
    <t>D22: Rubber and plastic products</t>
  </si>
  <si>
    <t>ISIC 22</t>
  </si>
  <si>
    <t>D231: Glass</t>
  </si>
  <si>
    <t>ISIC 231</t>
  </si>
  <si>
    <t>D239: Cement and other nometallic minerals</t>
  </si>
  <si>
    <t>ISIC 239</t>
  </si>
  <si>
    <t>D241: Iron and steel</t>
  </si>
  <si>
    <t>ISIC 241</t>
  </si>
  <si>
    <t>D242: Other metals</t>
  </si>
  <si>
    <t>ISIC 242</t>
  </si>
  <si>
    <t>D25: Fabricated metal products</t>
  </si>
  <si>
    <t>ISIC 25</t>
  </si>
  <si>
    <t>D26: Computer, electronic and optical products</t>
  </si>
  <si>
    <t>ISIC 26</t>
  </si>
  <si>
    <t>D27: Electrical equipment</t>
  </si>
  <si>
    <t>ISIC 27</t>
  </si>
  <si>
    <t>D28: Machinery and equipment, nec</t>
  </si>
  <si>
    <t>ISIC 28</t>
  </si>
  <si>
    <t>D29: Motor vehicles, trailers and semi-trailers</t>
  </si>
  <si>
    <t>ISIC 29</t>
  </si>
  <si>
    <t>D30: Other transport equipment</t>
  </si>
  <si>
    <t>D31T33: Other manufacturing; repair and installation of machinery and equipment</t>
  </si>
  <si>
    <t>ISIC 31T33</t>
  </si>
  <si>
    <t>D351: Electricity generation and distribution</t>
  </si>
  <si>
    <t>ISIC 351</t>
  </si>
  <si>
    <t>D352T353: Energy pipelines and gas processing</t>
  </si>
  <si>
    <t>ISIC 352T353</t>
  </si>
  <si>
    <t>D36T39: Water and waste</t>
  </si>
  <si>
    <t>ISIC 36T39</t>
  </si>
  <si>
    <t>D41T43: Construction</t>
  </si>
  <si>
    <t>ISIC 41T43</t>
  </si>
  <si>
    <t>D45T47: Wholesale and retail trade; repair of motor vehicles</t>
  </si>
  <si>
    <t>ISIC 45T47</t>
  </si>
  <si>
    <t>D49T53: Transportation and storage</t>
  </si>
  <si>
    <t>D55T56: Accomodation and food services</t>
  </si>
  <si>
    <t>ISIC 55T56</t>
  </si>
  <si>
    <t>D58T60: Publishing, audiovisual and broadcasting activities</t>
  </si>
  <si>
    <t>ISIC 58T60</t>
  </si>
  <si>
    <t>D61: Telecommunications</t>
  </si>
  <si>
    <t>ISIC 61</t>
  </si>
  <si>
    <t>D62T63: IT and other information services</t>
  </si>
  <si>
    <t>ISIC 62T63</t>
  </si>
  <si>
    <t>D64T66: Financial and insurance activities</t>
  </si>
  <si>
    <t>ISIC 64T66</t>
  </si>
  <si>
    <t>D68: Real estate activities</t>
  </si>
  <si>
    <t>ISIC 68</t>
  </si>
  <si>
    <t>D69T82: Other business sector services</t>
  </si>
  <si>
    <t>D84: Public admin. and defence; compulsory social security</t>
  </si>
  <si>
    <t>ISIC 84</t>
  </si>
  <si>
    <t>D85: Education</t>
  </si>
  <si>
    <t>ISIC 85</t>
  </si>
  <si>
    <t>D86T88: Human health and social work</t>
  </si>
  <si>
    <t>ISIC 86T88</t>
  </si>
  <si>
    <t>D90T96: Arts, entertainment, recreation and other service activities</t>
  </si>
  <si>
    <t>D97T98: Private households with employed persons</t>
  </si>
  <si>
    <t>ISIC 97T98</t>
  </si>
  <si>
    <t>Equipment</t>
  </si>
  <si>
    <t>Installation</t>
  </si>
  <si>
    <t>Costs of Residential Equipment - Weighted Calculation</t>
  </si>
  <si>
    <t>Equipment Type - Name from RECS</t>
  </si>
  <si>
    <t>Percent Equipment Costs (Copied from NEMS spreadsheet)</t>
  </si>
  <si>
    <t>Percent of Total Appliances w/ Cost Data</t>
  </si>
  <si>
    <t>Weighted Percent Equipment Cost</t>
  </si>
  <si>
    <t>Weighted Percent Labor Cost</t>
  </si>
  <si>
    <t>Source</t>
  </si>
  <si>
    <t>Calculations</t>
  </si>
  <si>
    <t>Main Space Heaters</t>
  </si>
  <si>
    <t>"NEMS cost data_new"</t>
  </si>
  <si>
    <t>Electric Heat Pumps</t>
  </si>
  <si>
    <t>Electric Other</t>
  </si>
  <si>
    <t>Natural Gas Heat Pumps</t>
  </si>
  <si>
    <t>Natural Gas Other</t>
  </si>
  <si>
    <t>Distillate Fuel Oil</t>
  </si>
  <si>
    <t>Propane</t>
  </si>
  <si>
    <t>Kerosene</t>
  </si>
  <si>
    <t>Wood Stoves</t>
  </si>
  <si>
    <t>Geothermal Heat Pumps</t>
  </si>
  <si>
    <t>Space Cooling</t>
  </si>
  <si>
    <t>Central Air Conditioners</t>
  </si>
  <si>
    <t>Room Air Conditioners</t>
  </si>
  <si>
    <t>Water Heaters</t>
  </si>
  <si>
    <t>Electric</t>
  </si>
  <si>
    <t>Natural Gas</t>
  </si>
  <si>
    <t>Solar Thermal</t>
  </si>
  <si>
    <t>Cooking Equipment</t>
  </si>
  <si>
    <t>Clothes Dryers</t>
  </si>
  <si>
    <t>Other Appliances</t>
  </si>
  <si>
    <t>Appliances - Average total</t>
  </si>
  <si>
    <t>Costs of Commercial Equipment - Weighted Calculation</t>
  </si>
  <si>
    <t>Commercial Space Heating Total</t>
  </si>
  <si>
    <t>Electricity</t>
  </si>
  <si>
    <t>Heat
pumps</t>
  </si>
  <si>
    <t>Furnaces</t>
  </si>
  <si>
    <t>Indiv-
idual space heaters</t>
  </si>
  <si>
    <t>District
heat</t>
  </si>
  <si>
    <t>Boilers</t>
  </si>
  <si>
    <t>Pack-
aged heating units</t>
  </si>
  <si>
    <t>Natural gas</t>
  </si>
  <si>
    <t>Fuel oil</t>
  </si>
  <si>
    <t>District heat</t>
  </si>
  <si>
    <t>Water Heating Equipment</t>
  </si>
  <si>
    <t>Buildings with water heating</t>
  </si>
  <si>
    <t>Commercial Cooling</t>
  </si>
  <si>
    <t>Commercial Rooftop Air Conditioners</t>
  </si>
  <si>
    <t>NA</t>
  </si>
  <si>
    <t>Commercial Rooftop Heat Pumps</t>
  </si>
  <si>
    <t>Commercial Ground Source Heat Pumps</t>
  </si>
  <si>
    <t>Commercial Lighting</t>
  </si>
  <si>
    <t>Commercial Lighting - CFL</t>
  </si>
  <si>
    <t>Commercial Lighting - LED</t>
  </si>
  <si>
    <t>Commercial Lighting - Halogen</t>
  </si>
  <si>
    <t>Hard Copied from: "Summary Commercial" tab on "NEMS cost data new.xlsx"</t>
  </si>
  <si>
    <t>Equipment Type</t>
  </si>
  <si>
    <t>Percent Equipment Costs</t>
  </si>
  <si>
    <t>Commercial Heating</t>
  </si>
  <si>
    <t>Commercial Gas Fired Furnaces</t>
  </si>
  <si>
    <t>Commercial Oil-Fired Furnaces</t>
  </si>
  <si>
    <t>Commercial Electric Resistance Heaters</t>
  </si>
  <si>
    <t>Commercial Electric Boilers</t>
  </si>
  <si>
    <t>Commercial Gas Fired Boilers</t>
  </si>
  <si>
    <t>Commercial Oil-Fired Boilers</t>
  </si>
  <si>
    <t>Commercial Water Heating</t>
  </si>
  <si>
    <t>Commercial Gas-Fired Storage Water Heaters</t>
  </si>
  <si>
    <t>Commercial Electric Resistance Storage Water Heaters</t>
  </si>
  <si>
    <t>Commercial Heat Pump Water Heaters</t>
  </si>
  <si>
    <t>Commercial Oil Fired Storage Water Heaters</t>
  </si>
  <si>
    <t>Commercial Appliance Prevalance</t>
  </si>
  <si>
    <t>Fuel</t>
  </si>
  <si>
    <t>Heating Equipment</t>
  </si>
  <si>
    <t>Total Floorspace (million square feet)</t>
  </si>
  <si>
    <t>Percent of Total Appliances</t>
  </si>
  <si>
    <t>Residential Appliance Prevalance</t>
  </si>
  <si>
    <t>Calculation</t>
  </si>
  <si>
    <t>full name</t>
  </si>
  <si>
    <t>api key</t>
  </si>
  <si>
    <t>units</t>
  </si>
  <si>
    <t>Equipment Stock (million units)</t>
  </si>
  <si>
    <t>Residential Equipment: Equipment Stock: Main Space Heaters: Electric Heat Pumps: Alternative Electricity and Transportation</t>
  </si>
  <si>
    <t>millions</t>
  </si>
  <si>
    <t>Residential Equipment: Equipment Stock: Main Space Heaters: Electric Other: Alternative Electricity and Transportation</t>
  </si>
  <si>
    <t>Residential Equipment: Equipment Stock: Main Space Heaters: Natural Gas Heat Pumps: Alternative Electricity and Transportation</t>
  </si>
  <si>
    <t>Residential Equipment: Equipment Stock: Main Space Heaters: Natural Gas Other: Alternative Electricity and Transportation</t>
  </si>
  <si>
    <t>Residential Equipment: Equipment Stock: Main Space Heaters: Distillate Fuel Oil: Alternative Electricity and Transportation</t>
  </si>
  <si>
    <t>Residential Equipment: Equipment Stock: Main Space Heaters: Propane: Alternative Electricity and Transportation</t>
  </si>
  <si>
    <t>Residential Equipment: Equipment Stock: Main Space Heaters: Kerosene: Alternative Electricity and Transportation</t>
  </si>
  <si>
    <t>Residential Equipment: Equipment Stock: Main Space Heaters: Wood Stoves: Alternative Electricity and Transportation</t>
  </si>
  <si>
    <t>Residential Equipment: Equipment Stock: Main Space Heaters: Geothermal Heat Pumps: Alternative Electricity and Transportation</t>
  </si>
  <si>
    <t>Total</t>
  </si>
  <si>
    <t>Residential Equipment: Equipment Stock: Main Space Heaters: Total: Alternative Electricity and Transportation</t>
  </si>
  <si>
    <t>Space Cooling (million units)</t>
  </si>
  <si>
    <t>Residential Equipment: Equipment Stock: Space Cooling: Electric Heat Pumps: Alternative Electricity and Transportation</t>
  </si>
  <si>
    <t>Residential Equipment: Equipment Stock: Space Cooling: Natural Gas Heat Pumps: Alternative Electricity and Transportation</t>
  </si>
  <si>
    <t>Residential Equipment: Equipment Stock: Space Cooling: Geothermal Heat Pumps: Alternative Electricity and Transportation</t>
  </si>
  <si>
    <t>Residential Equipment: Equipment Stock: Space Cooling: Central Air Conditioners: Alternative Electricity and Transportation</t>
  </si>
  <si>
    <t>Residential Equipment: Equipment Stock: Space Cooling: Room Air Conditioners: Alternative Electricity and Transportation</t>
  </si>
  <si>
    <t>Residential Equipment: Equipment Stock: Space Cooling: Total: Alternative Electricity and Transportation</t>
  </si>
  <si>
    <t>Water Heaters (million units)</t>
  </si>
  <si>
    <t>Residential Equipment: Equipment Stock: Water Heaters: Electric: Alternative Electricity and Transportation</t>
  </si>
  <si>
    <t>Residential Equipment: Equipment Stock: Water Heaters: Natural Gas: Alternative Electricity and Transportation</t>
  </si>
  <si>
    <t>Residential Equipment: Equipment Stock: Water Heaters: Distillate Fuel Oil: Alternative Electricity and Transportation</t>
  </si>
  <si>
    <t>Residential Equipment: Equipment Stock: Water Heaters: Propane: Alternative Electricity and Transportation</t>
  </si>
  <si>
    <t>Residential Equipment: Equipment Stock: Water Heaters: Solar Thermal: Alternative Electricity and Transportation</t>
  </si>
  <si>
    <t>Residential Equipment: Equipment Stock: Water Heaters: Total: Alternative Electricity and Transportation</t>
  </si>
  <si>
    <t>Cooking Equipment (million units)</t>
  </si>
  <si>
    <t>Residential Equipment: Equipment Stock: Cooking Equipment: Electric: Alternative Electricity and Transportation</t>
  </si>
  <si>
    <t>Residential Equipment: Equipment Stock: Cooking Equipment: Natural Gas: Alternative Electricity and Transportation</t>
  </si>
  <si>
    <t>Residential Equipment: Equipment Stock: Cooking Equipment: Propane: Alternative Electricity and Transportation</t>
  </si>
  <si>
    <t>Residential Equipment: Equipment Stock: Cooking Equipment: Total: Alternative Electricity and Transportation</t>
  </si>
  <si>
    <t>Clothes Dryers (million units)</t>
  </si>
  <si>
    <t>Residential Equipment: Equipment Stock: Clothes Dryers: Electric: Alternative Electricity and Transportation</t>
  </si>
  <si>
    <t>Residential Equipment: Equipment Stock: Clothes Dryers: Natural Gas: Alternative Electricity and Transportation</t>
  </si>
  <si>
    <t>Residential Equipment: Equipment Stock: Clothes Dryers: Total: Alternative Electricity and Transportation</t>
  </si>
  <si>
    <t>Other Appliances (million units)</t>
  </si>
  <si>
    <t>Refrigerators</t>
  </si>
  <si>
    <t>Residential Equipment: Equipment Stock: Other Appliances: Refrigerators: Alternative Electricity and Transportation</t>
  </si>
  <si>
    <t>Freezers</t>
  </si>
  <si>
    <t>Residential Equipment: Equipment Stock: Other Appliances: Freezers: Alternative Electricity and Transportation</t>
  </si>
  <si>
    <t>Sector</t>
  </si>
  <si>
    <t>Percent of cost</t>
  </si>
  <si>
    <t>ISIC Mapping</t>
  </si>
  <si>
    <t>Notes</t>
  </si>
  <si>
    <t>Urban-Residential</t>
  </si>
  <si>
    <t>Rural-Residential</t>
  </si>
  <si>
    <t>Commercial</t>
  </si>
  <si>
    <t>Labor</t>
  </si>
  <si>
    <t>Release date: April 2015 Revised date: May 2016</t>
  </si>
  <si>
    <t>Table B39.  Heating equipment, floorspace, 2012</t>
  </si>
  <si>
    <t>Total floorspace (million square feet)</t>
  </si>
  <si>
    <t>All
buildings</t>
  </si>
  <si>
    <t>Buildings with space heating</t>
  </si>
  <si>
    <t>Heating equipment (more than one may apply)</t>
  </si>
  <si>
    <t>All buildings</t>
  </si>
  <si>
    <t>Building floorspace (square feet)</t>
  </si>
  <si>
    <t xml:space="preserve">1,001 to 5,000 </t>
  </si>
  <si>
    <t>Q</t>
  </si>
  <si>
    <t xml:space="preserve">5,001 to 10,000 </t>
  </si>
  <si>
    <t>10,001 to 25,000</t>
  </si>
  <si>
    <t>25,001 to 50,000</t>
  </si>
  <si>
    <t xml:space="preserve">50,001 to 100,000 </t>
  </si>
  <si>
    <t xml:space="preserve">100,001 to 200,000 </t>
  </si>
  <si>
    <t xml:space="preserve">200,001 to 500,000 </t>
  </si>
  <si>
    <t xml:space="preserve">Over 500,000 </t>
  </si>
  <si>
    <t>Principal building activity</t>
  </si>
  <si>
    <t>Education</t>
  </si>
  <si>
    <t xml:space="preserve">Food sales </t>
  </si>
  <si>
    <t>N</t>
  </si>
  <si>
    <t xml:space="preserve">Food service </t>
  </si>
  <si>
    <t xml:space="preserve">Health care </t>
  </si>
  <si>
    <t xml:space="preserve">  Inpatient </t>
  </si>
  <si>
    <t xml:space="preserve">  Outpatient </t>
  </si>
  <si>
    <t xml:space="preserve">Lodging </t>
  </si>
  <si>
    <t xml:space="preserve">Mercantile </t>
  </si>
  <si>
    <t xml:space="preserve">Retail (other than mall) </t>
  </si>
  <si>
    <t xml:space="preserve">Enclosed and strip malls </t>
  </si>
  <si>
    <t xml:space="preserve">Office </t>
  </si>
  <si>
    <t xml:space="preserve">Public assembly </t>
  </si>
  <si>
    <t xml:space="preserve">Public order and safety </t>
  </si>
  <si>
    <t xml:space="preserve">Religious worship </t>
  </si>
  <si>
    <t xml:space="preserve">Service </t>
  </si>
  <si>
    <t xml:space="preserve">Warehouse and storage </t>
  </si>
  <si>
    <t xml:space="preserve">Other </t>
  </si>
  <si>
    <t xml:space="preserve">Vacant </t>
  </si>
  <si>
    <t>Year constructed</t>
  </si>
  <si>
    <t>Before 1920</t>
  </si>
  <si>
    <t>1920 to 1945</t>
  </si>
  <si>
    <t>1946 to 1959</t>
  </si>
  <si>
    <t>1960 to 1969</t>
  </si>
  <si>
    <t>1970 to 1979</t>
  </si>
  <si>
    <t>1980 to 1989</t>
  </si>
  <si>
    <t>1990 to 1999</t>
  </si>
  <si>
    <t>2000 to 2003</t>
  </si>
  <si>
    <t>2004 to 2007</t>
  </si>
  <si>
    <t>2008 to 2012</t>
  </si>
  <si>
    <t>Census region and division</t>
  </si>
  <si>
    <t>Northeast</t>
  </si>
  <si>
    <t xml:space="preserve">New England </t>
  </si>
  <si>
    <t>Middle Atlantic</t>
  </si>
  <si>
    <t>Midwest</t>
  </si>
  <si>
    <t>East North Central</t>
  </si>
  <si>
    <t>West North Central</t>
  </si>
  <si>
    <t>South</t>
  </si>
  <si>
    <t xml:space="preserve">South Atlantic </t>
  </si>
  <si>
    <t>East South Central</t>
  </si>
  <si>
    <t>West South Central</t>
  </si>
  <si>
    <t>West</t>
  </si>
  <si>
    <t>Mountain</t>
  </si>
  <si>
    <t>Pacific</t>
  </si>
  <si>
    <t>Climate region1</t>
  </si>
  <si>
    <t>Very cold/Cold</t>
  </si>
  <si>
    <t>Mixed-humid</t>
  </si>
  <si>
    <t>Mixed-dry/Hot-dry</t>
  </si>
  <si>
    <t>Hot-humid</t>
  </si>
  <si>
    <t>Marine</t>
  </si>
  <si>
    <t>Number of floors</t>
  </si>
  <si>
    <t>One</t>
  </si>
  <si>
    <t>Two</t>
  </si>
  <si>
    <t>Three</t>
  </si>
  <si>
    <t>Four to nine</t>
  </si>
  <si>
    <t>Ten or more</t>
  </si>
  <si>
    <t>Number of workers (main shift)</t>
  </si>
  <si>
    <t>Fewer than 5</t>
  </si>
  <si>
    <t>5 to 9</t>
  </si>
  <si>
    <t>10 to 19</t>
  </si>
  <si>
    <t>20 to 49</t>
  </si>
  <si>
    <t>50 to 99</t>
  </si>
  <si>
    <t>100 to 249</t>
  </si>
  <si>
    <t>250 or more</t>
  </si>
  <si>
    <t>Weekly operating hours</t>
  </si>
  <si>
    <t>Fewer than 40</t>
  </si>
  <si>
    <t>40 to 48</t>
  </si>
  <si>
    <t>49 to 60</t>
  </si>
  <si>
    <t>61 to 84</t>
  </si>
  <si>
    <t>85 to 167</t>
  </si>
  <si>
    <t>Open continuously</t>
  </si>
  <si>
    <t>Ownership and occupancy</t>
  </si>
  <si>
    <t>Nongovernment owned</t>
  </si>
  <si>
    <t>Owner occupied</t>
  </si>
  <si>
    <t>Leased to tenant(s)</t>
  </si>
  <si>
    <t>Owner occupied and leased</t>
  </si>
  <si>
    <t>Unoccupied</t>
  </si>
  <si>
    <t>Government owned</t>
  </si>
  <si>
    <t>Federal</t>
  </si>
  <si>
    <t>State</t>
  </si>
  <si>
    <t>Local</t>
  </si>
  <si>
    <t>Party responsible for operation
and maintenance of energy
systems</t>
  </si>
  <si>
    <t>Building owner</t>
  </si>
  <si>
    <t>Business owner or tenant</t>
  </si>
  <si>
    <t>Property management</t>
  </si>
  <si>
    <t>Provider of direct input on energy-related equipment purchases</t>
  </si>
  <si>
    <t>Campus or complex activity</t>
  </si>
  <si>
    <t>Not part of a campus or complex</t>
  </si>
  <si>
    <t>Primary or secondary school</t>
  </si>
  <si>
    <t>College or university</t>
  </si>
  <si>
    <t>Office complex</t>
  </si>
  <si>
    <t>Retail complex</t>
  </si>
  <si>
    <t>Storage complex</t>
  </si>
  <si>
    <t>Religious campus or complex</t>
  </si>
  <si>
    <t>Health care complex</t>
  </si>
  <si>
    <t>Lodging or resort complex</t>
  </si>
  <si>
    <t>Transportation complex</t>
  </si>
  <si>
    <t>Government complex</t>
  </si>
  <si>
    <t>Renovations in buildings
constructed before 2008
(more than one may apply)</t>
  </si>
  <si>
    <t>Any type of renovation</t>
  </si>
  <si>
    <t>Addition or annex</t>
  </si>
  <si>
    <t>Reduction in floorspace</t>
  </si>
  <si>
    <t>Roof replacement</t>
  </si>
  <si>
    <t>Exterior wall replacement</t>
  </si>
  <si>
    <t>Interior wall reconfiguration</t>
  </si>
  <si>
    <t>Window replacement</t>
  </si>
  <si>
    <t>HVAC equipment upgrade</t>
  </si>
  <si>
    <t>Lighting upgrade</t>
  </si>
  <si>
    <t>Electrical upgrade</t>
  </si>
  <si>
    <t>Plumbing system upgrade</t>
  </si>
  <si>
    <t>Insulation upgrade</t>
  </si>
  <si>
    <t>Fire, safety, or security upgrade</t>
  </si>
  <si>
    <t>Structural upgrade</t>
  </si>
  <si>
    <t>No renovations</t>
  </si>
  <si>
    <t>Buildings constructed 2008 or later</t>
  </si>
  <si>
    <t>Energy sources 
(more than one may apply)</t>
  </si>
  <si>
    <t>District chilled water</t>
  </si>
  <si>
    <t>Space-heating energy sources
(more than one may apply)</t>
  </si>
  <si>
    <t>Primary space-heating
energy source</t>
  </si>
  <si>
    <t>Energy end uses 
(more than one may apply)</t>
  </si>
  <si>
    <t>Buildings with cooling</t>
  </si>
  <si>
    <t>Buildings with cooking</t>
  </si>
  <si>
    <t>Buildings with manufacturing</t>
  </si>
  <si>
    <t>Buildings with electricity
generation</t>
  </si>
  <si>
    <t>Percent of floorspace heated</t>
  </si>
  <si>
    <t>Not heated</t>
  </si>
  <si>
    <t>1 to 50</t>
  </si>
  <si>
    <t>51 to 99</t>
  </si>
  <si>
    <t>100</t>
  </si>
  <si>
    <t>Heat pumps</t>
  </si>
  <si>
    <t>Individual space heaters</t>
  </si>
  <si>
    <t>Packaged heating units</t>
  </si>
  <si>
    <t>Cooling equipment (more than one may apply)</t>
  </si>
  <si>
    <t>Residential-type central air conditioners</t>
  </si>
  <si>
    <t>Individual air conditioners</t>
  </si>
  <si>
    <t>Central chillers</t>
  </si>
  <si>
    <t>Packaged air conditioning units</t>
  </si>
  <si>
    <t>Swamp coolers</t>
  </si>
  <si>
    <t>Main equipment replaced since 1990 (more than one may apply)</t>
  </si>
  <si>
    <t>HVAC conservation features 
(more than one may apply)</t>
  </si>
  <si>
    <t>Economizer cycle</t>
  </si>
  <si>
    <t>Regular HVAC maintenance</t>
  </si>
  <si>
    <t>Building automation system (BAS)2</t>
  </si>
  <si>
    <t>Equipment usage reduced when 
building not in full use 
(more than one may apply)</t>
  </si>
  <si>
    <t xml:space="preserve">      1These climate regions were created by the Building America program, sponsored by the U.S. Department of Energy’s Office of Energy Efficiency and Renewable Energy (EERE). 
     2In earlier CBECS publications, BAS was referred to as Energy Management and Control System (EMCS).
     Q = Data withheld either because the Relative Standard Error (RSE) was greater than 50 percent or fewer than 20 buildings were sampled.
     N = No cases in reporting sample.
     Notes:  ● Because of rounding, data may not sum to totals.  ● See Guide to the 2012 CBECS Detailed Tables or CBECS Terminology for definition of terms used in these tables and/or comparison of differences with prior CBECS tables. Both references can be accessed from http://www.eia.gov/consumption/commercial/data/2012/
     Source: U.S. Energy Information Administration, Office of Energy Consumption and Efficiency Statistics, Form EIA-871A of the 2012 Commercial Buildings Energy Consumption Survey.</t>
  </si>
  <si>
    <t>Table B44.  Lighting equipment, floorspace, 2012</t>
  </si>
  <si>
    <t>Lit buildings</t>
  </si>
  <si>
    <t>Lighting equipment (more than one may apply)</t>
  </si>
  <si>
    <t>Incand-
escent</t>
  </si>
  <si>
    <t>Standard fluor-
escent</t>
  </si>
  <si>
    <t>Compact
fluor-
escent</t>
  </si>
  <si>
    <t>High-intensity
dis-
charge</t>
  </si>
  <si>
    <t>Halogen</t>
  </si>
  <si>
    <t>LED</t>
  </si>
  <si>
    <t>Percent lit when open</t>
  </si>
  <si>
    <t>Zero</t>
  </si>
  <si>
    <t>Building never open/electricity 
not used</t>
  </si>
  <si>
    <t>Percent lit during off hours</t>
  </si>
  <si>
    <t>51 to 100</t>
  </si>
  <si>
    <t>Building always open with 
no "off hours"</t>
  </si>
  <si>
    <t>Electricity not used</t>
  </si>
  <si>
    <t>Lighting equipment types 
(more than one may apply)</t>
  </si>
  <si>
    <t>Incandescent</t>
  </si>
  <si>
    <t>Standard fluorescent</t>
  </si>
  <si>
    <t>Compact fluorescent</t>
  </si>
  <si>
    <t>High-intensity discharge</t>
  </si>
  <si>
    <t>Window and interior lighting 
features (more than one may
apply)</t>
  </si>
  <si>
    <t>Multipaned windows</t>
  </si>
  <si>
    <t>Tinted window glass</t>
  </si>
  <si>
    <t>Reflective window glass</t>
  </si>
  <si>
    <t>External overhangs or awnings</t>
  </si>
  <si>
    <t>Skylights or atriums</t>
  </si>
  <si>
    <t>Light scheduling</t>
  </si>
  <si>
    <t>Occupancy sensors</t>
  </si>
  <si>
    <t>Multi-level lighting or dimming</t>
  </si>
  <si>
    <t>Daylight harvesting</t>
  </si>
  <si>
    <t>Demand responsive lighting</t>
  </si>
  <si>
    <t>Building automation system (BAS) for lighting2</t>
  </si>
  <si>
    <t>Table B42.  Water-heating equipment, number of buildings and floorspace, 2012</t>
  </si>
  <si>
    <t>Number of buildings (thousand)</t>
  </si>
  <si>
    <t>Type of water-heating equipment</t>
  </si>
  <si>
    <t>Central-
ized
system</t>
  </si>
  <si>
    <t>Distrib-
uted
system</t>
  </si>
  <si>
    <t xml:space="preserve">Both
central-
ized and
distrib-
uted
systems </t>
  </si>
  <si>
    <t>(*)</t>
  </si>
  <si>
    <t>Water-heating energy sources
(more than one may apply)</t>
  </si>
  <si>
    <t>Food preparation or serving areas 
in non-food service buildings
(more than one may apply)</t>
  </si>
  <si>
    <t>Snack bar or concession stand</t>
  </si>
  <si>
    <t>Fast food or small restaurant</t>
  </si>
  <si>
    <t>Cafeteria or large restaurant</t>
  </si>
  <si>
    <t>Commercial kitchen/
food preparation area</t>
  </si>
  <si>
    <t>Small kitchen area</t>
  </si>
  <si>
    <t xml:space="preserve">      1These climate regions were created by the Building America program, sponsored by the U.S. Department of Energy’s Office of Energy Efficiency and Renewable Energy (EERE). 
     2In earlier CBECS publications, BAS was referred to as Energy Management and Control System (EMCS).
     Q = Data withheld either because the Relative Standard Error (RSE) was greater than 50 percent or fewer than 20 buildings were sampled.
     N = No cases in reporting sample.
    (*) = Value rounds to zero in the units displayed.
     Notes:  ● Because of rounding, data may not sum to totals.  ● See Guide to the 2012 CBECS Detailed Tables or CBECS Terminology for definition of terms used in these tables and/or comparison of differences with prior CBECS tables. Both references can be accessed from http://www.eia.gov/consumption/commercial/data/2012/
     Source: U.S. Energy Information Administration, Office of Energy Consumption and Efficiency Statistics, Form EIA-871A of the 2012 Commercial Buildings Energy Consumption Survey.</t>
  </si>
  <si>
    <t>Table 21.  Residential Sector Equipment Stock and Efficiency, and Distributed Generation</t>
  </si>
  <si>
    <t>https://www.eia.gov/outlooks/aeo/data/browser/#/?id=30-AEO2026&amp;cases=electrnp&amp;sourcekey=0</t>
  </si>
  <si>
    <t>Thu Apr 23 2026 15:00:43 GMT-0700 (Pacific Daylight Time)</t>
  </si>
  <si>
    <t>Source: U.S. Energy Information Administration</t>
  </si>
  <si>
    <t>Growth (2025-2050)</t>
  </si>
  <si>
    <t>AEO.2026.ELECTRNP.EQNR_STK_RESD_MSHR_EHP_NA_NA_MILL.A</t>
  </si>
  <si>
    <t>1.7%</t>
  </si>
  <si>
    <t>AEO.2026.ELECTRNP.EQNR_STK_RESD_MSHR_ELO_NA_NA_MILL.A</t>
  </si>
  <si>
    <t>1.0%</t>
  </si>
  <si>
    <t>AEO.2026.ELECTRNP.EQNR_STK_RESD_MSHR_NHU_NA_NA_MILL.A</t>
  </si>
  <si>
    <t>0.5%</t>
  </si>
  <si>
    <t>AEO.2026.ELECTRNP.EQNR_STK_RESD_MSHR_NGO_NA_NA_MILL.A</t>
  </si>
  <si>
    <t>0.7%</t>
  </si>
  <si>
    <t>AEO.2026.ELECTRNP.EQNR_STK_RESD_MSHR_DFO_NA_NA_MILL.A</t>
  </si>
  <si>
    <t>-0.6%</t>
  </si>
  <si>
    <t>AEO.2026.ELECTRNP.EQNR_STK_RESD_MSHR_PROP_NA_NA_MILL.A</t>
  </si>
  <si>
    <t>0.1%</t>
  </si>
  <si>
    <t>AEO.2026.ELECTRNP.EQNR_STK_RESD_MSHR_WDS_NA_NA_MILL.A</t>
  </si>
  <si>
    <t>-0.2%</t>
  </si>
  <si>
    <t>AEO.2026.ELECTRNP.EQNR_STK_RESD_MSHR_GEHP_NA_NA_MILL.A</t>
  </si>
  <si>
    <t>0.6%</t>
  </si>
  <si>
    <t>AEO.2026.ELECTRNP.EQNR_STK_RESD_MSHR_TOT_NA_NA_MILL.A</t>
  </si>
  <si>
    <t>0.8%</t>
  </si>
  <si>
    <t>AEO.2026.ELECTRNP.EQNR_STK_RESD_SPC_EHP_NA_NA_MILL.A</t>
  </si>
  <si>
    <t>AEO.2026.ELECTRNP.EQNR_STK_RESD_SPC_NHU_NA_NA_MILL.A</t>
  </si>
  <si>
    <t>AEO.2026.ELECTRNP.EQNR_STK_RESD_SPC_GEHP_NA_NA_MILL.A</t>
  </si>
  <si>
    <t>AEO.2026.ELECTRNP.EQNR_STK_RESD_SPC_CAC_NA_NA_MILL.A</t>
  </si>
  <si>
    <t>1.1%</t>
  </si>
  <si>
    <t>AEO.2026.ELECTRNP.EQNR_STK_RESD_SPC_RAC_NA_NA_MILL.A</t>
  </si>
  <si>
    <t>0.2%</t>
  </si>
  <si>
    <t>AEO.2026.ELECTRNP.EQNR_STK_RESD_SPC_TOT_NA_NA_MILL.A</t>
  </si>
  <si>
    <t>0.9%</t>
  </si>
  <si>
    <t>AEO.2026.ELECTRNP.EQNR_STK_RESD_WHT_ELE_NA_NA_MILL.A</t>
  </si>
  <si>
    <t>AEO.2026.ELECTRNP.EQNR_STK_RESD_WHT_NG_NA_NA_MILL.A</t>
  </si>
  <si>
    <t>AEO.2026.ELECTRNP.EQNR_STK_RESD_WHT_DFO_NA_NA_MILL.A</t>
  </si>
  <si>
    <t>-2.1%</t>
  </si>
  <si>
    <t>AEO.2026.ELECTRNP.EQNR_STK_RESD_WHT_PROP_NA_NA_MILL.A</t>
  </si>
  <si>
    <t>-0.5%</t>
  </si>
  <si>
    <t>AEO.2026.ELECTRNP.EQNR_STK_RESD_WHT_SLR_THERM_NA_MILL.A</t>
  </si>
  <si>
    <t>AEO.2026.ELECTRNP.EQNR_STK_RESD_WHT_TOT_NA_NA_MILL.A</t>
  </si>
  <si>
    <t>AEO.2026.ELECTRNP.EQNR_STK_RESD_CER_ELE_NA_NA_MILL.A</t>
  </si>
  <si>
    <t>AEO.2026.ELECTRNP.EQNR_STK_RESD_CER_NG_NA_NA_MILL.A</t>
  </si>
  <si>
    <t>AEO.2026.ELECTRNP.EQNR_STK_RESD_CER_PROP_NA_NA_MILL.A</t>
  </si>
  <si>
    <t>AEO.2026.ELECTRNP.EQNR_STK_RESD_CER_TOT_NA_NA_MILL.A</t>
  </si>
  <si>
    <t>AEO.2026.ELECTRNP.EQNR_STK_RESD_CDR_ELE_NA_NA_MILL.A</t>
  </si>
  <si>
    <t>2.1%</t>
  </si>
  <si>
    <t>AEO.2026.ELECTRNP.EQNR_STK_RESD_CDR_NG_NA_NA_MILL.A</t>
  </si>
  <si>
    <t>1.5%</t>
  </si>
  <si>
    <t>AEO.2026.ELECTRNP.EQNR_STK_RESD_CDR_TOT_NA_NA_MILL.A</t>
  </si>
  <si>
    <t>2.0%</t>
  </si>
  <si>
    <t>AEO.2026.ELECTRNP.EQNR_STK_RESD_OTAR_RFG_NA_NA_MILL.A</t>
  </si>
  <si>
    <t>AEO.2026.ELECTRNP.EQNR_STK_RESD_OTAR_FRZ_NA_NA_MILL.A</t>
  </si>
  <si>
    <t>Stock Average Equipment Efficiency</t>
  </si>
  <si>
    <t>Electric Heat Pumps (HSPF)</t>
  </si>
  <si>
    <t>Residential Equipment: Stock Average Efficiency: Main Space Heaters: Electric Heat Pumps: Alternative Electricity and Transportation</t>
  </si>
  <si>
    <t>AEO.2026.ELECTRNP.EFI_STK_RESD_SPHR_EHP_NA_NA_HSPF.A</t>
  </si>
  <si>
    <t>HSPF</t>
  </si>
  <si>
    <t>Natural Gas Heat Pumps (GCOP)</t>
  </si>
  <si>
    <t>Residential Equipment: Stock Average Efficiency: Main Space Heaters: Natural Gas Heat Pumps: Alternative Electricity and Transportation</t>
  </si>
  <si>
    <t>AEO.2026.ELECTRNP.EFI_STK_RESD_SPHR_NHU_NA_NA_GCOP.A</t>
  </si>
  <si>
    <t>GCOP</t>
  </si>
  <si>
    <t>0.0%</t>
  </si>
  <si>
    <t>Geothermal Heat Pumps (COP)</t>
  </si>
  <si>
    <t>Residential Equipment: Stock Average Efficiency: Main Space Heaters: Geothermal Heat Pumps: Alternative Electricity and Transportation</t>
  </si>
  <si>
    <t>AEO.2026.ELECTRNP.EFI_STK_RESD_SPHR_GEHP_NA_NA_COP.A</t>
  </si>
  <si>
    <t>COP</t>
  </si>
  <si>
    <t>0.4%</t>
  </si>
  <si>
    <t>Natural Gas Furnace (AFUE)</t>
  </si>
  <si>
    <t>Residential Equipment: Stock Average Efficiency: Main Space Heaters: Natural Gas Furnace: Alternative Electricity and Transportation</t>
  </si>
  <si>
    <t>AEO.2026.ELECTRNP.EFI_STK_RESD_SPHR_NFR_NA_NA_AFUE.A</t>
  </si>
  <si>
    <t>AFUE</t>
  </si>
  <si>
    <t>Distillate Furnace (AFUE)</t>
  </si>
  <si>
    <t>Residential Equipment: Stock Average Efficiency: Main Space Heaters: Distillate Furnace: Alternative Electricity and Transportation</t>
  </si>
  <si>
    <t>AEO.2026.ELECTRNP.EFI_STK_RESD_SPHR_DFR_NA_NA_AFUE.A</t>
  </si>
  <si>
    <t>Electric Heat Pumps (SEER)</t>
  </si>
  <si>
    <t>Residential Equipment: Stock Average Efficiency: Space Cooling: Electric Heat Pumps: Alternative Electricity and Transportation</t>
  </si>
  <si>
    <t>AEO.2026.ELECTRNP.EFI_STK_RESD_SPC_EHP_NA_NA_SEER.A</t>
  </si>
  <si>
    <t>SEER</t>
  </si>
  <si>
    <t>Residential Equipment: Stock Average Efficiency: Space Cooling: Natural Gas Heat Pumps: Alternative Electricity and Transportation</t>
  </si>
  <si>
    <t>AEO.2026.ELECTRNP.EFI_STK_RESD_SPC_NHU_NA_NA_GCOP.A</t>
  </si>
  <si>
    <t>Geothermal Heat Pumps (EER)</t>
  </si>
  <si>
    <t>Residential Equipment: Stock Average Efficiency: Space Cooling: Geothermal Heat Pumps: Alternative Electricity and Transportation</t>
  </si>
  <si>
    <t>AEO.2026.ELECTRNP.EFI_STK_RESD_SPC_GEHP_NA_NA_EER.A</t>
  </si>
  <si>
    <t>EER</t>
  </si>
  <si>
    <t>Central Air Conditioners (SEER)</t>
  </si>
  <si>
    <t>Residential Equipment: Stock Average Efficiency: Space Cooling: Central Air Conditioners: Alternative Electricity and Transportation</t>
  </si>
  <si>
    <t>AEO.2026.ELECTRNP.EFI_STK_RESD_SPC_CAC_NA_NA_SEER.A</t>
  </si>
  <si>
    <t>Room Air Conditioners (EER)</t>
  </si>
  <si>
    <t>Residential Equipment: Stock Average Efficiency: Space Cooling: Room Air Conditioners: Alternative Electricity and Transportation</t>
  </si>
  <si>
    <t>AEO.2026.ELECTRNP.EFI_STK_RESD_SPC_RAC_NA_NA_EER.A</t>
  </si>
  <si>
    <t>1.3%</t>
  </si>
  <si>
    <t>Electric (EF)</t>
  </si>
  <si>
    <t>Residential Equipment: Stock Average Efficiency: Water Heaters: Electric: Alternative Electricity and Transportation</t>
  </si>
  <si>
    <t>AEO.2026.ELECTRNP.EFI_STK_RESD_WHT_ELE_NA_NA_EF.A</t>
  </si>
  <si>
    <t>EF</t>
  </si>
  <si>
    <t>2.9%</t>
  </si>
  <si>
    <t>Natural Gas (EF)</t>
  </si>
  <si>
    <t>Residential Equipment: Stock Average Efficiency: Water Heaters: Natural Gas: Alternative Electricity and Transportation</t>
  </si>
  <si>
    <t>AEO.2026.ELECTRNP.EFI_STK_RESD_WHT_NG_NA_NA_EF.A</t>
  </si>
  <si>
    <t>0.3%</t>
  </si>
  <si>
    <t>Distillate Fuel Oil (EF)</t>
  </si>
  <si>
    <t>Residential Equipment: Stock Average Efficiency: Water Heaters: Distillate Fuel Oil: Alternative Electricity and Transportation</t>
  </si>
  <si>
    <t>AEO.2026.ELECTRNP.EFI_STK_RESD_WHT_DFO_NA_NA_EF.A</t>
  </si>
  <si>
    <t>Propane (EF)</t>
  </si>
  <si>
    <t>Residential Equipment: Stock Average Efficiency: Water Heaters: Propane: Alternative Electricity and Transportation</t>
  </si>
  <si>
    <t>AEO.2026.ELECTRNP.EFI_STK_RESD_WHT_PROP_NA_NA_EF.A</t>
  </si>
  <si>
    <t>Other Appliances (kilowatthours per year)</t>
  </si>
  <si>
    <t>Residential Equipment: Stock Average Efficiency: Other Appliances: Refrigerators: Alternative Electricity and Transportation</t>
  </si>
  <si>
    <t>AEO.2026.ELECTRNP.EFI_STK_RESD_OTAR_RFG_NA_NA_KWH.A</t>
  </si>
  <si>
    <t>kWh</t>
  </si>
  <si>
    <t>-1.3%</t>
  </si>
  <si>
    <t>Residential Equipment: Stock Average Efficiency: Other Appliances: Freezers: Alternative Electricity and Transportation</t>
  </si>
  <si>
    <t>AEO.2026.ELECTRNP.EFI_STK_RESD_OTAR_FRZ_NA_NA_KWH.A</t>
  </si>
  <si>
    <t>-1.1%</t>
  </si>
  <si>
    <t>Building Shell Efficiency Index</t>
  </si>
  <si>
    <t>Space Heating</t>
  </si>
  <si>
    <t>Pre-2020 Homes</t>
  </si>
  <si>
    <t>Residential Equipment: Building Shell Efficiency Index: Space Heating: Pre-2020 Homes: Alternative Electricity and Transportation</t>
  </si>
  <si>
    <t>AEO.2026.ELECTRNP.EFI_BSE_RESD_SPH_OLD_NA_NA_Y15EQ1.A</t>
  </si>
  <si>
    <t>2020=1.00</t>
  </si>
  <si>
    <t>-0.8%</t>
  </si>
  <si>
    <t>New Construction</t>
  </si>
  <si>
    <t>Residential Equipment: Building Shell Efficiency Index: Space Heating: New Construction: Alternative Electricity and Transportation</t>
  </si>
  <si>
    <t>AEO.2026.ELECTRNP.EFI_BSE_RESD_SPH_NCO_NA_NA_Y15EQ1.A</t>
  </si>
  <si>
    <t>All Homes</t>
  </si>
  <si>
    <t>Residential Equipment: Building Shell Efficiency Index: Space Heating: All Homes: Alternative Electricity and Transportation</t>
  </si>
  <si>
    <t>AEO.2026.ELECTRNP.EFI_BSE_RESD_SPH_AHM_NA_NA_Y15EQ1.A</t>
  </si>
  <si>
    <t>Residential Equipment: Building Shell Efficiency Index: Space Cooling: Pre-2020 Homes: Alternative Electricity and Transportation</t>
  </si>
  <si>
    <t>AEO.2026.ELECTRNP.EFI_BSE_RESD_SPC_OLD_NA_NA_Y15EQ1.A</t>
  </si>
  <si>
    <t>-0.3%</t>
  </si>
  <si>
    <t>Residential Equipment: Building Shell Efficiency Index: Space Cooling: New Construction: Alternative Electricity and Transportation</t>
  </si>
  <si>
    <t>AEO.2026.ELECTRNP.EFI_BSE_RESD_SPC_NCO_NA_NA_Y15EQ1.A</t>
  </si>
  <si>
    <t>Residential Equipment: Building Shell Efficiency Index: Space Cooling: All Homes: Alternative Electricity and Transportation</t>
  </si>
  <si>
    <t>AEO.2026.ELECTRNP.EFI_BSE_RESD_SPC_AHM_NA_NA_Y15EQ1.A</t>
  </si>
  <si>
    <t>Distributed Generation and</t>
  </si>
  <si>
    <t>Combined Heat and Power</t>
  </si>
  <si>
    <t>Generating Capacity (gigawatts)</t>
  </si>
  <si>
    <t>Natural Gas Fuel Cells</t>
  </si>
  <si>
    <t>Residential: Combined Heat and Power: Generating Capacity: Fuel Cells: Alternative Electricity and Transportation</t>
  </si>
  <si>
    <t>AEO.2026.ELECTRNP.CAP_NA_COMM_CHP_FCL_NA_NA_MW.A</t>
  </si>
  <si>
    <t>GW</t>
  </si>
  <si>
    <t>11.5%</t>
  </si>
  <si>
    <t>Solar Photovoltaic</t>
  </si>
  <si>
    <t>Residential: Combined Heat and Power: Generating Capacity: Solar Photovoltaic: Alternative Electricity and Transportation</t>
  </si>
  <si>
    <t>AEO.2026.ELECTRNP.CAP_NA_RESD_CHP_SLR_PHTVL_NA_MW.A</t>
  </si>
  <si>
    <t>5.3%</t>
  </si>
  <si>
    <t>Wind</t>
  </si>
  <si>
    <t>Residential: Combined Heat and Power: Generating Capacity: Wind: Alternative Electricity and Transportation</t>
  </si>
  <si>
    <t>AEO.2026.ELECTRNP.CAP_NA_RESD_CHP_WND_NA_NA_MW.A</t>
  </si>
  <si>
    <t>1.9%</t>
  </si>
  <si>
    <t>Residential: Combined Heat and Power: Generating Capacity: Total: Alternative Electricity and Transportation</t>
  </si>
  <si>
    <t>AEO.2026.ELECTRNP.CAP_NA_RESD_CHP_TOT_NA_NA_MW.A</t>
  </si>
  <si>
    <t>Net Generation (billion kilowatthours)</t>
  </si>
  <si>
    <t>Residential: Combined Heat and Power: Net Generation: Fuel Cells: Alternative Electricity and Transportation</t>
  </si>
  <si>
    <t>AEO.2026.ELECTRNP.GEN_NA_COMM_CHP_FCL_NA_NA_MILLKWH.A</t>
  </si>
  <si>
    <t>billion kWh</t>
  </si>
  <si>
    <t>Residential: Combined Heat and Power: Net Generation: Solar Photovoltaic: Alternative Electricity and Transportation</t>
  </si>
  <si>
    <t>AEO.2026.ELECTRNP.GEN_NA_COMM_CHP_SLR_PHTVL_NA_MILLKWH.A</t>
  </si>
  <si>
    <t>5.1%</t>
  </si>
  <si>
    <t>Residential: Combined Heat and Power: Net Generation: Wind: Alternative Electricity and Transportation</t>
  </si>
  <si>
    <t>AEO.2026.ELECTRNP.GEN_NA_COMM_CHP_WND_NA_NA_MILLKWH.A</t>
  </si>
  <si>
    <t>Residential: Combined Heat and Power: Net Generation: Total: Alternative Electricity and Transportation</t>
  </si>
  <si>
    <t>AEO.2026.ELECTRNP.GEN_NA_COMM_CHP_TOT_NA_NA_MILLKWH.A</t>
  </si>
  <si>
    <t>Disposition</t>
  </si>
  <si>
    <t>Sales to the Grid</t>
  </si>
  <si>
    <t>Residential: Combined Heat and Power: Net Generation: Sales to the Grid: Alternative Electricity and Transportation</t>
  </si>
  <si>
    <t>AEO.2026.ELECTRNP.GEN_NA_COMM_CHP_STG_NA_NA_MILLKWH.A</t>
  </si>
  <si>
    <t>5.2%</t>
  </si>
  <si>
    <t>Generation for Own Use</t>
  </si>
  <si>
    <t>Residential: Combined Heat and Power: Net Generation: Generation for Own Use: Alternative Electricity and Transportation</t>
  </si>
  <si>
    <t>AEO.2026.ELECTRNP.GEN_NA_COMM_CHP_GFO_NA_NA_MILLKWH.A</t>
  </si>
  <si>
    <t>5.0%</t>
  </si>
  <si>
    <t>Energy Input (trillion Btu)</t>
  </si>
  <si>
    <t>Residential: Combined Heat and Power: Energy Input: Fuel Cells: Alternative Electricity and Transportation</t>
  </si>
  <si>
    <t>AEO.2026.ELECTRNP.CNSM_NA_COMM_CHP_FCL_NA_NA_TRLBTU.A</t>
  </si>
  <si>
    <t>trillion Btu</t>
  </si>
  <si>
    <t>Residential: Combined Heat and Power: Energy Input: Solar Photovoltaic: Alternative Electricity and Transportation</t>
  </si>
  <si>
    <t>AEO.2026.ELECTRNP.CNSM_NA_COMM_CHP_SLR_PHTVL_NA_TRLBTU.A</t>
  </si>
  <si>
    <t>Residential: Combined Heat and Power: Energy Input: Wind: Alternative Electricity and Transportation</t>
  </si>
  <si>
    <t>AEO.2026.ELECTRNP.CNSM_NA_COMM_CHP_WND_NA_NA_TRLBTU.A</t>
  </si>
  <si>
    <t>Residential: Combined Heat and Power: Energy Input: Total: Alternative Electricity and Transportation</t>
  </si>
  <si>
    <t>AEO.2026.ELECTRNP.CNSM_NA_COMM_CHP_TOT_NA_NA_TRLBTU.A</t>
  </si>
  <si>
    <t>Validation checks</t>
  </si>
  <si>
    <t>Child-factor groups sum to 1 (per file/context/parent; rate-file reroutes excluded)</t>
  </si>
  <si>
    <t>SoBCaICbIC-commercial.csv | Appliances | ISIC 01T03</t>
  </si>
  <si>
    <t>SoBCaICbIC-commercial.csv | Appliances | ISIC 07T08</t>
  </si>
  <si>
    <t>SoBCaICbIC-commercial.csv | Appliances | ISIC 30</t>
  </si>
  <si>
    <t>SoBCaICbIC-commercial.csv | Appliances | ISIC 49T53</t>
  </si>
  <si>
    <t>SoBCaICbIC-commercial.csv | Appliances | ISIC 69T82</t>
  </si>
  <si>
    <t>SoBCaICbIC-commercial.csv | Appliances | ISIC 90T96</t>
  </si>
  <si>
    <t>SoBCaICbIC-commercial.csv | Cooling | ISIC 01T03</t>
  </si>
  <si>
    <t>SoBCaICbIC-commercial.csv | Cooling | ISIC 07T08</t>
  </si>
  <si>
    <t>SoBCaICbIC-commercial.csv | Cooling | ISIC 30</t>
  </si>
  <si>
    <t>SoBCaICbIC-commercial.csv | Cooling | ISIC 49T53</t>
  </si>
  <si>
    <t>SoBCaICbIC-commercial.csv | Cooling | ISIC 69T82</t>
  </si>
  <si>
    <t>SoBCaICbIC-commercial.csv | Cooling | ISIC 90T96</t>
  </si>
  <si>
    <t>SoBCaICbIC-commercial.csv | Envelope | ISIC 01T03</t>
  </si>
  <si>
    <t>SoBCaICbIC-commercial.csv | Envelope | ISIC 07T08</t>
  </si>
  <si>
    <t>SoBCaICbIC-commercial.csv | Envelope | ISIC 30</t>
  </si>
  <si>
    <t>SoBCaICbIC-commercial.csv | Envelope | ISIC 49T53</t>
  </si>
  <si>
    <t>SoBCaICbIC-commercial.csv | Envelope | ISIC 69T82</t>
  </si>
  <si>
    <t>SoBCaICbIC-commercial.csv | Envelope | ISIC 90T96</t>
  </si>
  <si>
    <t>SoBCaICbIC-commercial.csv | Heating | ISIC 01T03</t>
  </si>
  <si>
    <t>SoBCaICbIC-commercial.csv | Heating | ISIC 07T08</t>
  </si>
  <si>
    <t>SoBCaICbIC-commercial.csv | Heating | ISIC 30</t>
  </si>
  <si>
    <t>SoBCaICbIC-commercial.csv | Heating | ISIC 49T53</t>
  </si>
  <si>
    <t>SoBCaICbIC-commercial.csv | Heating | ISIC 69T82</t>
  </si>
  <si>
    <t>SoBCaICbIC-commercial.csv | Heating | ISIC 90T96</t>
  </si>
  <si>
    <t>SoBCaICbIC-commercial.csv | Lighting | ISIC 01T03</t>
  </si>
  <si>
    <t>SoBCaICbIC-commercial.csv | Lighting | ISIC 07T08</t>
  </si>
  <si>
    <t>SoBCaICbIC-commercial.csv | Lighting | ISIC 30</t>
  </si>
  <si>
    <t>SoBCaICbIC-commercial.csv | Lighting | ISIC 49T53</t>
  </si>
  <si>
    <t>SoBCaICbIC-commercial.csv | Lighting | ISIC 69T82</t>
  </si>
  <si>
    <t>SoBCaICbIC-commercial.csv | Lighting | ISIC 90T96</t>
  </si>
  <si>
    <t>SoBCaICbIC-commercial.csv | Other | ISIC 01T03</t>
  </si>
  <si>
    <t>SoBCaICbIC-commercial.csv | Other | ISIC 07T08</t>
  </si>
  <si>
    <t>SoBCaICbIC-commercial.csv | Other | ISIC 30</t>
  </si>
  <si>
    <t>SoBCaICbIC-commercial.csv | Other | ISIC 49T53</t>
  </si>
  <si>
    <t>SoBCaICbIC-commercial.csv | Other | ISIC 69T82</t>
  </si>
  <si>
    <t>SoBCaICbIC-commercial.csv | Other | ISIC 90T96</t>
  </si>
  <si>
    <t>SoBCaICbIC-ruralresidential.csv | Appliances | ISIC 01T03</t>
  </si>
  <si>
    <t>SoBCaICbIC-ruralresidential.csv | Appliances | ISIC 07T08</t>
  </si>
  <si>
    <t>SoBCaICbIC-ruralresidential.csv | Appliances | ISIC 30</t>
  </si>
  <si>
    <t>SoBCaICbIC-ruralresidential.csv | Appliances | ISIC 49T53</t>
  </si>
  <si>
    <t>SoBCaICbIC-ruralresidential.csv | Appliances | ISIC 69T82</t>
  </si>
  <si>
    <t>SoBCaICbIC-ruralresidential.csv | Appliances | ISIC 90T96</t>
  </si>
  <si>
    <t>SoBCaICbIC-ruralresidential.csv | Cooling | ISIC 01T03</t>
  </si>
  <si>
    <t>SoBCaICbIC-ruralresidential.csv | Cooling | ISIC 07T08</t>
  </si>
  <si>
    <t>SoBCaICbIC-ruralresidential.csv | Cooling | ISIC 30</t>
  </si>
  <si>
    <t>SoBCaICbIC-ruralresidential.csv | Cooling | ISIC 49T53</t>
  </si>
  <si>
    <t>SoBCaICbIC-ruralresidential.csv | Cooling | ISIC 69T82</t>
  </si>
  <si>
    <t>SoBCaICbIC-ruralresidential.csv | Cooling | ISIC 90T96</t>
  </si>
  <si>
    <t>SoBCaICbIC-ruralresidential.csv | Envelope | ISIC 01T03</t>
  </si>
  <si>
    <t>SoBCaICbIC-ruralresidential.csv | Envelope | ISIC 07T08</t>
  </si>
  <si>
    <t>SoBCaICbIC-ruralresidential.csv | Envelope | ISIC 30</t>
  </si>
  <si>
    <t>SoBCaICbIC-ruralresidential.csv | Envelope | ISIC 49T53</t>
  </si>
  <si>
    <t>SoBCaICbIC-ruralresidential.csv | Envelope | ISIC 69T82</t>
  </si>
  <si>
    <t>SoBCaICbIC-ruralresidential.csv | Envelope | ISIC 90T96</t>
  </si>
  <si>
    <t>SoBCaICbIC-ruralresidential.csv | Heating | ISIC 01T03</t>
  </si>
  <si>
    <t>SoBCaICbIC-ruralresidential.csv | Heating | ISIC 07T08</t>
  </si>
  <si>
    <t>SoBCaICbIC-ruralresidential.csv | Heating | ISIC 30</t>
  </si>
  <si>
    <t>SoBCaICbIC-ruralresidential.csv | Heating | ISIC 49T53</t>
  </si>
  <si>
    <t>SoBCaICbIC-ruralresidential.csv | Heating | ISIC 69T82</t>
  </si>
  <si>
    <t>SoBCaICbIC-ruralresidential.csv | Heating | ISIC 90T96</t>
  </si>
  <si>
    <t>SoBCaICbIC-ruralresidential.csv | Lighting | ISIC 01T03</t>
  </si>
  <si>
    <t>SoBCaICbIC-ruralresidential.csv | Lighting | ISIC 07T08</t>
  </si>
  <si>
    <t>SoBCaICbIC-ruralresidential.csv | Lighting | ISIC 30</t>
  </si>
  <si>
    <t>SoBCaICbIC-ruralresidential.csv | Lighting | ISIC 49T53</t>
  </si>
  <si>
    <t>SoBCaICbIC-ruralresidential.csv | Lighting | ISIC 69T82</t>
  </si>
  <si>
    <t>SoBCaICbIC-ruralresidential.csv | Lighting | ISIC 90T96</t>
  </si>
  <si>
    <t>SoBCaICbIC-ruralresidential.csv | Other | ISIC 01T03</t>
  </si>
  <si>
    <t>SoBCaICbIC-ruralresidential.csv | Other | ISIC 07T08</t>
  </si>
  <si>
    <t>SoBCaICbIC-ruralresidential.csv | Other | ISIC 30</t>
  </si>
  <si>
    <t>SoBCaICbIC-ruralresidential.csv | Other | ISIC 49T53</t>
  </si>
  <si>
    <t>SoBCaICbIC-ruralresidential.csv | Other | ISIC 69T82</t>
  </si>
  <si>
    <t>SoBCaICbIC-ruralresidential.csv | Other | ISIC 90T96</t>
  </si>
  <si>
    <t>SoBCaICbIC-urbanresidential.csv | Appliances | ISIC 01T03</t>
  </si>
  <si>
    <t>SoBCaICbIC-urbanresidential.csv | Appliances | ISIC 07T08</t>
  </si>
  <si>
    <t>SoBCaICbIC-urbanresidential.csv | Appliances | ISIC 30</t>
  </si>
  <si>
    <t>SoBCaICbIC-urbanresidential.csv | Appliances | ISIC 49T53</t>
  </si>
  <si>
    <t>SoBCaICbIC-urbanresidential.csv | Appliances | ISIC 69T82</t>
  </si>
  <si>
    <t>SoBCaICbIC-urbanresidential.csv | Appliances | ISIC 90T96</t>
  </si>
  <si>
    <t>SoBCaICbIC-urbanresidential.csv | Cooling | ISIC 01T03</t>
  </si>
  <si>
    <t>SoBCaICbIC-urbanresidential.csv | Cooling | ISIC 07T08</t>
  </si>
  <si>
    <t>SoBCaICbIC-urbanresidential.csv | Cooling | ISIC 30</t>
  </si>
  <si>
    <t>SoBCaICbIC-urbanresidential.csv | Cooling | ISIC 49T53</t>
  </si>
  <si>
    <t>SoBCaICbIC-urbanresidential.csv | Cooling | ISIC 69T82</t>
  </si>
  <si>
    <t>SoBCaICbIC-urbanresidential.csv | Cooling | ISIC 90T96</t>
  </si>
  <si>
    <t>SoBCaICbIC-urbanresidential.csv | Envelope | ISIC 01T03</t>
  </si>
  <si>
    <t>SoBCaICbIC-urbanresidential.csv | Envelope | ISIC 07T08</t>
  </si>
  <si>
    <t>SoBCaICbIC-urbanresidential.csv | Envelope | ISIC 30</t>
  </si>
  <si>
    <t>SoBCaICbIC-urbanresidential.csv | Envelope | ISIC 49T53</t>
  </si>
  <si>
    <t>SoBCaICbIC-urbanresidential.csv | Envelope | ISIC 69T82</t>
  </si>
  <si>
    <t>SoBCaICbIC-urbanresidential.csv | Envelope | ISIC 90T96</t>
  </si>
  <si>
    <t>SoBCaICbIC-urbanresidential.csv | Heating | ISIC 01T03</t>
  </si>
  <si>
    <t>SoBCaICbIC-urbanresidential.csv | Heating | ISIC 07T08</t>
  </si>
  <si>
    <t>SoBCaICbIC-urbanresidential.csv | Heating | ISIC 30</t>
  </si>
  <si>
    <t>SoBCaICbIC-urbanresidential.csv | Heating | ISIC 49T53</t>
  </si>
  <si>
    <t>SoBCaICbIC-urbanresidential.csv | Heating | ISIC 69T82</t>
  </si>
  <si>
    <t>SoBCaICbIC-urbanresidential.csv | Heating | ISIC 90T96</t>
  </si>
  <si>
    <t>SoBCaICbIC-urbanresidential.csv | Lighting | ISIC 01T03</t>
  </si>
  <si>
    <t>SoBCaICbIC-urbanresidential.csv | Lighting | ISIC 07T08</t>
  </si>
  <si>
    <t>SoBCaICbIC-urbanresidential.csv | Lighting | ISIC 30</t>
  </si>
  <si>
    <t>SoBCaICbIC-urbanresidential.csv | Lighting | ISIC 49T53</t>
  </si>
  <si>
    <t>SoBCaICbIC-urbanresidential.csv | Lighting | ISIC 69T82</t>
  </si>
  <si>
    <t>SoBCaICbIC-urbanresidential.csv | Lighting | ISIC 90T96</t>
  </si>
  <si>
    <t>SoBCaICbIC-urbanresidential.csv | Other | ISIC 01T03</t>
  </si>
  <si>
    <t>SoBCaICbIC-urbanresidential.csv | Other | ISIC 07T08</t>
  </si>
  <si>
    <t>SoBCaICbIC-urbanresidential.csv | Other | ISIC 30</t>
  </si>
  <si>
    <t>SoBCaICbIC-urbanresidential.csv | Other | ISIC 49T53</t>
  </si>
  <si>
    <t>SoBCaICbIC-urbanresidential.csv | Other | ISIC 69T82</t>
  </si>
  <si>
    <t>SoBCaICbIC-urbanresidential.csv | Other | ISIC 90T96</t>
  </si>
  <si>
    <t>Unit: dimensionless (%)</t>
  </si>
  <si>
    <t>Margins, Before Redefinitions, 2017</t>
  </si>
  <si>
    <t>[Millions of dollars]</t>
  </si>
  <si>
    <t>Bureau of Economic Analysis</t>
  </si>
  <si>
    <t>Producers' Value</t>
  </si>
  <si>
    <t>Transportation Costs</t>
  </si>
  <si>
    <t xml:space="preserve">            Trade Margins</t>
  </si>
  <si>
    <t>Purchasers' Value</t>
  </si>
  <si>
    <t>Industry Code</t>
  </si>
  <si>
    <t>Industry Description</t>
  </si>
  <si>
    <t>Commodity Code</t>
  </si>
  <si>
    <t>Commodity Description</t>
  </si>
  <si>
    <t>Wholesale</t>
  </si>
  <si>
    <t>Retail</t>
  </si>
  <si>
    <t>1111A0</t>
  </si>
  <si>
    <t>Oilseed farming</t>
  </si>
  <si>
    <t>1111B0</t>
  </si>
  <si>
    <t>Grain farming</t>
  </si>
  <si>
    <t>333414</t>
  </si>
  <si>
    <t>Heating equipment (except warm air furnaces) manufacturing</t>
  </si>
  <si>
    <t>111900</t>
  </si>
  <si>
    <t>Other crop farming</t>
  </si>
  <si>
    <t>334111</t>
  </si>
  <si>
    <t>Electronic computer manufacturing</t>
  </si>
  <si>
    <t>112120</t>
  </si>
  <si>
    <t>Dairy cattle and milk production</t>
  </si>
  <si>
    <t>335110</t>
  </si>
  <si>
    <t>Electric lamp bulb and part manufacturing</t>
  </si>
  <si>
    <t>1121A0</t>
  </si>
  <si>
    <t>Beef cattle ranching and farming, including feedlots and dual-purpose ranching and farming</t>
  </si>
  <si>
    <t>114000</t>
  </si>
  <si>
    <t>Fishing, hunting and trapping</t>
  </si>
  <si>
    <t>335120</t>
  </si>
  <si>
    <t>Lighting fixture manufacturing</t>
  </si>
  <si>
    <t>211000</t>
  </si>
  <si>
    <t>Oil and gas extraction</t>
  </si>
  <si>
    <t>333318</t>
  </si>
  <si>
    <t>Other commercial and service industry machinery manufacturing</t>
  </si>
  <si>
    <t>333415</t>
  </si>
  <si>
    <t>Air conditioning, refrigeration, and warm air heating equipment manufacturing</t>
  </si>
  <si>
    <t>212100</t>
  </si>
  <si>
    <t>Coal mining</t>
  </si>
  <si>
    <t>212230</t>
  </si>
  <si>
    <t>Copper, nickel, lead, and zinc mining</t>
  </si>
  <si>
    <t>2122A0</t>
  </si>
  <si>
    <t>Iron, gold, silver, and other metal ore mining</t>
  </si>
  <si>
    <t>212310</t>
  </si>
  <si>
    <t>Stone mining and quarrying</t>
  </si>
  <si>
    <t>2123A0</t>
  </si>
  <si>
    <t>Other nonmetallic mineral mining and quarrying</t>
  </si>
  <si>
    <t>213111</t>
  </si>
  <si>
    <t>Drilling oil and gas wells</t>
  </si>
  <si>
    <t>21311A</t>
  </si>
  <si>
    <t>Other support activities for mining</t>
  </si>
  <si>
    <t>221100</t>
  </si>
  <si>
    <t>Electric power generation, transmission, and distribution</t>
  </si>
  <si>
    <t>221200</t>
  </si>
  <si>
    <t>Natural gas distribution</t>
  </si>
  <si>
    <t>221300</t>
  </si>
  <si>
    <t>Water, sewage and other systems</t>
  </si>
  <si>
    <t>230301</t>
  </si>
  <si>
    <t>Nonresidential maintenance and repair</t>
  </si>
  <si>
    <t>335210</t>
  </si>
  <si>
    <t>Small electrical appliance manufacturing</t>
  </si>
  <si>
    <t>335220</t>
  </si>
  <si>
    <t>Major Household Appliance Manufacturing</t>
  </si>
  <si>
    <t>230302</t>
  </si>
  <si>
    <t>Residential maintenance and repair</t>
  </si>
  <si>
    <t>233210</t>
  </si>
  <si>
    <t>Health care structures</t>
  </si>
  <si>
    <t>233230</t>
  </si>
  <si>
    <t>Manufacturing structures</t>
  </si>
  <si>
    <t>233240</t>
  </si>
  <si>
    <t>Power and communication structures</t>
  </si>
  <si>
    <t>233262</t>
  </si>
  <si>
    <t>Educational and vocational structures</t>
  </si>
  <si>
    <t>334300</t>
  </si>
  <si>
    <t>Audio and video equipment manufacturing</t>
  </si>
  <si>
    <t>2332A0</t>
  </si>
  <si>
    <t>Office and commercial structures</t>
  </si>
  <si>
    <t>2332C0</t>
  </si>
  <si>
    <t>Transportation structures and highways and streets</t>
  </si>
  <si>
    <t>2332D0</t>
  </si>
  <si>
    <t>Other nonresidential structures</t>
  </si>
  <si>
    <t>233411</t>
  </si>
  <si>
    <t>Single-family residential structures</t>
  </si>
  <si>
    <t>233412</t>
  </si>
  <si>
    <t>Multifamily residential structures</t>
  </si>
  <si>
    <t>2334A0</t>
  </si>
  <si>
    <t>Other residential structures</t>
  </si>
  <si>
    <t>311111</t>
  </si>
  <si>
    <t>Dog and cat food manufacturing</t>
  </si>
  <si>
    <t>311119</t>
  </si>
  <si>
    <t>Other animal food manufacturing</t>
  </si>
  <si>
    <t>311210</t>
  </si>
  <si>
    <t>Flour milling and malt manufacturing</t>
  </si>
  <si>
    <t>311221</t>
  </si>
  <si>
    <t>Wet corn milling</t>
  </si>
  <si>
    <t>311224</t>
  </si>
  <si>
    <t>Soybean and other oilseed processing</t>
  </si>
  <si>
    <t>311225</t>
  </si>
  <si>
    <t>Fats and oils refining and blending</t>
  </si>
  <si>
    <t>311230</t>
  </si>
  <si>
    <t>Breakfast cereal manufacturing</t>
  </si>
  <si>
    <t>311300</t>
  </si>
  <si>
    <t>Sugar and confectionery product manufacturing</t>
  </si>
  <si>
    <t>311410</t>
  </si>
  <si>
    <t>Frozen food manufacturing</t>
  </si>
  <si>
    <t>311420</t>
  </si>
  <si>
    <t>Fruit and vegetable canning, pickling, and drying</t>
  </si>
  <si>
    <t>311513</t>
  </si>
  <si>
    <t>Cheese manufacturing</t>
  </si>
  <si>
    <t>311514</t>
  </si>
  <si>
    <t>Dry, condensed, and evaporated dairy product manufacturing</t>
  </si>
  <si>
    <t>31151A</t>
  </si>
  <si>
    <t>Fluid milk and butter manufacturing</t>
  </si>
  <si>
    <t>311520</t>
  </si>
  <si>
    <t>Ice cream and frozen dessert manufacturing</t>
  </si>
  <si>
    <t>311615</t>
  </si>
  <si>
    <t>Poultry processing</t>
  </si>
  <si>
    <t>31161A</t>
  </si>
  <si>
    <t>Animal (except poultry) slaughtering, rendering, and processing</t>
  </si>
  <si>
    <t>311700</t>
  </si>
  <si>
    <t>Seafood product preparation and packaging</t>
  </si>
  <si>
    <t>311810</t>
  </si>
  <si>
    <t>Bread and bakery product manufacturing</t>
  </si>
  <si>
    <t>3118A0</t>
  </si>
  <si>
    <t>Cookie, cracker, pasta, and tortilla manufacturing</t>
  </si>
  <si>
    <t>311910</t>
  </si>
  <si>
    <t>Snack food manufacturing</t>
  </si>
  <si>
    <t>311920</t>
  </si>
  <si>
    <t>Coffee and tea manufacturing</t>
  </si>
  <si>
    <t>311930</t>
  </si>
  <si>
    <t>Flavoring syrup and concentrate manufacturing</t>
  </si>
  <si>
    <t>311940</t>
  </si>
  <si>
    <t>Seasoning and dressing manufacturing</t>
  </si>
  <si>
    <t>311990</t>
  </si>
  <si>
    <t>All other food manufacturing</t>
  </si>
  <si>
    <t>312110</t>
  </si>
  <si>
    <t>Soft drink and ice manufacturing</t>
  </si>
  <si>
    <t>312120</t>
  </si>
  <si>
    <t>Breweries</t>
  </si>
  <si>
    <t>312130</t>
  </si>
  <si>
    <t>Wineries</t>
  </si>
  <si>
    <t>312140</t>
  </si>
  <si>
    <t>Distilleries</t>
  </si>
  <si>
    <t>312200</t>
  </si>
  <si>
    <t>Tobacco product manufacturing</t>
  </si>
  <si>
    <t>313100</t>
  </si>
  <si>
    <t>Fiber, yarn, and thread mills</t>
  </si>
  <si>
    <t>313200</t>
  </si>
  <si>
    <t>Fabric mills</t>
  </si>
  <si>
    <t>313300</t>
  </si>
  <si>
    <t>Textile and fabric finishing and fabric coating mills</t>
  </si>
  <si>
    <t>314110</t>
  </si>
  <si>
    <t>Carpet and rug mills</t>
  </si>
  <si>
    <t>314120</t>
  </si>
  <si>
    <t>Curtain and linen mills</t>
  </si>
  <si>
    <t>314900</t>
  </si>
  <si>
    <t>Other textile product mills</t>
  </si>
  <si>
    <t>315000</t>
  </si>
  <si>
    <t>Apparel manufacturing</t>
  </si>
  <si>
    <t>316000</t>
  </si>
  <si>
    <t>Leather and allied product manufacturing</t>
  </si>
  <si>
    <t>321100</t>
  </si>
  <si>
    <t>Sawmills and wood preservation</t>
  </si>
  <si>
    <t>321200</t>
  </si>
  <si>
    <t>Veneer, plywood, and engineered wood product manufacturing</t>
  </si>
  <si>
    <t>321910</t>
  </si>
  <si>
    <t>Millwork</t>
  </si>
  <si>
    <t>3219A0</t>
  </si>
  <si>
    <t>All other wood product manufacturing</t>
  </si>
  <si>
    <t>322110</t>
  </si>
  <si>
    <t>Pulp mills</t>
  </si>
  <si>
    <t>322120</t>
  </si>
  <si>
    <t>Paper mills</t>
  </si>
  <si>
    <t>322130</t>
  </si>
  <si>
    <t>Paperboard mills</t>
  </si>
  <si>
    <t>322210</t>
  </si>
  <si>
    <t>Paperboard container manufacturing</t>
  </si>
  <si>
    <t>322220</t>
  </si>
  <si>
    <t>Paper Bag and Coated and Treated Paper Manufacturing</t>
  </si>
  <si>
    <t>322230</t>
  </si>
  <si>
    <t>Stationery product manufacturing</t>
  </si>
  <si>
    <t>322291</t>
  </si>
  <si>
    <t>Sanitary paper product manufacturing</t>
  </si>
  <si>
    <t>322299</t>
  </si>
  <si>
    <t>All other converted paper product manufacturing</t>
  </si>
  <si>
    <t>323110</t>
  </si>
  <si>
    <t>Printing</t>
  </si>
  <si>
    <t>323120</t>
  </si>
  <si>
    <t>Support activities for printing</t>
  </si>
  <si>
    <t>324110</t>
  </si>
  <si>
    <t>Petroleum refineries</t>
  </si>
  <si>
    <t>324121</t>
  </si>
  <si>
    <t>Asphalt paving mixture and block manufacturing</t>
  </si>
  <si>
    <t>324122</t>
  </si>
  <si>
    <t>Asphalt shingle and coating materials manufacturing</t>
  </si>
  <si>
    <t>324190</t>
  </si>
  <si>
    <t>Other petroleum and coal products manufacturing</t>
  </si>
  <si>
    <t>325110</t>
  </si>
  <si>
    <t>Petrochemical manufacturing</t>
  </si>
  <si>
    <t>325120</t>
  </si>
  <si>
    <t>Industrial gas manufacturing</t>
  </si>
  <si>
    <t>325130</t>
  </si>
  <si>
    <t>Synthetic dye and pigment manufacturing</t>
  </si>
  <si>
    <t>325180</t>
  </si>
  <si>
    <t>Other Basic Inorganic Chemical Manufacturing</t>
  </si>
  <si>
    <t>325190</t>
  </si>
  <si>
    <t>Other basic organic chemical manufacturing</t>
  </si>
  <si>
    <t>325211</t>
  </si>
  <si>
    <t>Plastics material and resin manufacturing</t>
  </si>
  <si>
    <t>3252A0</t>
  </si>
  <si>
    <t>Synthetic rubber and artificial and synthetic fibers and filaments manufacturing</t>
  </si>
  <si>
    <t>325310</t>
  </si>
  <si>
    <t>Fertilizer manufacturing</t>
  </si>
  <si>
    <t>325320</t>
  </si>
  <si>
    <t>Pesticide and other agricultural chemical manufacturing</t>
  </si>
  <si>
    <t>325411</t>
  </si>
  <si>
    <t>Medicinal and botanical manufacturing</t>
  </si>
  <si>
    <t>325412</t>
  </si>
  <si>
    <t>Pharmaceutical preparation manufacturing</t>
  </si>
  <si>
    <t>325413</t>
  </si>
  <si>
    <t>In-vitro diagnostic substance manufacturing</t>
  </si>
  <si>
    <t>325414</t>
  </si>
  <si>
    <t>Biological product (except diagnostic) manufacturing</t>
  </si>
  <si>
    <t>325510</t>
  </si>
  <si>
    <t>Paint and coating manufacturing</t>
  </si>
  <si>
    <t>325520</t>
  </si>
  <si>
    <t>Adhesive manufacturing</t>
  </si>
  <si>
    <t>325610</t>
  </si>
  <si>
    <t>Soap and cleaning compound manufacturing</t>
  </si>
  <si>
    <t>325620</t>
  </si>
  <si>
    <t>Toilet preparation manufacturing</t>
  </si>
  <si>
    <t>325910</t>
  </si>
  <si>
    <t>Printing ink manufacturing</t>
  </si>
  <si>
    <t>3259A0</t>
  </si>
  <si>
    <t>All other chemical product and preparation manufacturing</t>
  </si>
  <si>
    <t>326110</t>
  </si>
  <si>
    <t>Plastics packaging materials and unlaminated film and sheet manufacturing</t>
  </si>
  <si>
    <t>326120</t>
  </si>
  <si>
    <t>Plastics pipe, pipe fitting, and unlaminated profile shape manufacturing</t>
  </si>
  <si>
    <t>326130</t>
  </si>
  <si>
    <t>Laminated plastics plate, sheet (except packaging), and shape manufacturing</t>
  </si>
  <si>
    <t>326140</t>
  </si>
  <si>
    <t>Polystyrene foam product manufacturing</t>
  </si>
  <si>
    <t>326150</t>
  </si>
  <si>
    <t>Urethane and other foam product (except polystyrene) manufacturing</t>
  </si>
  <si>
    <t>326160</t>
  </si>
  <si>
    <t>Plastics bottle manufacturing</t>
  </si>
  <si>
    <t>326190</t>
  </si>
  <si>
    <t>Other plastics product manufacturing</t>
  </si>
  <si>
    <t>326210</t>
  </si>
  <si>
    <t>Tire manufacturing</t>
  </si>
  <si>
    <t>326220</t>
  </si>
  <si>
    <t>Rubber and plastics hoses and belting manufacturing</t>
  </si>
  <si>
    <t>326290</t>
  </si>
  <si>
    <t>Other rubber product manufacturing</t>
  </si>
  <si>
    <t>327100</t>
  </si>
  <si>
    <t>Clay product and refractory manufacturing</t>
  </si>
  <si>
    <t>327200</t>
  </si>
  <si>
    <t>Glass and glass product manufacturing</t>
  </si>
  <si>
    <t>327310</t>
  </si>
  <si>
    <t>Cement manufacturing</t>
  </si>
  <si>
    <t>327320</t>
  </si>
  <si>
    <t>Ready-mix concrete manufacturing</t>
  </si>
  <si>
    <t>327330</t>
  </si>
  <si>
    <t>Concrete pipe, brick, and block manufacturing</t>
  </si>
  <si>
    <t>327390</t>
  </si>
  <si>
    <t>Other concrete product manufacturing</t>
  </si>
  <si>
    <t>327400</t>
  </si>
  <si>
    <t>Lime and gypsum product manufacturing</t>
  </si>
  <si>
    <t>327910</t>
  </si>
  <si>
    <t>Abrasive product manufacturing</t>
  </si>
  <si>
    <t>327991</t>
  </si>
  <si>
    <t>Cut stone and stone product manufacturing</t>
  </si>
  <si>
    <t>327992</t>
  </si>
  <si>
    <t>Ground or treated mineral and earth manufacturing</t>
  </si>
  <si>
    <t>327993</t>
  </si>
  <si>
    <t>Mineral wool manufacturing</t>
  </si>
  <si>
    <t>327999</t>
  </si>
  <si>
    <t>Miscellaneous nonmetallic mineral products</t>
  </si>
  <si>
    <t>331110</t>
  </si>
  <si>
    <t>Iron and steel mills and ferroalloy manufacturing</t>
  </si>
  <si>
    <t>331200</t>
  </si>
  <si>
    <t>Steel product manufacturing from purchased steel</t>
  </si>
  <si>
    <t>331313</t>
  </si>
  <si>
    <t>Alumina Refining and Primary Aluminum Production</t>
  </si>
  <si>
    <t>331314</t>
  </si>
  <si>
    <t>Secondary smelting and alloying of aluminum</t>
  </si>
  <si>
    <t>33131B</t>
  </si>
  <si>
    <t>Aluminum product manufacturing from purchased aluminum</t>
  </si>
  <si>
    <t>331410</t>
  </si>
  <si>
    <t>Nonferrous Metal (except Aluminum) Smelting and Refining</t>
  </si>
  <si>
    <t>331420</t>
  </si>
  <si>
    <t>Copper rolling, drawing, extruding and alloying</t>
  </si>
  <si>
    <t>331490</t>
  </si>
  <si>
    <t>Nonferrous metal (except copper and aluminum) rolling, drawing, extruding and alloying</t>
  </si>
  <si>
    <t>331510</t>
  </si>
  <si>
    <t>Ferrous metal foundries</t>
  </si>
  <si>
    <t>331520</t>
  </si>
  <si>
    <t>Nonferrous metal foundries</t>
  </si>
  <si>
    <t>332114</t>
  </si>
  <si>
    <t>Custom roll forming</t>
  </si>
  <si>
    <t>332119</t>
  </si>
  <si>
    <t>Metal crown, closure, and other metal stamping (except automotive)</t>
  </si>
  <si>
    <t>33211A</t>
  </si>
  <si>
    <t>All other forging, stamping, and sintering</t>
  </si>
  <si>
    <t>332200</t>
  </si>
  <si>
    <t>Cutlery and handtool manufacturing</t>
  </si>
  <si>
    <t>332310</t>
  </si>
  <si>
    <t>Plate work and fabricated structural product manufacturing</t>
  </si>
  <si>
    <t>332320</t>
  </si>
  <si>
    <t>Ornamental and architectural metal products manufacturing</t>
  </si>
  <si>
    <t>332410</t>
  </si>
  <si>
    <t>Power boiler and heat exchanger manufacturing</t>
  </si>
  <si>
    <t>332420</t>
  </si>
  <si>
    <t>Metal tank (heavy gauge) manufacturing</t>
  </si>
  <si>
    <t>332430</t>
  </si>
  <si>
    <t>Metal can, box, and other metal container (light gauge) manufacturing</t>
  </si>
  <si>
    <t>332500</t>
  </si>
  <si>
    <t>Hardware manufacturing</t>
  </si>
  <si>
    <t>332600</t>
  </si>
  <si>
    <t>Spring and wire product manufacturing</t>
  </si>
  <si>
    <t>332710</t>
  </si>
  <si>
    <t>Machine shops</t>
  </si>
  <si>
    <t>332720</t>
  </si>
  <si>
    <t>Turned product and screw, nut, and bolt manufacturing</t>
  </si>
  <si>
    <t>332800</t>
  </si>
  <si>
    <t>Coating, engraving, heat treating and allied activities</t>
  </si>
  <si>
    <t>332913</t>
  </si>
  <si>
    <t>Plumbing fixture fitting and trim manufacturing</t>
  </si>
  <si>
    <t>33291A</t>
  </si>
  <si>
    <t>Valve and fittings other than plumbing</t>
  </si>
  <si>
    <t>332991</t>
  </si>
  <si>
    <t>Ball and roller bearing manufacturing</t>
  </si>
  <si>
    <t>332996</t>
  </si>
  <si>
    <t>Fabricated pipe and pipe fitting manufacturing</t>
  </si>
  <si>
    <t>332999</t>
  </si>
  <si>
    <t>Other fabricated metal manufacturing</t>
  </si>
  <si>
    <t>33299A</t>
  </si>
  <si>
    <t>Ammunition, arms, ordnance, and accessories manufacturing</t>
  </si>
  <si>
    <t>333111</t>
  </si>
  <si>
    <t>Farm machinery and equipment manufacturing</t>
  </si>
  <si>
    <t>333112</t>
  </si>
  <si>
    <t>Lawn and garden equipment manufacturing</t>
  </si>
  <si>
    <t>333120</t>
  </si>
  <si>
    <t>Construction machinery manufacturing</t>
  </si>
  <si>
    <t>333130</t>
  </si>
  <si>
    <t>Mining and oil and gas field machinery manufacturing</t>
  </si>
  <si>
    <t>333242</t>
  </si>
  <si>
    <t>Semiconductor machinery manufacturing</t>
  </si>
  <si>
    <t>33329A</t>
  </si>
  <si>
    <t>Other industrial machinery manufacturing</t>
  </si>
  <si>
    <t>333314</t>
  </si>
  <si>
    <t>Optical instrument and lens manufacturing</t>
  </si>
  <si>
    <t>333316</t>
  </si>
  <si>
    <t>Photographic and photocopying equipment manufacturing</t>
  </si>
  <si>
    <t>333413</t>
  </si>
  <si>
    <t>Industrial and commercial fan and blower and air purification equipment manufacturing</t>
  </si>
  <si>
    <t>333511</t>
  </si>
  <si>
    <t>Industrial mold manufacturing</t>
  </si>
  <si>
    <t>333514</t>
  </si>
  <si>
    <t>Special tool, die, jig, and fixture manufacturing</t>
  </si>
  <si>
    <t>333517</t>
  </si>
  <si>
    <t>Machine Tool Manufacturing</t>
  </si>
  <si>
    <t>33351B</t>
  </si>
  <si>
    <t>Cutting and machine tool accessory, rolling mill, and other metalworking machinery manufacturing</t>
  </si>
  <si>
    <t>333611</t>
  </si>
  <si>
    <t>Turbine and turbine generator set units manufacturing</t>
  </si>
  <si>
    <t>333612</t>
  </si>
  <si>
    <t>Speed changer, industrial high-speed drive, and gear manufacturing</t>
  </si>
  <si>
    <t>333613</t>
  </si>
  <si>
    <t>Mechanical power transmission equipment manufacturing</t>
  </si>
  <si>
    <t>333618</t>
  </si>
  <si>
    <t>Other engine equipment manufacturing</t>
  </si>
  <si>
    <t>333912</t>
  </si>
  <si>
    <t>Air and gas compressor manufacturing</t>
  </si>
  <si>
    <t>333914</t>
  </si>
  <si>
    <t>Pump and pumping equipment manufacturing</t>
  </si>
  <si>
    <t>333920</t>
  </si>
  <si>
    <t>Material handling equipment manufacturing</t>
  </si>
  <si>
    <t>333991</t>
  </si>
  <si>
    <t>Power-driven handtool manufacturing</t>
  </si>
  <si>
    <t>333993</t>
  </si>
  <si>
    <t>Packaging machinery manufacturing</t>
  </si>
  <si>
    <t>333994</t>
  </si>
  <si>
    <t>Industrial process furnace and oven manufacturing</t>
  </si>
  <si>
    <t>33399A</t>
  </si>
  <si>
    <t>Other general purpose machinery manufacturing</t>
  </si>
  <si>
    <t>33399B</t>
  </si>
  <si>
    <t>Fluid power process machinery</t>
  </si>
  <si>
    <t>334112</t>
  </si>
  <si>
    <t>Computer storage device manufacturing</t>
  </si>
  <si>
    <t>334118</t>
  </si>
  <si>
    <t>Computer terminals and other computer peripheral equipment manufacturing</t>
  </si>
  <si>
    <t>334210</t>
  </si>
  <si>
    <t>Telephone apparatus manufacturing</t>
  </si>
  <si>
    <t>334220</t>
  </si>
  <si>
    <t>Broadcast and wireless communications equipment</t>
  </si>
  <si>
    <t>334290</t>
  </si>
  <si>
    <t>Other communications equipment manufacturing</t>
  </si>
  <si>
    <t>334413</t>
  </si>
  <si>
    <t>Semiconductor and related device manufacturing</t>
  </si>
  <si>
    <t>334418</t>
  </si>
  <si>
    <t>Printed circuit assembly (electronic assembly) manufacturing</t>
  </si>
  <si>
    <t>33441A</t>
  </si>
  <si>
    <t>Other electronic component manufacturing</t>
  </si>
  <si>
    <t>334510</t>
  </si>
  <si>
    <t>Electromedical and electrotherapeutic apparatus manufacturing</t>
  </si>
  <si>
    <t>334511</t>
  </si>
  <si>
    <t>Search, detection, and navigation instruments manufacturing</t>
  </si>
  <si>
    <t>334512</t>
  </si>
  <si>
    <t>Automatic environmental control manufacturing</t>
  </si>
  <si>
    <t>334513</t>
  </si>
  <si>
    <t>Industrial process variable instruments manufacturing</t>
  </si>
  <si>
    <t>334514</t>
  </si>
  <si>
    <t>Totalizing fluid meter and counting device manufacturing</t>
  </si>
  <si>
    <t>334515</t>
  </si>
  <si>
    <t>Electricity and signal testing instruments manufacturing</t>
  </si>
  <si>
    <t>334516</t>
  </si>
  <si>
    <t>Analytical laboratory instrument manufacturing</t>
  </si>
  <si>
    <t>334517</t>
  </si>
  <si>
    <t>Irradiation apparatus manufacturing</t>
  </si>
  <si>
    <t>33451A</t>
  </si>
  <si>
    <t>Watch, clock, and other measuring and controlling device manufacturing</t>
  </si>
  <si>
    <t>334610</t>
  </si>
  <si>
    <t>Manufacturing and reproducing magnetic and optical media</t>
  </si>
  <si>
    <t>335311</t>
  </si>
  <si>
    <t>Power, distribution, and specialty transformer manufacturing</t>
  </si>
  <si>
    <t>335312</t>
  </si>
  <si>
    <t>Motor and generator manufacturing</t>
  </si>
  <si>
    <t>335313</t>
  </si>
  <si>
    <t>Switchgear and switchboard apparatus manufacturing</t>
  </si>
  <si>
    <t>335314</t>
  </si>
  <si>
    <t>Relay and industrial control manufacturing</t>
  </si>
  <si>
    <t>335911</t>
  </si>
  <si>
    <t>Storage battery manufacturing</t>
  </si>
  <si>
    <t>335912</t>
  </si>
  <si>
    <t>Primary battery manufacturing</t>
  </si>
  <si>
    <t>335920</t>
  </si>
  <si>
    <t>Communication and energy wire and cable manufacturing</t>
  </si>
  <si>
    <t>335930</t>
  </si>
  <si>
    <t>Wiring device manufacturing</t>
  </si>
  <si>
    <t>335991</t>
  </si>
  <si>
    <t>Carbon and graphite product manufacturing</t>
  </si>
  <si>
    <t>335999</t>
  </si>
  <si>
    <t>All other miscellaneous electrical equipment and component manufacturing</t>
  </si>
  <si>
    <t>336111</t>
  </si>
  <si>
    <t>Automobile manufacturing</t>
  </si>
  <si>
    <t>336112</t>
  </si>
  <si>
    <t>Light truck and utility vehicle manufacturing</t>
  </si>
  <si>
    <t>336120</t>
  </si>
  <si>
    <t>Heavy duty truck manufacturing</t>
  </si>
  <si>
    <t>336211</t>
  </si>
  <si>
    <t>Motor vehicle body manufacturing</t>
  </si>
  <si>
    <t>336212</t>
  </si>
  <si>
    <t>Truck trailer manufacturing</t>
  </si>
  <si>
    <t>336213</t>
  </si>
  <si>
    <t>Motor home manufacturing</t>
  </si>
  <si>
    <t>336214</t>
  </si>
  <si>
    <t>Travel trailer and camper manufacturing</t>
  </si>
  <si>
    <t>336310</t>
  </si>
  <si>
    <t>Motor vehicle gasoline engine and engine parts manufacturing</t>
  </si>
  <si>
    <t>336320</t>
  </si>
  <si>
    <t>Motor vehicle electrical and electronic equipment manufacturing</t>
  </si>
  <si>
    <t>336350</t>
  </si>
  <si>
    <t>Motor vehicle transmission and power train parts manufacturing</t>
  </si>
  <si>
    <t>336360</t>
  </si>
  <si>
    <t>Motor vehicle seating and interior trim manufacturing</t>
  </si>
  <si>
    <t>336370</t>
  </si>
  <si>
    <t>Motor vehicle metal stamping</t>
  </si>
  <si>
    <t>336390</t>
  </si>
  <si>
    <t>Other Motor Vehicle Parts Manufacturing</t>
  </si>
  <si>
    <t>3363A0</t>
  </si>
  <si>
    <t>Motor vehicle steering, suspension component (except spring), and brake systems manufacturing</t>
  </si>
  <si>
    <t>336411</t>
  </si>
  <si>
    <t>Aircraft manufacturing</t>
  </si>
  <si>
    <t>336412</t>
  </si>
  <si>
    <t>Aircraft engine and engine parts manufacturing</t>
  </si>
  <si>
    <t>336413</t>
  </si>
  <si>
    <t>Other aircraft parts and auxiliary equipment manufacturing</t>
  </si>
  <si>
    <t>336414</t>
  </si>
  <si>
    <t>Guided missile and space vehicle manufacturing</t>
  </si>
  <si>
    <t>33641A</t>
  </si>
  <si>
    <t>Propulsion units and parts for space vehicles and guided missiles</t>
  </si>
  <si>
    <t>336500</t>
  </si>
  <si>
    <t>Railroad rolling stock manufacturing</t>
  </si>
  <si>
    <t>336611</t>
  </si>
  <si>
    <t>Ship building and repairing</t>
  </si>
  <si>
    <t>336612</t>
  </si>
  <si>
    <t>Boat building</t>
  </si>
  <si>
    <t>336991</t>
  </si>
  <si>
    <t>Motorcycle, bicycle, and parts manufacturing</t>
  </si>
  <si>
    <t>336992</t>
  </si>
  <si>
    <t>Military armored vehicle, tank, and tank component manufacturing</t>
  </si>
  <si>
    <t>336999</t>
  </si>
  <si>
    <t>All other transportation equipment manufacturing</t>
  </si>
  <si>
    <t>337110</t>
  </si>
  <si>
    <t>Wood kitchen cabinet and countertop manufacturing</t>
  </si>
  <si>
    <t>337121</t>
  </si>
  <si>
    <t>Upholstered household furniture manufacturing</t>
  </si>
  <si>
    <t>337122</t>
  </si>
  <si>
    <t>Nonupholstered wood household furniture manufacturing</t>
  </si>
  <si>
    <t>337127</t>
  </si>
  <si>
    <t>Institutional furniture manufacturing</t>
  </si>
  <si>
    <t>33712N</t>
  </si>
  <si>
    <t>Other household nonupholstered furniture</t>
  </si>
  <si>
    <t>337215</t>
  </si>
  <si>
    <t>Showcase, partition, shelving, and locker manufacturing</t>
  </si>
  <si>
    <t>33721A</t>
  </si>
  <si>
    <t>Office furniture and custom architectural woodwork and millwork manufacturing</t>
  </si>
  <si>
    <t>337900</t>
  </si>
  <si>
    <t>Other furniture related product manufacturing</t>
  </si>
  <si>
    <t>339112</t>
  </si>
  <si>
    <t>Surgical and medical instrument manufacturing</t>
  </si>
  <si>
    <t>339113</t>
  </si>
  <si>
    <t>Surgical appliance and supplies manufacturing</t>
  </si>
  <si>
    <t>339114</t>
  </si>
  <si>
    <t>Dental equipment and supplies manufacturing</t>
  </si>
  <si>
    <t>339115</t>
  </si>
  <si>
    <t>Ophthalmic goods manufacturing</t>
  </si>
  <si>
    <t>339116</t>
  </si>
  <si>
    <t>Dental laboratories</t>
  </si>
  <si>
    <t>339910</t>
  </si>
  <si>
    <t>Jewelry and silverware manufacturing</t>
  </si>
  <si>
    <t>339920</t>
  </si>
  <si>
    <t>Sporting and athletic goods manufacturing</t>
  </si>
  <si>
    <t>339930</t>
  </si>
  <si>
    <t>Doll, toy, and game manufacturing</t>
  </si>
  <si>
    <t>339940</t>
  </si>
  <si>
    <t>Office supplies (except paper) manufacturing</t>
  </si>
  <si>
    <t>339950</t>
  </si>
  <si>
    <t>Sign manufacturing</t>
  </si>
  <si>
    <t>339990</t>
  </si>
  <si>
    <t>All other miscellaneous manufacturing</t>
  </si>
  <si>
    <t>423100</t>
  </si>
  <si>
    <t>Motor vehicle and motor vehicle parts and supplies</t>
  </si>
  <si>
    <t>423400</t>
  </si>
  <si>
    <t>Professional and commercial equipment and supplies</t>
  </si>
  <si>
    <t>423600</t>
  </si>
  <si>
    <t>Household appliances and electrical and electronic goods</t>
  </si>
  <si>
    <t>423800</t>
  </si>
  <si>
    <t>Machinery, equipment, and supplies</t>
  </si>
  <si>
    <t>423A00</t>
  </si>
  <si>
    <t>Other durable goods merchant wholesalers</t>
  </si>
  <si>
    <t>424200</t>
  </si>
  <si>
    <t>Drugs and druggists' sundries</t>
  </si>
  <si>
    <t>424400</t>
  </si>
  <si>
    <t>Grocery and related product wholesalers</t>
  </si>
  <si>
    <t>424700</t>
  </si>
  <si>
    <t>Petroleum and petroleum products</t>
  </si>
  <si>
    <t>424A00</t>
  </si>
  <si>
    <t>Other nondurable goods merchant wholesalers</t>
  </si>
  <si>
    <t>425000</t>
  </si>
  <si>
    <t>Wholesale electronic markets and agents and brokers</t>
  </si>
  <si>
    <t>441000</t>
  </si>
  <si>
    <t>Motor vehicle and parts dealers</t>
  </si>
  <si>
    <t>444000</t>
  </si>
  <si>
    <t>Building material and garden equipment and supplies dealers</t>
  </si>
  <si>
    <t>445000</t>
  </si>
  <si>
    <t>Food and beverage stores</t>
  </si>
  <si>
    <t>446000</t>
  </si>
  <si>
    <t>Health and personal care stores</t>
  </si>
  <si>
    <t>447000</t>
  </si>
  <si>
    <t>Gasoline stations</t>
  </si>
  <si>
    <t>448000</t>
  </si>
  <si>
    <t>Clothing and clothing accessories stores</t>
  </si>
  <si>
    <t>452000</t>
  </si>
  <si>
    <t>General merchandise stores</t>
  </si>
  <si>
    <t>454000</t>
  </si>
  <si>
    <t>Nonstore retailers</t>
  </si>
  <si>
    <t>482000</t>
  </si>
  <si>
    <t>Rail transportation</t>
  </si>
  <si>
    <t>483000</t>
  </si>
  <si>
    <t>Water transportation</t>
  </si>
  <si>
    <t>484000</t>
  </si>
  <si>
    <t>Truck transportation</t>
  </si>
  <si>
    <t>486000</t>
  </si>
  <si>
    <t>Pipeline transportation</t>
  </si>
  <si>
    <t>48A000</t>
  </si>
  <si>
    <t>Scenic and sightseeing transportation and support activities</t>
  </si>
  <si>
    <t>491000</t>
  </si>
  <si>
    <t>Postal service</t>
  </si>
  <si>
    <t>492000</t>
  </si>
  <si>
    <t>Couriers and messengers</t>
  </si>
  <si>
    <t>493000</t>
  </si>
  <si>
    <t>Warehousing and storage</t>
  </si>
  <si>
    <t>4B0000</t>
  </si>
  <si>
    <t>All other retail</t>
  </si>
  <si>
    <t>511110</t>
  </si>
  <si>
    <t>Newspaper publishers</t>
  </si>
  <si>
    <t>511120</t>
  </si>
  <si>
    <t>Periodical Publishers</t>
  </si>
  <si>
    <t>511130</t>
  </si>
  <si>
    <t>Book publishers</t>
  </si>
  <si>
    <t>5111A0</t>
  </si>
  <si>
    <t>Directory, mailing list, and other publishers</t>
  </si>
  <si>
    <t>511200</t>
  </si>
  <si>
    <t>Software publishers</t>
  </si>
  <si>
    <t>512100</t>
  </si>
  <si>
    <t>Motion picture and video industries</t>
  </si>
  <si>
    <t>512200</t>
  </si>
  <si>
    <t>Sound recording industries</t>
  </si>
  <si>
    <t>515100</t>
  </si>
  <si>
    <t>Radio and television broadcasting</t>
  </si>
  <si>
    <t>515200</t>
  </si>
  <si>
    <t>Cable and other subscription programming</t>
  </si>
  <si>
    <t>517110</t>
  </si>
  <si>
    <t>Wired telecommunications carriers</t>
  </si>
  <si>
    <t>517210</t>
  </si>
  <si>
    <t>Wireless telecommunications carriers (except satellite)</t>
  </si>
  <si>
    <t>517A00</t>
  </si>
  <si>
    <t>Satellite, telecommunications resellers, and all other telecommunications</t>
  </si>
  <si>
    <t>518200</t>
  </si>
  <si>
    <t>Data processing, hosting, and related services</t>
  </si>
  <si>
    <t>519130</t>
  </si>
  <si>
    <t>Internet publishing and broadcasting and Web search portals</t>
  </si>
  <si>
    <t>5191A0</t>
  </si>
  <si>
    <t>News syndicates, libraries, archives and all other information services</t>
  </si>
  <si>
    <t>522A00</t>
  </si>
  <si>
    <t>Nondepository credit intermediation and related activities</t>
  </si>
  <si>
    <t>523900</t>
  </si>
  <si>
    <t>Other financial investment activities</t>
  </si>
  <si>
    <t>523A00</t>
  </si>
  <si>
    <t>Securities and commodity contracts intermediation and brokerage</t>
  </si>
  <si>
    <t>5241XX</t>
  </si>
  <si>
    <t>Insurance Carriers, except Direct Life Insurance</t>
  </si>
  <si>
    <t>524200</t>
  </si>
  <si>
    <t>Insurance agencies, brokerages, and related activities</t>
  </si>
  <si>
    <t>52A000</t>
  </si>
  <si>
    <t>Monetary authorities and depository credit intermediation</t>
  </si>
  <si>
    <t>531HSO</t>
  </si>
  <si>
    <t>Owner-occupied housing</t>
  </si>
  <si>
    <t>531HST</t>
  </si>
  <si>
    <t>Tenant-occupied housing</t>
  </si>
  <si>
    <t>531ORE</t>
  </si>
  <si>
    <t>Other real estate</t>
  </si>
  <si>
    <t>532400</t>
  </si>
  <si>
    <t>Commercial and industrial machinery and equipment rental and leasing</t>
  </si>
  <si>
    <t>532A00</t>
  </si>
  <si>
    <t>General and consumer goods rental</t>
  </si>
  <si>
    <t>541100</t>
  </si>
  <si>
    <t>Legal services</t>
  </si>
  <si>
    <t>541200</t>
  </si>
  <si>
    <t>Accounting, tax preparation, bookkeeping, and payroll services</t>
  </si>
  <si>
    <t>541300</t>
  </si>
  <si>
    <t>Architectural, engineering, and related services</t>
  </si>
  <si>
    <t>541400</t>
  </si>
  <si>
    <t>Specialized design services</t>
  </si>
  <si>
    <t>541511</t>
  </si>
  <si>
    <t>Custom computer programming services</t>
  </si>
  <si>
    <t>541512</t>
  </si>
  <si>
    <t>Computer systems design services</t>
  </si>
  <si>
    <t>54151A</t>
  </si>
  <si>
    <t>Other computer related services, including facilities management</t>
  </si>
  <si>
    <t>541610</t>
  </si>
  <si>
    <t>Management consulting services</t>
  </si>
  <si>
    <t>5416A0</t>
  </si>
  <si>
    <t>Environmental and other technical consulting services</t>
  </si>
  <si>
    <t>541700</t>
  </si>
  <si>
    <t>Scientific research and development services</t>
  </si>
  <si>
    <t>541800</t>
  </si>
  <si>
    <t>Advertising, public relations, and related services</t>
  </si>
  <si>
    <t>541940</t>
  </si>
  <si>
    <t>Veterinary services</t>
  </si>
  <si>
    <t>5419A0</t>
  </si>
  <si>
    <t>All other miscellaneous professional, scientific, and technical services</t>
  </si>
  <si>
    <t>550000</t>
  </si>
  <si>
    <t>Management of companies and enterprises</t>
  </si>
  <si>
    <t>561100</t>
  </si>
  <si>
    <t>Office administrative services</t>
  </si>
  <si>
    <t>561200</t>
  </si>
  <si>
    <t>Facilities support services</t>
  </si>
  <si>
    <t>561300</t>
  </si>
  <si>
    <t>Employment services</t>
  </si>
  <si>
    <t>561400</t>
  </si>
  <si>
    <t>Business support services</t>
  </si>
  <si>
    <t>561500</t>
  </si>
  <si>
    <t>Travel arrangement and reservation services</t>
  </si>
  <si>
    <t>561600</t>
  </si>
  <si>
    <t>Investigation and security services</t>
  </si>
  <si>
    <t>561700</t>
  </si>
  <si>
    <t>Services to buildings and dwellings</t>
  </si>
  <si>
    <t>561900</t>
  </si>
  <si>
    <t>Other support services</t>
  </si>
  <si>
    <t>562000</t>
  </si>
  <si>
    <t>Waste management and remediation services</t>
  </si>
  <si>
    <t>611100</t>
  </si>
  <si>
    <t>Elementary and secondary schools</t>
  </si>
  <si>
    <t>611A00</t>
  </si>
  <si>
    <t>Junior colleges, colleges, universities, and professional schools</t>
  </si>
  <si>
    <t>611B00</t>
  </si>
  <si>
    <t>Other educational services</t>
  </si>
  <si>
    <t>621100</t>
  </si>
  <si>
    <t>Offices of physicians</t>
  </si>
  <si>
    <t>621200</t>
  </si>
  <si>
    <t>Offices of dentists</t>
  </si>
  <si>
    <t>621300</t>
  </si>
  <si>
    <t>Offices of other health practitioners</t>
  </si>
  <si>
    <t>621400</t>
  </si>
  <si>
    <t>Outpatient care centers</t>
  </si>
  <si>
    <t>621500</t>
  </si>
  <si>
    <t>Medical and diagnostic laboratories</t>
  </si>
  <si>
    <t>621600</t>
  </si>
  <si>
    <t>Home health care services</t>
  </si>
  <si>
    <t>621900</t>
  </si>
  <si>
    <t>Other ambulatory health care services</t>
  </si>
  <si>
    <t>622000</t>
  </si>
  <si>
    <t>Hospitals</t>
  </si>
  <si>
    <t>623A00</t>
  </si>
  <si>
    <t>Nursing and community care facilities</t>
  </si>
  <si>
    <t>623B00</t>
  </si>
  <si>
    <t>Residential mental health, substance abuse, and other residential care facilities</t>
  </si>
  <si>
    <t>624100</t>
  </si>
  <si>
    <t>Individual and family services</t>
  </si>
  <si>
    <t>624400</t>
  </si>
  <si>
    <t>Child day care services</t>
  </si>
  <si>
    <t>624A00</t>
  </si>
  <si>
    <t>Community food, housing, and other relief services, including vocational rehabilitation services</t>
  </si>
  <si>
    <t>711100</t>
  </si>
  <si>
    <t>Performing arts companies</t>
  </si>
  <si>
    <t>711200</t>
  </si>
  <si>
    <t>Spectator sports</t>
  </si>
  <si>
    <t>711A00</t>
  </si>
  <si>
    <t>Promoters of performing arts and sports and agents for public figures</t>
  </si>
  <si>
    <t>712000</t>
  </si>
  <si>
    <t>Museums, historical sites, zoos, and parks</t>
  </si>
  <si>
    <t>713100</t>
  </si>
  <si>
    <t>Amusement parks and arcades</t>
  </si>
  <si>
    <t>713200</t>
  </si>
  <si>
    <t>Gambling industries (except casino hotels)</t>
  </si>
  <si>
    <t>713900</t>
  </si>
  <si>
    <t>Other amusement and recreation industries</t>
  </si>
  <si>
    <t>721000</t>
  </si>
  <si>
    <t>Accommodation</t>
  </si>
  <si>
    <t>722110</t>
  </si>
  <si>
    <t>Full-service restaurants</t>
  </si>
  <si>
    <t>722211</t>
  </si>
  <si>
    <t>Limited-service restaurants</t>
  </si>
  <si>
    <t>722A00</t>
  </si>
  <si>
    <t>All other food and drinking places</t>
  </si>
  <si>
    <t>811100</t>
  </si>
  <si>
    <t>Automotive repair and maintenance</t>
  </si>
  <si>
    <t>811200</t>
  </si>
  <si>
    <t>Electronic and precision equipment repair and maintenance</t>
  </si>
  <si>
    <t>811300</t>
  </si>
  <si>
    <t>Commercial and industrial machinery and equipment repair and maintenance</t>
  </si>
  <si>
    <t>811400</t>
  </si>
  <si>
    <t>Personal and household goods repair and maintenance</t>
  </si>
  <si>
    <t>812100</t>
  </si>
  <si>
    <t>Personal care services</t>
  </si>
  <si>
    <t>812200</t>
  </si>
  <si>
    <t>Death care services</t>
  </si>
  <si>
    <t>812300</t>
  </si>
  <si>
    <t>Dry-cleaning and laundry services</t>
  </si>
  <si>
    <t>812900</t>
  </si>
  <si>
    <t>Other personal services</t>
  </si>
  <si>
    <t>813100</t>
  </si>
  <si>
    <t>Religious organizations</t>
  </si>
  <si>
    <t>813A00</t>
  </si>
  <si>
    <t>Grantmaking, giving, and social advocacy organizations</t>
  </si>
  <si>
    <t>813B00</t>
  </si>
  <si>
    <t>Civic, social, professional, and similar organizations</t>
  </si>
  <si>
    <t>F01000</t>
  </si>
  <si>
    <t>Personal consumption expenditures</t>
  </si>
  <si>
    <t>F02E00</t>
  </si>
  <si>
    <t>Nonresidential private fixed investment in equipment</t>
  </si>
  <si>
    <t>F02R00</t>
  </si>
  <si>
    <t>Residential private fixed investment</t>
  </si>
  <si>
    <t>F03000</t>
  </si>
  <si>
    <t>Change in private inventories</t>
  </si>
  <si>
    <t>F04000</t>
  </si>
  <si>
    <t>Exports of goods and services</t>
  </si>
  <si>
    <t>F05000</t>
  </si>
  <si>
    <t>Imports of goods and services</t>
  </si>
  <si>
    <t>F06E00</t>
  </si>
  <si>
    <t>Federal national defense: Gross investment in equipment</t>
  </si>
  <si>
    <t>F07E00</t>
  </si>
  <si>
    <t>Federal nondefense: Gross investment in equipment</t>
  </si>
  <si>
    <t>F10E00</t>
  </si>
  <si>
    <t>State and local: Gross investment in equipment</t>
  </si>
  <si>
    <t>GSLGE</t>
  </si>
  <si>
    <t>State and local government educational services</t>
  </si>
  <si>
    <t>GSLGH</t>
  </si>
  <si>
    <t>State and local government hospitals and health services</t>
  </si>
  <si>
    <t>GSLGO</t>
  </si>
  <si>
    <t>State and local government other services</t>
  </si>
  <si>
    <t>S00101</t>
  </si>
  <si>
    <t>Federal electric utilities</t>
  </si>
  <si>
    <t>S00102</t>
  </si>
  <si>
    <t>Other federal government enterprises</t>
  </si>
  <si>
    <t>S00201</t>
  </si>
  <si>
    <t>State and local government passenger transit</t>
  </si>
  <si>
    <t>S00202</t>
  </si>
  <si>
    <t>State and local government electric utilities</t>
  </si>
  <si>
    <t>S00203</t>
  </si>
  <si>
    <t>Other state and local government enterprises</t>
  </si>
  <si>
    <t>S00500</t>
  </si>
  <si>
    <t>Federal general government (defense)</t>
  </si>
  <si>
    <t>S00600</t>
  </si>
  <si>
    <t>Federal general government (nondefense)</t>
  </si>
  <si>
    <t>Buyer group used in this file</t>
  </si>
  <si>
    <t>Bought through a contractor?</t>
  </si>
  <si>
    <t>Rows copied verbatim from BEA "Margins, Before Redefinitions, 2017" (detail, sheet 2017) for the nine equipment commodities this file uses, all buyers. Columns J and K are added for this file.</t>
  </si>
  <si>
    <t>Which buyers count as residential or commercial building purchases. Edit column C to change the grouping; "Not used" rows are left out.</t>
  </si>
  <si>
    <t>BEA buyer code</t>
  </si>
  <si>
    <t>Buyer</t>
  </si>
  <si>
    <t>Group</t>
  </si>
  <si>
    <t>Why</t>
  </si>
  <si>
    <t>Businesses and governments buying equipment for their buildings, directly or through nonresidential construction contractors</t>
  </si>
  <si>
    <t>Not used</t>
  </si>
  <si>
    <t>Not a buyer of building equipment (farms, mines, factories, utilities, transport fleets, industrial and civil construction, trade flows)</t>
  </si>
  <si>
    <t>Residential</t>
  </si>
  <si>
    <t>Households, landlords, owner- and tenant-occupied housing, and residential construction contractors</t>
  </si>
  <si>
    <t>Markups on equipment: how much of the equipment price goes to the maker, to freight, and to wholesale and retail trade</t>
  </si>
  <si>
    <t>Each row adds up BEA's 2017 purchases of the listed commodities by one group of buyers. The three share columns (L-N) are what the Cost Breakdowns tab uses.</t>
  </si>
  <si>
    <t>Component</t>
  </si>
  <si>
    <t>Buyer group</t>
  </si>
  <si>
    <t>BEA commodity 1</t>
  </si>
  <si>
    <t>BEA commodity 2</t>
  </si>
  <si>
    <t>BEA commodity 3</t>
  </si>
  <si>
    <t>Producers' value ($M)</t>
  </si>
  <si>
    <t>Freight ($M)</t>
  </si>
  <si>
    <t>Wholesale margin ($M)</t>
  </si>
  <si>
    <t>Retail margin ($M)</t>
  </si>
  <si>
    <t>Bought directly ($M purchasers value)</t>
  </si>
  <si>
    <t>Bought through contractors ($M purchasers value)</t>
  </si>
  <si>
    <t>MANUFACTURER'S SHARE</t>
  </si>
  <si>
    <t>FREIGHT SHARE (to ISIC 49)</t>
  </si>
  <si>
    <t>WHOLESALE + RETAIL SHARE (to ISIC 45T47)</t>
  </si>
  <si>
    <t>Share bought through contractors</t>
  </si>
  <si>
    <t/>
  </si>
  <si>
    <t>BEA rounds each figure to the nearest million dollars; the shares divide by the sum of the four parts so they add to exactly 100%. Purchasers' value for imports and exports is left out because those buyers are not used.</t>
  </si>
  <si>
    <t>Equipment markup (wholesale and retail)</t>
  </si>
  <si>
    <t>Equipment freight</t>
  </si>
  <si>
    <t>Other uses the appliances cost breakdown</t>
  </si>
  <si>
    <t>Equipment rows: the equipment part of the installed cost times the manufacturer's, markup or freight share on the Margin Calcs tab.</t>
  </si>
  <si>
    <t>Output rows add to 100% (envelope rows are empty)</t>
  </si>
  <si>
    <t>Markups on equipment (manufacturer, freight, wholesale and retail)</t>
  </si>
  <si>
    <t>U.S. Bureau of Economic Analysis</t>
  </si>
  <si>
    <t>Margins, Before Redefinitions, Detail (input-output accounts), sheet "2017"</t>
  </si>
  <si>
    <t>https://apps.bea.gov/industry/release/xlsx/Margins_Before_Redefinitions_Detail.xlsx</t>
  </si>
  <si>
    <t>Rows for the nine equipment commodities used here are on the "BEA 2017 Margins" tab. Accessed October 2026.</t>
  </si>
  <si>
    <t>Equipment markups: the equipment prices from EIA are what a buyer pays, which includes freight and the wholesaler's and</t>
  </si>
  <si>
    <t>retailer's markups. Only the manufacturer's share goes to the equipment ISIC code; the markups go to wholesale and retail trade</t>
  </si>
  <si>
    <t>(ISIC 45T47) and freight to land transport (ISIC 49). The shares come from BEA's 2017 margins table, adding up purchases by</t>
  </si>
  <si>
    <t>the buyers who buy each kind of equipment for buildings: households, landlords and residential contractors for the residential</t>
  </si>
  <si>
    <t>files, and businesses, governments and nonresidential contractors for the commercial file (see the "BEA Buyer Groups" tab).</t>
  </si>
  <si>
    <t>This weights retail and contractor channels by how much each actually buys: for example, about 59% of residential air</t>
  </si>
  <si>
    <t>conditioning equipment is bought through contractors, while nearly all household appliances and electronics are bought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</si>
</sst>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sz val="10"/>
      <color theme="1"/>
      <name val="Calibri"/>
      <family val="2"/>
      <scheme val="minor"/>
    </font>
    <font>
      <b/>
      <sz val="12"/>
      <color theme="4"/>
      <name val="Calibri"/>
      <family val="2"/>
      <scheme val="minor"/>
    </font>
    <font>
      <b/>
      <sz val="10"/>
      <color theme="1"/>
      <name val="Calibri"/>
      <family val="2"/>
      <scheme val="minor"/>
    </font>
    <font>
      <b/>
      <sz val="9"/>
      <color theme="1"/>
      <name val="Calibri"/>
      <family val="2"/>
      <scheme val="minor"/>
    </font>
    <font>
      <sz val="9"/>
      <color theme="1"/>
      <name val="Calibri"/>
      <family val="2"/>
      <scheme val="minor"/>
    </font>
    <font>
      <b/>
      <sz val="11"/>
      <color theme="0" tint="-0.499984740745262"/>
      <name val="Calibri"/>
      <family val="2"/>
      <scheme val="minor"/>
    </font>
    <font>
      <b/>
      <sz val="11"/>
      <name val="Calibri"/>
      <family val="2"/>
      <scheme val="minor"/>
    </font>
    <font>
      <i/>
      <sz val="11"/>
      <color theme="1"/>
      <name val="Calibri"/>
      <family val="2"/>
      <scheme val="minor"/>
    </font>
    <font>
      <b/>
      <sz val="11"/>
      <name val="Calibri"/>
    </font>
    <font>
      <sz val="11"/>
      <name val="Calibri"/>
    </font>
  </fonts>
  <fills count="10">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right/>
      <top/>
      <bottom style="thick">
        <color theme="4"/>
      </bottom>
      <diagonal/>
    </border>
    <border>
      <left/>
      <right/>
      <top/>
      <bottom style="thick">
        <color theme="0" tint="-0.24994659260841701"/>
      </bottom>
      <diagonal/>
    </border>
    <border>
      <left/>
      <right/>
      <top style="thick">
        <color theme="0" tint="-0.24994659260841701"/>
      </top>
      <bottom/>
      <diagonal/>
    </border>
    <border>
      <left/>
      <right/>
      <top/>
      <bottom style="dashed">
        <color theme="0" tint="-0.24994659260841701"/>
      </bottom>
      <diagonal/>
    </border>
    <border>
      <left/>
      <right/>
      <top style="thick">
        <color theme="4"/>
      </top>
      <bottom style="dashed">
        <color theme="0" tint="-0.24994659260841701"/>
      </bottom>
      <diagonal/>
    </border>
    <border>
      <left/>
      <right/>
      <top/>
      <bottom style="thin">
        <color theme="0" tint="-0.249977111117893"/>
      </bottom>
      <diagonal/>
    </border>
    <border>
      <left style="medium">
        <color indexed="64"/>
      </left>
      <right/>
      <top style="medium">
        <color indexed="64"/>
      </top>
      <bottom style="thin">
        <color theme="0" tint="-0.249977111117893"/>
      </bottom>
      <diagonal/>
    </border>
    <border>
      <left/>
      <right/>
      <top style="medium">
        <color indexed="64"/>
      </top>
      <bottom style="thin">
        <color theme="0" tint="-0.249977111117893"/>
      </bottom>
      <diagonal/>
    </border>
    <border>
      <left/>
      <right style="medium">
        <color indexed="64"/>
      </right>
      <top style="medium">
        <color indexed="64"/>
      </top>
      <bottom style="thin">
        <color theme="0" tint="-0.249977111117893"/>
      </bottom>
      <diagonal/>
    </border>
    <border>
      <left style="medium">
        <color indexed="64"/>
      </left>
      <right/>
      <top/>
      <bottom style="dashed">
        <color theme="0" tint="-0.24994659260841701"/>
      </bottom>
      <diagonal/>
    </border>
    <border>
      <left/>
      <right style="medium">
        <color indexed="64"/>
      </right>
      <top/>
      <bottom style="dashed">
        <color theme="0" tint="-0.24994659260841701"/>
      </bottom>
      <diagonal/>
    </border>
    <border>
      <left style="medium">
        <color indexed="64"/>
      </left>
      <right/>
      <top/>
      <bottom style="medium">
        <color indexed="64"/>
      </bottom>
      <diagonal/>
    </border>
    <border>
      <left/>
      <right/>
      <top style="medium">
        <color theme="4"/>
      </top>
      <bottom/>
      <diagonal/>
    </border>
    <border>
      <left/>
      <right/>
      <top/>
      <bottom style="thin">
        <color theme="0" tint="-0.24994659260841701"/>
      </bottom>
      <diagonal/>
    </border>
    <border>
      <left/>
      <right style="thick">
        <color theme="0"/>
      </right>
      <top/>
      <bottom style="thin">
        <color theme="0" tint="-0.24994659260841701"/>
      </bottom>
      <diagonal/>
    </border>
    <border>
      <left/>
      <right/>
      <top style="thin">
        <color theme="0" tint="-0.24994659260841701"/>
      </top>
      <bottom style="thin">
        <color theme="0" tint="-0.24994659260841701"/>
      </bottom>
      <diagonal/>
    </border>
    <border>
      <left/>
      <right/>
      <top style="thick">
        <color theme="0" tint="-0.24994659260841701"/>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ck">
        <color theme="0" tint="-0.24994659260841701"/>
      </top>
      <bottom style="thick">
        <color theme="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9" fontId="1" fillId="0" borderId="0"/>
    <xf numFmtId="0" fontId="3" fillId="0" borderId="0"/>
    <xf numFmtId="43" fontId="1" fillId="0" borderId="0"/>
    <xf numFmtId="0" fontId="6" fillId="0" borderId="0">
      <alignment horizontal="left"/>
    </xf>
    <xf numFmtId="0" fontId="8" fillId="0" borderId="4">
      <alignment wrapText="1"/>
    </xf>
    <xf numFmtId="0" fontId="9" fillId="0" borderId="7">
      <alignment wrapText="1"/>
    </xf>
    <xf numFmtId="0" fontId="8" fillId="0" borderId="9">
      <alignment wrapText="1"/>
    </xf>
    <xf numFmtId="0" fontId="9" fillId="0" borderId="16">
      <alignment vertical="top" wrapText="1"/>
    </xf>
  </cellStyleXfs>
  <cellXfs count="135">
    <xf numFmtId="0" fontId="0" fillId="0" borderId="0" xfId="0"/>
    <xf numFmtId="0" fontId="3" fillId="0" borderId="0" xfId="2"/>
    <xf numFmtId="0" fontId="2" fillId="0" borderId="0" xfId="0" applyFont="1"/>
    <xf numFmtId="0" fontId="2" fillId="2" borderId="0" xfId="0" applyFont="1" applyFill="1"/>
    <xf numFmtId="0" fontId="0" fillId="0" borderId="0" xfId="0" applyAlignment="1">
      <alignment horizontal="left"/>
    </xf>
    <xf numFmtId="0" fontId="0" fillId="0" borderId="0" xfId="0" applyAlignment="1">
      <alignment vertical="center"/>
    </xf>
    <xf numFmtId="9" fontId="0" fillId="0" borderId="0" xfId="1" applyFont="1"/>
    <xf numFmtId="0" fontId="4" fillId="0" borderId="0" xfId="0" applyFont="1" applyAlignment="1">
      <alignment wrapText="1"/>
    </xf>
    <xf numFmtId="3" fontId="5" fillId="0" borderId="0" xfId="0" applyNumberFormat="1" applyFont="1"/>
    <xf numFmtId="0" fontId="6" fillId="0" borderId="0" xfId="4" applyAlignment="1">
      <alignment horizontal="left" wrapText="1"/>
    </xf>
    <xf numFmtId="0" fontId="7" fillId="0" borderId="4" xfId="5" applyFont="1">
      <alignment wrapText="1"/>
    </xf>
    <xf numFmtId="3" fontId="7" fillId="0" borderId="1" xfId="5" applyNumberFormat="1" applyFont="1" applyBorder="1" applyAlignment="1">
      <alignment horizontal="right" wrapText="1"/>
    </xf>
    <xf numFmtId="0" fontId="7" fillId="0" borderId="8" xfId="6" applyFont="1" applyBorder="1">
      <alignment wrapText="1"/>
    </xf>
    <xf numFmtId="3" fontId="5" fillId="0" borderId="8" xfId="6" applyNumberFormat="1" applyFont="1" applyBorder="1" applyAlignment="1">
      <alignment horizontal="right" wrapText="1"/>
    </xf>
    <xf numFmtId="3" fontId="5" fillId="0" borderId="7" xfId="6" applyNumberFormat="1" applyFont="1" applyAlignment="1">
      <alignment horizontal="right" wrapText="1"/>
    </xf>
    <xf numFmtId="0" fontId="7" fillId="0" borderId="9" xfId="7" applyFont="1">
      <alignment wrapText="1"/>
    </xf>
    <xf numFmtId="3" fontId="7" fillId="0" borderId="9" xfId="7" applyNumberFormat="1" applyFont="1" applyAlignment="1">
      <alignment horizontal="right" wrapText="1"/>
    </xf>
    <xf numFmtId="0" fontId="5" fillId="0" borderId="7" xfId="6" applyFont="1">
      <alignment wrapText="1"/>
    </xf>
    <xf numFmtId="0" fontId="5" fillId="0" borderId="7" xfId="6" applyFont="1" applyAlignment="1">
      <alignment horizontal="left" wrapText="1" indent="1"/>
    </xf>
    <xf numFmtId="0" fontId="7" fillId="0" borderId="0" xfId="6" applyFont="1" applyBorder="1">
      <alignment wrapText="1"/>
    </xf>
    <xf numFmtId="0" fontId="5" fillId="0" borderId="7" xfId="6" applyFont="1" applyAlignment="1">
      <alignment horizontal="left" wrapText="1" indent="2"/>
    </xf>
    <xf numFmtId="3" fontId="7" fillId="0" borderId="9" xfId="7" applyNumberFormat="1" applyFont="1">
      <alignment wrapText="1"/>
    </xf>
    <xf numFmtId="3" fontId="5" fillId="0" borderId="7" xfId="6" applyNumberFormat="1" applyFont="1">
      <alignment wrapText="1"/>
    </xf>
    <xf numFmtId="0" fontId="5" fillId="0" borderId="0" xfId="6" applyFont="1" applyBorder="1">
      <alignment wrapText="1"/>
    </xf>
    <xf numFmtId="3" fontId="5" fillId="0" borderId="0" xfId="6" applyNumberFormat="1" applyFont="1" applyBorder="1" applyAlignment="1">
      <alignment horizontal="right" wrapText="1"/>
    </xf>
    <xf numFmtId="0" fontId="7" fillId="3" borderId="10" xfId="7" applyFont="1" applyFill="1" applyBorder="1">
      <alignment wrapText="1"/>
    </xf>
    <xf numFmtId="3" fontId="7" fillId="3" borderId="11" xfId="7" applyNumberFormat="1" applyFont="1" applyFill="1" applyBorder="1">
      <alignment wrapText="1"/>
    </xf>
    <xf numFmtId="3" fontId="7" fillId="3" borderId="12" xfId="7" applyNumberFormat="1" applyFont="1" applyFill="1" applyBorder="1">
      <alignment wrapText="1"/>
    </xf>
    <xf numFmtId="0" fontId="5" fillId="3" borderId="13" xfId="6" applyFont="1" applyFill="1" applyBorder="1">
      <alignment wrapText="1"/>
    </xf>
    <xf numFmtId="3" fontId="5" fillId="3" borderId="7" xfId="6" applyNumberFormat="1" applyFont="1" applyFill="1" applyAlignment="1">
      <alignment horizontal="right" wrapText="1"/>
    </xf>
    <xf numFmtId="3" fontId="5" fillId="3" borderId="14" xfId="6" applyNumberFormat="1" applyFont="1" applyFill="1" applyBorder="1" applyAlignment="1">
      <alignment horizontal="right" wrapText="1"/>
    </xf>
    <xf numFmtId="0" fontId="5" fillId="3" borderId="15" xfId="6" applyFont="1" applyFill="1" applyBorder="1">
      <alignment wrapText="1"/>
    </xf>
    <xf numFmtId="3" fontId="5" fillId="3" borderId="3" xfId="6" applyNumberFormat="1" applyFont="1" applyFill="1" applyBorder="1" applyAlignment="1">
      <alignment horizontal="right" wrapText="1"/>
    </xf>
    <xf numFmtId="3" fontId="5" fillId="3" borderId="2" xfId="6" applyNumberFormat="1" applyFont="1" applyFill="1" applyBorder="1" applyAlignment="1">
      <alignment horizontal="right" wrapText="1"/>
    </xf>
    <xf numFmtId="0" fontId="5" fillId="0" borderId="7" xfId="6" quotePrefix="1" applyFont="1">
      <alignment wrapText="1"/>
    </xf>
    <xf numFmtId="9" fontId="0" fillId="4" borderId="0" xfId="1" applyFont="1" applyFill="1"/>
    <xf numFmtId="0" fontId="0" fillId="4" borderId="0" xfId="0" applyFill="1"/>
    <xf numFmtId="0" fontId="0" fillId="0" borderId="0" xfId="0" applyAlignment="1">
      <alignment horizontal="center"/>
    </xf>
    <xf numFmtId="0" fontId="2" fillId="5" borderId="0" xfId="0" applyFont="1" applyFill="1" applyAlignment="1">
      <alignment horizontal="center"/>
    </xf>
    <xf numFmtId="0" fontId="2" fillId="0" borderId="0" xfId="0" applyFont="1" applyAlignment="1">
      <alignment horizontal="center"/>
    </xf>
    <xf numFmtId="0" fontId="4" fillId="0" borderId="0" xfId="0" applyFont="1"/>
    <xf numFmtId="0" fontId="7" fillId="0" borderId="0" xfId="7" applyFont="1" applyBorder="1">
      <alignment wrapText="1"/>
    </xf>
    <xf numFmtId="3" fontId="7" fillId="0" borderId="0" xfId="7" applyNumberFormat="1" applyFont="1" applyBorder="1">
      <alignment wrapText="1"/>
    </xf>
    <xf numFmtId="3" fontId="7" fillId="0" borderId="4" xfId="5" applyNumberFormat="1" applyFont="1" applyAlignment="1">
      <alignment horizontal="right" wrapText="1"/>
    </xf>
    <xf numFmtId="3" fontId="7" fillId="0" borderId="0" xfId="5" applyNumberFormat="1" applyFont="1" applyBorder="1" applyAlignment="1">
      <alignment horizontal="right" wrapText="1"/>
    </xf>
    <xf numFmtId="3" fontId="2" fillId="0" borderId="0" xfId="0" applyNumberFormat="1" applyFont="1"/>
    <xf numFmtId="0" fontId="2" fillId="0" borderId="0" xfId="0" applyFont="1" applyAlignment="1">
      <alignment wrapText="1"/>
    </xf>
    <xf numFmtId="0" fontId="0" fillId="0" borderId="0" xfId="0" applyAlignment="1">
      <alignment wrapText="1"/>
    </xf>
    <xf numFmtId="0" fontId="7" fillId="0" borderId="0" xfId="5" applyFont="1" applyBorder="1">
      <alignment wrapText="1"/>
    </xf>
    <xf numFmtId="0" fontId="7" fillId="3" borderId="21" xfId="6" applyFont="1" applyFill="1" applyBorder="1">
      <alignment wrapText="1"/>
    </xf>
    <xf numFmtId="3" fontId="5" fillId="3" borderId="22" xfId="6" applyNumberFormat="1" applyFont="1" applyFill="1" applyBorder="1" applyAlignment="1">
      <alignment horizontal="right" wrapText="1"/>
    </xf>
    <xf numFmtId="3" fontId="5" fillId="3" borderId="23" xfId="6" applyNumberFormat="1" applyFont="1" applyFill="1" applyBorder="1" applyAlignment="1">
      <alignment horizontal="right" wrapText="1"/>
    </xf>
    <xf numFmtId="43" fontId="0" fillId="0" borderId="0" xfId="0" applyNumberFormat="1"/>
    <xf numFmtId="43" fontId="0" fillId="0" borderId="0" xfId="3" applyFont="1"/>
    <xf numFmtId="43" fontId="2" fillId="0" borderId="0" xfId="0" applyNumberFormat="1" applyFont="1"/>
    <xf numFmtId="9" fontId="0" fillId="0" borderId="0" xfId="0" applyNumberFormat="1"/>
    <xf numFmtId="9" fontId="2" fillId="4" borderId="0" xfId="1" applyFont="1" applyFill="1"/>
    <xf numFmtId="43" fontId="0" fillId="4" borderId="0" xfId="3" applyFont="1" applyFill="1"/>
    <xf numFmtId="9" fontId="2" fillId="0" borderId="0" xfId="1" applyFont="1"/>
    <xf numFmtId="0" fontId="2" fillId="4" borderId="0" xfId="0" applyFont="1" applyFill="1"/>
    <xf numFmtId="43" fontId="0" fillId="4" borderId="0" xfId="0" applyNumberFormat="1" applyFill="1"/>
    <xf numFmtId="43" fontId="0" fillId="0" borderId="0" xfId="3" applyFont="1" applyAlignment="1">
      <alignment wrapText="1"/>
    </xf>
    <xf numFmtId="0" fontId="10" fillId="0" borderId="0" xfId="0" applyFont="1"/>
    <xf numFmtId="0" fontId="2" fillId="8" borderId="0" xfId="0" applyFont="1" applyFill="1"/>
    <xf numFmtId="9" fontId="1" fillId="4" borderId="0" xfId="1" applyFill="1"/>
    <xf numFmtId="0" fontId="0" fillId="8" borderId="0" xfId="0" applyFill="1"/>
    <xf numFmtId="9" fontId="1" fillId="0" borderId="0" xfId="1"/>
    <xf numFmtId="9" fontId="2" fillId="8" borderId="0" xfId="1" applyFont="1" applyFill="1"/>
    <xf numFmtId="43" fontId="0" fillId="8" borderId="0" xfId="3" applyFont="1" applyFill="1" applyAlignment="1">
      <alignment wrapText="1"/>
    </xf>
    <xf numFmtId="0" fontId="0" fillId="8" borderId="0" xfId="0" applyFill="1" applyAlignment="1">
      <alignment wrapText="1"/>
    </xf>
    <xf numFmtId="43" fontId="2" fillId="8" borderId="0" xfId="3" applyFont="1" applyFill="1" applyAlignment="1">
      <alignment wrapText="1"/>
    </xf>
    <xf numFmtId="9" fontId="0" fillId="8" borderId="0" xfId="1" applyFont="1" applyFill="1"/>
    <xf numFmtId="43" fontId="2" fillId="8" borderId="0" xfId="0" applyNumberFormat="1" applyFont="1" applyFill="1"/>
    <xf numFmtId="43" fontId="0" fillId="8" borderId="0" xfId="3" applyFont="1" applyFill="1"/>
    <xf numFmtId="9" fontId="0" fillId="8" borderId="0" xfId="0" applyNumberFormat="1" applyFill="1"/>
    <xf numFmtId="0" fontId="11" fillId="8" borderId="0" xfId="0" applyFont="1" applyFill="1"/>
    <xf numFmtId="43" fontId="11" fillId="8" borderId="0" xfId="3" applyFont="1" applyFill="1"/>
    <xf numFmtId="43" fontId="0" fillId="8" borderId="0" xfId="0" applyNumberFormat="1" applyFill="1"/>
    <xf numFmtId="43" fontId="11" fillId="8" borderId="0" xfId="0" applyNumberFormat="1" applyFont="1" applyFill="1"/>
    <xf numFmtId="0" fontId="12" fillId="0" borderId="0" xfId="0" applyFont="1"/>
    <xf numFmtId="43" fontId="2" fillId="8" borderId="0" xfId="3" applyFont="1" applyFill="1"/>
    <xf numFmtId="0" fontId="2" fillId="4" borderId="0" xfId="0" applyFont="1" applyFill="1" applyAlignment="1">
      <alignment horizontal="center"/>
    </xf>
    <xf numFmtId="0" fontId="0" fillId="4" borderId="0" xfId="0" applyFill="1" applyAlignment="1">
      <alignment horizontal="center"/>
    </xf>
    <xf numFmtId="0" fontId="0" fillId="8" borderId="0" xfId="0" applyFill="1" applyAlignment="1">
      <alignment horizontal="left"/>
    </xf>
    <xf numFmtId="0" fontId="2" fillId="5" borderId="0" xfId="0" applyFont="1" applyFill="1" applyAlignment="1">
      <alignment horizontal="center" vertical="center"/>
    </xf>
    <xf numFmtId="0" fontId="2" fillId="0" borderId="0" xfId="0" applyFont="1" applyAlignment="1">
      <alignment vertical="top"/>
    </xf>
    <xf numFmtId="0" fontId="0" fillId="0" borderId="0" xfId="0" applyAlignment="1">
      <alignment vertical="top"/>
    </xf>
    <xf numFmtId="0" fontId="12" fillId="0" borderId="0" xfId="0" applyFont="1" applyAlignment="1">
      <alignment vertical="top"/>
    </xf>
    <xf numFmtId="0" fontId="0" fillId="9" borderId="24" xfId="0" applyFill="1" applyBorder="1"/>
    <xf numFmtId="0" fontId="0" fillId="9" borderId="25" xfId="0" applyFill="1" applyBorder="1"/>
    <xf numFmtId="0" fontId="0" fillId="9" borderId="15" xfId="0" applyFill="1" applyBorder="1"/>
    <xf numFmtId="0" fontId="0" fillId="9" borderId="2" xfId="0" applyFill="1" applyBorder="1"/>
    <xf numFmtId="0" fontId="0" fillId="9" borderId="26" xfId="0" applyFill="1" applyBorder="1"/>
    <xf numFmtId="0" fontId="0" fillId="9" borderId="27" xfId="0" applyFill="1" applyBorder="1"/>
    <xf numFmtId="0" fontId="2" fillId="6" borderId="0" xfId="0" applyFont="1" applyFill="1"/>
    <xf numFmtId="43" fontId="2" fillId="0" borderId="0" xfId="3" applyFont="1" applyAlignment="1">
      <alignment horizontal="center"/>
    </xf>
    <xf numFmtId="43" fontId="2" fillId="3" borderId="0" xfId="3" applyFont="1" applyFill="1"/>
    <xf numFmtId="0" fontId="2" fillId="0" borderId="0" xfId="3" applyNumberFormat="1" applyFont="1"/>
    <xf numFmtId="0" fontId="13" fillId="0" borderId="0" xfId="0" applyFont="1"/>
    <xf numFmtId="0" fontId="14" fillId="0" borderId="0" xfId="0" applyFont="1"/>
    <xf numFmtId="0" fontId="2" fillId="7" borderId="0" xfId="0" applyFont="1" applyFill="1" applyAlignment="1">
      <alignment horizontal="center"/>
    </xf>
    <xf numFmtId="0" fontId="0" fillId="0" borderId="0" xfId="0"/>
    <xf numFmtId="43" fontId="0" fillId="0" borderId="0" xfId="3" applyFont="1"/>
    <xf numFmtId="0" fontId="2" fillId="5" borderId="0" xfId="0" applyFont="1" applyFill="1" applyAlignment="1">
      <alignment horizontal="center"/>
    </xf>
    <xf numFmtId="9" fontId="2" fillId="5" borderId="0" xfId="1" applyFont="1" applyFill="1" applyAlignment="1">
      <alignment horizontal="center"/>
    </xf>
    <xf numFmtId="0" fontId="0" fillId="0" borderId="0" xfId="0" applyAlignment="1">
      <alignment horizontal="center"/>
    </xf>
    <xf numFmtId="0" fontId="2" fillId="5" borderId="0" xfId="0" applyFont="1" applyFill="1" applyAlignment="1">
      <alignment horizontal="center" vertical="center"/>
    </xf>
    <xf numFmtId="3" fontId="7" fillId="0" borderId="28" xfId="5" applyNumberFormat="1" applyFont="1" applyBorder="1" applyAlignment="1">
      <alignment horizontal="right" wrapText="1"/>
    </xf>
    <xf numFmtId="0" fontId="0" fillId="0" borderId="4" xfId="0" applyBorder="1"/>
    <xf numFmtId="3" fontId="7" fillId="0" borderId="1" xfId="5" applyNumberFormat="1" applyFont="1" applyBorder="1" applyAlignment="1">
      <alignment horizontal="right" wrapText="1"/>
    </xf>
    <xf numFmtId="0" fontId="0" fillId="0" borderId="29" xfId="0" applyBorder="1"/>
    <xf numFmtId="0" fontId="9" fillId="0" borderId="16" xfId="8" applyAlignment="1">
      <alignment wrapText="1"/>
    </xf>
    <xf numFmtId="0" fontId="0" fillId="0" borderId="16" xfId="0" applyBorder="1"/>
    <xf numFmtId="3" fontId="7" fillId="0" borderId="1" xfId="0" applyNumberFormat="1" applyFont="1" applyBorder="1" applyAlignment="1">
      <alignment horizontal="left" wrapText="1"/>
    </xf>
    <xf numFmtId="0" fontId="0" fillId="0" borderId="30" xfId="0" applyBorder="1"/>
    <xf numFmtId="0" fontId="0" fillId="0" borderId="31" xfId="0" applyBorder="1"/>
    <xf numFmtId="3" fontId="7" fillId="0" borderId="5" xfId="0" applyNumberFormat="1" applyFont="1" applyBorder="1" applyAlignment="1">
      <alignment horizontal="left" wrapText="1"/>
    </xf>
    <xf numFmtId="0" fontId="0" fillId="0" borderId="5" xfId="0" applyBorder="1"/>
    <xf numFmtId="0" fontId="6" fillId="0" borderId="0" xfId="4" applyAlignment="1">
      <alignment horizontal="left" wrapText="1"/>
    </xf>
    <xf numFmtId="3" fontId="5" fillId="0" borderId="0" xfId="0" applyNumberFormat="1" applyFont="1"/>
    <xf numFmtId="3" fontId="7" fillId="0" borderId="6" xfId="5" applyNumberFormat="1" applyFont="1" applyBorder="1" applyAlignment="1">
      <alignment horizontal="right" wrapText="1"/>
    </xf>
    <xf numFmtId="3" fontId="7" fillId="0" borderId="20" xfId="0" applyNumberFormat="1" applyFont="1" applyBorder="1" applyAlignment="1">
      <alignment horizontal="left" wrapText="1"/>
    </xf>
    <xf numFmtId="0" fontId="0" fillId="0" borderId="20" xfId="0" applyBorder="1"/>
    <xf numFmtId="3" fontId="7" fillId="0" borderId="17" xfId="0" applyNumberFormat="1" applyFont="1" applyBorder="1" applyAlignment="1">
      <alignment horizontal="left" wrapText="1"/>
    </xf>
    <xf numFmtId="0" fontId="0" fillId="0" borderId="17" xfId="0" applyBorder="1"/>
    <xf numFmtId="3" fontId="7" fillId="0" borderId="4" xfId="5" applyNumberFormat="1" applyFont="1" applyAlignment="1">
      <alignment horizontal="right" wrapText="1"/>
    </xf>
    <xf numFmtId="3" fontId="7" fillId="0" borderId="19" xfId="0" applyNumberFormat="1" applyFont="1" applyBorder="1" applyAlignment="1">
      <alignment horizontal="left" wrapText="1"/>
    </xf>
    <xf numFmtId="0" fontId="0" fillId="0" borderId="19" xfId="0" applyBorder="1"/>
    <xf numFmtId="3" fontId="7" fillId="0" borderId="18" xfId="0" applyNumberFormat="1" applyFont="1" applyBorder="1" applyAlignment="1">
      <alignment horizontal="left" wrapText="1"/>
    </xf>
    <xf numFmtId="0" fontId="0" fillId="0" borderId="18" xfId="0" applyBorder="1"/>
    <xf numFmtId="49" fontId="0" fillId="0" borderId="0" xfId="0" applyNumberFormat="1"/>
    <xf numFmtId="49" fontId="2" fillId="0" borderId="0" xfId="0" applyNumberFormat="1" applyFont="1"/>
    <xf numFmtId="3" fontId="0" fillId="0" borderId="0" xfId="0" applyNumberFormat="1"/>
    <xf numFmtId="164" fontId="0" fillId="0" borderId="0" xfId="0" applyNumberFormat="1"/>
    <xf numFmtId="43" fontId="0" fillId="0" borderId="0" xfId="1" applyNumberFormat="1" applyFont="1"/>
  </cellXfs>
  <cellStyles count="9">
    <cellStyle name="Body: normal cell" xfId="6" xr:uid="{00000000-0005-0000-0000-000006000000}"/>
    <cellStyle name="Comma" xfId="3" builtinId="3"/>
    <cellStyle name="Footnotes: top row" xfId="8" xr:uid="{00000000-0005-0000-0000-000008000000}"/>
    <cellStyle name="Header: bottom row" xfId="5" xr:uid="{00000000-0005-0000-0000-000005000000}"/>
    <cellStyle name="Hyperlink" xfId="2" builtinId="8"/>
    <cellStyle name="Normal" xfId="0" builtinId="0"/>
    <cellStyle name="Parent row" xfId="7" xr:uid="{00000000-0005-0000-0000-000007000000}"/>
    <cellStyle name="Percent" xfId="1" builtinId="5"/>
    <cellStyle name="Table title" xfId="4" xr:uid="{00000000-0005-0000-0000-000004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nstats.un.org/unsd/publication/seriesM/seriesm_4rev4e.pdf" TargetMode="External"/><Relationship Id="rId2" Type="http://schemas.openxmlformats.org/officeDocument/2006/relationships/hyperlink" Target="https://www.eia.gov/consumption/commercial/data/2012/" TargetMode="External"/><Relationship Id="rId1" Type="http://schemas.openxmlformats.org/officeDocument/2006/relationships/hyperlink" Target="https://www.eia.gov/analysis/studies/buildings/equipcosts/pdf/full.pdf" TargetMode="External"/><Relationship Id="rId4" Type="http://schemas.openxmlformats.org/officeDocument/2006/relationships/hyperlink" Target="https://apps.bea.gov/industry/release/xlsx/Margins_Before_Redefinitions_Detail.xlsx"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eia.gov/analysis/studies/buildings/equipcosts/pdf/full.pdf" TargetMode="External"/><Relationship Id="rId21" Type="http://schemas.openxmlformats.org/officeDocument/2006/relationships/hyperlink" Target="https://www.eia.gov/analysis/studies/buildings/equipcosts/pdf/full.pdf" TargetMode="External"/><Relationship Id="rId42" Type="http://schemas.openxmlformats.org/officeDocument/2006/relationships/hyperlink" Target="https://www.eia.gov/analysis/studies/buildings/equipcosts/pdf/full.pdf" TargetMode="External"/><Relationship Id="rId47" Type="http://schemas.openxmlformats.org/officeDocument/2006/relationships/hyperlink" Target="https://www.eia.gov/analysis/studies/buildings/equipcosts/pdf/full.pdf" TargetMode="External"/><Relationship Id="rId63" Type="http://schemas.openxmlformats.org/officeDocument/2006/relationships/hyperlink" Target="https://www.eia.gov/analysis/studies/buildings/equipcosts/pdf/full.pdf" TargetMode="External"/><Relationship Id="rId68" Type="http://schemas.openxmlformats.org/officeDocument/2006/relationships/hyperlink" Target="https://www.eia.gov/analysis/studies/buildings/equipcosts/pdf/full.pdf" TargetMode="External"/><Relationship Id="rId84" Type="http://schemas.openxmlformats.org/officeDocument/2006/relationships/hyperlink" Target="https://www.eia.gov/analysis/studies/buildings/equipcosts/pdf/full.pdf" TargetMode="External"/><Relationship Id="rId89" Type="http://schemas.openxmlformats.org/officeDocument/2006/relationships/hyperlink" Target="https://www.eia.gov/analysis/studies/buildings/equipcosts/pdf/full.pdf" TargetMode="External"/><Relationship Id="rId16" Type="http://schemas.openxmlformats.org/officeDocument/2006/relationships/hyperlink" Target="https://www.eia.gov/analysis/studies/buildings/equipcosts/pdf/full.pdf" TargetMode="External"/><Relationship Id="rId11" Type="http://schemas.openxmlformats.org/officeDocument/2006/relationships/hyperlink" Target="https://www.eia.gov/analysis/studies/buildings/equipcosts/pdf/full.pdf" TargetMode="External"/><Relationship Id="rId32" Type="http://schemas.openxmlformats.org/officeDocument/2006/relationships/hyperlink" Target="https://www.eia.gov/analysis/studies/buildings/equipcosts/pdf/full.pdf" TargetMode="External"/><Relationship Id="rId37" Type="http://schemas.openxmlformats.org/officeDocument/2006/relationships/hyperlink" Target="https://www.eia.gov/analysis/studies/buildings/equipcosts/pdf/full.pdf" TargetMode="External"/><Relationship Id="rId53" Type="http://schemas.openxmlformats.org/officeDocument/2006/relationships/hyperlink" Target="https://www.eia.gov/analysis/studies/buildings/equipcosts/pdf/full.pdf" TargetMode="External"/><Relationship Id="rId58" Type="http://schemas.openxmlformats.org/officeDocument/2006/relationships/hyperlink" Target="https://www.eia.gov/analysis/studies/buildings/equipcosts/pdf/full.pdf" TargetMode="External"/><Relationship Id="rId74" Type="http://schemas.openxmlformats.org/officeDocument/2006/relationships/hyperlink" Target="https://www.eia.gov/analysis/studies/buildings/equipcosts/pdf/full.pdf" TargetMode="External"/><Relationship Id="rId79" Type="http://schemas.openxmlformats.org/officeDocument/2006/relationships/hyperlink" Target="https://www.eia.gov/analysis/studies/buildings/equipcosts/pdf/full.pdf" TargetMode="External"/><Relationship Id="rId5" Type="http://schemas.openxmlformats.org/officeDocument/2006/relationships/hyperlink" Target="https://www.eia.gov/analysis/studies/buildings/equipcosts/pdf/full.pdf" TargetMode="External"/><Relationship Id="rId90" Type="http://schemas.openxmlformats.org/officeDocument/2006/relationships/hyperlink" Target="https://www.eia.gov/analysis/studies/buildings/equipcosts/pdf/full.pdf" TargetMode="External"/><Relationship Id="rId95" Type="http://schemas.openxmlformats.org/officeDocument/2006/relationships/hyperlink" Target="https://www.eia.gov/analysis/studies/buildings/equipcosts/pdf/full.pdf" TargetMode="External"/><Relationship Id="rId22" Type="http://schemas.openxmlformats.org/officeDocument/2006/relationships/hyperlink" Target="https://www.eia.gov/analysis/studies/buildings/equipcosts/pdf/full.pdf" TargetMode="External"/><Relationship Id="rId27" Type="http://schemas.openxmlformats.org/officeDocument/2006/relationships/hyperlink" Target="https://www.eia.gov/analysis/studies/buildings/equipcosts/pdf/full.pdf" TargetMode="External"/><Relationship Id="rId43" Type="http://schemas.openxmlformats.org/officeDocument/2006/relationships/hyperlink" Target="https://www.eia.gov/analysis/studies/buildings/equipcosts/pdf/full.pdf" TargetMode="External"/><Relationship Id="rId48" Type="http://schemas.openxmlformats.org/officeDocument/2006/relationships/hyperlink" Target="https://www.eia.gov/analysis/studies/buildings/equipcosts/pdf/full.pdf" TargetMode="External"/><Relationship Id="rId64" Type="http://schemas.openxmlformats.org/officeDocument/2006/relationships/hyperlink" Target="https://www.eia.gov/analysis/studies/buildings/equipcosts/pdf/full.pdf" TargetMode="External"/><Relationship Id="rId69" Type="http://schemas.openxmlformats.org/officeDocument/2006/relationships/hyperlink" Target="https://www.eia.gov/analysis/studies/buildings/equipcosts/pdf/full.pdf" TargetMode="External"/><Relationship Id="rId8" Type="http://schemas.openxmlformats.org/officeDocument/2006/relationships/hyperlink" Target="https://www.eia.gov/analysis/studies/buildings/equipcosts/pdf/full.pdf" TargetMode="External"/><Relationship Id="rId51" Type="http://schemas.openxmlformats.org/officeDocument/2006/relationships/hyperlink" Target="https://www.eia.gov/analysis/studies/buildings/equipcosts/pdf/full.pdf" TargetMode="External"/><Relationship Id="rId72" Type="http://schemas.openxmlformats.org/officeDocument/2006/relationships/hyperlink" Target="https://www.eia.gov/analysis/studies/buildings/equipcosts/pdf/full.pdf" TargetMode="External"/><Relationship Id="rId80" Type="http://schemas.openxmlformats.org/officeDocument/2006/relationships/hyperlink" Target="https://www.eia.gov/analysis/studies/buildings/equipcosts/pdf/full.pdf" TargetMode="External"/><Relationship Id="rId85" Type="http://schemas.openxmlformats.org/officeDocument/2006/relationships/hyperlink" Target="https://www.eia.gov/analysis/studies/buildings/equipcosts/pdf/full.pdf" TargetMode="External"/><Relationship Id="rId93" Type="http://schemas.openxmlformats.org/officeDocument/2006/relationships/hyperlink" Target="https://www.eia.gov/analysis/studies/buildings/equipcosts/pdf/full.pdf" TargetMode="External"/><Relationship Id="rId3" Type="http://schemas.openxmlformats.org/officeDocument/2006/relationships/hyperlink" Target="https://www.eia.gov/analysis/studies/buildings/equipcosts/pdf/full.pdf" TargetMode="External"/><Relationship Id="rId12" Type="http://schemas.openxmlformats.org/officeDocument/2006/relationships/hyperlink" Target="https://www.eia.gov/analysis/studies/buildings/equipcosts/pdf/full.pdf" TargetMode="External"/><Relationship Id="rId17" Type="http://schemas.openxmlformats.org/officeDocument/2006/relationships/hyperlink" Target="https://www.eia.gov/analysis/studies/buildings/equipcosts/pdf/full.pdf" TargetMode="External"/><Relationship Id="rId25" Type="http://schemas.openxmlformats.org/officeDocument/2006/relationships/hyperlink" Target="https://www.eia.gov/analysis/studies/buildings/equipcosts/pdf/full.pdf" TargetMode="External"/><Relationship Id="rId33" Type="http://schemas.openxmlformats.org/officeDocument/2006/relationships/hyperlink" Target="https://www.eia.gov/analysis/studies/buildings/equipcosts/pdf/full.pdf" TargetMode="External"/><Relationship Id="rId38" Type="http://schemas.openxmlformats.org/officeDocument/2006/relationships/hyperlink" Target="https://www.eia.gov/analysis/studies/buildings/equipcosts/pdf/full.pdf" TargetMode="External"/><Relationship Id="rId46" Type="http://schemas.openxmlformats.org/officeDocument/2006/relationships/hyperlink" Target="https://www.eia.gov/analysis/studies/buildings/equipcosts/pdf/full.pdf" TargetMode="External"/><Relationship Id="rId59" Type="http://schemas.openxmlformats.org/officeDocument/2006/relationships/hyperlink" Target="https://www.eia.gov/analysis/studies/buildings/equipcosts/pdf/full.pdf" TargetMode="External"/><Relationship Id="rId67" Type="http://schemas.openxmlformats.org/officeDocument/2006/relationships/hyperlink" Target="https://www.eia.gov/analysis/studies/buildings/equipcosts/pdf/full.pdf" TargetMode="External"/><Relationship Id="rId20" Type="http://schemas.openxmlformats.org/officeDocument/2006/relationships/hyperlink" Target="https://www.eia.gov/analysis/studies/buildings/equipcosts/pdf/full.pdf" TargetMode="External"/><Relationship Id="rId41" Type="http://schemas.openxmlformats.org/officeDocument/2006/relationships/hyperlink" Target="https://www.eia.gov/analysis/studies/buildings/equipcosts/pdf/full.pdf" TargetMode="External"/><Relationship Id="rId54" Type="http://schemas.openxmlformats.org/officeDocument/2006/relationships/hyperlink" Target="https://www.eia.gov/analysis/studies/buildings/equipcosts/pdf/full.pdf" TargetMode="External"/><Relationship Id="rId62" Type="http://schemas.openxmlformats.org/officeDocument/2006/relationships/hyperlink" Target="https://www.eia.gov/analysis/studies/buildings/equipcosts/pdf/full.pdf" TargetMode="External"/><Relationship Id="rId70" Type="http://schemas.openxmlformats.org/officeDocument/2006/relationships/hyperlink" Target="https://www.eia.gov/analysis/studies/buildings/equipcosts/pdf/full.pdf" TargetMode="External"/><Relationship Id="rId75" Type="http://schemas.openxmlformats.org/officeDocument/2006/relationships/hyperlink" Target="https://www.eia.gov/analysis/studies/buildings/equipcosts/pdf/full.pdf" TargetMode="External"/><Relationship Id="rId83" Type="http://schemas.openxmlformats.org/officeDocument/2006/relationships/hyperlink" Target="https://www.eia.gov/analysis/studies/buildings/equipcosts/pdf/full.pdf" TargetMode="External"/><Relationship Id="rId88" Type="http://schemas.openxmlformats.org/officeDocument/2006/relationships/hyperlink" Target="https://www.eia.gov/analysis/studies/buildings/equipcosts/pdf/full.pdf" TargetMode="External"/><Relationship Id="rId91" Type="http://schemas.openxmlformats.org/officeDocument/2006/relationships/hyperlink" Target="https://www.eia.gov/analysis/studies/buildings/equipcosts/pdf/full.pdf" TargetMode="External"/><Relationship Id="rId1" Type="http://schemas.openxmlformats.org/officeDocument/2006/relationships/hyperlink" Target="https://www.eia.gov/analysis/studies/buildings/equipcosts/pdf/full.pdf" TargetMode="External"/><Relationship Id="rId6" Type="http://schemas.openxmlformats.org/officeDocument/2006/relationships/hyperlink" Target="https://www.eia.gov/analysis/studies/buildings/equipcosts/pdf/full.pdf" TargetMode="External"/><Relationship Id="rId15" Type="http://schemas.openxmlformats.org/officeDocument/2006/relationships/hyperlink" Target="https://www.eia.gov/analysis/studies/buildings/equipcosts/pdf/full.pdf" TargetMode="External"/><Relationship Id="rId23" Type="http://schemas.openxmlformats.org/officeDocument/2006/relationships/hyperlink" Target="https://www.eia.gov/analysis/studies/buildings/equipcosts/pdf/full.pdf" TargetMode="External"/><Relationship Id="rId28" Type="http://schemas.openxmlformats.org/officeDocument/2006/relationships/hyperlink" Target="https://www.eia.gov/analysis/studies/buildings/equipcosts/pdf/full.pdf" TargetMode="External"/><Relationship Id="rId36" Type="http://schemas.openxmlformats.org/officeDocument/2006/relationships/hyperlink" Target="https://www.eia.gov/analysis/studies/buildings/equipcosts/pdf/full.pdf" TargetMode="External"/><Relationship Id="rId49" Type="http://schemas.openxmlformats.org/officeDocument/2006/relationships/hyperlink" Target="https://www.eia.gov/analysis/studies/buildings/equipcosts/pdf/full.pdf" TargetMode="External"/><Relationship Id="rId57" Type="http://schemas.openxmlformats.org/officeDocument/2006/relationships/hyperlink" Target="https://www.eia.gov/analysis/studies/buildings/equipcosts/pdf/full.pdf" TargetMode="External"/><Relationship Id="rId10" Type="http://schemas.openxmlformats.org/officeDocument/2006/relationships/hyperlink" Target="https://www.eia.gov/analysis/studies/buildings/equipcosts/pdf/full.pdf" TargetMode="External"/><Relationship Id="rId31" Type="http://schemas.openxmlformats.org/officeDocument/2006/relationships/hyperlink" Target="https://www.eia.gov/analysis/studies/buildings/equipcosts/pdf/full.pdf" TargetMode="External"/><Relationship Id="rId44" Type="http://schemas.openxmlformats.org/officeDocument/2006/relationships/hyperlink" Target="https://www.eia.gov/analysis/studies/buildings/equipcosts/pdf/full.pdf" TargetMode="External"/><Relationship Id="rId52" Type="http://schemas.openxmlformats.org/officeDocument/2006/relationships/hyperlink" Target="https://www.eia.gov/analysis/studies/buildings/equipcosts/pdf/full.pdf" TargetMode="External"/><Relationship Id="rId60" Type="http://schemas.openxmlformats.org/officeDocument/2006/relationships/hyperlink" Target="https://www.eia.gov/analysis/studies/buildings/equipcosts/pdf/full.pdf" TargetMode="External"/><Relationship Id="rId65" Type="http://schemas.openxmlformats.org/officeDocument/2006/relationships/hyperlink" Target="https://www.eia.gov/analysis/studies/buildings/equipcosts/pdf/full.pdf" TargetMode="External"/><Relationship Id="rId73" Type="http://schemas.openxmlformats.org/officeDocument/2006/relationships/hyperlink" Target="https://www.eia.gov/analysis/studies/buildings/equipcosts/pdf/full.pdf" TargetMode="External"/><Relationship Id="rId78" Type="http://schemas.openxmlformats.org/officeDocument/2006/relationships/hyperlink" Target="https://www.eia.gov/analysis/studies/buildings/equipcosts/pdf/full.pdf" TargetMode="External"/><Relationship Id="rId81" Type="http://schemas.openxmlformats.org/officeDocument/2006/relationships/hyperlink" Target="https://www.eia.gov/analysis/studies/buildings/equipcosts/pdf/full.pdf" TargetMode="External"/><Relationship Id="rId86" Type="http://schemas.openxmlformats.org/officeDocument/2006/relationships/hyperlink" Target="https://www.eia.gov/analysis/studies/buildings/equipcosts/pdf/full.pdf" TargetMode="External"/><Relationship Id="rId94" Type="http://schemas.openxmlformats.org/officeDocument/2006/relationships/hyperlink" Target="https://www.eia.gov/analysis/studies/buildings/equipcosts/pdf/full.pdf" TargetMode="External"/><Relationship Id="rId4" Type="http://schemas.openxmlformats.org/officeDocument/2006/relationships/hyperlink" Target="https://www.eia.gov/analysis/studies/buildings/equipcosts/pdf/full.pdf" TargetMode="External"/><Relationship Id="rId9" Type="http://schemas.openxmlformats.org/officeDocument/2006/relationships/hyperlink" Target="https://www.eia.gov/analysis/studies/buildings/equipcosts/pdf/full.pdf" TargetMode="External"/><Relationship Id="rId13" Type="http://schemas.openxmlformats.org/officeDocument/2006/relationships/hyperlink" Target="https://www.eia.gov/analysis/studies/buildings/equipcosts/pdf/full.pdf" TargetMode="External"/><Relationship Id="rId18" Type="http://schemas.openxmlformats.org/officeDocument/2006/relationships/hyperlink" Target="https://www.eia.gov/analysis/studies/buildings/equipcosts/pdf/full.pdf" TargetMode="External"/><Relationship Id="rId39" Type="http://schemas.openxmlformats.org/officeDocument/2006/relationships/hyperlink" Target="https://www.eia.gov/analysis/studies/buildings/equipcosts/pdf/full.pdf" TargetMode="External"/><Relationship Id="rId34" Type="http://schemas.openxmlformats.org/officeDocument/2006/relationships/hyperlink" Target="https://www.eia.gov/analysis/studies/buildings/equipcosts/pdf/full.pdf" TargetMode="External"/><Relationship Id="rId50" Type="http://schemas.openxmlformats.org/officeDocument/2006/relationships/hyperlink" Target="https://www.eia.gov/analysis/studies/buildings/equipcosts/pdf/full.pdf" TargetMode="External"/><Relationship Id="rId55" Type="http://schemas.openxmlformats.org/officeDocument/2006/relationships/hyperlink" Target="https://www.eia.gov/analysis/studies/buildings/equipcosts/pdf/full.pdf" TargetMode="External"/><Relationship Id="rId76" Type="http://schemas.openxmlformats.org/officeDocument/2006/relationships/hyperlink" Target="https://www.eia.gov/analysis/studies/buildings/equipcosts/pdf/full.pdf" TargetMode="External"/><Relationship Id="rId7" Type="http://schemas.openxmlformats.org/officeDocument/2006/relationships/hyperlink" Target="https://www.eia.gov/analysis/studies/buildings/equipcosts/pdf/full.pdf" TargetMode="External"/><Relationship Id="rId71" Type="http://schemas.openxmlformats.org/officeDocument/2006/relationships/hyperlink" Target="https://www.eia.gov/analysis/studies/buildings/equipcosts/pdf/full.pdf" TargetMode="External"/><Relationship Id="rId92" Type="http://schemas.openxmlformats.org/officeDocument/2006/relationships/hyperlink" Target="https://www.eia.gov/analysis/studies/buildings/equipcosts/pdf/full.pdf" TargetMode="External"/><Relationship Id="rId2" Type="http://schemas.openxmlformats.org/officeDocument/2006/relationships/hyperlink" Target="https://www.eia.gov/analysis/studies/buildings/equipcosts/pdf/full.pdf" TargetMode="External"/><Relationship Id="rId29" Type="http://schemas.openxmlformats.org/officeDocument/2006/relationships/hyperlink" Target="https://www.eia.gov/analysis/studies/buildings/equipcosts/pdf/full.pdf" TargetMode="External"/><Relationship Id="rId24" Type="http://schemas.openxmlformats.org/officeDocument/2006/relationships/hyperlink" Target="https://www.eia.gov/analysis/studies/buildings/equipcosts/pdf/full.pdf" TargetMode="External"/><Relationship Id="rId40" Type="http://schemas.openxmlformats.org/officeDocument/2006/relationships/hyperlink" Target="https://www.eia.gov/analysis/studies/buildings/equipcosts/pdf/full.pdf" TargetMode="External"/><Relationship Id="rId45" Type="http://schemas.openxmlformats.org/officeDocument/2006/relationships/hyperlink" Target="https://www.eia.gov/analysis/studies/buildings/equipcosts/pdf/full.pdf" TargetMode="External"/><Relationship Id="rId66" Type="http://schemas.openxmlformats.org/officeDocument/2006/relationships/hyperlink" Target="https://www.eia.gov/analysis/studies/buildings/equipcosts/pdf/full.pdf" TargetMode="External"/><Relationship Id="rId87" Type="http://schemas.openxmlformats.org/officeDocument/2006/relationships/hyperlink" Target="https://www.eia.gov/analysis/studies/buildings/equipcosts/pdf/full.pdf" TargetMode="External"/><Relationship Id="rId61" Type="http://schemas.openxmlformats.org/officeDocument/2006/relationships/hyperlink" Target="https://www.eia.gov/analysis/studies/buildings/equipcosts/pdf/full.pdf" TargetMode="External"/><Relationship Id="rId82" Type="http://schemas.openxmlformats.org/officeDocument/2006/relationships/hyperlink" Target="https://www.eia.gov/analysis/studies/buildings/equipcosts/pdf/full.pdf" TargetMode="External"/><Relationship Id="rId19" Type="http://schemas.openxmlformats.org/officeDocument/2006/relationships/hyperlink" Target="https://www.eia.gov/analysis/studies/buildings/equipcosts/pdf/full.pdf" TargetMode="External"/><Relationship Id="rId14" Type="http://schemas.openxmlformats.org/officeDocument/2006/relationships/hyperlink" Target="https://www.eia.gov/analysis/studies/buildings/equipcosts/pdf/full.pdf" TargetMode="External"/><Relationship Id="rId30" Type="http://schemas.openxmlformats.org/officeDocument/2006/relationships/hyperlink" Target="https://www.eia.gov/analysis/studies/buildings/equipcosts/pdf/full.pdf" TargetMode="External"/><Relationship Id="rId35" Type="http://schemas.openxmlformats.org/officeDocument/2006/relationships/hyperlink" Target="https://www.eia.gov/analysis/studies/buildings/equipcosts/pdf/full.pdf" TargetMode="External"/><Relationship Id="rId56" Type="http://schemas.openxmlformats.org/officeDocument/2006/relationships/hyperlink" Target="https://www.eia.gov/analysis/studies/buildings/equipcosts/pdf/full.pdf" TargetMode="External"/><Relationship Id="rId77" Type="http://schemas.openxmlformats.org/officeDocument/2006/relationships/hyperlink" Target="https://www.eia.gov/analysis/studies/buildings/equipcosts/pdf/ful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
  <sheetViews>
    <sheetView workbookViewId="0"/>
  </sheetViews>
  <sheetFormatPr defaultRowHeight="15" x14ac:dyDescent="0.25"/>
  <cols>
    <col min="2" max="2" width="76.85546875" customWidth="1"/>
    <col min="3" max="3" width="43.140625" customWidth="1"/>
    <col min="4" max="4" width="65.7109375" customWidth="1"/>
    <col min="5" max="5" width="5.7109375" customWidth="1"/>
    <col min="6" max="6" width="63.42578125" customWidth="1"/>
  </cols>
  <sheetData>
    <row r="1" spans="1:2" x14ac:dyDescent="0.25">
      <c r="A1" s="2" t="s">
        <v>0</v>
      </c>
    </row>
    <row r="3" spans="1:2" x14ac:dyDescent="0.25">
      <c r="A3" s="2" t="s">
        <v>1</v>
      </c>
      <c r="B3" s="3" t="s">
        <v>2</v>
      </c>
    </row>
    <row r="4" spans="1:2" x14ac:dyDescent="0.25">
      <c r="B4" t="s">
        <v>3</v>
      </c>
    </row>
    <row r="5" spans="1:2" x14ac:dyDescent="0.25">
      <c r="B5" s="4">
        <v>2018</v>
      </c>
    </row>
    <row r="6" spans="1:2" x14ac:dyDescent="0.25">
      <c r="B6" t="s">
        <v>4</v>
      </c>
    </row>
    <row r="7" spans="1:2" x14ac:dyDescent="0.25">
      <c r="B7" s="1" t="s">
        <v>5</v>
      </c>
    </row>
    <row r="10" spans="1:2" x14ac:dyDescent="0.25">
      <c r="B10" s="3" t="s">
        <v>6</v>
      </c>
    </row>
    <row r="11" spans="1:2" x14ac:dyDescent="0.25">
      <c r="B11" t="s">
        <v>3</v>
      </c>
    </row>
    <row r="12" spans="1:2" x14ac:dyDescent="0.25">
      <c r="B12" s="4">
        <v>2016</v>
      </c>
    </row>
    <row r="13" spans="1:2" x14ac:dyDescent="0.25">
      <c r="B13" t="s">
        <v>7</v>
      </c>
    </row>
    <row r="14" spans="1:2" x14ac:dyDescent="0.25">
      <c r="B14" s="1" t="s">
        <v>8</v>
      </c>
    </row>
    <row r="17" spans="2:3" x14ac:dyDescent="0.25">
      <c r="B17" s="3" t="s">
        <v>9</v>
      </c>
    </row>
    <row r="18" spans="2:3" x14ac:dyDescent="0.25">
      <c r="B18" t="s">
        <v>10</v>
      </c>
    </row>
    <row r="19" spans="2:3" x14ac:dyDescent="0.25">
      <c r="B19" s="4">
        <v>2026</v>
      </c>
    </row>
    <row r="20" spans="2:3" x14ac:dyDescent="0.25">
      <c r="B20" t="s">
        <v>11</v>
      </c>
      <c r="C20" s="5"/>
    </row>
    <row r="21" spans="2:3" x14ac:dyDescent="0.25">
      <c r="B21" t="s">
        <v>12</v>
      </c>
      <c r="C21" s="5"/>
    </row>
    <row r="22" spans="2:3" x14ac:dyDescent="0.25">
      <c r="B22" t="s">
        <v>13</v>
      </c>
      <c r="C22" s="5"/>
    </row>
    <row r="25" spans="2:3" x14ac:dyDescent="0.25">
      <c r="B25" s="3" t="s">
        <v>14</v>
      </c>
    </row>
    <row r="26" spans="2:3" x14ac:dyDescent="0.25">
      <c r="B26" t="s">
        <v>15</v>
      </c>
    </row>
    <row r="27" spans="2:3" x14ac:dyDescent="0.25">
      <c r="B27" s="4">
        <v>2008</v>
      </c>
    </row>
    <row r="28" spans="2:3" x14ac:dyDescent="0.25">
      <c r="B28" t="s">
        <v>16</v>
      </c>
    </row>
    <row r="29" spans="2:3" x14ac:dyDescent="0.25">
      <c r="B29" s="1" t="s">
        <v>17</v>
      </c>
    </row>
    <row r="31" spans="2:3" x14ac:dyDescent="0.25">
      <c r="B31" t="s">
        <v>1623</v>
      </c>
    </row>
    <row r="32" spans="2:3" x14ac:dyDescent="0.25">
      <c r="B32" t="s">
        <v>1624</v>
      </c>
    </row>
    <row r="33" spans="1:2" x14ac:dyDescent="0.25">
      <c r="B33">
        <v>2017</v>
      </c>
    </row>
    <row r="34" spans="1:2" x14ac:dyDescent="0.25">
      <c r="B34" t="s">
        <v>1625</v>
      </c>
    </row>
    <row r="35" spans="1:2" x14ac:dyDescent="0.25">
      <c r="B35" s="1" t="s">
        <v>1626</v>
      </c>
    </row>
    <row r="36" spans="1:2" x14ac:dyDescent="0.25">
      <c r="B36" t="s">
        <v>1627</v>
      </c>
    </row>
    <row r="39" spans="1:2" x14ac:dyDescent="0.25">
      <c r="A39" s="85" t="s">
        <v>18</v>
      </c>
    </row>
    <row r="40" spans="1:2" x14ac:dyDescent="0.25">
      <c r="A40" s="87" t="s">
        <v>19</v>
      </c>
    </row>
    <row r="41" spans="1:2" x14ac:dyDescent="0.25">
      <c r="A41" s="86" t="s">
        <v>20</v>
      </c>
    </row>
    <row r="42" spans="1:2" x14ac:dyDescent="0.25">
      <c r="A42" s="86" t="s">
        <v>21</v>
      </c>
    </row>
    <row r="44" spans="1:2" x14ac:dyDescent="0.25">
      <c r="A44" t="s">
        <v>22</v>
      </c>
    </row>
    <row r="46" spans="1:2" x14ac:dyDescent="0.25">
      <c r="A46" t="s">
        <v>23</v>
      </c>
    </row>
    <row r="48" spans="1:2" x14ac:dyDescent="0.25">
      <c r="A48" t="s">
        <v>24</v>
      </c>
    </row>
    <row r="50" spans="1:1" x14ac:dyDescent="0.25">
      <c r="A50" t="s">
        <v>25</v>
      </c>
    </row>
    <row r="52" spans="1:1" x14ac:dyDescent="0.25">
      <c r="A52" s="98" t="s">
        <v>26</v>
      </c>
    </row>
    <row r="53" spans="1:1" x14ac:dyDescent="0.25">
      <c r="A53" t="s">
        <v>27</v>
      </c>
    </row>
    <row r="54" spans="1:1" x14ac:dyDescent="0.25">
      <c r="A54" t="s">
        <v>28</v>
      </c>
    </row>
    <row r="56" spans="1:1" x14ac:dyDescent="0.25">
      <c r="A56" t="s">
        <v>29</v>
      </c>
    </row>
    <row r="57" spans="1:1" x14ac:dyDescent="0.25">
      <c r="A57" t="s">
        <v>30</v>
      </c>
    </row>
    <row r="59" spans="1:1" x14ac:dyDescent="0.25">
      <c r="A59" t="s">
        <v>1628</v>
      </c>
    </row>
    <row r="60" spans="1:1" x14ac:dyDescent="0.25">
      <c r="A60" t="s">
        <v>1629</v>
      </c>
    </row>
    <row r="61" spans="1:1" x14ac:dyDescent="0.25">
      <c r="A61" t="s">
        <v>1630</v>
      </c>
    </row>
    <row r="62" spans="1:1" x14ac:dyDescent="0.25">
      <c r="A62" t="s">
        <v>1631</v>
      </c>
    </row>
    <row r="63" spans="1:1" x14ac:dyDescent="0.25">
      <c r="A63" t="s">
        <v>1632</v>
      </c>
    </row>
    <row r="64" spans="1:1" x14ac:dyDescent="0.25">
      <c r="A64" t="s">
        <v>1633</v>
      </c>
    </row>
    <row r="65" spans="1:1" x14ac:dyDescent="0.25">
      <c r="A65" t="s">
        <v>1634</v>
      </c>
    </row>
  </sheetData>
  <hyperlinks>
    <hyperlink ref="B7" r:id="rId1" xr:uid="{00000000-0004-0000-0000-000000000000}"/>
    <hyperlink ref="B14" r:id="rId2" location="b38-b46" display="https://www.eia.gov/consumption/commercial/data/2012/ - b38-b46" xr:uid="{00000000-0004-0000-0000-000001000000}"/>
    <hyperlink ref="B29" r:id="rId3" xr:uid="{00000000-0004-0000-0000-000002000000}"/>
    <hyperlink ref="B35" r:id="rId4" xr:uid="{E65FB5B9-233F-49ED-8912-0C66A3200132}"/>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0"/>
  <sheetViews>
    <sheetView workbookViewId="0"/>
  </sheetViews>
  <sheetFormatPr defaultRowHeight="15" x14ac:dyDescent="0.25"/>
  <cols>
    <col min="1" max="1" width="28" customWidth="1"/>
    <col min="2" max="2" width="30" customWidth="1"/>
    <col min="6" max="6" width="44" customWidth="1"/>
  </cols>
  <sheetData>
    <row r="1" spans="1:7" x14ac:dyDescent="0.25">
      <c r="A1" s="98" t="s">
        <v>31</v>
      </c>
    </row>
    <row r="2" spans="1:7" x14ac:dyDescent="0.25">
      <c r="A2" s="98" t="s">
        <v>32</v>
      </c>
      <c r="B2" s="98" t="s">
        <v>33</v>
      </c>
      <c r="C2" s="98" t="s">
        <v>34</v>
      </c>
      <c r="D2" s="98" t="s">
        <v>35</v>
      </c>
      <c r="E2" s="98" t="s">
        <v>36</v>
      </c>
      <c r="F2" s="98" t="s">
        <v>37</v>
      </c>
      <c r="G2" s="98" t="s">
        <v>38</v>
      </c>
    </row>
    <row r="3" spans="1:7" x14ac:dyDescent="0.25">
      <c r="A3" t="s">
        <v>39</v>
      </c>
      <c r="B3" t="s">
        <v>40</v>
      </c>
      <c r="C3" t="s">
        <v>41</v>
      </c>
      <c r="D3" t="s">
        <v>42</v>
      </c>
      <c r="E3">
        <v>0.94299868264323294</v>
      </c>
      <c r="F3" t="s">
        <v>43</v>
      </c>
      <c r="G3">
        <v>0.94299868264323294</v>
      </c>
    </row>
    <row r="4" spans="1:7" x14ac:dyDescent="0.25">
      <c r="A4" t="s">
        <v>39</v>
      </c>
      <c r="B4" t="s">
        <v>40</v>
      </c>
      <c r="C4" t="s">
        <v>44</v>
      </c>
      <c r="D4" t="s">
        <v>42</v>
      </c>
      <c r="E4">
        <v>4.1765731369656618E-2</v>
      </c>
      <c r="F4" t="s">
        <v>43</v>
      </c>
      <c r="G4">
        <v>4.1765731369656618E-2</v>
      </c>
    </row>
    <row r="5" spans="1:7" x14ac:dyDescent="0.25">
      <c r="A5" t="s">
        <v>39</v>
      </c>
      <c r="B5" t="s">
        <v>40</v>
      </c>
      <c r="C5" t="s">
        <v>45</v>
      </c>
      <c r="D5" t="s">
        <v>42</v>
      </c>
      <c r="E5">
        <v>1.523558598711041E-2</v>
      </c>
      <c r="F5" t="s">
        <v>43</v>
      </c>
      <c r="G5">
        <v>1.523558598711041E-2</v>
      </c>
    </row>
    <row r="6" spans="1:7" x14ac:dyDescent="0.25">
      <c r="A6" t="s">
        <v>39</v>
      </c>
      <c r="B6" t="s">
        <v>40</v>
      </c>
      <c r="C6" t="s">
        <v>46</v>
      </c>
      <c r="D6" t="s">
        <v>47</v>
      </c>
      <c r="E6">
        <v>0.43273688361237522</v>
      </c>
      <c r="F6" t="s">
        <v>43</v>
      </c>
      <c r="G6">
        <v>0.43273688361237522</v>
      </c>
    </row>
    <row r="7" spans="1:7" x14ac:dyDescent="0.25">
      <c r="A7" t="s">
        <v>39</v>
      </c>
      <c r="B7" t="s">
        <v>40</v>
      </c>
      <c r="C7" t="s">
        <v>48</v>
      </c>
      <c r="D7" t="s">
        <v>47</v>
      </c>
      <c r="E7">
        <v>0.56726311638762483</v>
      </c>
      <c r="F7" t="s">
        <v>43</v>
      </c>
      <c r="G7">
        <v>0.56726311638762483</v>
      </c>
    </row>
    <row r="8" spans="1:7" x14ac:dyDescent="0.25">
      <c r="A8" t="s">
        <v>39</v>
      </c>
      <c r="B8" t="s">
        <v>40</v>
      </c>
      <c r="C8" t="s">
        <v>49</v>
      </c>
      <c r="D8" t="s">
        <v>50</v>
      </c>
      <c r="E8">
        <v>0.1171368722490322</v>
      </c>
      <c r="F8" t="s">
        <v>43</v>
      </c>
      <c r="G8">
        <v>0.1171368722490322</v>
      </c>
    </row>
    <row r="9" spans="1:7" x14ac:dyDescent="0.25">
      <c r="A9" t="s">
        <v>39</v>
      </c>
      <c r="B9" t="s">
        <v>40</v>
      </c>
      <c r="C9" t="s">
        <v>51</v>
      </c>
      <c r="D9" t="s">
        <v>50</v>
      </c>
      <c r="E9">
        <v>0.88286312775096776</v>
      </c>
      <c r="F9" t="s">
        <v>43</v>
      </c>
      <c r="G9">
        <v>0.88286312775096776</v>
      </c>
    </row>
    <row r="10" spans="1:7" x14ac:dyDescent="0.25">
      <c r="A10" t="s">
        <v>39</v>
      </c>
      <c r="B10" t="s">
        <v>40</v>
      </c>
      <c r="C10" t="s">
        <v>52</v>
      </c>
      <c r="D10" t="s">
        <v>53</v>
      </c>
      <c r="E10">
        <v>0.45630816353267001</v>
      </c>
      <c r="F10" t="s">
        <v>43</v>
      </c>
      <c r="G10">
        <v>0.45630816353267001</v>
      </c>
    </row>
    <row r="11" spans="1:7" x14ac:dyDescent="0.25">
      <c r="A11" t="s">
        <v>39</v>
      </c>
      <c r="B11" t="s">
        <v>40</v>
      </c>
      <c r="C11" t="s">
        <v>54</v>
      </c>
      <c r="D11" t="s">
        <v>53</v>
      </c>
      <c r="E11">
        <v>4.4370047500516312E-2</v>
      </c>
      <c r="F11" t="s">
        <v>43</v>
      </c>
      <c r="G11">
        <v>4.4370047500516312E-2</v>
      </c>
    </row>
    <row r="12" spans="1:7" x14ac:dyDescent="0.25">
      <c r="A12" t="s">
        <v>39</v>
      </c>
      <c r="B12" t="s">
        <v>40</v>
      </c>
      <c r="C12" t="s">
        <v>55</v>
      </c>
      <c r="D12" t="s">
        <v>53</v>
      </c>
      <c r="E12">
        <v>0.1883750452665103</v>
      </c>
      <c r="F12" t="s">
        <v>43</v>
      </c>
      <c r="G12">
        <v>0.1883750452665103</v>
      </c>
    </row>
    <row r="13" spans="1:7" x14ac:dyDescent="0.25">
      <c r="A13" t="s">
        <v>39</v>
      </c>
      <c r="B13" t="s">
        <v>40</v>
      </c>
      <c r="C13" t="s">
        <v>56</v>
      </c>
      <c r="D13" t="s">
        <v>53</v>
      </c>
      <c r="E13">
        <v>0.22286512267581851</v>
      </c>
      <c r="F13" t="s">
        <v>43</v>
      </c>
      <c r="G13">
        <v>0.22286512267581851</v>
      </c>
    </row>
    <row r="14" spans="1:7" x14ac:dyDescent="0.25">
      <c r="A14" t="s">
        <v>39</v>
      </c>
      <c r="B14" t="s">
        <v>40</v>
      </c>
      <c r="C14" t="s">
        <v>57</v>
      </c>
      <c r="D14" t="s">
        <v>53</v>
      </c>
      <c r="E14">
        <v>8.8081621024484816E-2</v>
      </c>
      <c r="F14" t="s">
        <v>43</v>
      </c>
      <c r="G14">
        <v>8.8081621024484816E-2</v>
      </c>
    </row>
    <row r="15" spans="1:7" x14ac:dyDescent="0.25">
      <c r="A15" t="s">
        <v>39</v>
      </c>
      <c r="B15" t="s">
        <v>40</v>
      </c>
      <c r="C15" t="s">
        <v>58</v>
      </c>
      <c r="D15" t="s">
        <v>59</v>
      </c>
      <c r="E15">
        <v>1</v>
      </c>
      <c r="F15" t="s">
        <v>60</v>
      </c>
      <c r="G15">
        <v>0.72982194479141249</v>
      </c>
    </row>
    <row r="16" spans="1:7" x14ac:dyDescent="0.25">
      <c r="A16" t="s">
        <v>39</v>
      </c>
      <c r="B16" t="s">
        <v>40</v>
      </c>
      <c r="C16" t="s">
        <v>61</v>
      </c>
      <c r="D16" t="s">
        <v>59</v>
      </c>
      <c r="E16">
        <v>0</v>
      </c>
      <c r="F16" t="s">
        <v>60</v>
      </c>
      <c r="G16">
        <v>0.27017805520858751</v>
      </c>
    </row>
    <row r="17" spans="1:7" x14ac:dyDescent="0.25">
      <c r="A17" t="s">
        <v>39</v>
      </c>
      <c r="B17" t="s">
        <v>40</v>
      </c>
      <c r="C17" t="s">
        <v>62</v>
      </c>
      <c r="D17" t="s">
        <v>63</v>
      </c>
      <c r="E17">
        <v>0.42162495143522749</v>
      </c>
      <c r="F17" t="s">
        <v>43</v>
      </c>
      <c r="G17">
        <v>0.42162495143522749</v>
      </c>
    </row>
    <row r="18" spans="1:7" x14ac:dyDescent="0.25">
      <c r="A18" t="s">
        <v>39</v>
      </c>
      <c r="B18" t="s">
        <v>40</v>
      </c>
      <c r="C18" t="s">
        <v>64</v>
      </c>
      <c r="D18" t="s">
        <v>63</v>
      </c>
      <c r="E18">
        <v>0.57837504856477251</v>
      </c>
      <c r="F18" t="s">
        <v>43</v>
      </c>
      <c r="G18">
        <v>0.57837504856477251</v>
      </c>
    </row>
    <row r="19" spans="1:7" x14ac:dyDescent="0.25">
      <c r="A19" t="s">
        <v>39</v>
      </c>
      <c r="B19" t="s">
        <v>65</v>
      </c>
      <c r="C19" t="s">
        <v>41</v>
      </c>
      <c r="D19" t="s">
        <v>42</v>
      </c>
      <c r="E19">
        <v>0.94299868264323294</v>
      </c>
      <c r="F19" t="s">
        <v>43</v>
      </c>
      <c r="G19">
        <v>0.94299868264323294</v>
      </c>
    </row>
    <row r="20" spans="1:7" x14ac:dyDescent="0.25">
      <c r="A20" t="s">
        <v>39</v>
      </c>
      <c r="B20" t="s">
        <v>65</v>
      </c>
      <c r="C20" t="s">
        <v>44</v>
      </c>
      <c r="D20" t="s">
        <v>42</v>
      </c>
      <c r="E20">
        <v>4.1765731369656618E-2</v>
      </c>
      <c r="F20" t="s">
        <v>43</v>
      </c>
      <c r="G20">
        <v>4.1765731369656618E-2</v>
      </c>
    </row>
    <row r="21" spans="1:7" x14ac:dyDescent="0.25">
      <c r="A21" t="s">
        <v>39</v>
      </c>
      <c r="B21" t="s">
        <v>65</v>
      </c>
      <c r="C21" t="s">
        <v>45</v>
      </c>
      <c r="D21" t="s">
        <v>42</v>
      </c>
      <c r="E21">
        <v>1.523558598711041E-2</v>
      </c>
      <c r="F21" t="s">
        <v>43</v>
      </c>
      <c r="G21">
        <v>1.523558598711041E-2</v>
      </c>
    </row>
    <row r="22" spans="1:7" x14ac:dyDescent="0.25">
      <c r="A22" t="s">
        <v>39</v>
      </c>
      <c r="B22" t="s">
        <v>65</v>
      </c>
      <c r="C22" t="s">
        <v>46</v>
      </c>
      <c r="D22" t="s">
        <v>47</v>
      </c>
      <c r="E22">
        <v>0.43273688361237522</v>
      </c>
      <c r="F22" t="s">
        <v>43</v>
      </c>
      <c r="G22">
        <v>0.43273688361237522</v>
      </c>
    </row>
    <row r="23" spans="1:7" x14ac:dyDescent="0.25">
      <c r="A23" t="s">
        <v>39</v>
      </c>
      <c r="B23" t="s">
        <v>65</v>
      </c>
      <c r="C23" t="s">
        <v>48</v>
      </c>
      <c r="D23" t="s">
        <v>47</v>
      </c>
      <c r="E23">
        <v>0.56726311638762483</v>
      </c>
      <c r="F23" t="s">
        <v>43</v>
      </c>
      <c r="G23">
        <v>0.56726311638762483</v>
      </c>
    </row>
    <row r="24" spans="1:7" x14ac:dyDescent="0.25">
      <c r="A24" t="s">
        <v>39</v>
      </c>
      <c r="B24" t="s">
        <v>65</v>
      </c>
      <c r="C24" t="s">
        <v>49</v>
      </c>
      <c r="D24" t="s">
        <v>50</v>
      </c>
      <c r="E24">
        <v>0.1171368722490322</v>
      </c>
      <c r="F24" t="s">
        <v>43</v>
      </c>
      <c r="G24">
        <v>0.1171368722490322</v>
      </c>
    </row>
    <row r="25" spans="1:7" x14ac:dyDescent="0.25">
      <c r="A25" t="s">
        <v>39</v>
      </c>
      <c r="B25" t="s">
        <v>65</v>
      </c>
      <c r="C25" t="s">
        <v>51</v>
      </c>
      <c r="D25" t="s">
        <v>50</v>
      </c>
      <c r="E25">
        <v>0.88286312775096776</v>
      </c>
      <c r="F25" t="s">
        <v>43</v>
      </c>
      <c r="G25">
        <v>0.88286312775096776</v>
      </c>
    </row>
    <row r="26" spans="1:7" x14ac:dyDescent="0.25">
      <c r="A26" t="s">
        <v>39</v>
      </c>
      <c r="B26" t="s">
        <v>65</v>
      </c>
      <c r="C26" t="s">
        <v>52</v>
      </c>
      <c r="D26" t="s">
        <v>53</v>
      </c>
      <c r="E26">
        <v>0.45630816353267001</v>
      </c>
      <c r="F26" t="s">
        <v>43</v>
      </c>
      <c r="G26">
        <v>0.45630816353267001</v>
      </c>
    </row>
    <row r="27" spans="1:7" x14ac:dyDescent="0.25">
      <c r="A27" t="s">
        <v>39</v>
      </c>
      <c r="B27" t="s">
        <v>65</v>
      </c>
      <c r="C27" t="s">
        <v>54</v>
      </c>
      <c r="D27" t="s">
        <v>53</v>
      </c>
      <c r="E27">
        <v>4.4370047500516312E-2</v>
      </c>
      <c r="F27" t="s">
        <v>43</v>
      </c>
      <c r="G27">
        <v>4.4370047500516312E-2</v>
      </c>
    </row>
    <row r="28" spans="1:7" x14ac:dyDescent="0.25">
      <c r="A28" t="s">
        <v>39</v>
      </c>
      <c r="B28" t="s">
        <v>65</v>
      </c>
      <c r="C28" t="s">
        <v>55</v>
      </c>
      <c r="D28" t="s">
        <v>53</v>
      </c>
      <c r="E28">
        <v>0.1883750452665103</v>
      </c>
      <c r="F28" t="s">
        <v>43</v>
      </c>
      <c r="G28">
        <v>0.1883750452665103</v>
      </c>
    </row>
    <row r="29" spans="1:7" x14ac:dyDescent="0.25">
      <c r="A29" t="s">
        <v>39</v>
      </c>
      <c r="B29" t="s">
        <v>65</v>
      </c>
      <c r="C29" t="s">
        <v>56</v>
      </c>
      <c r="D29" t="s">
        <v>53</v>
      </c>
      <c r="E29">
        <v>0.22286512267581851</v>
      </c>
      <c r="F29" t="s">
        <v>43</v>
      </c>
      <c r="G29">
        <v>0.22286512267581851</v>
      </c>
    </row>
    <row r="30" spans="1:7" x14ac:dyDescent="0.25">
      <c r="A30" t="s">
        <v>39</v>
      </c>
      <c r="B30" t="s">
        <v>65</v>
      </c>
      <c r="C30" t="s">
        <v>57</v>
      </c>
      <c r="D30" t="s">
        <v>53</v>
      </c>
      <c r="E30">
        <v>8.8081621024484816E-2</v>
      </c>
      <c r="F30" t="s">
        <v>43</v>
      </c>
      <c r="G30">
        <v>8.8081621024484816E-2</v>
      </c>
    </row>
    <row r="31" spans="1:7" x14ac:dyDescent="0.25">
      <c r="A31" t="s">
        <v>39</v>
      </c>
      <c r="B31" t="s">
        <v>65</v>
      </c>
      <c r="C31" t="s">
        <v>58</v>
      </c>
      <c r="D31" t="s">
        <v>59</v>
      </c>
      <c r="E31">
        <v>1</v>
      </c>
      <c r="F31" t="s">
        <v>60</v>
      </c>
      <c r="G31">
        <v>0.72982194479141249</v>
      </c>
    </row>
    <row r="32" spans="1:7" x14ac:dyDescent="0.25">
      <c r="A32" t="s">
        <v>39</v>
      </c>
      <c r="B32" t="s">
        <v>65</v>
      </c>
      <c r="C32" t="s">
        <v>61</v>
      </c>
      <c r="D32" t="s">
        <v>59</v>
      </c>
      <c r="E32">
        <v>0</v>
      </c>
      <c r="F32" t="s">
        <v>60</v>
      </c>
      <c r="G32">
        <v>0.27017805520858751</v>
      </c>
    </row>
    <row r="33" spans="1:7" x14ac:dyDescent="0.25">
      <c r="A33" t="s">
        <v>39</v>
      </c>
      <c r="B33" t="s">
        <v>65</v>
      </c>
      <c r="C33" t="s">
        <v>62</v>
      </c>
      <c r="D33" t="s">
        <v>63</v>
      </c>
      <c r="E33">
        <v>0.42162495143522749</v>
      </c>
      <c r="F33" t="s">
        <v>43</v>
      </c>
      <c r="G33">
        <v>0.42162495143522749</v>
      </c>
    </row>
    <row r="34" spans="1:7" x14ac:dyDescent="0.25">
      <c r="A34" t="s">
        <v>39</v>
      </c>
      <c r="B34" t="s">
        <v>65</v>
      </c>
      <c r="C34" t="s">
        <v>64</v>
      </c>
      <c r="D34" t="s">
        <v>63</v>
      </c>
      <c r="E34">
        <v>0.57837504856477251</v>
      </c>
      <c r="F34" t="s">
        <v>43</v>
      </c>
      <c r="G34">
        <v>0.57837504856477251</v>
      </c>
    </row>
    <row r="35" spans="1:7" x14ac:dyDescent="0.25">
      <c r="A35" t="s">
        <v>39</v>
      </c>
      <c r="B35" t="s">
        <v>66</v>
      </c>
      <c r="C35" t="s">
        <v>41</v>
      </c>
      <c r="D35" t="s">
        <v>42</v>
      </c>
      <c r="E35">
        <v>0.94299868264323294</v>
      </c>
      <c r="F35" t="s">
        <v>43</v>
      </c>
      <c r="G35">
        <v>0.94299868264323294</v>
      </c>
    </row>
    <row r="36" spans="1:7" x14ac:dyDescent="0.25">
      <c r="A36" t="s">
        <v>39</v>
      </c>
      <c r="B36" t="s">
        <v>66</v>
      </c>
      <c r="C36" t="s">
        <v>44</v>
      </c>
      <c r="D36" t="s">
        <v>42</v>
      </c>
      <c r="E36">
        <v>4.1765731369656618E-2</v>
      </c>
      <c r="F36" t="s">
        <v>43</v>
      </c>
      <c r="G36">
        <v>4.1765731369656618E-2</v>
      </c>
    </row>
    <row r="37" spans="1:7" x14ac:dyDescent="0.25">
      <c r="A37" t="s">
        <v>39</v>
      </c>
      <c r="B37" t="s">
        <v>66</v>
      </c>
      <c r="C37" t="s">
        <v>45</v>
      </c>
      <c r="D37" t="s">
        <v>42</v>
      </c>
      <c r="E37">
        <v>1.523558598711041E-2</v>
      </c>
      <c r="F37" t="s">
        <v>43</v>
      </c>
      <c r="G37">
        <v>1.523558598711041E-2</v>
      </c>
    </row>
    <row r="38" spans="1:7" x14ac:dyDescent="0.25">
      <c r="A38" t="s">
        <v>39</v>
      </c>
      <c r="B38" t="s">
        <v>66</v>
      </c>
      <c r="C38" t="s">
        <v>46</v>
      </c>
      <c r="D38" t="s">
        <v>47</v>
      </c>
      <c r="E38">
        <v>0.43273688361237522</v>
      </c>
      <c r="F38" t="s">
        <v>43</v>
      </c>
      <c r="G38">
        <v>0.43273688361237522</v>
      </c>
    </row>
    <row r="39" spans="1:7" x14ac:dyDescent="0.25">
      <c r="A39" t="s">
        <v>39</v>
      </c>
      <c r="B39" t="s">
        <v>66</v>
      </c>
      <c r="C39" t="s">
        <v>48</v>
      </c>
      <c r="D39" t="s">
        <v>47</v>
      </c>
      <c r="E39">
        <v>0.56726311638762483</v>
      </c>
      <c r="F39" t="s">
        <v>43</v>
      </c>
      <c r="G39">
        <v>0.56726311638762483</v>
      </c>
    </row>
    <row r="40" spans="1:7" x14ac:dyDescent="0.25">
      <c r="A40" t="s">
        <v>39</v>
      </c>
      <c r="B40" t="s">
        <v>66</v>
      </c>
      <c r="C40" t="s">
        <v>49</v>
      </c>
      <c r="D40" t="s">
        <v>50</v>
      </c>
      <c r="E40">
        <v>0.1171368722490322</v>
      </c>
      <c r="F40" t="s">
        <v>43</v>
      </c>
      <c r="G40">
        <v>0.1171368722490322</v>
      </c>
    </row>
    <row r="41" spans="1:7" x14ac:dyDescent="0.25">
      <c r="A41" t="s">
        <v>39</v>
      </c>
      <c r="B41" t="s">
        <v>66</v>
      </c>
      <c r="C41" t="s">
        <v>51</v>
      </c>
      <c r="D41" t="s">
        <v>50</v>
      </c>
      <c r="E41">
        <v>0.88286312775096776</v>
      </c>
      <c r="F41" t="s">
        <v>43</v>
      </c>
      <c r="G41">
        <v>0.88286312775096776</v>
      </c>
    </row>
    <row r="42" spans="1:7" x14ac:dyDescent="0.25">
      <c r="A42" t="s">
        <v>39</v>
      </c>
      <c r="B42" t="s">
        <v>66</v>
      </c>
      <c r="C42" t="s">
        <v>52</v>
      </c>
      <c r="D42" t="s">
        <v>53</v>
      </c>
      <c r="E42">
        <v>0.45630816353267001</v>
      </c>
      <c r="F42" t="s">
        <v>43</v>
      </c>
      <c r="G42">
        <v>0.45630816353267001</v>
      </c>
    </row>
    <row r="43" spans="1:7" x14ac:dyDescent="0.25">
      <c r="A43" t="s">
        <v>39</v>
      </c>
      <c r="B43" t="s">
        <v>66</v>
      </c>
      <c r="C43" t="s">
        <v>54</v>
      </c>
      <c r="D43" t="s">
        <v>53</v>
      </c>
      <c r="E43">
        <v>4.4370047500516312E-2</v>
      </c>
      <c r="F43" t="s">
        <v>43</v>
      </c>
      <c r="G43">
        <v>4.4370047500516312E-2</v>
      </c>
    </row>
    <row r="44" spans="1:7" x14ac:dyDescent="0.25">
      <c r="A44" t="s">
        <v>39</v>
      </c>
      <c r="B44" t="s">
        <v>66</v>
      </c>
      <c r="C44" t="s">
        <v>55</v>
      </c>
      <c r="D44" t="s">
        <v>53</v>
      </c>
      <c r="E44">
        <v>0.1883750452665103</v>
      </c>
      <c r="F44" t="s">
        <v>43</v>
      </c>
      <c r="G44">
        <v>0.1883750452665103</v>
      </c>
    </row>
    <row r="45" spans="1:7" x14ac:dyDescent="0.25">
      <c r="A45" t="s">
        <v>39</v>
      </c>
      <c r="B45" t="s">
        <v>66</v>
      </c>
      <c r="C45" t="s">
        <v>56</v>
      </c>
      <c r="D45" t="s">
        <v>53</v>
      </c>
      <c r="E45">
        <v>0.22286512267581851</v>
      </c>
      <c r="F45" t="s">
        <v>43</v>
      </c>
      <c r="G45">
        <v>0.22286512267581851</v>
      </c>
    </row>
    <row r="46" spans="1:7" x14ac:dyDescent="0.25">
      <c r="A46" t="s">
        <v>39</v>
      </c>
      <c r="B46" t="s">
        <v>66</v>
      </c>
      <c r="C46" t="s">
        <v>57</v>
      </c>
      <c r="D46" t="s">
        <v>53</v>
      </c>
      <c r="E46">
        <v>8.8081621024484816E-2</v>
      </c>
      <c r="F46" t="s">
        <v>43</v>
      </c>
      <c r="G46">
        <v>8.8081621024484816E-2</v>
      </c>
    </row>
    <row r="47" spans="1:7" x14ac:dyDescent="0.25">
      <c r="A47" t="s">
        <v>39</v>
      </c>
      <c r="B47" t="s">
        <v>66</v>
      </c>
      <c r="C47" t="s">
        <v>58</v>
      </c>
      <c r="D47" t="s">
        <v>59</v>
      </c>
      <c r="E47">
        <v>1</v>
      </c>
      <c r="F47" t="s">
        <v>60</v>
      </c>
      <c r="G47">
        <v>0.72982194479141249</v>
      </c>
    </row>
    <row r="48" spans="1:7" x14ac:dyDescent="0.25">
      <c r="A48" t="s">
        <v>39</v>
      </c>
      <c r="B48" t="s">
        <v>66</v>
      </c>
      <c r="C48" t="s">
        <v>61</v>
      </c>
      <c r="D48" t="s">
        <v>59</v>
      </c>
      <c r="E48">
        <v>0</v>
      </c>
      <c r="F48" t="s">
        <v>60</v>
      </c>
      <c r="G48">
        <v>0.27017805520858751</v>
      </c>
    </row>
    <row r="49" spans="1:7" x14ac:dyDescent="0.25">
      <c r="A49" t="s">
        <v>39</v>
      </c>
      <c r="B49" t="s">
        <v>66</v>
      </c>
      <c r="C49" t="s">
        <v>62</v>
      </c>
      <c r="D49" t="s">
        <v>63</v>
      </c>
      <c r="E49">
        <v>0.42162495143522749</v>
      </c>
      <c r="F49" t="s">
        <v>43</v>
      </c>
      <c r="G49">
        <v>0.42162495143522749</v>
      </c>
    </row>
    <row r="50" spans="1:7" x14ac:dyDescent="0.25">
      <c r="A50" t="s">
        <v>39</v>
      </c>
      <c r="B50" t="s">
        <v>66</v>
      </c>
      <c r="C50" t="s">
        <v>64</v>
      </c>
      <c r="D50" t="s">
        <v>63</v>
      </c>
      <c r="E50">
        <v>0.57837504856477251</v>
      </c>
      <c r="F50" t="s">
        <v>43</v>
      </c>
      <c r="G50">
        <v>0.57837504856477251</v>
      </c>
    </row>
    <row r="51" spans="1:7" x14ac:dyDescent="0.25">
      <c r="A51" t="s">
        <v>39</v>
      </c>
      <c r="B51" t="s">
        <v>67</v>
      </c>
      <c r="C51" t="s">
        <v>41</v>
      </c>
      <c r="D51" t="s">
        <v>42</v>
      </c>
      <c r="E51">
        <v>0.94299868264323294</v>
      </c>
      <c r="F51" t="s">
        <v>43</v>
      </c>
      <c r="G51">
        <v>0.94299868264323294</v>
      </c>
    </row>
    <row r="52" spans="1:7" x14ac:dyDescent="0.25">
      <c r="A52" t="s">
        <v>39</v>
      </c>
      <c r="B52" t="s">
        <v>67</v>
      </c>
      <c r="C52" t="s">
        <v>44</v>
      </c>
      <c r="D52" t="s">
        <v>42</v>
      </c>
      <c r="E52">
        <v>4.1765731369656618E-2</v>
      </c>
      <c r="F52" t="s">
        <v>43</v>
      </c>
      <c r="G52">
        <v>4.1765731369656618E-2</v>
      </c>
    </row>
    <row r="53" spans="1:7" x14ac:dyDescent="0.25">
      <c r="A53" t="s">
        <v>39</v>
      </c>
      <c r="B53" t="s">
        <v>67</v>
      </c>
      <c r="C53" t="s">
        <v>45</v>
      </c>
      <c r="D53" t="s">
        <v>42</v>
      </c>
      <c r="E53">
        <v>1.523558598711041E-2</v>
      </c>
      <c r="F53" t="s">
        <v>43</v>
      </c>
      <c r="G53">
        <v>1.523558598711041E-2</v>
      </c>
    </row>
    <row r="54" spans="1:7" x14ac:dyDescent="0.25">
      <c r="A54" t="s">
        <v>39</v>
      </c>
      <c r="B54" t="s">
        <v>67</v>
      </c>
      <c r="C54" t="s">
        <v>46</v>
      </c>
      <c r="D54" t="s">
        <v>47</v>
      </c>
      <c r="E54">
        <v>0.43273688361237522</v>
      </c>
      <c r="F54" t="s">
        <v>43</v>
      </c>
      <c r="G54">
        <v>0.43273688361237522</v>
      </c>
    </row>
    <row r="55" spans="1:7" x14ac:dyDescent="0.25">
      <c r="A55" t="s">
        <v>39</v>
      </c>
      <c r="B55" t="s">
        <v>67</v>
      </c>
      <c r="C55" t="s">
        <v>48</v>
      </c>
      <c r="D55" t="s">
        <v>47</v>
      </c>
      <c r="E55">
        <v>0.56726311638762483</v>
      </c>
      <c r="F55" t="s">
        <v>43</v>
      </c>
      <c r="G55">
        <v>0.56726311638762483</v>
      </c>
    </row>
    <row r="56" spans="1:7" x14ac:dyDescent="0.25">
      <c r="A56" t="s">
        <v>39</v>
      </c>
      <c r="B56" t="s">
        <v>67</v>
      </c>
      <c r="C56" t="s">
        <v>49</v>
      </c>
      <c r="D56" t="s">
        <v>50</v>
      </c>
      <c r="E56">
        <v>0.1171368722490322</v>
      </c>
      <c r="F56" t="s">
        <v>43</v>
      </c>
      <c r="G56">
        <v>0.1171368722490322</v>
      </c>
    </row>
    <row r="57" spans="1:7" x14ac:dyDescent="0.25">
      <c r="A57" t="s">
        <v>39</v>
      </c>
      <c r="B57" t="s">
        <v>67</v>
      </c>
      <c r="C57" t="s">
        <v>51</v>
      </c>
      <c r="D57" t="s">
        <v>50</v>
      </c>
      <c r="E57">
        <v>0.88286312775096776</v>
      </c>
      <c r="F57" t="s">
        <v>43</v>
      </c>
      <c r="G57">
        <v>0.88286312775096776</v>
      </c>
    </row>
    <row r="58" spans="1:7" x14ac:dyDescent="0.25">
      <c r="A58" t="s">
        <v>39</v>
      </c>
      <c r="B58" t="s">
        <v>67</v>
      </c>
      <c r="C58" t="s">
        <v>52</v>
      </c>
      <c r="D58" t="s">
        <v>53</v>
      </c>
      <c r="E58">
        <v>0.45630816353267001</v>
      </c>
      <c r="F58" t="s">
        <v>43</v>
      </c>
      <c r="G58">
        <v>0.45630816353267001</v>
      </c>
    </row>
    <row r="59" spans="1:7" x14ac:dyDescent="0.25">
      <c r="A59" t="s">
        <v>39</v>
      </c>
      <c r="B59" t="s">
        <v>67</v>
      </c>
      <c r="C59" t="s">
        <v>54</v>
      </c>
      <c r="D59" t="s">
        <v>53</v>
      </c>
      <c r="E59">
        <v>4.4370047500516312E-2</v>
      </c>
      <c r="F59" t="s">
        <v>43</v>
      </c>
      <c r="G59">
        <v>4.4370047500516312E-2</v>
      </c>
    </row>
    <row r="60" spans="1:7" x14ac:dyDescent="0.25">
      <c r="A60" t="s">
        <v>39</v>
      </c>
      <c r="B60" t="s">
        <v>67</v>
      </c>
      <c r="C60" t="s">
        <v>55</v>
      </c>
      <c r="D60" t="s">
        <v>53</v>
      </c>
      <c r="E60">
        <v>0.1883750452665103</v>
      </c>
      <c r="F60" t="s">
        <v>43</v>
      </c>
      <c r="G60">
        <v>0.1883750452665103</v>
      </c>
    </row>
    <row r="61" spans="1:7" x14ac:dyDescent="0.25">
      <c r="A61" t="s">
        <v>39</v>
      </c>
      <c r="B61" t="s">
        <v>67</v>
      </c>
      <c r="C61" t="s">
        <v>56</v>
      </c>
      <c r="D61" t="s">
        <v>53</v>
      </c>
      <c r="E61">
        <v>0.22286512267581851</v>
      </c>
      <c r="F61" t="s">
        <v>43</v>
      </c>
      <c r="G61">
        <v>0.22286512267581851</v>
      </c>
    </row>
    <row r="62" spans="1:7" x14ac:dyDescent="0.25">
      <c r="A62" t="s">
        <v>39</v>
      </c>
      <c r="B62" t="s">
        <v>67</v>
      </c>
      <c r="C62" t="s">
        <v>57</v>
      </c>
      <c r="D62" t="s">
        <v>53</v>
      </c>
      <c r="E62">
        <v>8.8081621024484816E-2</v>
      </c>
      <c r="F62" t="s">
        <v>43</v>
      </c>
      <c r="G62">
        <v>8.8081621024484816E-2</v>
      </c>
    </row>
    <row r="63" spans="1:7" x14ac:dyDescent="0.25">
      <c r="A63" t="s">
        <v>39</v>
      </c>
      <c r="B63" t="s">
        <v>67</v>
      </c>
      <c r="C63" t="s">
        <v>58</v>
      </c>
      <c r="D63" t="s">
        <v>59</v>
      </c>
      <c r="E63">
        <v>1</v>
      </c>
      <c r="F63" t="s">
        <v>60</v>
      </c>
      <c r="G63">
        <v>0.72982194479141249</v>
      </c>
    </row>
    <row r="64" spans="1:7" x14ac:dyDescent="0.25">
      <c r="A64" t="s">
        <v>39</v>
      </c>
      <c r="B64" t="s">
        <v>67</v>
      </c>
      <c r="C64" t="s">
        <v>61</v>
      </c>
      <c r="D64" t="s">
        <v>59</v>
      </c>
      <c r="E64">
        <v>0</v>
      </c>
      <c r="F64" t="s">
        <v>60</v>
      </c>
      <c r="G64">
        <v>0.27017805520858751</v>
      </c>
    </row>
    <row r="65" spans="1:7" x14ac:dyDescent="0.25">
      <c r="A65" t="s">
        <v>39</v>
      </c>
      <c r="B65" t="s">
        <v>67</v>
      </c>
      <c r="C65" t="s">
        <v>62</v>
      </c>
      <c r="D65" t="s">
        <v>63</v>
      </c>
      <c r="E65">
        <v>0.42162495143522749</v>
      </c>
      <c r="F65" t="s">
        <v>43</v>
      </c>
      <c r="G65">
        <v>0.42162495143522749</v>
      </c>
    </row>
    <row r="66" spans="1:7" x14ac:dyDescent="0.25">
      <c r="A66" t="s">
        <v>39</v>
      </c>
      <c r="B66" t="s">
        <v>67</v>
      </c>
      <c r="C66" t="s">
        <v>64</v>
      </c>
      <c r="D66" t="s">
        <v>63</v>
      </c>
      <c r="E66">
        <v>0.57837504856477251</v>
      </c>
      <c r="F66" t="s">
        <v>43</v>
      </c>
      <c r="G66">
        <v>0.57837504856477251</v>
      </c>
    </row>
    <row r="67" spans="1:7" x14ac:dyDescent="0.25">
      <c r="A67" t="s">
        <v>39</v>
      </c>
      <c r="B67" t="s">
        <v>68</v>
      </c>
      <c r="C67" t="s">
        <v>41</v>
      </c>
      <c r="D67" t="s">
        <v>42</v>
      </c>
      <c r="E67">
        <v>0.94299868264323294</v>
      </c>
      <c r="F67" t="s">
        <v>43</v>
      </c>
      <c r="G67">
        <v>0.94299868264323294</v>
      </c>
    </row>
    <row r="68" spans="1:7" x14ac:dyDescent="0.25">
      <c r="A68" t="s">
        <v>39</v>
      </c>
      <c r="B68" t="s">
        <v>68</v>
      </c>
      <c r="C68" t="s">
        <v>44</v>
      </c>
      <c r="D68" t="s">
        <v>42</v>
      </c>
      <c r="E68">
        <v>4.1765731369656618E-2</v>
      </c>
      <c r="F68" t="s">
        <v>43</v>
      </c>
      <c r="G68">
        <v>4.1765731369656618E-2</v>
      </c>
    </row>
    <row r="69" spans="1:7" x14ac:dyDescent="0.25">
      <c r="A69" t="s">
        <v>39</v>
      </c>
      <c r="B69" t="s">
        <v>68</v>
      </c>
      <c r="C69" t="s">
        <v>45</v>
      </c>
      <c r="D69" t="s">
        <v>42</v>
      </c>
      <c r="E69">
        <v>1.523558598711041E-2</v>
      </c>
      <c r="F69" t="s">
        <v>43</v>
      </c>
      <c r="G69">
        <v>1.523558598711041E-2</v>
      </c>
    </row>
    <row r="70" spans="1:7" x14ac:dyDescent="0.25">
      <c r="A70" t="s">
        <v>39</v>
      </c>
      <c r="B70" t="s">
        <v>68</v>
      </c>
      <c r="C70" t="s">
        <v>46</v>
      </c>
      <c r="D70" t="s">
        <v>47</v>
      </c>
      <c r="E70">
        <v>0.43273688361237522</v>
      </c>
      <c r="F70" t="s">
        <v>43</v>
      </c>
      <c r="G70">
        <v>0.43273688361237522</v>
      </c>
    </row>
    <row r="71" spans="1:7" x14ac:dyDescent="0.25">
      <c r="A71" t="s">
        <v>39</v>
      </c>
      <c r="B71" t="s">
        <v>68</v>
      </c>
      <c r="C71" t="s">
        <v>48</v>
      </c>
      <c r="D71" t="s">
        <v>47</v>
      </c>
      <c r="E71">
        <v>0.56726311638762483</v>
      </c>
      <c r="F71" t="s">
        <v>43</v>
      </c>
      <c r="G71">
        <v>0.56726311638762483</v>
      </c>
    </row>
    <row r="72" spans="1:7" x14ac:dyDescent="0.25">
      <c r="A72" t="s">
        <v>39</v>
      </c>
      <c r="B72" t="s">
        <v>68</v>
      </c>
      <c r="C72" t="s">
        <v>49</v>
      </c>
      <c r="D72" t="s">
        <v>50</v>
      </c>
      <c r="E72">
        <v>0.1171368722490322</v>
      </c>
      <c r="F72" t="s">
        <v>43</v>
      </c>
      <c r="G72">
        <v>0.1171368722490322</v>
      </c>
    </row>
    <row r="73" spans="1:7" x14ac:dyDescent="0.25">
      <c r="A73" t="s">
        <v>39</v>
      </c>
      <c r="B73" t="s">
        <v>68</v>
      </c>
      <c r="C73" t="s">
        <v>51</v>
      </c>
      <c r="D73" t="s">
        <v>50</v>
      </c>
      <c r="E73">
        <v>0.88286312775096776</v>
      </c>
      <c r="F73" t="s">
        <v>43</v>
      </c>
      <c r="G73">
        <v>0.88286312775096776</v>
      </c>
    </row>
    <row r="74" spans="1:7" x14ac:dyDescent="0.25">
      <c r="A74" t="s">
        <v>39</v>
      </c>
      <c r="B74" t="s">
        <v>68</v>
      </c>
      <c r="C74" t="s">
        <v>52</v>
      </c>
      <c r="D74" t="s">
        <v>53</v>
      </c>
      <c r="E74">
        <v>0.45630816353267001</v>
      </c>
      <c r="F74" t="s">
        <v>43</v>
      </c>
      <c r="G74">
        <v>0.45630816353267001</v>
      </c>
    </row>
    <row r="75" spans="1:7" x14ac:dyDescent="0.25">
      <c r="A75" t="s">
        <v>39</v>
      </c>
      <c r="B75" t="s">
        <v>68</v>
      </c>
      <c r="C75" t="s">
        <v>54</v>
      </c>
      <c r="D75" t="s">
        <v>53</v>
      </c>
      <c r="E75">
        <v>4.4370047500516312E-2</v>
      </c>
      <c r="F75" t="s">
        <v>43</v>
      </c>
      <c r="G75">
        <v>4.4370047500516312E-2</v>
      </c>
    </row>
    <row r="76" spans="1:7" x14ac:dyDescent="0.25">
      <c r="A76" t="s">
        <v>39</v>
      </c>
      <c r="B76" t="s">
        <v>68</v>
      </c>
      <c r="C76" t="s">
        <v>55</v>
      </c>
      <c r="D76" t="s">
        <v>53</v>
      </c>
      <c r="E76">
        <v>0.1883750452665103</v>
      </c>
      <c r="F76" t="s">
        <v>43</v>
      </c>
      <c r="G76">
        <v>0.1883750452665103</v>
      </c>
    </row>
    <row r="77" spans="1:7" x14ac:dyDescent="0.25">
      <c r="A77" t="s">
        <v>39</v>
      </c>
      <c r="B77" t="s">
        <v>68</v>
      </c>
      <c r="C77" t="s">
        <v>56</v>
      </c>
      <c r="D77" t="s">
        <v>53</v>
      </c>
      <c r="E77">
        <v>0.22286512267581851</v>
      </c>
      <c r="F77" t="s">
        <v>43</v>
      </c>
      <c r="G77">
        <v>0.22286512267581851</v>
      </c>
    </row>
    <row r="78" spans="1:7" x14ac:dyDescent="0.25">
      <c r="A78" t="s">
        <v>39</v>
      </c>
      <c r="B78" t="s">
        <v>68</v>
      </c>
      <c r="C78" t="s">
        <v>57</v>
      </c>
      <c r="D78" t="s">
        <v>53</v>
      </c>
      <c r="E78">
        <v>8.8081621024484816E-2</v>
      </c>
      <c r="F78" t="s">
        <v>43</v>
      </c>
      <c r="G78">
        <v>8.8081621024484816E-2</v>
      </c>
    </row>
    <row r="79" spans="1:7" x14ac:dyDescent="0.25">
      <c r="A79" t="s">
        <v>39</v>
      </c>
      <c r="B79" t="s">
        <v>68</v>
      </c>
      <c r="C79" t="s">
        <v>58</v>
      </c>
      <c r="D79" t="s">
        <v>59</v>
      </c>
      <c r="E79">
        <v>1</v>
      </c>
      <c r="F79" t="s">
        <v>60</v>
      </c>
      <c r="G79">
        <v>0.72982194479141249</v>
      </c>
    </row>
    <row r="80" spans="1:7" x14ac:dyDescent="0.25">
      <c r="A80" t="s">
        <v>39</v>
      </c>
      <c r="B80" t="s">
        <v>68</v>
      </c>
      <c r="C80" t="s">
        <v>61</v>
      </c>
      <c r="D80" t="s">
        <v>59</v>
      </c>
      <c r="E80">
        <v>0</v>
      </c>
      <c r="F80" t="s">
        <v>60</v>
      </c>
      <c r="G80">
        <v>0.27017805520858751</v>
      </c>
    </row>
    <row r="81" spans="1:7" x14ac:dyDescent="0.25">
      <c r="A81" t="s">
        <v>39</v>
      </c>
      <c r="B81" t="s">
        <v>68</v>
      </c>
      <c r="C81" t="s">
        <v>62</v>
      </c>
      <c r="D81" t="s">
        <v>63</v>
      </c>
      <c r="E81">
        <v>0.42162495143522749</v>
      </c>
      <c r="F81" t="s">
        <v>43</v>
      </c>
      <c r="G81">
        <v>0.42162495143522749</v>
      </c>
    </row>
    <row r="82" spans="1:7" x14ac:dyDescent="0.25">
      <c r="A82" t="s">
        <v>39</v>
      </c>
      <c r="B82" t="s">
        <v>68</v>
      </c>
      <c r="C82" t="s">
        <v>64</v>
      </c>
      <c r="D82" t="s">
        <v>63</v>
      </c>
      <c r="E82">
        <v>0.57837504856477251</v>
      </c>
      <c r="F82" t="s">
        <v>43</v>
      </c>
      <c r="G82">
        <v>0.57837504856477251</v>
      </c>
    </row>
    <row r="83" spans="1:7" x14ac:dyDescent="0.25">
      <c r="A83" t="s">
        <v>39</v>
      </c>
      <c r="B83" t="s">
        <v>69</v>
      </c>
      <c r="C83" t="s">
        <v>41</v>
      </c>
      <c r="D83" t="s">
        <v>42</v>
      </c>
      <c r="E83">
        <v>0.94299868264323294</v>
      </c>
      <c r="F83" t="s">
        <v>43</v>
      </c>
      <c r="G83">
        <v>0.94299868264323294</v>
      </c>
    </row>
    <row r="84" spans="1:7" x14ac:dyDescent="0.25">
      <c r="A84" t="s">
        <v>39</v>
      </c>
      <c r="B84" t="s">
        <v>69</v>
      </c>
      <c r="C84" t="s">
        <v>44</v>
      </c>
      <c r="D84" t="s">
        <v>42</v>
      </c>
      <c r="E84">
        <v>4.1765731369656618E-2</v>
      </c>
      <c r="F84" t="s">
        <v>43</v>
      </c>
      <c r="G84">
        <v>4.1765731369656618E-2</v>
      </c>
    </row>
    <row r="85" spans="1:7" x14ac:dyDescent="0.25">
      <c r="A85" t="s">
        <v>39</v>
      </c>
      <c r="B85" t="s">
        <v>69</v>
      </c>
      <c r="C85" t="s">
        <v>45</v>
      </c>
      <c r="D85" t="s">
        <v>42</v>
      </c>
      <c r="E85">
        <v>1.523558598711041E-2</v>
      </c>
      <c r="F85" t="s">
        <v>43</v>
      </c>
      <c r="G85">
        <v>1.523558598711041E-2</v>
      </c>
    </row>
    <row r="86" spans="1:7" x14ac:dyDescent="0.25">
      <c r="A86" t="s">
        <v>39</v>
      </c>
      <c r="B86" t="s">
        <v>69</v>
      </c>
      <c r="C86" t="s">
        <v>46</v>
      </c>
      <c r="D86" t="s">
        <v>47</v>
      </c>
      <c r="E86">
        <v>0.43273688361237522</v>
      </c>
      <c r="F86" t="s">
        <v>43</v>
      </c>
      <c r="G86">
        <v>0.43273688361237522</v>
      </c>
    </row>
    <row r="87" spans="1:7" x14ac:dyDescent="0.25">
      <c r="A87" t="s">
        <v>39</v>
      </c>
      <c r="B87" t="s">
        <v>69</v>
      </c>
      <c r="C87" t="s">
        <v>48</v>
      </c>
      <c r="D87" t="s">
        <v>47</v>
      </c>
      <c r="E87">
        <v>0.56726311638762483</v>
      </c>
      <c r="F87" t="s">
        <v>43</v>
      </c>
      <c r="G87">
        <v>0.56726311638762483</v>
      </c>
    </row>
    <row r="88" spans="1:7" x14ac:dyDescent="0.25">
      <c r="A88" t="s">
        <v>39</v>
      </c>
      <c r="B88" t="s">
        <v>69</v>
      </c>
      <c r="C88" t="s">
        <v>49</v>
      </c>
      <c r="D88" t="s">
        <v>50</v>
      </c>
      <c r="E88">
        <v>0.1171368722490322</v>
      </c>
      <c r="F88" t="s">
        <v>43</v>
      </c>
      <c r="G88">
        <v>0.1171368722490322</v>
      </c>
    </row>
    <row r="89" spans="1:7" x14ac:dyDescent="0.25">
      <c r="A89" t="s">
        <v>39</v>
      </c>
      <c r="B89" t="s">
        <v>69</v>
      </c>
      <c r="C89" t="s">
        <v>51</v>
      </c>
      <c r="D89" t="s">
        <v>50</v>
      </c>
      <c r="E89">
        <v>0.88286312775096776</v>
      </c>
      <c r="F89" t="s">
        <v>43</v>
      </c>
      <c r="G89">
        <v>0.88286312775096776</v>
      </c>
    </row>
    <row r="90" spans="1:7" x14ac:dyDescent="0.25">
      <c r="A90" t="s">
        <v>39</v>
      </c>
      <c r="B90" t="s">
        <v>69</v>
      </c>
      <c r="C90" t="s">
        <v>52</v>
      </c>
      <c r="D90" t="s">
        <v>53</v>
      </c>
      <c r="E90">
        <v>0.45630816353267001</v>
      </c>
      <c r="F90" t="s">
        <v>43</v>
      </c>
      <c r="G90">
        <v>0.45630816353267001</v>
      </c>
    </row>
    <row r="91" spans="1:7" x14ac:dyDescent="0.25">
      <c r="A91" t="s">
        <v>39</v>
      </c>
      <c r="B91" t="s">
        <v>69</v>
      </c>
      <c r="C91" t="s">
        <v>54</v>
      </c>
      <c r="D91" t="s">
        <v>53</v>
      </c>
      <c r="E91">
        <v>4.4370047500516312E-2</v>
      </c>
      <c r="F91" t="s">
        <v>43</v>
      </c>
      <c r="G91">
        <v>4.4370047500516312E-2</v>
      </c>
    </row>
    <row r="92" spans="1:7" x14ac:dyDescent="0.25">
      <c r="A92" t="s">
        <v>39</v>
      </c>
      <c r="B92" t="s">
        <v>69</v>
      </c>
      <c r="C92" t="s">
        <v>55</v>
      </c>
      <c r="D92" t="s">
        <v>53</v>
      </c>
      <c r="E92">
        <v>0.1883750452665103</v>
      </c>
      <c r="F92" t="s">
        <v>43</v>
      </c>
      <c r="G92">
        <v>0.1883750452665103</v>
      </c>
    </row>
    <row r="93" spans="1:7" x14ac:dyDescent="0.25">
      <c r="A93" t="s">
        <v>39</v>
      </c>
      <c r="B93" t="s">
        <v>69</v>
      </c>
      <c r="C93" t="s">
        <v>56</v>
      </c>
      <c r="D93" t="s">
        <v>53</v>
      </c>
      <c r="E93">
        <v>0.22286512267581851</v>
      </c>
      <c r="F93" t="s">
        <v>43</v>
      </c>
      <c r="G93">
        <v>0.22286512267581851</v>
      </c>
    </row>
    <row r="94" spans="1:7" x14ac:dyDescent="0.25">
      <c r="A94" t="s">
        <v>39</v>
      </c>
      <c r="B94" t="s">
        <v>69</v>
      </c>
      <c r="C94" t="s">
        <v>57</v>
      </c>
      <c r="D94" t="s">
        <v>53</v>
      </c>
      <c r="E94">
        <v>8.8081621024484816E-2</v>
      </c>
      <c r="F94" t="s">
        <v>43</v>
      </c>
      <c r="G94">
        <v>8.8081621024484816E-2</v>
      </c>
    </row>
    <row r="95" spans="1:7" x14ac:dyDescent="0.25">
      <c r="A95" t="s">
        <v>39</v>
      </c>
      <c r="B95" t="s">
        <v>69</v>
      </c>
      <c r="C95" t="s">
        <v>58</v>
      </c>
      <c r="D95" t="s">
        <v>59</v>
      </c>
      <c r="E95">
        <v>1</v>
      </c>
      <c r="F95" t="s">
        <v>60</v>
      </c>
      <c r="G95">
        <v>0.72982194479141249</v>
      </c>
    </row>
    <row r="96" spans="1:7" x14ac:dyDescent="0.25">
      <c r="A96" t="s">
        <v>39</v>
      </c>
      <c r="B96" t="s">
        <v>69</v>
      </c>
      <c r="C96" t="s">
        <v>61</v>
      </c>
      <c r="D96" t="s">
        <v>59</v>
      </c>
      <c r="E96">
        <v>0</v>
      </c>
      <c r="F96" t="s">
        <v>60</v>
      </c>
      <c r="G96">
        <v>0.27017805520858751</v>
      </c>
    </row>
    <row r="97" spans="1:7" x14ac:dyDescent="0.25">
      <c r="A97" t="s">
        <v>39</v>
      </c>
      <c r="B97" t="s">
        <v>69</v>
      </c>
      <c r="C97" t="s">
        <v>62</v>
      </c>
      <c r="D97" t="s">
        <v>63</v>
      </c>
      <c r="E97">
        <v>0.42162495143522749</v>
      </c>
      <c r="F97" t="s">
        <v>43</v>
      </c>
      <c r="G97">
        <v>0.42162495143522749</v>
      </c>
    </row>
    <row r="98" spans="1:7" x14ac:dyDescent="0.25">
      <c r="A98" t="s">
        <v>39</v>
      </c>
      <c r="B98" t="s">
        <v>69</v>
      </c>
      <c r="C98" t="s">
        <v>64</v>
      </c>
      <c r="D98" t="s">
        <v>63</v>
      </c>
      <c r="E98">
        <v>0.57837504856477251</v>
      </c>
      <c r="F98" t="s">
        <v>43</v>
      </c>
      <c r="G98">
        <v>0.57837504856477251</v>
      </c>
    </row>
    <row r="99" spans="1:7" x14ac:dyDescent="0.25">
      <c r="A99" t="s">
        <v>70</v>
      </c>
      <c r="B99" t="s">
        <v>40</v>
      </c>
      <c r="C99" t="s">
        <v>41</v>
      </c>
      <c r="D99" t="s">
        <v>42</v>
      </c>
      <c r="E99">
        <v>0.94299868264323294</v>
      </c>
      <c r="F99" t="s">
        <v>43</v>
      </c>
      <c r="G99">
        <v>0.94299868264323294</v>
      </c>
    </row>
    <row r="100" spans="1:7" x14ac:dyDescent="0.25">
      <c r="A100" t="s">
        <v>70</v>
      </c>
      <c r="B100" t="s">
        <v>40</v>
      </c>
      <c r="C100" t="s">
        <v>44</v>
      </c>
      <c r="D100" t="s">
        <v>42</v>
      </c>
      <c r="E100">
        <v>4.1765731369656618E-2</v>
      </c>
      <c r="F100" t="s">
        <v>43</v>
      </c>
      <c r="G100">
        <v>4.1765731369656618E-2</v>
      </c>
    </row>
    <row r="101" spans="1:7" x14ac:dyDescent="0.25">
      <c r="A101" t="s">
        <v>70</v>
      </c>
      <c r="B101" t="s">
        <v>40</v>
      </c>
      <c r="C101" t="s">
        <v>45</v>
      </c>
      <c r="D101" t="s">
        <v>42</v>
      </c>
      <c r="E101">
        <v>1.523558598711041E-2</v>
      </c>
      <c r="F101" t="s">
        <v>43</v>
      </c>
      <c r="G101">
        <v>1.523558598711041E-2</v>
      </c>
    </row>
    <row r="102" spans="1:7" x14ac:dyDescent="0.25">
      <c r="A102" t="s">
        <v>70</v>
      </c>
      <c r="B102" t="s">
        <v>40</v>
      </c>
      <c r="C102" t="s">
        <v>46</v>
      </c>
      <c r="D102" t="s">
        <v>47</v>
      </c>
      <c r="E102">
        <v>0.43273688361237522</v>
      </c>
      <c r="F102" t="s">
        <v>43</v>
      </c>
      <c r="G102">
        <v>0.43273688361237522</v>
      </c>
    </row>
    <row r="103" spans="1:7" x14ac:dyDescent="0.25">
      <c r="A103" t="s">
        <v>70</v>
      </c>
      <c r="B103" t="s">
        <v>40</v>
      </c>
      <c r="C103" t="s">
        <v>48</v>
      </c>
      <c r="D103" t="s">
        <v>47</v>
      </c>
      <c r="E103">
        <v>0.56726311638762483</v>
      </c>
      <c r="F103" t="s">
        <v>43</v>
      </c>
      <c r="G103">
        <v>0.56726311638762483</v>
      </c>
    </row>
    <row r="104" spans="1:7" x14ac:dyDescent="0.25">
      <c r="A104" t="s">
        <v>70</v>
      </c>
      <c r="B104" t="s">
        <v>40</v>
      </c>
      <c r="C104" t="s">
        <v>49</v>
      </c>
      <c r="D104" t="s">
        <v>50</v>
      </c>
      <c r="E104">
        <v>0.1171368722490322</v>
      </c>
      <c r="F104" t="s">
        <v>43</v>
      </c>
      <c r="G104">
        <v>0.1171368722490322</v>
      </c>
    </row>
    <row r="105" spans="1:7" x14ac:dyDescent="0.25">
      <c r="A105" t="s">
        <v>70</v>
      </c>
      <c r="B105" t="s">
        <v>40</v>
      </c>
      <c r="C105" t="s">
        <v>51</v>
      </c>
      <c r="D105" t="s">
        <v>50</v>
      </c>
      <c r="E105">
        <v>0.88286312775096776</v>
      </c>
      <c r="F105" t="s">
        <v>43</v>
      </c>
      <c r="G105">
        <v>0.88286312775096776</v>
      </c>
    </row>
    <row r="106" spans="1:7" x14ac:dyDescent="0.25">
      <c r="A106" t="s">
        <v>70</v>
      </c>
      <c r="B106" t="s">
        <v>40</v>
      </c>
      <c r="C106" t="s">
        <v>52</v>
      </c>
      <c r="D106" t="s">
        <v>53</v>
      </c>
      <c r="E106">
        <v>0.45630816353267001</v>
      </c>
      <c r="F106" t="s">
        <v>43</v>
      </c>
      <c r="G106">
        <v>0.45630816353267001</v>
      </c>
    </row>
    <row r="107" spans="1:7" x14ac:dyDescent="0.25">
      <c r="A107" t="s">
        <v>70</v>
      </c>
      <c r="B107" t="s">
        <v>40</v>
      </c>
      <c r="C107" t="s">
        <v>54</v>
      </c>
      <c r="D107" t="s">
        <v>53</v>
      </c>
      <c r="E107">
        <v>4.4370047500516312E-2</v>
      </c>
      <c r="F107" t="s">
        <v>43</v>
      </c>
      <c r="G107">
        <v>4.4370047500516312E-2</v>
      </c>
    </row>
    <row r="108" spans="1:7" x14ac:dyDescent="0.25">
      <c r="A108" t="s">
        <v>70</v>
      </c>
      <c r="B108" t="s">
        <v>40</v>
      </c>
      <c r="C108" t="s">
        <v>55</v>
      </c>
      <c r="D108" t="s">
        <v>53</v>
      </c>
      <c r="E108">
        <v>0.1883750452665103</v>
      </c>
      <c r="F108" t="s">
        <v>43</v>
      </c>
      <c r="G108">
        <v>0.1883750452665103</v>
      </c>
    </row>
    <row r="109" spans="1:7" x14ac:dyDescent="0.25">
      <c r="A109" t="s">
        <v>70</v>
      </c>
      <c r="B109" t="s">
        <v>40</v>
      </c>
      <c r="C109" t="s">
        <v>56</v>
      </c>
      <c r="D109" t="s">
        <v>53</v>
      </c>
      <c r="E109">
        <v>0.22286512267581851</v>
      </c>
      <c r="F109" t="s">
        <v>43</v>
      </c>
      <c r="G109">
        <v>0.22286512267581851</v>
      </c>
    </row>
    <row r="110" spans="1:7" x14ac:dyDescent="0.25">
      <c r="A110" t="s">
        <v>70</v>
      </c>
      <c r="B110" t="s">
        <v>40</v>
      </c>
      <c r="C110" t="s">
        <v>57</v>
      </c>
      <c r="D110" t="s">
        <v>53</v>
      </c>
      <c r="E110">
        <v>8.8081621024484816E-2</v>
      </c>
      <c r="F110" t="s">
        <v>43</v>
      </c>
      <c r="G110">
        <v>8.8081621024484816E-2</v>
      </c>
    </row>
    <row r="111" spans="1:7" x14ac:dyDescent="0.25">
      <c r="A111" t="s">
        <v>70</v>
      </c>
      <c r="B111" t="s">
        <v>40</v>
      </c>
      <c r="C111" t="s">
        <v>58</v>
      </c>
      <c r="D111" t="s">
        <v>59</v>
      </c>
      <c r="E111">
        <v>1</v>
      </c>
      <c r="F111" t="s">
        <v>60</v>
      </c>
      <c r="G111">
        <v>0.72982194479141249</v>
      </c>
    </row>
    <row r="112" spans="1:7" x14ac:dyDescent="0.25">
      <c r="A112" t="s">
        <v>70</v>
      </c>
      <c r="B112" t="s">
        <v>40</v>
      </c>
      <c r="C112" t="s">
        <v>61</v>
      </c>
      <c r="D112" t="s">
        <v>59</v>
      </c>
      <c r="E112">
        <v>0</v>
      </c>
      <c r="F112" t="s">
        <v>60</v>
      </c>
      <c r="G112">
        <v>0.27017805520858751</v>
      </c>
    </row>
    <row r="113" spans="1:7" x14ac:dyDescent="0.25">
      <c r="A113" t="s">
        <v>70</v>
      </c>
      <c r="B113" t="s">
        <v>40</v>
      </c>
      <c r="C113" t="s">
        <v>62</v>
      </c>
      <c r="D113" t="s">
        <v>63</v>
      </c>
      <c r="E113">
        <v>0.42162495143522749</v>
      </c>
      <c r="F113" t="s">
        <v>43</v>
      </c>
      <c r="G113">
        <v>0.42162495143522749</v>
      </c>
    </row>
    <row r="114" spans="1:7" x14ac:dyDescent="0.25">
      <c r="A114" t="s">
        <v>70</v>
      </c>
      <c r="B114" t="s">
        <v>40</v>
      </c>
      <c r="C114" t="s">
        <v>64</v>
      </c>
      <c r="D114" t="s">
        <v>63</v>
      </c>
      <c r="E114">
        <v>0.57837504856477251</v>
      </c>
      <c r="F114" t="s">
        <v>43</v>
      </c>
      <c r="G114">
        <v>0.57837504856477251</v>
      </c>
    </row>
    <row r="115" spans="1:7" x14ac:dyDescent="0.25">
      <c r="A115" t="s">
        <v>70</v>
      </c>
      <c r="B115" t="s">
        <v>65</v>
      </c>
      <c r="C115" t="s">
        <v>41</v>
      </c>
      <c r="D115" t="s">
        <v>42</v>
      </c>
      <c r="E115">
        <v>0.94299868264323294</v>
      </c>
      <c r="F115" t="s">
        <v>43</v>
      </c>
      <c r="G115">
        <v>0.94299868264323294</v>
      </c>
    </row>
    <row r="116" spans="1:7" x14ac:dyDescent="0.25">
      <c r="A116" t="s">
        <v>70</v>
      </c>
      <c r="B116" t="s">
        <v>65</v>
      </c>
      <c r="C116" t="s">
        <v>44</v>
      </c>
      <c r="D116" t="s">
        <v>42</v>
      </c>
      <c r="E116">
        <v>4.1765731369656618E-2</v>
      </c>
      <c r="F116" t="s">
        <v>43</v>
      </c>
      <c r="G116">
        <v>4.1765731369656618E-2</v>
      </c>
    </row>
    <row r="117" spans="1:7" x14ac:dyDescent="0.25">
      <c r="A117" t="s">
        <v>70</v>
      </c>
      <c r="B117" t="s">
        <v>65</v>
      </c>
      <c r="C117" t="s">
        <v>45</v>
      </c>
      <c r="D117" t="s">
        <v>42</v>
      </c>
      <c r="E117">
        <v>1.523558598711041E-2</v>
      </c>
      <c r="F117" t="s">
        <v>43</v>
      </c>
      <c r="G117">
        <v>1.523558598711041E-2</v>
      </c>
    </row>
    <row r="118" spans="1:7" x14ac:dyDescent="0.25">
      <c r="A118" t="s">
        <v>70</v>
      </c>
      <c r="B118" t="s">
        <v>65</v>
      </c>
      <c r="C118" t="s">
        <v>46</v>
      </c>
      <c r="D118" t="s">
        <v>47</v>
      </c>
      <c r="E118">
        <v>0.43273688361237522</v>
      </c>
      <c r="F118" t="s">
        <v>43</v>
      </c>
      <c r="G118">
        <v>0.43273688361237522</v>
      </c>
    </row>
    <row r="119" spans="1:7" x14ac:dyDescent="0.25">
      <c r="A119" t="s">
        <v>70</v>
      </c>
      <c r="B119" t="s">
        <v>65</v>
      </c>
      <c r="C119" t="s">
        <v>48</v>
      </c>
      <c r="D119" t="s">
        <v>47</v>
      </c>
      <c r="E119">
        <v>0.56726311638762483</v>
      </c>
      <c r="F119" t="s">
        <v>43</v>
      </c>
      <c r="G119">
        <v>0.56726311638762483</v>
      </c>
    </row>
    <row r="120" spans="1:7" x14ac:dyDescent="0.25">
      <c r="A120" t="s">
        <v>70</v>
      </c>
      <c r="B120" t="s">
        <v>65</v>
      </c>
      <c r="C120" t="s">
        <v>49</v>
      </c>
      <c r="D120" t="s">
        <v>50</v>
      </c>
      <c r="E120">
        <v>0.1171368722490322</v>
      </c>
      <c r="F120" t="s">
        <v>43</v>
      </c>
      <c r="G120">
        <v>0.1171368722490322</v>
      </c>
    </row>
    <row r="121" spans="1:7" x14ac:dyDescent="0.25">
      <c r="A121" t="s">
        <v>70</v>
      </c>
      <c r="B121" t="s">
        <v>65</v>
      </c>
      <c r="C121" t="s">
        <v>51</v>
      </c>
      <c r="D121" t="s">
        <v>50</v>
      </c>
      <c r="E121">
        <v>0.88286312775096776</v>
      </c>
      <c r="F121" t="s">
        <v>43</v>
      </c>
      <c r="G121">
        <v>0.88286312775096776</v>
      </c>
    </row>
    <row r="122" spans="1:7" x14ac:dyDescent="0.25">
      <c r="A122" t="s">
        <v>70</v>
      </c>
      <c r="B122" t="s">
        <v>65</v>
      </c>
      <c r="C122" t="s">
        <v>52</v>
      </c>
      <c r="D122" t="s">
        <v>53</v>
      </c>
      <c r="E122">
        <v>0.45630816353267001</v>
      </c>
      <c r="F122" t="s">
        <v>43</v>
      </c>
      <c r="G122">
        <v>0.45630816353267001</v>
      </c>
    </row>
    <row r="123" spans="1:7" x14ac:dyDescent="0.25">
      <c r="A123" t="s">
        <v>70</v>
      </c>
      <c r="B123" t="s">
        <v>65</v>
      </c>
      <c r="C123" t="s">
        <v>54</v>
      </c>
      <c r="D123" t="s">
        <v>53</v>
      </c>
      <c r="E123">
        <v>4.4370047500516312E-2</v>
      </c>
      <c r="F123" t="s">
        <v>43</v>
      </c>
      <c r="G123">
        <v>4.4370047500516312E-2</v>
      </c>
    </row>
    <row r="124" spans="1:7" x14ac:dyDescent="0.25">
      <c r="A124" t="s">
        <v>70</v>
      </c>
      <c r="B124" t="s">
        <v>65</v>
      </c>
      <c r="C124" t="s">
        <v>55</v>
      </c>
      <c r="D124" t="s">
        <v>53</v>
      </c>
      <c r="E124">
        <v>0.1883750452665103</v>
      </c>
      <c r="F124" t="s">
        <v>43</v>
      </c>
      <c r="G124">
        <v>0.1883750452665103</v>
      </c>
    </row>
    <row r="125" spans="1:7" x14ac:dyDescent="0.25">
      <c r="A125" t="s">
        <v>70</v>
      </c>
      <c r="B125" t="s">
        <v>65</v>
      </c>
      <c r="C125" t="s">
        <v>56</v>
      </c>
      <c r="D125" t="s">
        <v>53</v>
      </c>
      <c r="E125">
        <v>0.22286512267581851</v>
      </c>
      <c r="F125" t="s">
        <v>43</v>
      </c>
      <c r="G125">
        <v>0.22286512267581851</v>
      </c>
    </row>
    <row r="126" spans="1:7" x14ac:dyDescent="0.25">
      <c r="A126" t="s">
        <v>70</v>
      </c>
      <c r="B126" t="s">
        <v>65</v>
      </c>
      <c r="C126" t="s">
        <v>57</v>
      </c>
      <c r="D126" t="s">
        <v>53</v>
      </c>
      <c r="E126">
        <v>8.8081621024484816E-2</v>
      </c>
      <c r="F126" t="s">
        <v>43</v>
      </c>
      <c r="G126">
        <v>8.8081621024484816E-2</v>
      </c>
    </row>
    <row r="127" spans="1:7" x14ac:dyDescent="0.25">
      <c r="A127" t="s">
        <v>70</v>
      </c>
      <c r="B127" t="s">
        <v>65</v>
      </c>
      <c r="C127" t="s">
        <v>58</v>
      </c>
      <c r="D127" t="s">
        <v>59</v>
      </c>
      <c r="E127">
        <v>1</v>
      </c>
      <c r="F127" t="s">
        <v>60</v>
      </c>
      <c r="G127">
        <v>0.72982194479141249</v>
      </c>
    </row>
    <row r="128" spans="1:7" x14ac:dyDescent="0.25">
      <c r="A128" t="s">
        <v>70</v>
      </c>
      <c r="B128" t="s">
        <v>65</v>
      </c>
      <c r="C128" t="s">
        <v>61</v>
      </c>
      <c r="D128" t="s">
        <v>59</v>
      </c>
      <c r="E128">
        <v>0</v>
      </c>
      <c r="F128" t="s">
        <v>60</v>
      </c>
      <c r="G128">
        <v>0.27017805520858751</v>
      </c>
    </row>
    <row r="129" spans="1:7" x14ac:dyDescent="0.25">
      <c r="A129" t="s">
        <v>70</v>
      </c>
      <c r="B129" t="s">
        <v>65</v>
      </c>
      <c r="C129" t="s">
        <v>62</v>
      </c>
      <c r="D129" t="s">
        <v>63</v>
      </c>
      <c r="E129">
        <v>0.42162495143522749</v>
      </c>
      <c r="F129" t="s">
        <v>43</v>
      </c>
      <c r="G129">
        <v>0.42162495143522749</v>
      </c>
    </row>
    <row r="130" spans="1:7" x14ac:dyDescent="0.25">
      <c r="A130" t="s">
        <v>70</v>
      </c>
      <c r="B130" t="s">
        <v>65</v>
      </c>
      <c r="C130" t="s">
        <v>64</v>
      </c>
      <c r="D130" t="s">
        <v>63</v>
      </c>
      <c r="E130">
        <v>0.57837504856477251</v>
      </c>
      <c r="F130" t="s">
        <v>43</v>
      </c>
      <c r="G130">
        <v>0.57837504856477251</v>
      </c>
    </row>
    <row r="131" spans="1:7" x14ac:dyDescent="0.25">
      <c r="A131" t="s">
        <v>70</v>
      </c>
      <c r="B131" t="s">
        <v>66</v>
      </c>
      <c r="C131" t="s">
        <v>41</v>
      </c>
      <c r="D131" t="s">
        <v>42</v>
      </c>
      <c r="E131">
        <v>0.94299868264323294</v>
      </c>
      <c r="F131" t="s">
        <v>43</v>
      </c>
      <c r="G131">
        <v>0.94299868264323294</v>
      </c>
    </row>
    <row r="132" spans="1:7" x14ac:dyDescent="0.25">
      <c r="A132" t="s">
        <v>70</v>
      </c>
      <c r="B132" t="s">
        <v>66</v>
      </c>
      <c r="C132" t="s">
        <v>44</v>
      </c>
      <c r="D132" t="s">
        <v>42</v>
      </c>
      <c r="E132">
        <v>4.1765731369656618E-2</v>
      </c>
      <c r="F132" t="s">
        <v>43</v>
      </c>
      <c r="G132">
        <v>4.1765731369656618E-2</v>
      </c>
    </row>
    <row r="133" spans="1:7" x14ac:dyDescent="0.25">
      <c r="A133" t="s">
        <v>70</v>
      </c>
      <c r="B133" t="s">
        <v>66</v>
      </c>
      <c r="C133" t="s">
        <v>45</v>
      </c>
      <c r="D133" t="s">
        <v>42</v>
      </c>
      <c r="E133">
        <v>1.523558598711041E-2</v>
      </c>
      <c r="F133" t="s">
        <v>43</v>
      </c>
      <c r="G133">
        <v>1.523558598711041E-2</v>
      </c>
    </row>
    <row r="134" spans="1:7" x14ac:dyDescent="0.25">
      <c r="A134" t="s">
        <v>70</v>
      </c>
      <c r="B134" t="s">
        <v>66</v>
      </c>
      <c r="C134" t="s">
        <v>46</v>
      </c>
      <c r="D134" t="s">
        <v>47</v>
      </c>
      <c r="E134">
        <v>0.43273688361237522</v>
      </c>
      <c r="F134" t="s">
        <v>43</v>
      </c>
      <c r="G134">
        <v>0.43273688361237522</v>
      </c>
    </row>
    <row r="135" spans="1:7" x14ac:dyDescent="0.25">
      <c r="A135" t="s">
        <v>70</v>
      </c>
      <c r="B135" t="s">
        <v>66</v>
      </c>
      <c r="C135" t="s">
        <v>48</v>
      </c>
      <c r="D135" t="s">
        <v>47</v>
      </c>
      <c r="E135">
        <v>0.56726311638762483</v>
      </c>
      <c r="F135" t="s">
        <v>43</v>
      </c>
      <c r="G135">
        <v>0.56726311638762483</v>
      </c>
    </row>
    <row r="136" spans="1:7" x14ac:dyDescent="0.25">
      <c r="A136" t="s">
        <v>70</v>
      </c>
      <c r="B136" t="s">
        <v>66</v>
      </c>
      <c r="C136" t="s">
        <v>49</v>
      </c>
      <c r="D136" t="s">
        <v>50</v>
      </c>
      <c r="E136">
        <v>0.1171368722490322</v>
      </c>
      <c r="F136" t="s">
        <v>43</v>
      </c>
      <c r="G136">
        <v>0.1171368722490322</v>
      </c>
    </row>
    <row r="137" spans="1:7" x14ac:dyDescent="0.25">
      <c r="A137" t="s">
        <v>70</v>
      </c>
      <c r="B137" t="s">
        <v>66</v>
      </c>
      <c r="C137" t="s">
        <v>51</v>
      </c>
      <c r="D137" t="s">
        <v>50</v>
      </c>
      <c r="E137">
        <v>0.88286312775096776</v>
      </c>
      <c r="F137" t="s">
        <v>43</v>
      </c>
      <c r="G137">
        <v>0.88286312775096776</v>
      </c>
    </row>
    <row r="138" spans="1:7" x14ac:dyDescent="0.25">
      <c r="A138" t="s">
        <v>70</v>
      </c>
      <c r="B138" t="s">
        <v>66</v>
      </c>
      <c r="C138" t="s">
        <v>52</v>
      </c>
      <c r="D138" t="s">
        <v>53</v>
      </c>
      <c r="E138">
        <v>0.45630816353267001</v>
      </c>
      <c r="F138" t="s">
        <v>43</v>
      </c>
      <c r="G138">
        <v>0.45630816353267001</v>
      </c>
    </row>
    <row r="139" spans="1:7" x14ac:dyDescent="0.25">
      <c r="A139" t="s">
        <v>70</v>
      </c>
      <c r="B139" t="s">
        <v>66</v>
      </c>
      <c r="C139" t="s">
        <v>54</v>
      </c>
      <c r="D139" t="s">
        <v>53</v>
      </c>
      <c r="E139">
        <v>4.4370047500516312E-2</v>
      </c>
      <c r="F139" t="s">
        <v>43</v>
      </c>
      <c r="G139">
        <v>4.4370047500516312E-2</v>
      </c>
    </row>
    <row r="140" spans="1:7" x14ac:dyDescent="0.25">
      <c r="A140" t="s">
        <v>70</v>
      </c>
      <c r="B140" t="s">
        <v>66</v>
      </c>
      <c r="C140" t="s">
        <v>55</v>
      </c>
      <c r="D140" t="s">
        <v>53</v>
      </c>
      <c r="E140">
        <v>0.1883750452665103</v>
      </c>
      <c r="F140" t="s">
        <v>43</v>
      </c>
      <c r="G140">
        <v>0.1883750452665103</v>
      </c>
    </row>
    <row r="141" spans="1:7" x14ac:dyDescent="0.25">
      <c r="A141" t="s">
        <v>70</v>
      </c>
      <c r="B141" t="s">
        <v>66</v>
      </c>
      <c r="C141" t="s">
        <v>56</v>
      </c>
      <c r="D141" t="s">
        <v>53</v>
      </c>
      <c r="E141">
        <v>0.22286512267581851</v>
      </c>
      <c r="F141" t="s">
        <v>43</v>
      </c>
      <c r="G141">
        <v>0.22286512267581851</v>
      </c>
    </row>
    <row r="142" spans="1:7" x14ac:dyDescent="0.25">
      <c r="A142" t="s">
        <v>70</v>
      </c>
      <c r="B142" t="s">
        <v>66</v>
      </c>
      <c r="C142" t="s">
        <v>57</v>
      </c>
      <c r="D142" t="s">
        <v>53</v>
      </c>
      <c r="E142">
        <v>8.8081621024484816E-2</v>
      </c>
      <c r="F142" t="s">
        <v>43</v>
      </c>
      <c r="G142">
        <v>8.8081621024484816E-2</v>
      </c>
    </row>
    <row r="143" spans="1:7" x14ac:dyDescent="0.25">
      <c r="A143" t="s">
        <v>70</v>
      </c>
      <c r="B143" t="s">
        <v>66</v>
      </c>
      <c r="C143" t="s">
        <v>58</v>
      </c>
      <c r="D143" t="s">
        <v>59</v>
      </c>
      <c r="E143">
        <v>1</v>
      </c>
      <c r="F143" t="s">
        <v>60</v>
      </c>
      <c r="G143">
        <v>0.72982194479141249</v>
      </c>
    </row>
    <row r="144" spans="1:7" x14ac:dyDescent="0.25">
      <c r="A144" t="s">
        <v>70</v>
      </c>
      <c r="B144" t="s">
        <v>66</v>
      </c>
      <c r="C144" t="s">
        <v>61</v>
      </c>
      <c r="D144" t="s">
        <v>59</v>
      </c>
      <c r="E144">
        <v>0</v>
      </c>
      <c r="F144" t="s">
        <v>60</v>
      </c>
      <c r="G144">
        <v>0.27017805520858751</v>
      </c>
    </row>
    <row r="145" spans="1:7" x14ac:dyDescent="0.25">
      <c r="A145" t="s">
        <v>70</v>
      </c>
      <c r="B145" t="s">
        <v>66</v>
      </c>
      <c r="C145" t="s">
        <v>62</v>
      </c>
      <c r="D145" t="s">
        <v>63</v>
      </c>
      <c r="E145">
        <v>0.42162495143522749</v>
      </c>
      <c r="F145" t="s">
        <v>43</v>
      </c>
      <c r="G145">
        <v>0.42162495143522749</v>
      </c>
    </row>
    <row r="146" spans="1:7" x14ac:dyDescent="0.25">
      <c r="A146" t="s">
        <v>70</v>
      </c>
      <c r="B146" t="s">
        <v>66</v>
      </c>
      <c r="C146" t="s">
        <v>64</v>
      </c>
      <c r="D146" t="s">
        <v>63</v>
      </c>
      <c r="E146">
        <v>0.57837504856477251</v>
      </c>
      <c r="F146" t="s">
        <v>43</v>
      </c>
      <c r="G146">
        <v>0.57837504856477251</v>
      </c>
    </row>
    <row r="147" spans="1:7" x14ac:dyDescent="0.25">
      <c r="A147" t="s">
        <v>70</v>
      </c>
      <c r="B147" t="s">
        <v>67</v>
      </c>
      <c r="C147" t="s">
        <v>41</v>
      </c>
      <c r="D147" t="s">
        <v>42</v>
      </c>
      <c r="E147">
        <v>0.94299868264323294</v>
      </c>
      <c r="F147" t="s">
        <v>43</v>
      </c>
      <c r="G147">
        <v>0.94299868264323294</v>
      </c>
    </row>
    <row r="148" spans="1:7" x14ac:dyDescent="0.25">
      <c r="A148" t="s">
        <v>70</v>
      </c>
      <c r="B148" t="s">
        <v>67</v>
      </c>
      <c r="C148" t="s">
        <v>44</v>
      </c>
      <c r="D148" t="s">
        <v>42</v>
      </c>
      <c r="E148">
        <v>4.1765731369656618E-2</v>
      </c>
      <c r="F148" t="s">
        <v>43</v>
      </c>
      <c r="G148">
        <v>4.1765731369656618E-2</v>
      </c>
    </row>
    <row r="149" spans="1:7" x14ac:dyDescent="0.25">
      <c r="A149" t="s">
        <v>70</v>
      </c>
      <c r="B149" t="s">
        <v>67</v>
      </c>
      <c r="C149" t="s">
        <v>45</v>
      </c>
      <c r="D149" t="s">
        <v>42</v>
      </c>
      <c r="E149">
        <v>1.523558598711041E-2</v>
      </c>
      <c r="F149" t="s">
        <v>43</v>
      </c>
      <c r="G149">
        <v>1.523558598711041E-2</v>
      </c>
    </row>
    <row r="150" spans="1:7" x14ac:dyDescent="0.25">
      <c r="A150" t="s">
        <v>70</v>
      </c>
      <c r="B150" t="s">
        <v>67</v>
      </c>
      <c r="C150" t="s">
        <v>46</v>
      </c>
      <c r="D150" t="s">
        <v>47</v>
      </c>
      <c r="E150">
        <v>0.43273688361237522</v>
      </c>
      <c r="F150" t="s">
        <v>43</v>
      </c>
      <c r="G150">
        <v>0.43273688361237522</v>
      </c>
    </row>
    <row r="151" spans="1:7" x14ac:dyDescent="0.25">
      <c r="A151" t="s">
        <v>70</v>
      </c>
      <c r="B151" t="s">
        <v>67</v>
      </c>
      <c r="C151" t="s">
        <v>48</v>
      </c>
      <c r="D151" t="s">
        <v>47</v>
      </c>
      <c r="E151">
        <v>0.56726311638762483</v>
      </c>
      <c r="F151" t="s">
        <v>43</v>
      </c>
      <c r="G151">
        <v>0.56726311638762483</v>
      </c>
    </row>
    <row r="152" spans="1:7" x14ac:dyDescent="0.25">
      <c r="A152" t="s">
        <v>70</v>
      </c>
      <c r="B152" t="s">
        <v>67</v>
      </c>
      <c r="C152" t="s">
        <v>49</v>
      </c>
      <c r="D152" t="s">
        <v>50</v>
      </c>
      <c r="E152">
        <v>0.1171368722490322</v>
      </c>
      <c r="F152" t="s">
        <v>43</v>
      </c>
      <c r="G152">
        <v>0.1171368722490322</v>
      </c>
    </row>
    <row r="153" spans="1:7" x14ac:dyDescent="0.25">
      <c r="A153" t="s">
        <v>70</v>
      </c>
      <c r="B153" t="s">
        <v>67</v>
      </c>
      <c r="C153" t="s">
        <v>51</v>
      </c>
      <c r="D153" t="s">
        <v>50</v>
      </c>
      <c r="E153">
        <v>0.88286312775096776</v>
      </c>
      <c r="F153" t="s">
        <v>43</v>
      </c>
      <c r="G153">
        <v>0.88286312775096776</v>
      </c>
    </row>
    <row r="154" spans="1:7" x14ac:dyDescent="0.25">
      <c r="A154" t="s">
        <v>70</v>
      </c>
      <c r="B154" t="s">
        <v>67</v>
      </c>
      <c r="C154" t="s">
        <v>52</v>
      </c>
      <c r="D154" t="s">
        <v>53</v>
      </c>
      <c r="E154">
        <v>0.45630816353267001</v>
      </c>
      <c r="F154" t="s">
        <v>43</v>
      </c>
      <c r="G154">
        <v>0.45630816353267001</v>
      </c>
    </row>
    <row r="155" spans="1:7" x14ac:dyDescent="0.25">
      <c r="A155" t="s">
        <v>70</v>
      </c>
      <c r="B155" t="s">
        <v>67</v>
      </c>
      <c r="C155" t="s">
        <v>54</v>
      </c>
      <c r="D155" t="s">
        <v>53</v>
      </c>
      <c r="E155">
        <v>4.4370047500516312E-2</v>
      </c>
      <c r="F155" t="s">
        <v>43</v>
      </c>
      <c r="G155">
        <v>4.4370047500516312E-2</v>
      </c>
    </row>
    <row r="156" spans="1:7" x14ac:dyDescent="0.25">
      <c r="A156" t="s">
        <v>70</v>
      </c>
      <c r="B156" t="s">
        <v>67</v>
      </c>
      <c r="C156" t="s">
        <v>55</v>
      </c>
      <c r="D156" t="s">
        <v>53</v>
      </c>
      <c r="E156">
        <v>0.1883750452665103</v>
      </c>
      <c r="F156" t="s">
        <v>43</v>
      </c>
      <c r="G156">
        <v>0.1883750452665103</v>
      </c>
    </row>
    <row r="157" spans="1:7" x14ac:dyDescent="0.25">
      <c r="A157" t="s">
        <v>70</v>
      </c>
      <c r="B157" t="s">
        <v>67</v>
      </c>
      <c r="C157" t="s">
        <v>56</v>
      </c>
      <c r="D157" t="s">
        <v>53</v>
      </c>
      <c r="E157">
        <v>0.22286512267581851</v>
      </c>
      <c r="F157" t="s">
        <v>43</v>
      </c>
      <c r="G157">
        <v>0.22286512267581851</v>
      </c>
    </row>
    <row r="158" spans="1:7" x14ac:dyDescent="0.25">
      <c r="A158" t="s">
        <v>70</v>
      </c>
      <c r="B158" t="s">
        <v>67</v>
      </c>
      <c r="C158" t="s">
        <v>57</v>
      </c>
      <c r="D158" t="s">
        <v>53</v>
      </c>
      <c r="E158">
        <v>8.8081621024484816E-2</v>
      </c>
      <c r="F158" t="s">
        <v>43</v>
      </c>
      <c r="G158">
        <v>8.8081621024484816E-2</v>
      </c>
    </row>
    <row r="159" spans="1:7" x14ac:dyDescent="0.25">
      <c r="A159" t="s">
        <v>70</v>
      </c>
      <c r="B159" t="s">
        <v>67</v>
      </c>
      <c r="C159" t="s">
        <v>58</v>
      </c>
      <c r="D159" t="s">
        <v>59</v>
      </c>
      <c r="E159">
        <v>1</v>
      </c>
      <c r="F159" t="s">
        <v>60</v>
      </c>
      <c r="G159">
        <v>0.72982194479141249</v>
      </c>
    </row>
    <row r="160" spans="1:7" x14ac:dyDescent="0.25">
      <c r="A160" t="s">
        <v>70</v>
      </c>
      <c r="B160" t="s">
        <v>67</v>
      </c>
      <c r="C160" t="s">
        <v>61</v>
      </c>
      <c r="D160" t="s">
        <v>59</v>
      </c>
      <c r="E160">
        <v>0</v>
      </c>
      <c r="F160" t="s">
        <v>60</v>
      </c>
      <c r="G160">
        <v>0.27017805520858751</v>
      </c>
    </row>
    <row r="161" spans="1:7" x14ac:dyDescent="0.25">
      <c r="A161" t="s">
        <v>70</v>
      </c>
      <c r="B161" t="s">
        <v>67</v>
      </c>
      <c r="C161" t="s">
        <v>62</v>
      </c>
      <c r="D161" t="s">
        <v>63</v>
      </c>
      <c r="E161">
        <v>0.42162495143522749</v>
      </c>
      <c r="F161" t="s">
        <v>43</v>
      </c>
      <c r="G161">
        <v>0.42162495143522749</v>
      </c>
    </row>
    <row r="162" spans="1:7" x14ac:dyDescent="0.25">
      <c r="A162" t="s">
        <v>70</v>
      </c>
      <c r="B162" t="s">
        <v>67</v>
      </c>
      <c r="C162" t="s">
        <v>64</v>
      </c>
      <c r="D162" t="s">
        <v>63</v>
      </c>
      <c r="E162">
        <v>0.57837504856477251</v>
      </c>
      <c r="F162" t="s">
        <v>43</v>
      </c>
      <c r="G162">
        <v>0.57837504856477251</v>
      </c>
    </row>
    <row r="163" spans="1:7" x14ac:dyDescent="0.25">
      <c r="A163" t="s">
        <v>70</v>
      </c>
      <c r="B163" t="s">
        <v>68</v>
      </c>
      <c r="C163" t="s">
        <v>41</v>
      </c>
      <c r="D163" t="s">
        <v>42</v>
      </c>
      <c r="E163">
        <v>0.94299868264323294</v>
      </c>
      <c r="F163" t="s">
        <v>43</v>
      </c>
      <c r="G163">
        <v>0.94299868264323294</v>
      </c>
    </row>
    <row r="164" spans="1:7" x14ac:dyDescent="0.25">
      <c r="A164" t="s">
        <v>70</v>
      </c>
      <c r="B164" t="s">
        <v>68</v>
      </c>
      <c r="C164" t="s">
        <v>44</v>
      </c>
      <c r="D164" t="s">
        <v>42</v>
      </c>
      <c r="E164">
        <v>4.1765731369656618E-2</v>
      </c>
      <c r="F164" t="s">
        <v>43</v>
      </c>
      <c r="G164">
        <v>4.1765731369656618E-2</v>
      </c>
    </row>
    <row r="165" spans="1:7" x14ac:dyDescent="0.25">
      <c r="A165" t="s">
        <v>70</v>
      </c>
      <c r="B165" t="s">
        <v>68</v>
      </c>
      <c r="C165" t="s">
        <v>45</v>
      </c>
      <c r="D165" t="s">
        <v>42</v>
      </c>
      <c r="E165">
        <v>1.523558598711041E-2</v>
      </c>
      <c r="F165" t="s">
        <v>43</v>
      </c>
      <c r="G165">
        <v>1.523558598711041E-2</v>
      </c>
    </row>
    <row r="166" spans="1:7" x14ac:dyDescent="0.25">
      <c r="A166" t="s">
        <v>70</v>
      </c>
      <c r="B166" t="s">
        <v>68</v>
      </c>
      <c r="C166" t="s">
        <v>46</v>
      </c>
      <c r="D166" t="s">
        <v>47</v>
      </c>
      <c r="E166">
        <v>0.43273688361237522</v>
      </c>
      <c r="F166" t="s">
        <v>43</v>
      </c>
      <c r="G166">
        <v>0.43273688361237522</v>
      </c>
    </row>
    <row r="167" spans="1:7" x14ac:dyDescent="0.25">
      <c r="A167" t="s">
        <v>70</v>
      </c>
      <c r="B167" t="s">
        <v>68</v>
      </c>
      <c r="C167" t="s">
        <v>48</v>
      </c>
      <c r="D167" t="s">
        <v>47</v>
      </c>
      <c r="E167">
        <v>0.56726311638762483</v>
      </c>
      <c r="F167" t="s">
        <v>43</v>
      </c>
      <c r="G167">
        <v>0.56726311638762483</v>
      </c>
    </row>
    <row r="168" spans="1:7" x14ac:dyDescent="0.25">
      <c r="A168" t="s">
        <v>70</v>
      </c>
      <c r="B168" t="s">
        <v>68</v>
      </c>
      <c r="C168" t="s">
        <v>49</v>
      </c>
      <c r="D168" t="s">
        <v>50</v>
      </c>
      <c r="E168">
        <v>0.1171368722490322</v>
      </c>
      <c r="F168" t="s">
        <v>43</v>
      </c>
      <c r="G168">
        <v>0.1171368722490322</v>
      </c>
    </row>
    <row r="169" spans="1:7" x14ac:dyDescent="0.25">
      <c r="A169" t="s">
        <v>70</v>
      </c>
      <c r="B169" t="s">
        <v>68</v>
      </c>
      <c r="C169" t="s">
        <v>51</v>
      </c>
      <c r="D169" t="s">
        <v>50</v>
      </c>
      <c r="E169">
        <v>0.88286312775096776</v>
      </c>
      <c r="F169" t="s">
        <v>43</v>
      </c>
      <c r="G169">
        <v>0.88286312775096776</v>
      </c>
    </row>
    <row r="170" spans="1:7" x14ac:dyDescent="0.25">
      <c r="A170" t="s">
        <v>70</v>
      </c>
      <c r="B170" t="s">
        <v>68</v>
      </c>
      <c r="C170" t="s">
        <v>52</v>
      </c>
      <c r="D170" t="s">
        <v>53</v>
      </c>
      <c r="E170">
        <v>0.45630816353267001</v>
      </c>
      <c r="F170" t="s">
        <v>43</v>
      </c>
      <c r="G170">
        <v>0.45630816353267001</v>
      </c>
    </row>
    <row r="171" spans="1:7" x14ac:dyDescent="0.25">
      <c r="A171" t="s">
        <v>70</v>
      </c>
      <c r="B171" t="s">
        <v>68</v>
      </c>
      <c r="C171" t="s">
        <v>54</v>
      </c>
      <c r="D171" t="s">
        <v>53</v>
      </c>
      <c r="E171">
        <v>4.4370047500516312E-2</v>
      </c>
      <c r="F171" t="s">
        <v>43</v>
      </c>
      <c r="G171">
        <v>4.4370047500516312E-2</v>
      </c>
    </row>
    <row r="172" spans="1:7" x14ac:dyDescent="0.25">
      <c r="A172" t="s">
        <v>70</v>
      </c>
      <c r="B172" t="s">
        <v>68</v>
      </c>
      <c r="C172" t="s">
        <v>55</v>
      </c>
      <c r="D172" t="s">
        <v>53</v>
      </c>
      <c r="E172">
        <v>0.1883750452665103</v>
      </c>
      <c r="F172" t="s">
        <v>43</v>
      </c>
      <c r="G172">
        <v>0.1883750452665103</v>
      </c>
    </row>
    <row r="173" spans="1:7" x14ac:dyDescent="0.25">
      <c r="A173" t="s">
        <v>70</v>
      </c>
      <c r="B173" t="s">
        <v>68</v>
      </c>
      <c r="C173" t="s">
        <v>56</v>
      </c>
      <c r="D173" t="s">
        <v>53</v>
      </c>
      <c r="E173">
        <v>0.22286512267581851</v>
      </c>
      <c r="F173" t="s">
        <v>43</v>
      </c>
      <c r="G173">
        <v>0.22286512267581851</v>
      </c>
    </row>
    <row r="174" spans="1:7" x14ac:dyDescent="0.25">
      <c r="A174" t="s">
        <v>70</v>
      </c>
      <c r="B174" t="s">
        <v>68</v>
      </c>
      <c r="C174" t="s">
        <v>57</v>
      </c>
      <c r="D174" t="s">
        <v>53</v>
      </c>
      <c r="E174">
        <v>8.8081621024484816E-2</v>
      </c>
      <c r="F174" t="s">
        <v>43</v>
      </c>
      <c r="G174">
        <v>8.8081621024484816E-2</v>
      </c>
    </row>
    <row r="175" spans="1:7" x14ac:dyDescent="0.25">
      <c r="A175" t="s">
        <v>70</v>
      </c>
      <c r="B175" t="s">
        <v>68</v>
      </c>
      <c r="C175" t="s">
        <v>58</v>
      </c>
      <c r="D175" t="s">
        <v>59</v>
      </c>
      <c r="E175">
        <v>1</v>
      </c>
      <c r="F175" t="s">
        <v>60</v>
      </c>
      <c r="G175">
        <v>0.72982194479141249</v>
      </c>
    </row>
    <row r="176" spans="1:7" x14ac:dyDescent="0.25">
      <c r="A176" t="s">
        <v>70</v>
      </c>
      <c r="B176" t="s">
        <v>68</v>
      </c>
      <c r="C176" t="s">
        <v>61</v>
      </c>
      <c r="D176" t="s">
        <v>59</v>
      </c>
      <c r="E176">
        <v>0</v>
      </c>
      <c r="F176" t="s">
        <v>60</v>
      </c>
      <c r="G176">
        <v>0.27017805520858751</v>
      </c>
    </row>
    <row r="177" spans="1:7" x14ac:dyDescent="0.25">
      <c r="A177" t="s">
        <v>70</v>
      </c>
      <c r="B177" t="s">
        <v>68</v>
      </c>
      <c r="C177" t="s">
        <v>62</v>
      </c>
      <c r="D177" t="s">
        <v>63</v>
      </c>
      <c r="E177">
        <v>0.42162495143522749</v>
      </c>
      <c r="F177" t="s">
        <v>43</v>
      </c>
      <c r="G177">
        <v>0.42162495143522749</v>
      </c>
    </row>
    <row r="178" spans="1:7" x14ac:dyDescent="0.25">
      <c r="A178" t="s">
        <v>70</v>
      </c>
      <c r="B178" t="s">
        <v>68</v>
      </c>
      <c r="C178" t="s">
        <v>64</v>
      </c>
      <c r="D178" t="s">
        <v>63</v>
      </c>
      <c r="E178">
        <v>0.57837504856477251</v>
      </c>
      <c r="F178" t="s">
        <v>43</v>
      </c>
      <c r="G178">
        <v>0.57837504856477251</v>
      </c>
    </row>
    <row r="179" spans="1:7" x14ac:dyDescent="0.25">
      <c r="A179" t="s">
        <v>70</v>
      </c>
      <c r="B179" t="s">
        <v>69</v>
      </c>
      <c r="C179" t="s">
        <v>41</v>
      </c>
      <c r="D179" t="s">
        <v>42</v>
      </c>
      <c r="E179">
        <v>0.94299868264323294</v>
      </c>
      <c r="F179" t="s">
        <v>43</v>
      </c>
      <c r="G179">
        <v>0.94299868264323294</v>
      </c>
    </row>
    <row r="180" spans="1:7" x14ac:dyDescent="0.25">
      <c r="A180" t="s">
        <v>70</v>
      </c>
      <c r="B180" t="s">
        <v>69</v>
      </c>
      <c r="C180" t="s">
        <v>44</v>
      </c>
      <c r="D180" t="s">
        <v>42</v>
      </c>
      <c r="E180">
        <v>4.1765731369656618E-2</v>
      </c>
      <c r="F180" t="s">
        <v>43</v>
      </c>
      <c r="G180">
        <v>4.1765731369656618E-2</v>
      </c>
    </row>
    <row r="181" spans="1:7" x14ac:dyDescent="0.25">
      <c r="A181" t="s">
        <v>70</v>
      </c>
      <c r="B181" t="s">
        <v>69</v>
      </c>
      <c r="C181" t="s">
        <v>45</v>
      </c>
      <c r="D181" t="s">
        <v>42</v>
      </c>
      <c r="E181">
        <v>1.523558598711041E-2</v>
      </c>
      <c r="F181" t="s">
        <v>43</v>
      </c>
      <c r="G181">
        <v>1.523558598711041E-2</v>
      </c>
    </row>
    <row r="182" spans="1:7" x14ac:dyDescent="0.25">
      <c r="A182" t="s">
        <v>70</v>
      </c>
      <c r="B182" t="s">
        <v>69</v>
      </c>
      <c r="C182" t="s">
        <v>46</v>
      </c>
      <c r="D182" t="s">
        <v>47</v>
      </c>
      <c r="E182">
        <v>0.43273688361237522</v>
      </c>
      <c r="F182" t="s">
        <v>43</v>
      </c>
      <c r="G182">
        <v>0.43273688361237522</v>
      </c>
    </row>
    <row r="183" spans="1:7" x14ac:dyDescent="0.25">
      <c r="A183" t="s">
        <v>70</v>
      </c>
      <c r="B183" t="s">
        <v>69</v>
      </c>
      <c r="C183" t="s">
        <v>48</v>
      </c>
      <c r="D183" t="s">
        <v>47</v>
      </c>
      <c r="E183">
        <v>0.56726311638762483</v>
      </c>
      <c r="F183" t="s">
        <v>43</v>
      </c>
      <c r="G183">
        <v>0.56726311638762483</v>
      </c>
    </row>
    <row r="184" spans="1:7" x14ac:dyDescent="0.25">
      <c r="A184" t="s">
        <v>70</v>
      </c>
      <c r="B184" t="s">
        <v>69</v>
      </c>
      <c r="C184" t="s">
        <v>49</v>
      </c>
      <c r="D184" t="s">
        <v>50</v>
      </c>
      <c r="E184">
        <v>0.1171368722490322</v>
      </c>
      <c r="F184" t="s">
        <v>43</v>
      </c>
      <c r="G184">
        <v>0.1171368722490322</v>
      </c>
    </row>
    <row r="185" spans="1:7" x14ac:dyDescent="0.25">
      <c r="A185" t="s">
        <v>70</v>
      </c>
      <c r="B185" t="s">
        <v>69</v>
      </c>
      <c r="C185" t="s">
        <v>51</v>
      </c>
      <c r="D185" t="s">
        <v>50</v>
      </c>
      <c r="E185">
        <v>0.88286312775096776</v>
      </c>
      <c r="F185" t="s">
        <v>43</v>
      </c>
      <c r="G185">
        <v>0.88286312775096776</v>
      </c>
    </row>
    <row r="186" spans="1:7" x14ac:dyDescent="0.25">
      <c r="A186" t="s">
        <v>70</v>
      </c>
      <c r="B186" t="s">
        <v>69</v>
      </c>
      <c r="C186" t="s">
        <v>52</v>
      </c>
      <c r="D186" t="s">
        <v>53</v>
      </c>
      <c r="E186">
        <v>0.45630816353267001</v>
      </c>
      <c r="F186" t="s">
        <v>43</v>
      </c>
      <c r="G186">
        <v>0.45630816353267001</v>
      </c>
    </row>
    <row r="187" spans="1:7" x14ac:dyDescent="0.25">
      <c r="A187" t="s">
        <v>70</v>
      </c>
      <c r="B187" t="s">
        <v>69</v>
      </c>
      <c r="C187" t="s">
        <v>54</v>
      </c>
      <c r="D187" t="s">
        <v>53</v>
      </c>
      <c r="E187">
        <v>4.4370047500516312E-2</v>
      </c>
      <c r="F187" t="s">
        <v>43</v>
      </c>
      <c r="G187">
        <v>4.4370047500516312E-2</v>
      </c>
    </row>
    <row r="188" spans="1:7" x14ac:dyDescent="0.25">
      <c r="A188" t="s">
        <v>70</v>
      </c>
      <c r="B188" t="s">
        <v>69</v>
      </c>
      <c r="C188" t="s">
        <v>55</v>
      </c>
      <c r="D188" t="s">
        <v>53</v>
      </c>
      <c r="E188">
        <v>0.1883750452665103</v>
      </c>
      <c r="F188" t="s">
        <v>43</v>
      </c>
      <c r="G188">
        <v>0.1883750452665103</v>
      </c>
    </row>
    <row r="189" spans="1:7" x14ac:dyDescent="0.25">
      <c r="A189" t="s">
        <v>70</v>
      </c>
      <c r="B189" t="s">
        <v>69</v>
      </c>
      <c r="C189" t="s">
        <v>56</v>
      </c>
      <c r="D189" t="s">
        <v>53</v>
      </c>
      <c r="E189">
        <v>0.22286512267581851</v>
      </c>
      <c r="F189" t="s">
        <v>43</v>
      </c>
      <c r="G189">
        <v>0.22286512267581851</v>
      </c>
    </row>
    <row r="190" spans="1:7" x14ac:dyDescent="0.25">
      <c r="A190" t="s">
        <v>70</v>
      </c>
      <c r="B190" t="s">
        <v>69</v>
      </c>
      <c r="C190" t="s">
        <v>57</v>
      </c>
      <c r="D190" t="s">
        <v>53</v>
      </c>
      <c r="E190">
        <v>8.8081621024484816E-2</v>
      </c>
      <c r="F190" t="s">
        <v>43</v>
      </c>
      <c r="G190">
        <v>8.8081621024484816E-2</v>
      </c>
    </row>
    <row r="191" spans="1:7" x14ac:dyDescent="0.25">
      <c r="A191" t="s">
        <v>70</v>
      </c>
      <c r="B191" t="s">
        <v>69</v>
      </c>
      <c r="C191" t="s">
        <v>58</v>
      </c>
      <c r="D191" t="s">
        <v>59</v>
      </c>
      <c r="E191">
        <v>1</v>
      </c>
      <c r="F191" t="s">
        <v>60</v>
      </c>
      <c r="G191">
        <v>0.72982194479141249</v>
      </c>
    </row>
    <row r="192" spans="1:7" x14ac:dyDescent="0.25">
      <c r="A192" t="s">
        <v>70</v>
      </c>
      <c r="B192" t="s">
        <v>69</v>
      </c>
      <c r="C192" t="s">
        <v>61</v>
      </c>
      <c r="D192" t="s">
        <v>59</v>
      </c>
      <c r="E192">
        <v>0</v>
      </c>
      <c r="F192" t="s">
        <v>60</v>
      </c>
      <c r="G192">
        <v>0.27017805520858751</v>
      </c>
    </row>
    <row r="193" spans="1:7" x14ac:dyDescent="0.25">
      <c r="A193" t="s">
        <v>70</v>
      </c>
      <c r="B193" t="s">
        <v>69</v>
      </c>
      <c r="C193" t="s">
        <v>62</v>
      </c>
      <c r="D193" t="s">
        <v>63</v>
      </c>
      <c r="E193">
        <v>0.42162495143522749</v>
      </c>
      <c r="F193" t="s">
        <v>43</v>
      </c>
      <c r="G193">
        <v>0.42162495143522749</v>
      </c>
    </row>
    <row r="194" spans="1:7" x14ac:dyDescent="0.25">
      <c r="A194" t="s">
        <v>70</v>
      </c>
      <c r="B194" t="s">
        <v>69</v>
      </c>
      <c r="C194" t="s">
        <v>64</v>
      </c>
      <c r="D194" t="s">
        <v>63</v>
      </c>
      <c r="E194">
        <v>0.57837504856477251</v>
      </c>
      <c r="F194" t="s">
        <v>43</v>
      </c>
      <c r="G194">
        <v>0.57837504856477251</v>
      </c>
    </row>
    <row r="195" spans="1:7" x14ac:dyDescent="0.25">
      <c r="A195" t="s">
        <v>71</v>
      </c>
      <c r="B195" t="s">
        <v>40</v>
      </c>
      <c r="C195" t="s">
        <v>41</v>
      </c>
      <c r="D195" t="s">
        <v>42</v>
      </c>
      <c r="E195">
        <v>0.94299868264323294</v>
      </c>
      <c r="F195" t="s">
        <v>43</v>
      </c>
      <c r="G195">
        <v>0.94299868264323294</v>
      </c>
    </row>
    <row r="196" spans="1:7" x14ac:dyDescent="0.25">
      <c r="A196" t="s">
        <v>71</v>
      </c>
      <c r="B196" t="s">
        <v>40</v>
      </c>
      <c r="C196" t="s">
        <v>44</v>
      </c>
      <c r="D196" t="s">
        <v>42</v>
      </c>
      <c r="E196">
        <v>4.1765731369656618E-2</v>
      </c>
      <c r="F196" t="s">
        <v>43</v>
      </c>
      <c r="G196">
        <v>4.1765731369656618E-2</v>
      </c>
    </row>
    <row r="197" spans="1:7" x14ac:dyDescent="0.25">
      <c r="A197" t="s">
        <v>71</v>
      </c>
      <c r="B197" t="s">
        <v>40</v>
      </c>
      <c r="C197" t="s">
        <v>45</v>
      </c>
      <c r="D197" t="s">
        <v>42</v>
      </c>
      <c r="E197">
        <v>1.523558598711041E-2</v>
      </c>
      <c r="F197" t="s">
        <v>43</v>
      </c>
      <c r="G197">
        <v>1.523558598711041E-2</v>
      </c>
    </row>
    <row r="198" spans="1:7" x14ac:dyDescent="0.25">
      <c r="A198" t="s">
        <v>71</v>
      </c>
      <c r="B198" t="s">
        <v>40</v>
      </c>
      <c r="C198" t="s">
        <v>46</v>
      </c>
      <c r="D198" t="s">
        <v>47</v>
      </c>
      <c r="E198">
        <v>0.43273688361237522</v>
      </c>
      <c r="F198" t="s">
        <v>43</v>
      </c>
      <c r="G198">
        <v>0.43273688361237522</v>
      </c>
    </row>
    <row r="199" spans="1:7" x14ac:dyDescent="0.25">
      <c r="A199" t="s">
        <v>71</v>
      </c>
      <c r="B199" t="s">
        <v>40</v>
      </c>
      <c r="C199" t="s">
        <v>48</v>
      </c>
      <c r="D199" t="s">
        <v>47</v>
      </c>
      <c r="E199">
        <v>0.56726311638762483</v>
      </c>
      <c r="F199" t="s">
        <v>43</v>
      </c>
      <c r="G199">
        <v>0.56726311638762483</v>
      </c>
    </row>
    <row r="200" spans="1:7" x14ac:dyDescent="0.25">
      <c r="A200" t="s">
        <v>71</v>
      </c>
      <c r="B200" t="s">
        <v>40</v>
      </c>
      <c r="C200" t="s">
        <v>49</v>
      </c>
      <c r="D200" t="s">
        <v>50</v>
      </c>
      <c r="E200">
        <v>0.1171368722490322</v>
      </c>
      <c r="F200" t="s">
        <v>43</v>
      </c>
      <c r="G200">
        <v>0.1171368722490322</v>
      </c>
    </row>
    <row r="201" spans="1:7" x14ac:dyDescent="0.25">
      <c r="A201" t="s">
        <v>71</v>
      </c>
      <c r="B201" t="s">
        <v>40</v>
      </c>
      <c r="C201" t="s">
        <v>51</v>
      </c>
      <c r="D201" t="s">
        <v>50</v>
      </c>
      <c r="E201">
        <v>0.88286312775096776</v>
      </c>
      <c r="F201" t="s">
        <v>43</v>
      </c>
      <c r="G201">
        <v>0.88286312775096776</v>
      </c>
    </row>
    <row r="202" spans="1:7" x14ac:dyDescent="0.25">
      <c r="A202" t="s">
        <v>71</v>
      </c>
      <c r="B202" t="s">
        <v>40</v>
      </c>
      <c r="C202" t="s">
        <v>52</v>
      </c>
      <c r="D202" t="s">
        <v>53</v>
      </c>
      <c r="E202">
        <v>0.45630816353267001</v>
      </c>
      <c r="F202" t="s">
        <v>43</v>
      </c>
      <c r="G202">
        <v>0.45630816353267001</v>
      </c>
    </row>
    <row r="203" spans="1:7" x14ac:dyDescent="0.25">
      <c r="A203" t="s">
        <v>71</v>
      </c>
      <c r="B203" t="s">
        <v>40</v>
      </c>
      <c r="C203" t="s">
        <v>54</v>
      </c>
      <c r="D203" t="s">
        <v>53</v>
      </c>
      <c r="E203">
        <v>4.4370047500516312E-2</v>
      </c>
      <c r="F203" t="s">
        <v>43</v>
      </c>
      <c r="G203">
        <v>4.4370047500516312E-2</v>
      </c>
    </row>
    <row r="204" spans="1:7" x14ac:dyDescent="0.25">
      <c r="A204" t="s">
        <v>71</v>
      </c>
      <c r="B204" t="s">
        <v>40</v>
      </c>
      <c r="C204" t="s">
        <v>55</v>
      </c>
      <c r="D204" t="s">
        <v>53</v>
      </c>
      <c r="E204">
        <v>0.1883750452665103</v>
      </c>
      <c r="F204" t="s">
        <v>43</v>
      </c>
      <c r="G204">
        <v>0.1883750452665103</v>
      </c>
    </row>
    <row r="205" spans="1:7" x14ac:dyDescent="0.25">
      <c r="A205" t="s">
        <v>71</v>
      </c>
      <c r="B205" t="s">
        <v>40</v>
      </c>
      <c r="C205" t="s">
        <v>56</v>
      </c>
      <c r="D205" t="s">
        <v>53</v>
      </c>
      <c r="E205">
        <v>0.22286512267581851</v>
      </c>
      <c r="F205" t="s">
        <v>43</v>
      </c>
      <c r="G205">
        <v>0.22286512267581851</v>
      </c>
    </row>
    <row r="206" spans="1:7" x14ac:dyDescent="0.25">
      <c r="A206" t="s">
        <v>71</v>
      </c>
      <c r="B206" t="s">
        <v>40</v>
      </c>
      <c r="C206" t="s">
        <v>57</v>
      </c>
      <c r="D206" t="s">
        <v>53</v>
      </c>
      <c r="E206">
        <v>8.8081621024484816E-2</v>
      </c>
      <c r="F206" t="s">
        <v>43</v>
      </c>
      <c r="G206">
        <v>8.8081621024484816E-2</v>
      </c>
    </row>
    <row r="207" spans="1:7" x14ac:dyDescent="0.25">
      <c r="A207" t="s">
        <v>71</v>
      </c>
      <c r="B207" t="s">
        <v>40</v>
      </c>
      <c r="C207" t="s">
        <v>58</v>
      </c>
      <c r="D207" t="s">
        <v>59</v>
      </c>
      <c r="E207">
        <v>1</v>
      </c>
      <c r="F207" t="s">
        <v>60</v>
      </c>
      <c r="G207">
        <v>0.72982194479141249</v>
      </c>
    </row>
    <row r="208" spans="1:7" x14ac:dyDescent="0.25">
      <c r="A208" t="s">
        <v>71</v>
      </c>
      <c r="B208" t="s">
        <v>40</v>
      </c>
      <c r="C208" t="s">
        <v>61</v>
      </c>
      <c r="D208" t="s">
        <v>59</v>
      </c>
      <c r="E208">
        <v>0</v>
      </c>
      <c r="F208" t="s">
        <v>60</v>
      </c>
      <c r="G208">
        <v>0.27017805520858751</v>
      </c>
    </row>
    <row r="209" spans="1:7" x14ac:dyDescent="0.25">
      <c r="A209" t="s">
        <v>71</v>
      </c>
      <c r="B209" t="s">
        <v>40</v>
      </c>
      <c r="C209" t="s">
        <v>62</v>
      </c>
      <c r="D209" t="s">
        <v>63</v>
      </c>
      <c r="E209">
        <v>0.42162495143522749</v>
      </c>
      <c r="F209" t="s">
        <v>43</v>
      </c>
      <c r="G209">
        <v>0.42162495143522749</v>
      </c>
    </row>
    <row r="210" spans="1:7" x14ac:dyDescent="0.25">
      <c r="A210" t="s">
        <v>71</v>
      </c>
      <c r="B210" t="s">
        <v>40</v>
      </c>
      <c r="C210" t="s">
        <v>64</v>
      </c>
      <c r="D210" t="s">
        <v>63</v>
      </c>
      <c r="E210">
        <v>0.57837504856477251</v>
      </c>
      <c r="F210" t="s">
        <v>43</v>
      </c>
      <c r="G210">
        <v>0.57837504856477251</v>
      </c>
    </row>
    <row r="211" spans="1:7" x14ac:dyDescent="0.25">
      <c r="A211" t="s">
        <v>71</v>
      </c>
      <c r="B211" t="s">
        <v>65</v>
      </c>
      <c r="C211" t="s">
        <v>41</v>
      </c>
      <c r="D211" t="s">
        <v>42</v>
      </c>
      <c r="E211">
        <v>0.94299868264323294</v>
      </c>
      <c r="F211" t="s">
        <v>43</v>
      </c>
      <c r="G211">
        <v>0.94299868264323294</v>
      </c>
    </row>
    <row r="212" spans="1:7" x14ac:dyDescent="0.25">
      <c r="A212" t="s">
        <v>71</v>
      </c>
      <c r="B212" t="s">
        <v>65</v>
      </c>
      <c r="C212" t="s">
        <v>44</v>
      </c>
      <c r="D212" t="s">
        <v>42</v>
      </c>
      <c r="E212">
        <v>4.1765731369656618E-2</v>
      </c>
      <c r="F212" t="s">
        <v>43</v>
      </c>
      <c r="G212">
        <v>4.1765731369656618E-2</v>
      </c>
    </row>
    <row r="213" spans="1:7" x14ac:dyDescent="0.25">
      <c r="A213" t="s">
        <v>71</v>
      </c>
      <c r="B213" t="s">
        <v>65</v>
      </c>
      <c r="C213" t="s">
        <v>45</v>
      </c>
      <c r="D213" t="s">
        <v>42</v>
      </c>
      <c r="E213">
        <v>1.523558598711041E-2</v>
      </c>
      <c r="F213" t="s">
        <v>43</v>
      </c>
      <c r="G213">
        <v>1.523558598711041E-2</v>
      </c>
    </row>
    <row r="214" spans="1:7" x14ac:dyDescent="0.25">
      <c r="A214" t="s">
        <v>71</v>
      </c>
      <c r="B214" t="s">
        <v>65</v>
      </c>
      <c r="C214" t="s">
        <v>46</v>
      </c>
      <c r="D214" t="s">
        <v>47</v>
      </c>
      <c r="E214">
        <v>0.43273688361237522</v>
      </c>
      <c r="F214" t="s">
        <v>43</v>
      </c>
      <c r="G214">
        <v>0.43273688361237522</v>
      </c>
    </row>
    <row r="215" spans="1:7" x14ac:dyDescent="0.25">
      <c r="A215" t="s">
        <v>71</v>
      </c>
      <c r="B215" t="s">
        <v>65</v>
      </c>
      <c r="C215" t="s">
        <v>48</v>
      </c>
      <c r="D215" t="s">
        <v>47</v>
      </c>
      <c r="E215">
        <v>0.56726311638762483</v>
      </c>
      <c r="F215" t="s">
        <v>43</v>
      </c>
      <c r="G215">
        <v>0.56726311638762483</v>
      </c>
    </row>
    <row r="216" spans="1:7" x14ac:dyDescent="0.25">
      <c r="A216" t="s">
        <v>71</v>
      </c>
      <c r="B216" t="s">
        <v>65</v>
      </c>
      <c r="C216" t="s">
        <v>49</v>
      </c>
      <c r="D216" t="s">
        <v>50</v>
      </c>
      <c r="E216">
        <v>0.1171368722490322</v>
      </c>
      <c r="F216" t="s">
        <v>43</v>
      </c>
      <c r="G216">
        <v>0.1171368722490322</v>
      </c>
    </row>
    <row r="217" spans="1:7" x14ac:dyDescent="0.25">
      <c r="A217" t="s">
        <v>71</v>
      </c>
      <c r="B217" t="s">
        <v>65</v>
      </c>
      <c r="C217" t="s">
        <v>51</v>
      </c>
      <c r="D217" t="s">
        <v>50</v>
      </c>
      <c r="E217">
        <v>0.88286312775096776</v>
      </c>
      <c r="F217" t="s">
        <v>43</v>
      </c>
      <c r="G217">
        <v>0.88286312775096776</v>
      </c>
    </row>
    <row r="218" spans="1:7" x14ac:dyDescent="0.25">
      <c r="A218" t="s">
        <v>71</v>
      </c>
      <c r="B218" t="s">
        <v>65</v>
      </c>
      <c r="C218" t="s">
        <v>52</v>
      </c>
      <c r="D218" t="s">
        <v>53</v>
      </c>
      <c r="E218">
        <v>0.45630816353267001</v>
      </c>
      <c r="F218" t="s">
        <v>43</v>
      </c>
      <c r="G218">
        <v>0.45630816353267001</v>
      </c>
    </row>
    <row r="219" spans="1:7" x14ac:dyDescent="0.25">
      <c r="A219" t="s">
        <v>71</v>
      </c>
      <c r="B219" t="s">
        <v>65</v>
      </c>
      <c r="C219" t="s">
        <v>54</v>
      </c>
      <c r="D219" t="s">
        <v>53</v>
      </c>
      <c r="E219">
        <v>4.4370047500516312E-2</v>
      </c>
      <c r="F219" t="s">
        <v>43</v>
      </c>
      <c r="G219">
        <v>4.4370047500516312E-2</v>
      </c>
    </row>
    <row r="220" spans="1:7" x14ac:dyDescent="0.25">
      <c r="A220" t="s">
        <v>71</v>
      </c>
      <c r="B220" t="s">
        <v>65</v>
      </c>
      <c r="C220" t="s">
        <v>55</v>
      </c>
      <c r="D220" t="s">
        <v>53</v>
      </c>
      <c r="E220">
        <v>0.1883750452665103</v>
      </c>
      <c r="F220" t="s">
        <v>43</v>
      </c>
      <c r="G220">
        <v>0.1883750452665103</v>
      </c>
    </row>
    <row r="221" spans="1:7" x14ac:dyDescent="0.25">
      <c r="A221" t="s">
        <v>71</v>
      </c>
      <c r="B221" t="s">
        <v>65</v>
      </c>
      <c r="C221" t="s">
        <v>56</v>
      </c>
      <c r="D221" t="s">
        <v>53</v>
      </c>
      <c r="E221">
        <v>0.22286512267581851</v>
      </c>
      <c r="F221" t="s">
        <v>43</v>
      </c>
      <c r="G221">
        <v>0.22286512267581851</v>
      </c>
    </row>
    <row r="222" spans="1:7" x14ac:dyDescent="0.25">
      <c r="A222" t="s">
        <v>71</v>
      </c>
      <c r="B222" t="s">
        <v>65</v>
      </c>
      <c r="C222" t="s">
        <v>57</v>
      </c>
      <c r="D222" t="s">
        <v>53</v>
      </c>
      <c r="E222">
        <v>8.8081621024484816E-2</v>
      </c>
      <c r="F222" t="s">
        <v>43</v>
      </c>
      <c r="G222">
        <v>8.8081621024484816E-2</v>
      </c>
    </row>
    <row r="223" spans="1:7" x14ac:dyDescent="0.25">
      <c r="A223" t="s">
        <v>71</v>
      </c>
      <c r="B223" t="s">
        <v>65</v>
      </c>
      <c r="C223" t="s">
        <v>58</v>
      </c>
      <c r="D223" t="s">
        <v>59</v>
      </c>
      <c r="E223">
        <v>1</v>
      </c>
      <c r="F223" t="s">
        <v>60</v>
      </c>
      <c r="G223">
        <v>0.72982194479141249</v>
      </c>
    </row>
    <row r="224" spans="1:7" x14ac:dyDescent="0.25">
      <c r="A224" t="s">
        <v>71</v>
      </c>
      <c r="B224" t="s">
        <v>65</v>
      </c>
      <c r="C224" t="s">
        <v>61</v>
      </c>
      <c r="D224" t="s">
        <v>59</v>
      </c>
      <c r="E224">
        <v>0</v>
      </c>
      <c r="F224" t="s">
        <v>60</v>
      </c>
      <c r="G224">
        <v>0.27017805520858751</v>
      </c>
    </row>
    <row r="225" spans="1:7" x14ac:dyDescent="0.25">
      <c r="A225" t="s">
        <v>71</v>
      </c>
      <c r="B225" t="s">
        <v>65</v>
      </c>
      <c r="C225" t="s">
        <v>62</v>
      </c>
      <c r="D225" t="s">
        <v>63</v>
      </c>
      <c r="E225">
        <v>0.42162495143522749</v>
      </c>
      <c r="F225" t="s">
        <v>43</v>
      </c>
      <c r="G225">
        <v>0.42162495143522749</v>
      </c>
    </row>
    <row r="226" spans="1:7" x14ac:dyDescent="0.25">
      <c r="A226" t="s">
        <v>71</v>
      </c>
      <c r="B226" t="s">
        <v>65</v>
      </c>
      <c r="C226" t="s">
        <v>64</v>
      </c>
      <c r="D226" t="s">
        <v>63</v>
      </c>
      <c r="E226">
        <v>0.57837504856477251</v>
      </c>
      <c r="F226" t="s">
        <v>43</v>
      </c>
      <c r="G226">
        <v>0.57837504856477251</v>
      </c>
    </row>
    <row r="227" spans="1:7" x14ac:dyDescent="0.25">
      <c r="A227" t="s">
        <v>71</v>
      </c>
      <c r="B227" t="s">
        <v>66</v>
      </c>
      <c r="C227" t="s">
        <v>41</v>
      </c>
      <c r="D227" t="s">
        <v>42</v>
      </c>
      <c r="E227">
        <v>0.94299868264323294</v>
      </c>
      <c r="F227" t="s">
        <v>43</v>
      </c>
      <c r="G227">
        <v>0.94299868264323294</v>
      </c>
    </row>
    <row r="228" spans="1:7" x14ac:dyDescent="0.25">
      <c r="A228" t="s">
        <v>71</v>
      </c>
      <c r="B228" t="s">
        <v>66</v>
      </c>
      <c r="C228" t="s">
        <v>44</v>
      </c>
      <c r="D228" t="s">
        <v>42</v>
      </c>
      <c r="E228">
        <v>4.1765731369656618E-2</v>
      </c>
      <c r="F228" t="s">
        <v>43</v>
      </c>
      <c r="G228">
        <v>4.1765731369656618E-2</v>
      </c>
    </row>
    <row r="229" spans="1:7" x14ac:dyDescent="0.25">
      <c r="A229" t="s">
        <v>71</v>
      </c>
      <c r="B229" t="s">
        <v>66</v>
      </c>
      <c r="C229" t="s">
        <v>45</v>
      </c>
      <c r="D229" t="s">
        <v>42</v>
      </c>
      <c r="E229">
        <v>1.523558598711041E-2</v>
      </c>
      <c r="F229" t="s">
        <v>43</v>
      </c>
      <c r="G229">
        <v>1.523558598711041E-2</v>
      </c>
    </row>
    <row r="230" spans="1:7" x14ac:dyDescent="0.25">
      <c r="A230" t="s">
        <v>71</v>
      </c>
      <c r="B230" t="s">
        <v>66</v>
      </c>
      <c r="C230" t="s">
        <v>46</v>
      </c>
      <c r="D230" t="s">
        <v>47</v>
      </c>
      <c r="E230">
        <v>0.43273688361237522</v>
      </c>
      <c r="F230" t="s">
        <v>43</v>
      </c>
      <c r="G230">
        <v>0.43273688361237522</v>
      </c>
    </row>
    <row r="231" spans="1:7" x14ac:dyDescent="0.25">
      <c r="A231" t="s">
        <v>71</v>
      </c>
      <c r="B231" t="s">
        <v>66</v>
      </c>
      <c r="C231" t="s">
        <v>48</v>
      </c>
      <c r="D231" t="s">
        <v>47</v>
      </c>
      <c r="E231">
        <v>0.56726311638762483</v>
      </c>
      <c r="F231" t="s">
        <v>43</v>
      </c>
      <c r="G231">
        <v>0.56726311638762483</v>
      </c>
    </row>
    <row r="232" spans="1:7" x14ac:dyDescent="0.25">
      <c r="A232" t="s">
        <v>71</v>
      </c>
      <c r="B232" t="s">
        <v>66</v>
      </c>
      <c r="C232" t="s">
        <v>49</v>
      </c>
      <c r="D232" t="s">
        <v>50</v>
      </c>
      <c r="E232">
        <v>0.1171368722490322</v>
      </c>
      <c r="F232" t="s">
        <v>43</v>
      </c>
      <c r="G232">
        <v>0.1171368722490322</v>
      </c>
    </row>
    <row r="233" spans="1:7" x14ac:dyDescent="0.25">
      <c r="A233" t="s">
        <v>71</v>
      </c>
      <c r="B233" t="s">
        <v>66</v>
      </c>
      <c r="C233" t="s">
        <v>51</v>
      </c>
      <c r="D233" t="s">
        <v>50</v>
      </c>
      <c r="E233">
        <v>0.88286312775096776</v>
      </c>
      <c r="F233" t="s">
        <v>43</v>
      </c>
      <c r="G233">
        <v>0.88286312775096776</v>
      </c>
    </row>
    <row r="234" spans="1:7" x14ac:dyDescent="0.25">
      <c r="A234" t="s">
        <v>71</v>
      </c>
      <c r="B234" t="s">
        <v>66</v>
      </c>
      <c r="C234" t="s">
        <v>52</v>
      </c>
      <c r="D234" t="s">
        <v>53</v>
      </c>
      <c r="E234">
        <v>0.45630816353267001</v>
      </c>
      <c r="F234" t="s">
        <v>43</v>
      </c>
      <c r="G234">
        <v>0.45630816353267001</v>
      </c>
    </row>
    <row r="235" spans="1:7" x14ac:dyDescent="0.25">
      <c r="A235" t="s">
        <v>71</v>
      </c>
      <c r="B235" t="s">
        <v>66</v>
      </c>
      <c r="C235" t="s">
        <v>54</v>
      </c>
      <c r="D235" t="s">
        <v>53</v>
      </c>
      <c r="E235">
        <v>4.4370047500516312E-2</v>
      </c>
      <c r="F235" t="s">
        <v>43</v>
      </c>
      <c r="G235">
        <v>4.4370047500516312E-2</v>
      </c>
    </row>
    <row r="236" spans="1:7" x14ac:dyDescent="0.25">
      <c r="A236" t="s">
        <v>71</v>
      </c>
      <c r="B236" t="s">
        <v>66</v>
      </c>
      <c r="C236" t="s">
        <v>55</v>
      </c>
      <c r="D236" t="s">
        <v>53</v>
      </c>
      <c r="E236">
        <v>0.1883750452665103</v>
      </c>
      <c r="F236" t="s">
        <v>43</v>
      </c>
      <c r="G236">
        <v>0.1883750452665103</v>
      </c>
    </row>
    <row r="237" spans="1:7" x14ac:dyDescent="0.25">
      <c r="A237" t="s">
        <v>71</v>
      </c>
      <c r="B237" t="s">
        <v>66</v>
      </c>
      <c r="C237" t="s">
        <v>56</v>
      </c>
      <c r="D237" t="s">
        <v>53</v>
      </c>
      <c r="E237">
        <v>0.22286512267581851</v>
      </c>
      <c r="F237" t="s">
        <v>43</v>
      </c>
      <c r="G237">
        <v>0.22286512267581851</v>
      </c>
    </row>
    <row r="238" spans="1:7" x14ac:dyDescent="0.25">
      <c r="A238" t="s">
        <v>71</v>
      </c>
      <c r="B238" t="s">
        <v>66</v>
      </c>
      <c r="C238" t="s">
        <v>57</v>
      </c>
      <c r="D238" t="s">
        <v>53</v>
      </c>
      <c r="E238">
        <v>8.8081621024484816E-2</v>
      </c>
      <c r="F238" t="s">
        <v>43</v>
      </c>
      <c r="G238">
        <v>8.8081621024484816E-2</v>
      </c>
    </row>
    <row r="239" spans="1:7" x14ac:dyDescent="0.25">
      <c r="A239" t="s">
        <v>71</v>
      </c>
      <c r="B239" t="s">
        <v>66</v>
      </c>
      <c r="C239" t="s">
        <v>58</v>
      </c>
      <c r="D239" t="s">
        <v>59</v>
      </c>
      <c r="E239">
        <v>1</v>
      </c>
      <c r="F239" t="s">
        <v>60</v>
      </c>
      <c r="G239">
        <v>0.72982194479141249</v>
      </c>
    </row>
    <row r="240" spans="1:7" x14ac:dyDescent="0.25">
      <c r="A240" t="s">
        <v>71</v>
      </c>
      <c r="B240" t="s">
        <v>66</v>
      </c>
      <c r="C240" t="s">
        <v>61</v>
      </c>
      <c r="D240" t="s">
        <v>59</v>
      </c>
      <c r="E240">
        <v>0</v>
      </c>
      <c r="F240" t="s">
        <v>60</v>
      </c>
      <c r="G240">
        <v>0.27017805520858751</v>
      </c>
    </row>
    <row r="241" spans="1:7" x14ac:dyDescent="0.25">
      <c r="A241" t="s">
        <v>71</v>
      </c>
      <c r="B241" t="s">
        <v>66</v>
      </c>
      <c r="C241" t="s">
        <v>62</v>
      </c>
      <c r="D241" t="s">
        <v>63</v>
      </c>
      <c r="E241">
        <v>0.42162495143522749</v>
      </c>
      <c r="F241" t="s">
        <v>43</v>
      </c>
      <c r="G241">
        <v>0.42162495143522749</v>
      </c>
    </row>
    <row r="242" spans="1:7" x14ac:dyDescent="0.25">
      <c r="A242" t="s">
        <v>71</v>
      </c>
      <c r="B242" t="s">
        <v>66</v>
      </c>
      <c r="C242" t="s">
        <v>64</v>
      </c>
      <c r="D242" t="s">
        <v>63</v>
      </c>
      <c r="E242">
        <v>0.57837504856477251</v>
      </c>
      <c r="F242" t="s">
        <v>43</v>
      </c>
      <c r="G242">
        <v>0.57837504856477251</v>
      </c>
    </row>
    <row r="243" spans="1:7" x14ac:dyDescent="0.25">
      <c r="A243" t="s">
        <v>71</v>
      </c>
      <c r="B243" t="s">
        <v>67</v>
      </c>
      <c r="C243" t="s">
        <v>41</v>
      </c>
      <c r="D243" t="s">
        <v>42</v>
      </c>
      <c r="E243">
        <v>0.94299868264323294</v>
      </c>
      <c r="F243" t="s">
        <v>43</v>
      </c>
      <c r="G243">
        <v>0.94299868264323294</v>
      </c>
    </row>
    <row r="244" spans="1:7" x14ac:dyDescent="0.25">
      <c r="A244" t="s">
        <v>71</v>
      </c>
      <c r="B244" t="s">
        <v>67</v>
      </c>
      <c r="C244" t="s">
        <v>44</v>
      </c>
      <c r="D244" t="s">
        <v>42</v>
      </c>
      <c r="E244">
        <v>4.1765731369656618E-2</v>
      </c>
      <c r="F244" t="s">
        <v>43</v>
      </c>
      <c r="G244">
        <v>4.1765731369656618E-2</v>
      </c>
    </row>
    <row r="245" spans="1:7" x14ac:dyDescent="0.25">
      <c r="A245" t="s">
        <v>71</v>
      </c>
      <c r="B245" t="s">
        <v>67</v>
      </c>
      <c r="C245" t="s">
        <v>45</v>
      </c>
      <c r="D245" t="s">
        <v>42</v>
      </c>
      <c r="E245">
        <v>1.523558598711041E-2</v>
      </c>
      <c r="F245" t="s">
        <v>43</v>
      </c>
      <c r="G245">
        <v>1.523558598711041E-2</v>
      </c>
    </row>
    <row r="246" spans="1:7" x14ac:dyDescent="0.25">
      <c r="A246" t="s">
        <v>71</v>
      </c>
      <c r="B246" t="s">
        <v>67</v>
      </c>
      <c r="C246" t="s">
        <v>46</v>
      </c>
      <c r="D246" t="s">
        <v>47</v>
      </c>
      <c r="E246">
        <v>0.43273688361237522</v>
      </c>
      <c r="F246" t="s">
        <v>43</v>
      </c>
      <c r="G246">
        <v>0.43273688361237522</v>
      </c>
    </row>
    <row r="247" spans="1:7" x14ac:dyDescent="0.25">
      <c r="A247" t="s">
        <v>71</v>
      </c>
      <c r="B247" t="s">
        <v>67</v>
      </c>
      <c r="C247" t="s">
        <v>48</v>
      </c>
      <c r="D247" t="s">
        <v>47</v>
      </c>
      <c r="E247">
        <v>0.56726311638762483</v>
      </c>
      <c r="F247" t="s">
        <v>43</v>
      </c>
      <c r="G247">
        <v>0.56726311638762483</v>
      </c>
    </row>
    <row r="248" spans="1:7" x14ac:dyDescent="0.25">
      <c r="A248" t="s">
        <v>71</v>
      </c>
      <c r="B248" t="s">
        <v>67</v>
      </c>
      <c r="C248" t="s">
        <v>49</v>
      </c>
      <c r="D248" t="s">
        <v>50</v>
      </c>
      <c r="E248">
        <v>0.1171368722490322</v>
      </c>
      <c r="F248" t="s">
        <v>43</v>
      </c>
      <c r="G248">
        <v>0.1171368722490322</v>
      </c>
    </row>
    <row r="249" spans="1:7" x14ac:dyDescent="0.25">
      <c r="A249" t="s">
        <v>71</v>
      </c>
      <c r="B249" t="s">
        <v>67</v>
      </c>
      <c r="C249" t="s">
        <v>51</v>
      </c>
      <c r="D249" t="s">
        <v>50</v>
      </c>
      <c r="E249">
        <v>0.88286312775096776</v>
      </c>
      <c r="F249" t="s">
        <v>43</v>
      </c>
      <c r="G249">
        <v>0.88286312775096776</v>
      </c>
    </row>
    <row r="250" spans="1:7" x14ac:dyDescent="0.25">
      <c r="A250" t="s">
        <v>71</v>
      </c>
      <c r="B250" t="s">
        <v>67</v>
      </c>
      <c r="C250" t="s">
        <v>52</v>
      </c>
      <c r="D250" t="s">
        <v>53</v>
      </c>
      <c r="E250">
        <v>0.45630816353267001</v>
      </c>
      <c r="F250" t="s">
        <v>43</v>
      </c>
      <c r="G250">
        <v>0.45630816353267001</v>
      </c>
    </row>
    <row r="251" spans="1:7" x14ac:dyDescent="0.25">
      <c r="A251" t="s">
        <v>71</v>
      </c>
      <c r="B251" t="s">
        <v>67</v>
      </c>
      <c r="C251" t="s">
        <v>54</v>
      </c>
      <c r="D251" t="s">
        <v>53</v>
      </c>
      <c r="E251">
        <v>4.4370047500516312E-2</v>
      </c>
      <c r="F251" t="s">
        <v>43</v>
      </c>
      <c r="G251">
        <v>4.4370047500516312E-2</v>
      </c>
    </row>
    <row r="252" spans="1:7" x14ac:dyDescent="0.25">
      <c r="A252" t="s">
        <v>71</v>
      </c>
      <c r="B252" t="s">
        <v>67</v>
      </c>
      <c r="C252" t="s">
        <v>55</v>
      </c>
      <c r="D252" t="s">
        <v>53</v>
      </c>
      <c r="E252">
        <v>0.1883750452665103</v>
      </c>
      <c r="F252" t="s">
        <v>43</v>
      </c>
      <c r="G252">
        <v>0.1883750452665103</v>
      </c>
    </row>
    <row r="253" spans="1:7" x14ac:dyDescent="0.25">
      <c r="A253" t="s">
        <v>71</v>
      </c>
      <c r="B253" t="s">
        <v>67</v>
      </c>
      <c r="C253" t="s">
        <v>56</v>
      </c>
      <c r="D253" t="s">
        <v>53</v>
      </c>
      <c r="E253">
        <v>0.22286512267581851</v>
      </c>
      <c r="F253" t="s">
        <v>43</v>
      </c>
      <c r="G253">
        <v>0.22286512267581851</v>
      </c>
    </row>
    <row r="254" spans="1:7" x14ac:dyDescent="0.25">
      <c r="A254" t="s">
        <v>71</v>
      </c>
      <c r="B254" t="s">
        <v>67</v>
      </c>
      <c r="C254" t="s">
        <v>57</v>
      </c>
      <c r="D254" t="s">
        <v>53</v>
      </c>
      <c r="E254">
        <v>8.8081621024484816E-2</v>
      </c>
      <c r="F254" t="s">
        <v>43</v>
      </c>
      <c r="G254">
        <v>8.8081621024484816E-2</v>
      </c>
    </row>
    <row r="255" spans="1:7" x14ac:dyDescent="0.25">
      <c r="A255" t="s">
        <v>71</v>
      </c>
      <c r="B255" t="s">
        <v>67</v>
      </c>
      <c r="C255" t="s">
        <v>58</v>
      </c>
      <c r="D255" t="s">
        <v>59</v>
      </c>
      <c r="E255">
        <v>1</v>
      </c>
      <c r="F255" t="s">
        <v>60</v>
      </c>
      <c r="G255">
        <v>0.72982194479141249</v>
      </c>
    </row>
    <row r="256" spans="1:7" x14ac:dyDescent="0.25">
      <c r="A256" t="s">
        <v>71</v>
      </c>
      <c r="B256" t="s">
        <v>67</v>
      </c>
      <c r="C256" t="s">
        <v>61</v>
      </c>
      <c r="D256" t="s">
        <v>59</v>
      </c>
      <c r="E256">
        <v>0</v>
      </c>
      <c r="F256" t="s">
        <v>60</v>
      </c>
      <c r="G256">
        <v>0.27017805520858751</v>
      </c>
    </row>
    <row r="257" spans="1:7" x14ac:dyDescent="0.25">
      <c r="A257" t="s">
        <v>71</v>
      </c>
      <c r="B257" t="s">
        <v>67</v>
      </c>
      <c r="C257" t="s">
        <v>62</v>
      </c>
      <c r="D257" t="s">
        <v>63</v>
      </c>
      <c r="E257">
        <v>0.42162495143522749</v>
      </c>
      <c r="F257" t="s">
        <v>43</v>
      </c>
      <c r="G257">
        <v>0.42162495143522749</v>
      </c>
    </row>
    <row r="258" spans="1:7" x14ac:dyDescent="0.25">
      <c r="A258" t="s">
        <v>71</v>
      </c>
      <c r="B258" t="s">
        <v>67</v>
      </c>
      <c r="C258" t="s">
        <v>64</v>
      </c>
      <c r="D258" t="s">
        <v>63</v>
      </c>
      <c r="E258">
        <v>0.57837504856477251</v>
      </c>
      <c r="F258" t="s">
        <v>43</v>
      </c>
      <c r="G258">
        <v>0.57837504856477251</v>
      </c>
    </row>
    <row r="259" spans="1:7" x14ac:dyDescent="0.25">
      <c r="A259" t="s">
        <v>71</v>
      </c>
      <c r="B259" t="s">
        <v>68</v>
      </c>
      <c r="C259" t="s">
        <v>41</v>
      </c>
      <c r="D259" t="s">
        <v>42</v>
      </c>
      <c r="E259">
        <v>0.94299868264323294</v>
      </c>
      <c r="F259" t="s">
        <v>43</v>
      </c>
      <c r="G259">
        <v>0.94299868264323294</v>
      </c>
    </row>
    <row r="260" spans="1:7" x14ac:dyDescent="0.25">
      <c r="A260" t="s">
        <v>71</v>
      </c>
      <c r="B260" t="s">
        <v>68</v>
      </c>
      <c r="C260" t="s">
        <v>44</v>
      </c>
      <c r="D260" t="s">
        <v>42</v>
      </c>
      <c r="E260">
        <v>4.1765731369656618E-2</v>
      </c>
      <c r="F260" t="s">
        <v>43</v>
      </c>
      <c r="G260">
        <v>4.1765731369656618E-2</v>
      </c>
    </row>
    <row r="261" spans="1:7" x14ac:dyDescent="0.25">
      <c r="A261" t="s">
        <v>71</v>
      </c>
      <c r="B261" t="s">
        <v>68</v>
      </c>
      <c r="C261" t="s">
        <v>45</v>
      </c>
      <c r="D261" t="s">
        <v>42</v>
      </c>
      <c r="E261">
        <v>1.523558598711041E-2</v>
      </c>
      <c r="F261" t="s">
        <v>43</v>
      </c>
      <c r="G261">
        <v>1.523558598711041E-2</v>
      </c>
    </row>
    <row r="262" spans="1:7" x14ac:dyDescent="0.25">
      <c r="A262" t="s">
        <v>71</v>
      </c>
      <c r="B262" t="s">
        <v>68</v>
      </c>
      <c r="C262" t="s">
        <v>46</v>
      </c>
      <c r="D262" t="s">
        <v>47</v>
      </c>
      <c r="E262">
        <v>0.43273688361237522</v>
      </c>
      <c r="F262" t="s">
        <v>43</v>
      </c>
      <c r="G262">
        <v>0.43273688361237522</v>
      </c>
    </row>
    <row r="263" spans="1:7" x14ac:dyDescent="0.25">
      <c r="A263" t="s">
        <v>71</v>
      </c>
      <c r="B263" t="s">
        <v>68</v>
      </c>
      <c r="C263" t="s">
        <v>48</v>
      </c>
      <c r="D263" t="s">
        <v>47</v>
      </c>
      <c r="E263">
        <v>0.56726311638762483</v>
      </c>
      <c r="F263" t="s">
        <v>43</v>
      </c>
      <c r="G263">
        <v>0.56726311638762483</v>
      </c>
    </row>
    <row r="264" spans="1:7" x14ac:dyDescent="0.25">
      <c r="A264" t="s">
        <v>71</v>
      </c>
      <c r="B264" t="s">
        <v>68</v>
      </c>
      <c r="C264" t="s">
        <v>49</v>
      </c>
      <c r="D264" t="s">
        <v>50</v>
      </c>
      <c r="E264">
        <v>0.1171368722490322</v>
      </c>
      <c r="F264" t="s">
        <v>43</v>
      </c>
      <c r="G264">
        <v>0.1171368722490322</v>
      </c>
    </row>
    <row r="265" spans="1:7" x14ac:dyDescent="0.25">
      <c r="A265" t="s">
        <v>71</v>
      </c>
      <c r="B265" t="s">
        <v>68</v>
      </c>
      <c r="C265" t="s">
        <v>51</v>
      </c>
      <c r="D265" t="s">
        <v>50</v>
      </c>
      <c r="E265">
        <v>0.88286312775096776</v>
      </c>
      <c r="F265" t="s">
        <v>43</v>
      </c>
      <c r="G265">
        <v>0.88286312775096776</v>
      </c>
    </row>
    <row r="266" spans="1:7" x14ac:dyDescent="0.25">
      <c r="A266" t="s">
        <v>71</v>
      </c>
      <c r="B266" t="s">
        <v>68</v>
      </c>
      <c r="C266" t="s">
        <v>52</v>
      </c>
      <c r="D266" t="s">
        <v>53</v>
      </c>
      <c r="E266">
        <v>0.45630816353267001</v>
      </c>
      <c r="F266" t="s">
        <v>43</v>
      </c>
      <c r="G266">
        <v>0.45630816353267001</v>
      </c>
    </row>
    <row r="267" spans="1:7" x14ac:dyDescent="0.25">
      <c r="A267" t="s">
        <v>71</v>
      </c>
      <c r="B267" t="s">
        <v>68</v>
      </c>
      <c r="C267" t="s">
        <v>54</v>
      </c>
      <c r="D267" t="s">
        <v>53</v>
      </c>
      <c r="E267">
        <v>4.4370047500516312E-2</v>
      </c>
      <c r="F267" t="s">
        <v>43</v>
      </c>
      <c r="G267">
        <v>4.4370047500516312E-2</v>
      </c>
    </row>
    <row r="268" spans="1:7" x14ac:dyDescent="0.25">
      <c r="A268" t="s">
        <v>71</v>
      </c>
      <c r="B268" t="s">
        <v>68</v>
      </c>
      <c r="C268" t="s">
        <v>55</v>
      </c>
      <c r="D268" t="s">
        <v>53</v>
      </c>
      <c r="E268">
        <v>0.1883750452665103</v>
      </c>
      <c r="F268" t="s">
        <v>43</v>
      </c>
      <c r="G268">
        <v>0.1883750452665103</v>
      </c>
    </row>
    <row r="269" spans="1:7" x14ac:dyDescent="0.25">
      <c r="A269" t="s">
        <v>71</v>
      </c>
      <c r="B269" t="s">
        <v>68</v>
      </c>
      <c r="C269" t="s">
        <v>56</v>
      </c>
      <c r="D269" t="s">
        <v>53</v>
      </c>
      <c r="E269">
        <v>0.22286512267581851</v>
      </c>
      <c r="F269" t="s">
        <v>43</v>
      </c>
      <c r="G269">
        <v>0.22286512267581851</v>
      </c>
    </row>
    <row r="270" spans="1:7" x14ac:dyDescent="0.25">
      <c r="A270" t="s">
        <v>71</v>
      </c>
      <c r="B270" t="s">
        <v>68</v>
      </c>
      <c r="C270" t="s">
        <v>57</v>
      </c>
      <c r="D270" t="s">
        <v>53</v>
      </c>
      <c r="E270">
        <v>8.8081621024484816E-2</v>
      </c>
      <c r="F270" t="s">
        <v>43</v>
      </c>
      <c r="G270">
        <v>8.8081621024484816E-2</v>
      </c>
    </row>
    <row r="271" spans="1:7" x14ac:dyDescent="0.25">
      <c r="A271" t="s">
        <v>71</v>
      </c>
      <c r="B271" t="s">
        <v>68</v>
      </c>
      <c r="C271" t="s">
        <v>58</v>
      </c>
      <c r="D271" t="s">
        <v>59</v>
      </c>
      <c r="E271">
        <v>1</v>
      </c>
      <c r="F271" t="s">
        <v>60</v>
      </c>
      <c r="G271">
        <v>0.72982194479141249</v>
      </c>
    </row>
    <row r="272" spans="1:7" x14ac:dyDescent="0.25">
      <c r="A272" t="s">
        <v>71</v>
      </c>
      <c r="B272" t="s">
        <v>68</v>
      </c>
      <c r="C272" t="s">
        <v>61</v>
      </c>
      <c r="D272" t="s">
        <v>59</v>
      </c>
      <c r="E272">
        <v>0</v>
      </c>
      <c r="F272" t="s">
        <v>60</v>
      </c>
      <c r="G272">
        <v>0.27017805520858751</v>
      </c>
    </row>
    <row r="273" spans="1:7" x14ac:dyDescent="0.25">
      <c r="A273" t="s">
        <v>71</v>
      </c>
      <c r="B273" t="s">
        <v>68</v>
      </c>
      <c r="C273" t="s">
        <v>62</v>
      </c>
      <c r="D273" t="s">
        <v>63</v>
      </c>
      <c r="E273">
        <v>0.42162495143522749</v>
      </c>
      <c r="F273" t="s">
        <v>43</v>
      </c>
      <c r="G273">
        <v>0.42162495143522749</v>
      </c>
    </row>
    <row r="274" spans="1:7" x14ac:dyDescent="0.25">
      <c r="A274" t="s">
        <v>71</v>
      </c>
      <c r="B274" t="s">
        <v>68</v>
      </c>
      <c r="C274" t="s">
        <v>64</v>
      </c>
      <c r="D274" t="s">
        <v>63</v>
      </c>
      <c r="E274">
        <v>0.57837504856477251</v>
      </c>
      <c r="F274" t="s">
        <v>43</v>
      </c>
      <c r="G274">
        <v>0.57837504856477251</v>
      </c>
    </row>
    <row r="275" spans="1:7" x14ac:dyDescent="0.25">
      <c r="A275" t="s">
        <v>71</v>
      </c>
      <c r="B275" t="s">
        <v>69</v>
      </c>
      <c r="C275" t="s">
        <v>41</v>
      </c>
      <c r="D275" t="s">
        <v>42</v>
      </c>
      <c r="E275">
        <v>0.94299868264323294</v>
      </c>
      <c r="F275" t="s">
        <v>43</v>
      </c>
      <c r="G275">
        <v>0.94299868264323294</v>
      </c>
    </row>
    <row r="276" spans="1:7" x14ac:dyDescent="0.25">
      <c r="A276" t="s">
        <v>71</v>
      </c>
      <c r="B276" t="s">
        <v>69</v>
      </c>
      <c r="C276" t="s">
        <v>44</v>
      </c>
      <c r="D276" t="s">
        <v>42</v>
      </c>
      <c r="E276">
        <v>4.1765731369656618E-2</v>
      </c>
      <c r="F276" t="s">
        <v>43</v>
      </c>
      <c r="G276">
        <v>4.1765731369656618E-2</v>
      </c>
    </row>
    <row r="277" spans="1:7" x14ac:dyDescent="0.25">
      <c r="A277" t="s">
        <v>71</v>
      </c>
      <c r="B277" t="s">
        <v>69</v>
      </c>
      <c r="C277" t="s">
        <v>45</v>
      </c>
      <c r="D277" t="s">
        <v>42</v>
      </c>
      <c r="E277">
        <v>1.523558598711041E-2</v>
      </c>
      <c r="F277" t="s">
        <v>43</v>
      </c>
      <c r="G277">
        <v>1.523558598711041E-2</v>
      </c>
    </row>
    <row r="278" spans="1:7" x14ac:dyDescent="0.25">
      <c r="A278" t="s">
        <v>71</v>
      </c>
      <c r="B278" t="s">
        <v>69</v>
      </c>
      <c r="C278" t="s">
        <v>46</v>
      </c>
      <c r="D278" t="s">
        <v>47</v>
      </c>
      <c r="E278">
        <v>0.43273688361237522</v>
      </c>
      <c r="F278" t="s">
        <v>43</v>
      </c>
      <c r="G278">
        <v>0.43273688361237522</v>
      </c>
    </row>
    <row r="279" spans="1:7" x14ac:dyDescent="0.25">
      <c r="A279" t="s">
        <v>71</v>
      </c>
      <c r="B279" t="s">
        <v>69</v>
      </c>
      <c r="C279" t="s">
        <v>48</v>
      </c>
      <c r="D279" t="s">
        <v>47</v>
      </c>
      <c r="E279">
        <v>0.56726311638762483</v>
      </c>
      <c r="F279" t="s">
        <v>43</v>
      </c>
      <c r="G279">
        <v>0.56726311638762483</v>
      </c>
    </row>
    <row r="280" spans="1:7" x14ac:dyDescent="0.25">
      <c r="A280" t="s">
        <v>71</v>
      </c>
      <c r="B280" t="s">
        <v>69</v>
      </c>
      <c r="C280" t="s">
        <v>49</v>
      </c>
      <c r="D280" t="s">
        <v>50</v>
      </c>
      <c r="E280">
        <v>0.1171368722490322</v>
      </c>
      <c r="F280" t="s">
        <v>43</v>
      </c>
      <c r="G280">
        <v>0.1171368722490322</v>
      </c>
    </row>
    <row r="281" spans="1:7" x14ac:dyDescent="0.25">
      <c r="A281" t="s">
        <v>71</v>
      </c>
      <c r="B281" t="s">
        <v>69</v>
      </c>
      <c r="C281" t="s">
        <v>51</v>
      </c>
      <c r="D281" t="s">
        <v>50</v>
      </c>
      <c r="E281">
        <v>0.88286312775096776</v>
      </c>
      <c r="F281" t="s">
        <v>43</v>
      </c>
      <c r="G281">
        <v>0.88286312775096776</v>
      </c>
    </row>
    <row r="282" spans="1:7" x14ac:dyDescent="0.25">
      <c r="A282" t="s">
        <v>71</v>
      </c>
      <c r="B282" t="s">
        <v>69</v>
      </c>
      <c r="C282" t="s">
        <v>52</v>
      </c>
      <c r="D282" t="s">
        <v>53</v>
      </c>
      <c r="E282">
        <v>0.45630816353267001</v>
      </c>
      <c r="F282" t="s">
        <v>43</v>
      </c>
      <c r="G282">
        <v>0.45630816353267001</v>
      </c>
    </row>
    <row r="283" spans="1:7" x14ac:dyDescent="0.25">
      <c r="A283" t="s">
        <v>71</v>
      </c>
      <c r="B283" t="s">
        <v>69</v>
      </c>
      <c r="C283" t="s">
        <v>54</v>
      </c>
      <c r="D283" t="s">
        <v>53</v>
      </c>
      <c r="E283">
        <v>4.4370047500516312E-2</v>
      </c>
      <c r="F283" t="s">
        <v>43</v>
      </c>
      <c r="G283">
        <v>4.4370047500516312E-2</v>
      </c>
    </row>
    <row r="284" spans="1:7" x14ac:dyDescent="0.25">
      <c r="A284" t="s">
        <v>71</v>
      </c>
      <c r="B284" t="s">
        <v>69</v>
      </c>
      <c r="C284" t="s">
        <v>55</v>
      </c>
      <c r="D284" t="s">
        <v>53</v>
      </c>
      <c r="E284">
        <v>0.1883750452665103</v>
      </c>
      <c r="F284" t="s">
        <v>43</v>
      </c>
      <c r="G284">
        <v>0.1883750452665103</v>
      </c>
    </row>
    <row r="285" spans="1:7" x14ac:dyDescent="0.25">
      <c r="A285" t="s">
        <v>71</v>
      </c>
      <c r="B285" t="s">
        <v>69</v>
      </c>
      <c r="C285" t="s">
        <v>56</v>
      </c>
      <c r="D285" t="s">
        <v>53</v>
      </c>
      <c r="E285">
        <v>0.22286512267581851</v>
      </c>
      <c r="F285" t="s">
        <v>43</v>
      </c>
      <c r="G285">
        <v>0.22286512267581851</v>
      </c>
    </row>
    <row r="286" spans="1:7" x14ac:dyDescent="0.25">
      <c r="A286" t="s">
        <v>71</v>
      </c>
      <c r="B286" t="s">
        <v>69</v>
      </c>
      <c r="C286" t="s">
        <v>57</v>
      </c>
      <c r="D286" t="s">
        <v>53</v>
      </c>
      <c r="E286">
        <v>8.8081621024484816E-2</v>
      </c>
      <c r="F286" t="s">
        <v>43</v>
      </c>
      <c r="G286">
        <v>8.8081621024484816E-2</v>
      </c>
    </row>
    <row r="287" spans="1:7" x14ac:dyDescent="0.25">
      <c r="A287" t="s">
        <v>71</v>
      </c>
      <c r="B287" t="s">
        <v>69</v>
      </c>
      <c r="C287" t="s">
        <v>58</v>
      </c>
      <c r="D287" t="s">
        <v>59</v>
      </c>
      <c r="E287">
        <v>1</v>
      </c>
      <c r="F287" t="s">
        <v>60</v>
      </c>
      <c r="G287">
        <v>0.72982194479141249</v>
      </c>
    </row>
    <row r="288" spans="1:7" x14ac:dyDescent="0.25">
      <c r="A288" t="s">
        <v>71</v>
      </c>
      <c r="B288" t="s">
        <v>69</v>
      </c>
      <c r="C288" t="s">
        <v>61</v>
      </c>
      <c r="D288" t="s">
        <v>59</v>
      </c>
      <c r="E288">
        <v>0</v>
      </c>
      <c r="F288" t="s">
        <v>60</v>
      </c>
      <c r="G288">
        <v>0.27017805520858751</v>
      </c>
    </row>
    <row r="289" spans="1:7" x14ac:dyDescent="0.25">
      <c r="A289" t="s">
        <v>71</v>
      </c>
      <c r="B289" t="s">
        <v>69</v>
      </c>
      <c r="C289" t="s">
        <v>62</v>
      </c>
      <c r="D289" t="s">
        <v>63</v>
      </c>
      <c r="E289">
        <v>0.42162495143522749</v>
      </c>
      <c r="F289" t="s">
        <v>43</v>
      </c>
      <c r="G289">
        <v>0.42162495143522749</v>
      </c>
    </row>
    <row r="290" spans="1:7" x14ac:dyDescent="0.25">
      <c r="A290" t="s">
        <v>71</v>
      </c>
      <c r="B290" t="s">
        <v>69</v>
      </c>
      <c r="C290" t="s">
        <v>64</v>
      </c>
      <c r="D290" t="s">
        <v>63</v>
      </c>
      <c r="E290">
        <v>0.57837504856477251</v>
      </c>
      <c r="F290" t="s">
        <v>43</v>
      </c>
      <c r="G290">
        <v>0.57837504856477251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heetViews>
  <sheetFormatPr defaultRowHeight="15" x14ac:dyDescent="0.25"/>
  <cols>
    <col min="1" max="1" width="77.42578125" bestFit="1" customWidth="1"/>
    <col min="2" max="2" width="12.140625" bestFit="1" customWidth="1"/>
    <col min="3" max="3" width="20.42578125" bestFit="1" customWidth="1"/>
    <col min="4" max="4" width="20.42578125" customWidth="1"/>
    <col min="5" max="5" width="16" bestFit="1" customWidth="1"/>
    <col min="6" max="6" width="17.7109375" bestFit="1" customWidth="1"/>
    <col min="7" max="7" width="17.7109375" customWidth="1"/>
    <col min="8" max="8" width="14" bestFit="1" customWidth="1"/>
    <col min="9" max="9" width="21.5703125" bestFit="1" customWidth="1"/>
    <col min="10" max="11" width="12" bestFit="1" customWidth="1"/>
  </cols>
  <sheetData>
    <row r="1" spans="1:2" s="2" customFormat="1" x14ac:dyDescent="0.25">
      <c r="A1" s="2" t="s">
        <v>72</v>
      </c>
      <c r="B1" s="2" t="s">
        <v>73</v>
      </c>
    </row>
    <row r="2" spans="1:2" ht="15.6" customHeight="1" thickBot="1" x14ac:dyDescent="0.3">
      <c r="A2" t="s">
        <v>74</v>
      </c>
      <c r="B2" t="s">
        <v>42</v>
      </c>
    </row>
    <row r="3" spans="1:2" x14ac:dyDescent="0.25">
      <c r="A3" s="88" t="s">
        <v>75</v>
      </c>
      <c r="B3" s="89" t="s">
        <v>76</v>
      </c>
    </row>
    <row r="4" spans="1:2" ht="15.6" customHeight="1" thickBot="1" x14ac:dyDescent="0.3">
      <c r="A4" s="90" t="s">
        <v>77</v>
      </c>
      <c r="B4" s="91" t="s">
        <v>78</v>
      </c>
    </row>
    <row r="5" spans="1:2" x14ac:dyDescent="0.25">
      <c r="A5" t="s">
        <v>79</v>
      </c>
      <c r="B5" t="s">
        <v>47</v>
      </c>
    </row>
    <row r="6" spans="1:2" x14ac:dyDescent="0.25">
      <c r="A6" t="s">
        <v>80</v>
      </c>
      <c r="B6" t="s">
        <v>81</v>
      </c>
    </row>
    <row r="7" spans="1:2" x14ac:dyDescent="0.25">
      <c r="A7" t="s">
        <v>82</v>
      </c>
      <c r="B7" t="s">
        <v>83</v>
      </c>
    </row>
    <row r="8" spans="1:2" x14ac:dyDescent="0.25">
      <c r="A8" t="s">
        <v>84</v>
      </c>
      <c r="B8" t="s">
        <v>85</v>
      </c>
    </row>
    <row r="9" spans="1:2" x14ac:dyDescent="0.25">
      <c r="A9" t="s">
        <v>86</v>
      </c>
      <c r="B9" t="s">
        <v>87</v>
      </c>
    </row>
    <row r="10" spans="1:2" x14ac:dyDescent="0.25">
      <c r="A10" t="s">
        <v>88</v>
      </c>
      <c r="B10" t="s">
        <v>89</v>
      </c>
    </row>
    <row r="11" spans="1:2" ht="15.6" customHeight="1" thickBot="1" x14ac:dyDescent="0.3">
      <c r="A11" t="s">
        <v>90</v>
      </c>
      <c r="B11" t="s">
        <v>91</v>
      </c>
    </row>
    <row r="12" spans="1:2" x14ac:dyDescent="0.25">
      <c r="A12" s="88" t="s">
        <v>92</v>
      </c>
      <c r="B12" s="89" t="s">
        <v>93</v>
      </c>
    </row>
    <row r="13" spans="1:2" ht="15.6" customHeight="1" thickBot="1" x14ac:dyDescent="0.3">
      <c r="A13" s="90" t="s">
        <v>94</v>
      </c>
      <c r="B13" s="91" t="s">
        <v>95</v>
      </c>
    </row>
    <row r="14" spans="1:2" ht="15.6" customHeight="1" thickBot="1" x14ac:dyDescent="0.3">
      <c r="A14" t="s">
        <v>96</v>
      </c>
      <c r="B14" t="s">
        <v>97</v>
      </c>
    </row>
    <row r="15" spans="1:2" x14ac:dyDescent="0.25">
      <c r="A15" s="88" t="s">
        <v>98</v>
      </c>
      <c r="B15" s="89" t="s">
        <v>99</v>
      </c>
    </row>
    <row r="16" spans="1:2" ht="15.6" customHeight="1" thickBot="1" x14ac:dyDescent="0.3">
      <c r="A16" s="90" t="s">
        <v>100</v>
      </c>
      <c r="B16" s="91" t="s">
        <v>101</v>
      </c>
    </row>
    <row r="17" spans="1:3" x14ac:dyDescent="0.25">
      <c r="A17" s="88" t="s">
        <v>102</v>
      </c>
      <c r="B17" s="89" t="s">
        <v>103</v>
      </c>
    </row>
    <row r="18" spans="1:3" ht="15.6" customHeight="1" thickBot="1" x14ac:dyDescent="0.3">
      <c r="A18" s="90" t="s">
        <v>104</v>
      </c>
      <c r="B18" s="91" t="s">
        <v>105</v>
      </c>
    </row>
    <row r="19" spans="1:3" x14ac:dyDescent="0.25">
      <c r="A19" t="s">
        <v>106</v>
      </c>
      <c r="B19" t="s">
        <v>107</v>
      </c>
    </row>
    <row r="20" spans="1:3" x14ac:dyDescent="0.25">
      <c r="A20" t="s">
        <v>108</v>
      </c>
      <c r="B20" t="s">
        <v>109</v>
      </c>
    </row>
    <row r="21" spans="1:3" x14ac:dyDescent="0.25">
      <c r="A21" t="s">
        <v>110</v>
      </c>
      <c r="B21" t="s">
        <v>111</v>
      </c>
    </row>
    <row r="22" spans="1:3" x14ac:dyDescent="0.25">
      <c r="A22" t="s">
        <v>112</v>
      </c>
      <c r="B22" t="s">
        <v>113</v>
      </c>
    </row>
    <row r="23" spans="1:3" x14ac:dyDescent="0.25">
      <c r="A23" t="s">
        <v>114</v>
      </c>
      <c r="B23" t="s">
        <v>115</v>
      </c>
    </row>
    <row r="24" spans="1:3" x14ac:dyDescent="0.25">
      <c r="A24" t="s">
        <v>116</v>
      </c>
      <c r="B24" t="s">
        <v>50</v>
      </c>
    </row>
    <row r="25" spans="1:3" ht="15.6" customHeight="1" thickBot="1" x14ac:dyDescent="0.3">
      <c r="A25" t="s">
        <v>117</v>
      </c>
      <c r="B25" t="s">
        <v>118</v>
      </c>
      <c r="C25" s="79"/>
    </row>
    <row r="26" spans="1:3" x14ac:dyDescent="0.25">
      <c r="A26" s="88" t="s">
        <v>119</v>
      </c>
      <c r="B26" s="89" t="s">
        <v>120</v>
      </c>
    </row>
    <row r="27" spans="1:3" x14ac:dyDescent="0.25">
      <c r="A27" s="92" t="s">
        <v>121</v>
      </c>
      <c r="B27" s="93" t="s">
        <v>122</v>
      </c>
    </row>
    <row r="28" spans="1:3" ht="15.6" customHeight="1" thickBot="1" x14ac:dyDescent="0.3">
      <c r="A28" s="90" t="s">
        <v>123</v>
      </c>
      <c r="B28" s="91" t="s">
        <v>124</v>
      </c>
    </row>
    <row r="29" spans="1:3" x14ac:dyDescent="0.25">
      <c r="A29" t="s">
        <v>125</v>
      </c>
      <c r="B29" t="s">
        <v>126</v>
      </c>
      <c r="C29" s="79"/>
    </row>
    <row r="30" spans="1:3" x14ac:dyDescent="0.25">
      <c r="A30" t="s">
        <v>127</v>
      </c>
      <c r="B30" t="s">
        <v>128</v>
      </c>
    </row>
    <row r="31" spans="1:3" x14ac:dyDescent="0.25">
      <c r="A31" t="s">
        <v>129</v>
      </c>
      <c r="B31" t="s">
        <v>53</v>
      </c>
    </row>
    <row r="32" spans="1:3" x14ac:dyDescent="0.25">
      <c r="A32" t="s">
        <v>130</v>
      </c>
      <c r="B32" t="s">
        <v>131</v>
      </c>
    </row>
    <row r="33" spans="1:2" x14ac:dyDescent="0.25">
      <c r="A33" t="s">
        <v>132</v>
      </c>
      <c r="B33" t="s">
        <v>133</v>
      </c>
    </row>
    <row r="34" spans="1:2" x14ac:dyDescent="0.25">
      <c r="A34" t="s">
        <v>134</v>
      </c>
      <c r="B34" t="s">
        <v>135</v>
      </c>
    </row>
    <row r="35" spans="1:2" x14ac:dyDescent="0.25">
      <c r="A35" t="s">
        <v>136</v>
      </c>
      <c r="B35" t="s">
        <v>137</v>
      </c>
    </row>
    <row r="36" spans="1:2" x14ac:dyDescent="0.25">
      <c r="A36" t="s">
        <v>138</v>
      </c>
      <c r="B36" t="s">
        <v>139</v>
      </c>
    </row>
    <row r="37" spans="1:2" x14ac:dyDescent="0.25">
      <c r="A37" t="s">
        <v>140</v>
      </c>
      <c r="B37" t="s">
        <v>141</v>
      </c>
    </row>
    <row r="38" spans="1:2" x14ac:dyDescent="0.25">
      <c r="A38" t="s">
        <v>142</v>
      </c>
      <c r="B38" t="s">
        <v>59</v>
      </c>
    </row>
    <row r="39" spans="1:2" x14ac:dyDescent="0.25">
      <c r="A39" t="s">
        <v>143</v>
      </c>
      <c r="B39" t="s">
        <v>144</v>
      </c>
    </row>
    <row r="40" spans="1:2" x14ac:dyDescent="0.25">
      <c r="A40" t="s">
        <v>145</v>
      </c>
      <c r="B40" t="s">
        <v>146</v>
      </c>
    </row>
    <row r="41" spans="1:2" x14ac:dyDescent="0.25">
      <c r="A41" t="s">
        <v>147</v>
      </c>
      <c r="B41" t="s">
        <v>148</v>
      </c>
    </row>
    <row r="42" spans="1:2" x14ac:dyDescent="0.25">
      <c r="A42" t="s">
        <v>149</v>
      </c>
      <c r="B42" t="s">
        <v>63</v>
      </c>
    </row>
    <row r="43" spans="1:2" x14ac:dyDescent="0.25">
      <c r="A43" t="s">
        <v>150</v>
      </c>
      <c r="B43" t="s">
        <v>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heetViews>
  <sheetFormatPr defaultRowHeight="15" x14ac:dyDescent="0.25"/>
  <cols>
    <col min="1" max="1" width="10.7109375" bestFit="1" customWidth="1"/>
  </cols>
  <sheetData>
    <row r="1" spans="1:7" x14ac:dyDescent="0.25">
      <c r="B1" s="2" t="s">
        <v>67</v>
      </c>
      <c r="C1" s="2" t="s">
        <v>65</v>
      </c>
      <c r="D1" s="2" t="s">
        <v>66</v>
      </c>
      <c r="E1" s="2" t="s">
        <v>68</v>
      </c>
      <c r="F1" s="2" t="s">
        <v>40</v>
      </c>
      <c r="G1" s="2" t="s">
        <v>69</v>
      </c>
    </row>
    <row r="2" spans="1:7" x14ac:dyDescent="0.25">
      <c r="A2" t="s">
        <v>152</v>
      </c>
      <c r="B2" t="str">
        <f>'OECD Mapping'!B22</f>
        <v>ISIC 28</v>
      </c>
      <c r="C2" t="str">
        <f>'OECD Mapping'!B22</f>
        <v>ISIC 28</v>
      </c>
      <c r="D2" t="str">
        <f>'OECD Mapping'!B29</f>
        <v>ISIC 41T43</v>
      </c>
      <c r="E2" t="str">
        <f>'OECD Mapping'!B21</f>
        <v>ISIC 27</v>
      </c>
      <c r="F2" t="str">
        <f>'OECD Mapping'!B21</f>
        <v>ISIC 27</v>
      </c>
      <c r="G2" t="str">
        <f>'OECD Mapping'!B21</f>
        <v>ISIC 27</v>
      </c>
    </row>
    <row r="3" spans="1:7" x14ac:dyDescent="0.25">
      <c r="A3" t="s">
        <v>153</v>
      </c>
      <c r="B3" t="str">
        <f>'OECD Mapping'!B29</f>
        <v>ISIC 41T43</v>
      </c>
      <c r="C3" t="str">
        <f>'OECD Mapping'!B29</f>
        <v>ISIC 41T43</v>
      </c>
      <c r="D3" t="str">
        <f>'OECD Mapping'!B29</f>
        <v>ISIC 41T43</v>
      </c>
      <c r="E3" t="str">
        <f>'OECD Mapping'!B29</f>
        <v>ISIC 41T43</v>
      </c>
      <c r="F3" t="str">
        <f>'OECD Mapping'!B29</f>
        <v>ISIC 41T43</v>
      </c>
      <c r="G3" t="str">
        <f>'OECD Mapping'!B29</f>
        <v>ISIC 41T43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4"/>
  <sheetViews>
    <sheetView zoomScale="90" zoomScaleNormal="90" workbookViewId="0">
      <selection activeCell="D6" sqref="D6"/>
    </sheetView>
  </sheetViews>
  <sheetFormatPr defaultRowHeight="15" x14ac:dyDescent="0.25"/>
  <cols>
    <col min="1" max="1" width="20.7109375" customWidth="1"/>
    <col min="2" max="2" width="30.140625" customWidth="1"/>
    <col min="3" max="3" width="18.42578125" style="53" customWidth="1"/>
    <col min="4" max="4" width="17.85546875" customWidth="1"/>
    <col min="5" max="5" width="16" style="53" customWidth="1"/>
    <col min="6" max="7" width="16" customWidth="1"/>
    <col min="8" max="8" width="38" customWidth="1"/>
  </cols>
  <sheetData>
    <row r="1" spans="1:9" x14ac:dyDescent="0.25">
      <c r="A1" s="100" t="s">
        <v>154</v>
      </c>
      <c r="B1" s="101"/>
      <c r="C1" s="102"/>
      <c r="D1" s="101"/>
      <c r="E1" s="102"/>
      <c r="F1" s="101"/>
      <c r="G1" s="101"/>
      <c r="H1" s="101"/>
      <c r="I1" s="52"/>
    </row>
    <row r="2" spans="1:9" x14ac:dyDescent="0.25">
      <c r="H2" s="47"/>
      <c r="I2" s="52"/>
    </row>
    <row r="3" spans="1:9" ht="44.25" customHeight="1" x14ac:dyDescent="0.25">
      <c r="A3" s="2"/>
      <c r="B3" s="4" t="s">
        <v>155</v>
      </c>
      <c r="C3" s="61" t="s">
        <v>156</v>
      </c>
      <c r="D3" s="47" t="s">
        <v>157</v>
      </c>
      <c r="E3" s="61" t="s">
        <v>158</v>
      </c>
      <c r="F3" s="61" t="s">
        <v>159</v>
      </c>
      <c r="H3" s="2" t="s">
        <v>160</v>
      </c>
      <c r="I3" s="54" t="s">
        <v>161</v>
      </c>
    </row>
    <row r="4" spans="1:9" x14ac:dyDescent="0.25">
      <c r="A4" s="63" t="s">
        <v>162</v>
      </c>
      <c r="B4" s="83"/>
      <c r="C4" s="73"/>
      <c r="D4" s="74">
        <f>SUM(D5:D13)</f>
        <v>1</v>
      </c>
      <c r="E4" s="73">
        <f>SUM(E5:E13)</f>
        <v>0.55028127086837375</v>
      </c>
      <c r="F4" s="73">
        <f>1-E4</f>
        <v>0.44971872913162625</v>
      </c>
      <c r="H4" s="1" t="s">
        <v>5</v>
      </c>
      <c r="I4" s="52" t="s">
        <v>163</v>
      </c>
    </row>
    <row r="5" spans="1:9" x14ac:dyDescent="0.25">
      <c r="A5" t="s">
        <v>162</v>
      </c>
      <c r="B5" s="4" t="s">
        <v>164</v>
      </c>
      <c r="C5" s="53">
        <v>0.74328168046590104</v>
      </c>
      <c r="D5" s="55">
        <f>'Summary_Res Appliances'!G6</f>
        <v>0.15713893826111072</v>
      </c>
      <c r="E5" s="53">
        <f t="shared" ref="E5:E13" si="0">D5*C5</f>
        <v>0.11679849409734586</v>
      </c>
      <c r="F5" s="53"/>
      <c r="H5" s="1" t="s">
        <v>5</v>
      </c>
      <c r="I5" s="52" t="s">
        <v>163</v>
      </c>
    </row>
    <row r="6" spans="1:9" x14ac:dyDescent="0.25">
      <c r="A6" t="s">
        <v>162</v>
      </c>
      <c r="B6" s="4" t="s">
        <v>165</v>
      </c>
      <c r="C6" s="53">
        <v>0.59090909090909094</v>
      </c>
      <c r="D6" s="55">
        <f>'Summary_Res Appliances'!G7</f>
        <v>0.24672281666159451</v>
      </c>
      <c r="E6" s="53">
        <f t="shared" si="0"/>
        <v>0.14579075530003313</v>
      </c>
      <c r="F6" s="53"/>
      <c r="H6" s="1" t="s">
        <v>5</v>
      </c>
      <c r="I6" s="52" t="s">
        <v>163</v>
      </c>
    </row>
    <row r="7" spans="1:9" x14ac:dyDescent="0.25">
      <c r="A7" t="s">
        <v>162</v>
      </c>
      <c r="B7" s="4" t="s">
        <v>166</v>
      </c>
      <c r="D7" s="55">
        <f>'Summary_Res Appliances'!G8</f>
        <v>0</v>
      </c>
      <c r="E7" s="53">
        <f t="shared" si="0"/>
        <v>0</v>
      </c>
      <c r="F7" s="53"/>
      <c r="H7" s="1" t="s">
        <v>5</v>
      </c>
      <c r="I7" s="52" t="s">
        <v>163</v>
      </c>
    </row>
    <row r="8" spans="1:9" x14ac:dyDescent="0.25">
      <c r="A8" t="s">
        <v>162</v>
      </c>
      <c r="B8" s="4" t="s">
        <v>167</v>
      </c>
      <c r="C8" s="53">
        <v>0.48259279428330071</v>
      </c>
      <c r="D8" s="55">
        <f>'Summary_Res Appliances'!G9</f>
        <v>0.59613824507729474</v>
      </c>
      <c r="E8" s="53">
        <f t="shared" si="0"/>
        <v>0.28769202147099482</v>
      </c>
      <c r="F8" s="53"/>
      <c r="H8" s="1" t="s">
        <v>5</v>
      </c>
      <c r="I8" s="52" t="s">
        <v>163</v>
      </c>
    </row>
    <row r="9" spans="1:9" x14ac:dyDescent="0.25">
      <c r="A9" t="s">
        <v>162</v>
      </c>
      <c r="B9" s="4" t="s">
        <v>168</v>
      </c>
      <c r="D9" s="55">
        <f>'Summary_Res Appliances'!G10</f>
        <v>0</v>
      </c>
      <c r="E9" s="53">
        <f t="shared" si="0"/>
        <v>0</v>
      </c>
      <c r="F9" s="53"/>
      <c r="H9" s="1" t="s">
        <v>5</v>
      </c>
      <c r="I9" s="52" t="s">
        <v>163</v>
      </c>
    </row>
    <row r="10" spans="1:9" x14ac:dyDescent="0.25">
      <c r="A10" t="s">
        <v>162</v>
      </c>
      <c r="B10" s="4" t="s">
        <v>169</v>
      </c>
      <c r="D10" s="55">
        <f>'Summary_Res Appliances'!G11</f>
        <v>0</v>
      </c>
      <c r="E10" s="53">
        <f t="shared" si="0"/>
        <v>0</v>
      </c>
      <c r="F10" s="53"/>
      <c r="H10" s="1" t="s">
        <v>5</v>
      </c>
      <c r="I10" s="52" t="s">
        <v>163</v>
      </c>
    </row>
    <row r="11" spans="1:9" x14ac:dyDescent="0.25">
      <c r="A11" t="s">
        <v>162</v>
      </c>
      <c r="B11" s="4" t="s">
        <v>170</v>
      </c>
      <c r="D11" s="55">
        <f>'Summary_Res Appliances'!G12</f>
        <v>0</v>
      </c>
      <c r="E11" s="53">
        <f t="shared" si="0"/>
        <v>0</v>
      </c>
      <c r="F11" s="53"/>
      <c r="H11" s="1" t="s">
        <v>5</v>
      </c>
      <c r="I11" s="52" t="s">
        <v>163</v>
      </c>
    </row>
    <row r="12" spans="1:9" x14ac:dyDescent="0.25">
      <c r="A12" t="s">
        <v>162</v>
      </c>
      <c r="B12" s="4" t="s">
        <v>171</v>
      </c>
      <c r="D12" s="55">
        <f>'Summary_Res Appliances'!G13</f>
        <v>0</v>
      </c>
      <c r="E12" s="53">
        <f t="shared" si="0"/>
        <v>0</v>
      </c>
      <c r="F12" s="53"/>
      <c r="H12" s="1" t="s">
        <v>5</v>
      </c>
      <c r="I12" s="52" t="s">
        <v>163</v>
      </c>
    </row>
    <row r="13" spans="1:9" x14ac:dyDescent="0.25">
      <c r="A13" t="s">
        <v>162</v>
      </c>
      <c r="B13" s="4" t="s">
        <v>172</v>
      </c>
      <c r="D13" s="55">
        <f>'Summary_Res Appliances'!G14</f>
        <v>0</v>
      </c>
      <c r="E13" s="53">
        <f t="shared" si="0"/>
        <v>0</v>
      </c>
      <c r="F13" s="53"/>
      <c r="H13" s="1" t="s">
        <v>5</v>
      </c>
      <c r="I13" s="52" t="s">
        <v>163</v>
      </c>
    </row>
    <row r="14" spans="1:9" x14ac:dyDescent="0.25">
      <c r="A14" s="63" t="s">
        <v>173</v>
      </c>
      <c r="B14" s="83"/>
      <c r="C14" s="73"/>
      <c r="D14" s="74">
        <f>SUM(D15:D19)</f>
        <v>0.99999999999999989</v>
      </c>
      <c r="E14" s="73">
        <f>SUM(E15:E19)</f>
        <v>0.73624568720161232</v>
      </c>
      <c r="F14" s="73">
        <f>1-E14</f>
        <v>0.26375431279838768</v>
      </c>
      <c r="H14" s="1" t="s">
        <v>5</v>
      </c>
      <c r="I14" s="52" t="s">
        <v>163</v>
      </c>
    </row>
    <row r="15" spans="1:9" x14ac:dyDescent="0.25">
      <c r="A15" t="s">
        <v>173</v>
      </c>
      <c r="B15" s="4" t="s">
        <v>164</v>
      </c>
      <c r="C15" s="53">
        <v>0.74328168046590104</v>
      </c>
      <c r="D15" s="55">
        <f>'Summary_Res Appliances'!G17</f>
        <v>0.12261684060152322</v>
      </c>
      <c r="E15" s="53">
        <f>D15*C15</f>
        <v>9.1138851335719709E-2</v>
      </c>
      <c r="F15" s="53"/>
      <c r="H15" s="1" t="s">
        <v>5</v>
      </c>
      <c r="I15" s="52" t="s">
        <v>163</v>
      </c>
    </row>
    <row r="16" spans="1:9" x14ac:dyDescent="0.25">
      <c r="A16" t="s">
        <v>173</v>
      </c>
      <c r="B16" s="4" t="s">
        <v>166</v>
      </c>
      <c r="D16" s="55">
        <f>'Summary_Res Appliances'!G18</f>
        <v>0</v>
      </c>
      <c r="E16" s="53">
        <f>D16*C16</f>
        <v>0</v>
      </c>
      <c r="F16" s="53"/>
      <c r="H16" s="1" t="s">
        <v>5</v>
      </c>
      <c r="I16" s="52" t="s">
        <v>163</v>
      </c>
    </row>
    <row r="17" spans="1:9" x14ac:dyDescent="0.25">
      <c r="A17" t="s">
        <v>173</v>
      </c>
      <c r="B17" s="4" t="s">
        <v>172</v>
      </c>
      <c r="D17" s="55">
        <f>'Summary_Res Appliances'!G19</f>
        <v>0</v>
      </c>
      <c r="E17" s="53">
        <f>D17*C17</f>
        <v>0</v>
      </c>
      <c r="F17" s="53"/>
      <c r="H17" s="1" t="s">
        <v>5</v>
      </c>
      <c r="I17" s="52" t="s">
        <v>163</v>
      </c>
    </row>
    <row r="18" spans="1:9" x14ac:dyDescent="0.25">
      <c r="A18" t="s">
        <v>173</v>
      </c>
      <c r="B18" s="4" t="s">
        <v>174</v>
      </c>
      <c r="C18" s="53">
        <v>0.66273252196355514</v>
      </c>
      <c r="D18" s="55">
        <f>'Summary_Res Appliances'!G20</f>
        <v>0.57118910892681674</v>
      </c>
      <c r="E18" s="53">
        <f>D18*C18</f>
        <v>0.37854559867718507</v>
      </c>
      <c r="F18" s="53"/>
      <c r="H18" s="1" t="s">
        <v>5</v>
      </c>
      <c r="I18" s="52" t="s">
        <v>163</v>
      </c>
    </row>
    <row r="19" spans="1:9" x14ac:dyDescent="0.25">
      <c r="A19" t="s">
        <v>173</v>
      </c>
      <c r="B19" s="4" t="s">
        <v>175</v>
      </c>
      <c r="C19" s="53">
        <v>0.87056308500474699</v>
      </c>
      <c r="D19" s="55">
        <f>'Summary_Res Appliances'!G21</f>
        <v>0.30619405047165993</v>
      </c>
      <c r="E19" s="53">
        <f>D19*C19</f>
        <v>0.2665612371887075</v>
      </c>
      <c r="F19" s="53"/>
      <c r="H19" s="1" t="s">
        <v>5</v>
      </c>
      <c r="I19" s="52" t="s">
        <v>163</v>
      </c>
    </row>
    <row r="20" spans="1:9" x14ac:dyDescent="0.25">
      <c r="A20" s="63" t="s">
        <v>176</v>
      </c>
      <c r="B20" s="83"/>
      <c r="C20" s="73"/>
      <c r="D20" s="65"/>
      <c r="E20" s="73">
        <f>SUM(E21:E25)</f>
        <v>0.55741273606425101</v>
      </c>
      <c r="F20" s="73">
        <f>1-E20</f>
        <v>0.44258726393574899</v>
      </c>
      <c r="H20" s="1" t="s">
        <v>5</v>
      </c>
      <c r="I20" s="52" t="s">
        <v>163</v>
      </c>
    </row>
    <row r="21" spans="1:9" x14ac:dyDescent="0.25">
      <c r="A21" t="s">
        <v>176</v>
      </c>
      <c r="B21" s="4" t="s">
        <v>177</v>
      </c>
      <c r="C21" s="53">
        <v>0.56212604835788094</v>
      </c>
      <c r="D21" s="55">
        <f>'Summary_Res Appliances'!G24</f>
        <v>0.48965433368415406</v>
      </c>
      <c r="E21" s="53">
        <f>D21*C21</f>
        <v>0.27524745565518477</v>
      </c>
      <c r="F21" s="53"/>
      <c r="H21" s="1" t="s">
        <v>5</v>
      </c>
      <c r="I21" s="52" t="s">
        <v>163</v>
      </c>
    </row>
    <row r="22" spans="1:9" x14ac:dyDescent="0.25">
      <c r="A22" t="s">
        <v>176</v>
      </c>
      <c r="B22" s="4" t="s">
        <v>178</v>
      </c>
      <c r="C22" s="53">
        <v>0.55289051917693366</v>
      </c>
      <c r="D22" s="55">
        <f>'Summary_Res Appliances'!G25</f>
        <v>0.51034566631584599</v>
      </c>
      <c r="E22" s="53">
        <f>D22*C22</f>
        <v>0.28216528040906624</v>
      </c>
      <c r="F22" s="53"/>
      <c r="H22" s="1" t="s">
        <v>5</v>
      </c>
      <c r="I22" s="52" t="s">
        <v>163</v>
      </c>
    </row>
    <row r="23" spans="1:9" x14ac:dyDescent="0.25">
      <c r="A23" t="s">
        <v>176</v>
      </c>
      <c r="B23" s="4" t="s">
        <v>168</v>
      </c>
      <c r="D23" s="55">
        <f>'Summary_Res Appliances'!G26</f>
        <v>0</v>
      </c>
      <c r="E23" s="53">
        <f>D23*C23</f>
        <v>0</v>
      </c>
      <c r="F23" s="53"/>
      <c r="H23" s="1" t="s">
        <v>5</v>
      </c>
      <c r="I23" s="52" t="s">
        <v>163</v>
      </c>
    </row>
    <row r="24" spans="1:9" x14ac:dyDescent="0.25">
      <c r="A24" t="s">
        <v>176</v>
      </c>
      <c r="B24" s="4" t="s">
        <v>169</v>
      </c>
      <c r="D24" s="55">
        <f>'Summary_Res Appliances'!G27</f>
        <v>0</v>
      </c>
      <c r="E24" s="53">
        <f>D24*C24</f>
        <v>0</v>
      </c>
      <c r="F24" s="53"/>
      <c r="H24" s="1" t="s">
        <v>5</v>
      </c>
      <c r="I24" s="52" t="s">
        <v>163</v>
      </c>
    </row>
    <row r="25" spans="1:9" x14ac:dyDescent="0.25">
      <c r="A25" t="s">
        <v>176</v>
      </c>
      <c r="B25" s="4" t="s">
        <v>179</v>
      </c>
      <c r="D25" s="55">
        <f>'Summary_Res Appliances'!G28</f>
        <v>0</v>
      </c>
      <c r="E25" s="53">
        <f>D25*C25</f>
        <v>0</v>
      </c>
      <c r="F25" s="53"/>
      <c r="H25" s="1" t="s">
        <v>5</v>
      </c>
      <c r="I25" s="52" t="s">
        <v>163</v>
      </c>
    </row>
    <row r="26" spans="1:9" x14ac:dyDescent="0.25">
      <c r="A26" s="63" t="s">
        <v>180</v>
      </c>
      <c r="B26" s="83"/>
      <c r="C26" s="73"/>
      <c r="D26" s="65"/>
      <c r="E26" s="73">
        <f>SUM(E27:E30)</f>
        <v>0.83324328835476835</v>
      </c>
      <c r="F26" s="73">
        <f>1-E26</f>
        <v>0.16675671164523165</v>
      </c>
      <c r="H26" s="1" t="s">
        <v>5</v>
      </c>
      <c r="I26" s="52" t="s">
        <v>163</v>
      </c>
    </row>
    <row r="27" spans="1:9" x14ac:dyDescent="0.25">
      <c r="A27" t="s">
        <v>180</v>
      </c>
      <c r="B27" s="4" t="s">
        <v>177</v>
      </c>
      <c r="D27" s="55">
        <f>'Summary_Res Appliances'!G31</f>
        <v>0</v>
      </c>
      <c r="E27" s="53">
        <f>D27*C27</f>
        <v>0</v>
      </c>
      <c r="F27" s="53"/>
      <c r="H27" s="1" t="s">
        <v>5</v>
      </c>
      <c r="I27" s="52" t="s">
        <v>163</v>
      </c>
    </row>
    <row r="28" spans="1:9" x14ac:dyDescent="0.25">
      <c r="A28" t="s">
        <v>180</v>
      </c>
      <c r="B28" s="4" t="s">
        <v>178</v>
      </c>
      <c r="C28" s="53">
        <v>0.83324328835476835</v>
      </c>
      <c r="D28" s="55">
        <f>'Summary_Res Appliances'!G32</f>
        <v>1</v>
      </c>
      <c r="E28" s="53">
        <f>D28*C28</f>
        <v>0.83324328835476835</v>
      </c>
      <c r="F28" s="53"/>
      <c r="H28" s="1" t="s">
        <v>5</v>
      </c>
      <c r="I28" s="52" t="s">
        <v>163</v>
      </c>
    </row>
    <row r="29" spans="1:9" x14ac:dyDescent="0.25">
      <c r="A29" t="s">
        <v>180</v>
      </c>
      <c r="B29" s="4" t="s">
        <v>178</v>
      </c>
      <c r="C29" s="53">
        <v>0.7013263263263263</v>
      </c>
      <c r="D29" s="55">
        <f>'Summary_Res Appliances'!G33</f>
        <v>0</v>
      </c>
      <c r="E29" s="53">
        <f>D29*C29</f>
        <v>0</v>
      </c>
      <c r="F29" s="53"/>
      <c r="H29" s="1" t="s">
        <v>5</v>
      </c>
      <c r="I29" s="52" t="s">
        <v>163</v>
      </c>
    </row>
    <row r="30" spans="1:9" x14ac:dyDescent="0.25">
      <c r="A30" t="s">
        <v>180</v>
      </c>
      <c r="B30" s="4" t="s">
        <v>169</v>
      </c>
      <c r="D30" s="55">
        <f>'Summary_Res Appliances'!G34</f>
        <v>0</v>
      </c>
      <c r="E30" s="53">
        <f>D30*C30</f>
        <v>0</v>
      </c>
      <c r="F30" s="53"/>
      <c r="H30" s="1" t="s">
        <v>5</v>
      </c>
      <c r="I30" s="52" t="s">
        <v>163</v>
      </c>
    </row>
    <row r="31" spans="1:9" x14ac:dyDescent="0.25">
      <c r="A31" s="63" t="s">
        <v>181</v>
      </c>
      <c r="B31" s="83"/>
      <c r="C31" s="73"/>
      <c r="D31" s="74"/>
      <c r="E31" s="73">
        <f>SUM(E32:E33)</f>
        <v>0.80462210223455799</v>
      </c>
      <c r="F31" s="73">
        <f>1-E31</f>
        <v>0.19537789776544201</v>
      </c>
      <c r="H31" s="1" t="s">
        <v>5</v>
      </c>
      <c r="I31" s="52" t="s">
        <v>163</v>
      </c>
    </row>
    <row r="32" spans="1:9" x14ac:dyDescent="0.25">
      <c r="A32" t="s">
        <v>181</v>
      </c>
      <c r="B32" s="4" t="s">
        <v>177</v>
      </c>
      <c r="C32" s="53">
        <v>0.81320281610557366</v>
      </c>
      <c r="D32" s="55">
        <f>'Summary_Res Appliances'!G36</f>
        <v>0.8229921123922751</v>
      </c>
      <c r="E32" s="53">
        <f>D32*C32</f>
        <v>0.6692595034300729</v>
      </c>
      <c r="F32" s="53"/>
      <c r="H32" s="1" t="s">
        <v>5</v>
      </c>
      <c r="I32" s="52" t="s">
        <v>163</v>
      </c>
    </row>
    <row r="33" spans="1:9" x14ac:dyDescent="0.25">
      <c r="A33" t="s">
        <v>181</v>
      </c>
      <c r="B33" s="4" t="s">
        <v>178</v>
      </c>
      <c r="C33" s="53">
        <v>0.76472644164951853</v>
      </c>
      <c r="D33" s="55">
        <f>'Summary_Res Appliances'!G37</f>
        <v>0.17700787030785456</v>
      </c>
      <c r="E33" s="53">
        <f>D33*C33</f>
        <v>0.13536259880448509</v>
      </c>
      <c r="F33" s="53"/>
      <c r="H33" s="1" t="s">
        <v>5</v>
      </c>
      <c r="I33" s="52" t="s">
        <v>163</v>
      </c>
    </row>
    <row r="34" spans="1:9" x14ac:dyDescent="0.25">
      <c r="A34" s="63" t="s">
        <v>182</v>
      </c>
      <c r="B34" s="83"/>
      <c r="C34" s="73"/>
      <c r="D34" s="74"/>
      <c r="E34" s="73">
        <f>AVERAGE(C35:C38)</f>
        <v>0.82212755110300573</v>
      </c>
      <c r="F34" s="73">
        <f>1-E34</f>
        <v>0.17787244889699427</v>
      </c>
      <c r="H34" s="1"/>
      <c r="I34" s="52"/>
    </row>
    <row r="35" spans="1:9" x14ac:dyDescent="0.25">
      <c r="A35" t="s">
        <v>40</v>
      </c>
      <c r="C35" s="53">
        <v>1</v>
      </c>
      <c r="H35" s="1" t="s">
        <v>5</v>
      </c>
      <c r="I35" s="52" t="s">
        <v>163</v>
      </c>
    </row>
    <row r="36" spans="1:9" x14ac:dyDescent="0.25">
      <c r="A36" t="s">
        <v>40</v>
      </c>
      <c r="C36" s="53">
        <v>0.65163559735793475</v>
      </c>
      <c r="H36" s="1" t="s">
        <v>5</v>
      </c>
      <c r="I36" s="52" t="s">
        <v>163</v>
      </c>
    </row>
    <row r="37" spans="1:9" x14ac:dyDescent="0.25">
      <c r="A37" t="s">
        <v>40</v>
      </c>
      <c r="C37" s="53">
        <v>0.81848666330839515</v>
      </c>
      <c r="H37" s="1" t="s">
        <v>5</v>
      </c>
      <c r="I37" s="52" t="s">
        <v>163</v>
      </c>
    </row>
    <row r="38" spans="1:9" x14ac:dyDescent="0.25">
      <c r="A38" t="s">
        <v>40</v>
      </c>
      <c r="C38" s="53">
        <v>0.8183879437456929</v>
      </c>
      <c r="H38" s="1" t="s">
        <v>5</v>
      </c>
      <c r="I38" s="52" t="s">
        <v>163</v>
      </c>
    </row>
    <row r="39" spans="1:9" x14ac:dyDescent="0.25">
      <c r="A39" s="63" t="s">
        <v>68</v>
      </c>
      <c r="B39" s="65"/>
      <c r="C39" s="73">
        <v>1</v>
      </c>
      <c r="D39" s="65"/>
      <c r="E39" s="73">
        <f>C39</f>
        <v>1</v>
      </c>
      <c r="F39" s="73">
        <f>1-E39</f>
        <v>0</v>
      </c>
      <c r="H39" s="1" t="s">
        <v>5</v>
      </c>
      <c r="I39" s="52" t="s">
        <v>163</v>
      </c>
    </row>
    <row r="40" spans="1:9" x14ac:dyDescent="0.25">
      <c r="A40" s="2"/>
      <c r="F40" s="53"/>
      <c r="H40" s="1"/>
      <c r="I40" s="52"/>
    </row>
    <row r="41" spans="1:9" x14ac:dyDescent="0.25">
      <c r="A41" s="63" t="s">
        <v>183</v>
      </c>
      <c r="B41" s="63"/>
      <c r="C41" s="80"/>
      <c r="D41" s="63"/>
      <c r="E41" s="80">
        <f>AVERAGE(E31,E34,E26,E20)</f>
        <v>0.75435141943914585</v>
      </c>
      <c r="F41" s="72">
        <f>1-E41</f>
        <v>0.24564858056085415</v>
      </c>
    </row>
    <row r="43" spans="1:9" x14ac:dyDescent="0.25">
      <c r="A43" s="100" t="s">
        <v>184</v>
      </c>
      <c r="B43" s="101"/>
      <c r="C43" s="102"/>
      <c r="D43" s="101"/>
      <c r="E43" s="102"/>
      <c r="F43" s="101"/>
      <c r="G43" s="101"/>
      <c r="H43" s="101"/>
    </row>
    <row r="44" spans="1:9" ht="44.25" customHeight="1" x14ac:dyDescent="0.25">
      <c r="A44" s="2"/>
      <c r="B44" s="2"/>
      <c r="C44" s="61" t="s">
        <v>156</v>
      </c>
      <c r="D44" s="47" t="s">
        <v>157</v>
      </c>
      <c r="E44" s="61" t="s">
        <v>158</v>
      </c>
      <c r="F44" s="61" t="s">
        <v>159</v>
      </c>
      <c r="H44" s="2" t="s">
        <v>160</v>
      </c>
      <c r="I44" s="54" t="s">
        <v>161</v>
      </c>
    </row>
    <row r="45" spans="1:9" x14ac:dyDescent="0.25">
      <c r="A45" s="63" t="s">
        <v>185</v>
      </c>
      <c r="B45" s="63"/>
      <c r="C45" s="68"/>
      <c r="D45" s="69"/>
      <c r="E45" s="70">
        <f>SUM(E46,E54,E62)</f>
        <v>0.70398750275034405</v>
      </c>
      <c r="F45" s="68">
        <f>1-E45</f>
        <v>0.29601249724965595</v>
      </c>
      <c r="H45" s="1" t="s">
        <v>5</v>
      </c>
      <c r="I45" s="52" t="s">
        <v>163</v>
      </c>
    </row>
    <row r="46" spans="1:9" x14ac:dyDescent="0.25">
      <c r="A46" s="59" t="s">
        <v>186</v>
      </c>
      <c r="B46" s="36"/>
      <c r="C46" s="59"/>
      <c r="D46" s="35">
        <f>'Summary_Com Appliances'!E3</f>
        <v>0.34719120903556966</v>
      </c>
      <c r="E46" s="60">
        <f>(AVERAGE(C48:C51)*D46)</f>
        <v>0.2842135132599371</v>
      </c>
      <c r="F46" s="57">
        <f>1-E46</f>
        <v>0.71578648674006295</v>
      </c>
      <c r="H46" t="s">
        <v>5</v>
      </c>
      <c r="I46" t="s">
        <v>163</v>
      </c>
    </row>
    <row r="47" spans="1:9" x14ac:dyDescent="0.25">
      <c r="A47" s="40" t="s">
        <v>186</v>
      </c>
      <c r="B47" t="s">
        <v>187</v>
      </c>
      <c r="H47" t="s">
        <v>5</v>
      </c>
      <c r="I47" t="s">
        <v>163</v>
      </c>
    </row>
    <row r="48" spans="1:9" x14ac:dyDescent="0.25">
      <c r="A48" s="40" t="s">
        <v>186</v>
      </c>
      <c r="B48" t="s">
        <v>188</v>
      </c>
      <c r="C48" s="53">
        <f>'COM_NEMS Cost'!D6</f>
        <v>0.82799025121859771</v>
      </c>
      <c r="H48" t="s">
        <v>5</v>
      </c>
      <c r="I48" t="s">
        <v>163</v>
      </c>
    </row>
    <row r="49" spans="1:9" x14ac:dyDescent="0.25">
      <c r="A49" s="40" t="s">
        <v>186</v>
      </c>
      <c r="B49" t="s">
        <v>189</v>
      </c>
      <c r="H49" t="s">
        <v>5</v>
      </c>
      <c r="I49" t="s">
        <v>163</v>
      </c>
    </row>
    <row r="50" spans="1:9" x14ac:dyDescent="0.25">
      <c r="A50" s="40" t="s">
        <v>186</v>
      </c>
      <c r="B50" t="s">
        <v>190</v>
      </c>
      <c r="H50" t="s">
        <v>5</v>
      </c>
      <c r="I50" t="s">
        <v>163</v>
      </c>
    </row>
    <row r="51" spans="1:9" x14ac:dyDescent="0.25">
      <c r="A51" s="40" t="s">
        <v>186</v>
      </c>
      <c r="B51" t="s">
        <v>191</v>
      </c>
      <c r="C51" s="53">
        <f>'COM_NEMS Cost'!D7</f>
        <v>0.80922581798676907</v>
      </c>
      <c r="H51" t="s">
        <v>5</v>
      </c>
      <c r="I51" t="s">
        <v>163</v>
      </c>
    </row>
    <row r="52" spans="1:9" x14ac:dyDescent="0.25">
      <c r="A52" s="40" t="s">
        <v>186</v>
      </c>
      <c r="B52" t="s">
        <v>192</v>
      </c>
      <c r="H52" t="s">
        <v>5</v>
      </c>
      <c r="I52" t="s">
        <v>163</v>
      </c>
    </row>
    <row r="53" spans="1:9" x14ac:dyDescent="0.25">
      <c r="A53" s="40" t="s">
        <v>186</v>
      </c>
      <c r="B53" t="s">
        <v>69</v>
      </c>
      <c r="H53" t="s">
        <v>5</v>
      </c>
      <c r="I53" t="s">
        <v>163</v>
      </c>
    </row>
    <row r="54" spans="1:9" x14ac:dyDescent="0.25">
      <c r="A54" s="59" t="s">
        <v>193</v>
      </c>
      <c r="B54" s="36"/>
      <c r="C54" s="59"/>
      <c r="D54" s="35">
        <f>'Summary_Com Appliances'!E11</f>
        <v>0.62252036060743632</v>
      </c>
      <c r="E54" s="60">
        <f>AVERAGE(C56:C59)*D54</f>
        <v>0.39721513052698443</v>
      </c>
      <c r="F54" s="60">
        <f>1-E54</f>
        <v>0.60278486947301557</v>
      </c>
      <c r="H54" t="s">
        <v>5</v>
      </c>
      <c r="I54" t="s">
        <v>163</v>
      </c>
    </row>
    <row r="55" spans="1:9" x14ac:dyDescent="0.25">
      <c r="A55" s="40" t="s">
        <v>193</v>
      </c>
      <c r="B55" t="s">
        <v>187</v>
      </c>
      <c r="H55" t="s">
        <v>5</v>
      </c>
      <c r="I55" t="s">
        <v>163</v>
      </c>
    </row>
    <row r="56" spans="1:9" x14ac:dyDescent="0.25">
      <c r="A56" s="40" t="s">
        <v>193</v>
      </c>
      <c r="B56" t="s">
        <v>188</v>
      </c>
      <c r="C56" s="53">
        <f>'COM_NEMS Cost'!D4</f>
        <v>0.54054769805800118</v>
      </c>
      <c r="H56" t="s">
        <v>5</v>
      </c>
      <c r="I56" t="s">
        <v>163</v>
      </c>
    </row>
    <row r="57" spans="1:9" x14ac:dyDescent="0.25">
      <c r="A57" s="40" t="s">
        <v>193</v>
      </c>
      <c r="B57" t="s">
        <v>189</v>
      </c>
      <c r="H57" t="s">
        <v>5</v>
      </c>
      <c r="I57" t="s">
        <v>163</v>
      </c>
    </row>
    <row r="58" spans="1:9" x14ac:dyDescent="0.25">
      <c r="A58" s="40" t="s">
        <v>193</v>
      </c>
      <c r="B58" t="s">
        <v>190</v>
      </c>
      <c r="H58" t="s">
        <v>5</v>
      </c>
      <c r="I58" t="s">
        <v>163</v>
      </c>
    </row>
    <row r="59" spans="1:9" x14ac:dyDescent="0.25">
      <c r="A59" s="40" t="s">
        <v>193</v>
      </c>
      <c r="B59" t="s">
        <v>191</v>
      </c>
      <c r="C59" s="53">
        <f>'COM_NEMS Cost'!D8</f>
        <v>0.73560375227976449</v>
      </c>
      <c r="H59" t="s">
        <v>5</v>
      </c>
      <c r="I59" t="s">
        <v>163</v>
      </c>
    </row>
    <row r="60" spans="1:9" x14ac:dyDescent="0.25">
      <c r="A60" s="40" t="s">
        <v>193</v>
      </c>
      <c r="B60" t="s">
        <v>192</v>
      </c>
      <c r="H60" t="s">
        <v>5</v>
      </c>
      <c r="I60" t="s">
        <v>163</v>
      </c>
    </row>
    <row r="61" spans="1:9" x14ac:dyDescent="0.25">
      <c r="A61" s="40" t="s">
        <v>193</v>
      </c>
      <c r="B61" t="s">
        <v>69</v>
      </c>
      <c r="H61" t="s">
        <v>5</v>
      </c>
      <c r="I61" t="s">
        <v>163</v>
      </c>
    </row>
    <row r="62" spans="1:9" x14ac:dyDescent="0.25">
      <c r="A62" s="59" t="s">
        <v>194</v>
      </c>
      <c r="B62" s="36"/>
      <c r="C62" s="59"/>
      <c r="D62" s="35">
        <f>'Summary_Com Appliances'!E19</f>
        <v>3.028843035699395E-2</v>
      </c>
      <c r="E62" s="60">
        <f>AVERAGE(C64:C67)*D62</f>
        <v>2.2558858963422541E-2</v>
      </c>
      <c r="F62" s="60">
        <f>1-E62</f>
        <v>0.97744114103657742</v>
      </c>
      <c r="H62" t="s">
        <v>5</v>
      </c>
      <c r="I62" t="s">
        <v>163</v>
      </c>
    </row>
    <row r="63" spans="1:9" x14ac:dyDescent="0.25">
      <c r="A63" s="40" t="s">
        <v>194</v>
      </c>
      <c r="B63" t="s">
        <v>187</v>
      </c>
      <c r="H63" t="s">
        <v>5</v>
      </c>
      <c r="I63" t="s">
        <v>163</v>
      </c>
    </row>
    <row r="64" spans="1:9" x14ac:dyDescent="0.25">
      <c r="A64" s="40" t="s">
        <v>194</v>
      </c>
      <c r="B64" t="s">
        <v>188</v>
      </c>
      <c r="C64" s="53">
        <f>'COM_NEMS Cost'!D5</f>
        <v>0.71607519212481041</v>
      </c>
      <c r="H64" t="s">
        <v>5</v>
      </c>
      <c r="I64" t="s">
        <v>163</v>
      </c>
    </row>
    <row r="65" spans="1:9" x14ac:dyDescent="0.25">
      <c r="A65" s="40" t="s">
        <v>194</v>
      </c>
      <c r="B65" t="s">
        <v>189</v>
      </c>
      <c r="H65" t="s">
        <v>5</v>
      </c>
      <c r="I65" t="s">
        <v>163</v>
      </c>
    </row>
    <row r="66" spans="1:9" x14ac:dyDescent="0.25">
      <c r="A66" s="40" t="s">
        <v>194</v>
      </c>
      <c r="B66" t="s">
        <v>190</v>
      </c>
      <c r="H66" t="s">
        <v>5</v>
      </c>
      <c r="I66" t="s">
        <v>163</v>
      </c>
    </row>
    <row r="67" spans="1:9" x14ac:dyDescent="0.25">
      <c r="A67" s="40" t="s">
        <v>194</v>
      </c>
      <c r="B67" t="s">
        <v>191</v>
      </c>
      <c r="C67" s="53">
        <f>'COM_NEMS Cost'!D9</f>
        <v>0.77352718723476832</v>
      </c>
      <c r="H67" t="s">
        <v>5</v>
      </c>
      <c r="I67" t="s">
        <v>163</v>
      </c>
    </row>
    <row r="68" spans="1:9" x14ac:dyDescent="0.25">
      <c r="A68" s="40" t="s">
        <v>194</v>
      </c>
      <c r="B68" t="s">
        <v>192</v>
      </c>
      <c r="H68" t="s">
        <v>5</v>
      </c>
      <c r="I68" t="s">
        <v>163</v>
      </c>
    </row>
    <row r="69" spans="1:9" x14ac:dyDescent="0.25">
      <c r="A69" s="40" t="s">
        <v>194</v>
      </c>
      <c r="B69" t="s">
        <v>69</v>
      </c>
      <c r="H69" t="s">
        <v>5</v>
      </c>
      <c r="I69" t="s">
        <v>163</v>
      </c>
    </row>
    <row r="70" spans="1:9" hidden="1" x14ac:dyDescent="0.25">
      <c r="A70" t="s">
        <v>195</v>
      </c>
      <c r="H70" t="s">
        <v>5</v>
      </c>
      <c r="I70" t="s">
        <v>163</v>
      </c>
    </row>
    <row r="71" spans="1:9" hidden="1" x14ac:dyDescent="0.25">
      <c r="A71" s="40" t="s">
        <v>195</v>
      </c>
      <c r="B71" t="s">
        <v>187</v>
      </c>
      <c r="H71" t="s">
        <v>5</v>
      </c>
      <c r="I71" t="s">
        <v>163</v>
      </c>
    </row>
    <row r="72" spans="1:9" hidden="1" x14ac:dyDescent="0.25">
      <c r="A72" s="40" t="s">
        <v>195</v>
      </c>
      <c r="B72" t="s">
        <v>188</v>
      </c>
      <c r="H72" t="s">
        <v>5</v>
      </c>
      <c r="I72" t="s">
        <v>163</v>
      </c>
    </row>
    <row r="73" spans="1:9" hidden="1" x14ac:dyDescent="0.25">
      <c r="A73" s="40" t="s">
        <v>195</v>
      </c>
      <c r="B73" t="s">
        <v>189</v>
      </c>
      <c r="H73" t="s">
        <v>5</v>
      </c>
      <c r="I73" t="s">
        <v>163</v>
      </c>
    </row>
    <row r="74" spans="1:9" hidden="1" x14ac:dyDescent="0.25">
      <c r="A74" s="40" t="s">
        <v>195</v>
      </c>
      <c r="B74" t="s">
        <v>190</v>
      </c>
      <c r="H74" t="s">
        <v>5</v>
      </c>
      <c r="I74" t="s">
        <v>163</v>
      </c>
    </row>
    <row r="75" spans="1:9" hidden="1" x14ac:dyDescent="0.25">
      <c r="A75" s="40" t="s">
        <v>195</v>
      </c>
      <c r="B75" t="s">
        <v>191</v>
      </c>
      <c r="H75" t="s">
        <v>5</v>
      </c>
      <c r="I75" t="s">
        <v>163</v>
      </c>
    </row>
    <row r="76" spans="1:9" hidden="1" x14ac:dyDescent="0.25">
      <c r="A76" s="40" t="s">
        <v>195</v>
      </c>
      <c r="B76" t="s">
        <v>192</v>
      </c>
      <c r="H76" t="s">
        <v>5</v>
      </c>
      <c r="I76" t="s">
        <v>163</v>
      </c>
    </row>
    <row r="77" spans="1:9" hidden="1" x14ac:dyDescent="0.25">
      <c r="A77" s="40" t="s">
        <v>195</v>
      </c>
      <c r="B77" t="s">
        <v>69</v>
      </c>
      <c r="H77" t="s">
        <v>5</v>
      </c>
      <c r="I77" t="s">
        <v>163</v>
      </c>
    </row>
    <row r="78" spans="1:9" hidden="1" x14ac:dyDescent="0.25">
      <c r="A78" t="s">
        <v>169</v>
      </c>
      <c r="H78" t="s">
        <v>5</v>
      </c>
      <c r="I78" t="s">
        <v>163</v>
      </c>
    </row>
    <row r="79" spans="1:9" hidden="1" x14ac:dyDescent="0.25">
      <c r="A79" s="40" t="s">
        <v>169</v>
      </c>
      <c r="B79" t="s">
        <v>187</v>
      </c>
      <c r="H79" t="s">
        <v>5</v>
      </c>
      <c r="I79" t="s">
        <v>163</v>
      </c>
    </row>
    <row r="80" spans="1:9" hidden="1" x14ac:dyDescent="0.25">
      <c r="A80" s="40" t="s">
        <v>169</v>
      </c>
      <c r="B80" t="s">
        <v>188</v>
      </c>
      <c r="H80" t="s">
        <v>5</v>
      </c>
      <c r="I80" t="s">
        <v>163</v>
      </c>
    </row>
    <row r="81" spans="1:9" hidden="1" x14ac:dyDescent="0.25">
      <c r="A81" s="40" t="s">
        <v>169</v>
      </c>
      <c r="B81" t="s">
        <v>189</v>
      </c>
      <c r="H81" t="s">
        <v>5</v>
      </c>
      <c r="I81" t="s">
        <v>163</v>
      </c>
    </row>
    <row r="82" spans="1:9" hidden="1" x14ac:dyDescent="0.25">
      <c r="A82" s="40" t="s">
        <v>169</v>
      </c>
      <c r="B82" t="s">
        <v>190</v>
      </c>
      <c r="H82" t="s">
        <v>5</v>
      </c>
      <c r="I82" t="s">
        <v>163</v>
      </c>
    </row>
    <row r="83" spans="1:9" hidden="1" x14ac:dyDescent="0.25">
      <c r="A83" s="40" t="s">
        <v>169</v>
      </c>
      <c r="B83" t="s">
        <v>191</v>
      </c>
      <c r="H83" t="s">
        <v>5</v>
      </c>
      <c r="I83" t="s">
        <v>163</v>
      </c>
    </row>
    <row r="84" spans="1:9" hidden="1" x14ac:dyDescent="0.25">
      <c r="A84" s="40" t="s">
        <v>169</v>
      </c>
      <c r="B84" t="s">
        <v>192</v>
      </c>
      <c r="H84" t="s">
        <v>5</v>
      </c>
      <c r="I84" t="s">
        <v>163</v>
      </c>
    </row>
    <row r="85" spans="1:9" hidden="1" x14ac:dyDescent="0.25">
      <c r="A85" s="40" t="s">
        <v>169</v>
      </c>
      <c r="B85" t="s">
        <v>69</v>
      </c>
      <c r="H85" t="s">
        <v>5</v>
      </c>
      <c r="I85" t="s">
        <v>163</v>
      </c>
    </row>
    <row r="86" spans="1:9" hidden="1" x14ac:dyDescent="0.25">
      <c r="A86" s="40"/>
      <c r="H86" t="s">
        <v>5</v>
      </c>
      <c r="I86" t="s">
        <v>163</v>
      </c>
    </row>
    <row r="87" spans="1:9" x14ac:dyDescent="0.25">
      <c r="A87" s="40"/>
      <c r="H87" t="s">
        <v>5</v>
      </c>
      <c r="I87" t="s">
        <v>163</v>
      </c>
    </row>
    <row r="88" spans="1:9" x14ac:dyDescent="0.25">
      <c r="A88" s="63" t="s">
        <v>196</v>
      </c>
      <c r="B88" s="65"/>
      <c r="C88" s="63"/>
      <c r="D88" s="71"/>
      <c r="E88" s="72">
        <f>SUM(E89:E91)</f>
        <v>0.75439886948727197</v>
      </c>
      <c r="F88" s="77">
        <f>1-E88</f>
        <v>0.24560113051272803</v>
      </c>
      <c r="H88" t="s">
        <v>5</v>
      </c>
      <c r="I88" t="s">
        <v>163</v>
      </c>
    </row>
    <row r="89" spans="1:9" x14ac:dyDescent="0.25">
      <c r="A89" t="s">
        <v>186</v>
      </c>
      <c r="B89" t="s">
        <v>197</v>
      </c>
      <c r="C89" s="53">
        <f>'COM_NEMS Cost'!D14</f>
        <v>0.761290322580645</v>
      </c>
      <c r="D89" s="55">
        <f>'Summary_Com Appliances'!E46</f>
        <v>0.50784544299136469</v>
      </c>
      <c r="E89" s="53">
        <f>C89*D89</f>
        <v>0.38661782111600657</v>
      </c>
      <c r="H89" t="s">
        <v>5</v>
      </c>
      <c r="I89" t="s">
        <v>163</v>
      </c>
    </row>
    <row r="90" spans="1:9" x14ac:dyDescent="0.25">
      <c r="A90" t="s">
        <v>193</v>
      </c>
      <c r="B90" t="s">
        <v>197</v>
      </c>
      <c r="C90" s="53">
        <f>'COM_NEMS Cost'!D13</f>
        <v>0.74018277158435497</v>
      </c>
      <c r="D90" s="55">
        <f>'Summary_Com Appliances'!E47</f>
        <v>0.46945562959531528</v>
      </c>
      <c r="E90" s="53">
        <f>C90*D90</f>
        <v>0.3474829690497388</v>
      </c>
      <c r="H90" t="s">
        <v>5</v>
      </c>
      <c r="I90" t="s">
        <v>163</v>
      </c>
    </row>
    <row r="91" spans="1:9" x14ac:dyDescent="0.25">
      <c r="A91" t="s">
        <v>194</v>
      </c>
      <c r="B91" t="s">
        <v>197</v>
      </c>
      <c r="C91" s="53">
        <f>'COM_NEMS Cost'!D16</f>
        <v>0.8942307692307695</v>
      </c>
      <c r="D91" s="55">
        <f>'Summary_Com Appliances'!E48</f>
        <v>2.2698927413320032E-2</v>
      </c>
      <c r="E91" s="53">
        <f>C91*D91</f>
        <v>2.0298079321526573E-2</v>
      </c>
      <c r="H91" t="s">
        <v>5</v>
      </c>
      <c r="I91" t="s">
        <v>163</v>
      </c>
    </row>
    <row r="92" spans="1:9" x14ac:dyDescent="0.25">
      <c r="A92" t="s">
        <v>195</v>
      </c>
      <c r="B92" t="s">
        <v>197</v>
      </c>
      <c r="H92" t="s">
        <v>5</v>
      </c>
      <c r="I92" t="s">
        <v>163</v>
      </c>
    </row>
    <row r="93" spans="1:9" x14ac:dyDescent="0.25">
      <c r="A93" t="s">
        <v>169</v>
      </c>
      <c r="B93" t="s">
        <v>197</v>
      </c>
      <c r="H93" t="s">
        <v>5</v>
      </c>
      <c r="I93" t="s">
        <v>163</v>
      </c>
    </row>
    <row r="94" spans="1:9" x14ac:dyDescent="0.25">
      <c r="H94" t="s">
        <v>5</v>
      </c>
      <c r="I94" t="s">
        <v>163</v>
      </c>
    </row>
    <row r="95" spans="1:9" x14ac:dyDescent="0.25">
      <c r="A95" s="75" t="s">
        <v>198</v>
      </c>
      <c r="B95" s="75"/>
      <c r="C95" s="76"/>
      <c r="D95" s="75"/>
      <c r="E95" s="76">
        <f>AVERAGE(C96:C98)</f>
        <v>0.5798301102469372</v>
      </c>
      <c r="F95" s="78">
        <f>1-E95</f>
        <v>0.4201698897530628</v>
      </c>
      <c r="H95" t="s">
        <v>5</v>
      </c>
      <c r="I95" t="s">
        <v>163</v>
      </c>
    </row>
    <row r="96" spans="1:9" x14ac:dyDescent="0.25">
      <c r="A96" t="s">
        <v>186</v>
      </c>
      <c r="B96" t="s">
        <v>199</v>
      </c>
      <c r="C96" s="53">
        <f>'COM_NEMS Cost'!D10</f>
        <v>0.70929577487429007</v>
      </c>
      <c r="D96" t="s">
        <v>200</v>
      </c>
      <c r="H96" t="s">
        <v>5</v>
      </c>
      <c r="I96" t="s">
        <v>163</v>
      </c>
    </row>
    <row r="97" spans="1:9" x14ac:dyDescent="0.25">
      <c r="A97" t="s">
        <v>186</v>
      </c>
      <c r="B97" t="s">
        <v>201</v>
      </c>
      <c r="C97" s="53">
        <f>'COM_NEMS Cost'!D11</f>
        <v>0.72239286108317868</v>
      </c>
      <c r="D97" t="s">
        <v>200</v>
      </c>
      <c r="H97" t="s">
        <v>5</v>
      </c>
      <c r="I97" t="s">
        <v>163</v>
      </c>
    </row>
    <row r="98" spans="1:9" x14ac:dyDescent="0.25">
      <c r="A98" t="s">
        <v>186</v>
      </c>
      <c r="B98" t="s">
        <v>202</v>
      </c>
      <c r="C98" s="53">
        <f>'COM_NEMS Cost'!D12</f>
        <v>0.30780169478334291</v>
      </c>
      <c r="D98" t="s">
        <v>200</v>
      </c>
      <c r="H98" t="s">
        <v>5</v>
      </c>
      <c r="I98" t="s">
        <v>163</v>
      </c>
    </row>
    <row r="99" spans="1:9" x14ac:dyDescent="0.25">
      <c r="H99" t="s">
        <v>5</v>
      </c>
      <c r="I99" t="s">
        <v>163</v>
      </c>
    </row>
    <row r="100" spans="1:9" x14ac:dyDescent="0.25">
      <c r="A100" s="75" t="s">
        <v>203</v>
      </c>
      <c r="B100" s="75"/>
      <c r="C100" s="76"/>
      <c r="D100" s="75"/>
      <c r="E100" s="76">
        <f>AVERAGE(C101:C103)</f>
        <v>0.40766894664785691</v>
      </c>
      <c r="F100" s="78">
        <f>1-E100</f>
        <v>0.59233105335214309</v>
      </c>
      <c r="H100" t="s">
        <v>5</v>
      </c>
      <c r="I100" t="s">
        <v>163</v>
      </c>
    </row>
    <row r="101" spans="1:9" x14ac:dyDescent="0.25">
      <c r="A101" t="s">
        <v>203</v>
      </c>
      <c r="B101" t="s">
        <v>204</v>
      </c>
      <c r="C101" s="53">
        <f>'COM_NEMS Cost'!D17</f>
        <v>0.23418371777538241</v>
      </c>
      <c r="D101" t="s">
        <v>200</v>
      </c>
      <c r="H101" t="s">
        <v>5</v>
      </c>
      <c r="I101" t="s">
        <v>163</v>
      </c>
    </row>
    <row r="102" spans="1:9" x14ac:dyDescent="0.25">
      <c r="A102" t="s">
        <v>203</v>
      </c>
      <c r="B102" t="s">
        <v>205</v>
      </c>
      <c r="C102" s="53">
        <f>'COM_NEMS Cost'!D18</f>
        <v>0.7269146515771101</v>
      </c>
      <c r="D102" t="s">
        <v>200</v>
      </c>
      <c r="H102" t="s">
        <v>5</v>
      </c>
      <c r="I102" t="s">
        <v>163</v>
      </c>
    </row>
    <row r="103" spans="1:9" x14ac:dyDescent="0.25">
      <c r="A103" t="s">
        <v>203</v>
      </c>
      <c r="B103" t="s">
        <v>206</v>
      </c>
      <c r="C103" s="53">
        <f>'COM_NEMS Cost'!D19</f>
        <v>0.26190847059107819</v>
      </c>
      <c r="D103" t="s">
        <v>200</v>
      </c>
      <c r="H103" t="s">
        <v>5</v>
      </c>
      <c r="I103" t="s">
        <v>163</v>
      </c>
    </row>
    <row r="104" spans="1:9" x14ac:dyDescent="0.25">
      <c r="H104" t="s">
        <v>5</v>
      </c>
      <c r="I104" t="s">
        <v>163</v>
      </c>
    </row>
  </sheetData>
  <mergeCells count="2">
    <mergeCell ref="A43:H43"/>
    <mergeCell ref="A1:H1"/>
  </mergeCells>
  <hyperlinks>
    <hyperlink ref="H4" r:id="rId1" xr:uid="{00000000-0004-0000-0500-000000000000}"/>
    <hyperlink ref="H5" r:id="rId2" xr:uid="{00000000-0004-0000-0500-000001000000}"/>
    <hyperlink ref="H6" r:id="rId3" xr:uid="{00000000-0004-0000-0500-000002000000}"/>
    <hyperlink ref="H7" r:id="rId4" xr:uid="{00000000-0004-0000-0500-000003000000}"/>
    <hyperlink ref="H8" r:id="rId5" xr:uid="{00000000-0004-0000-0500-000004000000}"/>
    <hyperlink ref="H9" r:id="rId6" xr:uid="{00000000-0004-0000-0500-000005000000}"/>
    <hyperlink ref="H10" r:id="rId7" xr:uid="{00000000-0004-0000-0500-000006000000}"/>
    <hyperlink ref="H11" r:id="rId8" xr:uid="{00000000-0004-0000-0500-000007000000}"/>
    <hyperlink ref="H12" r:id="rId9" xr:uid="{00000000-0004-0000-0500-000008000000}"/>
    <hyperlink ref="H13" r:id="rId10" xr:uid="{00000000-0004-0000-0500-000009000000}"/>
    <hyperlink ref="H14" r:id="rId11" xr:uid="{00000000-0004-0000-0500-00000A000000}"/>
    <hyperlink ref="H15" r:id="rId12" xr:uid="{00000000-0004-0000-0500-00000B000000}"/>
    <hyperlink ref="H16" r:id="rId13" xr:uid="{00000000-0004-0000-0500-00000C000000}"/>
    <hyperlink ref="H17" r:id="rId14" xr:uid="{00000000-0004-0000-0500-00000D000000}"/>
    <hyperlink ref="H18" r:id="rId15" xr:uid="{00000000-0004-0000-0500-00000E000000}"/>
    <hyperlink ref="H19" r:id="rId16" xr:uid="{00000000-0004-0000-0500-00000F000000}"/>
    <hyperlink ref="H20" r:id="rId17" xr:uid="{00000000-0004-0000-0500-000010000000}"/>
    <hyperlink ref="H21" r:id="rId18" xr:uid="{00000000-0004-0000-0500-000011000000}"/>
    <hyperlink ref="H22" r:id="rId19" xr:uid="{00000000-0004-0000-0500-000012000000}"/>
    <hyperlink ref="H23" r:id="rId20" xr:uid="{00000000-0004-0000-0500-000013000000}"/>
    <hyperlink ref="H24" r:id="rId21" xr:uid="{00000000-0004-0000-0500-000014000000}"/>
    <hyperlink ref="H25" r:id="rId22" xr:uid="{00000000-0004-0000-0500-000015000000}"/>
    <hyperlink ref="H26" r:id="rId23" xr:uid="{00000000-0004-0000-0500-000016000000}"/>
    <hyperlink ref="H27" r:id="rId24" xr:uid="{00000000-0004-0000-0500-000017000000}"/>
    <hyperlink ref="H28" r:id="rId25" xr:uid="{00000000-0004-0000-0500-000018000000}"/>
    <hyperlink ref="H29" r:id="rId26" xr:uid="{00000000-0004-0000-0500-000019000000}"/>
    <hyperlink ref="H30" r:id="rId27" xr:uid="{00000000-0004-0000-0500-00001A000000}"/>
    <hyperlink ref="H31" r:id="rId28" xr:uid="{00000000-0004-0000-0500-00001B000000}"/>
    <hyperlink ref="H32" r:id="rId29" xr:uid="{00000000-0004-0000-0500-00001C000000}"/>
    <hyperlink ref="H33" r:id="rId30" xr:uid="{00000000-0004-0000-0500-00001D000000}"/>
    <hyperlink ref="H35" r:id="rId31" xr:uid="{00000000-0004-0000-0500-00001E000000}"/>
    <hyperlink ref="H36" r:id="rId32" xr:uid="{00000000-0004-0000-0500-00001F000000}"/>
    <hyperlink ref="H37" r:id="rId33" xr:uid="{00000000-0004-0000-0500-000020000000}"/>
    <hyperlink ref="H38" r:id="rId34" xr:uid="{00000000-0004-0000-0500-000021000000}"/>
    <hyperlink ref="H39" r:id="rId35" xr:uid="{00000000-0004-0000-0500-000022000000}"/>
    <hyperlink ref="H45" r:id="rId36" xr:uid="{00000000-0004-0000-0500-000023000000}"/>
    <hyperlink ref="H46" r:id="rId37" xr:uid="{00000000-0004-0000-0500-000024000000}"/>
    <hyperlink ref="H47" r:id="rId38" xr:uid="{00000000-0004-0000-0500-000025000000}"/>
    <hyperlink ref="H48" r:id="rId39" xr:uid="{00000000-0004-0000-0500-000026000000}"/>
    <hyperlink ref="H49" r:id="rId40" xr:uid="{00000000-0004-0000-0500-000027000000}"/>
    <hyperlink ref="H50" r:id="rId41" xr:uid="{00000000-0004-0000-0500-000028000000}"/>
    <hyperlink ref="H51" r:id="rId42" xr:uid="{00000000-0004-0000-0500-000029000000}"/>
    <hyperlink ref="H52" r:id="rId43" xr:uid="{00000000-0004-0000-0500-00002A000000}"/>
    <hyperlink ref="H53" r:id="rId44" xr:uid="{00000000-0004-0000-0500-00002B000000}"/>
    <hyperlink ref="H54" r:id="rId45" xr:uid="{00000000-0004-0000-0500-00002C000000}"/>
    <hyperlink ref="H55" r:id="rId46" xr:uid="{00000000-0004-0000-0500-00002D000000}"/>
    <hyperlink ref="H56" r:id="rId47" xr:uid="{00000000-0004-0000-0500-00002E000000}"/>
    <hyperlink ref="H57" r:id="rId48" xr:uid="{00000000-0004-0000-0500-00002F000000}"/>
    <hyperlink ref="H58" r:id="rId49" xr:uid="{00000000-0004-0000-0500-000030000000}"/>
    <hyperlink ref="H59" r:id="rId50" xr:uid="{00000000-0004-0000-0500-000031000000}"/>
    <hyperlink ref="H60" r:id="rId51" xr:uid="{00000000-0004-0000-0500-000032000000}"/>
    <hyperlink ref="H61" r:id="rId52" xr:uid="{00000000-0004-0000-0500-000033000000}"/>
    <hyperlink ref="H62" r:id="rId53" xr:uid="{00000000-0004-0000-0500-000034000000}"/>
    <hyperlink ref="H63" r:id="rId54" xr:uid="{00000000-0004-0000-0500-000035000000}"/>
    <hyperlink ref="H64" r:id="rId55" xr:uid="{00000000-0004-0000-0500-000036000000}"/>
    <hyperlink ref="H65" r:id="rId56" xr:uid="{00000000-0004-0000-0500-000037000000}"/>
    <hyperlink ref="H66" r:id="rId57" xr:uid="{00000000-0004-0000-0500-000038000000}"/>
    <hyperlink ref="H67" r:id="rId58" xr:uid="{00000000-0004-0000-0500-000039000000}"/>
    <hyperlink ref="H68" r:id="rId59" xr:uid="{00000000-0004-0000-0500-00003A000000}"/>
    <hyperlink ref="H69" r:id="rId60" xr:uid="{00000000-0004-0000-0500-00003B000000}"/>
    <hyperlink ref="H70" r:id="rId61" xr:uid="{00000000-0004-0000-0500-00003C000000}"/>
    <hyperlink ref="H71" r:id="rId62" xr:uid="{00000000-0004-0000-0500-00003D000000}"/>
    <hyperlink ref="H72" r:id="rId63" xr:uid="{00000000-0004-0000-0500-00003E000000}"/>
    <hyperlink ref="H73" r:id="rId64" xr:uid="{00000000-0004-0000-0500-00003F000000}"/>
    <hyperlink ref="H74" r:id="rId65" xr:uid="{00000000-0004-0000-0500-000040000000}"/>
    <hyperlink ref="H75" r:id="rId66" xr:uid="{00000000-0004-0000-0500-000041000000}"/>
    <hyperlink ref="H76" r:id="rId67" xr:uid="{00000000-0004-0000-0500-000042000000}"/>
    <hyperlink ref="H77" r:id="rId68" xr:uid="{00000000-0004-0000-0500-000043000000}"/>
    <hyperlink ref="H78" r:id="rId69" xr:uid="{00000000-0004-0000-0500-000044000000}"/>
    <hyperlink ref="H79" r:id="rId70" xr:uid="{00000000-0004-0000-0500-000045000000}"/>
    <hyperlink ref="H80" r:id="rId71" xr:uid="{00000000-0004-0000-0500-000046000000}"/>
    <hyperlink ref="H81" r:id="rId72" xr:uid="{00000000-0004-0000-0500-000047000000}"/>
    <hyperlink ref="H82" r:id="rId73" xr:uid="{00000000-0004-0000-0500-000048000000}"/>
    <hyperlink ref="H83" r:id="rId74" xr:uid="{00000000-0004-0000-0500-000049000000}"/>
    <hyperlink ref="H84" r:id="rId75" xr:uid="{00000000-0004-0000-0500-00004A000000}"/>
    <hyperlink ref="H85" r:id="rId76" xr:uid="{00000000-0004-0000-0500-00004B000000}"/>
    <hyperlink ref="H86" r:id="rId77" xr:uid="{00000000-0004-0000-0500-00004C000000}"/>
    <hyperlink ref="H87" r:id="rId78" xr:uid="{00000000-0004-0000-0500-00004D000000}"/>
    <hyperlink ref="H88" r:id="rId79" xr:uid="{00000000-0004-0000-0500-00004E000000}"/>
    <hyperlink ref="H89" r:id="rId80" xr:uid="{00000000-0004-0000-0500-00004F000000}"/>
    <hyperlink ref="H90" r:id="rId81" xr:uid="{00000000-0004-0000-0500-000050000000}"/>
    <hyperlink ref="H91" r:id="rId82" xr:uid="{00000000-0004-0000-0500-000051000000}"/>
    <hyperlink ref="H92" r:id="rId83" xr:uid="{00000000-0004-0000-0500-000052000000}"/>
    <hyperlink ref="H93" r:id="rId84" xr:uid="{00000000-0004-0000-0500-000053000000}"/>
    <hyperlink ref="H94" r:id="rId85" xr:uid="{00000000-0004-0000-0500-000054000000}"/>
    <hyperlink ref="H95" r:id="rId86" xr:uid="{00000000-0004-0000-0500-000055000000}"/>
    <hyperlink ref="H96" r:id="rId87" xr:uid="{00000000-0004-0000-0500-000056000000}"/>
    <hyperlink ref="H97" r:id="rId88" xr:uid="{00000000-0004-0000-0500-000057000000}"/>
    <hyperlink ref="H98" r:id="rId89" xr:uid="{00000000-0004-0000-0500-000058000000}"/>
    <hyperlink ref="H99" r:id="rId90" xr:uid="{00000000-0004-0000-0500-000059000000}"/>
    <hyperlink ref="H100" r:id="rId91" xr:uid="{00000000-0004-0000-0500-00005A000000}"/>
    <hyperlink ref="H101" r:id="rId92" xr:uid="{00000000-0004-0000-0500-00005B000000}"/>
    <hyperlink ref="H102" r:id="rId93" xr:uid="{00000000-0004-0000-0500-00005C000000}"/>
    <hyperlink ref="H103" r:id="rId94" xr:uid="{00000000-0004-0000-0500-00005D000000}"/>
    <hyperlink ref="H104" r:id="rId95" xr:uid="{00000000-0004-0000-0500-00005E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workbookViewId="0">
      <selection activeCell="A2" sqref="A2"/>
    </sheetView>
  </sheetViews>
  <sheetFormatPr defaultRowHeight="15" x14ac:dyDescent="0.25"/>
  <cols>
    <col min="2" max="2" width="23" customWidth="1"/>
    <col min="3" max="3" width="26.5703125" customWidth="1"/>
    <col min="4" max="4" width="24.42578125" customWidth="1"/>
  </cols>
  <sheetData>
    <row r="1" spans="1:4" x14ac:dyDescent="0.25">
      <c r="A1" t="s">
        <v>207</v>
      </c>
    </row>
    <row r="3" spans="1:4" x14ac:dyDescent="0.25">
      <c r="C3" t="s">
        <v>208</v>
      </c>
      <c r="D3" s="53" t="s">
        <v>209</v>
      </c>
    </row>
    <row r="4" spans="1:4" x14ac:dyDescent="0.25">
      <c r="B4" t="s">
        <v>210</v>
      </c>
      <c r="C4" t="s">
        <v>211</v>
      </c>
      <c r="D4" s="53">
        <v>0.54054769805800118</v>
      </c>
    </row>
    <row r="5" spans="1:4" x14ac:dyDescent="0.25">
      <c r="B5" t="s">
        <v>210</v>
      </c>
      <c r="C5" t="s">
        <v>212</v>
      </c>
      <c r="D5" s="53">
        <v>0.71607519212481041</v>
      </c>
    </row>
    <row r="6" spans="1:4" x14ac:dyDescent="0.25">
      <c r="B6" t="s">
        <v>210</v>
      </c>
      <c r="C6" t="s">
        <v>213</v>
      </c>
      <c r="D6" s="53">
        <v>0.82799025121859771</v>
      </c>
    </row>
    <row r="7" spans="1:4" x14ac:dyDescent="0.25">
      <c r="B7" t="s">
        <v>210</v>
      </c>
      <c r="C7" t="s">
        <v>214</v>
      </c>
      <c r="D7" s="53">
        <v>0.80922581798676907</v>
      </c>
    </row>
    <row r="8" spans="1:4" x14ac:dyDescent="0.25">
      <c r="B8" t="s">
        <v>210</v>
      </c>
      <c r="C8" t="s">
        <v>215</v>
      </c>
      <c r="D8" s="53">
        <v>0.73560375227976449</v>
      </c>
    </row>
    <row r="9" spans="1:4" x14ac:dyDescent="0.25">
      <c r="B9" t="s">
        <v>210</v>
      </c>
      <c r="C9" t="s">
        <v>216</v>
      </c>
      <c r="D9" s="53">
        <v>0.77352718723476832</v>
      </c>
    </row>
    <row r="10" spans="1:4" x14ac:dyDescent="0.25">
      <c r="B10" t="s">
        <v>198</v>
      </c>
      <c r="C10" t="s">
        <v>199</v>
      </c>
      <c r="D10" s="53">
        <v>0.70929577487429007</v>
      </c>
    </row>
    <row r="11" spans="1:4" x14ac:dyDescent="0.25">
      <c r="B11" t="s">
        <v>198</v>
      </c>
      <c r="C11" t="s">
        <v>201</v>
      </c>
      <c r="D11" s="53">
        <v>0.72239286108317868</v>
      </c>
    </row>
    <row r="12" spans="1:4" x14ac:dyDescent="0.25">
      <c r="B12" t="s">
        <v>198</v>
      </c>
      <c r="C12" t="s">
        <v>202</v>
      </c>
      <c r="D12" s="53">
        <v>0.30780169478334291</v>
      </c>
    </row>
    <row r="13" spans="1:4" x14ac:dyDescent="0.25">
      <c r="B13" t="s">
        <v>217</v>
      </c>
      <c r="C13" t="s">
        <v>218</v>
      </c>
      <c r="D13" s="53">
        <v>0.74018277158435497</v>
      </c>
    </row>
    <row r="14" spans="1:4" x14ac:dyDescent="0.25">
      <c r="B14" t="s">
        <v>217</v>
      </c>
      <c r="C14" t="s">
        <v>219</v>
      </c>
      <c r="D14" s="53">
        <v>0.761290322580645</v>
      </c>
    </row>
    <row r="15" spans="1:4" x14ac:dyDescent="0.25">
      <c r="B15" t="s">
        <v>217</v>
      </c>
      <c r="C15" t="s">
        <v>220</v>
      </c>
      <c r="D15" s="53">
        <v>0.92443572129538765</v>
      </c>
    </row>
    <row r="16" spans="1:4" x14ac:dyDescent="0.25">
      <c r="B16" t="s">
        <v>217</v>
      </c>
      <c r="C16" t="s">
        <v>221</v>
      </c>
      <c r="D16" s="53">
        <v>0.8942307692307695</v>
      </c>
    </row>
    <row r="17" spans="2:4" x14ac:dyDescent="0.25">
      <c r="B17" t="s">
        <v>203</v>
      </c>
      <c r="C17" t="s">
        <v>204</v>
      </c>
      <c r="D17" s="53">
        <v>0.23418371777538241</v>
      </c>
    </row>
    <row r="18" spans="2:4" x14ac:dyDescent="0.25">
      <c r="B18" t="s">
        <v>203</v>
      </c>
      <c r="C18" t="s">
        <v>205</v>
      </c>
      <c r="D18" s="53">
        <v>0.7269146515771101</v>
      </c>
    </row>
    <row r="19" spans="2:4" x14ac:dyDescent="0.25">
      <c r="B19" t="s">
        <v>203</v>
      </c>
      <c r="C19" t="s">
        <v>206</v>
      </c>
      <c r="D19" s="53">
        <v>0.26190847059107819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1"/>
  <sheetViews>
    <sheetView zoomScale="80" zoomScaleNormal="80" workbookViewId="0">
      <selection activeCell="A2" sqref="A2"/>
    </sheetView>
  </sheetViews>
  <sheetFormatPr defaultRowHeight="15" x14ac:dyDescent="0.25"/>
  <cols>
    <col min="1" max="1" width="19.5703125" customWidth="1"/>
    <col min="2" max="2" width="26.42578125" customWidth="1"/>
    <col min="3" max="3" width="15" customWidth="1"/>
    <col min="4" max="4" width="10.28515625" customWidth="1"/>
    <col min="5" max="5" width="15" customWidth="1"/>
  </cols>
  <sheetData>
    <row r="1" spans="1:9" x14ac:dyDescent="0.25">
      <c r="A1" s="100" t="s">
        <v>222</v>
      </c>
      <c r="B1" s="101"/>
      <c r="C1" s="101"/>
      <c r="D1" s="101"/>
      <c r="E1" s="101"/>
      <c r="F1" s="101"/>
      <c r="G1" s="101"/>
      <c r="H1" s="101"/>
      <c r="I1" s="101"/>
    </row>
    <row r="2" spans="1:9" ht="44.25" customHeight="1" x14ac:dyDescent="0.25">
      <c r="A2" s="2" t="s">
        <v>223</v>
      </c>
      <c r="B2" s="2" t="s">
        <v>224</v>
      </c>
      <c r="C2" s="46" t="s">
        <v>225</v>
      </c>
      <c r="D2" s="46" t="s">
        <v>226</v>
      </c>
      <c r="E2" s="46" t="s">
        <v>157</v>
      </c>
      <c r="I2" t="s">
        <v>160</v>
      </c>
    </row>
    <row r="3" spans="1:9" x14ac:dyDescent="0.25">
      <c r="A3" s="63" t="s">
        <v>186</v>
      </c>
      <c r="B3" s="63"/>
      <c r="C3" s="63"/>
      <c r="D3" s="63"/>
      <c r="E3" s="67">
        <f>SUM(C4:C10)/E43</f>
        <v>0.34719120903556966</v>
      </c>
    </row>
    <row r="4" spans="1:9" x14ac:dyDescent="0.25">
      <c r="A4" s="40" t="s">
        <v>186</v>
      </c>
      <c r="B4" t="s">
        <v>187</v>
      </c>
      <c r="C4">
        <f>IFERROR(INDEX(TableB39!$E$154:$K$159,MATCH('Summary_Com Appliances'!$A4,TableB39!$B$154:$B$159,0),MATCH('Summary_Com Appliances'!$B4,TableB39!$E$5:$K$5,0)),"")</f>
        <v>7215</v>
      </c>
      <c r="D4" s="64">
        <f t="shared" ref="D4:D42" si="0">IFERROR(C4/$D$43,"")</f>
        <v>6.0808589898104524E-2</v>
      </c>
      <c r="I4" t="str">
        <f>About!$B$14</f>
        <v>https://www.eia.gov/consumption/commercial/data/2012/#b38-b46</v>
      </c>
    </row>
    <row r="5" spans="1:9" x14ac:dyDescent="0.25">
      <c r="A5" s="62" t="s">
        <v>186</v>
      </c>
      <c r="B5" t="s">
        <v>188</v>
      </c>
      <c r="C5">
        <f>IFERROR(INDEX(TableB39!$E$154:$K$159,MATCH('Summary_Com Appliances'!$A5,TableB39!$B$154:$B$159,0),MATCH('Summary_Com Appliances'!$B5,TableB39!$E$5:$K$5,0)),"")</f>
        <v>2270</v>
      </c>
      <c r="D5" s="64">
        <f t="shared" si="0"/>
        <v>1.9131739302660745E-2</v>
      </c>
      <c r="I5" t="str">
        <f>About!$B$14</f>
        <v>https://www.eia.gov/consumption/commercial/data/2012/#b38-b46</v>
      </c>
    </row>
    <row r="6" spans="1:9" x14ac:dyDescent="0.25">
      <c r="A6" s="40" t="s">
        <v>186</v>
      </c>
      <c r="B6" t="s">
        <v>189</v>
      </c>
      <c r="C6">
        <f>IFERROR(INDEX(TableB39!$E$154:$K$159,MATCH('Summary_Com Appliances'!$A6,TableB39!$B$154:$B$159,0),MATCH('Summary_Com Appliances'!$B6,TableB39!$E$5:$K$5,0)),"")</f>
        <v>6035</v>
      </c>
      <c r="D6" s="64">
        <f t="shared" si="0"/>
        <v>5.0863456692316122E-2</v>
      </c>
      <c r="I6" t="str">
        <f>About!$B$14</f>
        <v>https://www.eia.gov/consumption/commercial/data/2012/#b38-b46</v>
      </c>
    </row>
    <row r="7" spans="1:9" x14ac:dyDescent="0.25">
      <c r="A7" s="40" t="s">
        <v>186</v>
      </c>
      <c r="B7" t="s">
        <v>190</v>
      </c>
      <c r="C7" t="str">
        <f>IFERROR(INDEX(TableB39!$E$154:$K$159,MATCH('Summary_Com Appliances'!$A7,TableB39!$B$154:$B$159,0),MATCH('Summary_Com Appliances'!$B7,TableB39!$E$5:$K$5,0)),"")</f>
        <v>Q</v>
      </c>
      <c r="D7" s="64" t="str">
        <f t="shared" si="0"/>
        <v/>
      </c>
      <c r="I7" t="str">
        <f>About!$B$14</f>
        <v>https://www.eia.gov/consumption/commercial/data/2012/#b38-b46</v>
      </c>
    </row>
    <row r="8" spans="1:9" x14ac:dyDescent="0.25">
      <c r="A8" s="62" t="s">
        <v>186</v>
      </c>
      <c r="B8" t="s">
        <v>191</v>
      </c>
      <c r="C8">
        <f>IFERROR(INDEX(TableB39!$E$154:$K$159,MATCH('Summary_Com Appliances'!$A8,TableB39!$B$154:$B$159,0),MATCH('Summary_Com Appliances'!$B8,TableB39!$E$5:$K$5,0)),"")</f>
        <v>2982</v>
      </c>
      <c r="D8" s="64">
        <f t="shared" si="0"/>
        <v>2.5132531542085612E-2</v>
      </c>
      <c r="I8" t="str">
        <f>About!$B$14</f>
        <v>https://www.eia.gov/consumption/commercial/data/2012/#b38-b46</v>
      </c>
    </row>
    <row r="9" spans="1:9" x14ac:dyDescent="0.25">
      <c r="A9" s="40" t="s">
        <v>186</v>
      </c>
      <c r="B9" t="s">
        <v>192</v>
      </c>
      <c r="C9">
        <f>IFERROR(INDEX(TableB39!$E$154:$K$159,MATCH('Summary_Com Appliances'!$A9,TableB39!$B$154:$B$159,0),MATCH('Summary_Com Appliances'!$B9,TableB39!$E$5:$K$5,0)),"")</f>
        <v>18523</v>
      </c>
      <c r="D9" s="64">
        <f t="shared" si="0"/>
        <v>0.15611330709391408</v>
      </c>
      <c r="I9" t="str">
        <f>About!$B$14</f>
        <v>https://www.eia.gov/consumption/commercial/data/2012/#b38-b46</v>
      </c>
    </row>
    <row r="10" spans="1:9" x14ac:dyDescent="0.25">
      <c r="A10" s="40" t="s">
        <v>186</v>
      </c>
      <c r="B10" t="s">
        <v>69</v>
      </c>
      <c r="C10">
        <f>IFERROR(INDEX(TableB39!$E$154:$K$159,MATCH('Summary_Com Appliances'!$A10,TableB39!$B$154:$B$159,0),MATCH('Summary_Com Appliances'!$B10,TableB39!$E$5:$K$5,0)),"")</f>
        <v>447</v>
      </c>
      <c r="D10" s="64">
        <f t="shared" si="0"/>
        <v>3.7673513076164548E-3</v>
      </c>
      <c r="I10" t="str">
        <f>About!$B$14</f>
        <v>https://www.eia.gov/consumption/commercial/data/2012/#b38-b46</v>
      </c>
    </row>
    <row r="11" spans="1:9" x14ac:dyDescent="0.25">
      <c r="A11" s="63" t="s">
        <v>193</v>
      </c>
      <c r="B11" s="65"/>
      <c r="C11" s="65" t="str">
        <f>IFERROR(INDEX(TableB39!$E$154:$K$159,MATCH('Summary_Com Appliances'!$A11,TableB39!$B$154:$B$159,0),MATCH('Summary_Com Appliances'!$B11,TableB39!$E$5:$K$5,0)),"")</f>
        <v/>
      </c>
      <c r="D11" s="65" t="str">
        <f t="shared" si="0"/>
        <v/>
      </c>
      <c r="E11" s="67">
        <f>SUM(C12:C18)/E43</f>
        <v>0.62252036060743632</v>
      </c>
      <c r="I11" t="str">
        <f>About!$B$14</f>
        <v>https://www.eia.gov/consumption/commercial/data/2012/#b38-b46</v>
      </c>
    </row>
    <row r="12" spans="1:9" x14ac:dyDescent="0.25">
      <c r="A12" s="40" t="s">
        <v>193</v>
      </c>
      <c r="B12" t="s">
        <v>187</v>
      </c>
      <c r="C12">
        <f>IFERROR(INDEX(TableB39!$E$154:$K$159,MATCH('Summary_Com Appliances'!$A12,TableB39!$B$154:$B$159,0),MATCH('Summary_Com Appliances'!$B12,TableB39!$E$5:$K$5,0)),"")</f>
        <v>3792</v>
      </c>
      <c r="D12" s="64">
        <f t="shared" si="0"/>
        <v>3.1959275522330195E-2</v>
      </c>
      <c r="I12" t="str">
        <f>About!$B$14</f>
        <v>https://www.eia.gov/consumption/commercial/data/2012/#b38-b46</v>
      </c>
    </row>
    <row r="13" spans="1:9" x14ac:dyDescent="0.25">
      <c r="A13" s="40" t="s">
        <v>193</v>
      </c>
      <c r="B13" t="s">
        <v>188</v>
      </c>
      <c r="C13">
        <f>IFERROR(INDEX(TableB39!$E$154:$K$159,MATCH('Summary_Com Appliances'!$A13,TableB39!$B$154:$B$159,0),MATCH('Summary_Com Appliances'!$B13,TableB39!$E$5:$K$5,0)),"")</f>
        <v>5778</v>
      </c>
      <c r="D13" s="64">
        <f t="shared" si="0"/>
        <v>4.8697440392411355E-2</v>
      </c>
      <c r="I13" t="str">
        <f>About!$B$14</f>
        <v>https://www.eia.gov/consumption/commercial/data/2012/#b38-b46</v>
      </c>
    </row>
    <row r="14" spans="1:9" x14ac:dyDescent="0.25">
      <c r="A14" s="40" t="s">
        <v>193</v>
      </c>
      <c r="B14" t="s">
        <v>189</v>
      </c>
      <c r="C14">
        <f>IFERROR(INDEX(TableB39!$E$154:$K$159,MATCH('Summary_Com Appliances'!$A14,TableB39!$B$154:$B$159,0),MATCH('Summary_Com Appliances'!$B14,TableB39!$E$5:$K$5,0)),"")</f>
        <v>11482</v>
      </c>
      <c r="D14" s="64">
        <f t="shared" si="0"/>
        <v>9.6771202939713946E-2</v>
      </c>
      <c r="I14" t="str">
        <f>About!$B$14</f>
        <v>https://www.eia.gov/consumption/commercial/data/2012/#b38-b46</v>
      </c>
    </row>
    <row r="15" spans="1:9" x14ac:dyDescent="0.25">
      <c r="A15" s="40" t="s">
        <v>193</v>
      </c>
      <c r="B15" t="s">
        <v>190</v>
      </c>
      <c r="C15" t="str">
        <f>IFERROR(INDEX(TableB39!$E$154:$K$159,MATCH('Summary_Com Appliances'!$A15,TableB39!$B$154:$B$159,0),MATCH('Summary_Com Appliances'!$B15,TableB39!$E$5:$K$5,0)),"")</f>
        <v>Q</v>
      </c>
      <c r="D15" s="64" t="str">
        <f t="shared" si="0"/>
        <v/>
      </c>
      <c r="I15" t="str">
        <f>About!$B$14</f>
        <v>https://www.eia.gov/consumption/commercial/data/2012/#b38-b46</v>
      </c>
    </row>
    <row r="16" spans="1:9" x14ac:dyDescent="0.25">
      <c r="A16" s="40" t="s">
        <v>193</v>
      </c>
      <c r="B16" t="s">
        <v>191</v>
      </c>
      <c r="C16">
        <f>IFERROR(INDEX(TableB39!$E$154:$K$159,MATCH('Summary_Com Appliances'!$A16,TableB39!$B$154:$B$159,0),MATCH('Summary_Com Appliances'!$B16,TableB39!$E$5:$K$5,0)),"")</f>
        <v>17437</v>
      </c>
      <c r="D16" s="64">
        <f t="shared" si="0"/>
        <v>0.14696041331299356</v>
      </c>
      <c r="I16" t="str">
        <f>About!$B$14</f>
        <v>https://www.eia.gov/consumption/commercial/data/2012/#b38-b46</v>
      </c>
    </row>
    <row r="17" spans="1:9" x14ac:dyDescent="0.25">
      <c r="A17" s="40" t="s">
        <v>193</v>
      </c>
      <c r="B17" t="s">
        <v>192</v>
      </c>
      <c r="C17">
        <f>IFERROR(INDEX(TableB39!$E$154:$K$159,MATCH('Summary_Com Appliances'!$A17,TableB39!$B$154:$B$159,0),MATCH('Summary_Com Appliances'!$B17,TableB39!$E$5:$K$5,0)),"")</f>
        <v>27826</v>
      </c>
      <c r="D17" s="64">
        <f t="shared" si="0"/>
        <v>0.23451972591887132</v>
      </c>
      <c r="I17" t="str">
        <f>About!$B$14</f>
        <v>https://www.eia.gov/consumption/commercial/data/2012/#b38-b46</v>
      </c>
    </row>
    <row r="18" spans="1:9" x14ac:dyDescent="0.25">
      <c r="A18" s="40" t="s">
        <v>193</v>
      </c>
      <c r="B18" t="s">
        <v>69</v>
      </c>
      <c r="C18">
        <f>IFERROR(INDEX(TableB39!$E$154:$K$159,MATCH('Summary_Com Appliances'!$A18,TableB39!$B$154:$B$159,0),MATCH('Summary_Com Appliances'!$B18,TableB39!$E$5:$K$5,0)),"")</f>
        <v>873</v>
      </c>
      <c r="D18" s="64">
        <f t="shared" si="0"/>
        <v>7.3577129564858278E-3</v>
      </c>
      <c r="I18" t="str">
        <f>About!$B$14</f>
        <v>https://www.eia.gov/consumption/commercial/data/2012/#b38-b46</v>
      </c>
    </row>
    <row r="19" spans="1:9" x14ac:dyDescent="0.25">
      <c r="A19" s="63" t="s">
        <v>194</v>
      </c>
      <c r="B19" s="65"/>
      <c r="C19" s="65" t="str">
        <f>IFERROR(INDEX(TableB39!$E$154:$K$159,MATCH('Summary_Com Appliances'!$A19,TableB39!$B$154:$B$159,0),MATCH('Summary_Com Appliances'!$B19,TableB39!$E$5:$K$5,0)),"")</f>
        <v/>
      </c>
      <c r="D19" s="65" t="str">
        <f t="shared" si="0"/>
        <v/>
      </c>
      <c r="E19" s="67">
        <f>SUM(C20:C26)/E43</f>
        <v>3.028843035699395E-2</v>
      </c>
      <c r="I19" t="str">
        <f>About!$B$14</f>
        <v>https://www.eia.gov/consumption/commercial/data/2012/#b38-b46</v>
      </c>
    </row>
    <row r="20" spans="1:9" x14ac:dyDescent="0.25">
      <c r="A20" s="40" t="s">
        <v>194</v>
      </c>
      <c r="B20" t="s">
        <v>187</v>
      </c>
      <c r="C20" t="str">
        <f>IFERROR(INDEX(TableB39!$E$154:$K$159,MATCH('Summary_Com Appliances'!$A20,TableB39!$B$154:$B$159,0),MATCH('Summary_Com Appliances'!$B20,TableB39!$E$5:$K$5,0)),"")</f>
        <v>Q</v>
      </c>
      <c r="D20" s="64" t="str">
        <f t="shared" si="0"/>
        <v/>
      </c>
      <c r="I20" t="str">
        <f>About!$B$14</f>
        <v>https://www.eia.gov/consumption/commercial/data/2012/#b38-b46</v>
      </c>
    </row>
    <row r="21" spans="1:9" x14ac:dyDescent="0.25">
      <c r="A21" s="40" t="s">
        <v>194</v>
      </c>
      <c r="B21" t="s">
        <v>188</v>
      </c>
      <c r="C21" t="str">
        <f>IFERROR(INDEX(TableB39!$E$154:$K$159,MATCH('Summary_Com Appliances'!$A21,TableB39!$B$154:$B$159,0),MATCH('Summary_Com Appliances'!$B21,TableB39!$E$5:$K$5,0)),"")</f>
        <v>Q</v>
      </c>
      <c r="D21" s="64" t="str">
        <f t="shared" si="0"/>
        <v/>
      </c>
      <c r="I21" t="str">
        <f>About!$B$14</f>
        <v>https://www.eia.gov/consumption/commercial/data/2012/#b38-b46</v>
      </c>
    </row>
    <row r="22" spans="1:9" x14ac:dyDescent="0.25">
      <c r="A22" s="40" t="s">
        <v>194</v>
      </c>
      <c r="B22" t="s">
        <v>189</v>
      </c>
      <c r="C22">
        <f>IFERROR(INDEX(TableB39!$E$154:$K$159,MATCH('Summary_Com Appliances'!$A22,TableB39!$B$154:$B$159,0),MATCH('Summary_Com Appliances'!$B22,TableB39!$E$5:$K$5,0)),"")</f>
        <v>1008</v>
      </c>
      <c r="D22" s="64">
        <f t="shared" si="0"/>
        <v>8.4955036198599253E-3</v>
      </c>
      <c r="I22" t="str">
        <f>About!$B$14</f>
        <v>https://www.eia.gov/consumption/commercial/data/2012/#b38-b46</v>
      </c>
    </row>
    <row r="23" spans="1:9" x14ac:dyDescent="0.25">
      <c r="A23" s="40" t="s">
        <v>194</v>
      </c>
      <c r="B23" t="s">
        <v>190</v>
      </c>
      <c r="C23" t="str">
        <f>IFERROR(INDEX(TableB39!$E$154:$K$159,MATCH('Summary_Com Appliances'!$A23,TableB39!$B$154:$B$159,0),MATCH('Summary_Com Appliances'!$B23,TableB39!$E$5:$K$5,0)),"")</f>
        <v>Q</v>
      </c>
      <c r="D23" s="64" t="str">
        <f t="shared" si="0"/>
        <v/>
      </c>
      <c r="I23" t="str">
        <f>About!$B$14</f>
        <v>https://www.eia.gov/consumption/commercial/data/2012/#b38-b46</v>
      </c>
    </row>
    <row r="24" spans="1:9" x14ac:dyDescent="0.25">
      <c r="A24" s="40" t="s">
        <v>194</v>
      </c>
      <c r="B24" t="s">
        <v>191</v>
      </c>
      <c r="C24">
        <f>IFERROR(INDEX(TableB39!$E$154:$K$159,MATCH('Summary_Com Appliances'!$A24,TableB39!$B$154:$B$159,0),MATCH('Summary_Com Appliances'!$B24,TableB39!$E$5:$K$5,0)),"")</f>
        <v>1504</v>
      </c>
      <c r="D24" s="64">
        <f t="shared" si="0"/>
        <v>1.2675830797886237E-2</v>
      </c>
      <c r="I24" t="str">
        <f>About!$B$14</f>
        <v>https://www.eia.gov/consumption/commercial/data/2012/#b38-b46</v>
      </c>
    </row>
    <row r="25" spans="1:9" x14ac:dyDescent="0.25">
      <c r="A25" s="40" t="s">
        <v>194</v>
      </c>
      <c r="B25" t="s">
        <v>192</v>
      </c>
      <c r="C25">
        <f>IFERROR(INDEX(TableB39!$E$154:$K$159,MATCH('Summary_Com Appliances'!$A25,TableB39!$B$154:$B$159,0),MATCH('Summary_Com Appliances'!$B25,TableB39!$E$5:$K$5,0)),"")</f>
        <v>757</v>
      </c>
      <c r="D25" s="64">
        <f t="shared" si="0"/>
        <v>6.3800557938829003E-3</v>
      </c>
      <c r="I25" t="str">
        <f>About!$B$14</f>
        <v>https://www.eia.gov/consumption/commercial/data/2012/#b38-b46</v>
      </c>
    </row>
    <row r="26" spans="1:9" x14ac:dyDescent="0.25">
      <c r="A26" s="40" t="s">
        <v>194</v>
      </c>
      <c r="B26" t="s">
        <v>69</v>
      </c>
      <c r="C26" t="str">
        <f>IFERROR(INDEX(TableB39!$E$154:$K$159,MATCH('Summary_Com Appliances'!$A26,TableB39!$B$154:$B$159,0),MATCH('Summary_Com Appliances'!$B26,TableB39!$E$5:$K$5,0)),"")</f>
        <v>Q</v>
      </c>
      <c r="D26" s="64" t="str">
        <f t="shared" si="0"/>
        <v/>
      </c>
      <c r="I26" t="str">
        <f>About!$B$14</f>
        <v>https://www.eia.gov/consumption/commercial/data/2012/#b38-b46</v>
      </c>
    </row>
    <row r="27" spans="1:9" x14ac:dyDescent="0.25">
      <c r="A27" s="63" t="s">
        <v>195</v>
      </c>
      <c r="B27" s="65"/>
      <c r="C27" s="65" t="str">
        <f>IFERROR(INDEX(TableB39!$E$154:$K$159,MATCH('Summary_Com Appliances'!$A27,TableB39!$B$154:$B$159,0),MATCH('Summary_Com Appliances'!$B27,TableB39!$E$5:$K$5,0)),"")</f>
        <v/>
      </c>
      <c r="D27" s="65" t="str">
        <f t="shared" si="0"/>
        <v/>
      </c>
      <c r="I27" t="str">
        <f>About!$B$14</f>
        <v>https://www.eia.gov/consumption/commercial/data/2012/#b38-b46</v>
      </c>
    </row>
    <row r="28" spans="1:9" x14ac:dyDescent="0.25">
      <c r="A28" s="40" t="s">
        <v>195</v>
      </c>
      <c r="B28" t="s">
        <v>187</v>
      </c>
      <c r="C28">
        <f>IFERROR(INDEX(TableB39!$E$154:$K$159,MATCH('Summary_Com Appliances'!$A28,TableB39!$B$154:$B$159,0),MATCH('Summary_Com Appliances'!$B28,TableB39!$E$5:$K$5,0)),"")</f>
        <v>464</v>
      </c>
      <c r="D28" s="64">
        <f t="shared" si="0"/>
        <v>3.9106286504117117E-3</v>
      </c>
      <c r="I28" t="str">
        <f>About!$B$14</f>
        <v>https://www.eia.gov/consumption/commercial/data/2012/#b38-b46</v>
      </c>
    </row>
    <row r="29" spans="1:9" x14ac:dyDescent="0.25">
      <c r="A29" s="40" t="s">
        <v>195</v>
      </c>
      <c r="B29" t="s">
        <v>188</v>
      </c>
      <c r="C29" t="str">
        <f>IFERROR(INDEX(TableB39!$E$154:$K$159,MATCH('Summary_Com Appliances'!$A29,TableB39!$B$154:$B$159,0),MATCH('Summary_Com Appliances'!$B29,TableB39!$E$5:$K$5,0)),"")</f>
        <v>Q</v>
      </c>
      <c r="D29" s="64" t="str">
        <f t="shared" si="0"/>
        <v/>
      </c>
      <c r="I29" t="str">
        <f>About!$B$14</f>
        <v>https://www.eia.gov/consumption/commercial/data/2012/#b38-b46</v>
      </c>
    </row>
    <row r="30" spans="1:9" x14ac:dyDescent="0.25">
      <c r="A30" s="40" t="s">
        <v>195</v>
      </c>
      <c r="B30" t="s">
        <v>189</v>
      </c>
      <c r="C30">
        <f>IFERROR(INDEX(TableB39!$E$154:$K$159,MATCH('Summary_Com Appliances'!$A30,TableB39!$B$154:$B$159,0),MATCH('Summary_Com Appliances'!$B30,TableB39!$E$5:$K$5,0)),"")</f>
        <v>1271</v>
      </c>
      <c r="D30" s="64">
        <f t="shared" si="0"/>
        <v>1.0712088393692426E-2</v>
      </c>
      <c r="I30" t="str">
        <f>About!$B$14</f>
        <v>https://www.eia.gov/consumption/commercial/data/2012/#b38-b46</v>
      </c>
    </row>
    <row r="31" spans="1:9" x14ac:dyDescent="0.25">
      <c r="A31" s="40" t="s">
        <v>195</v>
      </c>
      <c r="B31" t="s">
        <v>190</v>
      </c>
      <c r="C31">
        <f>IFERROR(INDEX(TableB39!$E$154:$K$159,MATCH('Summary_Com Appliances'!$A31,TableB39!$B$154:$B$159,0),MATCH('Summary_Com Appliances'!$B31,TableB39!$E$5:$K$5,0)),"")</f>
        <v>5797</v>
      </c>
      <c r="D31" s="64">
        <f t="shared" si="0"/>
        <v>4.8857573893182529E-2</v>
      </c>
      <c r="I31" t="str">
        <f>About!$B$14</f>
        <v>https://www.eia.gov/consumption/commercial/data/2012/#b38-b46</v>
      </c>
    </row>
    <row r="32" spans="1:9" x14ac:dyDescent="0.25">
      <c r="A32" s="40" t="s">
        <v>195</v>
      </c>
      <c r="B32" t="s">
        <v>191</v>
      </c>
      <c r="C32" t="str">
        <f>IFERROR(INDEX(TableB39!$E$154:$K$159,MATCH('Summary_Com Appliances'!$A32,TableB39!$B$154:$B$159,0),MATCH('Summary_Com Appliances'!$B32,TableB39!$E$5:$K$5,0)),"")</f>
        <v>Q</v>
      </c>
      <c r="D32" s="64" t="str">
        <f t="shared" si="0"/>
        <v/>
      </c>
      <c r="I32" t="str">
        <f>About!$B$14</f>
        <v>https://www.eia.gov/consumption/commercial/data/2012/#b38-b46</v>
      </c>
    </row>
    <row r="33" spans="1:9" x14ac:dyDescent="0.25">
      <c r="A33" s="40" t="s">
        <v>195</v>
      </c>
      <c r="B33" t="s">
        <v>192</v>
      </c>
      <c r="C33">
        <f>IFERROR(INDEX(TableB39!$E$154:$K$159,MATCH('Summary_Com Appliances'!$A33,TableB39!$B$154:$B$159,0),MATCH('Summary_Com Appliances'!$B33,TableB39!$E$5:$K$5,0)),"")</f>
        <v>650</v>
      </c>
      <c r="D33" s="64">
        <f t="shared" si="0"/>
        <v>5.4782513421715792E-3</v>
      </c>
      <c r="I33" t="str">
        <f>About!$B$14</f>
        <v>https://www.eia.gov/consumption/commercial/data/2012/#b38-b46</v>
      </c>
    </row>
    <row r="34" spans="1:9" x14ac:dyDescent="0.25">
      <c r="A34" s="40" t="s">
        <v>195</v>
      </c>
      <c r="B34" t="s">
        <v>69</v>
      </c>
      <c r="C34" t="str">
        <f>IFERROR(INDEX(TableB39!$E$154:$K$159,MATCH('Summary_Com Appliances'!$A34,TableB39!$B$154:$B$159,0),MATCH('Summary_Com Appliances'!$B34,TableB39!$E$5:$K$5,0)),"")</f>
        <v>Q</v>
      </c>
      <c r="D34" s="64" t="str">
        <f t="shared" si="0"/>
        <v/>
      </c>
      <c r="I34" t="str">
        <f>About!$B$14</f>
        <v>https://www.eia.gov/consumption/commercial/data/2012/#b38-b46</v>
      </c>
    </row>
    <row r="35" spans="1:9" x14ac:dyDescent="0.25">
      <c r="A35" s="63" t="s">
        <v>169</v>
      </c>
      <c r="B35" s="65"/>
      <c r="C35" s="65" t="str">
        <f>IFERROR(INDEX(TableB39!$E$154:$K$159,MATCH('Summary_Com Appliances'!$A35,TableB39!$B$154:$B$159,0),MATCH('Summary_Com Appliances'!$B35,TableB39!$E$5:$K$5,0)),"")</f>
        <v/>
      </c>
      <c r="D35" s="65" t="str">
        <f t="shared" si="0"/>
        <v/>
      </c>
      <c r="I35" t="str">
        <f>About!$B$14</f>
        <v>https://www.eia.gov/consumption/commercial/data/2012/#b38-b46</v>
      </c>
    </row>
    <row r="36" spans="1:9" x14ac:dyDescent="0.25">
      <c r="A36" s="40" t="s">
        <v>169</v>
      </c>
      <c r="B36" t="s">
        <v>187</v>
      </c>
      <c r="C36" t="str">
        <f>IFERROR(INDEX(TableB39!$E$154:$K$159,MATCH('Summary_Com Appliances'!$A36,TableB39!$B$154:$B$159,0),MATCH('Summary_Com Appliances'!$B36,TableB39!$E$5:$K$5,0)),"")</f>
        <v>Q</v>
      </c>
      <c r="D36" s="64" t="str">
        <f t="shared" si="0"/>
        <v/>
      </c>
      <c r="I36" t="str">
        <f>About!$B$14</f>
        <v>https://www.eia.gov/consumption/commercial/data/2012/#b38-b46</v>
      </c>
    </row>
    <row r="37" spans="1:9" x14ac:dyDescent="0.25">
      <c r="A37" s="40" t="s">
        <v>169</v>
      </c>
      <c r="B37" t="s">
        <v>188</v>
      </c>
      <c r="C37">
        <f>IFERROR(INDEX(TableB39!$E$154:$K$159,MATCH('Summary_Com Appliances'!$A37,TableB39!$B$154:$B$159,0),MATCH('Summary_Com Appliances'!$B37,TableB39!$E$5:$K$5,0)),"")</f>
        <v>405</v>
      </c>
      <c r="D37" s="64">
        <f t="shared" si="0"/>
        <v>3.4133719901222916E-3</v>
      </c>
      <c r="I37" t="str">
        <f>About!$B$14</f>
        <v>https://www.eia.gov/consumption/commercial/data/2012/#b38-b46</v>
      </c>
    </row>
    <row r="38" spans="1:9" x14ac:dyDescent="0.25">
      <c r="A38" s="40" t="s">
        <v>169</v>
      </c>
      <c r="B38" t="s">
        <v>189</v>
      </c>
      <c r="C38">
        <f>IFERROR(INDEX(TableB39!$E$154:$K$159,MATCH('Summary_Com Appliances'!$A38,TableB39!$B$154:$B$159,0),MATCH('Summary_Com Appliances'!$B38,TableB39!$E$5:$K$5,0)),"")</f>
        <v>666</v>
      </c>
      <c r="D38" s="64">
        <f t="shared" si="0"/>
        <v>5.6131006059788793E-3</v>
      </c>
      <c r="I38" t="str">
        <f>About!$B$14</f>
        <v>https://www.eia.gov/consumption/commercial/data/2012/#b38-b46</v>
      </c>
    </row>
    <row r="39" spans="1:9" x14ac:dyDescent="0.25">
      <c r="A39" s="40" t="s">
        <v>169</v>
      </c>
      <c r="B39" t="s">
        <v>190</v>
      </c>
      <c r="C39" t="str">
        <f>IFERROR(INDEX(TableB39!$E$154:$K$159,MATCH('Summary_Com Appliances'!$A39,TableB39!$B$154:$B$159,0),MATCH('Summary_Com Appliances'!$B39,TableB39!$E$5:$K$5,0)),"")</f>
        <v>N</v>
      </c>
      <c r="D39" s="64" t="str">
        <f t="shared" si="0"/>
        <v/>
      </c>
      <c r="I39" t="str">
        <f>About!$B$14</f>
        <v>https://www.eia.gov/consumption/commercial/data/2012/#b38-b46</v>
      </c>
    </row>
    <row r="40" spans="1:9" x14ac:dyDescent="0.25">
      <c r="A40" s="40" t="s">
        <v>169</v>
      </c>
      <c r="B40" t="s">
        <v>191</v>
      </c>
      <c r="C40">
        <f>IFERROR(INDEX(TableB39!$E$154:$K$159,MATCH('Summary_Com Appliances'!$A40,TableB39!$B$154:$B$159,0),MATCH('Summary_Com Appliances'!$B40,TableB39!$E$5:$K$5,0)),"")</f>
        <v>276</v>
      </c>
      <c r="D40" s="64">
        <f t="shared" si="0"/>
        <v>2.3261498006759318E-3</v>
      </c>
      <c r="I40" t="str">
        <f>About!$B$14</f>
        <v>https://www.eia.gov/consumption/commercial/data/2012/#b38-b46</v>
      </c>
    </row>
    <row r="41" spans="1:9" x14ac:dyDescent="0.25">
      <c r="A41" s="40" t="s">
        <v>169</v>
      </c>
      <c r="B41" t="s">
        <v>192</v>
      </c>
      <c r="C41">
        <f>IFERROR(INDEX(TableB39!$E$154:$K$159,MATCH('Summary_Com Appliances'!$A41,TableB39!$B$154:$B$159,0),MATCH('Summary_Com Appliances'!$B41,TableB39!$E$5:$K$5,0)),"")</f>
        <v>1193</v>
      </c>
      <c r="D41" s="64">
        <f t="shared" si="0"/>
        <v>1.0054698232631836E-2</v>
      </c>
      <c r="I41" t="str">
        <f>About!$B$14</f>
        <v>https://www.eia.gov/consumption/commercial/data/2012/#b38-b46</v>
      </c>
    </row>
    <row r="42" spans="1:9" x14ac:dyDescent="0.25">
      <c r="A42" s="40" t="s">
        <v>169</v>
      </c>
      <c r="B42" t="s">
        <v>69</v>
      </c>
      <c r="C42" t="str">
        <f>IFERROR(INDEX(TableB39!$E$154:$K$159,MATCH('Summary_Com Appliances'!$A42,TableB39!$B$154:$B$159,0),MATCH('Summary_Com Appliances'!$B42,TableB39!$E$5:$K$5,0)),"")</f>
        <v>Q</v>
      </c>
      <c r="D42" s="66" t="str">
        <f t="shared" si="0"/>
        <v/>
      </c>
      <c r="I42" t="str">
        <f>About!$B$14</f>
        <v>https://www.eia.gov/consumption/commercial/data/2012/#b38-b46</v>
      </c>
    </row>
    <row r="43" spans="1:9" x14ac:dyDescent="0.25">
      <c r="A43" s="40"/>
      <c r="D43" s="45">
        <f>SUM(C4:C42)</f>
        <v>118651</v>
      </c>
      <c r="E43" s="2">
        <f>SUM(C3:C26)</f>
        <v>107929</v>
      </c>
      <c r="I43" t="str">
        <f>About!$B$14</f>
        <v>https://www.eia.gov/consumption/commercial/data/2012/#b38-b46</v>
      </c>
    </row>
    <row r="44" spans="1:9" x14ac:dyDescent="0.25">
      <c r="A44" s="40"/>
    </row>
    <row r="45" spans="1:9" x14ac:dyDescent="0.25">
      <c r="A45" s="63" t="s">
        <v>223</v>
      </c>
      <c r="B45" s="63" t="s">
        <v>196</v>
      </c>
      <c r="C45" s="63" t="s">
        <v>225</v>
      </c>
      <c r="D45" s="63"/>
    </row>
    <row r="46" spans="1:9" x14ac:dyDescent="0.25">
      <c r="A46" s="2" t="s">
        <v>186</v>
      </c>
      <c r="B46" s="2" t="s">
        <v>197</v>
      </c>
      <c r="C46" s="2">
        <f>IFERROR(INDEX(TableB42!$H$147:$H$151,MATCH('Summary_Com Appliances'!$A46,TableB42!$A$147:$A$151,0),MATCH('Summary_Com Appliances'!$B46,TableB42!$H$4,0)),"")</f>
        <v>42755</v>
      </c>
      <c r="D46" s="56">
        <f>C46/$D$51</f>
        <v>0.47339866024469912</v>
      </c>
      <c r="E46" s="6">
        <f>C46/$E$51</f>
        <v>0.50784544299136469</v>
      </c>
      <c r="I46" t="str">
        <f>About!$B$14</f>
        <v>https://www.eia.gov/consumption/commercial/data/2012/#b38-b46</v>
      </c>
    </row>
    <row r="47" spans="1:9" x14ac:dyDescent="0.25">
      <c r="A47" s="2" t="s">
        <v>193</v>
      </c>
      <c r="B47" s="2" t="s">
        <v>197</v>
      </c>
      <c r="C47" s="2">
        <f>IFERROR(INDEX(TableB42!$H$147:$H$151,MATCH('Summary_Com Appliances'!$A47,TableB42!$A$147:$A$151,0),MATCH('Summary_Com Appliances'!$B47,TableB42!$H$4,0)),"")</f>
        <v>39523</v>
      </c>
      <c r="D47" s="56">
        <f>C47/$D$51</f>
        <v>0.43761279964568456</v>
      </c>
      <c r="E47" s="6">
        <f>C47/$E$51</f>
        <v>0.46945562959531528</v>
      </c>
      <c r="I47" t="str">
        <f>About!$B$14</f>
        <v>https://www.eia.gov/consumption/commercial/data/2012/#b38-b46</v>
      </c>
    </row>
    <row r="48" spans="1:9" x14ac:dyDescent="0.25">
      <c r="A48" s="2" t="s">
        <v>194</v>
      </c>
      <c r="B48" s="2" t="s">
        <v>197</v>
      </c>
      <c r="C48" s="2">
        <f>IFERROR(INDEX(TableB42!$H$147:$H$151,MATCH('Summary_Com Appliances'!$A48,TableB42!$A$147:$A$151,0),MATCH('Summary_Com Appliances'!$B48,TableB42!$H$4,0)),"")</f>
        <v>1911</v>
      </c>
      <c r="D48" s="56">
        <f>C48/$D$51</f>
        <v>2.1159275867796049E-2</v>
      </c>
      <c r="E48" s="6">
        <f>C48/$E$51</f>
        <v>2.2698927413320032E-2</v>
      </c>
      <c r="I48" t="str">
        <f>About!$B$14</f>
        <v>https://www.eia.gov/consumption/commercial/data/2012/#b38-b46</v>
      </c>
    </row>
    <row r="49" spans="1:9" x14ac:dyDescent="0.25">
      <c r="A49" t="s">
        <v>195</v>
      </c>
      <c r="B49" t="s">
        <v>197</v>
      </c>
      <c r="C49">
        <f>IFERROR(INDEX(TableB42!$H$147:$H$151,MATCH('Summary_Com Appliances'!$A49,TableB42!$A$147:$A$151,0),MATCH('Summary_Com Appliances'!$B49,TableB42!$H$4,0)),"")</f>
        <v>4551</v>
      </c>
      <c r="D49" s="35">
        <f>C49/$D$51</f>
        <v>5.0390300614515861E-2</v>
      </c>
      <c r="I49" t="str">
        <f>About!$B$14</f>
        <v>https://www.eia.gov/consumption/commercial/data/2012/#b38-b46</v>
      </c>
    </row>
    <row r="50" spans="1:9" x14ac:dyDescent="0.25">
      <c r="A50" t="s">
        <v>169</v>
      </c>
      <c r="B50" t="s">
        <v>197</v>
      </c>
      <c r="C50">
        <f>IFERROR(INDEX(TableB42!$H$147:$H$151,MATCH('Summary_Com Appliances'!$A50,TableB42!$A$147:$A$151,0),MATCH('Summary_Com Appliances'!$B50,TableB42!$H$4,0)),"")</f>
        <v>1575</v>
      </c>
      <c r="D50" s="35">
        <f>C50/$D$51</f>
        <v>1.7438963627304436E-2</v>
      </c>
      <c r="I50" t="str">
        <f>About!$B$14</f>
        <v>https://www.eia.gov/consumption/commercial/data/2012/#b38-b46</v>
      </c>
    </row>
    <row r="51" spans="1:9" x14ac:dyDescent="0.25">
      <c r="C51" t="b">
        <f>SUM(C46:C50)=SUM(TableB42!H147:H151)</f>
        <v>1</v>
      </c>
      <c r="D51" s="2">
        <f>SUM(C46:C50)</f>
        <v>90315</v>
      </c>
      <c r="E51">
        <f>SUM(C46:C48)</f>
        <v>84189</v>
      </c>
    </row>
  </sheetData>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1"/>
  <sheetViews>
    <sheetView zoomScale="90" zoomScaleNormal="90" workbookViewId="0">
      <selection activeCell="I4" sqref="I4"/>
    </sheetView>
  </sheetViews>
  <sheetFormatPr defaultColWidth="9.140625" defaultRowHeight="15" x14ac:dyDescent="0.25"/>
  <cols>
    <col min="1" max="1" width="35.140625" bestFit="1" customWidth="1"/>
    <col min="2" max="2" width="27.5703125" customWidth="1"/>
    <col min="3" max="3" width="42" customWidth="1"/>
    <col min="5" max="5" width="10" style="53" bestFit="1" customWidth="1"/>
    <col min="6" max="6" width="19.5703125" customWidth="1"/>
    <col min="7" max="7" width="16.28515625" customWidth="1"/>
  </cols>
  <sheetData>
    <row r="1" spans="1:9" x14ac:dyDescent="0.25">
      <c r="A1" s="103" t="s">
        <v>227</v>
      </c>
      <c r="B1" s="101"/>
      <c r="C1" s="101"/>
      <c r="D1" s="101"/>
      <c r="E1" s="102"/>
      <c r="F1" s="101"/>
      <c r="G1" s="101"/>
      <c r="H1" s="101"/>
      <c r="I1" s="101"/>
    </row>
    <row r="2" spans="1:9" x14ac:dyDescent="0.25">
      <c r="A2" s="39"/>
      <c r="B2" s="39"/>
      <c r="C2" s="39"/>
      <c r="D2" s="39"/>
      <c r="E2" s="95"/>
      <c r="F2" s="39" t="s">
        <v>228</v>
      </c>
      <c r="G2" s="39" t="s">
        <v>228</v>
      </c>
      <c r="H2" s="39"/>
      <c r="I2" s="2" t="s">
        <v>160</v>
      </c>
    </row>
    <row r="3" spans="1:9" ht="44.25" customHeight="1" x14ac:dyDescent="0.25">
      <c r="B3" s="2" t="s">
        <v>229</v>
      </c>
      <c r="C3" s="2" t="s">
        <v>230</v>
      </c>
      <c r="D3" s="2" t="s">
        <v>231</v>
      </c>
      <c r="E3" s="97">
        <v>2025</v>
      </c>
      <c r="F3" s="46" t="s">
        <v>226</v>
      </c>
      <c r="G3" s="46" t="s">
        <v>157</v>
      </c>
      <c r="H3" s="2"/>
    </row>
    <row r="4" spans="1:9" x14ac:dyDescent="0.25">
      <c r="A4" t="s">
        <v>232</v>
      </c>
      <c r="H4" s="2"/>
      <c r="I4" t="str">
        <f>About!$B$21</f>
        <v>Alternative electricity and transportation: Table 21</v>
      </c>
    </row>
    <row r="5" spans="1:9" x14ac:dyDescent="0.25">
      <c r="A5" s="94" t="s">
        <v>162</v>
      </c>
      <c r="H5" s="2"/>
      <c r="I5" t="str">
        <f>About!$B$21</f>
        <v>Alternative electricity and transportation: Table 21</v>
      </c>
    </row>
    <row r="6" spans="1:9" x14ac:dyDescent="0.25">
      <c r="A6" s="2" t="s">
        <v>164</v>
      </c>
      <c r="B6" t="s">
        <v>233</v>
      </c>
      <c r="D6" s="2" t="s">
        <v>234</v>
      </c>
      <c r="E6" s="96">
        <f>IFERROR(INDEX('AEO26 Table 21'!$E$6:$AD$92,MATCH($B6,'AEO26 Table 21'!$B$6:$B$92,0),MATCH($E$3,'AEO26 Table 21'!$E$5:$AD$5,0)),"")</f>
        <v>17.311983000000001</v>
      </c>
      <c r="F6" s="58">
        <f t="shared" ref="F6:F15" si="0">E6/$E$15</f>
        <v>0.13854098402767814</v>
      </c>
      <c r="G6" s="56">
        <f>E6/$G$15</f>
        <v>0.15713893826111072</v>
      </c>
      <c r="H6" s="2"/>
      <c r="I6" t="str">
        <f>About!$B$21</f>
        <v>Alternative electricity and transportation: Table 21</v>
      </c>
    </row>
    <row r="7" spans="1:9" x14ac:dyDescent="0.25">
      <c r="A7" s="2" t="s">
        <v>165</v>
      </c>
      <c r="B7" t="s">
        <v>235</v>
      </c>
      <c r="D7" s="2" t="s">
        <v>234</v>
      </c>
      <c r="E7" s="96">
        <f>IFERROR(INDEX('AEO26 Table 21'!$E$6:$AD$92,MATCH($B7,'AEO26 Table 21'!$B$6:$B$92,0),MATCH($E$3,'AEO26 Table 21'!$E$5:$AD$5,0)),"")</f>
        <v>27.181431</v>
      </c>
      <c r="F7" s="58">
        <f t="shared" si="0"/>
        <v>0.21752229065962203</v>
      </c>
      <c r="G7" s="56">
        <f>E7/$G$15</f>
        <v>0.24672281666159451</v>
      </c>
      <c r="H7" s="2"/>
      <c r="I7" t="str">
        <f>About!$B$21</f>
        <v>Alternative electricity and transportation: Table 21</v>
      </c>
    </row>
    <row r="8" spans="1:9" x14ac:dyDescent="0.25">
      <c r="A8" t="s">
        <v>166</v>
      </c>
      <c r="B8" t="s">
        <v>236</v>
      </c>
      <c r="D8" t="s">
        <v>234</v>
      </c>
      <c r="E8" s="96">
        <f>IFERROR(INDEX('AEO26 Table 21'!$E$6:$AD$92,MATCH($B8,'AEO26 Table 21'!$B$6:$B$92,0),MATCH($E$3,'AEO26 Table 21'!$E$5:$AD$5,0)),"")</f>
        <v>1.3534809999999999</v>
      </c>
      <c r="F8" s="6">
        <f t="shared" si="0"/>
        <v>1.0831375562393161E-2</v>
      </c>
      <c r="G8" s="35"/>
      <c r="H8" s="2"/>
      <c r="I8" t="str">
        <f>About!$B$21</f>
        <v>Alternative electricity and transportation: Table 21</v>
      </c>
    </row>
    <row r="9" spans="1:9" x14ac:dyDescent="0.25">
      <c r="A9" s="2" t="s">
        <v>167</v>
      </c>
      <c r="B9" t="s">
        <v>237</v>
      </c>
      <c r="D9" s="2" t="s">
        <v>234</v>
      </c>
      <c r="E9" s="96">
        <f>IFERROR(INDEX('AEO26 Table 21'!$E$6:$AD$92,MATCH($B9,'AEO26 Table 21'!$B$6:$B$92,0),MATCH($E$3,'AEO26 Table 21'!$E$5:$AD$5,0)),"")</f>
        <v>65.676497999999995</v>
      </c>
      <c r="F9" s="58">
        <f t="shared" si="0"/>
        <v>0.52558315592222071</v>
      </c>
      <c r="G9" s="56">
        <f>E9/$G$15</f>
        <v>0.59613824507729474</v>
      </c>
      <c r="H9" s="2"/>
      <c r="I9" t="str">
        <f>About!$B$21</f>
        <v>Alternative electricity and transportation: Table 21</v>
      </c>
    </row>
    <row r="10" spans="1:9" x14ac:dyDescent="0.25">
      <c r="A10" t="s">
        <v>168</v>
      </c>
      <c r="B10" t="s">
        <v>238</v>
      </c>
      <c r="D10" t="s">
        <v>234</v>
      </c>
      <c r="E10" s="96">
        <f>IFERROR(INDEX('AEO26 Table 21'!$E$6:$AD$92,MATCH($B10,'AEO26 Table 21'!$B$6:$B$92,0),MATCH($E$3,'AEO26 Table 21'!$E$5:$AD$5,0)),"")</f>
        <v>4.6737549999999999</v>
      </c>
      <c r="F10" s="6">
        <f t="shared" si="0"/>
        <v>3.7402221155385884E-2</v>
      </c>
      <c r="G10" s="35"/>
      <c r="H10" s="2"/>
      <c r="I10" t="str">
        <f>About!$B$21</f>
        <v>Alternative electricity and transportation: Table 21</v>
      </c>
    </row>
    <row r="11" spans="1:9" x14ac:dyDescent="0.25">
      <c r="A11" t="s">
        <v>169</v>
      </c>
      <c r="B11" t="s">
        <v>239</v>
      </c>
      <c r="D11" t="s">
        <v>234</v>
      </c>
      <c r="E11" s="96">
        <f>IFERROR(INDEX('AEO26 Table 21'!$E$6:$AD$92,MATCH($B11,'AEO26 Table 21'!$B$6:$B$92,0),MATCH($E$3,'AEO26 Table 21'!$E$5:$AD$5,0)),"")</f>
        <v>5.2395709999999998</v>
      </c>
      <c r="F11" s="6">
        <f t="shared" si="0"/>
        <v>4.193022383529868E-2</v>
      </c>
      <c r="G11" s="35"/>
      <c r="H11" s="2"/>
      <c r="I11" t="str">
        <f>About!$B$21</f>
        <v>Alternative electricity and transportation: Table 21</v>
      </c>
    </row>
    <row r="12" spans="1:9" x14ac:dyDescent="0.25">
      <c r="A12" t="s">
        <v>170</v>
      </c>
      <c r="B12" t="s">
        <v>240</v>
      </c>
      <c r="D12" t="s">
        <v>234</v>
      </c>
      <c r="E12" s="96" t="str">
        <f>IFERROR(INDEX('AEO26 Table 21'!$E$6:$AD$92,MATCH($B12,'AEO26 Table 21'!$B$6:$B$92,0),MATCH($E$3,'AEO26 Table 21'!$E$5:$AD$5,0)),"")</f>
        <v/>
      </c>
      <c r="F12" s="6" t="e">
        <f t="shared" si="0"/>
        <v>#VALUE!</v>
      </c>
      <c r="G12" s="35"/>
      <c r="H12" s="2"/>
      <c r="I12" t="str">
        <f>About!$B$21</f>
        <v>Alternative electricity and transportation: Table 21</v>
      </c>
    </row>
    <row r="13" spans="1:9" x14ac:dyDescent="0.25">
      <c r="A13" t="s">
        <v>171</v>
      </c>
      <c r="B13" t="s">
        <v>241</v>
      </c>
      <c r="D13" t="s">
        <v>234</v>
      </c>
      <c r="E13" s="96">
        <f>IFERROR(INDEX('AEO26 Table 21'!$E$6:$AD$92,MATCH($B13,'AEO26 Table 21'!$B$6:$B$92,0),MATCH($E$3,'AEO26 Table 21'!$E$5:$AD$5,0)),"")</f>
        <v>2.2090990000000001</v>
      </c>
      <c r="F13" s="6">
        <f t="shared" si="0"/>
        <v>1.767854955001745E-2</v>
      </c>
      <c r="G13" s="35"/>
      <c r="H13" s="2"/>
      <c r="I13" t="str">
        <f>About!$B$21</f>
        <v>Alternative electricity and transportation: Table 21</v>
      </c>
    </row>
    <row r="14" spans="1:9" x14ac:dyDescent="0.25">
      <c r="A14" t="s">
        <v>172</v>
      </c>
      <c r="B14" t="s">
        <v>242</v>
      </c>
      <c r="D14" t="s">
        <v>234</v>
      </c>
      <c r="E14" s="96">
        <f>IFERROR(INDEX('AEO26 Table 21'!$E$6:$AD$92,MATCH($B14,'AEO26 Table 21'!$B$6:$B$92,0),MATCH($E$3,'AEO26 Table 21'!$E$5:$AD$5,0)),"")</f>
        <v>1.313477</v>
      </c>
      <c r="F14" s="6">
        <f t="shared" si="0"/>
        <v>1.051123930041536E-2</v>
      </c>
      <c r="G14" s="35"/>
      <c r="H14" s="2"/>
      <c r="I14" t="str">
        <f>About!$B$21</f>
        <v>Alternative electricity and transportation: Table 21</v>
      </c>
    </row>
    <row r="15" spans="1:9" x14ac:dyDescent="0.25">
      <c r="A15" t="s">
        <v>243</v>
      </c>
      <c r="B15" t="s">
        <v>244</v>
      </c>
      <c r="D15" t="s">
        <v>234</v>
      </c>
      <c r="E15" s="96">
        <f>IFERROR(INDEX('AEO26 Table 21'!$E$6:$AD$92,MATCH($B15,'AEO26 Table 21'!$B$6:$B$92,0),MATCH($E$3,'AEO26 Table 21'!$E$5:$AD$5,0)),"")</f>
        <v>124.95929</v>
      </c>
      <c r="F15" s="6">
        <f t="shared" si="0"/>
        <v>1</v>
      </c>
      <c r="G15" s="57">
        <f>SUM(E6:E7,E9)</f>
        <v>110.169912</v>
      </c>
      <c r="H15" s="2"/>
      <c r="I15" t="str">
        <f>About!$B$21</f>
        <v>Alternative electricity and transportation: Table 21</v>
      </c>
    </row>
    <row r="16" spans="1:9" x14ac:dyDescent="0.25">
      <c r="A16" s="94" t="s">
        <v>245</v>
      </c>
      <c r="E16" s="96" t="str">
        <f>IFERROR(INDEX('AEO26 Table 21'!$E$6:$AD$92,MATCH($B16,'AEO26 Table 21'!$B$6:$B$92,0),MATCH($E$3,'AEO26 Table 21'!$E$5:$AD$5,0)),"")</f>
        <v/>
      </c>
      <c r="H16" s="2"/>
      <c r="I16" t="str">
        <f>About!$B$21</f>
        <v>Alternative electricity and transportation: Table 21</v>
      </c>
    </row>
    <row r="17" spans="1:9" x14ac:dyDescent="0.25">
      <c r="A17" s="2" t="s">
        <v>164</v>
      </c>
      <c r="B17" t="s">
        <v>246</v>
      </c>
      <c r="D17" s="2" t="s">
        <v>234</v>
      </c>
      <c r="E17" s="96">
        <f>IFERROR(INDEX('AEO26 Table 21'!$E$6:$AD$92,MATCH($B17,'AEO26 Table 21'!$B$6:$B$92,0),MATCH($E$3,'AEO26 Table 21'!$E$5:$AD$5,0)),"")</f>
        <v>17.311980999999999</v>
      </c>
      <c r="F17" s="58">
        <f t="shared" ref="F17:F22" si="1">E17/$E$22</f>
        <v>0.12034361727395493</v>
      </c>
      <c r="G17" s="56">
        <f>E17/$G$22</f>
        <v>0.12261684060152322</v>
      </c>
      <c r="H17" s="2"/>
      <c r="I17" t="str">
        <f>About!$B$21</f>
        <v>Alternative electricity and transportation: Table 21</v>
      </c>
    </row>
    <row r="18" spans="1:9" x14ac:dyDescent="0.25">
      <c r="A18" t="s">
        <v>166</v>
      </c>
      <c r="B18" t="s">
        <v>247</v>
      </c>
      <c r="D18" t="s">
        <v>234</v>
      </c>
      <c r="E18" s="96">
        <f>IFERROR(INDEX('AEO26 Table 21'!$E$6:$AD$92,MATCH($B18,'AEO26 Table 21'!$B$6:$B$92,0),MATCH($E$3,'AEO26 Table 21'!$E$5:$AD$5,0)),"")</f>
        <v>1.3534809999999999</v>
      </c>
      <c r="F18" s="6">
        <f t="shared" si="1"/>
        <v>9.4086748045512404E-3</v>
      </c>
      <c r="G18" s="56"/>
      <c r="H18" s="2"/>
      <c r="I18" t="str">
        <f>About!$B$21</f>
        <v>Alternative electricity and transportation: Table 21</v>
      </c>
    </row>
    <row r="19" spans="1:9" x14ac:dyDescent="0.25">
      <c r="A19" t="s">
        <v>172</v>
      </c>
      <c r="B19" t="s">
        <v>248</v>
      </c>
      <c r="D19" t="s">
        <v>234</v>
      </c>
      <c r="E19" s="96">
        <f>IFERROR(INDEX('AEO26 Table 21'!$E$6:$AD$92,MATCH($B19,'AEO26 Table 21'!$B$6:$B$92,0),MATCH($E$3,'AEO26 Table 21'!$E$5:$AD$5,0)),"")</f>
        <v>1.3134760000000001</v>
      </c>
      <c r="F19" s="6">
        <f t="shared" si="1"/>
        <v>9.1305814766389388E-3</v>
      </c>
      <c r="G19" s="56"/>
      <c r="H19" s="2"/>
      <c r="I19" t="str">
        <f>About!$B$21</f>
        <v>Alternative electricity and transportation: Table 21</v>
      </c>
    </row>
    <row r="20" spans="1:9" x14ac:dyDescent="0.25">
      <c r="A20" s="2" t="s">
        <v>174</v>
      </c>
      <c r="B20" t="s">
        <v>249</v>
      </c>
      <c r="D20" s="2" t="s">
        <v>234</v>
      </c>
      <c r="E20" s="96">
        <f>IFERROR(INDEX('AEO26 Table 21'!$E$6:$AD$92,MATCH($B20,'AEO26 Table 21'!$B$6:$B$92,0),MATCH($E$3,'AEO26 Table 21'!$E$5:$AD$5,0)),"")</f>
        <v>80.644835999999998</v>
      </c>
      <c r="F20" s="58">
        <f t="shared" si="1"/>
        <v>0.56059969559259926</v>
      </c>
      <c r="G20" s="56">
        <f>E20/$G$22</f>
        <v>0.57118910892681674</v>
      </c>
      <c r="H20" s="2"/>
      <c r="I20" t="str">
        <f>About!$B$21</f>
        <v>Alternative electricity and transportation: Table 21</v>
      </c>
    </row>
    <row r="21" spans="1:9" x14ac:dyDescent="0.25">
      <c r="A21" s="2" t="s">
        <v>175</v>
      </c>
      <c r="B21" t="s">
        <v>250</v>
      </c>
      <c r="D21" s="2" t="s">
        <v>234</v>
      </c>
      <c r="E21" s="96">
        <f>IFERROR(INDEX('AEO26 Table 21'!$E$6:$AD$92,MATCH($B21,'AEO26 Table 21'!$B$6:$B$92,0),MATCH($E$3,'AEO26 Table 21'!$E$5:$AD$5,0)),"")</f>
        <v>43.230812</v>
      </c>
      <c r="F21" s="58">
        <f t="shared" si="1"/>
        <v>0.30051744475518422</v>
      </c>
      <c r="G21" s="56">
        <f>E21/$G$22</f>
        <v>0.30619405047165993</v>
      </c>
      <c r="H21" s="2"/>
      <c r="I21" t="str">
        <f>About!$B$21</f>
        <v>Alternative electricity and transportation: Table 21</v>
      </c>
    </row>
    <row r="22" spans="1:9" x14ac:dyDescent="0.25">
      <c r="A22" t="s">
        <v>243</v>
      </c>
      <c r="B22" t="s">
        <v>251</v>
      </c>
      <c r="D22" t="s">
        <v>234</v>
      </c>
      <c r="E22" s="96">
        <f>IFERROR(INDEX('AEO26 Table 21'!$E$6:$AD$92,MATCH($B22,'AEO26 Table 21'!$B$6:$B$92,0),MATCH($E$3,'AEO26 Table 21'!$E$5:$AD$5,0)),"")</f>
        <v>143.85458399999999</v>
      </c>
      <c r="F22" s="6">
        <f t="shared" si="1"/>
        <v>1</v>
      </c>
      <c r="G22" s="57">
        <f>SUM(E17,E20:E21)</f>
        <v>141.18762900000002</v>
      </c>
      <c r="H22" s="2"/>
      <c r="I22" t="str">
        <f>About!$B$21</f>
        <v>Alternative electricity and transportation: Table 21</v>
      </c>
    </row>
    <row r="23" spans="1:9" x14ac:dyDescent="0.25">
      <c r="A23" s="94" t="s">
        <v>252</v>
      </c>
      <c r="E23" s="96" t="str">
        <f>IFERROR(INDEX('AEO26 Table 21'!$E$6:$AD$92,MATCH($B23,'AEO26 Table 21'!$B$6:$B$92,0),MATCH($E$3,'AEO26 Table 21'!$E$5:$AD$5,0)),"")</f>
        <v/>
      </c>
      <c r="H23" s="2"/>
      <c r="I23" t="str">
        <f>About!$B$21</f>
        <v>Alternative electricity and transportation: Table 21</v>
      </c>
    </row>
    <row r="24" spans="1:9" x14ac:dyDescent="0.25">
      <c r="A24" s="2" t="s">
        <v>177</v>
      </c>
      <c r="B24" t="s">
        <v>253</v>
      </c>
      <c r="D24" s="2" t="s">
        <v>234</v>
      </c>
      <c r="E24" s="96">
        <f>IFERROR(INDEX('AEO26 Table 21'!$E$6:$AD$92,MATCH($B24,'AEO26 Table 21'!$B$6:$B$92,0),MATCH($E$3,'AEO26 Table 21'!$E$5:$AD$5,0)),"")</f>
        <v>62.475158999999998</v>
      </c>
      <c r="F24" s="58">
        <f t="shared" ref="F24:F29" si="2">E24/$E$29</f>
        <v>0.45872438585184661</v>
      </c>
      <c r="G24" s="56">
        <f>E24/$G$29</f>
        <v>0.48965433368415406</v>
      </c>
      <c r="H24" s="2"/>
      <c r="I24" t="str">
        <f>About!$B$21</f>
        <v>Alternative electricity and transportation: Table 21</v>
      </c>
    </row>
    <row r="25" spans="1:9" x14ac:dyDescent="0.25">
      <c r="A25" s="2" t="s">
        <v>178</v>
      </c>
      <c r="B25" t="s">
        <v>254</v>
      </c>
      <c r="D25" s="2" t="s">
        <v>234</v>
      </c>
      <c r="E25" s="96">
        <f>IFERROR(INDEX('AEO26 Table 21'!$E$6:$AD$92,MATCH($B25,'AEO26 Table 21'!$B$6:$B$92,0),MATCH($E$3,'AEO26 Table 21'!$E$5:$AD$5,0)),"")</f>
        <v>65.115172999999999</v>
      </c>
      <c r="F25" s="58">
        <f t="shared" si="2"/>
        <v>0.47810871108085928</v>
      </c>
      <c r="G25" s="56">
        <f>E25/$G$29</f>
        <v>0.51034566631584599</v>
      </c>
      <c r="H25" s="2"/>
      <c r="I25" t="str">
        <f>About!$B$21</f>
        <v>Alternative electricity and transportation: Table 21</v>
      </c>
    </row>
    <row r="26" spans="1:9" x14ac:dyDescent="0.25">
      <c r="A26" t="s">
        <v>168</v>
      </c>
      <c r="B26" t="s">
        <v>255</v>
      </c>
      <c r="D26" t="s">
        <v>234</v>
      </c>
      <c r="E26" s="96">
        <f>IFERROR(INDEX('AEO26 Table 21'!$E$6:$AD$92,MATCH($B26,'AEO26 Table 21'!$B$6:$B$92,0),MATCH($E$3,'AEO26 Table 21'!$E$5:$AD$5,0)),"")</f>
        <v>2.2249989999999999</v>
      </c>
      <c r="F26" s="6">
        <f t="shared" si="2"/>
        <v>1.6337074064845084E-2</v>
      </c>
      <c r="G26" s="35"/>
      <c r="H26" s="2"/>
      <c r="I26" t="str">
        <f>About!$B$21</f>
        <v>Alternative electricity and transportation: Table 21</v>
      </c>
    </row>
    <row r="27" spans="1:9" x14ac:dyDescent="0.25">
      <c r="A27" t="s">
        <v>169</v>
      </c>
      <c r="B27" t="s">
        <v>256</v>
      </c>
      <c r="D27" t="s">
        <v>234</v>
      </c>
      <c r="E27" s="96">
        <f>IFERROR(INDEX('AEO26 Table 21'!$E$6:$AD$92,MATCH($B27,'AEO26 Table 21'!$B$6:$B$92,0),MATCH($E$3,'AEO26 Table 21'!$E$5:$AD$5,0)),"")</f>
        <v>4.1999490000000002</v>
      </c>
      <c r="F27" s="6">
        <f t="shared" si="2"/>
        <v>3.0838161222352032E-2</v>
      </c>
      <c r="G27" s="35"/>
      <c r="H27" s="2"/>
      <c r="I27" t="str">
        <f>About!$B$21</f>
        <v>Alternative electricity and transportation: Table 21</v>
      </c>
    </row>
    <row r="28" spans="1:9" x14ac:dyDescent="0.25">
      <c r="A28" t="s">
        <v>179</v>
      </c>
      <c r="B28" t="s">
        <v>257</v>
      </c>
      <c r="D28" t="s">
        <v>234</v>
      </c>
      <c r="E28" s="96">
        <f>IFERROR(INDEX('AEO26 Table 21'!$E$6:$AD$92,MATCH($B28,'AEO26 Table 21'!$B$6:$B$92,0),MATCH($E$3,'AEO26 Table 21'!$E$5:$AD$5,0)),"")</f>
        <v>2.1779500000000001</v>
      </c>
      <c r="F28" s="6">
        <f t="shared" si="2"/>
        <v>1.5991616382537408E-2</v>
      </c>
      <c r="G28" s="35"/>
      <c r="H28" s="2"/>
      <c r="I28" t="str">
        <f>About!$B$21</f>
        <v>Alternative electricity and transportation: Table 21</v>
      </c>
    </row>
    <row r="29" spans="1:9" x14ac:dyDescent="0.25">
      <c r="A29" t="s">
        <v>243</v>
      </c>
      <c r="B29" t="s">
        <v>258</v>
      </c>
      <c r="D29" t="s">
        <v>234</v>
      </c>
      <c r="E29" s="96">
        <f>IFERROR(INDEX('AEO26 Table 21'!$E$6:$AD$92,MATCH($B29,'AEO26 Table 21'!$B$6:$B$92,0),MATCH($E$3,'AEO26 Table 21'!$E$5:$AD$5,0)),"")</f>
        <v>136.19323700000001</v>
      </c>
      <c r="F29" s="6">
        <f t="shared" si="2"/>
        <v>1</v>
      </c>
      <c r="G29" s="57">
        <f>SUM(E24:E25)</f>
        <v>127.59033199999999</v>
      </c>
      <c r="H29" s="2"/>
      <c r="I29" t="str">
        <f>About!$B$21</f>
        <v>Alternative electricity and transportation: Table 21</v>
      </c>
    </row>
    <row r="30" spans="1:9" x14ac:dyDescent="0.25">
      <c r="A30" s="94" t="s">
        <v>259</v>
      </c>
      <c r="E30" s="96" t="str">
        <f>IFERROR(INDEX('AEO26 Table 21'!$E$6:$AD$92,MATCH($B30,'AEO26 Table 21'!$B$6:$B$92,0),MATCH($E$3,'AEO26 Table 21'!$E$5:$AD$5,0)),"")</f>
        <v/>
      </c>
      <c r="H30" s="2"/>
      <c r="I30" t="str">
        <f>About!$B$21</f>
        <v>Alternative electricity and transportation: Table 21</v>
      </c>
    </row>
    <row r="31" spans="1:9" x14ac:dyDescent="0.25">
      <c r="A31" t="s">
        <v>177</v>
      </c>
      <c r="B31" t="s">
        <v>260</v>
      </c>
      <c r="D31" t="s">
        <v>234</v>
      </c>
      <c r="E31" s="96">
        <f>IFERROR(INDEX('AEO26 Table 21'!$E$6:$AD$92,MATCH($B31,'AEO26 Table 21'!$B$6:$B$92,0),MATCH($E$3,'AEO26 Table 21'!$E$5:$AD$5,0)),"")</f>
        <v>101.44486999999999</v>
      </c>
      <c r="F31" s="6">
        <f>E31/$E$34</f>
        <v>0.62683937536329326</v>
      </c>
      <c r="G31" s="35"/>
      <c r="H31" s="2"/>
      <c r="I31" t="str">
        <f>About!$B$21</f>
        <v>Alternative electricity and transportation: Table 21</v>
      </c>
    </row>
    <row r="32" spans="1:9" x14ac:dyDescent="0.25">
      <c r="A32" s="2" t="s">
        <v>178</v>
      </c>
      <c r="B32" t="s">
        <v>261</v>
      </c>
      <c r="D32" s="2" t="s">
        <v>234</v>
      </c>
      <c r="E32" s="96">
        <f>IFERROR(INDEX('AEO26 Table 21'!$E$6:$AD$92,MATCH($B32,'AEO26 Table 21'!$B$6:$B$92,0),MATCH($E$3,'AEO26 Table 21'!$E$5:$AD$5,0)),"")</f>
        <v>54.077556999999999</v>
      </c>
      <c r="F32" s="58">
        <f>E32/$E$34</f>
        <v>0.33415136764483888</v>
      </c>
      <c r="G32" s="56">
        <v>1</v>
      </c>
      <c r="H32" s="2"/>
      <c r="I32" t="str">
        <f>About!$B$21</f>
        <v>Alternative electricity and transportation: Table 21</v>
      </c>
    </row>
    <row r="33" spans="1:9" x14ac:dyDescent="0.25">
      <c r="A33" t="s">
        <v>169</v>
      </c>
      <c r="B33" t="s">
        <v>262</v>
      </c>
      <c r="D33" t="s">
        <v>234</v>
      </c>
      <c r="E33" s="96">
        <f>IFERROR(INDEX('AEO26 Table 21'!$E$6:$AD$92,MATCH($B33,'AEO26 Table 21'!$B$6:$B$92,0),MATCH($E$3,'AEO26 Table 21'!$E$5:$AD$5,0)),"")</f>
        <v>6.3130860000000002</v>
      </c>
      <c r="F33" s="6">
        <f>E33/$E$34</f>
        <v>3.9009275529208638E-2</v>
      </c>
      <c r="G33" s="35"/>
      <c r="H33" s="2"/>
      <c r="I33" t="str">
        <f>About!$B$21</f>
        <v>Alternative electricity and transportation: Table 21</v>
      </c>
    </row>
    <row r="34" spans="1:9" x14ac:dyDescent="0.25">
      <c r="A34" t="s">
        <v>243</v>
      </c>
      <c r="B34" t="s">
        <v>263</v>
      </c>
      <c r="D34" t="s">
        <v>234</v>
      </c>
      <c r="E34" s="96">
        <f>IFERROR(INDEX('AEO26 Table 21'!$E$6:$AD$92,MATCH($B34,'AEO26 Table 21'!$B$6:$B$92,0),MATCH($E$3,'AEO26 Table 21'!$E$5:$AD$5,0)),"")</f>
        <v>161.83551</v>
      </c>
      <c r="F34" s="6">
        <f>E34/$E$34</f>
        <v>1</v>
      </c>
      <c r="G34" s="35"/>
      <c r="H34" s="2"/>
      <c r="I34" t="str">
        <f>About!$B$21</f>
        <v>Alternative electricity and transportation: Table 21</v>
      </c>
    </row>
    <row r="35" spans="1:9" x14ac:dyDescent="0.25">
      <c r="A35" s="94" t="s">
        <v>264</v>
      </c>
      <c r="E35" s="96" t="str">
        <f>IFERROR(INDEX('AEO26 Table 21'!$E$6:$AD$92,MATCH($B35,'AEO26 Table 21'!$B$6:$B$92,0),MATCH($E$3,'AEO26 Table 21'!$E$5:$AD$5,0)),"")</f>
        <v/>
      </c>
      <c r="H35" s="2"/>
      <c r="I35" t="str">
        <f>About!$B$21</f>
        <v>Alternative electricity and transportation: Table 21</v>
      </c>
    </row>
    <row r="36" spans="1:9" x14ac:dyDescent="0.25">
      <c r="A36" s="2" t="s">
        <v>177</v>
      </c>
      <c r="B36" t="s">
        <v>265</v>
      </c>
      <c r="D36" s="2" t="s">
        <v>234</v>
      </c>
      <c r="E36" s="96">
        <f>IFERROR(INDEX('AEO26 Table 21'!$E$6:$AD$92,MATCH($B36,'AEO26 Table 21'!$B$6:$B$92,0),MATCH($E$3,'AEO26 Table 21'!$E$5:$AD$5,0)),"")</f>
        <v>95.144310000000004</v>
      </c>
      <c r="F36" s="58">
        <f>E36/$E$38</f>
        <v>0.8229921123922751</v>
      </c>
      <c r="G36" s="56">
        <f>F36</f>
        <v>0.8229921123922751</v>
      </c>
      <c r="H36" s="2"/>
      <c r="I36" t="str">
        <f>About!$B$21</f>
        <v>Alternative electricity and transportation: Table 21</v>
      </c>
    </row>
    <row r="37" spans="1:9" x14ac:dyDescent="0.25">
      <c r="A37" s="2" t="s">
        <v>178</v>
      </c>
      <c r="B37" t="s">
        <v>266</v>
      </c>
      <c r="D37" s="2" t="s">
        <v>234</v>
      </c>
      <c r="E37" s="96">
        <f>IFERROR(INDEX('AEO26 Table 21'!$E$6:$AD$92,MATCH($B37,'AEO26 Table 21'!$B$6:$B$92,0),MATCH($E$3,'AEO26 Table 21'!$E$5:$AD$5,0)),"")</f>
        <v>20.463491000000001</v>
      </c>
      <c r="F37" s="58">
        <f>E37/$E$38</f>
        <v>0.17700787030785456</v>
      </c>
      <c r="G37" s="56">
        <f>F37</f>
        <v>0.17700787030785456</v>
      </c>
      <c r="H37" s="2"/>
      <c r="I37" t="str">
        <f>About!$B$21</f>
        <v>Alternative electricity and transportation: Table 21</v>
      </c>
    </row>
    <row r="38" spans="1:9" x14ac:dyDescent="0.25">
      <c r="A38" t="s">
        <v>243</v>
      </c>
      <c r="B38" t="s">
        <v>267</v>
      </c>
      <c r="D38" t="s">
        <v>234</v>
      </c>
      <c r="E38" s="96">
        <f>IFERROR(INDEX('AEO26 Table 21'!$E$6:$AD$92,MATCH($B38,'AEO26 Table 21'!$B$6:$B$92,0),MATCH($E$3,'AEO26 Table 21'!$E$5:$AD$5,0)),"")</f>
        <v>115.607803</v>
      </c>
      <c r="F38" s="6">
        <f>E38/$E$38</f>
        <v>1</v>
      </c>
      <c r="G38" s="57">
        <f>SUM(E36:E37)</f>
        <v>115.60780100000001</v>
      </c>
      <c r="H38" s="2"/>
      <c r="I38" t="str">
        <f>About!$B$21</f>
        <v>Alternative electricity and transportation: Table 21</v>
      </c>
    </row>
    <row r="39" spans="1:9" x14ac:dyDescent="0.25">
      <c r="A39" s="94" t="s">
        <v>268</v>
      </c>
      <c r="E39" s="96" t="str">
        <f>IFERROR(INDEX('AEO26 Table 21'!$E$6:$AD$92,MATCH($B39,'AEO26 Table 21'!$B$6:$B$92,0),MATCH($E$3,'AEO26 Table 21'!$E$5:$AD$5,0)),"")</f>
        <v/>
      </c>
      <c r="H39" s="2"/>
      <c r="I39" t="str">
        <f>About!$B$21</f>
        <v>Alternative electricity and transportation: Table 21</v>
      </c>
    </row>
    <row r="40" spans="1:9" x14ac:dyDescent="0.25">
      <c r="A40" t="s">
        <v>269</v>
      </c>
      <c r="B40" t="s">
        <v>270</v>
      </c>
      <c r="D40" t="s">
        <v>234</v>
      </c>
      <c r="E40" s="96">
        <f>IFERROR(INDEX('AEO26 Table 21'!$E$6:$AD$92,MATCH($B40,'AEO26 Table 21'!$B$6:$B$92,0),MATCH($E$3,'AEO26 Table 21'!$E$5:$AD$5,0)),"")</f>
        <v>187.50732400000001</v>
      </c>
      <c r="H40" s="2"/>
      <c r="I40" t="str">
        <f>About!$B$21</f>
        <v>Alternative electricity and transportation: Table 21</v>
      </c>
    </row>
    <row r="41" spans="1:9" x14ac:dyDescent="0.25">
      <c r="A41" t="s">
        <v>271</v>
      </c>
      <c r="B41" t="s">
        <v>272</v>
      </c>
      <c r="D41" t="s">
        <v>234</v>
      </c>
      <c r="E41" s="96">
        <f>IFERROR(INDEX('AEO26 Table 21'!$E$6:$AD$92,MATCH($B41,'AEO26 Table 21'!$B$6:$B$92,0),MATCH($E$3,'AEO26 Table 21'!$E$5:$AD$5,0)),"")</f>
        <v>48.868606999999997</v>
      </c>
      <c r="H41" s="2"/>
      <c r="I41" t="str">
        <f>About!$B$21</f>
        <v>Alternative electricity and transportation: Table 21</v>
      </c>
    </row>
  </sheetData>
  <mergeCells count="1">
    <mergeCell ref="A1:I1"/>
  </mergeCells>
  <conditionalFormatting sqref="B6:B15">
    <cfRule type="duplicateValues" dxfId="11" priority="11"/>
  </conditionalFormatting>
  <conditionalFormatting sqref="B17:B22">
    <cfRule type="duplicateValues" dxfId="10" priority="9"/>
  </conditionalFormatting>
  <conditionalFormatting sqref="B24:B29">
    <cfRule type="duplicateValues" dxfId="9" priority="7"/>
  </conditionalFormatting>
  <conditionalFormatting sqref="B31:B34">
    <cfRule type="duplicateValues" dxfId="8" priority="5"/>
  </conditionalFormatting>
  <conditionalFormatting sqref="B36:B38">
    <cfRule type="duplicateValues" dxfId="7" priority="3"/>
  </conditionalFormatting>
  <conditionalFormatting sqref="B40:B41">
    <cfRule type="duplicateValues" dxfId="6" priority="1"/>
  </conditionalFormatting>
  <conditionalFormatting sqref="C6:C15">
    <cfRule type="duplicateValues" dxfId="5" priority="12"/>
  </conditionalFormatting>
  <conditionalFormatting sqref="C17:C22">
    <cfRule type="duplicateValues" dxfId="4" priority="10"/>
  </conditionalFormatting>
  <conditionalFormatting sqref="C24:C29">
    <cfRule type="duplicateValues" dxfId="3" priority="8"/>
  </conditionalFormatting>
  <conditionalFormatting sqref="C31:C34">
    <cfRule type="duplicateValues" dxfId="2" priority="6"/>
  </conditionalFormatting>
  <conditionalFormatting sqref="C36:C38">
    <cfRule type="duplicateValues" dxfId="1" priority="4"/>
  </conditionalFormatting>
  <conditionalFormatting sqref="C40:C41">
    <cfRule type="duplicateValues" dxfId="0" priority="2"/>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
  <sheetViews>
    <sheetView zoomScale="80" zoomScaleNormal="80" workbookViewId="0">
      <selection activeCell="D3" sqref="D3"/>
    </sheetView>
  </sheetViews>
  <sheetFormatPr defaultColWidth="9" defaultRowHeight="15" x14ac:dyDescent="0.25"/>
  <cols>
    <col min="1" max="1" width="11.42578125" bestFit="1" customWidth="1"/>
    <col min="2" max="2" width="11.42578125" customWidth="1"/>
    <col min="3" max="3" width="17.42578125" style="6" bestFit="1" customWidth="1"/>
    <col min="4" max="4" width="16.5703125" style="6" bestFit="1" customWidth="1"/>
    <col min="5" max="5" width="11.7109375" style="6" bestFit="1" customWidth="1"/>
    <col min="6" max="6" width="12.28515625" bestFit="1" customWidth="1"/>
    <col min="7" max="7" width="38.5703125" customWidth="1"/>
  </cols>
  <sheetData>
    <row r="1" spans="1:8" s="37" customFormat="1" x14ac:dyDescent="0.25">
      <c r="A1" s="106" t="s">
        <v>273</v>
      </c>
      <c r="B1" s="84"/>
      <c r="C1" s="104" t="s">
        <v>274</v>
      </c>
      <c r="D1" s="105"/>
      <c r="E1" s="105"/>
      <c r="F1" s="106" t="s">
        <v>275</v>
      </c>
      <c r="G1" s="38" t="s">
        <v>276</v>
      </c>
    </row>
    <row r="2" spans="1:8" s="37" customFormat="1" x14ac:dyDescent="0.25">
      <c r="A2" s="105"/>
      <c r="B2" s="84"/>
      <c r="C2" s="81" t="s">
        <v>277</v>
      </c>
      <c r="D2" s="59" t="s">
        <v>278</v>
      </c>
      <c r="E2" s="59" t="s">
        <v>279</v>
      </c>
      <c r="F2" s="105"/>
      <c r="G2" s="82"/>
    </row>
    <row r="3" spans="1:8" x14ac:dyDescent="0.25">
      <c r="A3" s="2" t="s">
        <v>67</v>
      </c>
      <c r="B3" s="79" t="s">
        <v>152</v>
      </c>
      <c r="C3" s="6">
        <f>'Cost Summary New'!E$4*'Margin Calcs'!$L$5</f>
        <v>0.25957514990948705</v>
      </c>
      <c r="D3" s="6">
        <f>'Cost Summary New'!E$4*'Margin Calcs'!$L$5</f>
        <v>0.25957514990948705</v>
      </c>
      <c r="E3" s="6">
        <f>'Cost Summary New'!E45*'Margin Calcs'!$L$6</f>
        <v>0.48014296629444869</v>
      </c>
      <c r="F3" t="str">
        <f>'ISIC Code Mapping'!B2</f>
        <v>ISIC 28</v>
      </c>
      <c r="H3" t="s">
        <v>1621</v>
      </c>
    </row>
    <row r="4" spans="1:8" x14ac:dyDescent="0.25">
      <c r="A4" s="2" t="s">
        <v>67</v>
      </c>
      <c r="B4" s="79" t="s">
        <v>1618</v>
      </c>
      <c r="C4" s="6">
        <f>'Cost Summary New'!E$4*'Margin Calcs'!$N$5</f>
        <v>0.28309632803570012</v>
      </c>
      <c r="D4" s="6">
        <f>'Cost Summary New'!E$4*'Margin Calcs'!$N$5</f>
        <v>0.28309632803570012</v>
      </c>
      <c r="E4" s="6">
        <f>'Cost Summary New'!E45*'Margin Calcs'!$N$6</f>
        <v>0.21006811713420687</v>
      </c>
      <c r="F4" t="str">
        <f>"ISIC 45T47"</f>
        <v>ISIC 45T47</v>
      </c>
    </row>
    <row r="5" spans="1:8" x14ac:dyDescent="0.25">
      <c r="A5" s="2" t="s">
        <v>67</v>
      </c>
      <c r="B5" s="79" t="s">
        <v>1619</v>
      </c>
      <c r="C5" s="6">
        <f>'Cost Summary New'!E$4*'Margin Calcs'!$M$5</f>
        <v>7.6097929231865842E-3</v>
      </c>
      <c r="D5" s="6">
        <f>'Cost Summary New'!E$4*'Margin Calcs'!$M$5</f>
        <v>7.6097929231865842E-3</v>
      </c>
      <c r="E5" s="6">
        <f>'Cost Summary New'!E45*'Margin Calcs'!$M$6</f>
        <v>1.3776419321688462E-2</v>
      </c>
      <c r="F5" t="str">
        <f>"ISIC 49"</f>
        <v>ISIC 49</v>
      </c>
    </row>
    <row r="6" spans="1:8" x14ac:dyDescent="0.25">
      <c r="A6" s="2" t="s">
        <v>67</v>
      </c>
      <c r="B6" s="79" t="s">
        <v>280</v>
      </c>
      <c r="C6" s="134">
        <f>'Cost Summary New'!F$4</f>
        <v>0.44971872913162625</v>
      </c>
      <c r="D6" s="134">
        <f>'Cost Summary New'!F$4</f>
        <v>0.44971872913162625</v>
      </c>
      <c r="E6" s="134">
        <f>'Cost Summary New'!F45</f>
        <v>0.29601249724965595</v>
      </c>
      <c r="F6" t="str">
        <f>'ISIC Code Mapping'!B3</f>
        <v>ISIC 41T43</v>
      </c>
    </row>
    <row r="7" spans="1:8" x14ac:dyDescent="0.25">
      <c r="A7" s="2" t="s">
        <v>65</v>
      </c>
      <c r="B7" s="79" t="s">
        <v>152</v>
      </c>
      <c r="C7" s="6">
        <f>'Cost Summary New'!$E$14*'Margin Calcs'!$L$7</f>
        <v>0.34719457698210143</v>
      </c>
      <c r="D7" s="6">
        <f>'Cost Summary New'!$E$14*'Margin Calcs'!$L$7</f>
        <v>0.34719457698210143</v>
      </c>
      <c r="E7" s="6">
        <f>'Cost Summary New'!E95*'Margin Calcs'!$L$8</f>
        <v>0.39823637535431444</v>
      </c>
      <c r="F7" t="str">
        <f>'ISIC Code Mapping'!C2</f>
        <v>ISIC 28</v>
      </c>
    </row>
    <row r="8" spans="1:8" x14ac:dyDescent="0.25">
      <c r="A8" s="2" t="s">
        <v>65</v>
      </c>
      <c r="B8" s="79" t="s">
        <v>1618</v>
      </c>
      <c r="C8" s="6">
        <f>'Cost Summary New'!$E$14*'Margin Calcs'!$N$7</f>
        <v>0.37896261246485319</v>
      </c>
      <c r="D8" s="6">
        <f>'Cost Summary New'!$E$14*'Margin Calcs'!$N$7</f>
        <v>0.37896261246485319</v>
      </c>
      <c r="E8" s="6">
        <f>'Cost Summary New'!E95*'Margin Calcs'!$N$8</f>
        <v>0.17019402223955421</v>
      </c>
      <c r="F8" t="str">
        <f>"ISIC 45T47"</f>
        <v>ISIC 45T47</v>
      </c>
    </row>
    <row r="9" spans="1:8" x14ac:dyDescent="0.25">
      <c r="A9" s="2" t="s">
        <v>65</v>
      </c>
      <c r="B9" s="79" t="s">
        <v>1619</v>
      </c>
      <c r="C9" s="6">
        <f>'Cost Summary New'!$E$14*'Margin Calcs'!$M$7</f>
        <v>1.0088497754657661E-2</v>
      </c>
      <c r="D9" s="6">
        <f>'Cost Summary New'!$E$14*'Margin Calcs'!$M$7</f>
        <v>1.0088497754657661E-2</v>
      </c>
      <c r="E9" s="6">
        <f>'Cost Summary New'!E95*'Margin Calcs'!$M$8</f>
        <v>1.1399712653068586E-2</v>
      </c>
      <c r="F9" t="str">
        <f>"ISIC 49"</f>
        <v>ISIC 49</v>
      </c>
    </row>
    <row r="10" spans="1:8" x14ac:dyDescent="0.25">
      <c r="A10" s="2" t="s">
        <v>65</v>
      </c>
      <c r="B10" s="79" t="s">
        <v>280</v>
      </c>
      <c r="C10" s="134">
        <f>'Cost Summary New'!$F$14</f>
        <v>0.26375431279838768</v>
      </c>
      <c r="D10" s="134">
        <f>'Cost Summary New'!$F$14</f>
        <v>0.26375431279838768</v>
      </c>
      <c r="E10" s="134">
        <f>'Cost Summary New'!F95</f>
        <v>0.4201698897530628</v>
      </c>
      <c r="F10" t="str">
        <f>'ISIC Code Mapping'!C3</f>
        <v>ISIC 41T43</v>
      </c>
    </row>
    <row r="11" spans="1:8" x14ac:dyDescent="0.25">
      <c r="A11" s="2" t="s">
        <v>68</v>
      </c>
      <c r="B11" s="79" t="s">
        <v>152</v>
      </c>
      <c r="C11" s="6">
        <f>'Cost Summary New'!$E$39*'Margin Calcs'!$L$9</f>
        <v>0.39998511129308417</v>
      </c>
      <c r="D11" s="6">
        <f>'Cost Summary New'!$E$39*'Margin Calcs'!$L$9</f>
        <v>0.39998511129308417</v>
      </c>
      <c r="E11" s="6">
        <f>'Cost Summary New'!E100*'Margin Calcs'!$L$10</f>
        <v>0.28238603812513541</v>
      </c>
      <c r="F11" t="str">
        <f>'ISIC Code Mapping'!E2</f>
        <v>ISIC 27</v>
      </c>
    </row>
    <row r="12" spans="1:8" x14ac:dyDescent="0.25">
      <c r="A12" s="2" t="s">
        <v>68</v>
      </c>
      <c r="B12" s="79" t="s">
        <v>1618</v>
      </c>
      <c r="C12" s="6">
        <f>'Cost Summary New'!$E$39*'Margin Calcs'!$N$9</f>
        <v>0.55505099382118661</v>
      </c>
      <c r="D12" s="6">
        <f>'Cost Summary New'!$E$39*'Margin Calcs'!$N$9</f>
        <v>0.55505099382118661</v>
      </c>
      <c r="E12" s="6">
        <f>'Cost Summary New'!E100*'Margin Calcs'!$N$10</f>
        <v>9.1251812586745626E-2</v>
      </c>
      <c r="F12" t="str">
        <f>"ISIC 45T47"</f>
        <v>ISIC 45T47</v>
      </c>
    </row>
    <row r="13" spans="1:8" x14ac:dyDescent="0.25">
      <c r="A13" s="2" t="s">
        <v>68</v>
      </c>
      <c r="B13" s="79" t="s">
        <v>1619</v>
      </c>
      <c r="C13" s="6">
        <f>'Cost Summary New'!$E$39*'Margin Calcs'!$M$9</f>
        <v>4.4963894885729175E-2</v>
      </c>
      <c r="D13" s="6">
        <f>'Cost Summary New'!$E$39*'Margin Calcs'!$M$9</f>
        <v>4.4963894885729175E-2</v>
      </c>
      <c r="E13" s="6">
        <f>'Cost Summary New'!E100*'Margin Calcs'!$M$10</f>
        <v>3.4031095935975843E-2</v>
      </c>
      <c r="F13" t="str">
        <f>"ISIC 49"</f>
        <v>ISIC 49</v>
      </c>
    </row>
    <row r="14" spans="1:8" x14ac:dyDescent="0.25">
      <c r="A14" s="2" t="s">
        <v>68</v>
      </c>
      <c r="B14" s="79" t="s">
        <v>280</v>
      </c>
      <c r="C14" s="134">
        <f>'Cost Summary New'!$F$39</f>
        <v>0</v>
      </c>
      <c r="D14" s="134">
        <f>'Cost Summary New'!$F$39</f>
        <v>0</v>
      </c>
      <c r="E14" s="134">
        <f>'Cost Summary New'!F100</f>
        <v>0.59233105335214309</v>
      </c>
      <c r="F14" t="str">
        <f>'ISIC Code Mapping'!E3</f>
        <v>ISIC 41T43</v>
      </c>
    </row>
    <row r="15" spans="1:8" x14ac:dyDescent="0.25">
      <c r="A15" s="2" t="s">
        <v>40</v>
      </c>
      <c r="B15" s="79" t="s">
        <v>152</v>
      </c>
      <c r="C15" s="6">
        <f>'Cost Summary New'!$E$41*'Margin Calcs'!$L$11</f>
        <v>0.41594354540356854</v>
      </c>
      <c r="D15" s="6">
        <f>'Cost Summary New'!$E$41*'Margin Calcs'!$L$11</f>
        <v>0.41594354540356854</v>
      </c>
      <c r="E15" s="6">
        <f>'Cost Summary New'!E88*'Margin Calcs'!$L$12</f>
        <v>0.5131315924908888</v>
      </c>
      <c r="F15" t="str">
        <f>'ISIC Code Mapping'!F2</f>
        <v>ISIC 27</v>
      </c>
    </row>
    <row r="16" spans="1:8" x14ac:dyDescent="0.25">
      <c r="A16" s="2" t="s">
        <v>40</v>
      </c>
      <c r="B16" s="79" t="s">
        <v>1618</v>
      </c>
      <c r="C16" s="6">
        <f>'Cost Summary New'!$E$41*'Margin Calcs'!$N$11</f>
        <v>0.33246167487591327</v>
      </c>
      <c r="D16" s="6">
        <f>'Cost Summary New'!$E$41*'Margin Calcs'!$N$11</f>
        <v>0.33246167487591327</v>
      </c>
      <c r="E16" s="6">
        <f>'Cost Summary New'!E88*'Margin Calcs'!$N$12</f>
        <v>0.22708137732907191</v>
      </c>
      <c r="F16" t="str">
        <f>"ISIC 45T47"</f>
        <v>ISIC 45T47</v>
      </c>
    </row>
    <row r="17" spans="1:7" x14ac:dyDescent="0.25">
      <c r="A17" s="2" t="s">
        <v>40</v>
      </c>
      <c r="B17" s="79" t="s">
        <v>1619</v>
      </c>
      <c r="C17" s="6">
        <f>'Cost Summary New'!$E$41*'Margin Calcs'!$M$11</f>
        <v>5.9461991596640338E-3</v>
      </c>
      <c r="D17" s="6">
        <f>'Cost Summary New'!$E$41*'Margin Calcs'!$M$11</f>
        <v>5.9461991596640338E-3</v>
      </c>
      <c r="E17" s="6">
        <f>'Cost Summary New'!E88*'Margin Calcs'!$M$12</f>
        <v>1.4185899667311286E-2</v>
      </c>
      <c r="F17" t="str">
        <f>"ISIC 49"</f>
        <v>ISIC 49</v>
      </c>
    </row>
    <row r="18" spans="1:7" x14ac:dyDescent="0.25">
      <c r="A18" s="2" t="s">
        <v>40</v>
      </c>
      <c r="B18" s="79" t="s">
        <v>280</v>
      </c>
      <c r="C18" s="134">
        <f>'Cost Summary New'!$F$41</f>
        <v>0.24564858056085415</v>
      </c>
      <c r="D18" s="134">
        <f>'Cost Summary New'!$F$41</f>
        <v>0.24564858056085415</v>
      </c>
      <c r="E18" s="134">
        <f>'Cost Summary New'!F88</f>
        <v>0.24560113051272803</v>
      </c>
      <c r="F18" t="str">
        <f>'ISIC Code Mapping'!F3</f>
        <v>ISIC 41T43</v>
      </c>
    </row>
    <row r="19" spans="1:7" x14ac:dyDescent="0.25">
      <c r="A19" s="2" t="s">
        <v>69</v>
      </c>
      <c r="B19" s="79" t="s">
        <v>152</v>
      </c>
      <c r="C19" s="6">
        <f>'Cost Summary New'!$E$41*'Margin Calcs'!$L$13</f>
        <v>0.39439856534562207</v>
      </c>
      <c r="D19" s="6">
        <f>'Cost Summary New'!$E$41*'Margin Calcs'!$L$13</f>
        <v>0.39439856534562207</v>
      </c>
      <c r="E19" s="6">
        <f>'Cost Summary New'!E88*'Margin Calcs'!$L$14</f>
        <v>0.51142569229179691</v>
      </c>
      <c r="F19" t="str">
        <f>'ISIC Code Mapping'!G2</f>
        <v>ISIC 27</v>
      </c>
      <c r="G19" t="s">
        <v>1620</v>
      </c>
    </row>
    <row r="20" spans="1:7" x14ac:dyDescent="0.25">
      <c r="A20" s="2" t="s">
        <v>69</v>
      </c>
      <c r="B20" s="79" t="s">
        <v>1618</v>
      </c>
      <c r="C20" s="6">
        <f>'Cost Summary New'!$E$41*'Margin Calcs'!$N$13</f>
        <v>0.34557880809981883</v>
      </c>
      <c r="D20" s="6">
        <f>'Cost Summary New'!$E$41*'Margin Calcs'!$N$13</f>
        <v>0.34557880809981883</v>
      </c>
      <c r="E20" s="6">
        <f>'Cost Summary New'!E88*'Margin Calcs'!$N$14</f>
        <v>0.23490525167743478</v>
      </c>
      <c r="F20" t="str">
        <f>"ISIC 45T47"</f>
        <v>ISIC 45T47</v>
      </c>
    </row>
    <row r="21" spans="1:7" x14ac:dyDescent="0.25">
      <c r="A21" s="2" t="s">
        <v>69</v>
      </c>
      <c r="B21" s="79" t="s">
        <v>1619</v>
      </c>
      <c r="C21" s="6">
        <f>'Cost Summary New'!$E$41*'Margin Calcs'!$M$13</f>
        <v>1.4374045993704981E-2</v>
      </c>
      <c r="D21" s="6">
        <f>'Cost Summary New'!$E$41*'Margin Calcs'!$M$13</f>
        <v>1.4374045993704981E-2</v>
      </c>
      <c r="E21" s="6">
        <f>'Cost Summary New'!E88*'Margin Calcs'!$M$14</f>
        <v>8.0679255180403173E-3</v>
      </c>
      <c r="F21" t="str">
        <f>"ISIC 49"</f>
        <v>ISIC 49</v>
      </c>
    </row>
    <row r="22" spans="1:7" x14ac:dyDescent="0.25">
      <c r="A22" s="2" t="s">
        <v>69</v>
      </c>
      <c r="B22" s="79" t="s">
        <v>280</v>
      </c>
      <c r="C22" s="134">
        <f>'Cost Summary New'!$F$41</f>
        <v>0.24564858056085415</v>
      </c>
      <c r="D22" s="134">
        <f>'Cost Summary New'!$F$41</f>
        <v>0.24564858056085415</v>
      </c>
      <c r="E22" s="134">
        <f>'Cost Summary New'!F88</f>
        <v>0.24560113051272803</v>
      </c>
      <c r="F22" t="str">
        <f>'ISIC Code Mapping'!G3</f>
        <v>ISIC 41T43</v>
      </c>
    </row>
    <row r="23" spans="1:7" x14ac:dyDescent="0.25">
      <c r="B23" s="79"/>
    </row>
  </sheetData>
  <mergeCells count="3">
    <mergeCell ref="C1:E1"/>
    <mergeCell ref="F1:F2"/>
    <mergeCell ref="A1:A2"/>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202"/>
  <sheetViews>
    <sheetView workbookViewId="0"/>
  </sheetViews>
  <sheetFormatPr defaultRowHeight="15" x14ac:dyDescent="0.25"/>
  <cols>
    <col min="2" max="2" width="28.7109375" customWidth="1"/>
    <col min="3" max="11" width="7.7109375" style="8" customWidth="1"/>
  </cols>
  <sheetData>
    <row r="1" spans="2:11" ht="29.65" customHeight="1" x14ac:dyDescent="0.25">
      <c r="B1" s="7" t="s">
        <v>281</v>
      </c>
    </row>
    <row r="2" spans="2:11" ht="26.25" customHeight="1" x14ac:dyDescent="0.25">
      <c r="B2" s="118" t="s">
        <v>282</v>
      </c>
      <c r="C2" s="119"/>
      <c r="D2" s="119"/>
      <c r="E2" s="119"/>
      <c r="F2" s="119"/>
      <c r="G2" s="119"/>
      <c r="H2" s="119"/>
      <c r="I2" s="119"/>
      <c r="J2" s="119"/>
      <c r="K2" s="119"/>
    </row>
    <row r="3" spans="2:11" ht="24" customHeight="1" thickBot="1" x14ac:dyDescent="0.3">
      <c r="B3" s="9"/>
      <c r="C3" s="116" t="s">
        <v>283</v>
      </c>
      <c r="D3" s="117"/>
      <c r="E3" s="117"/>
      <c r="F3" s="117"/>
      <c r="G3" s="117"/>
      <c r="H3" s="117"/>
      <c r="I3" s="117"/>
      <c r="J3" s="117"/>
      <c r="K3" s="117"/>
    </row>
    <row r="4" spans="2:11" ht="27" customHeight="1" thickTop="1" x14ac:dyDescent="0.25">
      <c r="B4" s="9"/>
      <c r="C4" s="107" t="s">
        <v>284</v>
      </c>
      <c r="D4" s="109" t="s">
        <v>285</v>
      </c>
      <c r="E4" s="113" t="s">
        <v>286</v>
      </c>
      <c r="F4" s="114"/>
      <c r="G4" s="114"/>
      <c r="H4" s="114"/>
      <c r="I4" s="114"/>
      <c r="J4" s="114"/>
      <c r="K4" s="115"/>
    </row>
    <row r="5" spans="2:11" ht="63.75" customHeight="1" thickBot="1" x14ac:dyDescent="0.3">
      <c r="B5" s="10"/>
      <c r="C5" s="108"/>
      <c r="D5" s="110"/>
      <c r="E5" s="11" t="s">
        <v>187</v>
      </c>
      <c r="F5" s="11" t="s">
        <v>188</v>
      </c>
      <c r="G5" s="11" t="s">
        <v>189</v>
      </c>
      <c r="H5" s="11" t="s">
        <v>190</v>
      </c>
      <c r="I5" s="11" t="s">
        <v>191</v>
      </c>
      <c r="J5" s="11" t="s">
        <v>192</v>
      </c>
      <c r="K5" s="11" t="s">
        <v>69</v>
      </c>
    </row>
    <row r="6" spans="2:11" ht="24" customHeight="1" thickTop="1" x14ac:dyDescent="0.25">
      <c r="B6" s="12" t="s">
        <v>287</v>
      </c>
      <c r="C6" s="13">
        <v>87093</v>
      </c>
      <c r="D6" s="14">
        <v>80078</v>
      </c>
      <c r="E6" s="14">
        <v>11846</v>
      </c>
      <c r="F6" s="14">
        <v>8654</v>
      </c>
      <c r="G6" s="14">
        <v>20766</v>
      </c>
      <c r="H6" s="14">
        <v>5925</v>
      </c>
      <c r="I6" s="14">
        <v>22443</v>
      </c>
      <c r="J6" s="14">
        <v>49188</v>
      </c>
      <c r="K6" s="14">
        <v>1574</v>
      </c>
    </row>
    <row r="7" spans="2:11" ht="24" customHeight="1" x14ac:dyDescent="0.25">
      <c r="B7" s="15" t="s">
        <v>288</v>
      </c>
      <c r="C7" s="16"/>
      <c r="D7" s="16"/>
      <c r="E7" s="16"/>
      <c r="F7" s="16"/>
      <c r="G7" s="16"/>
      <c r="H7" s="16"/>
      <c r="I7" s="16"/>
      <c r="J7" s="16"/>
      <c r="K7" s="16"/>
    </row>
    <row r="8" spans="2:11" ht="15" customHeight="1" x14ac:dyDescent="0.25">
      <c r="B8" s="17" t="s">
        <v>289</v>
      </c>
      <c r="C8" s="14">
        <v>8041</v>
      </c>
      <c r="D8" s="14">
        <v>6699</v>
      </c>
      <c r="E8" s="14">
        <v>868</v>
      </c>
      <c r="F8" s="14">
        <v>1091</v>
      </c>
      <c r="G8" s="14">
        <v>1747</v>
      </c>
      <c r="H8" s="14" t="s">
        <v>290</v>
      </c>
      <c r="I8" s="14">
        <v>400</v>
      </c>
      <c r="J8" s="14">
        <v>3809</v>
      </c>
      <c r="K8" s="14" t="s">
        <v>290</v>
      </c>
    </row>
    <row r="9" spans="2:11" ht="15" customHeight="1" x14ac:dyDescent="0.25">
      <c r="B9" s="17" t="s">
        <v>291</v>
      </c>
      <c r="C9" s="14">
        <v>8900</v>
      </c>
      <c r="D9" s="14">
        <v>7590</v>
      </c>
      <c r="E9" s="14">
        <v>1038</v>
      </c>
      <c r="F9" s="14">
        <v>1416</v>
      </c>
      <c r="G9" s="14">
        <v>2025</v>
      </c>
      <c r="H9" s="14" t="s">
        <v>290</v>
      </c>
      <c r="I9" s="14">
        <v>734</v>
      </c>
      <c r="J9" s="14">
        <v>4622</v>
      </c>
      <c r="K9" s="14" t="s">
        <v>290</v>
      </c>
    </row>
    <row r="10" spans="2:11" ht="15" customHeight="1" x14ac:dyDescent="0.25">
      <c r="B10" s="17" t="s">
        <v>292</v>
      </c>
      <c r="C10" s="14">
        <v>14105</v>
      </c>
      <c r="D10" s="14">
        <v>12744</v>
      </c>
      <c r="E10" s="14">
        <v>1477</v>
      </c>
      <c r="F10" s="14">
        <v>2233</v>
      </c>
      <c r="G10" s="14">
        <v>3115</v>
      </c>
      <c r="H10" s="14" t="s">
        <v>290</v>
      </c>
      <c r="I10" s="14">
        <v>2008</v>
      </c>
      <c r="J10" s="14">
        <v>8246</v>
      </c>
      <c r="K10" s="14" t="s">
        <v>290</v>
      </c>
    </row>
    <row r="11" spans="2:11" ht="15" customHeight="1" x14ac:dyDescent="0.25">
      <c r="B11" s="17" t="s">
        <v>293</v>
      </c>
      <c r="C11" s="14">
        <v>11917</v>
      </c>
      <c r="D11" s="14">
        <v>10911</v>
      </c>
      <c r="E11" s="14">
        <v>1642</v>
      </c>
      <c r="F11" s="14">
        <v>1439</v>
      </c>
      <c r="G11" s="14">
        <v>3021</v>
      </c>
      <c r="H11" s="14">
        <v>213</v>
      </c>
      <c r="I11" s="14">
        <v>2707</v>
      </c>
      <c r="J11" s="14">
        <v>7237</v>
      </c>
      <c r="K11" s="14" t="s">
        <v>290</v>
      </c>
    </row>
    <row r="12" spans="2:11" ht="15" customHeight="1" x14ac:dyDescent="0.25">
      <c r="B12" s="17" t="s">
        <v>294</v>
      </c>
      <c r="C12" s="14">
        <v>13918</v>
      </c>
      <c r="D12" s="14">
        <v>13114</v>
      </c>
      <c r="E12" s="14">
        <v>2664</v>
      </c>
      <c r="F12" s="14">
        <v>1042</v>
      </c>
      <c r="G12" s="14">
        <v>2763</v>
      </c>
      <c r="H12" s="14">
        <v>704</v>
      </c>
      <c r="I12" s="14">
        <v>4938</v>
      </c>
      <c r="J12" s="14">
        <v>8489</v>
      </c>
      <c r="K12" s="14">
        <v>541</v>
      </c>
    </row>
    <row r="13" spans="2:11" ht="15" customHeight="1" x14ac:dyDescent="0.25">
      <c r="B13" s="17" t="s">
        <v>295</v>
      </c>
      <c r="C13" s="14">
        <v>12415</v>
      </c>
      <c r="D13" s="14">
        <v>11941</v>
      </c>
      <c r="E13" s="14">
        <v>1549</v>
      </c>
      <c r="F13" s="14">
        <v>683</v>
      </c>
      <c r="G13" s="14">
        <v>2915</v>
      </c>
      <c r="H13" s="14">
        <v>1313</v>
      </c>
      <c r="I13" s="14">
        <v>4258</v>
      </c>
      <c r="J13" s="14">
        <v>7569</v>
      </c>
      <c r="K13" s="14" t="s">
        <v>290</v>
      </c>
    </row>
    <row r="14" spans="2:11" ht="15" customHeight="1" x14ac:dyDescent="0.25">
      <c r="B14" s="17" t="s">
        <v>296</v>
      </c>
      <c r="C14" s="14">
        <v>10724</v>
      </c>
      <c r="D14" s="14">
        <v>10348</v>
      </c>
      <c r="E14" s="14">
        <v>1527</v>
      </c>
      <c r="F14" s="14">
        <v>466</v>
      </c>
      <c r="G14" s="14">
        <v>2970</v>
      </c>
      <c r="H14" s="14">
        <v>1553</v>
      </c>
      <c r="I14" s="14">
        <v>4970</v>
      </c>
      <c r="J14" s="14">
        <v>5991</v>
      </c>
      <c r="K14" s="14" t="s">
        <v>290</v>
      </c>
    </row>
    <row r="15" spans="2:11" ht="15" customHeight="1" x14ac:dyDescent="0.25">
      <c r="B15" s="17" t="s">
        <v>297</v>
      </c>
      <c r="C15" s="14">
        <v>7074</v>
      </c>
      <c r="D15" s="14">
        <v>6730</v>
      </c>
      <c r="E15" s="14">
        <v>1080</v>
      </c>
      <c r="F15" s="14">
        <v>284</v>
      </c>
      <c r="G15" s="14">
        <v>2211</v>
      </c>
      <c r="H15" s="14">
        <v>1974</v>
      </c>
      <c r="I15" s="14">
        <v>2430</v>
      </c>
      <c r="J15" s="14">
        <v>3225</v>
      </c>
      <c r="K15" s="14" t="s">
        <v>290</v>
      </c>
    </row>
    <row r="16" spans="2:11" ht="24" customHeight="1" x14ac:dyDescent="0.25">
      <c r="B16" s="15" t="s">
        <v>298</v>
      </c>
      <c r="C16" s="15"/>
      <c r="D16" s="15"/>
      <c r="E16" s="15"/>
      <c r="F16" s="15"/>
      <c r="G16" s="15"/>
      <c r="H16" s="15"/>
      <c r="I16" s="15"/>
      <c r="J16" s="15"/>
      <c r="K16" s="15"/>
    </row>
    <row r="17" spans="2:14" x14ac:dyDescent="0.25">
      <c r="B17" s="17" t="s">
        <v>299</v>
      </c>
      <c r="C17" s="14">
        <v>12239</v>
      </c>
      <c r="D17" s="14">
        <v>12099</v>
      </c>
      <c r="E17" s="14">
        <v>2209</v>
      </c>
      <c r="F17" s="14">
        <v>564</v>
      </c>
      <c r="G17" s="14">
        <v>1750</v>
      </c>
      <c r="H17" s="14">
        <v>1155</v>
      </c>
      <c r="I17" s="14">
        <v>6637</v>
      </c>
      <c r="J17" s="14">
        <v>6107</v>
      </c>
      <c r="K17" s="14" t="s">
        <v>290</v>
      </c>
    </row>
    <row r="18" spans="2:14" x14ac:dyDescent="0.25">
      <c r="B18" s="17" t="s">
        <v>300</v>
      </c>
      <c r="C18" s="14">
        <v>1252</v>
      </c>
      <c r="D18" s="14">
        <v>1196</v>
      </c>
      <c r="E18" s="14" t="s">
        <v>290</v>
      </c>
      <c r="F18" s="14" t="s">
        <v>290</v>
      </c>
      <c r="G18" s="14">
        <v>336</v>
      </c>
      <c r="H18" s="14" t="s">
        <v>301</v>
      </c>
      <c r="I18" s="14" t="s">
        <v>290</v>
      </c>
      <c r="J18" s="14">
        <v>944</v>
      </c>
      <c r="K18" s="14" t="s">
        <v>290</v>
      </c>
    </row>
    <row r="19" spans="2:14" x14ac:dyDescent="0.25">
      <c r="B19" s="17" t="s">
        <v>302</v>
      </c>
      <c r="C19" s="14">
        <v>1819</v>
      </c>
      <c r="D19" s="14">
        <v>1762</v>
      </c>
      <c r="E19" s="14">
        <v>146</v>
      </c>
      <c r="F19" s="14">
        <v>266</v>
      </c>
      <c r="G19" s="14">
        <v>256</v>
      </c>
      <c r="H19" s="14" t="s">
        <v>290</v>
      </c>
      <c r="I19" s="14">
        <v>145</v>
      </c>
      <c r="J19" s="14">
        <v>1296</v>
      </c>
      <c r="K19" s="14" t="s">
        <v>290</v>
      </c>
    </row>
    <row r="20" spans="2:14" x14ac:dyDescent="0.25">
      <c r="B20" s="17" t="s">
        <v>303</v>
      </c>
      <c r="C20" s="14">
        <v>4155</v>
      </c>
      <c r="D20" s="14">
        <v>4109</v>
      </c>
      <c r="E20" s="14">
        <v>739</v>
      </c>
      <c r="F20" s="14">
        <v>258</v>
      </c>
      <c r="G20" s="14">
        <v>967</v>
      </c>
      <c r="H20" s="14">
        <v>671</v>
      </c>
      <c r="I20" s="14">
        <v>2285</v>
      </c>
      <c r="J20" s="14">
        <v>2085</v>
      </c>
      <c r="K20" s="14" t="s">
        <v>290</v>
      </c>
    </row>
    <row r="21" spans="2:14" x14ac:dyDescent="0.25">
      <c r="B21" s="18" t="s">
        <v>304</v>
      </c>
      <c r="C21" s="14">
        <v>2374</v>
      </c>
      <c r="D21" s="14">
        <v>2354</v>
      </c>
      <c r="E21" s="14">
        <v>506</v>
      </c>
      <c r="F21" s="14">
        <v>124</v>
      </c>
      <c r="G21" s="14">
        <v>501</v>
      </c>
      <c r="H21" s="14">
        <v>563</v>
      </c>
      <c r="I21" s="14">
        <v>1698</v>
      </c>
      <c r="J21" s="14">
        <v>1073</v>
      </c>
      <c r="K21" s="14" t="s">
        <v>290</v>
      </c>
    </row>
    <row r="22" spans="2:14" x14ac:dyDescent="0.25">
      <c r="B22" s="18" t="s">
        <v>305</v>
      </c>
      <c r="C22" s="14">
        <v>1781</v>
      </c>
      <c r="D22" s="14">
        <v>1754</v>
      </c>
      <c r="E22" s="14">
        <v>233</v>
      </c>
      <c r="F22" s="14">
        <v>133</v>
      </c>
      <c r="G22" s="14">
        <v>466</v>
      </c>
      <c r="H22" s="14" t="s">
        <v>290</v>
      </c>
      <c r="I22" s="14">
        <v>588</v>
      </c>
      <c r="J22" s="14">
        <v>1012</v>
      </c>
      <c r="K22" s="14" t="s">
        <v>301</v>
      </c>
    </row>
    <row r="23" spans="2:14" x14ac:dyDescent="0.25">
      <c r="B23" s="17" t="s">
        <v>306</v>
      </c>
      <c r="C23" s="14">
        <v>5826</v>
      </c>
      <c r="D23" s="14">
        <v>5696</v>
      </c>
      <c r="E23" s="14">
        <v>1259</v>
      </c>
      <c r="F23" s="14">
        <v>638</v>
      </c>
      <c r="G23" s="14">
        <v>2168</v>
      </c>
      <c r="H23" s="14">
        <v>621</v>
      </c>
      <c r="I23" s="14">
        <v>2105</v>
      </c>
      <c r="J23" s="14">
        <v>2561</v>
      </c>
      <c r="K23" s="14" t="s">
        <v>290</v>
      </c>
    </row>
    <row r="24" spans="2:14" x14ac:dyDescent="0.25">
      <c r="B24" s="17" t="s">
        <v>307</v>
      </c>
      <c r="C24" s="14">
        <v>11330</v>
      </c>
      <c r="D24" s="14">
        <v>10794</v>
      </c>
      <c r="E24" s="14">
        <v>1419</v>
      </c>
      <c r="F24" s="14">
        <v>1423</v>
      </c>
      <c r="G24" s="14">
        <v>2568</v>
      </c>
      <c r="H24" s="14" t="s">
        <v>290</v>
      </c>
      <c r="I24" s="14">
        <v>1138</v>
      </c>
      <c r="J24" s="14">
        <v>9434</v>
      </c>
      <c r="K24" s="14">
        <v>872</v>
      </c>
      <c r="N24" s="19"/>
    </row>
    <row r="25" spans="2:14" ht="15" customHeight="1" x14ac:dyDescent="0.25">
      <c r="B25" s="20" t="s">
        <v>308</v>
      </c>
      <c r="C25" s="14">
        <v>5439</v>
      </c>
      <c r="D25" s="14">
        <v>5088</v>
      </c>
      <c r="E25" s="14">
        <v>441</v>
      </c>
      <c r="F25" s="14">
        <v>590</v>
      </c>
      <c r="G25" s="14">
        <v>1007</v>
      </c>
      <c r="H25" s="14" t="s">
        <v>290</v>
      </c>
      <c r="I25" s="14">
        <v>312</v>
      </c>
      <c r="J25" s="14">
        <v>3964</v>
      </c>
      <c r="K25" s="14" t="s">
        <v>290</v>
      </c>
    </row>
    <row r="26" spans="2:14" ht="15" customHeight="1" x14ac:dyDescent="0.25">
      <c r="B26" s="20" t="s">
        <v>309</v>
      </c>
      <c r="C26" s="14">
        <v>5890</v>
      </c>
      <c r="D26" s="14">
        <v>5706</v>
      </c>
      <c r="E26" s="14">
        <v>978</v>
      </c>
      <c r="F26" s="14">
        <v>832</v>
      </c>
      <c r="G26" s="14">
        <v>1561</v>
      </c>
      <c r="H26" s="14" t="s">
        <v>290</v>
      </c>
      <c r="I26" s="14">
        <v>826</v>
      </c>
      <c r="J26" s="14">
        <v>5470</v>
      </c>
      <c r="K26" s="14">
        <v>860</v>
      </c>
    </row>
    <row r="27" spans="2:14" ht="15" customHeight="1" x14ac:dyDescent="0.25">
      <c r="B27" s="17" t="s">
        <v>310</v>
      </c>
      <c r="C27" s="14">
        <v>15952</v>
      </c>
      <c r="D27" s="14">
        <v>15753</v>
      </c>
      <c r="E27" s="14">
        <v>2667</v>
      </c>
      <c r="F27" s="14">
        <v>1691</v>
      </c>
      <c r="G27" s="14">
        <v>3727</v>
      </c>
      <c r="H27" s="14">
        <v>1794</v>
      </c>
      <c r="I27" s="14">
        <v>4650</v>
      </c>
      <c r="J27" s="14">
        <v>8407</v>
      </c>
      <c r="K27" s="14" t="s">
        <v>290</v>
      </c>
    </row>
    <row r="28" spans="2:14" ht="15" customHeight="1" x14ac:dyDescent="0.25">
      <c r="B28" s="17" t="s">
        <v>311</v>
      </c>
      <c r="C28" s="14">
        <v>5559</v>
      </c>
      <c r="D28" s="14">
        <v>5323</v>
      </c>
      <c r="E28" s="14">
        <v>727</v>
      </c>
      <c r="F28" s="14">
        <v>582</v>
      </c>
      <c r="G28" s="14">
        <v>1560</v>
      </c>
      <c r="H28" s="14">
        <v>888</v>
      </c>
      <c r="I28" s="14">
        <v>1621</v>
      </c>
      <c r="J28" s="14">
        <v>3016</v>
      </c>
      <c r="K28" s="14" t="s">
        <v>290</v>
      </c>
    </row>
    <row r="29" spans="2:14" ht="15" customHeight="1" x14ac:dyDescent="0.25">
      <c r="B29" s="17" t="s">
        <v>312</v>
      </c>
      <c r="C29" s="14">
        <v>1440</v>
      </c>
      <c r="D29" s="14">
        <v>1391</v>
      </c>
      <c r="E29" s="14" t="s">
        <v>290</v>
      </c>
      <c r="F29" s="14" t="s">
        <v>290</v>
      </c>
      <c r="G29" s="14">
        <v>253</v>
      </c>
      <c r="H29" s="14" t="s">
        <v>290</v>
      </c>
      <c r="I29" s="14">
        <v>466</v>
      </c>
      <c r="J29" s="14">
        <v>601</v>
      </c>
      <c r="K29" s="14" t="s">
        <v>290</v>
      </c>
    </row>
    <row r="30" spans="2:14" ht="15" customHeight="1" x14ac:dyDescent="0.25">
      <c r="B30" s="17" t="s">
        <v>313</v>
      </c>
      <c r="C30" s="14">
        <v>4557</v>
      </c>
      <c r="D30" s="14">
        <v>4511</v>
      </c>
      <c r="E30" s="14">
        <v>581</v>
      </c>
      <c r="F30" s="14">
        <v>927</v>
      </c>
      <c r="G30" s="14">
        <v>859</v>
      </c>
      <c r="H30" s="14" t="s">
        <v>301</v>
      </c>
      <c r="I30" s="14">
        <v>1359</v>
      </c>
      <c r="J30" s="14">
        <v>2801</v>
      </c>
      <c r="K30" s="14" t="s">
        <v>290</v>
      </c>
    </row>
    <row r="31" spans="2:14" ht="15" customHeight="1" x14ac:dyDescent="0.25">
      <c r="B31" s="17" t="s">
        <v>314</v>
      </c>
      <c r="C31" s="14">
        <v>4630</v>
      </c>
      <c r="D31" s="14">
        <v>4157</v>
      </c>
      <c r="E31" s="14">
        <v>356</v>
      </c>
      <c r="F31" s="14">
        <v>497</v>
      </c>
      <c r="G31" s="14">
        <v>1919</v>
      </c>
      <c r="H31" s="14" t="s">
        <v>290</v>
      </c>
      <c r="I31" s="14">
        <v>433</v>
      </c>
      <c r="J31" s="14">
        <v>2498</v>
      </c>
      <c r="K31" s="14" t="s">
        <v>290</v>
      </c>
    </row>
    <row r="32" spans="2:14" ht="15" customHeight="1" x14ac:dyDescent="0.25">
      <c r="B32" s="17" t="s">
        <v>315</v>
      </c>
      <c r="C32" s="14">
        <v>13077</v>
      </c>
      <c r="D32" s="14">
        <v>9987</v>
      </c>
      <c r="E32" s="14">
        <v>1138</v>
      </c>
      <c r="F32" s="14">
        <v>1294</v>
      </c>
      <c r="G32" s="14">
        <v>3480</v>
      </c>
      <c r="H32" s="14" t="s">
        <v>290</v>
      </c>
      <c r="I32" s="14">
        <v>841</v>
      </c>
      <c r="J32" s="14">
        <v>7297</v>
      </c>
      <c r="K32" s="14" t="s">
        <v>290</v>
      </c>
    </row>
    <row r="33" spans="2:11" ht="15" customHeight="1" x14ac:dyDescent="0.25">
      <c r="B33" s="17" t="s">
        <v>316</v>
      </c>
      <c r="C33" s="14">
        <v>2002</v>
      </c>
      <c r="D33" s="14">
        <v>1886</v>
      </c>
      <c r="E33" s="14" t="s">
        <v>290</v>
      </c>
      <c r="F33" s="14" t="s">
        <v>290</v>
      </c>
      <c r="G33" s="14">
        <v>737</v>
      </c>
      <c r="H33" s="14" t="s">
        <v>290</v>
      </c>
      <c r="I33" s="14">
        <v>408</v>
      </c>
      <c r="J33" s="14">
        <v>1257</v>
      </c>
      <c r="K33" s="14" t="s">
        <v>290</v>
      </c>
    </row>
    <row r="34" spans="2:11" ht="15" customHeight="1" x14ac:dyDescent="0.25">
      <c r="B34" s="17" t="s">
        <v>317</v>
      </c>
      <c r="C34" s="14">
        <v>3256</v>
      </c>
      <c r="D34" s="14">
        <v>1415</v>
      </c>
      <c r="E34" s="14" t="s">
        <v>290</v>
      </c>
      <c r="F34" s="14" t="s">
        <v>290</v>
      </c>
      <c r="G34" s="14" t="s">
        <v>290</v>
      </c>
      <c r="H34" s="14" t="s">
        <v>290</v>
      </c>
      <c r="I34" s="14">
        <v>296</v>
      </c>
      <c r="J34" s="14">
        <v>886</v>
      </c>
      <c r="K34" s="14" t="s">
        <v>290</v>
      </c>
    </row>
    <row r="35" spans="2:11" ht="24" customHeight="1" x14ac:dyDescent="0.25">
      <c r="B35" s="15" t="s">
        <v>318</v>
      </c>
      <c r="C35" s="15"/>
      <c r="D35" s="15"/>
      <c r="E35" s="15"/>
      <c r="F35" s="15"/>
      <c r="G35" s="15"/>
      <c r="H35" s="15"/>
      <c r="I35" s="15"/>
      <c r="J35" s="15"/>
      <c r="K35" s="15"/>
    </row>
    <row r="36" spans="2:11" ht="15" customHeight="1" x14ac:dyDescent="0.25">
      <c r="B36" s="17" t="s">
        <v>319</v>
      </c>
      <c r="C36" s="14">
        <v>3983</v>
      </c>
      <c r="D36" s="14">
        <v>3583</v>
      </c>
      <c r="E36" s="14">
        <v>371</v>
      </c>
      <c r="F36" s="14">
        <v>524</v>
      </c>
      <c r="G36" s="14">
        <v>1442</v>
      </c>
      <c r="H36" s="14">
        <v>523</v>
      </c>
      <c r="I36" s="14">
        <v>1221</v>
      </c>
      <c r="J36" s="14">
        <v>1380</v>
      </c>
      <c r="K36" s="14" t="s">
        <v>290</v>
      </c>
    </row>
    <row r="37" spans="2:11" ht="15" customHeight="1" x14ac:dyDescent="0.25">
      <c r="B37" s="17" t="s">
        <v>320</v>
      </c>
      <c r="C37" s="14">
        <v>6025</v>
      </c>
      <c r="D37" s="14">
        <v>5527</v>
      </c>
      <c r="E37" s="14">
        <v>744</v>
      </c>
      <c r="F37" s="14">
        <v>393</v>
      </c>
      <c r="G37" s="14">
        <v>1717</v>
      </c>
      <c r="H37" s="14">
        <v>888</v>
      </c>
      <c r="I37" s="14">
        <v>2016</v>
      </c>
      <c r="J37" s="14">
        <v>2589</v>
      </c>
      <c r="K37" s="14" t="s">
        <v>290</v>
      </c>
    </row>
    <row r="38" spans="2:11" ht="15" customHeight="1" x14ac:dyDescent="0.25">
      <c r="B38" s="17" t="s">
        <v>321</v>
      </c>
      <c r="C38" s="14">
        <v>7381</v>
      </c>
      <c r="D38" s="14">
        <v>6895</v>
      </c>
      <c r="E38" s="14">
        <v>907</v>
      </c>
      <c r="F38" s="14">
        <v>685</v>
      </c>
      <c r="G38" s="14">
        <v>2277</v>
      </c>
      <c r="H38" s="14">
        <v>446</v>
      </c>
      <c r="I38" s="14">
        <v>2659</v>
      </c>
      <c r="J38" s="14">
        <v>3715</v>
      </c>
      <c r="K38" s="14" t="s">
        <v>290</v>
      </c>
    </row>
    <row r="39" spans="2:11" ht="15" customHeight="1" x14ac:dyDescent="0.25">
      <c r="B39" s="17" t="s">
        <v>322</v>
      </c>
      <c r="C39" s="14">
        <v>10362</v>
      </c>
      <c r="D39" s="14">
        <v>9730</v>
      </c>
      <c r="E39" s="14">
        <v>1295</v>
      </c>
      <c r="F39" s="14">
        <v>1168</v>
      </c>
      <c r="G39" s="14">
        <v>2586</v>
      </c>
      <c r="H39" s="14">
        <v>1002</v>
      </c>
      <c r="I39" s="14">
        <v>3506</v>
      </c>
      <c r="J39" s="14">
        <v>5670</v>
      </c>
      <c r="K39" s="14" t="s">
        <v>290</v>
      </c>
    </row>
    <row r="40" spans="2:11" ht="15" customHeight="1" x14ac:dyDescent="0.25">
      <c r="B40" s="17" t="s">
        <v>323</v>
      </c>
      <c r="C40" s="14">
        <v>10846</v>
      </c>
      <c r="D40" s="14">
        <v>10045</v>
      </c>
      <c r="E40" s="14">
        <v>1198</v>
      </c>
      <c r="F40" s="14">
        <v>1345</v>
      </c>
      <c r="G40" s="14">
        <v>2923</v>
      </c>
      <c r="H40" s="14">
        <v>930</v>
      </c>
      <c r="I40" s="14">
        <v>2763</v>
      </c>
      <c r="J40" s="14">
        <v>6156</v>
      </c>
      <c r="K40" s="14" t="s">
        <v>290</v>
      </c>
    </row>
    <row r="41" spans="2:11" ht="15" customHeight="1" x14ac:dyDescent="0.25">
      <c r="B41" s="17" t="s">
        <v>324</v>
      </c>
      <c r="C41" s="14">
        <v>15230</v>
      </c>
      <c r="D41" s="14">
        <v>13723</v>
      </c>
      <c r="E41" s="14">
        <v>2386</v>
      </c>
      <c r="F41" s="14">
        <v>1763</v>
      </c>
      <c r="G41" s="14">
        <v>3424</v>
      </c>
      <c r="H41" s="14">
        <v>446</v>
      </c>
      <c r="I41" s="14">
        <v>2973</v>
      </c>
      <c r="J41" s="14">
        <v>9037</v>
      </c>
      <c r="K41" s="14" t="s">
        <v>290</v>
      </c>
    </row>
    <row r="42" spans="2:11" ht="15" customHeight="1" x14ac:dyDescent="0.25">
      <c r="B42" s="17" t="s">
        <v>325</v>
      </c>
      <c r="C42" s="14">
        <v>13803</v>
      </c>
      <c r="D42" s="14">
        <v>12389</v>
      </c>
      <c r="E42" s="14">
        <v>2136</v>
      </c>
      <c r="F42" s="14">
        <v>1266</v>
      </c>
      <c r="G42" s="14">
        <v>2996</v>
      </c>
      <c r="H42" s="14">
        <v>642</v>
      </c>
      <c r="I42" s="14">
        <v>2970</v>
      </c>
      <c r="J42" s="14">
        <v>8544</v>
      </c>
      <c r="K42" s="14">
        <v>397</v>
      </c>
    </row>
    <row r="43" spans="2:11" ht="15" customHeight="1" x14ac:dyDescent="0.25">
      <c r="B43" s="17" t="s">
        <v>326</v>
      </c>
      <c r="C43" s="14">
        <v>7215</v>
      </c>
      <c r="D43" s="14">
        <v>6707</v>
      </c>
      <c r="E43" s="14">
        <v>808</v>
      </c>
      <c r="F43" s="14">
        <v>551</v>
      </c>
      <c r="G43" s="14">
        <v>1292</v>
      </c>
      <c r="H43" s="14" t="s">
        <v>290</v>
      </c>
      <c r="I43" s="14">
        <v>1636</v>
      </c>
      <c r="J43" s="14">
        <v>4281</v>
      </c>
      <c r="K43" s="14" t="s">
        <v>290</v>
      </c>
    </row>
    <row r="44" spans="2:11" ht="15" customHeight="1" x14ac:dyDescent="0.25">
      <c r="B44" s="17" t="s">
        <v>327</v>
      </c>
      <c r="C44" s="14">
        <v>6524</v>
      </c>
      <c r="D44" s="14">
        <v>5972</v>
      </c>
      <c r="E44" s="14">
        <v>1174</v>
      </c>
      <c r="F44" s="14">
        <v>516</v>
      </c>
      <c r="G44" s="14">
        <v>1160</v>
      </c>
      <c r="H44" s="14" t="s">
        <v>290</v>
      </c>
      <c r="I44" s="14">
        <v>1395</v>
      </c>
      <c r="J44" s="14">
        <v>4076</v>
      </c>
      <c r="K44" s="14" t="s">
        <v>290</v>
      </c>
    </row>
    <row r="45" spans="2:11" ht="15" customHeight="1" x14ac:dyDescent="0.25">
      <c r="B45" s="17" t="s">
        <v>328</v>
      </c>
      <c r="C45" s="14">
        <v>5723</v>
      </c>
      <c r="D45" s="14">
        <v>5505</v>
      </c>
      <c r="E45" s="14">
        <v>826</v>
      </c>
      <c r="F45" s="14">
        <v>442</v>
      </c>
      <c r="G45" s="14">
        <v>948</v>
      </c>
      <c r="H45" s="14" t="s">
        <v>290</v>
      </c>
      <c r="I45" s="14">
        <v>1303</v>
      </c>
      <c r="J45" s="14">
        <v>3741</v>
      </c>
      <c r="K45" s="14" t="s">
        <v>290</v>
      </c>
    </row>
    <row r="46" spans="2:11" ht="24" customHeight="1" x14ac:dyDescent="0.25">
      <c r="B46" s="15" t="s">
        <v>329</v>
      </c>
      <c r="C46" s="16"/>
      <c r="D46" s="16"/>
      <c r="E46" s="16"/>
      <c r="F46" s="16"/>
      <c r="G46" s="16"/>
      <c r="H46" s="16"/>
      <c r="I46" s="16"/>
      <c r="J46" s="16"/>
      <c r="K46" s="16"/>
    </row>
    <row r="47" spans="2:11" ht="15" customHeight="1" x14ac:dyDescent="0.25">
      <c r="B47" s="17" t="s">
        <v>330</v>
      </c>
      <c r="C47" s="14">
        <v>15534</v>
      </c>
      <c r="D47" s="14">
        <v>15053</v>
      </c>
      <c r="E47" s="14">
        <v>1397</v>
      </c>
      <c r="F47" s="14">
        <v>1244</v>
      </c>
      <c r="G47" s="14">
        <v>4918</v>
      </c>
      <c r="H47" s="14">
        <v>1981</v>
      </c>
      <c r="I47" s="14">
        <v>6447</v>
      </c>
      <c r="J47" s="14">
        <v>7186</v>
      </c>
      <c r="K47" s="14" t="s">
        <v>290</v>
      </c>
    </row>
    <row r="48" spans="2:11" ht="15" customHeight="1" x14ac:dyDescent="0.25">
      <c r="B48" s="18" t="s">
        <v>331</v>
      </c>
      <c r="C48" s="14">
        <v>4302</v>
      </c>
      <c r="D48" s="14">
        <v>4090</v>
      </c>
      <c r="E48" s="14">
        <v>400</v>
      </c>
      <c r="F48" s="14">
        <v>323</v>
      </c>
      <c r="G48" s="14">
        <v>1529</v>
      </c>
      <c r="H48" s="14" t="s">
        <v>290</v>
      </c>
      <c r="I48" s="14">
        <v>1823</v>
      </c>
      <c r="J48" s="14">
        <v>1769</v>
      </c>
      <c r="K48" s="14" t="s">
        <v>290</v>
      </c>
    </row>
    <row r="49" spans="2:11" ht="15" customHeight="1" x14ac:dyDescent="0.25">
      <c r="B49" s="18" t="s">
        <v>332</v>
      </c>
      <c r="C49" s="14">
        <v>11232</v>
      </c>
      <c r="D49" s="14">
        <v>10963</v>
      </c>
      <c r="E49" s="14">
        <v>998</v>
      </c>
      <c r="F49" s="14">
        <v>922</v>
      </c>
      <c r="G49" s="14">
        <v>3389</v>
      </c>
      <c r="H49" s="14">
        <v>1628</v>
      </c>
      <c r="I49" s="14">
        <v>4624</v>
      </c>
      <c r="J49" s="14">
        <v>5417</v>
      </c>
      <c r="K49" s="14" t="s">
        <v>290</v>
      </c>
    </row>
    <row r="50" spans="2:11" ht="15" customHeight="1" x14ac:dyDescent="0.25">
      <c r="B50" s="17" t="s">
        <v>333</v>
      </c>
      <c r="C50" s="14">
        <v>18919</v>
      </c>
      <c r="D50" s="14">
        <v>18055</v>
      </c>
      <c r="E50" s="14">
        <v>1068</v>
      </c>
      <c r="F50" s="14">
        <v>2511</v>
      </c>
      <c r="G50" s="14">
        <v>5735</v>
      </c>
      <c r="H50" s="14">
        <v>906</v>
      </c>
      <c r="I50" s="14">
        <v>6666</v>
      </c>
      <c r="J50" s="14">
        <v>10894</v>
      </c>
      <c r="K50" s="14">
        <v>370</v>
      </c>
    </row>
    <row r="51" spans="2:11" ht="15" customHeight="1" x14ac:dyDescent="0.25">
      <c r="B51" s="18" t="s">
        <v>334</v>
      </c>
      <c r="C51" s="14">
        <v>12742</v>
      </c>
      <c r="D51" s="14">
        <v>12240</v>
      </c>
      <c r="E51" s="14">
        <v>632</v>
      </c>
      <c r="F51" s="14">
        <v>1756</v>
      </c>
      <c r="G51" s="14">
        <v>3668</v>
      </c>
      <c r="H51" s="14">
        <v>574</v>
      </c>
      <c r="I51" s="14">
        <v>5083</v>
      </c>
      <c r="J51" s="14">
        <v>7347</v>
      </c>
      <c r="K51" s="14" t="s">
        <v>290</v>
      </c>
    </row>
    <row r="52" spans="2:11" ht="15" customHeight="1" x14ac:dyDescent="0.25">
      <c r="B52" s="18" t="s">
        <v>335</v>
      </c>
      <c r="C52" s="14">
        <v>6178</v>
      </c>
      <c r="D52" s="14">
        <v>5815</v>
      </c>
      <c r="E52" s="14">
        <v>436</v>
      </c>
      <c r="F52" s="14">
        <v>755</v>
      </c>
      <c r="G52" s="14">
        <v>2066</v>
      </c>
      <c r="H52" s="14">
        <v>332</v>
      </c>
      <c r="I52" s="14">
        <v>1583</v>
      </c>
      <c r="J52" s="14">
        <v>3547</v>
      </c>
      <c r="K52" s="14" t="s">
        <v>290</v>
      </c>
    </row>
    <row r="53" spans="2:11" ht="15" customHeight="1" x14ac:dyDescent="0.25">
      <c r="B53" s="17" t="s">
        <v>336</v>
      </c>
      <c r="C53" s="14">
        <v>34279</v>
      </c>
      <c r="D53" s="14">
        <v>30499</v>
      </c>
      <c r="E53" s="14">
        <v>6927</v>
      </c>
      <c r="F53" s="14">
        <v>3363</v>
      </c>
      <c r="G53" s="14">
        <v>6519</v>
      </c>
      <c r="H53" s="14">
        <v>2171</v>
      </c>
      <c r="I53" s="14">
        <v>5784</v>
      </c>
      <c r="J53" s="14">
        <v>20049</v>
      </c>
      <c r="K53" s="14">
        <v>550</v>
      </c>
    </row>
    <row r="54" spans="2:11" ht="15" customHeight="1" x14ac:dyDescent="0.25">
      <c r="B54" s="18" t="s">
        <v>337</v>
      </c>
      <c r="C54" s="14">
        <v>17981</v>
      </c>
      <c r="D54" s="14">
        <v>15883</v>
      </c>
      <c r="E54" s="14">
        <v>4909</v>
      </c>
      <c r="F54" s="14">
        <v>1234</v>
      </c>
      <c r="G54" s="14">
        <v>3328</v>
      </c>
      <c r="H54" s="14">
        <v>1148</v>
      </c>
      <c r="I54" s="14">
        <v>3247</v>
      </c>
      <c r="J54" s="14">
        <v>10168</v>
      </c>
      <c r="K54" s="14" t="s">
        <v>290</v>
      </c>
    </row>
    <row r="55" spans="2:11" ht="15" customHeight="1" x14ac:dyDescent="0.25">
      <c r="B55" s="18" t="s">
        <v>338</v>
      </c>
      <c r="C55" s="14">
        <v>4904</v>
      </c>
      <c r="D55" s="14">
        <v>4692</v>
      </c>
      <c r="E55" s="14">
        <v>844</v>
      </c>
      <c r="F55" s="14">
        <v>530</v>
      </c>
      <c r="G55" s="14">
        <v>1295</v>
      </c>
      <c r="H55" s="14" t="s">
        <v>290</v>
      </c>
      <c r="I55" s="14">
        <v>1077</v>
      </c>
      <c r="J55" s="14">
        <v>3136</v>
      </c>
      <c r="K55" s="14" t="s">
        <v>290</v>
      </c>
    </row>
    <row r="56" spans="2:11" ht="15" customHeight="1" x14ac:dyDescent="0.25">
      <c r="B56" s="18" t="s">
        <v>339</v>
      </c>
      <c r="C56" s="14">
        <v>11394</v>
      </c>
      <c r="D56" s="14">
        <v>9923</v>
      </c>
      <c r="E56" s="14">
        <v>1174</v>
      </c>
      <c r="F56" s="14">
        <v>1599</v>
      </c>
      <c r="G56" s="14">
        <v>1896</v>
      </c>
      <c r="H56" s="14">
        <v>637</v>
      </c>
      <c r="I56" s="14">
        <v>1460</v>
      </c>
      <c r="J56" s="14">
        <v>6745</v>
      </c>
      <c r="K56" s="14" t="s">
        <v>290</v>
      </c>
    </row>
    <row r="57" spans="2:11" ht="15" customHeight="1" x14ac:dyDescent="0.25">
      <c r="B57" s="17" t="s">
        <v>340</v>
      </c>
      <c r="C57" s="14">
        <v>18360</v>
      </c>
      <c r="D57" s="14">
        <v>16471</v>
      </c>
      <c r="E57" s="14">
        <v>2453</v>
      </c>
      <c r="F57" s="14">
        <v>1536</v>
      </c>
      <c r="G57" s="14">
        <v>3594</v>
      </c>
      <c r="H57" s="14">
        <v>867</v>
      </c>
      <c r="I57" s="14">
        <v>3545</v>
      </c>
      <c r="J57" s="14">
        <v>11059</v>
      </c>
      <c r="K57" s="14">
        <v>339</v>
      </c>
    </row>
    <row r="58" spans="2:11" ht="15" customHeight="1" x14ac:dyDescent="0.25">
      <c r="B58" s="18" t="s">
        <v>341</v>
      </c>
      <c r="C58" s="14">
        <v>4981</v>
      </c>
      <c r="D58" s="14">
        <v>4704</v>
      </c>
      <c r="E58" s="14">
        <v>498</v>
      </c>
      <c r="F58" s="14">
        <v>554</v>
      </c>
      <c r="G58" s="14">
        <v>1197</v>
      </c>
      <c r="H58" s="14">
        <v>482</v>
      </c>
      <c r="I58" s="14">
        <v>1150</v>
      </c>
      <c r="J58" s="14">
        <v>2967</v>
      </c>
      <c r="K58" s="14" t="s">
        <v>290</v>
      </c>
    </row>
    <row r="59" spans="2:11" ht="15" customHeight="1" x14ac:dyDescent="0.25">
      <c r="B59" s="18" t="s">
        <v>342</v>
      </c>
      <c r="C59" s="14">
        <v>13379</v>
      </c>
      <c r="D59" s="14">
        <v>11767</v>
      </c>
      <c r="E59" s="14">
        <v>1955</v>
      </c>
      <c r="F59" s="14">
        <v>983</v>
      </c>
      <c r="G59" s="14">
        <v>2397</v>
      </c>
      <c r="H59" s="14">
        <v>385</v>
      </c>
      <c r="I59" s="14">
        <v>2395</v>
      </c>
      <c r="J59" s="14">
        <v>8092</v>
      </c>
      <c r="K59" s="14">
        <v>242</v>
      </c>
    </row>
    <row r="60" spans="2:11" ht="24" customHeight="1" x14ac:dyDescent="0.25">
      <c r="B60" s="15" t="s">
        <v>343</v>
      </c>
      <c r="C60" s="15"/>
      <c r="D60" s="15"/>
      <c r="E60" s="15"/>
      <c r="F60" s="15"/>
      <c r="G60" s="15"/>
      <c r="H60" s="15"/>
      <c r="I60" s="15"/>
      <c r="J60" s="15"/>
      <c r="K60" s="15"/>
    </row>
    <row r="61" spans="2:11" x14ac:dyDescent="0.25">
      <c r="B61" s="17" t="s">
        <v>344</v>
      </c>
      <c r="C61" s="14">
        <v>31898</v>
      </c>
      <c r="D61" s="14">
        <v>30469</v>
      </c>
      <c r="E61" s="14">
        <v>2150</v>
      </c>
      <c r="F61" s="14">
        <v>3558</v>
      </c>
      <c r="G61" s="14">
        <v>10128</v>
      </c>
      <c r="H61" s="14">
        <v>1926</v>
      </c>
      <c r="I61" s="14">
        <v>11556</v>
      </c>
      <c r="J61" s="14">
        <v>17640</v>
      </c>
      <c r="K61" s="14">
        <v>824</v>
      </c>
    </row>
    <row r="62" spans="2:11" x14ac:dyDescent="0.25">
      <c r="B62" s="17" t="s">
        <v>345</v>
      </c>
      <c r="C62" s="14">
        <v>27873</v>
      </c>
      <c r="D62" s="14">
        <v>26716</v>
      </c>
      <c r="E62" s="14">
        <v>6182</v>
      </c>
      <c r="F62" s="14">
        <v>3009</v>
      </c>
      <c r="G62" s="14">
        <v>6697</v>
      </c>
      <c r="H62" s="14">
        <v>3002</v>
      </c>
      <c r="I62" s="14">
        <v>7029</v>
      </c>
      <c r="J62" s="14">
        <v>15485</v>
      </c>
      <c r="K62" s="14">
        <v>487</v>
      </c>
    </row>
    <row r="63" spans="2:11" x14ac:dyDescent="0.25">
      <c r="B63" s="17" t="s">
        <v>346</v>
      </c>
      <c r="C63" s="14">
        <v>12037</v>
      </c>
      <c r="D63" s="14">
        <v>10484</v>
      </c>
      <c r="E63" s="14">
        <v>1669</v>
      </c>
      <c r="F63" s="14">
        <v>995</v>
      </c>
      <c r="G63" s="14">
        <v>1703</v>
      </c>
      <c r="H63" s="14" t="s">
        <v>290</v>
      </c>
      <c r="I63" s="14">
        <v>1777</v>
      </c>
      <c r="J63" s="14">
        <v>7351</v>
      </c>
      <c r="K63" s="14" t="s">
        <v>290</v>
      </c>
    </row>
    <row r="64" spans="2:11" x14ac:dyDescent="0.25">
      <c r="B64" s="17" t="s">
        <v>347</v>
      </c>
      <c r="C64" s="14">
        <v>12831</v>
      </c>
      <c r="D64" s="14">
        <v>10090</v>
      </c>
      <c r="E64" s="14">
        <v>1387</v>
      </c>
      <c r="F64" s="14">
        <v>937</v>
      </c>
      <c r="G64" s="14">
        <v>1607</v>
      </c>
      <c r="H64" s="14">
        <v>362</v>
      </c>
      <c r="I64" s="14">
        <v>1499</v>
      </c>
      <c r="J64" s="14">
        <v>7217</v>
      </c>
      <c r="K64" s="14" t="s">
        <v>290</v>
      </c>
    </row>
    <row r="65" spans="2:11" x14ac:dyDescent="0.25">
      <c r="B65" s="17" t="s">
        <v>348</v>
      </c>
      <c r="C65" s="14">
        <v>2454</v>
      </c>
      <c r="D65" s="14">
        <v>2319</v>
      </c>
      <c r="E65" s="14">
        <v>458</v>
      </c>
      <c r="F65" s="14" t="s">
        <v>290</v>
      </c>
      <c r="G65" s="14">
        <v>631</v>
      </c>
      <c r="H65" s="14" t="s">
        <v>290</v>
      </c>
      <c r="I65" s="14">
        <v>581</v>
      </c>
      <c r="J65" s="14">
        <v>1495</v>
      </c>
      <c r="K65" s="14" t="s">
        <v>290</v>
      </c>
    </row>
    <row r="66" spans="2:11" ht="24" customHeight="1" x14ac:dyDescent="0.25">
      <c r="B66" s="15" t="s">
        <v>349</v>
      </c>
      <c r="C66" s="15"/>
      <c r="D66" s="15"/>
      <c r="E66" s="15"/>
      <c r="F66" s="15"/>
      <c r="G66" s="15"/>
      <c r="H66" s="15"/>
      <c r="I66" s="15"/>
      <c r="J66" s="15"/>
      <c r="K66" s="15"/>
    </row>
    <row r="67" spans="2:11" x14ac:dyDescent="0.25">
      <c r="B67" s="17" t="s">
        <v>350</v>
      </c>
      <c r="C67" s="14">
        <v>39809</v>
      </c>
      <c r="D67" s="14">
        <v>34513</v>
      </c>
      <c r="E67" s="14">
        <v>4642</v>
      </c>
      <c r="F67" s="14">
        <v>4356</v>
      </c>
      <c r="G67" s="14">
        <v>8857</v>
      </c>
      <c r="H67" s="14" t="s">
        <v>290</v>
      </c>
      <c r="I67" s="14">
        <v>4257</v>
      </c>
      <c r="J67" s="14">
        <v>24999</v>
      </c>
      <c r="K67" s="14">
        <v>1127</v>
      </c>
    </row>
    <row r="68" spans="2:11" x14ac:dyDescent="0.25">
      <c r="B68" s="17" t="s">
        <v>351</v>
      </c>
      <c r="C68" s="14">
        <v>20206</v>
      </c>
      <c r="D68" s="14">
        <v>19411</v>
      </c>
      <c r="E68" s="14">
        <v>2844</v>
      </c>
      <c r="F68" s="14">
        <v>2518</v>
      </c>
      <c r="G68" s="14">
        <v>4987</v>
      </c>
      <c r="H68" s="14" t="s">
        <v>290</v>
      </c>
      <c r="I68" s="14">
        <v>5762</v>
      </c>
      <c r="J68" s="14">
        <v>13422</v>
      </c>
      <c r="K68" s="14">
        <v>297</v>
      </c>
    </row>
    <row r="69" spans="2:11" x14ac:dyDescent="0.25">
      <c r="B69" s="17" t="s">
        <v>352</v>
      </c>
      <c r="C69" s="14">
        <v>8140</v>
      </c>
      <c r="D69" s="14">
        <v>7896</v>
      </c>
      <c r="E69" s="14">
        <v>1229</v>
      </c>
      <c r="F69" s="14">
        <v>857</v>
      </c>
      <c r="G69" s="14">
        <v>2150</v>
      </c>
      <c r="H69" s="14">
        <v>544</v>
      </c>
      <c r="I69" s="14">
        <v>3667</v>
      </c>
      <c r="J69" s="14">
        <v>3918</v>
      </c>
      <c r="K69" s="14" t="s">
        <v>290</v>
      </c>
    </row>
    <row r="70" spans="2:11" x14ac:dyDescent="0.25">
      <c r="B70" s="17" t="s">
        <v>353</v>
      </c>
      <c r="C70" s="14">
        <v>13535</v>
      </c>
      <c r="D70" s="14">
        <v>12992</v>
      </c>
      <c r="E70" s="14">
        <v>2089</v>
      </c>
      <c r="F70" s="14">
        <v>826</v>
      </c>
      <c r="G70" s="14">
        <v>3398</v>
      </c>
      <c r="H70" s="14">
        <v>2791</v>
      </c>
      <c r="I70" s="14">
        <v>6521</v>
      </c>
      <c r="J70" s="14">
        <v>5180</v>
      </c>
      <c r="K70" s="14" t="s">
        <v>290</v>
      </c>
    </row>
    <row r="71" spans="2:11" x14ac:dyDescent="0.25">
      <c r="B71" s="17" t="s">
        <v>354</v>
      </c>
      <c r="C71" s="14">
        <v>5404</v>
      </c>
      <c r="D71" s="14">
        <v>5265</v>
      </c>
      <c r="E71" s="14">
        <v>1041</v>
      </c>
      <c r="F71" s="14" t="s">
        <v>290</v>
      </c>
      <c r="G71" s="14">
        <v>1374</v>
      </c>
      <c r="H71" s="14">
        <v>1900</v>
      </c>
      <c r="I71" s="14">
        <v>2236</v>
      </c>
      <c r="J71" s="14">
        <v>1669</v>
      </c>
      <c r="K71" s="14" t="s">
        <v>290</v>
      </c>
    </row>
    <row r="72" spans="2:11" ht="24" customHeight="1" x14ac:dyDescent="0.25">
      <c r="B72" s="15" t="s">
        <v>355</v>
      </c>
      <c r="C72" s="21"/>
      <c r="D72" s="21"/>
      <c r="E72" s="21"/>
      <c r="F72" s="21"/>
      <c r="G72" s="21"/>
      <c r="H72" s="21"/>
      <c r="I72" s="21"/>
      <c r="J72" s="21"/>
      <c r="K72" s="21"/>
    </row>
    <row r="73" spans="2:11" ht="15" customHeight="1" x14ac:dyDescent="0.25">
      <c r="B73" s="17" t="s">
        <v>356</v>
      </c>
      <c r="C73" s="14">
        <v>17751</v>
      </c>
      <c r="D73" s="14">
        <v>12931</v>
      </c>
      <c r="E73" s="14">
        <v>1366</v>
      </c>
      <c r="F73" s="14">
        <v>1921</v>
      </c>
      <c r="G73" s="14">
        <v>3710</v>
      </c>
      <c r="H73" s="14" t="s">
        <v>290</v>
      </c>
      <c r="I73" s="14">
        <v>1908</v>
      </c>
      <c r="J73" s="14">
        <v>6967</v>
      </c>
      <c r="K73" s="14" t="s">
        <v>290</v>
      </c>
    </row>
    <row r="74" spans="2:11" ht="15" customHeight="1" x14ac:dyDescent="0.25">
      <c r="B74" s="17" t="s">
        <v>357</v>
      </c>
      <c r="C74" s="14">
        <v>8973</v>
      </c>
      <c r="D74" s="14">
        <v>8492</v>
      </c>
      <c r="E74" s="14">
        <v>1230</v>
      </c>
      <c r="F74" s="14">
        <v>1264</v>
      </c>
      <c r="G74" s="14">
        <v>2274</v>
      </c>
      <c r="H74" s="14" t="s">
        <v>290</v>
      </c>
      <c r="I74" s="14">
        <v>982</v>
      </c>
      <c r="J74" s="14">
        <v>5320</v>
      </c>
      <c r="K74" s="14" t="s">
        <v>290</v>
      </c>
    </row>
    <row r="75" spans="2:11" ht="15" customHeight="1" x14ac:dyDescent="0.25">
      <c r="B75" s="17" t="s">
        <v>358</v>
      </c>
      <c r="C75" s="14">
        <v>9623</v>
      </c>
      <c r="D75" s="14">
        <v>8970</v>
      </c>
      <c r="E75" s="14">
        <v>1234</v>
      </c>
      <c r="F75" s="14">
        <v>1758</v>
      </c>
      <c r="G75" s="14">
        <v>2219</v>
      </c>
      <c r="H75" s="14" t="s">
        <v>290</v>
      </c>
      <c r="I75" s="14">
        <v>1219</v>
      </c>
      <c r="J75" s="14">
        <v>6041</v>
      </c>
      <c r="K75" s="14" t="s">
        <v>290</v>
      </c>
    </row>
    <row r="76" spans="2:11" ht="15" customHeight="1" x14ac:dyDescent="0.25">
      <c r="B76" s="17" t="s">
        <v>359</v>
      </c>
      <c r="C76" s="14">
        <v>14514</v>
      </c>
      <c r="D76" s="14">
        <v>14126</v>
      </c>
      <c r="E76" s="14">
        <v>2268</v>
      </c>
      <c r="F76" s="14">
        <v>1678</v>
      </c>
      <c r="G76" s="14">
        <v>3752</v>
      </c>
      <c r="H76" s="14">
        <v>623</v>
      </c>
      <c r="I76" s="14">
        <v>3764</v>
      </c>
      <c r="J76" s="14">
        <v>9817</v>
      </c>
      <c r="K76" s="14">
        <v>448</v>
      </c>
    </row>
    <row r="77" spans="2:11" ht="15" customHeight="1" x14ac:dyDescent="0.25">
      <c r="B77" s="17" t="s">
        <v>360</v>
      </c>
      <c r="C77" s="14">
        <v>13476</v>
      </c>
      <c r="D77" s="14">
        <v>13184</v>
      </c>
      <c r="E77" s="14">
        <v>2409</v>
      </c>
      <c r="F77" s="14">
        <v>1278</v>
      </c>
      <c r="G77" s="14">
        <v>3323</v>
      </c>
      <c r="H77" s="14">
        <v>669</v>
      </c>
      <c r="I77" s="14">
        <v>4610</v>
      </c>
      <c r="J77" s="14">
        <v>9055</v>
      </c>
      <c r="K77" s="14" t="s">
        <v>290</v>
      </c>
    </row>
    <row r="78" spans="2:11" ht="15" customHeight="1" x14ac:dyDescent="0.25">
      <c r="B78" s="17" t="s">
        <v>361</v>
      </c>
      <c r="C78" s="14">
        <v>10941</v>
      </c>
      <c r="D78" s="14">
        <v>10805</v>
      </c>
      <c r="E78" s="14">
        <v>1490</v>
      </c>
      <c r="F78" s="14">
        <v>387</v>
      </c>
      <c r="G78" s="14">
        <v>2390</v>
      </c>
      <c r="H78" s="14">
        <v>1096</v>
      </c>
      <c r="I78" s="14">
        <v>4938</v>
      </c>
      <c r="J78" s="14">
        <v>6596</v>
      </c>
      <c r="K78" s="14">
        <v>422</v>
      </c>
    </row>
    <row r="79" spans="2:11" ht="15" customHeight="1" x14ac:dyDescent="0.25">
      <c r="B79" s="17" t="s">
        <v>362</v>
      </c>
      <c r="C79" s="14">
        <v>11815</v>
      </c>
      <c r="D79" s="14">
        <v>11570</v>
      </c>
      <c r="E79" s="14">
        <v>1849</v>
      </c>
      <c r="F79" s="14">
        <v>367</v>
      </c>
      <c r="G79" s="14">
        <v>3097</v>
      </c>
      <c r="H79" s="14">
        <v>3053</v>
      </c>
      <c r="I79" s="14">
        <v>5021</v>
      </c>
      <c r="J79" s="14">
        <v>5393</v>
      </c>
      <c r="K79" s="14" t="s">
        <v>290</v>
      </c>
    </row>
    <row r="80" spans="2:11" ht="24" customHeight="1" x14ac:dyDescent="0.25">
      <c r="B80" s="15" t="s">
        <v>363</v>
      </c>
      <c r="C80" s="21"/>
      <c r="D80" s="21"/>
      <c r="E80" s="21"/>
      <c r="F80" s="21"/>
      <c r="G80" s="21"/>
      <c r="H80" s="21"/>
      <c r="I80" s="21"/>
      <c r="J80" s="21"/>
      <c r="K80" s="21"/>
    </row>
    <row r="81" spans="2:11" ht="15" customHeight="1" x14ac:dyDescent="0.25">
      <c r="B81" s="17" t="s">
        <v>364</v>
      </c>
      <c r="C81" s="14">
        <v>8220</v>
      </c>
      <c r="D81" s="14">
        <v>5763</v>
      </c>
      <c r="E81" s="14">
        <v>617</v>
      </c>
      <c r="F81" s="14">
        <v>980</v>
      </c>
      <c r="G81" s="14">
        <v>1222</v>
      </c>
      <c r="H81" s="14" t="s">
        <v>290</v>
      </c>
      <c r="I81" s="14">
        <v>1180</v>
      </c>
      <c r="J81" s="14">
        <v>3012</v>
      </c>
      <c r="K81" s="14" t="s">
        <v>290</v>
      </c>
    </row>
    <row r="82" spans="2:11" ht="15" customHeight="1" x14ac:dyDescent="0.25">
      <c r="B82" s="17" t="s">
        <v>365</v>
      </c>
      <c r="C82" s="14">
        <v>15828</v>
      </c>
      <c r="D82" s="14">
        <v>14867</v>
      </c>
      <c r="E82" s="14">
        <v>2230</v>
      </c>
      <c r="F82" s="14">
        <v>2020</v>
      </c>
      <c r="G82" s="14">
        <v>3696</v>
      </c>
      <c r="H82" s="14">
        <v>403</v>
      </c>
      <c r="I82" s="14">
        <v>3907</v>
      </c>
      <c r="J82" s="14">
        <v>8633</v>
      </c>
      <c r="K82" s="14" t="s">
        <v>290</v>
      </c>
    </row>
    <row r="83" spans="2:11" ht="15" customHeight="1" x14ac:dyDescent="0.25">
      <c r="B83" s="17" t="s">
        <v>366</v>
      </c>
      <c r="C83" s="14">
        <v>20529</v>
      </c>
      <c r="D83" s="14">
        <v>19365</v>
      </c>
      <c r="E83" s="14">
        <v>3183</v>
      </c>
      <c r="F83" s="14">
        <v>2268</v>
      </c>
      <c r="G83" s="14">
        <v>4971</v>
      </c>
      <c r="H83" s="14">
        <v>1099</v>
      </c>
      <c r="I83" s="14">
        <v>5496</v>
      </c>
      <c r="J83" s="14">
        <v>11950</v>
      </c>
      <c r="K83" s="14" t="s">
        <v>290</v>
      </c>
    </row>
    <row r="84" spans="2:11" ht="15" customHeight="1" x14ac:dyDescent="0.25">
      <c r="B84" s="17" t="s">
        <v>367</v>
      </c>
      <c r="C84" s="14">
        <v>15867</v>
      </c>
      <c r="D84" s="14">
        <v>15148</v>
      </c>
      <c r="E84" s="14">
        <v>2427</v>
      </c>
      <c r="F84" s="14">
        <v>1262</v>
      </c>
      <c r="G84" s="14">
        <v>3999</v>
      </c>
      <c r="H84" s="14">
        <v>828</v>
      </c>
      <c r="I84" s="14">
        <v>3993</v>
      </c>
      <c r="J84" s="14">
        <v>10640</v>
      </c>
      <c r="K84" s="14">
        <v>443</v>
      </c>
    </row>
    <row r="85" spans="2:11" ht="15" customHeight="1" x14ac:dyDescent="0.25">
      <c r="B85" s="17" t="s">
        <v>368</v>
      </c>
      <c r="C85" s="14">
        <v>9395</v>
      </c>
      <c r="D85" s="14">
        <v>8711</v>
      </c>
      <c r="E85" s="14">
        <v>724</v>
      </c>
      <c r="F85" s="14">
        <v>878</v>
      </c>
      <c r="G85" s="14">
        <v>2183</v>
      </c>
      <c r="H85" s="14">
        <v>631</v>
      </c>
      <c r="I85" s="14">
        <v>2266</v>
      </c>
      <c r="J85" s="14">
        <v>6372</v>
      </c>
      <c r="K85" s="14">
        <v>364</v>
      </c>
    </row>
    <row r="86" spans="2:11" ht="15" customHeight="1" x14ac:dyDescent="0.25">
      <c r="B86" s="17" t="s">
        <v>369</v>
      </c>
      <c r="C86" s="14">
        <v>17253</v>
      </c>
      <c r="D86" s="14">
        <v>16224</v>
      </c>
      <c r="E86" s="14">
        <v>2666</v>
      </c>
      <c r="F86" s="14">
        <v>1246</v>
      </c>
      <c r="G86" s="14">
        <v>4696</v>
      </c>
      <c r="H86" s="14">
        <v>2792</v>
      </c>
      <c r="I86" s="14">
        <v>5601</v>
      </c>
      <c r="J86" s="14">
        <v>8582</v>
      </c>
      <c r="K86" s="14" t="s">
        <v>290</v>
      </c>
    </row>
    <row r="87" spans="2:11" ht="24" customHeight="1" x14ac:dyDescent="0.25">
      <c r="B87" s="15" t="s">
        <v>370</v>
      </c>
      <c r="C87" s="21"/>
      <c r="D87" s="21"/>
      <c r="E87" s="21"/>
      <c r="F87" s="21"/>
      <c r="G87" s="21"/>
      <c r="H87" s="21"/>
      <c r="I87" s="21"/>
      <c r="J87" s="21"/>
      <c r="K87" s="21"/>
    </row>
    <row r="88" spans="2:11" ht="15" customHeight="1" x14ac:dyDescent="0.25">
      <c r="B88" s="17" t="s">
        <v>371</v>
      </c>
      <c r="C88" s="14">
        <v>67550</v>
      </c>
      <c r="D88" s="14">
        <v>61341</v>
      </c>
      <c r="E88" s="14">
        <v>8500</v>
      </c>
      <c r="F88" s="14">
        <v>7472</v>
      </c>
      <c r="G88" s="14">
        <v>16206</v>
      </c>
      <c r="H88" s="14">
        <v>3119</v>
      </c>
      <c r="I88" s="14">
        <v>13405</v>
      </c>
      <c r="J88" s="14">
        <v>40336</v>
      </c>
      <c r="K88" s="14">
        <v>1316</v>
      </c>
    </row>
    <row r="89" spans="2:11" ht="15" customHeight="1" x14ac:dyDescent="0.25">
      <c r="B89" s="18" t="s">
        <v>372</v>
      </c>
      <c r="C89" s="14">
        <v>30637</v>
      </c>
      <c r="D89" s="14">
        <v>28745</v>
      </c>
      <c r="E89" s="14">
        <v>3841</v>
      </c>
      <c r="F89" s="14">
        <v>3629</v>
      </c>
      <c r="G89" s="14">
        <v>7363</v>
      </c>
      <c r="H89" s="14">
        <v>1825</v>
      </c>
      <c r="I89" s="14">
        <v>6663</v>
      </c>
      <c r="J89" s="14">
        <v>17635</v>
      </c>
      <c r="K89" s="14">
        <v>214</v>
      </c>
    </row>
    <row r="90" spans="2:11" ht="15" customHeight="1" x14ac:dyDescent="0.25">
      <c r="B90" s="18" t="s">
        <v>373</v>
      </c>
      <c r="C90" s="14">
        <v>26115</v>
      </c>
      <c r="D90" s="14">
        <v>23766</v>
      </c>
      <c r="E90" s="14">
        <v>3022</v>
      </c>
      <c r="F90" s="14">
        <v>2880</v>
      </c>
      <c r="G90" s="14">
        <v>6507</v>
      </c>
      <c r="H90" s="14">
        <v>730</v>
      </c>
      <c r="I90" s="14">
        <v>4091</v>
      </c>
      <c r="J90" s="14">
        <v>17239</v>
      </c>
      <c r="K90" s="14">
        <v>1021</v>
      </c>
    </row>
    <row r="91" spans="2:11" ht="15" customHeight="1" x14ac:dyDescent="0.25">
      <c r="B91" s="18" t="s">
        <v>374</v>
      </c>
      <c r="C91" s="14">
        <v>8873</v>
      </c>
      <c r="D91" s="14">
        <v>8328</v>
      </c>
      <c r="E91" s="14">
        <v>1597</v>
      </c>
      <c r="F91" s="14">
        <v>900</v>
      </c>
      <c r="G91" s="14">
        <v>2284</v>
      </c>
      <c r="H91" s="14">
        <v>557</v>
      </c>
      <c r="I91" s="14">
        <v>2590</v>
      </c>
      <c r="J91" s="14">
        <v>5102</v>
      </c>
      <c r="K91" s="14" t="s">
        <v>290</v>
      </c>
    </row>
    <row r="92" spans="2:11" ht="15" customHeight="1" x14ac:dyDescent="0.25">
      <c r="B92" s="18" t="s">
        <v>375</v>
      </c>
      <c r="C92" s="14">
        <v>1925</v>
      </c>
      <c r="D92" s="14">
        <v>502</v>
      </c>
      <c r="E92" s="14" t="s">
        <v>290</v>
      </c>
      <c r="F92" s="14" t="s">
        <v>290</v>
      </c>
      <c r="G92" s="14" t="s">
        <v>290</v>
      </c>
      <c r="H92" s="14" t="s">
        <v>290</v>
      </c>
      <c r="I92" s="14" t="s">
        <v>290</v>
      </c>
      <c r="J92" s="14">
        <v>360</v>
      </c>
      <c r="K92" s="14" t="s">
        <v>290</v>
      </c>
    </row>
    <row r="93" spans="2:11" ht="15" customHeight="1" x14ac:dyDescent="0.25">
      <c r="B93" s="17" t="s">
        <v>376</v>
      </c>
      <c r="C93" s="14">
        <v>19543</v>
      </c>
      <c r="D93" s="14">
        <v>18736</v>
      </c>
      <c r="E93" s="14">
        <v>3346</v>
      </c>
      <c r="F93" s="14">
        <v>1182</v>
      </c>
      <c r="G93" s="14">
        <v>4561</v>
      </c>
      <c r="H93" s="14">
        <v>2807</v>
      </c>
      <c r="I93" s="14">
        <v>9038</v>
      </c>
      <c r="J93" s="14">
        <v>8852</v>
      </c>
      <c r="K93" s="14" t="s">
        <v>290</v>
      </c>
    </row>
    <row r="94" spans="2:11" ht="15" customHeight="1" x14ac:dyDescent="0.25">
      <c r="B94" s="18" t="s">
        <v>377</v>
      </c>
      <c r="C94" s="14">
        <v>1573</v>
      </c>
      <c r="D94" s="14">
        <v>1557</v>
      </c>
      <c r="E94" s="14">
        <v>212</v>
      </c>
      <c r="F94" s="14" t="s">
        <v>290</v>
      </c>
      <c r="G94" s="14">
        <v>558</v>
      </c>
      <c r="H94" s="14">
        <v>697</v>
      </c>
      <c r="I94" s="14">
        <v>471</v>
      </c>
      <c r="J94" s="14">
        <v>495</v>
      </c>
      <c r="K94" s="14" t="s">
        <v>290</v>
      </c>
    </row>
    <row r="95" spans="2:11" ht="15" customHeight="1" x14ac:dyDescent="0.25">
      <c r="B95" s="18" t="s">
        <v>378</v>
      </c>
      <c r="C95" s="14">
        <v>5539</v>
      </c>
      <c r="D95" s="14">
        <v>5411</v>
      </c>
      <c r="E95" s="14">
        <v>636</v>
      </c>
      <c r="F95" s="14">
        <v>378</v>
      </c>
      <c r="G95" s="14">
        <v>1375</v>
      </c>
      <c r="H95" s="14">
        <v>1526</v>
      </c>
      <c r="I95" s="14">
        <v>2305</v>
      </c>
      <c r="J95" s="14">
        <v>2213</v>
      </c>
      <c r="K95" s="14" t="s">
        <v>290</v>
      </c>
    </row>
    <row r="96" spans="2:11" ht="15" customHeight="1" x14ac:dyDescent="0.25">
      <c r="B96" s="18" t="s">
        <v>379</v>
      </c>
      <c r="C96" s="14">
        <v>12431</v>
      </c>
      <c r="D96" s="14">
        <v>11768</v>
      </c>
      <c r="E96" s="14">
        <v>2497</v>
      </c>
      <c r="F96" s="14">
        <v>753</v>
      </c>
      <c r="G96" s="14">
        <v>2628</v>
      </c>
      <c r="H96" s="14">
        <v>584</v>
      </c>
      <c r="I96" s="14">
        <v>6263</v>
      </c>
      <c r="J96" s="14">
        <v>6144</v>
      </c>
      <c r="K96" s="14" t="s">
        <v>290</v>
      </c>
    </row>
    <row r="97" spans="2:11" ht="45.95" customHeight="1" x14ac:dyDescent="0.25">
      <c r="B97" s="15" t="s">
        <v>380</v>
      </c>
      <c r="C97" s="21"/>
      <c r="D97" s="21"/>
      <c r="E97" s="21"/>
      <c r="F97" s="21"/>
      <c r="G97" s="21"/>
      <c r="H97" s="21"/>
      <c r="I97" s="21"/>
      <c r="J97" s="21"/>
      <c r="K97" s="21"/>
    </row>
    <row r="98" spans="2:11" ht="15" customHeight="1" x14ac:dyDescent="0.25">
      <c r="B98" s="17" t="s">
        <v>381</v>
      </c>
      <c r="C98" s="14">
        <v>73702</v>
      </c>
      <c r="D98" s="14">
        <v>67644</v>
      </c>
      <c r="E98" s="14">
        <v>10210</v>
      </c>
      <c r="F98" s="14">
        <v>7076</v>
      </c>
      <c r="G98" s="14">
        <v>17425</v>
      </c>
      <c r="H98" s="14">
        <v>5737</v>
      </c>
      <c r="I98" s="14">
        <v>20588</v>
      </c>
      <c r="J98" s="14">
        <v>39517</v>
      </c>
      <c r="K98" s="14">
        <v>1008</v>
      </c>
    </row>
    <row r="99" spans="2:11" ht="15" customHeight="1" x14ac:dyDescent="0.25">
      <c r="B99" s="17" t="s">
        <v>382</v>
      </c>
      <c r="C99" s="14">
        <v>11309</v>
      </c>
      <c r="D99" s="14">
        <v>10534</v>
      </c>
      <c r="E99" s="14">
        <v>1240</v>
      </c>
      <c r="F99" s="14">
        <v>1325</v>
      </c>
      <c r="G99" s="14">
        <v>2895</v>
      </c>
      <c r="H99" s="14" t="s">
        <v>290</v>
      </c>
      <c r="I99" s="14">
        <v>1363</v>
      </c>
      <c r="J99" s="14">
        <v>8598</v>
      </c>
      <c r="K99" s="14">
        <v>549</v>
      </c>
    </row>
    <row r="100" spans="2:11" ht="15" customHeight="1" x14ac:dyDescent="0.25">
      <c r="B100" s="17" t="s">
        <v>383</v>
      </c>
      <c r="C100" s="14">
        <v>1250</v>
      </c>
      <c r="D100" s="14">
        <v>1073</v>
      </c>
      <c r="E100" s="14" t="s">
        <v>290</v>
      </c>
      <c r="F100" s="14" t="s">
        <v>290</v>
      </c>
      <c r="G100" s="14">
        <v>227</v>
      </c>
      <c r="H100" s="14" t="s">
        <v>290</v>
      </c>
      <c r="I100" s="14">
        <v>273</v>
      </c>
      <c r="J100" s="14">
        <v>652</v>
      </c>
      <c r="K100" s="14" t="s">
        <v>290</v>
      </c>
    </row>
    <row r="101" spans="2:11" ht="15" customHeight="1" x14ac:dyDescent="0.25">
      <c r="B101" s="17" t="s">
        <v>69</v>
      </c>
      <c r="C101" s="14">
        <v>832</v>
      </c>
      <c r="D101" s="14">
        <v>826</v>
      </c>
      <c r="E101" s="14" t="s">
        <v>290</v>
      </c>
      <c r="F101" s="14" t="s">
        <v>290</v>
      </c>
      <c r="G101" s="14" t="s">
        <v>290</v>
      </c>
      <c r="H101" s="14" t="s">
        <v>290</v>
      </c>
      <c r="I101" s="14">
        <v>219</v>
      </c>
      <c r="J101" s="14">
        <v>422</v>
      </c>
      <c r="K101" s="14" t="s">
        <v>301</v>
      </c>
    </row>
    <row r="102" spans="2:11" ht="33.950000000000003" customHeight="1" x14ac:dyDescent="0.25">
      <c r="B102" s="15" t="s">
        <v>384</v>
      </c>
      <c r="C102" s="21"/>
      <c r="D102" s="21"/>
      <c r="E102" s="21"/>
      <c r="F102" s="21"/>
      <c r="G102" s="21"/>
      <c r="H102" s="21"/>
      <c r="I102" s="21"/>
      <c r="J102" s="21"/>
      <c r="K102" s="21"/>
    </row>
    <row r="103" spans="2:11" ht="15" customHeight="1" x14ac:dyDescent="0.25">
      <c r="B103" s="17" t="s">
        <v>381</v>
      </c>
      <c r="C103" s="22">
        <v>76271</v>
      </c>
      <c r="D103" s="22">
        <v>70099</v>
      </c>
      <c r="E103" s="22">
        <v>10579</v>
      </c>
      <c r="F103" s="22">
        <v>7554</v>
      </c>
      <c r="G103" s="22">
        <v>17932</v>
      </c>
      <c r="H103" s="22">
        <v>5694</v>
      </c>
      <c r="I103" s="22">
        <v>20908</v>
      </c>
      <c r="J103" s="22">
        <v>41565</v>
      </c>
      <c r="K103" s="22">
        <v>1041</v>
      </c>
    </row>
    <row r="104" spans="2:11" ht="15" customHeight="1" x14ac:dyDescent="0.25">
      <c r="B104" s="17" t="s">
        <v>382</v>
      </c>
      <c r="C104" s="14">
        <v>8256</v>
      </c>
      <c r="D104" s="14">
        <v>7685</v>
      </c>
      <c r="E104" s="14">
        <v>800</v>
      </c>
      <c r="F104" s="14">
        <v>812</v>
      </c>
      <c r="G104" s="14">
        <v>2297</v>
      </c>
      <c r="H104" s="14" t="s">
        <v>290</v>
      </c>
      <c r="I104" s="14">
        <v>1058</v>
      </c>
      <c r="J104" s="14">
        <v>6096</v>
      </c>
      <c r="K104" s="14">
        <v>366</v>
      </c>
    </row>
    <row r="105" spans="2:11" ht="15" customHeight="1" x14ac:dyDescent="0.25">
      <c r="B105" s="17" t="s">
        <v>383</v>
      </c>
      <c r="C105" s="14">
        <v>880</v>
      </c>
      <c r="D105" s="14">
        <v>722</v>
      </c>
      <c r="E105" s="14" t="s">
        <v>290</v>
      </c>
      <c r="F105" s="14" t="s">
        <v>290</v>
      </c>
      <c r="G105" s="14">
        <v>201</v>
      </c>
      <c r="H105" s="14" t="s">
        <v>290</v>
      </c>
      <c r="I105" s="14" t="s">
        <v>290</v>
      </c>
      <c r="J105" s="14">
        <v>469</v>
      </c>
      <c r="K105" s="14" t="s">
        <v>290</v>
      </c>
    </row>
    <row r="106" spans="2:11" ht="15" customHeight="1" x14ac:dyDescent="0.25">
      <c r="B106" s="17" t="s">
        <v>69</v>
      </c>
      <c r="C106" s="14">
        <v>1686</v>
      </c>
      <c r="D106" s="14">
        <v>1571</v>
      </c>
      <c r="E106" s="14">
        <v>369</v>
      </c>
      <c r="F106" s="14" t="s">
        <v>290</v>
      </c>
      <c r="G106" s="14">
        <v>337</v>
      </c>
      <c r="H106" s="14" t="s">
        <v>290</v>
      </c>
      <c r="I106" s="14">
        <v>301</v>
      </c>
      <c r="J106" s="14">
        <v>1058</v>
      </c>
      <c r="K106" s="14" t="s">
        <v>290</v>
      </c>
    </row>
    <row r="107" spans="2:11" ht="24" customHeight="1" x14ac:dyDescent="0.25">
      <c r="B107" s="15" t="s">
        <v>385</v>
      </c>
      <c r="C107" s="16"/>
      <c r="D107" s="16"/>
      <c r="E107" s="16"/>
      <c r="F107" s="16"/>
      <c r="G107" s="16"/>
      <c r="H107" s="16"/>
      <c r="I107" s="16"/>
      <c r="J107" s="16"/>
      <c r="K107" s="16"/>
    </row>
    <row r="108" spans="2:11" ht="15" customHeight="1" x14ac:dyDescent="0.25">
      <c r="B108" s="17" t="s">
        <v>386</v>
      </c>
      <c r="C108" s="14">
        <v>52275</v>
      </c>
      <c r="D108" s="14">
        <v>48779</v>
      </c>
      <c r="E108" s="14">
        <v>6741</v>
      </c>
      <c r="F108" s="14">
        <v>5649</v>
      </c>
      <c r="G108" s="14">
        <v>12576</v>
      </c>
      <c r="H108" s="14">
        <v>960</v>
      </c>
      <c r="I108" s="14">
        <v>13400</v>
      </c>
      <c r="J108" s="14">
        <v>32001</v>
      </c>
      <c r="K108" s="14">
        <v>828</v>
      </c>
    </row>
    <row r="109" spans="2:11" ht="15" customHeight="1" x14ac:dyDescent="0.25">
      <c r="B109" s="17" t="s">
        <v>387</v>
      </c>
      <c r="C109" s="14">
        <v>4616</v>
      </c>
      <c r="D109" s="14">
        <v>4486</v>
      </c>
      <c r="E109" s="14">
        <v>986</v>
      </c>
      <c r="F109" s="14">
        <v>344</v>
      </c>
      <c r="G109" s="14">
        <v>647</v>
      </c>
      <c r="H109" s="14" t="s">
        <v>290</v>
      </c>
      <c r="I109" s="14">
        <v>1979</v>
      </c>
      <c r="J109" s="14">
        <v>2868</v>
      </c>
      <c r="K109" s="14" t="s">
        <v>290</v>
      </c>
    </row>
    <row r="110" spans="2:11" ht="15" customHeight="1" x14ac:dyDescent="0.25">
      <c r="B110" s="17" t="s">
        <v>388</v>
      </c>
      <c r="C110" s="14">
        <v>4068</v>
      </c>
      <c r="D110" s="14">
        <v>4008</v>
      </c>
      <c r="E110" s="14">
        <v>379</v>
      </c>
      <c r="F110" s="14" t="s">
        <v>290</v>
      </c>
      <c r="G110" s="14">
        <v>574</v>
      </c>
      <c r="H110" s="14">
        <v>2185</v>
      </c>
      <c r="I110" s="14">
        <v>1163</v>
      </c>
      <c r="J110" s="14">
        <v>758</v>
      </c>
      <c r="K110" s="14" t="s">
        <v>290</v>
      </c>
    </row>
    <row r="111" spans="2:11" ht="15" customHeight="1" x14ac:dyDescent="0.25">
      <c r="B111" s="17" t="s">
        <v>389</v>
      </c>
      <c r="C111" s="14">
        <v>3456</v>
      </c>
      <c r="D111" s="14">
        <v>3377</v>
      </c>
      <c r="E111" s="14">
        <v>681</v>
      </c>
      <c r="F111" s="14">
        <v>208</v>
      </c>
      <c r="G111" s="14">
        <v>699</v>
      </c>
      <c r="H111" s="14" t="s">
        <v>290</v>
      </c>
      <c r="I111" s="14">
        <v>894</v>
      </c>
      <c r="J111" s="14">
        <v>1754</v>
      </c>
      <c r="K111" s="14" t="s">
        <v>290</v>
      </c>
    </row>
    <row r="112" spans="2:11" ht="15" customHeight="1" x14ac:dyDescent="0.25">
      <c r="B112" s="17" t="s">
        <v>390</v>
      </c>
      <c r="C112" s="14">
        <v>5159</v>
      </c>
      <c r="D112" s="14">
        <v>4805</v>
      </c>
      <c r="E112" s="14">
        <v>675</v>
      </c>
      <c r="F112" s="14">
        <v>668</v>
      </c>
      <c r="G112" s="14">
        <v>1508</v>
      </c>
      <c r="H112" s="14" t="s">
        <v>301</v>
      </c>
      <c r="I112" s="14">
        <v>516</v>
      </c>
      <c r="J112" s="14">
        <v>4330</v>
      </c>
      <c r="K112" s="14">
        <v>598</v>
      </c>
    </row>
    <row r="113" spans="2:11" ht="15" customHeight="1" x14ac:dyDescent="0.25">
      <c r="B113" s="17" t="s">
        <v>391</v>
      </c>
      <c r="C113" s="14">
        <v>3212</v>
      </c>
      <c r="D113" s="14">
        <v>1285</v>
      </c>
      <c r="E113" s="14" t="s">
        <v>290</v>
      </c>
      <c r="F113" s="14" t="s">
        <v>290</v>
      </c>
      <c r="G113" s="14">
        <v>560</v>
      </c>
      <c r="H113" s="14" t="s">
        <v>301</v>
      </c>
      <c r="I113" s="14" t="s">
        <v>290</v>
      </c>
      <c r="J113" s="14">
        <v>691</v>
      </c>
      <c r="K113" s="14" t="s">
        <v>301</v>
      </c>
    </row>
    <row r="114" spans="2:11" ht="15" customHeight="1" x14ac:dyDescent="0.25">
      <c r="B114" s="17" t="s">
        <v>392</v>
      </c>
      <c r="C114" s="14">
        <v>1932</v>
      </c>
      <c r="D114" s="14">
        <v>1896</v>
      </c>
      <c r="E114" s="14">
        <v>207</v>
      </c>
      <c r="F114" s="14">
        <v>308</v>
      </c>
      <c r="G114" s="14">
        <v>242</v>
      </c>
      <c r="H114" s="14" t="s">
        <v>290</v>
      </c>
      <c r="I114" s="14">
        <v>565</v>
      </c>
      <c r="J114" s="14">
        <v>1152</v>
      </c>
      <c r="K114" s="14" t="s">
        <v>301</v>
      </c>
    </row>
    <row r="115" spans="2:11" ht="15" customHeight="1" x14ac:dyDescent="0.25">
      <c r="B115" s="17" t="s">
        <v>393</v>
      </c>
      <c r="C115" s="14">
        <v>3362</v>
      </c>
      <c r="D115" s="14">
        <v>3296</v>
      </c>
      <c r="E115" s="14">
        <v>592</v>
      </c>
      <c r="F115" s="14">
        <v>250</v>
      </c>
      <c r="G115" s="14">
        <v>882</v>
      </c>
      <c r="H115" s="14">
        <v>968</v>
      </c>
      <c r="I115" s="14">
        <v>1668</v>
      </c>
      <c r="J115" s="14">
        <v>1509</v>
      </c>
      <c r="K115" s="14" t="s">
        <v>290</v>
      </c>
    </row>
    <row r="116" spans="2:11" ht="15" customHeight="1" x14ac:dyDescent="0.25">
      <c r="B116" s="17" t="s">
        <v>394</v>
      </c>
      <c r="C116" s="14">
        <v>1295</v>
      </c>
      <c r="D116" s="14">
        <v>1181</v>
      </c>
      <c r="E116" s="14">
        <v>255</v>
      </c>
      <c r="F116" s="14" t="s">
        <v>290</v>
      </c>
      <c r="G116" s="14">
        <v>456</v>
      </c>
      <c r="H116" s="14" t="s">
        <v>290</v>
      </c>
      <c r="I116" s="14">
        <v>350</v>
      </c>
      <c r="J116" s="14">
        <v>383</v>
      </c>
      <c r="K116" s="14" t="s">
        <v>301</v>
      </c>
    </row>
    <row r="117" spans="2:11" ht="15" customHeight="1" x14ac:dyDescent="0.25">
      <c r="B117" s="17" t="s">
        <v>395</v>
      </c>
      <c r="C117" s="14">
        <v>554</v>
      </c>
      <c r="D117" s="14">
        <v>496</v>
      </c>
      <c r="E117" s="14" t="s">
        <v>290</v>
      </c>
      <c r="F117" s="14" t="s">
        <v>290</v>
      </c>
      <c r="G117" s="14">
        <v>282</v>
      </c>
      <c r="H117" s="14" t="s">
        <v>290</v>
      </c>
      <c r="I117" s="14" t="s">
        <v>290</v>
      </c>
      <c r="J117" s="14">
        <v>233</v>
      </c>
      <c r="K117" s="14" t="s">
        <v>301</v>
      </c>
    </row>
    <row r="118" spans="2:11" ht="15" customHeight="1" x14ac:dyDescent="0.25">
      <c r="B118" s="17" t="s">
        <v>396</v>
      </c>
      <c r="C118" s="14">
        <v>2107</v>
      </c>
      <c r="D118" s="14">
        <v>1992</v>
      </c>
      <c r="E118" s="14">
        <v>259</v>
      </c>
      <c r="F118" s="14" t="s">
        <v>290</v>
      </c>
      <c r="G118" s="14">
        <v>872</v>
      </c>
      <c r="H118" s="14">
        <v>720</v>
      </c>
      <c r="I118" s="14">
        <v>715</v>
      </c>
      <c r="J118" s="14">
        <v>711</v>
      </c>
      <c r="K118" s="14" t="s">
        <v>290</v>
      </c>
    </row>
    <row r="119" spans="2:11" ht="15" customHeight="1" x14ac:dyDescent="0.25">
      <c r="B119" s="17" t="s">
        <v>69</v>
      </c>
      <c r="C119" s="14">
        <v>5057</v>
      </c>
      <c r="D119" s="14">
        <v>4478</v>
      </c>
      <c r="E119" s="14">
        <v>876</v>
      </c>
      <c r="F119" s="14">
        <v>769</v>
      </c>
      <c r="G119" s="14">
        <v>1468</v>
      </c>
      <c r="H119" s="14" t="s">
        <v>290</v>
      </c>
      <c r="I119" s="14">
        <v>915</v>
      </c>
      <c r="J119" s="14">
        <v>2799</v>
      </c>
      <c r="K119" s="14" t="s">
        <v>290</v>
      </c>
    </row>
    <row r="120" spans="2:11" ht="44.25" customHeight="1" x14ac:dyDescent="0.25">
      <c r="B120" s="15" t="s">
        <v>397</v>
      </c>
      <c r="C120" s="21"/>
      <c r="D120" s="21"/>
      <c r="E120" s="21"/>
      <c r="F120" s="21"/>
      <c r="G120" s="21"/>
      <c r="H120" s="21"/>
      <c r="I120" s="21"/>
      <c r="J120" s="21"/>
      <c r="K120" s="21"/>
    </row>
    <row r="121" spans="2:11" ht="15" customHeight="1" x14ac:dyDescent="0.25">
      <c r="B121" s="17" t="s">
        <v>398</v>
      </c>
      <c r="C121" s="14">
        <v>42216</v>
      </c>
      <c r="D121" s="14">
        <v>40692</v>
      </c>
      <c r="E121" s="14">
        <v>6295</v>
      </c>
      <c r="F121" s="14">
        <v>4399</v>
      </c>
      <c r="G121" s="14">
        <v>12371</v>
      </c>
      <c r="H121" s="14">
        <v>3964</v>
      </c>
      <c r="I121" s="14">
        <v>13377</v>
      </c>
      <c r="J121" s="14">
        <v>25179</v>
      </c>
      <c r="K121" s="14">
        <v>783</v>
      </c>
    </row>
    <row r="122" spans="2:11" ht="15" customHeight="1" x14ac:dyDescent="0.25">
      <c r="B122" s="18" t="s">
        <v>399</v>
      </c>
      <c r="C122" s="14">
        <v>13022</v>
      </c>
      <c r="D122" s="14">
        <v>12822</v>
      </c>
      <c r="E122" s="14">
        <v>2127</v>
      </c>
      <c r="F122" s="14">
        <v>1526</v>
      </c>
      <c r="G122" s="14">
        <v>3745</v>
      </c>
      <c r="H122" s="14">
        <v>1254</v>
      </c>
      <c r="I122" s="14">
        <v>5423</v>
      </c>
      <c r="J122" s="14">
        <v>8320</v>
      </c>
      <c r="K122" s="14" t="s">
        <v>290</v>
      </c>
    </row>
    <row r="123" spans="2:11" ht="15" customHeight="1" x14ac:dyDescent="0.25">
      <c r="B123" s="18" t="s">
        <v>400</v>
      </c>
      <c r="C123" s="14">
        <v>1753</v>
      </c>
      <c r="D123" s="14">
        <v>1659</v>
      </c>
      <c r="E123" s="14">
        <v>303</v>
      </c>
      <c r="F123" s="14" t="s">
        <v>290</v>
      </c>
      <c r="G123" s="14">
        <v>519</v>
      </c>
      <c r="H123" s="14" t="s">
        <v>290</v>
      </c>
      <c r="I123" s="14">
        <v>381</v>
      </c>
      <c r="J123" s="14">
        <v>991</v>
      </c>
      <c r="K123" s="14" t="s">
        <v>290</v>
      </c>
    </row>
    <row r="124" spans="2:11" ht="15" customHeight="1" x14ac:dyDescent="0.25">
      <c r="B124" s="18" t="s">
        <v>401</v>
      </c>
      <c r="C124" s="14">
        <v>20917</v>
      </c>
      <c r="D124" s="14">
        <v>20344</v>
      </c>
      <c r="E124" s="14">
        <v>3033</v>
      </c>
      <c r="F124" s="14">
        <v>2181</v>
      </c>
      <c r="G124" s="14">
        <v>6534</v>
      </c>
      <c r="H124" s="14">
        <v>2010</v>
      </c>
      <c r="I124" s="14">
        <v>8067</v>
      </c>
      <c r="J124" s="14">
        <v>12038</v>
      </c>
      <c r="K124" s="14">
        <v>381</v>
      </c>
    </row>
    <row r="125" spans="2:11" ht="15" customHeight="1" x14ac:dyDescent="0.25">
      <c r="B125" s="18" t="s">
        <v>402</v>
      </c>
      <c r="C125" s="14">
        <v>4230</v>
      </c>
      <c r="D125" s="14">
        <v>4136</v>
      </c>
      <c r="E125" s="14">
        <v>751</v>
      </c>
      <c r="F125" s="14">
        <v>466</v>
      </c>
      <c r="G125" s="14">
        <v>1361</v>
      </c>
      <c r="H125" s="14">
        <v>353</v>
      </c>
      <c r="I125" s="14">
        <v>1463</v>
      </c>
      <c r="J125" s="14">
        <v>2706</v>
      </c>
      <c r="K125" s="14" t="s">
        <v>290</v>
      </c>
    </row>
    <row r="126" spans="2:11" ht="15" customHeight="1" x14ac:dyDescent="0.25">
      <c r="B126" s="18" t="s">
        <v>403</v>
      </c>
      <c r="C126" s="14">
        <v>21340</v>
      </c>
      <c r="D126" s="14">
        <v>20750</v>
      </c>
      <c r="E126" s="14">
        <v>3207</v>
      </c>
      <c r="F126" s="14">
        <v>2233</v>
      </c>
      <c r="G126" s="14">
        <v>6598</v>
      </c>
      <c r="H126" s="14">
        <v>2571</v>
      </c>
      <c r="I126" s="14">
        <v>6940</v>
      </c>
      <c r="J126" s="14">
        <v>13025</v>
      </c>
      <c r="K126" s="14">
        <v>313</v>
      </c>
    </row>
    <row r="127" spans="2:11" ht="15" customHeight="1" x14ac:dyDescent="0.25">
      <c r="B127" s="18" t="s">
        <v>404</v>
      </c>
      <c r="C127" s="14">
        <v>12265</v>
      </c>
      <c r="D127" s="14">
        <v>12011</v>
      </c>
      <c r="E127" s="14">
        <v>1850</v>
      </c>
      <c r="F127" s="14">
        <v>1377</v>
      </c>
      <c r="G127" s="14">
        <v>3770</v>
      </c>
      <c r="H127" s="14">
        <v>1431</v>
      </c>
      <c r="I127" s="14">
        <v>4758</v>
      </c>
      <c r="J127" s="14">
        <v>6742</v>
      </c>
      <c r="K127" s="14" t="s">
        <v>290</v>
      </c>
    </row>
    <row r="128" spans="2:11" ht="15" customHeight="1" x14ac:dyDescent="0.25">
      <c r="B128" s="18" t="s">
        <v>405</v>
      </c>
      <c r="C128" s="14">
        <v>26779</v>
      </c>
      <c r="D128" s="14">
        <v>26066</v>
      </c>
      <c r="E128" s="14">
        <v>4440</v>
      </c>
      <c r="F128" s="14">
        <v>3075</v>
      </c>
      <c r="G128" s="14">
        <v>8259</v>
      </c>
      <c r="H128" s="14">
        <v>2986</v>
      </c>
      <c r="I128" s="14">
        <v>9286</v>
      </c>
      <c r="J128" s="14">
        <v>16158</v>
      </c>
      <c r="K128" s="14">
        <v>499</v>
      </c>
    </row>
    <row r="129" spans="2:11" ht="15" customHeight="1" x14ac:dyDescent="0.25">
      <c r="B129" s="18" t="s">
        <v>406</v>
      </c>
      <c r="C129" s="14">
        <v>25503</v>
      </c>
      <c r="D129" s="14">
        <v>24896</v>
      </c>
      <c r="E129" s="14">
        <v>3933</v>
      </c>
      <c r="F129" s="14">
        <v>2514</v>
      </c>
      <c r="G129" s="14">
        <v>8132</v>
      </c>
      <c r="H129" s="14">
        <v>3037</v>
      </c>
      <c r="I129" s="14">
        <v>8908</v>
      </c>
      <c r="J129" s="14">
        <v>15008</v>
      </c>
      <c r="K129" s="14">
        <v>492</v>
      </c>
    </row>
    <row r="130" spans="2:11" ht="15" customHeight="1" x14ac:dyDescent="0.25">
      <c r="B130" s="18" t="s">
        <v>407</v>
      </c>
      <c r="C130" s="14">
        <v>16160</v>
      </c>
      <c r="D130" s="14">
        <v>15661</v>
      </c>
      <c r="E130" s="14">
        <v>2772</v>
      </c>
      <c r="F130" s="14">
        <v>1773</v>
      </c>
      <c r="G130" s="14">
        <v>5398</v>
      </c>
      <c r="H130" s="14">
        <v>2032</v>
      </c>
      <c r="I130" s="14">
        <v>5693</v>
      </c>
      <c r="J130" s="14">
        <v>9467</v>
      </c>
      <c r="K130" s="14" t="s">
        <v>290</v>
      </c>
    </row>
    <row r="131" spans="2:11" ht="15" customHeight="1" x14ac:dyDescent="0.25">
      <c r="B131" s="18" t="s">
        <v>408</v>
      </c>
      <c r="C131" s="14">
        <v>13828</v>
      </c>
      <c r="D131" s="14">
        <v>13537</v>
      </c>
      <c r="E131" s="14">
        <v>2344</v>
      </c>
      <c r="F131" s="14">
        <v>1500</v>
      </c>
      <c r="G131" s="14">
        <v>4666</v>
      </c>
      <c r="H131" s="14">
        <v>1724</v>
      </c>
      <c r="I131" s="14">
        <v>4987</v>
      </c>
      <c r="J131" s="14">
        <v>8052</v>
      </c>
      <c r="K131" s="14" t="s">
        <v>290</v>
      </c>
    </row>
    <row r="132" spans="2:11" ht="15" customHeight="1" x14ac:dyDescent="0.25">
      <c r="B132" s="18" t="s">
        <v>409</v>
      </c>
      <c r="C132" s="14">
        <v>7607</v>
      </c>
      <c r="D132" s="14">
        <v>7371</v>
      </c>
      <c r="E132" s="14">
        <v>1450</v>
      </c>
      <c r="F132" s="14">
        <v>1172</v>
      </c>
      <c r="G132" s="14">
        <v>2509</v>
      </c>
      <c r="H132" s="14">
        <v>1070</v>
      </c>
      <c r="I132" s="14">
        <v>2421</v>
      </c>
      <c r="J132" s="14">
        <v>4417</v>
      </c>
      <c r="K132" s="14" t="s">
        <v>290</v>
      </c>
    </row>
    <row r="133" spans="2:11" ht="15" customHeight="1" x14ac:dyDescent="0.25">
      <c r="B133" s="18" t="s">
        <v>410</v>
      </c>
      <c r="C133" s="14">
        <v>17196</v>
      </c>
      <c r="D133" s="14">
        <v>16676</v>
      </c>
      <c r="E133" s="14">
        <v>3139</v>
      </c>
      <c r="F133" s="14">
        <v>1736</v>
      </c>
      <c r="G133" s="14">
        <v>5566</v>
      </c>
      <c r="H133" s="14">
        <v>2073</v>
      </c>
      <c r="I133" s="14">
        <v>6630</v>
      </c>
      <c r="J133" s="14">
        <v>9806</v>
      </c>
      <c r="K133" s="14" t="s">
        <v>290</v>
      </c>
    </row>
    <row r="134" spans="2:11" ht="15" customHeight="1" x14ac:dyDescent="0.25">
      <c r="B134" s="18" t="s">
        <v>411</v>
      </c>
      <c r="C134" s="14">
        <v>3913</v>
      </c>
      <c r="D134" s="14">
        <v>3864</v>
      </c>
      <c r="E134" s="14">
        <v>836</v>
      </c>
      <c r="F134" s="14">
        <v>449</v>
      </c>
      <c r="G134" s="14">
        <v>1043</v>
      </c>
      <c r="H134" s="14">
        <v>697</v>
      </c>
      <c r="I134" s="14">
        <v>1208</v>
      </c>
      <c r="J134" s="14">
        <v>2317</v>
      </c>
      <c r="K134" s="14" t="s">
        <v>290</v>
      </c>
    </row>
    <row r="135" spans="2:11" ht="15" customHeight="1" x14ac:dyDescent="0.25">
      <c r="B135" s="18" t="s">
        <v>69</v>
      </c>
      <c r="C135" s="14">
        <v>848</v>
      </c>
      <c r="D135" s="14">
        <v>751</v>
      </c>
      <c r="E135" s="14" t="s">
        <v>290</v>
      </c>
      <c r="F135" s="14" t="s">
        <v>290</v>
      </c>
      <c r="G135" s="14">
        <v>411</v>
      </c>
      <c r="H135" s="14" t="s">
        <v>290</v>
      </c>
      <c r="I135" s="14" t="s">
        <v>290</v>
      </c>
      <c r="J135" s="14">
        <v>388</v>
      </c>
      <c r="K135" s="14" t="s">
        <v>290</v>
      </c>
    </row>
    <row r="136" spans="2:11" ht="15" customHeight="1" x14ac:dyDescent="0.25">
      <c r="B136" s="17" t="s">
        <v>412</v>
      </c>
      <c r="C136" s="14">
        <v>39154</v>
      </c>
      <c r="D136" s="14">
        <v>33880</v>
      </c>
      <c r="E136" s="14">
        <v>4725</v>
      </c>
      <c r="F136" s="14">
        <v>3813</v>
      </c>
      <c r="G136" s="14">
        <v>7447</v>
      </c>
      <c r="H136" s="14">
        <v>1770</v>
      </c>
      <c r="I136" s="14">
        <v>7763</v>
      </c>
      <c r="J136" s="14">
        <v>20268</v>
      </c>
      <c r="K136" s="14">
        <v>723</v>
      </c>
    </row>
    <row r="137" spans="2:11" ht="15" customHeight="1" x14ac:dyDescent="0.25">
      <c r="B137" s="23" t="s">
        <v>413</v>
      </c>
      <c r="C137" s="24">
        <v>5723</v>
      </c>
      <c r="D137" s="24">
        <v>5505</v>
      </c>
      <c r="E137" s="24">
        <v>826</v>
      </c>
      <c r="F137" s="24">
        <v>442</v>
      </c>
      <c r="G137" s="24">
        <v>948</v>
      </c>
      <c r="H137" s="24" t="s">
        <v>290</v>
      </c>
      <c r="I137" s="24">
        <v>1303</v>
      </c>
      <c r="J137" s="24">
        <v>3741</v>
      </c>
      <c r="K137" s="24" t="s">
        <v>290</v>
      </c>
    </row>
    <row r="138" spans="2:11" ht="33.950000000000003" customHeight="1" x14ac:dyDescent="0.25">
      <c r="B138" s="41" t="s">
        <v>414</v>
      </c>
      <c r="C138" s="42"/>
      <c r="D138" s="42"/>
      <c r="E138" s="42"/>
      <c r="F138" s="42"/>
      <c r="G138" s="42"/>
      <c r="H138" s="42"/>
      <c r="I138" s="42"/>
      <c r="J138" s="42"/>
      <c r="K138" s="42"/>
    </row>
    <row r="139" spans="2:11" ht="15" customHeight="1" x14ac:dyDescent="0.25">
      <c r="B139" s="23" t="s">
        <v>186</v>
      </c>
      <c r="C139" s="24">
        <v>84869</v>
      </c>
      <c r="D139" s="24">
        <v>80053</v>
      </c>
      <c r="E139" s="24">
        <v>11846</v>
      </c>
      <c r="F139" s="24">
        <v>8654</v>
      </c>
      <c r="G139" s="24">
        <v>20751</v>
      </c>
      <c r="H139" s="24">
        <v>5925</v>
      </c>
      <c r="I139" s="24">
        <v>22438</v>
      </c>
      <c r="J139" s="24">
        <v>49188</v>
      </c>
      <c r="K139" s="24">
        <v>1570</v>
      </c>
    </row>
    <row r="140" spans="2:11" ht="15" customHeight="1" x14ac:dyDescent="0.25">
      <c r="B140" s="23" t="s">
        <v>193</v>
      </c>
      <c r="C140" s="24">
        <v>58725</v>
      </c>
      <c r="D140" s="24">
        <v>58129</v>
      </c>
      <c r="E140" s="24">
        <v>7560</v>
      </c>
      <c r="F140" s="24">
        <v>7046</v>
      </c>
      <c r="G140" s="24">
        <v>15808</v>
      </c>
      <c r="H140" s="24">
        <v>2833</v>
      </c>
      <c r="I140" s="24">
        <v>20019</v>
      </c>
      <c r="J140" s="24">
        <v>37569</v>
      </c>
      <c r="K140" s="24">
        <v>1194</v>
      </c>
    </row>
    <row r="141" spans="2:11" ht="15" customHeight="1" x14ac:dyDescent="0.25">
      <c r="B141" s="23" t="s">
        <v>194</v>
      </c>
      <c r="C141" s="24">
        <v>20200</v>
      </c>
      <c r="D141" s="24">
        <v>19670</v>
      </c>
      <c r="E141" s="24">
        <v>3047</v>
      </c>
      <c r="F141" s="24">
        <v>870</v>
      </c>
      <c r="G141" s="24">
        <v>5874</v>
      </c>
      <c r="H141" s="24">
        <v>3088</v>
      </c>
      <c r="I141" s="24">
        <v>9340</v>
      </c>
      <c r="J141" s="24">
        <v>9580</v>
      </c>
      <c r="K141" s="24" t="s">
        <v>290</v>
      </c>
    </row>
    <row r="142" spans="2:11" ht="15" customHeight="1" x14ac:dyDescent="0.25">
      <c r="B142" s="23" t="s">
        <v>195</v>
      </c>
      <c r="C142" s="24">
        <v>5964</v>
      </c>
      <c r="D142" s="24">
        <v>5962</v>
      </c>
      <c r="E142" s="24">
        <v>556</v>
      </c>
      <c r="F142" s="24" t="s">
        <v>290</v>
      </c>
      <c r="G142" s="24">
        <v>1354</v>
      </c>
      <c r="H142" s="24">
        <v>5925</v>
      </c>
      <c r="I142" s="24" t="s">
        <v>290</v>
      </c>
      <c r="J142" s="24">
        <v>742</v>
      </c>
      <c r="K142" s="24" t="s">
        <v>290</v>
      </c>
    </row>
    <row r="143" spans="2:11" ht="15" customHeight="1" x14ac:dyDescent="0.25">
      <c r="B143" s="23" t="s">
        <v>415</v>
      </c>
      <c r="C143" s="24">
        <v>4608</v>
      </c>
      <c r="D143" s="24">
        <v>4561</v>
      </c>
      <c r="E143" s="24">
        <v>325</v>
      </c>
      <c r="F143" s="24" t="s">
        <v>290</v>
      </c>
      <c r="G143" s="24">
        <v>888</v>
      </c>
      <c r="H143" s="24">
        <v>3718</v>
      </c>
      <c r="I143" s="24">
        <v>582</v>
      </c>
      <c r="J143" s="24">
        <v>756</v>
      </c>
      <c r="K143" s="24" t="s">
        <v>290</v>
      </c>
    </row>
    <row r="144" spans="2:11" ht="15" customHeight="1" x14ac:dyDescent="0.25">
      <c r="B144" s="23" t="s">
        <v>169</v>
      </c>
      <c r="C144" s="24">
        <v>7706</v>
      </c>
      <c r="D144" s="24">
        <v>7332</v>
      </c>
      <c r="E144" s="24">
        <v>884</v>
      </c>
      <c r="F144" s="24">
        <v>757</v>
      </c>
      <c r="G144" s="24">
        <v>2742</v>
      </c>
      <c r="H144" s="24" t="s">
        <v>290</v>
      </c>
      <c r="I144" s="24">
        <v>1772</v>
      </c>
      <c r="J144" s="24">
        <v>4689</v>
      </c>
      <c r="K144" s="24">
        <v>277</v>
      </c>
    </row>
    <row r="145" spans="2:11" ht="15" customHeight="1" x14ac:dyDescent="0.25">
      <c r="B145" s="23" t="s">
        <v>69</v>
      </c>
      <c r="C145" s="24">
        <v>3826</v>
      </c>
      <c r="D145" s="24">
        <v>3826</v>
      </c>
      <c r="E145" s="24">
        <v>544</v>
      </c>
      <c r="F145" s="24">
        <v>429</v>
      </c>
      <c r="G145" s="24">
        <v>1353</v>
      </c>
      <c r="H145" s="24">
        <v>335</v>
      </c>
      <c r="I145" s="24">
        <v>1411</v>
      </c>
      <c r="J145" s="24">
        <v>2348</v>
      </c>
      <c r="K145" s="24" t="s">
        <v>290</v>
      </c>
    </row>
    <row r="146" spans="2:11" ht="33.950000000000003" customHeight="1" x14ac:dyDescent="0.25">
      <c r="B146" s="15" t="s">
        <v>416</v>
      </c>
      <c r="C146" s="21"/>
      <c r="D146" s="21"/>
      <c r="E146" s="21"/>
      <c r="F146" s="21"/>
      <c r="G146" s="21"/>
      <c r="H146" s="21"/>
      <c r="I146" s="21"/>
      <c r="J146" s="21"/>
      <c r="K146" s="21"/>
    </row>
    <row r="147" spans="2:11" ht="15" customHeight="1" x14ac:dyDescent="0.25">
      <c r="B147" s="17" t="s">
        <v>186</v>
      </c>
      <c r="C147" s="14">
        <v>49030</v>
      </c>
      <c r="D147" s="14">
        <v>49030</v>
      </c>
      <c r="E147" s="14">
        <v>11482</v>
      </c>
      <c r="F147" s="14">
        <v>5040</v>
      </c>
      <c r="G147" s="14">
        <v>16235</v>
      </c>
      <c r="H147" s="14">
        <v>1869</v>
      </c>
      <c r="I147" s="14">
        <v>10721</v>
      </c>
      <c r="J147" s="14">
        <v>35389</v>
      </c>
      <c r="K147" s="14">
        <v>1352</v>
      </c>
    </row>
    <row r="148" spans="2:11" ht="15" customHeight="1" x14ac:dyDescent="0.25">
      <c r="B148" s="17" t="s">
        <v>193</v>
      </c>
      <c r="C148" s="14">
        <v>49511</v>
      </c>
      <c r="D148" s="14">
        <v>49511</v>
      </c>
      <c r="E148" s="14">
        <v>5928</v>
      </c>
      <c r="F148" s="14">
        <v>6837</v>
      </c>
      <c r="G148" s="14">
        <v>13893</v>
      </c>
      <c r="H148" s="14">
        <v>350</v>
      </c>
      <c r="I148" s="14">
        <v>18893</v>
      </c>
      <c r="J148" s="14">
        <v>32966</v>
      </c>
      <c r="K148" s="14">
        <v>1094</v>
      </c>
    </row>
    <row r="149" spans="2:11" ht="15" customHeight="1" x14ac:dyDescent="0.25">
      <c r="B149" s="17" t="s">
        <v>194</v>
      </c>
      <c r="C149" s="14">
        <v>4351</v>
      </c>
      <c r="D149" s="14">
        <v>4351</v>
      </c>
      <c r="E149" s="14">
        <v>527</v>
      </c>
      <c r="F149" s="14">
        <v>183</v>
      </c>
      <c r="G149" s="14">
        <v>1648</v>
      </c>
      <c r="H149" s="14" t="s">
        <v>290</v>
      </c>
      <c r="I149" s="14">
        <v>2556</v>
      </c>
      <c r="J149" s="14">
        <v>1746</v>
      </c>
      <c r="K149" s="14" t="s">
        <v>290</v>
      </c>
    </row>
    <row r="150" spans="2:11" ht="15" customHeight="1" x14ac:dyDescent="0.25">
      <c r="B150" s="17" t="s">
        <v>195</v>
      </c>
      <c r="C150" s="14">
        <v>5925</v>
      </c>
      <c r="D150" s="14">
        <v>5925</v>
      </c>
      <c r="E150" s="14">
        <v>556</v>
      </c>
      <c r="F150" s="14" t="s">
        <v>290</v>
      </c>
      <c r="G150" s="14">
        <v>1334</v>
      </c>
      <c r="H150" s="14">
        <v>5925</v>
      </c>
      <c r="I150" s="14" t="s">
        <v>290</v>
      </c>
      <c r="J150" s="14">
        <v>725</v>
      </c>
      <c r="K150" s="14" t="s">
        <v>290</v>
      </c>
    </row>
    <row r="151" spans="2:11" ht="15" customHeight="1" x14ac:dyDescent="0.25">
      <c r="B151" s="17" t="s">
        <v>169</v>
      </c>
      <c r="C151" s="14">
        <v>3067</v>
      </c>
      <c r="D151" s="14">
        <v>3067</v>
      </c>
      <c r="E151" s="14">
        <v>385</v>
      </c>
      <c r="F151" s="14">
        <v>481</v>
      </c>
      <c r="G151" s="14">
        <v>1217</v>
      </c>
      <c r="H151" s="14" t="s">
        <v>290</v>
      </c>
      <c r="I151" s="14">
        <v>565</v>
      </c>
      <c r="J151" s="14">
        <v>1963</v>
      </c>
      <c r="K151" s="14" t="s">
        <v>290</v>
      </c>
    </row>
    <row r="152" spans="2:11" ht="15" customHeight="1" thickBot="1" x14ac:dyDescent="0.3">
      <c r="B152" s="23" t="s">
        <v>69</v>
      </c>
      <c r="C152" s="24">
        <v>1010</v>
      </c>
      <c r="D152" s="24">
        <v>1010</v>
      </c>
      <c r="E152" s="24" t="s">
        <v>290</v>
      </c>
      <c r="F152" s="24" t="s">
        <v>290</v>
      </c>
      <c r="G152" s="24">
        <v>590</v>
      </c>
      <c r="H152" s="24" t="s">
        <v>290</v>
      </c>
      <c r="I152" s="24" t="s">
        <v>290</v>
      </c>
      <c r="J152" s="24">
        <v>411</v>
      </c>
      <c r="K152" s="24" t="s">
        <v>290</v>
      </c>
    </row>
    <row r="153" spans="2:11" ht="33.950000000000003" customHeight="1" x14ac:dyDescent="0.25">
      <c r="B153" s="25" t="s">
        <v>417</v>
      </c>
      <c r="C153" s="26"/>
      <c r="D153" s="26"/>
      <c r="E153" s="26"/>
      <c r="F153" s="26"/>
      <c r="G153" s="26"/>
      <c r="H153" s="26"/>
      <c r="I153" s="26"/>
      <c r="J153" s="26"/>
      <c r="K153" s="27"/>
    </row>
    <row r="154" spans="2:11" ht="15" customHeight="1" x14ac:dyDescent="0.25">
      <c r="B154" s="28" t="s">
        <v>186</v>
      </c>
      <c r="C154" s="29">
        <v>26205</v>
      </c>
      <c r="D154" s="29">
        <v>26205</v>
      </c>
      <c r="E154" s="29">
        <v>7215</v>
      </c>
      <c r="F154" s="29">
        <v>2270</v>
      </c>
      <c r="G154" s="29">
        <v>6035</v>
      </c>
      <c r="H154" s="29" t="s">
        <v>290</v>
      </c>
      <c r="I154" s="29">
        <v>2982</v>
      </c>
      <c r="J154" s="29">
        <v>18523</v>
      </c>
      <c r="K154" s="30">
        <v>447</v>
      </c>
    </row>
    <row r="155" spans="2:11" ht="15" customHeight="1" x14ac:dyDescent="0.25">
      <c r="B155" s="28" t="s">
        <v>193</v>
      </c>
      <c r="C155" s="29">
        <v>42988</v>
      </c>
      <c r="D155" s="29">
        <v>42988</v>
      </c>
      <c r="E155" s="29">
        <v>3792</v>
      </c>
      <c r="F155" s="29">
        <v>5778</v>
      </c>
      <c r="G155" s="29">
        <v>11482</v>
      </c>
      <c r="H155" s="29" t="s">
        <v>290</v>
      </c>
      <c r="I155" s="29">
        <v>17437</v>
      </c>
      <c r="J155" s="29">
        <v>27826</v>
      </c>
      <c r="K155" s="30">
        <v>873</v>
      </c>
    </row>
    <row r="156" spans="2:11" ht="15" customHeight="1" x14ac:dyDescent="0.25">
      <c r="B156" s="28" t="s">
        <v>194</v>
      </c>
      <c r="C156" s="29">
        <v>2542</v>
      </c>
      <c r="D156" s="29">
        <v>2542</v>
      </c>
      <c r="E156" s="29" t="s">
        <v>290</v>
      </c>
      <c r="F156" s="29" t="s">
        <v>290</v>
      </c>
      <c r="G156" s="29">
        <v>1008</v>
      </c>
      <c r="H156" s="29" t="s">
        <v>290</v>
      </c>
      <c r="I156" s="29">
        <v>1504</v>
      </c>
      <c r="J156" s="29">
        <v>757</v>
      </c>
      <c r="K156" s="30" t="s">
        <v>290</v>
      </c>
    </row>
    <row r="157" spans="2:11" ht="15" customHeight="1" x14ac:dyDescent="0.25">
      <c r="B157" s="28" t="s">
        <v>195</v>
      </c>
      <c r="C157" s="29">
        <v>5797</v>
      </c>
      <c r="D157" s="29">
        <v>5797</v>
      </c>
      <c r="E157" s="29">
        <v>464</v>
      </c>
      <c r="F157" s="29" t="s">
        <v>290</v>
      </c>
      <c r="G157" s="29">
        <v>1271</v>
      </c>
      <c r="H157" s="29">
        <v>5797</v>
      </c>
      <c r="I157" s="29" t="s">
        <v>290</v>
      </c>
      <c r="J157" s="29">
        <v>650</v>
      </c>
      <c r="K157" s="30" t="s">
        <v>290</v>
      </c>
    </row>
    <row r="158" spans="2:11" ht="15" customHeight="1" x14ac:dyDescent="0.25">
      <c r="B158" s="28" t="s">
        <v>169</v>
      </c>
      <c r="C158" s="29">
        <v>1948</v>
      </c>
      <c r="D158" s="29">
        <v>1948</v>
      </c>
      <c r="E158" s="29" t="s">
        <v>290</v>
      </c>
      <c r="F158" s="29">
        <v>405</v>
      </c>
      <c r="G158" s="29">
        <v>666</v>
      </c>
      <c r="H158" s="29" t="s">
        <v>301</v>
      </c>
      <c r="I158" s="29">
        <v>276</v>
      </c>
      <c r="J158" s="29">
        <v>1193</v>
      </c>
      <c r="K158" s="30" t="s">
        <v>290</v>
      </c>
    </row>
    <row r="159" spans="2:11" ht="15" customHeight="1" thickBot="1" x14ac:dyDescent="0.3">
      <c r="B159" s="31" t="s">
        <v>69</v>
      </c>
      <c r="C159" s="32">
        <v>598</v>
      </c>
      <c r="D159" s="32">
        <v>598</v>
      </c>
      <c r="E159" s="32" t="s">
        <v>290</v>
      </c>
      <c r="F159" s="32" t="s">
        <v>290</v>
      </c>
      <c r="G159" s="32">
        <v>305</v>
      </c>
      <c r="H159" s="32" t="s">
        <v>301</v>
      </c>
      <c r="I159" s="32" t="s">
        <v>290</v>
      </c>
      <c r="J159" s="32" t="s">
        <v>290</v>
      </c>
      <c r="K159" s="33" t="s">
        <v>290</v>
      </c>
    </row>
    <row r="160" spans="2:11" ht="33.950000000000003" customHeight="1" x14ac:dyDescent="0.25">
      <c r="B160" s="15" t="s">
        <v>418</v>
      </c>
      <c r="C160" s="21"/>
      <c r="D160" s="21"/>
      <c r="E160" s="21"/>
      <c r="F160" s="21"/>
      <c r="G160" s="21"/>
      <c r="H160" s="21"/>
      <c r="I160" s="21"/>
      <c r="J160" s="21"/>
      <c r="K160" s="21"/>
    </row>
    <row r="161" spans="2:11" ht="15" customHeight="1" x14ac:dyDescent="0.25">
      <c r="B161" s="17" t="s">
        <v>285</v>
      </c>
      <c r="C161" s="14">
        <v>80078</v>
      </c>
      <c r="D161" s="14">
        <v>80078</v>
      </c>
      <c r="E161" s="14">
        <v>11846</v>
      </c>
      <c r="F161" s="14">
        <v>8654</v>
      </c>
      <c r="G161" s="14">
        <v>20766</v>
      </c>
      <c r="H161" s="14">
        <v>5925</v>
      </c>
      <c r="I161" s="14">
        <v>22443</v>
      </c>
      <c r="J161" s="14">
        <v>49188</v>
      </c>
      <c r="K161" s="14">
        <v>1574</v>
      </c>
    </row>
    <row r="162" spans="2:11" ht="15" customHeight="1" x14ac:dyDescent="0.25">
      <c r="B162" s="17" t="s">
        <v>419</v>
      </c>
      <c r="C162" s="14">
        <v>79294</v>
      </c>
      <c r="D162" s="14">
        <v>76834</v>
      </c>
      <c r="E162" s="14">
        <v>11772</v>
      </c>
      <c r="F162" s="14">
        <v>8514</v>
      </c>
      <c r="G162" s="14">
        <v>19159</v>
      </c>
      <c r="H162" s="14">
        <v>5864</v>
      </c>
      <c r="I162" s="14">
        <v>21579</v>
      </c>
      <c r="J162" s="14">
        <v>48053</v>
      </c>
      <c r="K162" s="14">
        <v>1534</v>
      </c>
    </row>
    <row r="163" spans="2:11" ht="15" customHeight="1" x14ac:dyDescent="0.25">
      <c r="B163" s="17" t="s">
        <v>197</v>
      </c>
      <c r="C163" s="14">
        <v>79015</v>
      </c>
      <c r="D163" s="14">
        <v>76584</v>
      </c>
      <c r="E163" s="14">
        <v>11576</v>
      </c>
      <c r="F163" s="14">
        <v>8420</v>
      </c>
      <c r="G163" s="14">
        <v>19548</v>
      </c>
      <c r="H163" s="14">
        <v>5783</v>
      </c>
      <c r="I163" s="14">
        <v>22020</v>
      </c>
      <c r="J163" s="14">
        <v>47297</v>
      </c>
      <c r="K163" s="14">
        <v>1532</v>
      </c>
    </row>
    <row r="164" spans="2:11" ht="15" customHeight="1" x14ac:dyDescent="0.25">
      <c r="B164" s="17" t="s">
        <v>420</v>
      </c>
      <c r="C164" s="14">
        <v>38546</v>
      </c>
      <c r="D164" s="14">
        <v>37771</v>
      </c>
      <c r="E164" s="14">
        <v>6592</v>
      </c>
      <c r="F164" s="14">
        <v>4005</v>
      </c>
      <c r="G164" s="14">
        <v>9590</v>
      </c>
      <c r="H164" s="14">
        <v>3116</v>
      </c>
      <c r="I164" s="14">
        <v>14847</v>
      </c>
      <c r="J164" s="14">
        <v>23131</v>
      </c>
      <c r="K164" s="14">
        <v>1306</v>
      </c>
    </row>
    <row r="165" spans="2:11" ht="15" customHeight="1" x14ac:dyDescent="0.25">
      <c r="B165" s="17" t="s">
        <v>421</v>
      </c>
      <c r="C165" s="14">
        <v>5078</v>
      </c>
      <c r="D165" s="14">
        <v>4790</v>
      </c>
      <c r="E165" s="14">
        <v>596</v>
      </c>
      <c r="F165" s="14">
        <v>671</v>
      </c>
      <c r="G165" s="14">
        <v>2219</v>
      </c>
      <c r="H165" s="14" t="s">
        <v>290</v>
      </c>
      <c r="I165" s="14">
        <v>795</v>
      </c>
      <c r="J165" s="14">
        <v>3538</v>
      </c>
      <c r="K165" s="14" t="s">
        <v>290</v>
      </c>
    </row>
    <row r="166" spans="2:11" ht="27.95" customHeight="1" x14ac:dyDescent="0.25">
      <c r="B166" s="17" t="s">
        <v>422</v>
      </c>
      <c r="C166" s="14">
        <v>25642</v>
      </c>
      <c r="D166" s="14">
        <v>25155</v>
      </c>
      <c r="E166" s="14">
        <v>4035</v>
      </c>
      <c r="F166" s="14">
        <v>1414</v>
      </c>
      <c r="G166" s="14">
        <v>6857</v>
      </c>
      <c r="H166" s="14">
        <v>3710</v>
      </c>
      <c r="I166" s="14">
        <v>11356</v>
      </c>
      <c r="J166" s="14">
        <v>13943</v>
      </c>
      <c r="K166" s="14">
        <v>626</v>
      </c>
    </row>
    <row r="167" spans="2:11" ht="24" customHeight="1" x14ac:dyDescent="0.25">
      <c r="B167" s="15" t="s">
        <v>423</v>
      </c>
      <c r="C167" s="21"/>
      <c r="D167" s="21"/>
      <c r="E167" s="21"/>
      <c r="F167" s="21"/>
      <c r="G167" s="21"/>
      <c r="H167" s="21"/>
      <c r="I167" s="21"/>
      <c r="J167" s="21"/>
      <c r="K167" s="21"/>
    </row>
    <row r="168" spans="2:11" ht="15" customHeight="1" x14ac:dyDescent="0.25">
      <c r="B168" s="17" t="s">
        <v>424</v>
      </c>
      <c r="C168" s="14">
        <v>7015</v>
      </c>
      <c r="D168" s="14" t="s">
        <v>301</v>
      </c>
      <c r="E168" s="14" t="s">
        <v>301</v>
      </c>
      <c r="F168" s="14" t="s">
        <v>301</v>
      </c>
      <c r="G168" s="14" t="s">
        <v>301</v>
      </c>
      <c r="H168" s="14" t="s">
        <v>301</v>
      </c>
      <c r="I168" s="14" t="s">
        <v>301</v>
      </c>
      <c r="J168" s="14" t="s">
        <v>301</v>
      </c>
      <c r="K168" s="14" t="s">
        <v>301</v>
      </c>
    </row>
    <row r="169" spans="2:11" ht="15" customHeight="1" x14ac:dyDescent="0.25">
      <c r="B169" s="17" t="s">
        <v>425</v>
      </c>
      <c r="C169" s="14">
        <v>10130</v>
      </c>
      <c r="D169" s="14">
        <v>10130</v>
      </c>
      <c r="E169" s="14">
        <v>1390</v>
      </c>
      <c r="F169" s="14">
        <v>931</v>
      </c>
      <c r="G169" s="14">
        <v>2964</v>
      </c>
      <c r="H169" s="14" t="s">
        <v>290</v>
      </c>
      <c r="I169" s="14">
        <v>1016</v>
      </c>
      <c r="J169" s="14">
        <v>6769</v>
      </c>
      <c r="K169" s="14" t="s">
        <v>290</v>
      </c>
    </row>
    <row r="170" spans="2:11" ht="15" customHeight="1" x14ac:dyDescent="0.25">
      <c r="B170" s="17" t="s">
        <v>426</v>
      </c>
      <c r="C170" s="14">
        <v>14650</v>
      </c>
      <c r="D170" s="14">
        <v>14650</v>
      </c>
      <c r="E170" s="14">
        <v>2531</v>
      </c>
      <c r="F170" s="14">
        <v>1628</v>
      </c>
      <c r="G170" s="14">
        <v>4499</v>
      </c>
      <c r="H170" s="14">
        <v>1126</v>
      </c>
      <c r="I170" s="14">
        <v>4532</v>
      </c>
      <c r="J170" s="14">
        <v>9295</v>
      </c>
      <c r="K170" s="14">
        <v>550</v>
      </c>
    </row>
    <row r="171" spans="2:11" ht="15" customHeight="1" x14ac:dyDescent="0.25">
      <c r="B171" s="34" t="s">
        <v>427</v>
      </c>
      <c r="C171" s="14">
        <v>55298</v>
      </c>
      <c r="D171" s="14">
        <v>55298</v>
      </c>
      <c r="E171" s="14">
        <v>7925</v>
      </c>
      <c r="F171" s="14">
        <v>6095</v>
      </c>
      <c r="G171" s="14">
        <v>13303</v>
      </c>
      <c r="H171" s="14">
        <v>4683</v>
      </c>
      <c r="I171" s="14">
        <v>16895</v>
      </c>
      <c r="J171" s="14">
        <v>33125</v>
      </c>
      <c r="K171" s="14">
        <v>980</v>
      </c>
    </row>
    <row r="172" spans="2:11" ht="33.950000000000003" customHeight="1" x14ac:dyDescent="0.25">
      <c r="B172" s="15" t="s">
        <v>286</v>
      </c>
      <c r="C172" s="21"/>
      <c r="D172" s="21"/>
      <c r="E172" s="21"/>
      <c r="F172" s="21"/>
      <c r="G172" s="21"/>
      <c r="H172" s="21"/>
      <c r="I172" s="21"/>
      <c r="J172" s="21"/>
      <c r="K172" s="21"/>
    </row>
    <row r="173" spans="2:11" ht="15" customHeight="1" x14ac:dyDescent="0.25">
      <c r="B173" s="17" t="s">
        <v>428</v>
      </c>
      <c r="C173" s="14">
        <v>11846</v>
      </c>
      <c r="D173" s="14">
        <v>11846</v>
      </c>
      <c r="E173" s="14">
        <v>11846</v>
      </c>
      <c r="F173" s="14">
        <v>1347</v>
      </c>
      <c r="G173" s="14">
        <v>2961</v>
      </c>
      <c r="H173" s="14">
        <v>556</v>
      </c>
      <c r="I173" s="14">
        <v>3225</v>
      </c>
      <c r="J173" s="14">
        <v>5597</v>
      </c>
      <c r="K173" s="14" t="s">
        <v>290</v>
      </c>
    </row>
    <row r="174" spans="2:11" ht="15" customHeight="1" x14ac:dyDescent="0.25">
      <c r="B174" s="17" t="s">
        <v>188</v>
      </c>
      <c r="C174" s="14">
        <v>8654</v>
      </c>
      <c r="D174" s="14">
        <v>8654</v>
      </c>
      <c r="E174" s="14">
        <v>1347</v>
      </c>
      <c r="F174" s="14">
        <v>8654</v>
      </c>
      <c r="G174" s="14">
        <v>2865</v>
      </c>
      <c r="H174" s="14" t="s">
        <v>290</v>
      </c>
      <c r="I174" s="14">
        <v>1053</v>
      </c>
      <c r="J174" s="14">
        <v>4165</v>
      </c>
      <c r="K174" s="14" t="s">
        <v>290</v>
      </c>
    </row>
    <row r="175" spans="2:11" ht="15" customHeight="1" x14ac:dyDescent="0.25">
      <c r="B175" s="17" t="s">
        <v>429</v>
      </c>
      <c r="C175" s="14">
        <v>20766</v>
      </c>
      <c r="D175" s="14">
        <v>20766</v>
      </c>
      <c r="E175" s="14">
        <v>2961</v>
      </c>
      <c r="F175" s="14">
        <v>2865</v>
      </c>
      <c r="G175" s="14">
        <v>20766</v>
      </c>
      <c r="H175" s="14">
        <v>1334</v>
      </c>
      <c r="I175" s="14">
        <v>5203</v>
      </c>
      <c r="J175" s="14">
        <v>11474</v>
      </c>
      <c r="K175" s="14">
        <v>667</v>
      </c>
    </row>
    <row r="176" spans="2:11" ht="15" customHeight="1" x14ac:dyDescent="0.25">
      <c r="B176" s="17" t="s">
        <v>195</v>
      </c>
      <c r="C176" s="14">
        <v>5925</v>
      </c>
      <c r="D176" s="14">
        <v>5925</v>
      </c>
      <c r="E176" s="14">
        <v>556</v>
      </c>
      <c r="F176" s="14" t="s">
        <v>290</v>
      </c>
      <c r="G176" s="14">
        <v>1334</v>
      </c>
      <c r="H176" s="14">
        <v>5925</v>
      </c>
      <c r="I176" s="14" t="s">
        <v>290</v>
      </c>
      <c r="J176" s="14">
        <v>725</v>
      </c>
      <c r="K176" s="14" t="s">
        <v>290</v>
      </c>
    </row>
    <row r="177" spans="2:11" ht="15" customHeight="1" x14ac:dyDescent="0.25">
      <c r="B177" s="17" t="s">
        <v>191</v>
      </c>
      <c r="C177" s="14">
        <v>22443</v>
      </c>
      <c r="D177" s="14">
        <v>22443</v>
      </c>
      <c r="E177" s="14">
        <v>3225</v>
      </c>
      <c r="F177" s="14">
        <v>1053</v>
      </c>
      <c r="G177" s="14">
        <v>5203</v>
      </c>
      <c r="H177" s="14" t="s">
        <v>290</v>
      </c>
      <c r="I177" s="14">
        <v>22443</v>
      </c>
      <c r="J177" s="14">
        <v>8817</v>
      </c>
      <c r="K177" s="14" t="s">
        <v>290</v>
      </c>
    </row>
    <row r="178" spans="2:11" ht="15" customHeight="1" x14ac:dyDescent="0.25">
      <c r="B178" s="17" t="s">
        <v>430</v>
      </c>
      <c r="C178" s="14">
        <v>49188</v>
      </c>
      <c r="D178" s="14">
        <v>49188</v>
      </c>
      <c r="E178" s="14">
        <v>5597</v>
      </c>
      <c r="F178" s="14">
        <v>4165</v>
      </c>
      <c r="G178" s="14">
        <v>11474</v>
      </c>
      <c r="H178" s="14">
        <v>725</v>
      </c>
      <c r="I178" s="14">
        <v>8817</v>
      </c>
      <c r="J178" s="14">
        <v>49188</v>
      </c>
      <c r="K178" s="14">
        <v>1147</v>
      </c>
    </row>
    <row r="179" spans="2:11" ht="15" customHeight="1" x14ac:dyDescent="0.25">
      <c r="B179" s="23" t="s">
        <v>69</v>
      </c>
      <c r="C179" s="24">
        <v>1574</v>
      </c>
      <c r="D179" s="14">
        <v>1574</v>
      </c>
      <c r="E179" s="14" t="s">
        <v>290</v>
      </c>
      <c r="F179" s="14" t="s">
        <v>290</v>
      </c>
      <c r="G179" s="14">
        <v>667</v>
      </c>
      <c r="H179" s="14" t="s">
        <v>290</v>
      </c>
      <c r="I179" s="14" t="s">
        <v>290</v>
      </c>
      <c r="J179" s="14">
        <v>1147</v>
      </c>
      <c r="K179" s="14">
        <v>1574</v>
      </c>
    </row>
    <row r="180" spans="2:11" ht="33.950000000000003" customHeight="1" x14ac:dyDescent="0.25">
      <c r="B180" s="41" t="s">
        <v>431</v>
      </c>
      <c r="C180" s="42"/>
      <c r="D180" s="21"/>
      <c r="E180" s="21"/>
      <c r="F180" s="21"/>
      <c r="G180" s="21"/>
      <c r="H180" s="21"/>
      <c r="I180" s="21"/>
      <c r="J180" s="21"/>
      <c r="K180" s="21"/>
    </row>
    <row r="181" spans="2:11" ht="27.95" customHeight="1" x14ac:dyDescent="0.25">
      <c r="B181" s="23" t="s">
        <v>432</v>
      </c>
      <c r="C181" s="24">
        <v>14765</v>
      </c>
      <c r="D181" s="14">
        <v>14158</v>
      </c>
      <c r="E181" s="14">
        <v>1516</v>
      </c>
      <c r="F181" s="14">
        <v>4906</v>
      </c>
      <c r="G181" s="14">
        <v>3884</v>
      </c>
      <c r="H181" s="14" t="s">
        <v>290</v>
      </c>
      <c r="I181" s="14">
        <v>2073</v>
      </c>
      <c r="J181" s="14">
        <v>8975</v>
      </c>
      <c r="K181" s="14">
        <v>356</v>
      </c>
    </row>
    <row r="182" spans="2:11" ht="15" customHeight="1" x14ac:dyDescent="0.25">
      <c r="B182" s="23" t="s">
        <v>428</v>
      </c>
      <c r="C182" s="24">
        <v>12538</v>
      </c>
      <c r="D182" s="14">
        <v>12464</v>
      </c>
      <c r="E182" s="14">
        <v>10037</v>
      </c>
      <c r="F182" s="14">
        <v>1365</v>
      </c>
      <c r="G182" s="14">
        <v>3016</v>
      </c>
      <c r="H182" s="14">
        <v>556</v>
      </c>
      <c r="I182" s="14">
        <v>3179</v>
      </c>
      <c r="J182" s="14">
        <v>6851</v>
      </c>
      <c r="K182" s="14" t="s">
        <v>290</v>
      </c>
    </row>
    <row r="183" spans="2:11" ht="15" customHeight="1" x14ac:dyDescent="0.25">
      <c r="B183" s="23" t="s">
        <v>433</v>
      </c>
      <c r="C183" s="24">
        <v>12420</v>
      </c>
      <c r="D183" s="14">
        <v>11953</v>
      </c>
      <c r="E183" s="14">
        <v>2015</v>
      </c>
      <c r="F183" s="14">
        <v>1318</v>
      </c>
      <c r="G183" s="14">
        <v>6038</v>
      </c>
      <c r="H183" s="14">
        <v>902</v>
      </c>
      <c r="I183" s="14">
        <v>5083</v>
      </c>
      <c r="J183" s="14">
        <v>6096</v>
      </c>
      <c r="K183" s="14" t="s">
        <v>290</v>
      </c>
    </row>
    <row r="184" spans="2:11" ht="15" customHeight="1" x14ac:dyDescent="0.25">
      <c r="B184" s="23" t="s">
        <v>415</v>
      </c>
      <c r="C184" s="24">
        <v>4608</v>
      </c>
      <c r="D184" s="14">
        <v>4561</v>
      </c>
      <c r="E184" s="14">
        <v>325</v>
      </c>
      <c r="F184" s="14" t="s">
        <v>290</v>
      </c>
      <c r="G184" s="14">
        <v>888</v>
      </c>
      <c r="H184" s="14">
        <v>3718</v>
      </c>
      <c r="I184" s="14">
        <v>582</v>
      </c>
      <c r="J184" s="14">
        <v>756</v>
      </c>
      <c r="K184" s="14" t="s">
        <v>290</v>
      </c>
    </row>
    <row r="185" spans="2:11" ht="15" customHeight="1" x14ac:dyDescent="0.25">
      <c r="B185" s="23" t="s">
        <v>434</v>
      </c>
      <c r="C185" s="24">
        <v>17041</v>
      </c>
      <c r="D185" s="14">
        <v>16685</v>
      </c>
      <c r="E185" s="14">
        <v>2333</v>
      </c>
      <c r="F185" s="14">
        <v>579</v>
      </c>
      <c r="G185" s="14">
        <v>4128</v>
      </c>
      <c r="H185" s="14">
        <v>1948</v>
      </c>
      <c r="I185" s="14">
        <v>11683</v>
      </c>
      <c r="J185" s="14">
        <v>7259</v>
      </c>
      <c r="K185" s="14" t="s">
        <v>290</v>
      </c>
    </row>
    <row r="186" spans="2:11" ht="15" customHeight="1" x14ac:dyDescent="0.25">
      <c r="B186" s="23" t="s">
        <v>435</v>
      </c>
      <c r="C186" s="24">
        <v>45153</v>
      </c>
      <c r="D186" s="14">
        <v>43820</v>
      </c>
      <c r="E186" s="14">
        <v>5282</v>
      </c>
      <c r="F186" s="14">
        <v>4004</v>
      </c>
      <c r="G186" s="14">
        <v>11336</v>
      </c>
      <c r="H186" s="14">
        <v>2056</v>
      </c>
      <c r="I186" s="14">
        <v>11510</v>
      </c>
      <c r="J186" s="14">
        <v>35944</v>
      </c>
      <c r="K186" s="14">
        <v>1228</v>
      </c>
    </row>
    <row r="187" spans="2:11" ht="15" customHeight="1" x14ac:dyDescent="0.25">
      <c r="B187" s="23" t="s">
        <v>436</v>
      </c>
      <c r="C187" s="24">
        <v>1918</v>
      </c>
      <c r="D187" s="14">
        <v>1879</v>
      </c>
      <c r="E187" s="14">
        <v>379</v>
      </c>
      <c r="F187" s="14" t="s">
        <v>290</v>
      </c>
      <c r="G187" s="14">
        <v>713</v>
      </c>
      <c r="H187" s="14" t="s">
        <v>290</v>
      </c>
      <c r="I187" s="14">
        <v>486</v>
      </c>
      <c r="J187" s="14">
        <v>1416</v>
      </c>
      <c r="K187" s="14" t="s">
        <v>290</v>
      </c>
    </row>
    <row r="188" spans="2:11" ht="15" customHeight="1" x14ac:dyDescent="0.25">
      <c r="B188" s="23" t="s">
        <v>69</v>
      </c>
      <c r="C188" s="24">
        <v>328</v>
      </c>
      <c r="D188" s="14">
        <v>328</v>
      </c>
      <c r="E188" s="14" t="s">
        <v>290</v>
      </c>
      <c r="F188" s="14" t="s">
        <v>290</v>
      </c>
      <c r="G188" s="14" t="s">
        <v>290</v>
      </c>
      <c r="H188" s="14" t="s">
        <v>290</v>
      </c>
      <c r="I188" s="14" t="s">
        <v>290</v>
      </c>
      <c r="J188" s="14" t="s">
        <v>290</v>
      </c>
      <c r="K188" s="14" t="s">
        <v>301</v>
      </c>
    </row>
    <row r="189" spans="2:11" ht="33.950000000000003" customHeight="1" x14ac:dyDescent="0.25">
      <c r="B189" s="15" t="s">
        <v>437</v>
      </c>
      <c r="C189" s="21"/>
      <c r="D189" s="21"/>
      <c r="E189" s="21"/>
      <c r="F189" s="21"/>
      <c r="G189" s="21"/>
      <c r="H189" s="21"/>
      <c r="I189" s="21"/>
      <c r="J189" s="21"/>
      <c r="K189" s="21"/>
    </row>
    <row r="190" spans="2:11" ht="15" customHeight="1" x14ac:dyDescent="0.25">
      <c r="B190" s="17" t="s">
        <v>67</v>
      </c>
      <c r="C190" s="14">
        <v>27558</v>
      </c>
      <c r="D190" s="14">
        <v>27558</v>
      </c>
      <c r="E190" s="14">
        <v>4825</v>
      </c>
      <c r="F190" s="14">
        <v>3745</v>
      </c>
      <c r="G190" s="14">
        <v>8591</v>
      </c>
      <c r="H190" s="14" t="s">
        <v>290</v>
      </c>
      <c r="I190" s="14">
        <v>8332</v>
      </c>
      <c r="J190" s="14">
        <v>17733</v>
      </c>
      <c r="K190" s="14">
        <v>461</v>
      </c>
    </row>
    <row r="191" spans="2:11" ht="15" customHeight="1" x14ac:dyDescent="0.25">
      <c r="B191" s="17" t="s">
        <v>65</v>
      </c>
      <c r="C191" s="14">
        <v>30702</v>
      </c>
      <c r="D191" s="14">
        <v>29713</v>
      </c>
      <c r="E191" s="14">
        <v>5199</v>
      </c>
      <c r="F191" s="14">
        <v>4192</v>
      </c>
      <c r="G191" s="14">
        <v>9048</v>
      </c>
      <c r="H191" s="14">
        <v>1231</v>
      </c>
      <c r="I191" s="14">
        <v>9016</v>
      </c>
      <c r="J191" s="14">
        <v>18452</v>
      </c>
      <c r="K191" s="14">
        <v>510</v>
      </c>
    </row>
    <row r="192" spans="2:11" ht="33.950000000000003" customHeight="1" x14ac:dyDescent="0.25">
      <c r="B192" s="15" t="s">
        <v>438</v>
      </c>
      <c r="C192" s="21"/>
      <c r="D192" s="21"/>
      <c r="E192" s="21"/>
      <c r="F192" s="21"/>
      <c r="G192" s="21"/>
      <c r="H192" s="21"/>
      <c r="I192" s="21"/>
      <c r="J192" s="21"/>
      <c r="K192" s="21"/>
    </row>
    <row r="193" spans="2:11" ht="15" customHeight="1" x14ac:dyDescent="0.25">
      <c r="B193" s="17" t="s">
        <v>439</v>
      </c>
      <c r="C193" s="14">
        <v>30749</v>
      </c>
      <c r="D193" s="14">
        <v>30454</v>
      </c>
      <c r="E193" s="14">
        <v>4726</v>
      </c>
      <c r="F193" s="14">
        <v>2221</v>
      </c>
      <c r="G193" s="14">
        <v>7496</v>
      </c>
      <c r="H193" s="14">
        <v>4063</v>
      </c>
      <c r="I193" s="14">
        <v>12065</v>
      </c>
      <c r="J193" s="14">
        <v>19411</v>
      </c>
      <c r="K193" s="14">
        <v>707</v>
      </c>
    </row>
    <row r="194" spans="2:11" ht="15" customHeight="1" x14ac:dyDescent="0.25">
      <c r="B194" s="17" t="s">
        <v>440</v>
      </c>
      <c r="C194" s="14">
        <v>69244</v>
      </c>
      <c r="D194" s="14">
        <v>67518</v>
      </c>
      <c r="E194" s="14">
        <v>10742</v>
      </c>
      <c r="F194" s="14">
        <v>6994</v>
      </c>
      <c r="G194" s="14">
        <v>15683</v>
      </c>
      <c r="H194" s="14">
        <v>5591</v>
      </c>
      <c r="I194" s="14">
        <v>20967</v>
      </c>
      <c r="J194" s="14">
        <v>42471</v>
      </c>
      <c r="K194" s="14">
        <v>1340</v>
      </c>
    </row>
    <row r="195" spans="2:11" ht="15" customHeight="1" x14ac:dyDescent="0.25">
      <c r="B195" s="17" t="s">
        <v>441</v>
      </c>
      <c r="C195" s="14">
        <v>37051</v>
      </c>
      <c r="D195" s="14">
        <v>36511</v>
      </c>
      <c r="E195" s="14">
        <v>5652</v>
      </c>
      <c r="F195" s="14">
        <v>2267</v>
      </c>
      <c r="G195" s="14">
        <v>7757</v>
      </c>
      <c r="H195" s="14">
        <v>4967</v>
      </c>
      <c r="I195" s="14">
        <v>14726</v>
      </c>
      <c r="J195" s="14">
        <v>21943</v>
      </c>
      <c r="K195" s="14">
        <v>1047</v>
      </c>
    </row>
    <row r="196" spans="2:11" ht="44.25" customHeight="1" x14ac:dyDescent="0.25">
      <c r="B196" s="15" t="s">
        <v>442</v>
      </c>
      <c r="C196" s="21"/>
      <c r="D196" s="21"/>
      <c r="E196" s="21"/>
      <c r="F196" s="21"/>
      <c r="G196" s="21"/>
      <c r="H196" s="21"/>
      <c r="I196" s="21"/>
      <c r="J196" s="21"/>
      <c r="K196" s="21"/>
    </row>
    <row r="197" spans="2:11" ht="15" customHeight="1" x14ac:dyDescent="0.25">
      <c r="B197" s="17" t="s">
        <v>67</v>
      </c>
      <c r="C197" s="14">
        <v>63167</v>
      </c>
      <c r="D197" s="14">
        <v>63167</v>
      </c>
      <c r="E197" s="14">
        <v>9415</v>
      </c>
      <c r="F197" s="14">
        <v>7390</v>
      </c>
      <c r="G197" s="14">
        <v>16076</v>
      </c>
      <c r="H197" s="14">
        <v>4011</v>
      </c>
      <c r="I197" s="14">
        <v>17877</v>
      </c>
      <c r="J197" s="14">
        <v>40078</v>
      </c>
      <c r="K197" s="14">
        <v>1334</v>
      </c>
    </row>
    <row r="198" spans="2:11" ht="15" customHeight="1" x14ac:dyDescent="0.25">
      <c r="B198" s="17" t="s">
        <v>65</v>
      </c>
      <c r="C198" s="14">
        <v>62516</v>
      </c>
      <c r="D198" s="14">
        <v>60904</v>
      </c>
      <c r="E198" s="14">
        <v>9350</v>
      </c>
      <c r="F198" s="14">
        <v>7194</v>
      </c>
      <c r="G198" s="14">
        <v>15084</v>
      </c>
      <c r="H198" s="14">
        <v>4029</v>
      </c>
      <c r="I198" s="14">
        <v>17152</v>
      </c>
      <c r="J198" s="14">
        <v>39291</v>
      </c>
      <c r="K198" s="14">
        <v>1306</v>
      </c>
    </row>
    <row r="199" spans="2:11" ht="15" customHeight="1" x14ac:dyDescent="0.25">
      <c r="B199" s="17" t="s">
        <v>68</v>
      </c>
      <c r="C199" s="14">
        <v>78594</v>
      </c>
      <c r="D199" s="14">
        <v>74955</v>
      </c>
      <c r="E199" s="14">
        <v>11191</v>
      </c>
      <c r="F199" s="14">
        <v>8237</v>
      </c>
      <c r="G199" s="14">
        <v>19658</v>
      </c>
      <c r="H199" s="14">
        <v>5470</v>
      </c>
      <c r="I199" s="14">
        <v>21363</v>
      </c>
      <c r="J199" s="14">
        <v>45948</v>
      </c>
      <c r="K199" s="14">
        <v>1465</v>
      </c>
    </row>
    <row r="200" spans="2:11" ht="15" customHeight="1" thickBot="1" x14ac:dyDescent="0.3">
      <c r="B200" s="18"/>
    </row>
    <row r="201" spans="2:11" ht="136.5" customHeight="1" x14ac:dyDescent="0.25">
      <c r="B201" s="111" t="s">
        <v>443</v>
      </c>
      <c r="C201" s="112"/>
      <c r="D201" s="112"/>
      <c r="E201" s="112"/>
      <c r="F201" s="112"/>
      <c r="G201" s="112"/>
      <c r="H201" s="112"/>
      <c r="I201" s="112"/>
      <c r="J201" s="112"/>
      <c r="K201" s="112"/>
    </row>
    <row r="202" spans="2:11" ht="14.25" customHeight="1" x14ac:dyDescent="0.25"/>
  </sheetData>
  <mergeCells count="6">
    <mergeCell ref="B2:K2"/>
    <mergeCell ref="C4:C5"/>
    <mergeCell ref="D4:D5"/>
    <mergeCell ref="B201:K201"/>
    <mergeCell ref="E4:K4"/>
    <mergeCell ref="C3:K3"/>
  </mergeCells>
  <pageMargins left="0.7" right="0.7" top="0.6" bottom="0.6" header="0.3" footer="0.3"/>
  <pageSetup scale="85" fitToHeight="0" orientation="portrait"/>
  <rowBreaks count="3" manualBreakCount="3">
    <brk id="45" max="16383" man="1"/>
    <brk id="86" max="16383" man="1"/>
    <brk id="119"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90"/>
  <sheetViews>
    <sheetView workbookViewId="0">
      <selection activeCell="N11" sqref="N11"/>
    </sheetView>
  </sheetViews>
  <sheetFormatPr defaultRowHeight="15" x14ac:dyDescent="0.25"/>
  <cols>
    <col min="1" max="1" width="28.7109375" customWidth="1"/>
    <col min="2" max="9" width="7.7109375" style="8" customWidth="1"/>
  </cols>
  <sheetData>
    <row r="1" spans="1:9" ht="29.65" customHeight="1" x14ac:dyDescent="0.25">
      <c r="A1" s="7" t="s">
        <v>281</v>
      </c>
    </row>
    <row r="2" spans="1:9" ht="26.25" customHeight="1" x14ac:dyDescent="0.25">
      <c r="A2" s="118" t="s">
        <v>444</v>
      </c>
      <c r="B2" s="119"/>
      <c r="C2" s="119"/>
      <c r="D2" s="119"/>
      <c r="E2" s="119"/>
      <c r="F2" s="119"/>
      <c r="G2" s="119"/>
      <c r="H2" s="119"/>
      <c r="I2" s="119"/>
    </row>
    <row r="3" spans="1:9" ht="24" customHeight="1" thickBot="1" x14ac:dyDescent="0.3">
      <c r="A3" s="9"/>
      <c r="B3" s="116" t="s">
        <v>283</v>
      </c>
      <c r="C3" s="117"/>
      <c r="D3" s="117"/>
      <c r="E3" s="117"/>
      <c r="F3" s="117"/>
      <c r="G3" s="117"/>
      <c r="H3" s="117"/>
      <c r="I3" s="117"/>
    </row>
    <row r="4" spans="1:9" ht="27" customHeight="1" thickTop="1" x14ac:dyDescent="0.25">
      <c r="A4" s="9"/>
      <c r="B4" s="120" t="s">
        <v>284</v>
      </c>
      <c r="C4" s="120" t="s">
        <v>445</v>
      </c>
      <c r="D4" s="121" t="s">
        <v>446</v>
      </c>
      <c r="E4" s="122"/>
      <c r="F4" s="122"/>
      <c r="G4" s="122"/>
      <c r="H4" s="122"/>
      <c r="I4" s="122"/>
    </row>
    <row r="5" spans="1:9" ht="63.75" customHeight="1" thickBot="1" x14ac:dyDescent="0.3">
      <c r="A5" s="48"/>
      <c r="B5" s="119"/>
      <c r="C5" s="119"/>
      <c r="D5" s="44" t="s">
        <v>447</v>
      </c>
      <c r="E5" s="44" t="s">
        <v>448</v>
      </c>
      <c r="F5" s="44" t="s">
        <v>449</v>
      </c>
      <c r="G5" s="44" t="s">
        <v>450</v>
      </c>
      <c r="H5" s="44" t="s">
        <v>451</v>
      </c>
      <c r="I5" s="44" t="s">
        <v>452</v>
      </c>
    </row>
    <row r="6" spans="1:9" ht="24" customHeight="1" thickBot="1" x14ac:dyDescent="0.3">
      <c r="A6" s="49" t="s">
        <v>287</v>
      </c>
      <c r="B6" s="50">
        <v>87093</v>
      </c>
      <c r="C6" s="50">
        <v>83569</v>
      </c>
      <c r="D6" s="50">
        <v>38406</v>
      </c>
      <c r="E6" s="50">
        <v>80081</v>
      </c>
      <c r="F6" s="50">
        <v>53816</v>
      </c>
      <c r="G6" s="50">
        <v>23396</v>
      </c>
      <c r="H6" s="50">
        <v>28059</v>
      </c>
      <c r="I6" s="51">
        <v>22071</v>
      </c>
    </row>
    <row r="7" spans="1:9" ht="24" customHeight="1" x14ac:dyDescent="0.25">
      <c r="A7" s="15" t="s">
        <v>288</v>
      </c>
      <c r="B7" s="16"/>
      <c r="C7" s="16"/>
      <c r="D7" s="16"/>
      <c r="E7" s="16"/>
      <c r="F7" s="16"/>
      <c r="G7" s="16"/>
      <c r="H7" s="16"/>
      <c r="I7" s="16"/>
    </row>
    <row r="8" spans="1:9" ht="15" customHeight="1" x14ac:dyDescent="0.25">
      <c r="A8" s="17" t="s">
        <v>289</v>
      </c>
      <c r="B8" s="14">
        <v>8041</v>
      </c>
      <c r="C8" s="14">
        <v>7130</v>
      </c>
      <c r="D8" s="14">
        <v>2453</v>
      </c>
      <c r="E8" s="14">
        <v>6466</v>
      </c>
      <c r="F8" s="14">
        <v>2815</v>
      </c>
      <c r="G8" s="14">
        <v>373</v>
      </c>
      <c r="H8" s="14">
        <v>944</v>
      </c>
      <c r="I8" s="14">
        <v>348</v>
      </c>
    </row>
    <row r="9" spans="1:9" ht="15" customHeight="1" x14ac:dyDescent="0.25">
      <c r="A9" s="17" t="s">
        <v>291</v>
      </c>
      <c r="B9" s="14">
        <v>8900</v>
      </c>
      <c r="C9" s="14">
        <v>8152</v>
      </c>
      <c r="D9" s="14">
        <v>2917</v>
      </c>
      <c r="E9" s="14">
        <v>7589</v>
      </c>
      <c r="F9" s="14">
        <v>3740</v>
      </c>
      <c r="G9" s="14">
        <v>736</v>
      </c>
      <c r="H9" s="14">
        <v>1487</v>
      </c>
      <c r="I9" s="14">
        <v>714</v>
      </c>
    </row>
    <row r="10" spans="1:9" ht="15" customHeight="1" x14ac:dyDescent="0.25">
      <c r="A10" s="17" t="s">
        <v>292</v>
      </c>
      <c r="B10" s="14">
        <v>14105</v>
      </c>
      <c r="C10" s="14">
        <v>13250</v>
      </c>
      <c r="D10" s="14">
        <v>4987</v>
      </c>
      <c r="E10" s="14">
        <v>12533</v>
      </c>
      <c r="F10" s="14">
        <v>6767</v>
      </c>
      <c r="G10" s="14">
        <v>2175</v>
      </c>
      <c r="H10" s="14">
        <v>2903</v>
      </c>
      <c r="I10" s="14">
        <v>1882</v>
      </c>
    </row>
    <row r="11" spans="1:9" ht="15" customHeight="1" x14ac:dyDescent="0.25">
      <c r="A11" s="17" t="s">
        <v>293</v>
      </c>
      <c r="B11" s="14">
        <v>11917</v>
      </c>
      <c r="C11" s="14">
        <v>11542</v>
      </c>
      <c r="D11" s="14">
        <v>4788</v>
      </c>
      <c r="E11" s="14">
        <v>11063</v>
      </c>
      <c r="F11" s="14">
        <v>6970</v>
      </c>
      <c r="G11" s="14">
        <v>2712</v>
      </c>
      <c r="H11" s="14">
        <v>3556</v>
      </c>
      <c r="I11" s="14">
        <v>2252</v>
      </c>
    </row>
    <row r="12" spans="1:9" ht="15" customHeight="1" x14ac:dyDescent="0.25">
      <c r="A12" s="17" t="s">
        <v>294</v>
      </c>
      <c r="B12" s="14">
        <v>13918</v>
      </c>
      <c r="C12" s="14">
        <v>13564</v>
      </c>
      <c r="D12" s="14">
        <v>6218</v>
      </c>
      <c r="E12" s="14">
        <v>13217</v>
      </c>
      <c r="F12" s="14">
        <v>9652</v>
      </c>
      <c r="G12" s="14">
        <v>3766</v>
      </c>
      <c r="H12" s="14">
        <v>4989</v>
      </c>
      <c r="I12" s="14">
        <v>3479</v>
      </c>
    </row>
    <row r="13" spans="1:9" ht="15" customHeight="1" x14ac:dyDescent="0.25">
      <c r="A13" s="17" t="s">
        <v>295</v>
      </c>
      <c r="B13" s="14">
        <v>12415</v>
      </c>
      <c r="C13" s="14">
        <v>12282</v>
      </c>
      <c r="D13" s="14">
        <v>6239</v>
      </c>
      <c r="E13" s="14">
        <v>11745</v>
      </c>
      <c r="F13" s="14">
        <v>9078</v>
      </c>
      <c r="G13" s="14">
        <v>4244</v>
      </c>
      <c r="H13" s="14">
        <v>4605</v>
      </c>
      <c r="I13" s="14">
        <v>3919</v>
      </c>
    </row>
    <row r="14" spans="1:9" ht="15" customHeight="1" x14ac:dyDescent="0.25">
      <c r="A14" s="17" t="s">
        <v>296</v>
      </c>
      <c r="B14" s="14">
        <v>10724</v>
      </c>
      <c r="C14" s="14">
        <v>10634</v>
      </c>
      <c r="D14" s="14">
        <v>6002</v>
      </c>
      <c r="E14" s="14">
        <v>10552</v>
      </c>
      <c r="F14" s="14">
        <v>8775</v>
      </c>
      <c r="G14" s="14">
        <v>4981</v>
      </c>
      <c r="H14" s="14">
        <v>5161</v>
      </c>
      <c r="I14" s="14">
        <v>4866</v>
      </c>
    </row>
    <row r="15" spans="1:9" ht="15" customHeight="1" x14ac:dyDescent="0.25">
      <c r="A15" s="17" t="s">
        <v>297</v>
      </c>
      <c r="B15" s="14">
        <v>7074</v>
      </c>
      <c r="C15" s="14">
        <v>7014</v>
      </c>
      <c r="D15" s="14">
        <v>4803</v>
      </c>
      <c r="E15" s="14">
        <v>6915</v>
      </c>
      <c r="F15" s="14">
        <v>6021</v>
      </c>
      <c r="G15" s="14">
        <v>4409</v>
      </c>
      <c r="H15" s="14">
        <v>4413</v>
      </c>
      <c r="I15" s="14">
        <v>4612</v>
      </c>
    </row>
    <row r="16" spans="1:9" ht="24" customHeight="1" x14ac:dyDescent="0.25">
      <c r="A16" s="15" t="s">
        <v>298</v>
      </c>
      <c r="B16" s="15"/>
      <c r="C16" s="15"/>
      <c r="D16" s="15"/>
      <c r="E16" s="15"/>
      <c r="F16" s="15"/>
      <c r="G16" s="15"/>
      <c r="H16" s="15"/>
      <c r="I16" s="15"/>
    </row>
    <row r="17" spans="1:11" x14ac:dyDescent="0.25">
      <c r="A17" s="17" t="s">
        <v>299</v>
      </c>
      <c r="B17" s="14">
        <v>12239</v>
      </c>
      <c r="C17" s="14">
        <v>12239</v>
      </c>
      <c r="D17" s="14">
        <v>5004</v>
      </c>
      <c r="E17" s="14">
        <v>12180</v>
      </c>
      <c r="F17" s="14">
        <v>8559</v>
      </c>
      <c r="G17" s="14">
        <v>4376</v>
      </c>
      <c r="H17" s="14">
        <v>3069</v>
      </c>
      <c r="I17" s="14">
        <v>2135</v>
      </c>
    </row>
    <row r="18" spans="1:11" x14ac:dyDescent="0.25">
      <c r="A18" s="17" t="s">
        <v>300</v>
      </c>
      <c r="B18" s="14">
        <v>1252</v>
      </c>
      <c r="C18" s="14">
        <v>1252</v>
      </c>
      <c r="D18" s="14">
        <v>443</v>
      </c>
      <c r="E18" s="14">
        <v>1232</v>
      </c>
      <c r="F18" s="14">
        <v>560</v>
      </c>
      <c r="G18" s="14" t="s">
        <v>290</v>
      </c>
      <c r="H18" s="14">
        <v>271</v>
      </c>
      <c r="I18" s="14">
        <v>323</v>
      </c>
    </row>
    <row r="19" spans="1:11" x14ac:dyDescent="0.25">
      <c r="A19" s="17" t="s">
        <v>302</v>
      </c>
      <c r="B19" s="14">
        <v>1819</v>
      </c>
      <c r="C19" s="14">
        <v>1819</v>
      </c>
      <c r="D19" s="14">
        <v>924</v>
      </c>
      <c r="E19" s="14">
        <v>1671</v>
      </c>
      <c r="F19" s="14">
        <v>1177</v>
      </c>
      <c r="G19" s="14">
        <v>121</v>
      </c>
      <c r="H19" s="14">
        <v>496</v>
      </c>
      <c r="I19" s="14">
        <v>275</v>
      </c>
    </row>
    <row r="20" spans="1:11" x14ac:dyDescent="0.25">
      <c r="A20" s="17" t="s">
        <v>303</v>
      </c>
      <c r="B20" s="14">
        <v>4155</v>
      </c>
      <c r="C20" s="14">
        <v>4155</v>
      </c>
      <c r="D20" s="14">
        <v>2391</v>
      </c>
      <c r="E20" s="14">
        <v>4074</v>
      </c>
      <c r="F20" s="14">
        <v>3535</v>
      </c>
      <c r="G20" s="14">
        <v>1448</v>
      </c>
      <c r="H20" s="14">
        <v>1875</v>
      </c>
      <c r="I20" s="14">
        <v>2245</v>
      </c>
    </row>
    <row r="21" spans="1:11" x14ac:dyDescent="0.25">
      <c r="A21" s="18" t="s">
        <v>304</v>
      </c>
      <c r="B21" s="14">
        <v>2374</v>
      </c>
      <c r="C21" s="14">
        <v>2374</v>
      </c>
      <c r="D21" s="14">
        <v>1745</v>
      </c>
      <c r="E21" s="14">
        <v>2373</v>
      </c>
      <c r="F21" s="14">
        <v>2260</v>
      </c>
      <c r="G21" s="14">
        <v>1217</v>
      </c>
      <c r="H21" s="14">
        <v>1452</v>
      </c>
      <c r="I21" s="14">
        <v>1647</v>
      </c>
    </row>
    <row r="22" spans="1:11" x14ac:dyDescent="0.25">
      <c r="A22" s="18" t="s">
        <v>305</v>
      </c>
      <c r="B22" s="14">
        <v>1781</v>
      </c>
      <c r="C22" s="14">
        <v>1781</v>
      </c>
      <c r="D22" s="14">
        <v>646</v>
      </c>
      <c r="E22" s="14">
        <v>1701</v>
      </c>
      <c r="F22" s="14">
        <v>1275</v>
      </c>
      <c r="G22" s="14">
        <v>231</v>
      </c>
      <c r="H22" s="14">
        <v>423</v>
      </c>
      <c r="I22" s="14">
        <v>598</v>
      </c>
    </row>
    <row r="23" spans="1:11" x14ac:dyDescent="0.25">
      <c r="A23" s="17" t="s">
        <v>306</v>
      </c>
      <c r="B23" s="14">
        <v>5826</v>
      </c>
      <c r="C23" s="14">
        <v>5817</v>
      </c>
      <c r="D23" s="14">
        <v>3585</v>
      </c>
      <c r="E23" s="14">
        <v>5409</v>
      </c>
      <c r="F23" s="14">
        <v>5258</v>
      </c>
      <c r="G23" s="14">
        <v>1848</v>
      </c>
      <c r="H23" s="14">
        <v>2696</v>
      </c>
      <c r="I23" s="14">
        <v>2024</v>
      </c>
    </row>
    <row r="24" spans="1:11" x14ac:dyDescent="0.25">
      <c r="A24" s="17" t="s">
        <v>307</v>
      </c>
      <c r="B24" s="14">
        <v>11330</v>
      </c>
      <c r="C24" s="14">
        <v>11320</v>
      </c>
      <c r="D24" s="14">
        <v>6646</v>
      </c>
      <c r="E24" s="14">
        <v>10714</v>
      </c>
      <c r="F24" s="14">
        <v>8053</v>
      </c>
      <c r="G24" s="14">
        <v>3959</v>
      </c>
      <c r="H24" s="14">
        <v>5925</v>
      </c>
      <c r="I24" s="14">
        <v>5118</v>
      </c>
      <c r="K24" s="19"/>
    </row>
    <row r="25" spans="1:11" ht="15" customHeight="1" x14ac:dyDescent="0.25">
      <c r="A25" s="20" t="s">
        <v>308</v>
      </c>
      <c r="B25" s="14">
        <v>5439</v>
      </c>
      <c r="C25" s="14">
        <v>5430</v>
      </c>
      <c r="D25" s="14">
        <v>1671</v>
      </c>
      <c r="E25" s="14">
        <v>4864</v>
      </c>
      <c r="F25" s="14">
        <v>2712</v>
      </c>
      <c r="G25" s="14">
        <v>891</v>
      </c>
      <c r="H25" s="14">
        <v>1608</v>
      </c>
      <c r="I25" s="14">
        <v>1295</v>
      </c>
    </row>
    <row r="26" spans="1:11" ht="15" customHeight="1" x14ac:dyDescent="0.25">
      <c r="A26" s="20" t="s">
        <v>309</v>
      </c>
      <c r="B26" s="14">
        <v>5890</v>
      </c>
      <c r="C26" s="14">
        <v>5890</v>
      </c>
      <c r="D26" s="14">
        <v>4975</v>
      </c>
      <c r="E26" s="14">
        <v>5850</v>
      </c>
      <c r="F26" s="14">
        <v>5341</v>
      </c>
      <c r="G26" s="14">
        <v>3069</v>
      </c>
      <c r="H26" s="14">
        <v>4317</v>
      </c>
      <c r="I26" s="14">
        <v>3824</v>
      </c>
    </row>
    <row r="27" spans="1:11" ht="15" customHeight="1" x14ac:dyDescent="0.25">
      <c r="A27" s="17" t="s">
        <v>310</v>
      </c>
      <c r="B27" s="14">
        <v>15952</v>
      </c>
      <c r="C27" s="14">
        <v>15952</v>
      </c>
      <c r="D27" s="14">
        <v>7541</v>
      </c>
      <c r="E27" s="14">
        <v>15547</v>
      </c>
      <c r="F27" s="14">
        <v>11438</v>
      </c>
      <c r="G27" s="14">
        <v>3858</v>
      </c>
      <c r="H27" s="14">
        <v>5598</v>
      </c>
      <c r="I27" s="14">
        <v>5034</v>
      </c>
    </row>
    <row r="28" spans="1:11" ht="15" customHeight="1" x14ac:dyDescent="0.25">
      <c r="A28" s="17" t="s">
        <v>311</v>
      </c>
      <c r="B28" s="14">
        <v>5559</v>
      </c>
      <c r="C28" s="14">
        <v>5527</v>
      </c>
      <c r="D28" s="14">
        <v>3035</v>
      </c>
      <c r="E28" s="14">
        <v>5208</v>
      </c>
      <c r="F28" s="14">
        <v>4125</v>
      </c>
      <c r="G28" s="14">
        <v>1922</v>
      </c>
      <c r="H28" s="14">
        <v>2172</v>
      </c>
      <c r="I28" s="14">
        <v>1955</v>
      </c>
    </row>
    <row r="29" spans="1:11" ht="15" customHeight="1" x14ac:dyDescent="0.25">
      <c r="A29" s="17" t="s">
        <v>312</v>
      </c>
      <c r="B29" s="14">
        <v>1440</v>
      </c>
      <c r="C29" s="14">
        <v>1414</v>
      </c>
      <c r="D29" s="14">
        <v>623</v>
      </c>
      <c r="E29" s="14">
        <v>1375</v>
      </c>
      <c r="F29" s="14">
        <v>1086</v>
      </c>
      <c r="G29" s="14">
        <v>404</v>
      </c>
      <c r="H29" s="14">
        <v>416</v>
      </c>
      <c r="I29" s="14">
        <v>360</v>
      </c>
    </row>
    <row r="30" spans="1:11" ht="15" customHeight="1" x14ac:dyDescent="0.25">
      <c r="A30" s="17" t="s">
        <v>313</v>
      </c>
      <c r="B30" s="14">
        <v>4557</v>
      </c>
      <c r="C30" s="14">
        <v>4557</v>
      </c>
      <c r="D30" s="14">
        <v>3015</v>
      </c>
      <c r="E30" s="14">
        <v>4293</v>
      </c>
      <c r="F30" s="14">
        <v>3187</v>
      </c>
      <c r="G30" s="14">
        <v>839</v>
      </c>
      <c r="H30" s="14">
        <v>1540</v>
      </c>
      <c r="I30" s="14">
        <v>902</v>
      </c>
    </row>
    <row r="31" spans="1:11" ht="15" customHeight="1" x14ac:dyDescent="0.25">
      <c r="A31" s="17" t="s">
        <v>314</v>
      </c>
      <c r="B31" s="14">
        <v>4630</v>
      </c>
      <c r="C31" s="14">
        <v>4379</v>
      </c>
      <c r="D31" s="14">
        <v>1026</v>
      </c>
      <c r="E31" s="14">
        <v>4142</v>
      </c>
      <c r="F31" s="14">
        <v>1569</v>
      </c>
      <c r="G31" s="14">
        <v>980</v>
      </c>
      <c r="H31" s="14">
        <v>1024</v>
      </c>
      <c r="I31" s="14" t="s">
        <v>290</v>
      </c>
    </row>
    <row r="32" spans="1:11" ht="15" customHeight="1" x14ac:dyDescent="0.25">
      <c r="A32" s="17" t="s">
        <v>315</v>
      </c>
      <c r="B32" s="14">
        <v>13077</v>
      </c>
      <c r="C32" s="14">
        <v>12079</v>
      </c>
      <c r="D32" s="14">
        <v>3094</v>
      </c>
      <c r="E32" s="14">
        <v>11280</v>
      </c>
      <c r="F32" s="14">
        <v>4040</v>
      </c>
      <c r="G32" s="14">
        <v>2934</v>
      </c>
      <c r="H32" s="14">
        <v>2438</v>
      </c>
      <c r="I32" s="14">
        <v>998</v>
      </c>
    </row>
    <row r="33" spans="1:9" ht="15" customHeight="1" x14ac:dyDescent="0.25">
      <c r="A33" s="17" t="s">
        <v>316</v>
      </c>
      <c r="B33" s="14">
        <v>2002</v>
      </c>
      <c r="C33" s="14">
        <v>1930</v>
      </c>
      <c r="D33" s="14">
        <v>790</v>
      </c>
      <c r="E33" s="14">
        <v>1880</v>
      </c>
      <c r="F33" s="14">
        <v>783</v>
      </c>
      <c r="G33" s="14">
        <v>383</v>
      </c>
      <c r="H33" s="14">
        <v>344</v>
      </c>
      <c r="I33" s="14">
        <v>290</v>
      </c>
    </row>
    <row r="34" spans="1:9" ht="15" customHeight="1" x14ac:dyDescent="0.25">
      <c r="A34" s="17" t="s">
        <v>317</v>
      </c>
      <c r="B34" s="14">
        <v>3256</v>
      </c>
      <c r="C34" s="14">
        <v>1128</v>
      </c>
      <c r="D34" s="14">
        <v>288</v>
      </c>
      <c r="E34" s="14">
        <v>1076</v>
      </c>
      <c r="F34" s="14">
        <v>445</v>
      </c>
      <c r="G34" s="14" t="s">
        <v>290</v>
      </c>
      <c r="H34" s="14" t="s">
        <v>290</v>
      </c>
      <c r="I34" s="14" t="s">
        <v>290</v>
      </c>
    </row>
    <row r="35" spans="1:9" ht="24" customHeight="1" x14ac:dyDescent="0.25">
      <c r="A35" s="15" t="s">
        <v>318</v>
      </c>
      <c r="B35" s="15"/>
      <c r="C35" s="15"/>
      <c r="D35" s="15"/>
      <c r="E35" s="15"/>
      <c r="F35" s="15"/>
      <c r="G35" s="15"/>
      <c r="H35" s="15"/>
      <c r="I35" s="15"/>
    </row>
    <row r="36" spans="1:9" ht="15" customHeight="1" x14ac:dyDescent="0.25">
      <c r="A36" s="17" t="s">
        <v>319</v>
      </c>
      <c r="B36" s="14">
        <v>3983</v>
      </c>
      <c r="C36" s="14">
        <v>3715</v>
      </c>
      <c r="D36" s="14">
        <v>2292</v>
      </c>
      <c r="E36" s="14">
        <v>3280</v>
      </c>
      <c r="F36" s="14">
        <v>2346</v>
      </c>
      <c r="G36" s="14">
        <v>763</v>
      </c>
      <c r="H36" s="14">
        <v>1208</v>
      </c>
      <c r="I36" s="14">
        <v>744</v>
      </c>
    </row>
    <row r="37" spans="1:9" ht="15" customHeight="1" x14ac:dyDescent="0.25">
      <c r="A37" s="17" t="s">
        <v>320</v>
      </c>
      <c r="B37" s="14">
        <v>6025</v>
      </c>
      <c r="C37" s="14">
        <v>5774</v>
      </c>
      <c r="D37" s="14">
        <v>2750</v>
      </c>
      <c r="E37" s="14">
        <v>5472</v>
      </c>
      <c r="F37" s="14">
        <v>3714</v>
      </c>
      <c r="G37" s="14">
        <v>1337</v>
      </c>
      <c r="H37" s="14">
        <v>1948</v>
      </c>
      <c r="I37" s="14">
        <v>1528</v>
      </c>
    </row>
    <row r="38" spans="1:9" ht="15" customHeight="1" x14ac:dyDescent="0.25">
      <c r="A38" s="17" t="s">
        <v>321</v>
      </c>
      <c r="B38" s="14">
        <v>7381</v>
      </c>
      <c r="C38" s="14">
        <v>7087</v>
      </c>
      <c r="D38" s="14">
        <v>3494</v>
      </c>
      <c r="E38" s="14">
        <v>6860</v>
      </c>
      <c r="F38" s="14">
        <v>4340</v>
      </c>
      <c r="G38" s="14">
        <v>1785</v>
      </c>
      <c r="H38" s="14">
        <v>2028</v>
      </c>
      <c r="I38" s="14">
        <v>1306</v>
      </c>
    </row>
    <row r="39" spans="1:9" ht="15" customHeight="1" x14ac:dyDescent="0.25">
      <c r="A39" s="17" t="s">
        <v>322</v>
      </c>
      <c r="B39" s="14">
        <v>10362</v>
      </c>
      <c r="C39" s="14">
        <v>10061</v>
      </c>
      <c r="D39" s="14">
        <v>4629</v>
      </c>
      <c r="E39" s="14">
        <v>9857</v>
      </c>
      <c r="F39" s="14">
        <v>6463</v>
      </c>
      <c r="G39" s="14">
        <v>2525</v>
      </c>
      <c r="H39" s="14">
        <v>2948</v>
      </c>
      <c r="I39" s="14">
        <v>2224</v>
      </c>
    </row>
    <row r="40" spans="1:9" ht="15" customHeight="1" x14ac:dyDescent="0.25">
      <c r="A40" s="17" t="s">
        <v>323</v>
      </c>
      <c r="B40" s="14">
        <v>10846</v>
      </c>
      <c r="C40" s="14">
        <v>10354</v>
      </c>
      <c r="D40" s="14">
        <v>5560</v>
      </c>
      <c r="E40" s="14">
        <v>9992</v>
      </c>
      <c r="F40" s="14">
        <v>6913</v>
      </c>
      <c r="G40" s="14">
        <v>3311</v>
      </c>
      <c r="H40" s="14">
        <v>3418</v>
      </c>
      <c r="I40" s="14">
        <v>2632</v>
      </c>
    </row>
    <row r="41" spans="1:9" ht="15" customHeight="1" x14ac:dyDescent="0.25">
      <c r="A41" s="17" t="s">
        <v>324</v>
      </c>
      <c r="B41" s="14">
        <v>15230</v>
      </c>
      <c r="C41" s="14">
        <v>14688</v>
      </c>
      <c r="D41" s="14">
        <v>6972</v>
      </c>
      <c r="E41" s="14">
        <v>14263</v>
      </c>
      <c r="F41" s="14">
        <v>9199</v>
      </c>
      <c r="G41" s="14">
        <v>4591</v>
      </c>
      <c r="H41" s="14">
        <v>5124</v>
      </c>
      <c r="I41" s="14">
        <v>4374</v>
      </c>
    </row>
    <row r="42" spans="1:9" ht="15" customHeight="1" x14ac:dyDescent="0.25">
      <c r="A42" s="17" t="s">
        <v>325</v>
      </c>
      <c r="B42" s="14">
        <v>13803</v>
      </c>
      <c r="C42" s="14">
        <v>12856</v>
      </c>
      <c r="D42" s="14">
        <v>5494</v>
      </c>
      <c r="E42" s="14">
        <v>12267</v>
      </c>
      <c r="F42" s="14">
        <v>8327</v>
      </c>
      <c r="G42" s="14">
        <v>4127</v>
      </c>
      <c r="H42" s="14">
        <v>4364</v>
      </c>
      <c r="I42" s="14">
        <v>3489</v>
      </c>
    </row>
    <row r="43" spans="1:9" ht="15" customHeight="1" x14ac:dyDescent="0.25">
      <c r="A43" s="17" t="s">
        <v>326</v>
      </c>
      <c r="B43" s="14">
        <v>7215</v>
      </c>
      <c r="C43" s="14">
        <v>7100</v>
      </c>
      <c r="D43" s="14">
        <v>2874</v>
      </c>
      <c r="E43" s="14">
        <v>6810</v>
      </c>
      <c r="F43" s="14">
        <v>4692</v>
      </c>
      <c r="G43" s="14">
        <v>2072</v>
      </c>
      <c r="H43" s="14">
        <v>2580</v>
      </c>
      <c r="I43" s="14">
        <v>1915</v>
      </c>
    </row>
    <row r="44" spans="1:9" ht="15" customHeight="1" x14ac:dyDescent="0.25">
      <c r="A44" s="17" t="s">
        <v>327</v>
      </c>
      <c r="B44" s="14">
        <v>6524</v>
      </c>
      <c r="C44" s="14">
        <v>6378</v>
      </c>
      <c r="D44" s="14">
        <v>2745</v>
      </c>
      <c r="E44" s="14">
        <v>6209</v>
      </c>
      <c r="F44" s="14">
        <v>4249</v>
      </c>
      <c r="G44" s="14">
        <v>1770</v>
      </c>
      <c r="H44" s="14">
        <v>2514</v>
      </c>
      <c r="I44" s="14">
        <v>2113</v>
      </c>
    </row>
    <row r="45" spans="1:9" ht="15" customHeight="1" x14ac:dyDescent="0.25">
      <c r="A45" s="17" t="s">
        <v>328</v>
      </c>
      <c r="B45" s="14">
        <v>5723</v>
      </c>
      <c r="C45" s="14">
        <v>5556</v>
      </c>
      <c r="D45" s="14">
        <v>1595</v>
      </c>
      <c r="E45" s="14">
        <v>5070</v>
      </c>
      <c r="F45" s="14">
        <v>3574</v>
      </c>
      <c r="G45" s="14">
        <v>1116</v>
      </c>
      <c r="H45" s="14">
        <v>1929</v>
      </c>
      <c r="I45" s="14">
        <v>1747</v>
      </c>
    </row>
    <row r="46" spans="1:9" ht="24" customHeight="1" x14ac:dyDescent="0.25">
      <c r="A46" s="15" t="s">
        <v>329</v>
      </c>
      <c r="B46" s="16"/>
      <c r="C46" s="16"/>
      <c r="D46" s="16"/>
      <c r="E46" s="16"/>
      <c r="F46" s="16"/>
      <c r="G46" s="16"/>
      <c r="H46" s="16"/>
      <c r="I46" s="16"/>
    </row>
    <row r="47" spans="1:9" ht="15" customHeight="1" x14ac:dyDescent="0.25">
      <c r="A47" s="17" t="s">
        <v>330</v>
      </c>
      <c r="B47" s="14">
        <v>15534</v>
      </c>
      <c r="C47" s="14">
        <v>15071</v>
      </c>
      <c r="D47" s="14">
        <v>7565</v>
      </c>
      <c r="E47" s="14">
        <v>14473</v>
      </c>
      <c r="F47" s="14">
        <v>10771</v>
      </c>
      <c r="G47" s="14">
        <v>4510</v>
      </c>
      <c r="H47" s="14">
        <v>5267</v>
      </c>
      <c r="I47" s="14">
        <v>4752</v>
      </c>
    </row>
    <row r="48" spans="1:9" ht="15" customHeight="1" x14ac:dyDescent="0.25">
      <c r="A48" s="18" t="s">
        <v>331</v>
      </c>
      <c r="B48" s="14">
        <v>4302</v>
      </c>
      <c r="C48" s="14">
        <v>4062</v>
      </c>
      <c r="D48" s="14">
        <v>2046</v>
      </c>
      <c r="E48" s="14">
        <v>3771</v>
      </c>
      <c r="F48" s="14">
        <v>2886</v>
      </c>
      <c r="G48" s="14">
        <v>1161</v>
      </c>
      <c r="H48" s="14">
        <v>1494</v>
      </c>
      <c r="I48" s="14">
        <v>1363</v>
      </c>
    </row>
    <row r="49" spans="1:9" ht="15" customHeight="1" x14ac:dyDescent="0.25">
      <c r="A49" s="18" t="s">
        <v>332</v>
      </c>
      <c r="B49" s="14">
        <v>11232</v>
      </c>
      <c r="C49" s="14">
        <v>11009</v>
      </c>
      <c r="D49" s="14">
        <v>5520</v>
      </c>
      <c r="E49" s="14">
        <v>10702</v>
      </c>
      <c r="F49" s="14">
        <v>7886</v>
      </c>
      <c r="G49" s="14">
        <v>3349</v>
      </c>
      <c r="H49" s="14">
        <v>3774</v>
      </c>
      <c r="I49" s="14">
        <v>3388</v>
      </c>
    </row>
    <row r="50" spans="1:9" ht="15" customHeight="1" x14ac:dyDescent="0.25">
      <c r="A50" s="17" t="s">
        <v>333</v>
      </c>
      <c r="B50" s="14">
        <v>18919</v>
      </c>
      <c r="C50" s="14">
        <v>18190</v>
      </c>
      <c r="D50" s="14">
        <v>9038</v>
      </c>
      <c r="E50" s="14">
        <v>17514</v>
      </c>
      <c r="F50" s="14">
        <v>11841</v>
      </c>
      <c r="G50" s="14">
        <v>5357</v>
      </c>
      <c r="H50" s="14">
        <v>6169</v>
      </c>
      <c r="I50" s="14">
        <v>5148</v>
      </c>
    </row>
    <row r="51" spans="1:9" ht="15" customHeight="1" x14ac:dyDescent="0.25">
      <c r="A51" s="18" t="s">
        <v>334</v>
      </c>
      <c r="B51" s="14">
        <v>12742</v>
      </c>
      <c r="C51" s="14">
        <v>12323</v>
      </c>
      <c r="D51" s="14">
        <v>6180</v>
      </c>
      <c r="E51" s="14">
        <v>11880</v>
      </c>
      <c r="F51" s="14">
        <v>8336</v>
      </c>
      <c r="G51" s="14">
        <v>4102</v>
      </c>
      <c r="H51" s="14">
        <v>4590</v>
      </c>
      <c r="I51" s="14">
        <v>3759</v>
      </c>
    </row>
    <row r="52" spans="1:9" ht="15" customHeight="1" x14ac:dyDescent="0.25">
      <c r="A52" s="18" t="s">
        <v>335</v>
      </c>
      <c r="B52" s="14">
        <v>6178</v>
      </c>
      <c r="C52" s="14">
        <v>5867</v>
      </c>
      <c r="D52" s="14">
        <v>2858</v>
      </c>
      <c r="E52" s="14">
        <v>5634</v>
      </c>
      <c r="F52" s="14">
        <v>3505</v>
      </c>
      <c r="G52" s="14">
        <v>1255</v>
      </c>
      <c r="H52" s="14">
        <v>1578</v>
      </c>
      <c r="I52" s="14">
        <v>1389</v>
      </c>
    </row>
    <row r="53" spans="1:9" ht="15" customHeight="1" x14ac:dyDescent="0.25">
      <c r="A53" s="17" t="s">
        <v>336</v>
      </c>
      <c r="B53" s="14">
        <v>34279</v>
      </c>
      <c r="C53" s="14">
        <v>32621</v>
      </c>
      <c r="D53" s="14">
        <v>14581</v>
      </c>
      <c r="E53" s="14">
        <v>31363</v>
      </c>
      <c r="F53" s="14">
        <v>20042</v>
      </c>
      <c r="G53" s="14">
        <v>9347</v>
      </c>
      <c r="H53" s="14">
        <v>10970</v>
      </c>
      <c r="I53" s="14">
        <v>7559</v>
      </c>
    </row>
    <row r="54" spans="1:9" ht="15" customHeight="1" x14ac:dyDescent="0.25">
      <c r="A54" s="18" t="s">
        <v>337</v>
      </c>
      <c r="B54" s="14">
        <v>17981</v>
      </c>
      <c r="C54" s="14">
        <v>17449</v>
      </c>
      <c r="D54" s="14">
        <v>7828</v>
      </c>
      <c r="E54" s="14">
        <v>16888</v>
      </c>
      <c r="F54" s="14">
        <v>10855</v>
      </c>
      <c r="G54" s="14">
        <v>5325</v>
      </c>
      <c r="H54" s="14">
        <v>6161</v>
      </c>
      <c r="I54" s="14">
        <v>4553</v>
      </c>
    </row>
    <row r="55" spans="1:9" ht="15" customHeight="1" x14ac:dyDescent="0.25">
      <c r="A55" s="18" t="s">
        <v>338</v>
      </c>
      <c r="B55" s="14">
        <v>4904</v>
      </c>
      <c r="C55" s="14">
        <v>4726</v>
      </c>
      <c r="D55" s="14">
        <v>2468</v>
      </c>
      <c r="E55" s="14">
        <v>4573</v>
      </c>
      <c r="F55" s="14">
        <v>2923</v>
      </c>
      <c r="G55" s="14">
        <v>1182</v>
      </c>
      <c r="H55" s="14">
        <v>1349</v>
      </c>
      <c r="I55" s="14">
        <v>1232</v>
      </c>
    </row>
    <row r="56" spans="1:9" ht="15" customHeight="1" x14ac:dyDescent="0.25">
      <c r="A56" s="18" t="s">
        <v>339</v>
      </c>
      <c r="B56" s="14">
        <v>11394</v>
      </c>
      <c r="C56" s="14">
        <v>10446</v>
      </c>
      <c r="D56" s="14">
        <v>4286</v>
      </c>
      <c r="E56" s="14">
        <v>9901</v>
      </c>
      <c r="F56" s="14">
        <v>6263</v>
      </c>
      <c r="G56" s="14">
        <v>2841</v>
      </c>
      <c r="H56" s="14">
        <v>3459</v>
      </c>
      <c r="I56" s="14">
        <v>1774</v>
      </c>
    </row>
    <row r="57" spans="1:9" ht="15" customHeight="1" x14ac:dyDescent="0.25">
      <c r="A57" s="17" t="s">
        <v>340</v>
      </c>
      <c r="B57" s="14">
        <v>18360</v>
      </c>
      <c r="C57" s="14">
        <v>17687</v>
      </c>
      <c r="D57" s="14">
        <v>7222</v>
      </c>
      <c r="E57" s="14">
        <v>16732</v>
      </c>
      <c r="F57" s="14">
        <v>11163</v>
      </c>
      <c r="G57" s="14">
        <v>4182</v>
      </c>
      <c r="H57" s="14">
        <v>5653</v>
      </c>
      <c r="I57" s="14">
        <v>4612</v>
      </c>
    </row>
    <row r="58" spans="1:9" ht="15" customHeight="1" x14ac:dyDescent="0.25">
      <c r="A58" s="18" t="s">
        <v>341</v>
      </c>
      <c r="B58" s="14">
        <v>4981</v>
      </c>
      <c r="C58" s="14">
        <v>4677</v>
      </c>
      <c r="D58" s="14">
        <v>2253</v>
      </c>
      <c r="E58" s="14">
        <v>4529</v>
      </c>
      <c r="F58" s="14">
        <v>3007</v>
      </c>
      <c r="G58" s="14">
        <v>1314</v>
      </c>
      <c r="H58" s="14">
        <v>1663</v>
      </c>
      <c r="I58" s="14">
        <v>1513</v>
      </c>
    </row>
    <row r="59" spans="1:9" ht="15" customHeight="1" x14ac:dyDescent="0.25">
      <c r="A59" s="18" t="s">
        <v>342</v>
      </c>
      <c r="B59" s="14">
        <v>13379</v>
      </c>
      <c r="C59" s="14">
        <v>13010</v>
      </c>
      <c r="D59" s="14">
        <v>4969</v>
      </c>
      <c r="E59" s="14">
        <v>12203</v>
      </c>
      <c r="F59" s="14">
        <v>8156</v>
      </c>
      <c r="G59" s="14">
        <v>2868</v>
      </c>
      <c r="H59" s="14">
        <v>3990</v>
      </c>
      <c r="I59" s="14">
        <v>3099</v>
      </c>
    </row>
    <row r="60" spans="1:9" ht="24" customHeight="1" x14ac:dyDescent="0.25">
      <c r="A60" s="15" t="s">
        <v>343</v>
      </c>
      <c r="B60" s="15"/>
      <c r="C60" s="15"/>
      <c r="D60" s="15"/>
      <c r="E60" s="15"/>
      <c r="F60" s="15"/>
      <c r="G60" s="15"/>
      <c r="H60" s="15"/>
      <c r="I60" s="15"/>
    </row>
    <row r="61" spans="1:9" x14ac:dyDescent="0.25">
      <c r="A61" s="17" t="s">
        <v>344</v>
      </c>
      <c r="B61" s="14">
        <v>31898</v>
      </c>
      <c r="C61" s="14">
        <v>30542</v>
      </c>
      <c r="D61" s="14">
        <v>14837</v>
      </c>
      <c r="E61" s="14">
        <v>29315</v>
      </c>
      <c r="F61" s="14">
        <v>20485</v>
      </c>
      <c r="G61" s="14">
        <v>8734</v>
      </c>
      <c r="H61" s="14">
        <v>10366</v>
      </c>
      <c r="I61" s="14">
        <v>9156</v>
      </c>
    </row>
    <row r="62" spans="1:9" x14ac:dyDescent="0.25">
      <c r="A62" s="17" t="s">
        <v>345</v>
      </c>
      <c r="B62" s="14">
        <v>27873</v>
      </c>
      <c r="C62" s="14">
        <v>27096</v>
      </c>
      <c r="D62" s="14">
        <v>13429</v>
      </c>
      <c r="E62" s="14">
        <v>26407</v>
      </c>
      <c r="F62" s="14">
        <v>17410</v>
      </c>
      <c r="G62" s="14">
        <v>8547</v>
      </c>
      <c r="H62" s="14">
        <v>9391</v>
      </c>
      <c r="I62" s="14">
        <v>6936</v>
      </c>
    </row>
    <row r="63" spans="1:9" x14ac:dyDescent="0.25">
      <c r="A63" s="17" t="s">
        <v>346</v>
      </c>
      <c r="B63" s="14">
        <v>12037</v>
      </c>
      <c r="C63" s="14">
        <v>11670</v>
      </c>
      <c r="D63" s="14">
        <v>4139</v>
      </c>
      <c r="E63" s="14">
        <v>11018</v>
      </c>
      <c r="F63" s="14">
        <v>6692</v>
      </c>
      <c r="G63" s="14">
        <v>2661</v>
      </c>
      <c r="H63" s="14">
        <v>3257</v>
      </c>
      <c r="I63" s="14">
        <v>2514</v>
      </c>
    </row>
    <row r="64" spans="1:9" x14ac:dyDescent="0.25">
      <c r="A64" s="17" t="s">
        <v>347</v>
      </c>
      <c r="B64" s="14">
        <v>12831</v>
      </c>
      <c r="C64" s="14">
        <v>11881</v>
      </c>
      <c r="D64" s="14">
        <v>4769</v>
      </c>
      <c r="E64" s="14">
        <v>11096</v>
      </c>
      <c r="F64" s="14">
        <v>7285</v>
      </c>
      <c r="G64" s="14">
        <v>3035</v>
      </c>
      <c r="H64" s="14">
        <v>4152</v>
      </c>
      <c r="I64" s="14">
        <v>2733</v>
      </c>
    </row>
    <row r="65" spans="1:9" x14ac:dyDescent="0.25">
      <c r="A65" s="17" t="s">
        <v>348</v>
      </c>
      <c r="B65" s="14">
        <v>2454</v>
      </c>
      <c r="C65" s="14">
        <v>2381</v>
      </c>
      <c r="D65" s="14">
        <v>1232</v>
      </c>
      <c r="E65" s="14">
        <v>2246</v>
      </c>
      <c r="F65" s="14">
        <v>1944</v>
      </c>
      <c r="G65" s="14">
        <v>420</v>
      </c>
      <c r="H65" s="14">
        <v>893</v>
      </c>
      <c r="I65" s="14">
        <v>732</v>
      </c>
    </row>
    <row r="66" spans="1:9" ht="24" customHeight="1" x14ac:dyDescent="0.25">
      <c r="A66" s="15" t="s">
        <v>349</v>
      </c>
      <c r="B66" s="15"/>
      <c r="C66" s="15"/>
      <c r="D66" s="15"/>
      <c r="E66" s="15"/>
      <c r="F66" s="15"/>
      <c r="G66" s="15"/>
      <c r="H66" s="15"/>
      <c r="I66" s="15"/>
    </row>
    <row r="67" spans="1:9" x14ac:dyDescent="0.25">
      <c r="A67" s="17" t="s">
        <v>350</v>
      </c>
      <c r="B67" s="14">
        <v>39809</v>
      </c>
      <c r="C67" s="14">
        <v>37113</v>
      </c>
      <c r="D67" s="14">
        <v>13966</v>
      </c>
      <c r="E67" s="14">
        <v>34818</v>
      </c>
      <c r="F67" s="14">
        <v>18664</v>
      </c>
      <c r="G67" s="14">
        <v>8474</v>
      </c>
      <c r="H67" s="14">
        <v>9952</v>
      </c>
      <c r="I67" s="14">
        <v>6930</v>
      </c>
    </row>
    <row r="68" spans="1:9" x14ac:dyDescent="0.25">
      <c r="A68" s="17" t="s">
        <v>351</v>
      </c>
      <c r="B68" s="14">
        <v>20206</v>
      </c>
      <c r="C68" s="14">
        <v>19726</v>
      </c>
      <c r="D68" s="14">
        <v>9208</v>
      </c>
      <c r="E68" s="14">
        <v>19068</v>
      </c>
      <c r="F68" s="14">
        <v>12629</v>
      </c>
      <c r="G68" s="14">
        <v>5326</v>
      </c>
      <c r="H68" s="14">
        <v>5781</v>
      </c>
      <c r="I68" s="14">
        <v>3905</v>
      </c>
    </row>
    <row r="69" spans="1:9" x14ac:dyDescent="0.25">
      <c r="A69" s="17" t="s">
        <v>352</v>
      </c>
      <c r="B69" s="14">
        <v>8140</v>
      </c>
      <c r="C69" s="14">
        <v>8055</v>
      </c>
      <c r="D69" s="14">
        <v>3886</v>
      </c>
      <c r="E69" s="14">
        <v>7767</v>
      </c>
      <c r="F69" s="14">
        <v>5761</v>
      </c>
      <c r="G69" s="14">
        <v>2239</v>
      </c>
      <c r="H69" s="14">
        <v>2789</v>
      </c>
      <c r="I69" s="14">
        <v>1950</v>
      </c>
    </row>
    <row r="70" spans="1:9" x14ac:dyDescent="0.25">
      <c r="A70" s="17" t="s">
        <v>353</v>
      </c>
      <c r="B70" s="14">
        <v>13535</v>
      </c>
      <c r="C70" s="14">
        <v>13307</v>
      </c>
      <c r="D70" s="14">
        <v>7842</v>
      </c>
      <c r="E70" s="14">
        <v>13083</v>
      </c>
      <c r="F70" s="14">
        <v>11610</v>
      </c>
      <c r="G70" s="14">
        <v>4469</v>
      </c>
      <c r="H70" s="14">
        <v>6053</v>
      </c>
      <c r="I70" s="14">
        <v>5642</v>
      </c>
    </row>
    <row r="71" spans="1:9" x14ac:dyDescent="0.25">
      <c r="A71" s="17" t="s">
        <v>354</v>
      </c>
      <c r="B71" s="14">
        <v>5404</v>
      </c>
      <c r="C71" s="14">
        <v>5368</v>
      </c>
      <c r="D71" s="14">
        <v>3504</v>
      </c>
      <c r="E71" s="14">
        <v>5344</v>
      </c>
      <c r="F71" s="14">
        <v>5152</v>
      </c>
      <c r="G71" s="14">
        <v>2888</v>
      </c>
      <c r="H71" s="14">
        <v>3484</v>
      </c>
      <c r="I71" s="14">
        <v>3645</v>
      </c>
    </row>
    <row r="72" spans="1:9" ht="24" customHeight="1" x14ac:dyDescent="0.25">
      <c r="A72" s="15" t="s">
        <v>355</v>
      </c>
      <c r="B72" s="21"/>
      <c r="C72" s="21"/>
      <c r="D72" s="21"/>
      <c r="E72" s="21"/>
      <c r="F72" s="21"/>
      <c r="G72" s="21"/>
      <c r="H72" s="21"/>
      <c r="I72" s="21"/>
    </row>
    <row r="73" spans="1:9" ht="15" customHeight="1" x14ac:dyDescent="0.25">
      <c r="A73" s="17" t="s">
        <v>356</v>
      </c>
      <c r="B73" s="14">
        <v>17751</v>
      </c>
      <c r="C73" s="14">
        <v>14286</v>
      </c>
      <c r="D73" s="14">
        <v>4834</v>
      </c>
      <c r="E73" s="14">
        <v>12622</v>
      </c>
      <c r="F73" s="14">
        <v>6162</v>
      </c>
      <c r="G73" s="14">
        <v>1664</v>
      </c>
      <c r="H73" s="14">
        <v>2418</v>
      </c>
      <c r="I73" s="14">
        <v>993</v>
      </c>
    </row>
    <row r="74" spans="1:9" ht="15" customHeight="1" x14ac:dyDescent="0.25">
      <c r="A74" s="17" t="s">
        <v>357</v>
      </c>
      <c r="B74" s="14">
        <v>8973</v>
      </c>
      <c r="C74" s="14">
        <v>8925</v>
      </c>
      <c r="D74" s="14">
        <v>3346</v>
      </c>
      <c r="E74" s="14">
        <v>8446</v>
      </c>
      <c r="F74" s="14">
        <v>4404</v>
      </c>
      <c r="G74" s="14">
        <v>1445</v>
      </c>
      <c r="H74" s="14">
        <v>1953</v>
      </c>
      <c r="I74" s="14">
        <v>902</v>
      </c>
    </row>
    <row r="75" spans="1:9" ht="15" customHeight="1" x14ac:dyDescent="0.25">
      <c r="A75" s="17" t="s">
        <v>358</v>
      </c>
      <c r="B75" s="14">
        <v>9623</v>
      </c>
      <c r="C75" s="14">
        <v>9614</v>
      </c>
      <c r="D75" s="14">
        <v>3753</v>
      </c>
      <c r="E75" s="14">
        <v>9292</v>
      </c>
      <c r="F75" s="14">
        <v>5181</v>
      </c>
      <c r="G75" s="14">
        <v>1673</v>
      </c>
      <c r="H75" s="14">
        <v>2355</v>
      </c>
      <c r="I75" s="14">
        <v>1360</v>
      </c>
    </row>
    <row r="76" spans="1:9" ht="15" customHeight="1" x14ac:dyDescent="0.25">
      <c r="A76" s="17" t="s">
        <v>359</v>
      </c>
      <c r="B76" s="14">
        <v>14514</v>
      </c>
      <c r="C76" s="14">
        <v>14512</v>
      </c>
      <c r="D76" s="14">
        <v>6370</v>
      </c>
      <c r="E76" s="14">
        <v>14195</v>
      </c>
      <c r="F76" s="14">
        <v>9078</v>
      </c>
      <c r="G76" s="14">
        <v>3603</v>
      </c>
      <c r="H76" s="14">
        <v>4800</v>
      </c>
      <c r="I76" s="14">
        <v>3548</v>
      </c>
    </row>
    <row r="77" spans="1:9" ht="15" customHeight="1" x14ac:dyDescent="0.25">
      <c r="A77" s="17" t="s">
        <v>360</v>
      </c>
      <c r="B77" s="14">
        <v>13476</v>
      </c>
      <c r="C77" s="14">
        <v>13476</v>
      </c>
      <c r="D77" s="14">
        <v>6902</v>
      </c>
      <c r="E77" s="14">
        <v>13040</v>
      </c>
      <c r="F77" s="14">
        <v>9597</v>
      </c>
      <c r="G77" s="14">
        <v>4563</v>
      </c>
      <c r="H77" s="14">
        <v>5243</v>
      </c>
      <c r="I77" s="14">
        <v>4223</v>
      </c>
    </row>
    <row r="78" spans="1:9" ht="15" customHeight="1" x14ac:dyDescent="0.25">
      <c r="A78" s="17" t="s">
        <v>361</v>
      </c>
      <c r="B78" s="14">
        <v>10941</v>
      </c>
      <c r="C78" s="14">
        <v>10941</v>
      </c>
      <c r="D78" s="14">
        <v>5568</v>
      </c>
      <c r="E78" s="14">
        <v>10782</v>
      </c>
      <c r="F78" s="14">
        <v>8461</v>
      </c>
      <c r="G78" s="14">
        <v>4441</v>
      </c>
      <c r="H78" s="14">
        <v>4227</v>
      </c>
      <c r="I78" s="14">
        <v>4231</v>
      </c>
    </row>
    <row r="79" spans="1:9" ht="15" customHeight="1" x14ac:dyDescent="0.25">
      <c r="A79" s="17" t="s">
        <v>362</v>
      </c>
      <c r="B79" s="14">
        <v>11815</v>
      </c>
      <c r="C79" s="14">
        <v>11815</v>
      </c>
      <c r="D79" s="14">
        <v>7633</v>
      </c>
      <c r="E79" s="14">
        <v>11704</v>
      </c>
      <c r="F79" s="14">
        <v>10933</v>
      </c>
      <c r="G79" s="14">
        <v>6007</v>
      </c>
      <c r="H79" s="14">
        <v>7062</v>
      </c>
      <c r="I79" s="14">
        <v>6814</v>
      </c>
    </row>
    <row r="80" spans="1:9" ht="24" customHeight="1" x14ac:dyDescent="0.25">
      <c r="A80" s="15" t="s">
        <v>363</v>
      </c>
      <c r="B80" s="21"/>
      <c r="C80" s="21"/>
      <c r="D80" s="21"/>
      <c r="E80" s="21"/>
      <c r="F80" s="21"/>
      <c r="G80" s="21"/>
      <c r="H80" s="21"/>
      <c r="I80" s="21"/>
    </row>
    <row r="81" spans="1:9" ht="15" customHeight="1" x14ac:dyDescent="0.25">
      <c r="A81" s="17" t="s">
        <v>364</v>
      </c>
      <c r="B81" s="14">
        <v>8220</v>
      </c>
      <c r="C81" s="14">
        <v>5514</v>
      </c>
      <c r="D81" s="14">
        <v>2684</v>
      </c>
      <c r="E81" s="14">
        <v>5037</v>
      </c>
      <c r="F81" s="14">
        <v>2645</v>
      </c>
      <c r="G81" s="14">
        <v>754</v>
      </c>
      <c r="H81" s="14">
        <v>1073</v>
      </c>
      <c r="I81" s="14">
        <v>445</v>
      </c>
    </row>
    <row r="82" spans="1:9" ht="15" customHeight="1" x14ac:dyDescent="0.25">
      <c r="A82" s="17" t="s">
        <v>365</v>
      </c>
      <c r="B82" s="14">
        <v>15828</v>
      </c>
      <c r="C82" s="14">
        <v>15693</v>
      </c>
      <c r="D82" s="14">
        <v>6209</v>
      </c>
      <c r="E82" s="14">
        <v>15156</v>
      </c>
      <c r="F82" s="14">
        <v>7767</v>
      </c>
      <c r="G82" s="14">
        <v>3063</v>
      </c>
      <c r="H82" s="14">
        <v>3615</v>
      </c>
      <c r="I82" s="14">
        <v>1876</v>
      </c>
    </row>
    <row r="83" spans="1:9" ht="15" customHeight="1" x14ac:dyDescent="0.25">
      <c r="A83" s="17" t="s">
        <v>366</v>
      </c>
      <c r="B83" s="14">
        <v>20529</v>
      </c>
      <c r="C83" s="14">
        <v>20401</v>
      </c>
      <c r="D83" s="14">
        <v>7753</v>
      </c>
      <c r="E83" s="14">
        <v>19671</v>
      </c>
      <c r="F83" s="14">
        <v>12581</v>
      </c>
      <c r="G83" s="14">
        <v>5227</v>
      </c>
      <c r="H83" s="14">
        <v>5702</v>
      </c>
      <c r="I83" s="14">
        <v>4094</v>
      </c>
    </row>
    <row r="84" spans="1:9" ht="15" customHeight="1" x14ac:dyDescent="0.25">
      <c r="A84" s="17" t="s">
        <v>367</v>
      </c>
      <c r="B84" s="14">
        <v>15867</v>
      </c>
      <c r="C84" s="14">
        <v>15773</v>
      </c>
      <c r="D84" s="14">
        <v>8805</v>
      </c>
      <c r="E84" s="14">
        <v>15372</v>
      </c>
      <c r="F84" s="14">
        <v>11430</v>
      </c>
      <c r="G84" s="14">
        <v>5341</v>
      </c>
      <c r="H84" s="14">
        <v>6696</v>
      </c>
      <c r="I84" s="14">
        <v>6080</v>
      </c>
    </row>
    <row r="85" spans="1:9" ht="15" customHeight="1" x14ac:dyDescent="0.25">
      <c r="A85" s="17" t="s">
        <v>368</v>
      </c>
      <c r="B85" s="14">
        <v>9395</v>
      </c>
      <c r="C85" s="14">
        <v>9336</v>
      </c>
      <c r="D85" s="14">
        <v>4289</v>
      </c>
      <c r="E85" s="14">
        <v>8702</v>
      </c>
      <c r="F85" s="14">
        <v>6225</v>
      </c>
      <c r="G85" s="14">
        <v>2726</v>
      </c>
      <c r="H85" s="14">
        <v>3544</v>
      </c>
      <c r="I85" s="14">
        <v>2832</v>
      </c>
    </row>
    <row r="86" spans="1:9" ht="15" customHeight="1" x14ac:dyDescent="0.25">
      <c r="A86" s="17" t="s">
        <v>369</v>
      </c>
      <c r="B86" s="14">
        <v>17253</v>
      </c>
      <c r="C86" s="14">
        <v>16852</v>
      </c>
      <c r="D86" s="14">
        <v>8667</v>
      </c>
      <c r="E86" s="14">
        <v>16144</v>
      </c>
      <c r="F86" s="14">
        <v>13169</v>
      </c>
      <c r="G86" s="14">
        <v>6286</v>
      </c>
      <c r="H86" s="14">
        <v>7428</v>
      </c>
      <c r="I86" s="14">
        <v>6745</v>
      </c>
    </row>
    <row r="87" spans="1:9" ht="24" customHeight="1" x14ac:dyDescent="0.25">
      <c r="A87" s="15" t="s">
        <v>370</v>
      </c>
      <c r="B87" s="21"/>
      <c r="C87" s="21"/>
      <c r="D87" s="21"/>
      <c r="E87" s="21"/>
      <c r="F87" s="21"/>
      <c r="G87" s="21"/>
      <c r="H87" s="21"/>
      <c r="I87" s="21"/>
    </row>
    <row r="88" spans="1:9" ht="15" customHeight="1" x14ac:dyDescent="0.25">
      <c r="A88" s="17" t="s">
        <v>371</v>
      </c>
      <c r="B88" s="14">
        <v>67550</v>
      </c>
      <c r="C88" s="14">
        <v>64509</v>
      </c>
      <c r="D88" s="14">
        <v>29885</v>
      </c>
      <c r="E88" s="14">
        <v>61330</v>
      </c>
      <c r="F88" s="14">
        <v>40348</v>
      </c>
      <c r="G88" s="14">
        <v>16399</v>
      </c>
      <c r="H88" s="14">
        <v>22488</v>
      </c>
      <c r="I88" s="14">
        <v>17210</v>
      </c>
    </row>
    <row r="89" spans="1:9" ht="15" customHeight="1" x14ac:dyDescent="0.25">
      <c r="A89" s="18" t="s">
        <v>372</v>
      </c>
      <c r="B89" s="14">
        <v>30637</v>
      </c>
      <c r="C89" s="14">
        <v>29949</v>
      </c>
      <c r="D89" s="14">
        <v>13181</v>
      </c>
      <c r="E89" s="14">
        <v>28109</v>
      </c>
      <c r="F89" s="14">
        <v>18432</v>
      </c>
      <c r="G89" s="14">
        <v>6238</v>
      </c>
      <c r="H89" s="14">
        <v>8652</v>
      </c>
      <c r="I89" s="14">
        <v>6135</v>
      </c>
    </row>
    <row r="90" spans="1:9" ht="15" customHeight="1" x14ac:dyDescent="0.25">
      <c r="A90" s="18" t="s">
        <v>373</v>
      </c>
      <c r="B90" s="14">
        <v>26115</v>
      </c>
      <c r="C90" s="14">
        <v>25543</v>
      </c>
      <c r="D90" s="14">
        <v>11650</v>
      </c>
      <c r="E90" s="14">
        <v>24494</v>
      </c>
      <c r="F90" s="14">
        <v>15538</v>
      </c>
      <c r="G90" s="14">
        <v>6932</v>
      </c>
      <c r="H90" s="14">
        <v>9504</v>
      </c>
      <c r="I90" s="14">
        <v>7422</v>
      </c>
    </row>
    <row r="91" spans="1:9" ht="15" customHeight="1" x14ac:dyDescent="0.25">
      <c r="A91" s="18" t="s">
        <v>374</v>
      </c>
      <c r="B91" s="14">
        <v>8873</v>
      </c>
      <c r="C91" s="14">
        <v>8778</v>
      </c>
      <c r="D91" s="14">
        <v>5011</v>
      </c>
      <c r="E91" s="14">
        <v>8508</v>
      </c>
      <c r="F91" s="14">
        <v>6323</v>
      </c>
      <c r="G91" s="14">
        <v>3190</v>
      </c>
      <c r="H91" s="14">
        <v>4293</v>
      </c>
      <c r="I91" s="14">
        <v>3647</v>
      </c>
    </row>
    <row r="92" spans="1:9" ht="15" customHeight="1" x14ac:dyDescent="0.25">
      <c r="A92" s="18" t="s">
        <v>375</v>
      </c>
      <c r="B92" s="14">
        <v>1925</v>
      </c>
      <c r="C92" s="14">
        <v>239</v>
      </c>
      <c r="D92" s="14" t="s">
        <v>290</v>
      </c>
      <c r="E92" s="14">
        <v>219</v>
      </c>
      <c r="F92" s="14" t="s">
        <v>290</v>
      </c>
      <c r="G92" s="14" t="s">
        <v>290</v>
      </c>
      <c r="H92" s="14" t="s">
        <v>290</v>
      </c>
      <c r="I92" s="14" t="s">
        <v>290</v>
      </c>
    </row>
    <row r="93" spans="1:9" ht="15" customHeight="1" x14ac:dyDescent="0.25">
      <c r="A93" s="17" t="s">
        <v>376</v>
      </c>
      <c r="B93" s="14">
        <v>19543</v>
      </c>
      <c r="C93" s="14">
        <v>19060</v>
      </c>
      <c r="D93" s="14">
        <v>8522</v>
      </c>
      <c r="E93" s="14">
        <v>18751</v>
      </c>
      <c r="F93" s="14">
        <v>13469</v>
      </c>
      <c r="G93" s="14">
        <v>6998</v>
      </c>
      <c r="H93" s="14">
        <v>5571</v>
      </c>
      <c r="I93" s="14">
        <v>4862</v>
      </c>
    </row>
    <row r="94" spans="1:9" ht="15" customHeight="1" x14ac:dyDescent="0.25">
      <c r="A94" s="18" t="s">
        <v>377</v>
      </c>
      <c r="B94" s="14">
        <v>1573</v>
      </c>
      <c r="C94" s="14">
        <v>1573</v>
      </c>
      <c r="D94" s="14">
        <v>761</v>
      </c>
      <c r="E94" s="14">
        <v>1572</v>
      </c>
      <c r="F94" s="14">
        <v>1288</v>
      </c>
      <c r="G94" s="14">
        <v>804</v>
      </c>
      <c r="H94" s="14">
        <v>949</v>
      </c>
      <c r="I94" s="14">
        <v>798</v>
      </c>
    </row>
    <row r="95" spans="1:9" ht="15" customHeight="1" x14ac:dyDescent="0.25">
      <c r="A95" s="18" t="s">
        <v>378</v>
      </c>
      <c r="B95" s="14">
        <v>5539</v>
      </c>
      <c r="C95" s="14">
        <v>5412</v>
      </c>
      <c r="D95" s="14">
        <v>2581</v>
      </c>
      <c r="E95" s="14">
        <v>5320</v>
      </c>
      <c r="F95" s="14">
        <v>4009</v>
      </c>
      <c r="G95" s="14">
        <v>1955</v>
      </c>
      <c r="H95" s="14">
        <v>1716</v>
      </c>
      <c r="I95" s="14">
        <v>1480</v>
      </c>
    </row>
    <row r="96" spans="1:9" ht="15" customHeight="1" x14ac:dyDescent="0.25">
      <c r="A96" s="18" t="s">
        <v>379</v>
      </c>
      <c r="B96" s="14">
        <v>12431</v>
      </c>
      <c r="C96" s="14">
        <v>12074</v>
      </c>
      <c r="D96" s="14">
        <v>5180</v>
      </c>
      <c r="E96" s="14">
        <v>11859</v>
      </c>
      <c r="F96" s="14">
        <v>8171</v>
      </c>
      <c r="G96" s="14">
        <v>4238</v>
      </c>
      <c r="H96" s="14">
        <v>2906</v>
      </c>
      <c r="I96" s="14">
        <v>2584</v>
      </c>
    </row>
    <row r="97" spans="1:9" ht="45.95" customHeight="1" x14ac:dyDescent="0.25">
      <c r="A97" s="15" t="s">
        <v>380</v>
      </c>
      <c r="B97" s="21"/>
      <c r="C97" s="21"/>
      <c r="D97" s="21"/>
      <c r="E97" s="21"/>
      <c r="F97" s="21"/>
      <c r="G97" s="21"/>
      <c r="H97" s="21"/>
      <c r="I97" s="21"/>
    </row>
    <row r="98" spans="1:9" ht="15" customHeight="1" x14ac:dyDescent="0.25">
      <c r="A98" s="17" t="s">
        <v>381</v>
      </c>
      <c r="B98" s="14">
        <v>73702</v>
      </c>
      <c r="C98" s="14">
        <v>70469</v>
      </c>
      <c r="D98" s="14">
        <v>31846</v>
      </c>
      <c r="E98" s="14">
        <v>67399</v>
      </c>
      <c r="F98" s="14">
        <v>46163</v>
      </c>
      <c r="G98" s="14">
        <v>19310</v>
      </c>
      <c r="H98" s="14">
        <v>22602</v>
      </c>
      <c r="I98" s="14">
        <v>17924</v>
      </c>
    </row>
    <row r="99" spans="1:9" ht="15" customHeight="1" x14ac:dyDescent="0.25">
      <c r="A99" s="17" t="s">
        <v>382</v>
      </c>
      <c r="B99" s="14">
        <v>11309</v>
      </c>
      <c r="C99" s="14">
        <v>11045</v>
      </c>
      <c r="D99" s="14">
        <v>5466</v>
      </c>
      <c r="E99" s="14">
        <v>10748</v>
      </c>
      <c r="F99" s="14">
        <v>6369</v>
      </c>
      <c r="G99" s="14">
        <v>3351</v>
      </c>
      <c r="H99" s="14">
        <v>4596</v>
      </c>
      <c r="I99" s="14">
        <v>3455</v>
      </c>
    </row>
    <row r="100" spans="1:9" ht="15" customHeight="1" x14ac:dyDescent="0.25">
      <c r="A100" s="17" t="s">
        <v>383</v>
      </c>
      <c r="B100" s="14">
        <v>1250</v>
      </c>
      <c r="C100" s="14">
        <v>1230</v>
      </c>
      <c r="D100" s="14">
        <v>681</v>
      </c>
      <c r="E100" s="14">
        <v>1127</v>
      </c>
      <c r="F100" s="14">
        <v>841</v>
      </c>
      <c r="G100" s="14">
        <v>462</v>
      </c>
      <c r="H100" s="14">
        <v>628</v>
      </c>
      <c r="I100" s="14">
        <v>502</v>
      </c>
    </row>
    <row r="101" spans="1:9" ht="15" customHeight="1" x14ac:dyDescent="0.25">
      <c r="A101" s="17" t="s">
        <v>69</v>
      </c>
      <c r="B101" s="14">
        <v>832</v>
      </c>
      <c r="C101" s="14">
        <v>825</v>
      </c>
      <c r="D101" s="14">
        <v>413</v>
      </c>
      <c r="E101" s="14">
        <v>807</v>
      </c>
      <c r="F101" s="14">
        <v>444</v>
      </c>
      <c r="G101" s="14" t="s">
        <v>290</v>
      </c>
      <c r="H101" s="14" t="s">
        <v>290</v>
      </c>
      <c r="I101" s="14" t="s">
        <v>290</v>
      </c>
    </row>
    <row r="102" spans="1:9" ht="33.950000000000003" customHeight="1" x14ac:dyDescent="0.25">
      <c r="A102" s="15" t="s">
        <v>384</v>
      </c>
      <c r="B102" s="21"/>
      <c r="C102" s="21"/>
      <c r="D102" s="21"/>
      <c r="E102" s="21"/>
      <c r="F102" s="21"/>
      <c r="G102" s="21"/>
      <c r="H102" s="21"/>
      <c r="I102" s="21"/>
    </row>
    <row r="103" spans="1:9" ht="15" customHeight="1" x14ac:dyDescent="0.25">
      <c r="A103" s="17" t="s">
        <v>381</v>
      </c>
      <c r="B103" s="22">
        <v>76271</v>
      </c>
      <c r="C103" s="22">
        <v>72961</v>
      </c>
      <c r="D103" s="22">
        <v>33177</v>
      </c>
      <c r="E103" s="22">
        <v>69883</v>
      </c>
      <c r="F103" s="22">
        <v>47361</v>
      </c>
      <c r="G103" s="22">
        <v>19929</v>
      </c>
      <c r="H103" s="22">
        <v>23577</v>
      </c>
      <c r="I103" s="22">
        <v>18671</v>
      </c>
    </row>
    <row r="104" spans="1:9" ht="15" customHeight="1" x14ac:dyDescent="0.25">
      <c r="A104" s="17" t="s">
        <v>382</v>
      </c>
      <c r="B104" s="14">
        <v>8256</v>
      </c>
      <c r="C104" s="14">
        <v>8059</v>
      </c>
      <c r="D104" s="14">
        <v>3996</v>
      </c>
      <c r="E104" s="14">
        <v>7819</v>
      </c>
      <c r="F104" s="14">
        <v>4871</v>
      </c>
      <c r="G104" s="14">
        <v>2621</v>
      </c>
      <c r="H104" s="14">
        <v>3448</v>
      </c>
      <c r="I104" s="14">
        <v>2431</v>
      </c>
    </row>
    <row r="105" spans="1:9" ht="15" customHeight="1" x14ac:dyDescent="0.25">
      <c r="A105" s="17" t="s">
        <v>383</v>
      </c>
      <c r="B105" s="14">
        <v>880</v>
      </c>
      <c r="C105" s="14">
        <v>880</v>
      </c>
      <c r="D105" s="14">
        <v>411</v>
      </c>
      <c r="E105" s="14">
        <v>733</v>
      </c>
      <c r="F105" s="14">
        <v>573</v>
      </c>
      <c r="G105" s="14">
        <v>330</v>
      </c>
      <c r="H105" s="14">
        <v>453</v>
      </c>
      <c r="I105" s="14">
        <v>360</v>
      </c>
    </row>
    <row r="106" spans="1:9" ht="15" customHeight="1" x14ac:dyDescent="0.25">
      <c r="A106" s="17" t="s">
        <v>69</v>
      </c>
      <c r="B106" s="14">
        <v>1686</v>
      </c>
      <c r="C106" s="14">
        <v>1668</v>
      </c>
      <c r="D106" s="14">
        <v>822</v>
      </c>
      <c r="E106" s="14">
        <v>1647</v>
      </c>
      <c r="F106" s="14">
        <v>1012</v>
      </c>
      <c r="G106" s="14">
        <v>517</v>
      </c>
      <c r="H106" s="14">
        <v>581</v>
      </c>
      <c r="I106" s="14">
        <v>609</v>
      </c>
    </row>
    <row r="107" spans="1:9" ht="24" customHeight="1" x14ac:dyDescent="0.25">
      <c r="A107" s="15" t="s">
        <v>385</v>
      </c>
      <c r="B107" s="16"/>
      <c r="C107" s="16"/>
      <c r="D107" s="16"/>
      <c r="E107" s="16"/>
      <c r="F107" s="16"/>
      <c r="G107" s="16"/>
      <c r="H107" s="16"/>
      <c r="I107" s="16"/>
    </row>
    <row r="108" spans="1:9" ht="15" customHeight="1" x14ac:dyDescent="0.25">
      <c r="A108" s="17" t="s">
        <v>386</v>
      </c>
      <c r="B108" s="14">
        <v>52275</v>
      </c>
      <c r="C108" s="14">
        <v>50347</v>
      </c>
      <c r="D108" s="14">
        <v>23510</v>
      </c>
      <c r="E108" s="14">
        <v>48384</v>
      </c>
      <c r="F108" s="14">
        <v>31219</v>
      </c>
      <c r="G108" s="14">
        <v>12969</v>
      </c>
      <c r="H108" s="14">
        <v>16382</v>
      </c>
      <c r="I108" s="14">
        <v>11924</v>
      </c>
    </row>
    <row r="109" spans="1:9" ht="15" customHeight="1" x14ac:dyDescent="0.25">
      <c r="A109" s="17" t="s">
        <v>387</v>
      </c>
      <c r="B109" s="14">
        <v>4616</v>
      </c>
      <c r="C109" s="14">
        <v>4580</v>
      </c>
      <c r="D109" s="14">
        <v>1947</v>
      </c>
      <c r="E109" s="14">
        <v>4534</v>
      </c>
      <c r="F109" s="14">
        <v>2857</v>
      </c>
      <c r="G109" s="14">
        <v>1742</v>
      </c>
      <c r="H109" s="14">
        <v>1103</v>
      </c>
      <c r="I109" s="14">
        <v>792</v>
      </c>
    </row>
    <row r="110" spans="1:9" ht="15" customHeight="1" x14ac:dyDescent="0.25">
      <c r="A110" s="17" t="s">
        <v>388</v>
      </c>
      <c r="B110" s="14">
        <v>4068</v>
      </c>
      <c r="C110" s="14">
        <v>3990</v>
      </c>
      <c r="D110" s="14">
        <v>1216</v>
      </c>
      <c r="E110" s="14">
        <v>3928</v>
      </c>
      <c r="F110" s="14">
        <v>3521</v>
      </c>
      <c r="G110" s="14">
        <v>876</v>
      </c>
      <c r="H110" s="14">
        <v>1147</v>
      </c>
      <c r="I110" s="14">
        <v>1197</v>
      </c>
    </row>
    <row r="111" spans="1:9" ht="15" customHeight="1" x14ac:dyDescent="0.25">
      <c r="A111" s="17" t="s">
        <v>389</v>
      </c>
      <c r="B111" s="14">
        <v>3456</v>
      </c>
      <c r="C111" s="14">
        <v>3383</v>
      </c>
      <c r="D111" s="14">
        <v>1586</v>
      </c>
      <c r="E111" s="14">
        <v>3281</v>
      </c>
      <c r="F111" s="14">
        <v>2536</v>
      </c>
      <c r="G111" s="14">
        <v>910</v>
      </c>
      <c r="H111" s="14">
        <v>1329</v>
      </c>
      <c r="I111" s="14">
        <v>1204</v>
      </c>
    </row>
    <row r="112" spans="1:9" ht="15" customHeight="1" x14ac:dyDescent="0.25">
      <c r="A112" s="17" t="s">
        <v>390</v>
      </c>
      <c r="B112" s="14">
        <v>5159</v>
      </c>
      <c r="C112" s="14">
        <v>5011</v>
      </c>
      <c r="D112" s="14">
        <v>3088</v>
      </c>
      <c r="E112" s="14">
        <v>4795</v>
      </c>
      <c r="F112" s="14">
        <v>3723</v>
      </c>
      <c r="G112" s="14">
        <v>1995</v>
      </c>
      <c r="H112" s="14">
        <v>2705</v>
      </c>
      <c r="I112" s="14">
        <v>2325</v>
      </c>
    </row>
    <row r="113" spans="1:9" ht="15" customHeight="1" x14ac:dyDescent="0.25">
      <c r="A113" s="17" t="s">
        <v>391</v>
      </c>
      <c r="B113" s="14">
        <v>3212</v>
      </c>
      <c r="C113" s="14">
        <v>2360</v>
      </c>
      <c r="D113" s="14">
        <v>397</v>
      </c>
      <c r="E113" s="14">
        <v>1951</v>
      </c>
      <c r="F113" s="14">
        <v>695</v>
      </c>
      <c r="G113" s="14">
        <v>566</v>
      </c>
      <c r="H113" s="14" t="s">
        <v>290</v>
      </c>
      <c r="I113" s="14" t="s">
        <v>290</v>
      </c>
    </row>
    <row r="114" spans="1:9" ht="15" customHeight="1" x14ac:dyDescent="0.25">
      <c r="A114" s="17" t="s">
        <v>392</v>
      </c>
      <c r="B114" s="14">
        <v>1932</v>
      </c>
      <c r="C114" s="14">
        <v>1911</v>
      </c>
      <c r="D114" s="14">
        <v>1294</v>
      </c>
      <c r="E114" s="14">
        <v>1704</v>
      </c>
      <c r="F114" s="14">
        <v>1189</v>
      </c>
      <c r="G114" s="14">
        <v>379</v>
      </c>
      <c r="H114" s="14">
        <v>666</v>
      </c>
      <c r="I114" s="14">
        <v>438</v>
      </c>
    </row>
    <row r="115" spans="1:9" ht="15" customHeight="1" x14ac:dyDescent="0.25">
      <c r="A115" s="17" t="s">
        <v>393</v>
      </c>
      <c r="B115" s="14">
        <v>3362</v>
      </c>
      <c r="C115" s="14">
        <v>3302</v>
      </c>
      <c r="D115" s="14">
        <v>2212</v>
      </c>
      <c r="E115" s="14">
        <v>3289</v>
      </c>
      <c r="F115" s="14">
        <v>2973</v>
      </c>
      <c r="G115" s="14">
        <v>1372</v>
      </c>
      <c r="H115" s="14">
        <v>1671</v>
      </c>
      <c r="I115" s="14">
        <v>1810</v>
      </c>
    </row>
    <row r="116" spans="1:9" ht="15" customHeight="1" x14ac:dyDescent="0.25">
      <c r="A116" s="17" t="s">
        <v>394</v>
      </c>
      <c r="B116" s="14">
        <v>1295</v>
      </c>
      <c r="C116" s="14">
        <v>1284</v>
      </c>
      <c r="D116" s="14">
        <v>675</v>
      </c>
      <c r="E116" s="14">
        <v>1088</v>
      </c>
      <c r="F116" s="14">
        <v>1113</v>
      </c>
      <c r="G116" s="14">
        <v>520</v>
      </c>
      <c r="H116" s="14">
        <v>573</v>
      </c>
      <c r="I116" s="14" t="s">
        <v>290</v>
      </c>
    </row>
    <row r="117" spans="1:9" ht="15" customHeight="1" x14ac:dyDescent="0.25">
      <c r="A117" s="17" t="s">
        <v>395</v>
      </c>
      <c r="B117" s="14">
        <v>554</v>
      </c>
      <c r="C117" s="14">
        <v>526</v>
      </c>
      <c r="D117" s="14">
        <v>231</v>
      </c>
      <c r="E117" s="14">
        <v>499</v>
      </c>
      <c r="F117" s="14">
        <v>356</v>
      </c>
      <c r="G117" s="14">
        <v>223</v>
      </c>
      <c r="H117" s="14">
        <v>209</v>
      </c>
      <c r="I117" s="14">
        <v>211</v>
      </c>
    </row>
    <row r="118" spans="1:9" ht="15" customHeight="1" x14ac:dyDescent="0.25">
      <c r="A118" s="17" t="s">
        <v>396</v>
      </c>
      <c r="B118" s="14">
        <v>2107</v>
      </c>
      <c r="C118" s="14">
        <v>2087</v>
      </c>
      <c r="D118" s="14">
        <v>798</v>
      </c>
      <c r="E118" s="14">
        <v>2005</v>
      </c>
      <c r="F118" s="14">
        <v>1436</v>
      </c>
      <c r="G118" s="14">
        <v>660</v>
      </c>
      <c r="H118" s="14">
        <v>683</v>
      </c>
      <c r="I118" s="14">
        <v>608</v>
      </c>
    </row>
    <row r="119" spans="1:9" ht="15" customHeight="1" x14ac:dyDescent="0.25">
      <c r="A119" s="17" t="s">
        <v>69</v>
      </c>
      <c r="B119" s="14">
        <v>5057</v>
      </c>
      <c r="C119" s="14">
        <v>4787</v>
      </c>
      <c r="D119" s="14">
        <v>1453</v>
      </c>
      <c r="E119" s="14">
        <v>4622</v>
      </c>
      <c r="F119" s="14">
        <v>2199</v>
      </c>
      <c r="G119" s="14">
        <v>1184</v>
      </c>
      <c r="H119" s="14">
        <v>1371</v>
      </c>
      <c r="I119" s="14">
        <v>953</v>
      </c>
    </row>
    <row r="120" spans="1:9" ht="44.25" customHeight="1" x14ac:dyDescent="0.25">
      <c r="A120" s="15" t="s">
        <v>397</v>
      </c>
      <c r="B120" s="21"/>
      <c r="C120" s="21"/>
      <c r="D120" s="21"/>
      <c r="E120" s="21"/>
      <c r="F120" s="21"/>
      <c r="G120" s="21"/>
      <c r="H120" s="21"/>
      <c r="I120" s="21"/>
    </row>
    <row r="121" spans="1:9" ht="15" customHeight="1" x14ac:dyDescent="0.25">
      <c r="A121" s="17" t="s">
        <v>398</v>
      </c>
      <c r="B121" s="14">
        <v>42216</v>
      </c>
      <c r="C121" s="14">
        <v>41479</v>
      </c>
      <c r="D121" s="14">
        <v>21682</v>
      </c>
      <c r="E121" s="14">
        <v>40110</v>
      </c>
      <c r="F121" s="14">
        <v>29853</v>
      </c>
      <c r="G121" s="14">
        <v>13577</v>
      </c>
      <c r="H121" s="14">
        <v>16029</v>
      </c>
      <c r="I121" s="14">
        <v>13577</v>
      </c>
    </row>
    <row r="122" spans="1:9" ht="15" customHeight="1" x14ac:dyDescent="0.25">
      <c r="A122" s="18" t="s">
        <v>399</v>
      </c>
      <c r="B122" s="14">
        <v>13022</v>
      </c>
      <c r="C122" s="14">
        <v>12924</v>
      </c>
      <c r="D122" s="14">
        <v>7595</v>
      </c>
      <c r="E122" s="14">
        <v>12770</v>
      </c>
      <c r="F122" s="14">
        <v>9867</v>
      </c>
      <c r="G122" s="14">
        <v>5170</v>
      </c>
      <c r="H122" s="14">
        <v>5328</v>
      </c>
      <c r="I122" s="14">
        <v>4711</v>
      </c>
    </row>
    <row r="123" spans="1:9" ht="15" customHeight="1" x14ac:dyDescent="0.25">
      <c r="A123" s="18" t="s">
        <v>400</v>
      </c>
      <c r="B123" s="14">
        <v>1753</v>
      </c>
      <c r="C123" s="14">
        <v>1718</v>
      </c>
      <c r="D123" s="14">
        <v>1071</v>
      </c>
      <c r="E123" s="14">
        <v>1652</v>
      </c>
      <c r="F123" s="14">
        <v>1287</v>
      </c>
      <c r="G123" s="14">
        <v>738</v>
      </c>
      <c r="H123" s="14">
        <v>581</v>
      </c>
      <c r="I123" s="14">
        <v>603</v>
      </c>
    </row>
    <row r="124" spans="1:9" ht="15" customHeight="1" x14ac:dyDescent="0.25">
      <c r="A124" s="18" t="s">
        <v>401</v>
      </c>
      <c r="B124" s="14">
        <v>20917</v>
      </c>
      <c r="C124" s="14">
        <v>20674</v>
      </c>
      <c r="D124" s="14">
        <v>11459</v>
      </c>
      <c r="E124" s="14">
        <v>20154</v>
      </c>
      <c r="F124" s="14">
        <v>15616</v>
      </c>
      <c r="G124" s="14">
        <v>7578</v>
      </c>
      <c r="H124" s="14">
        <v>8126</v>
      </c>
      <c r="I124" s="14">
        <v>7492</v>
      </c>
    </row>
    <row r="125" spans="1:9" ht="15" customHeight="1" x14ac:dyDescent="0.25">
      <c r="A125" s="18" t="s">
        <v>402</v>
      </c>
      <c r="B125" s="14">
        <v>4230</v>
      </c>
      <c r="C125" s="14">
        <v>4197</v>
      </c>
      <c r="D125" s="14">
        <v>2231</v>
      </c>
      <c r="E125" s="14">
        <v>4118</v>
      </c>
      <c r="F125" s="14">
        <v>3247</v>
      </c>
      <c r="G125" s="14">
        <v>1569</v>
      </c>
      <c r="H125" s="14">
        <v>1951</v>
      </c>
      <c r="I125" s="14">
        <v>1725</v>
      </c>
    </row>
    <row r="126" spans="1:9" ht="15" customHeight="1" x14ac:dyDescent="0.25">
      <c r="A126" s="18" t="s">
        <v>403</v>
      </c>
      <c r="B126" s="14">
        <v>21340</v>
      </c>
      <c r="C126" s="14">
        <v>21006</v>
      </c>
      <c r="D126" s="14">
        <v>11613</v>
      </c>
      <c r="E126" s="14">
        <v>20643</v>
      </c>
      <c r="F126" s="14">
        <v>16528</v>
      </c>
      <c r="G126" s="14">
        <v>7193</v>
      </c>
      <c r="H126" s="14">
        <v>9477</v>
      </c>
      <c r="I126" s="14">
        <v>8549</v>
      </c>
    </row>
    <row r="127" spans="1:9" ht="15" customHeight="1" x14ac:dyDescent="0.25">
      <c r="A127" s="18" t="s">
        <v>404</v>
      </c>
      <c r="B127" s="14">
        <v>12265</v>
      </c>
      <c r="C127" s="14">
        <v>12193</v>
      </c>
      <c r="D127" s="14">
        <v>6862</v>
      </c>
      <c r="E127" s="14">
        <v>11805</v>
      </c>
      <c r="F127" s="14">
        <v>9675</v>
      </c>
      <c r="G127" s="14">
        <v>4328</v>
      </c>
      <c r="H127" s="14">
        <v>5358</v>
      </c>
      <c r="I127" s="14">
        <v>4526</v>
      </c>
    </row>
    <row r="128" spans="1:9" ht="15" customHeight="1" x14ac:dyDescent="0.25">
      <c r="A128" s="18" t="s">
        <v>405</v>
      </c>
      <c r="B128" s="14">
        <v>26779</v>
      </c>
      <c r="C128" s="14">
        <v>26504</v>
      </c>
      <c r="D128" s="14">
        <v>14715</v>
      </c>
      <c r="E128" s="14">
        <v>25911</v>
      </c>
      <c r="F128" s="14">
        <v>20410</v>
      </c>
      <c r="G128" s="14">
        <v>9918</v>
      </c>
      <c r="H128" s="14">
        <v>11421</v>
      </c>
      <c r="I128" s="14">
        <v>9614</v>
      </c>
    </row>
    <row r="129" spans="1:9" ht="15" customHeight="1" x14ac:dyDescent="0.25">
      <c r="A129" s="18" t="s">
        <v>406</v>
      </c>
      <c r="B129" s="14">
        <v>25503</v>
      </c>
      <c r="C129" s="14">
        <v>25268</v>
      </c>
      <c r="D129" s="14">
        <v>13502</v>
      </c>
      <c r="E129" s="14">
        <v>24681</v>
      </c>
      <c r="F129" s="14">
        <v>19342</v>
      </c>
      <c r="G129" s="14">
        <v>8933</v>
      </c>
      <c r="H129" s="14">
        <v>10688</v>
      </c>
      <c r="I129" s="14">
        <v>9803</v>
      </c>
    </row>
    <row r="130" spans="1:9" ht="15" customHeight="1" x14ac:dyDescent="0.25">
      <c r="A130" s="18" t="s">
        <v>407</v>
      </c>
      <c r="B130" s="14">
        <v>16160</v>
      </c>
      <c r="C130" s="14">
        <v>15948</v>
      </c>
      <c r="D130" s="14">
        <v>9523</v>
      </c>
      <c r="E130" s="14">
        <v>15553</v>
      </c>
      <c r="F130" s="14">
        <v>12613</v>
      </c>
      <c r="G130" s="14">
        <v>5533</v>
      </c>
      <c r="H130" s="14">
        <v>7293</v>
      </c>
      <c r="I130" s="14">
        <v>6345</v>
      </c>
    </row>
    <row r="131" spans="1:9" ht="15" customHeight="1" x14ac:dyDescent="0.25">
      <c r="A131" s="18" t="s">
        <v>408</v>
      </c>
      <c r="B131" s="14">
        <v>13828</v>
      </c>
      <c r="C131" s="14">
        <v>13701</v>
      </c>
      <c r="D131" s="14">
        <v>8026</v>
      </c>
      <c r="E131" s="14">
        <v>13354</v>
      </c>
      <c r="F131" s="14">
        <v>11096</v>
      </c>
      <c r="G131" s="14">
        <v>4748</v>
      </c>
      <c r="H131" s="14">
        <v>6417</v>
      </c>
      <c r="I131" s="14">
        <v>5653</v>
      </c>
    </row>
    <row r="132" spans="1:9" ht="15" customHeight="1" x14ac:dyDescent="0.25">
      <c r="A132" s="18" t="s">
        <v>409</v>
      </c>
      <c r="B132" s="14">
        <v>7607</v>
      </c>
      <c r="C132" s="14">
        <v>7471</v>
      </c>
      <c r="D132" s="14">
        <v>4343</v>
      </c>
      <c r="E132" s="14">
        <v>7377</v>
      </c>
      <c r="F132" s="14">
        <v>5782</v>
      </c>
      <c r="G132" s="14">
        <v>2503</v>
      </c>
      <c r="H132" s="14">
        <v>3255</v>
      </c>
      <c r="I132" s="14">
        <v>3303</v>
      </c>
    </row>
    <row r="133" spans="1:9" ht="15" customHeight="1" x14ac:dyDescent="0.25">
      <c r="A133" s="18" t="s">
        <v>410</v>
      </c>
      <c r="B133" s="14">
        <v>17196</v>
      </c>
      <c r="C133" s="14">
        <v>17108</v>
      </c>
      <c r="D133" s="14">
        <v>9766</v>
      </c>
      <c r="E133" s="14">
        <v>16727</v>
      </c>
      <c r="F133" s="14">
        <v>13892</v>
      </c>
      <c r="G133" s="14">
        <v>6325</v>
      </c>
      <c r="H133" s="14">
        <v>7996</v>
      </c>
      <c r="I133" s="14">
        <v>7226</v>
      </c>
    </row>
    <row r="134" spans="1:9" ht="15" customHeight="1" x14ac:dyDescent="0.25">
      <c r="A134" s="18" t="s">
        <v>411</v>
      </c>
      <c r="B134" s="14">
        <v>3913</v>
      </c>
      <c r="C134" s="14">
        <v>3876</v>
      </c>
      <c r="D134" s="14">
        <v>2199</v>
      </c>
      <c r="E134" s="14">
        <v>3791</v>
      </c>
      <c r="F134" s="14">
        <v>3152</v>
      </c>
      <c r="G134" s="14">
        <v>1316</v>
      </c>
      <c r="H134" s="14">
        <v>1902</v>
      </c>
      <c r="I134" s="14">
        <v>1672</v>
      </c>
    </row>
    <row r="135" spans="1:9" ht="15" customHeight="1" x14ac:dyDescent="0.25">
      <c r="A135" s="18" t="s">
        <v>69</v>
      </c>
      <c r="B135" s="14">
        <v>848</v>
      </c>
      <c r="C135" s="14">
        <v>848</v>
      </c>
      <c r="D135" s="14">
        <v>499</v>
      </c>
      <c r="E135" s="14">
        <v>848</v>
      </c>
      <c r="F135" s="14">
        <v>656</v>
      </c>
      <c r="G135" s="14" t="s">
        <v>290</v>
      </c>
      <c r="H135" s="14">
        <v>492</v>
      </c>
      <c r="I135" s="14">
        <v>391</v>
      </c>
    </row>
    <row r="136" spans="1:9" ht="15" customHeight="1" x14ac:dyDescent="0.25">
      <c r="A136" s="17" t="s">
        <v>412</v>
      </c>
      <c r="B136" s="14">
        <v>39154</v>
      </c>
      <c r="C136" s="14">
        <v>36534</v>
      </c>
      <c r="D136" s="14">
        <v>15129</v>
      </c>
      <c r="E136" s="14">
        <v>34901</v>
      </c>
      <c r="F136" s="14">
        <v>20389</v>
      </c>
      <c r="G136" s="14">
        <v>8704</v>
      </c>
      <c r="H136" s="14">
        <v>10101</v>
      </c>
      <c r="I136" s="14">
        <v>6748</v>
      </c>
    </row>
    <row r="137" spans="1:9" ht="15" customHeight="1" x14ac:dyDescent="0.25">
      <c r="A137" s="17" t="s">
        <v>413</v>
      </c>
      <c r="B137" s="14">
        <v>5723</v>
      </c>
      <c r="C137" s="14">
        <v>5556</v>
      </c>
      <c r="D137" s="14">
        <v>1595</v>
      </c>
      <c r="E137" s="14">
        <v>5070</v>
      </c>
      <c r="F137" s="14">
        <v>3574</v>
      </c>
      <c r="G137" s="14">
        <v>1116</v>
      </c>
      <c r="H137" s="14">
        <v>1929</v>
      </c>
      <c r="I137" s="14">
        <v>1747</v>
      </c>
    </row>
    <row r="138" spans="1:9" ht="33.950000000000003" customHeight="1" x14ac:dyDescent="0.25">
      <c r="A138" s="15" t="s">
        <v>414</v>
      </c>
      <c r="B138" s="21"/>
      <c r="C138" s="21"/>
      <c r="D138" s="21"/>
      <c r="E138" s="21"/>
      <c r="F138" s="21"/>
      <c r="G138" s="21"/>
      <c r="H138" s="21"/>
      <c r="I138" s="21"/>
    </row>
    <row r="139" spans="1:9" ht="15" customHeight="1" x14ac:dyDescent="0.25">
      <c r="A139" s="17" t="s">
        <v>186</v>
      </c>
      <c r="B139" s="14">
        <v>84869</v>
      </c>
      <c r="C139" s="14">
        <v>83569</v>
      </c>
      <c r="D139" s="14">
        <v>38406</v>
      </c>
      <c r="E139" s="14">
        <v>80081</v>
      </c>
      <c r="F139" s="14">
        <v>53816</v>
      </c>
      <c r="G139" s="14">
        <v>23396</v>
      </c>
      <c r="H139" s="14">
        <v>28059</v>
      </c>
      <c r="I139" s="14">
        <v>22071</v>
      </c>
    </row>
    <row r="140" spans="1:9" ht="15" customHeight="1" x14ac:dyDescent="0.25">
      <c r="A140" s="17" t="s">
        <v>193</v>
      </c>
      <c r="B140" s="14">
        <v>58725</v>
      </c>
      <c r="C140" s="14">
        <v>58278</v>
      </c>
      <c r="D140" s="14">
        <v>29672</v>
      </c>
      <c r="E140" s="14">
        <v>56575</v>
      </c>
      <c r="F140" s="14">
        <v>40392</v>
      </c>
      <c r="G140" s="14">
        <v>18328</v>
      </c>
      <c r="H140" s="14">
        <v>21261</v>
      </c>
      <c r="I140" s="14">
        <v>17539</v>
      </c>
    </row>
    <row r="141" spans="1:9" ht="15" customHeight="1" x14ac:dyDescent="0.25">
      <c r="A141" s="17" t="s">
        <v>194</v>
      </c>
      <c r="B141" s="14">
        <v>20200</v>
      </c>
      <c r="C141" s="14">
        <v>20120</v>
      </c>
      <c r="D141" s="14">
        <v>11355</v>
      </c>
      <c r="E141" s="14">
        <v>19742</v>
      </c>
      <c r="F141" s="14">
        <v>16251</v>
      </c>
      <c r="G141" s="14">
        <v>8782</v>
      </c>
      <c r="H141" s="14">
        <v>9690</v>
      </c>
      <c r="I141" s="14">
        <v>8933</v>
      </c>
    </row>
    <row r="142" spans="1:9" ht="15" customHeight="1" x14ac:dyDescent="0.25">
      <c r="A142" s="17" t="s">
        <v>195</v>
      </c>
      <c r="B142" s="14">
        <v>5964</v>
      </c>
      <c r="C142" s="14">
        <v>5873</v>
      </c>
      <c r="D142" s="14">
        <v>3161</v>
      </c>
      <c r="E142" s="14">
        <v>5781</v>
      </c>
      <c r="F142" s="14">
        <v>5314</v>
      </c>
      <c r="G142" s="14">
        <v>2555</v>
      </c>
      <c r="H142" s="14">
        <v>2769</v>
      </c>
      <c r="I142" s="14">
        <v>2871</v>
      </c>
    </row>
    <row r="143" spans="1:9" ht="15" customHeight="1" x14ac:dyDescent="0.25">
      <c r="A143" s="17" t="s">
        <v>415</v>
      </c>
      <c r="B143" s="14">
        <v>4608</v>
      </c>
      <c r="C143" s="14">
        <v>4545</v>
      </c>
      <c r="D143" s="14">
        <v>2284</v>
      </c>
      <c r="E143" s="14">
        <v>4516</v>
      </c>
      <c r="F143" s="14">
        <v>4071</v>
      </c>
      <c r="G143" s="14">
        <v>1729</v>
      </c>
      <c r="H143" s="14">
        <v>1805</v>
      </c>
      <c r="I143" s="14">
        <v>1941</v>
      </c>
    </row>
    <row r="144" spans="1:9" ht="15" customHeight="1" x14ac:dyDescent="0.25">
      <c r="A144" s="17" t="s">
        <v>169</v>
      </c>
      <c r="B144" s="14">
        <v>7706</v>
      </c>
      <c r="C144" s="14">
        <v>7652</v>
      </c>
      <c r="D144" s="14">
        <v>3803</v>
      </c>
      <c r="E144" s="14">
        <v>7281</v>
      </c>
      <c r="F144" s="14">
        <v>4622</v>
      </c>
      <c r="G144" s="14">
        <v>2584</v>
      </c>
      <c r="H144" s="14">
        <v>2865</v>
      </c>
      <c r="I144" s="14">
        <v>2098</v>
      </c>
    </row>
    <row r="145" spans="1:9" ht="15" customHeight="1" x14ac:dyDescent="0.25">
      <c r="A145" s="17" t="s">
        <v>69</v>
      </c>
      <c r="B145" s="14">
        <v>3826</v>
      </c>
      <c r="C145" s="14">
        <v>3784</v>
      </c>
      <c r="D145" s="14">
        <v>1735</v>
      </c>
      <c r="E145" s="14">
        <v>3685</v>
      </c>
      <c r="F145" s="14">
        <v>2664</v>
      </c>
      <c r="G145" s="14">
        <v>957</v>
      </c>
      <c r="H145" s="14">
        <v>1466</v>
      </c>
      <c r="I145" s="14">
        <v>1247</v>
      </c>
    </row>
    <row r="146" spans="1:9" ht="33.950000000000003" customHeight="1" x14ac:dyDescent="0.25">
      <c r="A146" s="15" t="s">
        <v>418</v>
      </c>
      <c r="B146" s="21"/>
      <c r="C146" s="21"/>
      <c r="D146" s="21"/>
      <c r="E146" s="21"/>
      <c r="F146" s="21"/>
      <c r="G146" s="21"/>
      <c r="H146" s="21"/>
      <c r="I146" s="21"/>
    </row>
    <row r="147" spans="1:9" ht="15" customHeight="1" x14ac:dyDescent="0.25">
      <c r="A147" s="17" t="s">
        <v>285</v>
      </c>
      <c r="B147" s="14">
        <v>80078</v>
      </c>
      <c r="C147" s="14">
        <v>79384</v>
      </c>
      <c r="D147" s="14">
        <v>37292</v>
      </c>
      <c r="E147" s="14">
        <v>76646</v>
      </c>
      <c r="F147" s="14">
        <v>52287</v>
      </c>
      <c r="G147" s="14">
        <v>22631</v>
      </c>
      <c r="H147" s="14">
        <v>27225</v>
      </c>
      <c r="I147" s="14">
        <v>21503</v>
      </c>
    </row>
    <row r="148" spans="1:9" ht="15" customHeight="1" x14ac:dyDescent="0.25">
      <c r="A148" s="17" t="s">
        <v>419</v>
      </c>
      <c r="B148" s="14">
        <v>79294</v>
      </c>
      <c r="C148" s="14">
        <v>78876</v>
      </c>
      <c r="D148" s="14">
        <v>37119</v>
      </c>
      <c r="E148" s="14">
        <v>76125</v>
      </c>
      <c r="F148" s="14">
        <v>52285</v>
      </c>
      <c r="G148" s="14">
        <v>22734</v>
      </c>
      <c r="H148" s="14">
        <v>27618</v>
      </c>
      <c r="I148" s="14">
        <v>21869</v>
      </c>
    </row>
    <row r="149" spans="1:9" ht="15" customHeight="1" x14ac:dyDescent="0.25">
      <c r="A149" s="17" t="s">
        <v>197</v>
      </c>
      <c r="B149" s="14">
        <v>79015</v>
      </c>
      <c r="C149" s="14">
        <v>78622</v>
      </c>
      <c r="D149" s="14">
        <v>37160</v>
      </c>
      <c r="E149" s="14">
        <v>75803</v>
      </c>
      <c r="F149" s="14">
        <v>52606</v>
      </c>
      <c r="G149" s="14">
        <v>22834</v>
      </c>
      <c r="H149" s="14">
        <v>27589</v>
      </c>
      <c r="I149" s="14">
        <v>21894</v>
      </c>
    </row>
    <row r="150" spans="1:9" ht="15" customHeight="1" x14ac:dyDescent="0.25">
      <c r="A150" s="17" t="s">
        <v>420</v>
      </c>
      <c r="B150" s="14">
        <v>38546</v>
      </c>
      <c r="C150" s="14">
        <v>38494</v>
      </c>
      <c r="D150" s="14">
        <v>23469</v>
      </c>
      <c r="E150" s="14">
        <v>37728</v>
      </c>
      <c r="F150" s="14">
        <v>30809</v>
      </c>
      <c r="G150" s="14">
        <v>14810</v>
      </c>
      <c r="H150" s="14">
        <v>17558</v>
      </c>
      <c r="I150" s="14">
        <v>15043</v>
      </c>
    </row>
    <row r="151" spans="1:9" ht="15" customHeight="1" x14ac:dyDescent="0.25">
      <c r="A151" s="17" t="s">
        <v>421</v>
      </c>
      <c r="B151" s="14">
        <v>5078</v>
      </c>
      <c r="C151" s="14">
        <v>5044</v>
      </c>
      <c r="D151" s="14">
        <v>2387</v>
      </c>
      <c r="E151" s="14">
        <v>4928</v>
      </c>
      <c r="F151" s="14">
        <v>2363</v>
      </c>
      <c r="G151" s="14">
        <v>1421</v>
      </c>
      <c r="H151" s="14">
        <v>1506</v>
      </c>
      <c r="I151" s="14">
        <v>751</v>
      </c>
    </row>
    <row r="152" spans="1:9" ht="27.95" customHeight="1" x14ac:dyDescent="0.25">
      <c r="A152" s="17" t="s">
        <v>422</v>
      </c>
      <c r="B152" s="14">
        <v>25642</v>
      </c>
      <c r="C152" s="14">
        <v>25605</v>
      </c>
      <c r="D152" s="14">
        <v>13305</v>
      </c>
      <c r="E152" s="14">
        <v>25096</v>
      </c>
      <c r="F152" s="14">
        <v>21247</v>
      </c>
      <c r="G152" s="14">
        <v>10397</v>
      </c>
      <c r="H152" s="14">
        <v>12027</v>
      </c>
      <c r="I152" s="14">
        <v>11434</v>
      </c>
    </row>
    <row r="153" spans="1:9" ht="24" customHeight="1" x14ac:dyDescent="0.25">
      <c r="A153" s="15" t="s">
        <v>453</v>
      </c>
      <c r="B153" s="21"/>
      <c r="C153" s="21"/>
      <c r="D153" s="21"/>
      <c r="E153" s="21"/>
      <c r="F153" s="21"/>
      <c r="G153" s="21"/>
      <c r="H153" s="21"/>
      <c r="I153" s="21"/>
    </row>
    <row r="154" spans="1:9" ht="15" customHeight="1" x14ac:dyDescent="0.25">
      <c r="A154" s="17" t="s">
        <v>454</v>
      </c>
      <c r="B154" s="14">
        <v>322</v>
      </c>
      <c r="C154" s="14" t="s">
        <v>290</v>
      </c>
      <c r="D154" s="14" t="s">
        <v>290</v>
      </c>
      <c r="E154" s="14" t="s">
        <v>290</v>
      </c>
      <c r="F154" s="14" t="s">
        <v>290</v>
      </c>
      <c r="G154" s="14" t="s">
        <v>301</v>
      </c>
      <c r="H154" s="14" t="s">
        <v>301</v>
      </c>
      <c r="I154" s="14" t="s">
        <v>290</v>
      </c>
    </row>
    <row r="155" spans="1:9" ht="15" customHeight="1" x14ac:dyDescent="0.25">
      <c r="A155" s="17" t="s">
        <v>425</v>
      </c>
      <c r="B155" s="14">
        <v>12628</v>
      </c>
      <c r="C155" s="14">
        <v>12628</v>
      </c>
      <c r="D155" s="14">
        <v>4867</v>
      </c>
      <c r="E155" s="14">
        <v>11798</v>
      </c>
      <c r="F155" s="14">
        <v>6202</v>
      </c>
      <c r="G155" s="14">
        <v>2418</v>
      </c>
      <c r="H155" s="14">
        <v>2884</v>
      </c>
      <c r="I155" s="14">
        <v>1937</v>
      </c>
    </row>
    <row r="156" spans="1:9" ht="15" customHeight="1" x14ac:dyDescent="0.25">
      <c r="A156" s="17" t="s">
        <v>426</v>
      </c>
      <c r="B156" s="14">
        <v>34814</v>
      </c>
      <c r="C156" s="14">
        <v>34814</v>
      </c>
      <c r="D156" s="14">
        <v>19106</v>
      </c>
      <c r="E156" s="14">
        <v>33816</v>
      </c>
      <c r="F156" s="14">
        <v>25376</v>
      </c>
      <c r="G156" s="14">
        <v>11003</v>
      </c>
      <c r="H156" s="14">
        <v>15045</v>
      </c>
      <c r="I156" s="14">
        <v>11847</v>
      </c>
    </row>
    <row r="157" spans="1:9" ht="15" customHeight="1" x14ac:dyDescent="0.25">
      <c r="A157" s="34" t="s">
        <v>427</v>
      </c>
      <c r="B157" s="14">
        <v>35726</v>
      </c>
      <c r="C157" s="14">
        <v>35726</v>
      </c>
      <c r="D157" s="14">
        <v>14283</v>
      </c>
      <c r="E157" s="14">
        <v>34132</v>
      </c>
      <c r="F157" s="14">
        <v>22087</v>
      </c>
      <c r="G157" s="14">
        <v>9929</v>
      </c>
      <c r="H157" s="14">
        <v>10084</v>
      </c>
      <c r="I157" s="14">
        <v>8278</v>
      </c>
    </row>
    <row r="158" spans="1:9" ht="27.95" customHeight="1" x14ac:dyDescent="0.25">
      <c r="A158" s="34" t="s">
        <v>455</v>
      </c>
      <c r="B158" s="14">
        <v>3603</v>
      </c>
      <c r="C158" s="14">
        <v>371</v>
      </c>
      <c r="D158" s="14" t="s">
        <v>290</v>
      </c>
      <c r="E158" s="14">
        <v>326</v>
      </c>
      <c r="F158" s="14" t="s">
        <v>290</v>
      </c>
      <c r="G158" s="14" t="s">
        <v>290</v>
      </c>
      <c r="H158" s="14" t="s">
        <v>290</v>
      </c>
      <c r="I158" s="14" t="s">
        <v>290</v>
      </c>
    </row>
    <row r="159" spans="1:9" ht="24" customHeight="1" x14ac:dyDescent="0.25">
      <c r="A159" s="15" t="s">
        <v>456</v>
      </c>
      <c r="B159" s="21"/>
      <c r="C159" s="21"/>
      <c r="D159" s="21"/>
      <c r="E159" s="21"/>
      <c r="F159" s="21"/>
      <c r="G159" s="21"/>
      <c r="H159" s="21"/>
      <c r="I159" s="21"/>
    </row>
    <row r="160" spans="1:9" ht="15" customHeight="1" x14ac:dyDescent="0.25">
      <c r="A160" s="17" t="s">
        <v>454</v>
      </c>
      <c r="B160" s="14">
        <v>24746</v>
      </c>
      <c r="C160" s="14">
        <v>23500</v>
      </c>
      <c r="D160" s="14">
        <v>8122</v>
      </c>
      <c r="E160" s="14">
        <v>21910</v>
      </c>
      <c r="F160" s="14">
        <v>11540</v>
      </c>
      <c r="G160" s="14">
        <v>4722</v>
      </c>
      <c r="H160" s="14">
        <v>4692</v>
      </c>
      <c r="I160" s="14">
        <v>3038</v>
      </c>
    </row>
    <row r="161" spans="1:9" ht="15" customHeight="1" x14ac:dyDescent="0.25">
      <c r="A161" s="17" t="s">
        <v>425</v>
      </c>
      <c r="B161" s="14">
        <v>50753</v>
      </c>
      <c r="C161" s="14">
        <v>50753</v>
      </c>
      <c r="D161" s="14">
        <v>25337</v>
      </c>
      <c r="E161" s="14">
        <v>49312</v>
      </c>
      <c r="F161" s="14">
        <v>35189</v>
      </c>
      <c r="G161" s="14">
        <v>15141</v>
      </c>
      <c r="H161" s="14">
        <v>19374</v>
      </c>
      <c r="I161" s="14">
        <v>15404</v>
      </c>
    </row>
    <row r="162" spans="1:9" ht="15" customHeight="1" x14ac:dyDescent="0.25">
      <c r="A162" s="17" t="s">
        <v>457</v>
      </c>
      <c r="B162" s="14">
        <v>6926</v>
      </c>
      <c r="C162" s="14">
        <v>6926</v>
      </c>
      <c r="D162" s="14">
        <v>3936</v>
      </c>
      <c r="E162" s="14">
        <v>6568</v>
      </c>
      <c r="F162" s="14">
        <v>5611</v>
      </c>
      <c r="G162" s="14">
        <v>2627</v>
      </c>
      <c r="H162" s="14">
        <v>3022</v>
      </c>
      <c r="I162" s="14">
        <v>2712</v>
      </c>
    </row>
    <row r="163" spans="1:9" ht="27.95" customHeight="1" x14ac:dyDescent="0.25">
      <c r="A163" s="34" t="s">
        <v>458</v>
      </c>
      <c r="B163" s="14">
        <v>2443</v>
      </c>
      <c r="C163" s="14">
        <v>2390</v>
      </c>
      <c r="D163" s="14">
        <v>1012</v>
      </c>
      <c r="E163" s="14">
        <v>2291</v>
      </c>
      <c r="F163" s="14">
        <v>1477</v>
      </c>
      <c r="G163" s="14">
        <v>906</v>
      </c>
      <c r="H163" s="14">
        <v>970</v>
      </c>
      <c r="I163" s="14">
        <v>917</v>
      </c>
    </row>
    <row r="164" spans="1:9" ht="15" customHeight="1" x14ac:dyDescent="0.25">
      <c r="A164" s="34" t="s">
        <v>459</v>
      </c>
      <c r="B164" s="14">
        <v>2225</v>
      </c>
      <c r="C164" s="14" t="s">
        <v>301</v>
      </c>
      <c r="D164" s="14" t="s">
        <v>301</v>
      </c>
      <c r="E164" s="14" t="s">
        <v>301</v>
      </c>
      <c r="F164" s="14" t="s">
        <v>301</v>
      </c>
      <c r="G164" s="14" t="s">
        <v>301</v>
      </c>
      <c r="H164" s="14" t="s">
        <v>301</v>
      </c>
      <c r="I164" s="14" t="s">
        <v>301</v>
      </c>
    </row>
    <row r="165" spans="1:9" ht="33.950000000000003" customHeight="1" x14ac:dyDescent="0.25">
      <c r="A165" s="15" t="s">
        <v>460</v>
      </c>
      <c r="B165" s="21"/>
      <c r="C165" s="21"/>
      <c r="D165" s="21"/>
      <c r="E165" s="21"/>
      <c r="F165" s="21"/>
      <c r="G165" s="21"/>
      <c r="H165" s="21"/>
      <c r="I165" s="21"/>
    </row>
    <row r="166" spans="1:9" ht="15" customHeight="1" x14ac:dyDescent="0.25">
      <c r="A166" s="17" t="s">
        <v>461</v>
      </c>
      <c r="B166" s="14">
        <v>38406</v>
      </c>
      <c r="C166" s="14">
        <v>38406</v>
      </c>
      <c r="D166" s="14">
        <v>38406</v>
      </c>
      <c r="E166" s="14">
        <v>37447</v>
      </c>
      <c r="F166" s="14">
        <v>30603</v>
      </c>
      <c r="G166" s="14">
        <v>15324</v>
      </c>
      <c r="H166" s="14">
        <v>19550</v>
      </c>
      <c r="I166" s="14">
        <v>15118</v>
      </c>
    </row>
    <row r="167" spans="1:9" ht="15" customHeight="1" x14ac:dyDescent="0.25">
      <c r="A167" s="17" t="s">
        <v>462</v>
      </c>
      <c r="B167" s="14">
        <v>80081</v>
      </c>
      <c r="C167" s="14">
        <v>80081</v>
      </c>
      <c r="D167" s="14">
        <v>37447</v>
      </c>
      <c r="E167" s="14">
        <v>80081</v>
      </c>
      <c r="F167" s="14">
        <v>51568</v>
      </c>
      <c r="G167" s="14">
        <v>22703</v>
      </c>
      <c r="H167" s="14">
        <v>27403</v>
      </c>
      <c r="I167" s="14">
        <v>21386</v>
      </c>
    </row>
    <row r="168" spans="1:9" ht="15" customHeight="1" x14ac:dyDescent="0.25">
      <c r="A168" s="17" t="s">
        <v>463</v>
      </c>
      <c r="B168" s="14">
        <v>53816</v>
      </c>
      <c r="C168" s="14">
        <v>53816</v>
      </c>
      <c r="D168" s="14">
        <v>30603</v>
      </c>
      <c r="E168" s="14">
        <v>51568</v>
      </c>
      <c r="F168" s="14">
        <v>53816</v>
      </c>
      <c r="G168" s="14">
        <v>18808</v>
      </c>
      <c r="H168" s="14">
        <v>23433</v>
      </c>
      <c r="I168" s="14">
        <v>19584</v>
      </c>
    </row>
    <row r="169" spans="1:9" ht="15" customHeight="1" x14ac:dyDescent="0.25">
      <c r="A169" s="17" t="s">
        <v>464</v>
      </c>
      <c r="B169" s="14">
        <v>23396</v>
      </c>
      <c r="C169" s="14">
        <v>23396</v>
      </c>
      <c r="D169" s="14">
        <v>15324</v>
      </c>
      <c r="E169" s="14">
        <v>22703</v>
      </c>
      <c r="F169" s="14">
        <v>18808</v>
      </c>
      <c r="G169" s="14">
        <v>23396</v>
      </c>
      <c r="H169" s="14">
        <v>13211</v>
      </c>
      <c r="I169" s="14">
        <v>10729</v>
      </c>
    </row>
    <row r="170" spans="1:9" ht="15" customHeight="1" x14ac:dyDescent="0.25">
      <c r="A170" s="17" t="s">
        <v>451</v>
      </c>
      <c r="B170" s="14">
        <v>28059</v>
      </c>
      <c r="C170" s="14">
        <v>28059</v>
      </c>
      <c r="D170" s="14">
        <v>19550</v>
      </c>
      <c r="E170" s="14">
        <v>27403</v>
      </c>
      <c r="F170" s="14">
        <v>23433</v>
      </c>
      <c r="G170" s="14">
        <v>13211</v>
      </c>
      <c r="H170" s="14">
        <v>28059</v>
      </c>
      <c r="I170" s="14">
        <v>13934</v>
      </c>
    </row>
    <row r="171" spans="1:9" ht="15" customHeight="1" x14ac:dyDescent="0.25">
      <c r="A171" s="17" t="s">
        <v>452</v>
      </c>
      <c r="B171" s="14">
        <v>22071</v>
      </c>
      <c r="C171" s="14">
        <v>22071</v>
      </c>
      <c r="D171" s="14">
        <v>15118</v>
      </c>
      <c r="E171" s="14">
        <v>21386</v>
      </c>
      <c r="F171" s="14">
        <v>19584</v>
      </c>
      <c r="G171" s="14">
        <v>10729</v>
      </c>
      <c r="H171" s="14">
        <v>13934</v>
      </c>
      <c r="I171" s="14">
        <v>22071</v>
      </c>
    </row>
    <row r="172" spans="1:9" ht="15" customHeight="1" x14ac:dyDescent="0.25">
      <c r="A172" s="17" t="s">
        <v>69</v>
      </c>
      <c r="B172" s="14">
        <v>446</v>
      </c>
      <c r="C172" s="14">
        <v>446</v>
      </c>
      <c r="D172" s="14">
        <v>390</v>
      </c>
      <c r="E172" s="14">
        <v>446</v>
      </c>
      <c r="F172" s="14">
        <v>446</v>
      </c>
      <c r="G172" s="14" t="s">
        <v>290</v>
      </c>
      <c r="H172" s="14">
        <v>361</v>
      </c>
      <c r="I172" s="14">
        <v>357</v>
      </c>
    </row>
    <row r="173" spans="1:9" ht="44.25" customHeight="1" x14ac:dyDescent="0.25">
      <c r="A173" s="15" t="s">
        <v>465</v>
      </c>
      <c r="B173" s="21"/>
      <c r="C173" s="21"/>
      <c r="D173" s="21"/>
      <c r="E173" s="21"/>
      <c r="F173" s="21"/>
      <c r="G173" s="21"/>
      <c r="H173" s="21"/>
      <c r="I173" s="21"/>
    </row>
    <row r="174" spans="1:9" ht="15" customHeight="1" x14ac:dyDescent="0.25">
      <c r="A174" s="17" t="s">
        <v>466</v>
      </c>
      <c r="B174" s="14">
        <v>60362</v>
      </c>
      <c r="C174" s="14">
        <v>59205</v>
      </c>
      <c r="D174" s="14">
        <v>29012</v>
      </c>
      <c r="E174" s="14">
        <v>57237</v>
      </c>
      <c r="F174" s="14">
        <v>41014</v>
      </c>
      <c r="G174" s="14">
        <v>18216</v>
      </c>
      <c r="H174" s="14">
        <v>21614</v>
      </c>
      <c r="I174" s="14">
        <v>17864</v>
      </c>
    </row>
    <row r="175" spans="1:9" ht="15" customHeight="1" x14ac:dyDescent="0.25">
      <c r="A175" s="17" t="s">
        <v>467</v>
      </c>
      <c r="B175" s="14">
        <v>45025</v>
      </c>
      <c r="C175" s="14">
        <v>44068</v>
      </c>
      <c r="D175" s="14">
        <v>21931</v>
      </c>
      <c r="E175" s="14">
        <v>42856</v>
      </c>
      <c r="F175" s="14">
        <v>31503</v>
      </c>
      <c r="G175" s="14">
        <v>15006</v>
      </c>
      <c r="H175" s="14">
        <v>17327</v>
      </c>
      <c r="I175" s="14">
        <v>14758</v>
      </c>
    </row>
    <row r="176" spans="1:9" ht="15" customHeight="1" x14ac:dyDescent="0.25">
      <c r="A176" s="17" t="s">
        <v>468</v>
      </c>
      <c r="B176" s="14">
        <v>15908</v>
      </c>
      <c r="C176" s="14">
        <v>15759</v>
      </c>
      <c r="D176" s="14">
        <v>8748</v>
      </c>
      <c r="E176" s="14">
        <v>15232</v>
      </c>
      <c r="F176" s="14">
        <v>12668</v>
      </c>
      <c r="G176" s="14">
        <v>6287</v>
      </c>
      <c r="H176" s="14">
        <v>7896</v>
      </c>
      <c r="I176" s="14">
        <v>6873</v>
      </c>
    </row>
    <row r="177" spans="1:9" ht="15" customHeight="1" x14ac:dyDescent="0.25">
      <c r="A177" s="17" t="s">
        <v>469</v>
      </c>
      <c r="B177" s="14">
        <v>32188</v>
      </c>
      <c r="C177" s="14">
        <v>31869</v>
      </c>
      <c r="D177" s="14">
        <v>17405</v>
      </c>
      <c r="E177" s="14">
        <v>30762</v>
      </c>
      <c r="F177" s="14">
        <v>23268</v>
      </c>
      <c r="G177" s="14">
        <v>10433</v>
      </c>
      <c r="H177" s="14">
        <v>13417</v>
      </c>
      <c r="I177" s="14">
        <v>10694</v>
      </c>
    </row>
    <row r="178" spans="1:9" ht="15" customHeight="1" x14ac:dyDescent="0.25">
      <c r="A178" s="17" t="s">
        <v>470</v>
      </c>
      <c r="B178" s="14">
        <v>22261</v>
      </c>
      <c r="C178" s="14">
        <v>21902</v>
      </c>
      <c r="D178" s="14">
        <v>11479</v>
      </c>
      <c r="E178" s="14">
        <v>21291</v>
      </c>
      <c r="F178" s="14">
        <v>16651</v>
      </c>
      <c r="G178" s="14">
        <v>8534</v>
      </c>
      <c r="H178" s="14">
        <v>10239</v>
      </c>
      <c r="I178" s="14">
        <v>8409</v>
      </c>
    </row>
    <row r="179" spans="1:9" ht="15" customHeight="1" x14ac:dyDescent="0.25">
      <c r="A179" s="17" t="s">
        <v>471</v>
      </c>
      <c r="B179" s="14">
        <v>30263</v>
      </c>
      <c r="C179" s="14">
        <v>30263</v>
      </c>
      <c r="D179" s="14">
        <v>16639</v>
      </c>
      <c r="E179" s="14">
        <v>29056</v>
      </c>
      <c r="F179" s="14">
        <v>24267</v>
      </c>
      <c r="G179" s="14">
        <v>12845</v>
      </c>
      <c r="H179" s="14">
        <v>15175</v>
      </c>
      <c r="I179" s="14">
        <v>12888</v>
      </c>
    </row>
    <row r="180" spans="1:9" ht="15" customHeight="1" x14ac:dyDescent="0.25">
      <c r="A180" s="17" t="s">
        <v>472</v>
      </c>
      <c r="B180" s="14">
        <v>35871</v>
      </c>
      <c r="C180" s="14">
        <v>35871</v>
      </c>
      <c r="D180" s="14">
        <v>18510</v>
      </c>
      <c r="E180" s="14">
        <v>34858</v>
      </c>
      <c r="F180" s="14">
        <v>28252</v>
      </c>
      <c r="G180" s="14">
        <v>13754</v>
      </c>
      <c r="H180" s="14">
        <v>16401</v>
      </c>
      <c r="I180" s="14">
        <v>15662</v>
      </c>
    </row>
    <row r="181" spans="1:9" ht="15" customHeight="1" x14ac:dyDescent="0.25">
      <c r="A181" s="17" t="s">
        <v>473</v>
      </c>
      <c r="B181" s="14">
        <v>14534</v>
      </c>
      <c r="C181" s="14">
        <v>14534</v>
      </c>
      <c r="D181" s="14">
        <v>9302</v>
      </c>
      <c r="E181" s="14">
        <v>13971</v>
      </c>
      <c r="F181" s="14">
        <v>12688</v>
      </c>
      <c r="G181" s="14">
        <v>6520</v>
      </c>
      <c r="H181" s="14">
        <v>8888</v>
      </c>
      <c r="I181" s="14">
        <v>7984</v>
      </c>
    </row>
    <row r="182" spans="1:9" ht="15" customHeight="1" x14ac:dyDescent="0.25">
      <c r="A182" s="17" t="s">
        <v>474</v>
      </c>
      <c r="B182" s="14">
        <v>6114</v>
      </c>
      <c r="C182" s="14">
        <v>6114</v>
      </c>
      <c r="D182" s="14">
        <v>3387</v>
      </c>
      <c r="E182" s="14">
        <v>6032</v>
      </c>
      <c r="F182" s="14">
        <v>4887</v>
      </c>
      <c r="G182" s="14">
        <v>2868</v>
      </c>
      <c r="H182" s="14">
        <v>3341</v>
      </c>
      <c r="I182" s="14">
        <v>3980</v>
      </c>
    </row>
    <row r="183" spans="1:9" ht="15" customHeight="1" x14ac:dyDescent="0.25">
      <c r="A183" s="17" t="s">
        <v>475</v>
      </c>
      <c r="B183" s="14">
        <v>4738</v>
      </c>
      <c r="C183" s="14">
        <v>4738</v>
      </c>
      <c r="D183" s="14">
        <v>2946</v>
      </c>
      <c r="E183" s="14">
        <v>4506</v>
      </c>
      <c r="F183" s="14">
        <v>3502</v>
      </c>
      <c r="G183" s="14">
        <v>2061</v>
      </c>
      <c r="H183" s="14">
        <v>2437</v>
      </c>
      <c r="I183" s="14">
        <v>2251</v>
      </c>
    </row>
    <row r="184" spans="1:9" ht="27.95" customHeight="1" x14ac:dyDescent="0.25">
      <c r="A184" s="17" t="s">
        <v>476</v>
      </c>
      <c r="B184" s="14">
        <v>12068</v>
      </c>
      <c r="C184" s="14">
        <v>12068</v>
      </c>
      <c r="D184" s="14">
        <v>6984</v>
      </c>
      <c r="E184" s="14">
        <v>11721</v>
      </c>
      <c r="F184" s="14">
        <v>10143</v>
      </c>
      <c r="G184" s="14">
        <v>5684</v>
      </c>
      <c r="H184" s="14">
        <v>6577</v>
      </c>
      <c r="I184" s="14">
        <v>6766</v>
      </c>
    </row>
    <row r="185" spans="1:9" ht="44.25" customHeight="1" x14ac:dyDescent="0.25">
      <c r="A185" s="15" t="s">
        <v>442</v>
      </c>
      <c r="B185" s="21"/>
      <c r="C185" s="21"/>
      <c r="D185" s="21"/>
      <c r="E185" s="21"/>
      <c r="F185" s="21"/>
      <c r="G185" s="21"/>
      <c r="H185" s="21"/>
      <c r="I185" s="21"/>
    </row>
    <row r="186" spans="1:9" ht="15" customHeight="1" x14ac:dyDescent="0.25">
      <c r="A186" s="17" t="s">
        <v>67</v>
      </c>
      <c r="B186" s="14">
        <v>63167</v>
      </c>
      <c r="C186" s="14">
        <v>62669</v>
      </c>
      <c r="D186" s="14">
        <v>30314</v>
      </c>
      <c r="E186" s="14">
        <v>60546</v>
      </c>
      <c r="F186" s="14">
        <v>42331</v>
      </c>
      <c r="G186" s="14">
        <v>18572</v>
      </c>
      <c r="H186" s="14">
        <v>21904</v>
      </c>
      <c r="I186" s="14">
        <v>17671</v>
      </c>
    </row>
    <row r="187" spans="1:9" ht="15" customHeight="1" x14ac:dyDescent="0.25">
      <c r="A187" s="17" t="s">
        <v>65</v>
      </c>
      <c r="B187" s="14">
        <v>62516</v>
      </c>
      <c r="C187" s="14">
        <v>62156</v>
      </c>
      <c r="D187" s="14">
        <v>30210</v>
      </c>
      <c r="E187" s="14">
        <v>59941</v>
      </c>
      <c r="F187" s="14">
        <v>42180</v>
      </c>
      <c r="G187" s="14">
        <v>18424</v>
      </c>
      <c r="H187" s="14">
        <v>22268</v>
      </c>
      <c r="I187" s="14">
        <v>17939</v>
      </c>
    </row>
    <row r="188" spans="1:9" ht="15" customHeight="1" x14ac:dyDescent="0.25">
      <c r="A188" s="17" t="s">
        <v>68</v>
      </c>
      <c r="B188" s="14">
        <v>78594</v>
      </c>
      <c r="C188" s="14">
        <v>78594</v>
      </c>
      <c r="D188" s="14">
        <v>36405</v>
      </c>
      <c r="E188" s="14">
        <v>75380</v>
      </c>
      <c r="F188" s="14">
        <v>51068</v>
      </c>
      <c r="G188" s="14">
        <v>21872</v>
      </c>
      <c r="H188" s="14">
        <v>26646</v>
      </c>
      <c r="I188" s="14">
        <v>20668</v>
      </c>
    </row>
    <row r="189" spans="1:9" ht="15" customHeight="1" thickBot="1" x14ac:dyDescent="0.3">
      <c r="A189" s="18"/>
    </row>
    <row r="190" spans="1:9" ht="140.25" customHeight="1" x14ac:dyDescent="0.25">
      <c r="A190" s="111" t="s">
        <v>443</v>
      </c>
      <c r="B190" s="112"/>
      <c r="C190" s="112"/>
      <c r="D190" s="112"/>
      <c r="E190" s="112"/>
      <c r="F190" s="112"/>
      <c r="G190" s="112"/>
      <c r="H190" s="112"/>
      <c r="I190" s="112"/>
    </row>
  </sheetData>
  <mergeCells count="6">
    <mergeCell ref="A190:I190"/>
    <mergeCell ref="A2:I2"/>
    <mergeCell ref="B4:B5"/>
    <mergeCell ref="C4:C5"/>
    <mergeCell ref="D4:I4"/>
    <mergeCell ref="B3:I3"/>
  </mergeCells>
  <pageMargins left="0.7" right="0.7" top="0.6" bottom="0.6" header="0.3" footer="0.3"/>
  <pageSetup scale="85" fitToHeight="0" orientation="portrait"/>
  <rowBreaks count="3" manualBreakCount="3">
    <brk id="45" max="16383" man="1"/>
    <brk id="86" max="16383" man="1"/>
    <brk id="11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166"/>
  <sheetViews>
    <sheetView workbookViewId="0"/>
  </sheetViews>
  <sheetFormatPr defaultRowHeight="15" x14ac:dyDescent="0.25"/>
  <cols>
    <col min="1" max="1" width="28.7109375" customWidth="1"/>
    <col min="2" max="11" width="7.7109375" style="8" customWidth="1"/>
  </cols>
  <sheetData>
    <row r="1" spans="1:11" ht="29.65" customHeight="1" x14ac:dyDescent="0.25">
      <c r="A1" s="7" t="s">
        <v>281</v>
      </c>
    </row>
    <row r="2" spans="1:11" ht="26.25" customHeight="1" x14ac:dyDescent="0.25">
      <c r="A2" s="118" t="s">
        <v>477</v>
      </c>
      <c r="B2" s="119"/>
      <c r="C2" s="119"/>
      <c r="D2" s="119"/>
      <c r="E2" s="119"/>
      <c r="F2" s="119"/>
      <c r="G2" s="119"/>
      <c r="H2" s="119"/>
      <c r="I2" s="119"/>
      <c r="J2" s="119"/>
      <c r="K2" s="119"/>
    </row>
    <row r="3" spans="1:11" ht="24" customHeight="1" x14ac:dyDescent="0.25">
      <c r="A3" s="9"/>
      <c r="B3" s="128" t="s">
        <v>478</v>
      </c>
      <c r="C3" s="124"/>
      <c r="D3" s="124"/>
      <c r="E3" s="124"/>
      <c r="F3" s="129"/>
      <c r="G3" s="123" t="s">
        <v>283</v>
      </c>
      <c r="H3" s="124"/>
      <c r="I3" s="124"/>
      <c r="J3" s="124"/>
      <c r="K3" s="124"/>
    </row>
    <row r="4" spans="1:11" ht="36.75" customHeight="1" x14ac:dyDescent="0.25">
      <c r="A4" s="9"/>
      <c r="B4" s="125" t="s">
        <v>284</v>
      </c>
      <c r="C4" s="125" t="s">
        <v>197</v>
      </c>
      <c r="D4" s="126" t="s">
        <v>479</v>
      </c>
      <c r="E4" s="127"/>
      <c r="F4" s="127"/>
      <c r="G4" s="125" t="s">
        <v>284</v>
      </c>
      <c r="H4" s="125" t="s">
        <v>197</v>
      </c>
      <c r="I4" s="126" t="s">
        <v>479</v>
      </c>
      <c r="J4" s="127"/>
      <c r="K4" s="127"/>
    </row>
    <row r="5" spans="1:11" ht="89.25" customHeight="1" thickBot="1" x14ac:dyDescent="0.3">
      <c r="A5" s="10"/>
      <c r="B5" s="108"/>
      <c r="C5" s="108"/>
      <c r="D5" s="43" t="s">
        <v>480</v>
      </c>
      <c r="E5" s="43" t="s">
        <v>481</v>
      </c>
      <c r="F5" s="43" t="s">
        <v>482</v>
      </c>
      <c r="G5" s="108"/>
      <c r="H5" s="108"/>
      <c r="I5" s="43" t="s">
        <v>480</v>
      </c>
      <c r="J5" s="43" t="s">
        <v>481</v>
      </c>
      <c r="K5" s="43" t="s">
        <v>482</v>
      </c>
    </row>
    <row r="6" spans="1:11" ht="24" customHeight="1" thickTop="1" x14ac:dyDescent="0.25">
      <c r="A6" s="12" t="s">
        <v>287</v>
      </c>
      <c r="B6" s="13">
        <v>5557</v>
      </c>
      <c r="C6" s="13">
        <v>4423</v>
      </c>
      <c r="D6" s="13">
        <v>3348</v>
      </c>
      <c r="E6" s="13">
        <v>690</v>
      </c>
      <c r="F6" s="13">
        <v>385</v>
      </c>
      <c r="G6" s="13">
        <v>87093</v>
      </c>
      <c r="H6" s="13">
        <v>79015</v>
      </c>
      <c r="I6" s="13">
        <v>47534</v>
      </c>
      <c r="J6" s="13">
        <v>12688</v>
      </c>
      <c r="K6" s="13">
        <v>18793</v>
      </c>
    </row>
    <row r="7" spans="1:11" ht="24" customHeight="1" x14ac:dyDescent="0.25">
      <c r="A7" s="15" t="s">
        <v>288</v>
      </c>
      <c r="B7" s="16"/>
      <c r="C7" s="16"/>
      <c r="D7" s="16"/>
      <c r="E7" s="16"/>
      <c r="F7" s="16"/>
      <c r="G7" s="16"/>
      <c r="H7" s="16"/>
      <c r="I7" s="16"/>
      <c r="J7" s="16"/>
      <c r="K7" s="16"/>
    </row>
    <row r="8" spans="1:11" ht="15" customHeight="1" x14ac:dyDescent="0.25">
      <c r="A8" s="17" t="s">
        <v>289</v>
      </c>
      <c r="B8" s="14">
        <v>2777</v>
      </c>
      <c r="C8" s="14">
        <v>2032</v>
      </c>
      <c r="D8" s="14">
        <v>1653</v>
      </c>
      <c r="E8" s="14">
        <v>322</v>
      </c>
      <c r="F8" s="14">
        <v>57</v>
      </c>
      <c r="G8" s="14">
        <v>8041</v>
      </c>
      <c r="H8" s="14">
        <v>6102</v>
      </c>
      <c r="I8" s="14">
        <v>4906</v>
      </c>
      <c r="J8" s="14">
        <v>1011</v>
      </c>
      <c r="K8" s="14">
        <v>185</v>
      </c>
    </row>
    <row r="9" spans="1:11" ht="15" customHeight="1" x14ac:dyDescent="0.25">
      <c r="A9" s="17" t="s">
        <v>291</v>
      </c>
      <c r="B9" s="14">
        <v>1229</v>
      </c>
      <c r="C9" s="14">
        <v>992</v>
      </c>
      <c r="D9" s="14">
        <v>789</v>
      </c>
      <c r="E9" s="14">
        <v>120</v>
      </c>
      <c r="F9" s="14">
        <v>82</v>
      </c>
      <c r="G9" s="14">
        <v>8900</v>
      </c>
      <c r="H9" s="14">
        <v>7236</v>
      </c>
      <c r="I9" s="14">
        <v>5731</v>
      </c>
      <c r="J9" s="14">
        <v>890</v>
      </c>
      <c r="K9" s="14">
        <v>615</v>
      </c>
    </row>
    <row r="10" spans="1:11" ht="15" customHeight="1" x14ac:dyDescent="0.25">
      <c r="A10" s="17" t="s">
        <v>292</v>
      </c>
      <c r="B10" s="14">
        <v>884</v>
      </c>
      <c r="C10" s="14">
        <v>775</v>
      </c>
      <c r="D10" s="14">
        <v>538</v>
      </c>
      <c r="E10" s="14">
        <v>143</v>
      </c>
      <c r="F10" s="14">
        <v>93</v>
      </c>
      <c r="G10" s="14">
        <v>14105</v>
      </c>
      <c r="H10" s="14">
        <v>12401</v>
      </c>
      <c r="I10" s="14">
        <v>8549</v>
      </c>
      <c r="J10" s="14">
        <v>2318</v>
      </c>
      <c r="K10" s="14">
        <v>1534</v>
      </c>
    </row>
    <row r="11" spans="1:11" ht="15" customHeight="1" x14ac:dyDescent="0.25">
      <c r="A11" s="17" t="s">
        <v>293</v>
      </c>
      <c r="B11" s="14">
        <v>332</v>
      </c>
      <c r="C11" s="14">
        <v>307</v>
      </c>
      <c r="D11" s="14">
        <v>198</v>
      </c>
      <c r="E11" s="14">
        <v>57</v>
      </c>
      <c r="F11" s="14">
        <v>51</v>
      </c>
      <c r="G11" s="14">
        <v>11917</v>
      </c>
      <c r="H11" s="14">
        <v>11007</v>
      </c>
      <c r="I11" s="14">
        <v>7125</v>
      </c>
      <c r="J11" s="14">
        <v>1983</v>
      </c>
      <c r="K11" s="14">
        <v>1899</v>
      </c>
    </row>
    <row r="12" spans="1:11" ht="15" customHeight="1" x14ac:dyDescent="0.25">
      <c r="A12" s="17" t="s">
        <v>294</v>
      </c>
      <c r="B12" s="14">
        <v>199</v>
      </c>
      <c r="C12" s="14">
        <v>186</v>
      </c>
      <c r="D12" s="14">
        <v>103</v>
      </c>
      <c r="E12" s="14">
        <v>28</v>
      </c>
      <c r="F12" s="14">
        <v>55</v>
      </c>
      <c r="G12" s="14">
        <v>13918</v>
      </c>
      <c r="H12" s="14">
        <v>13063</v>
      </c>
      <c r="I12" s="14">
        <v>7181</v>
      </c>
      <c r="J12" s="14">
        <v>1904</v>
      </c>
      <c r="K12" s="14">
        <v>3978</v>
      </c>
    </row>
    <row r="13" spans="1:11" ht="15" customHeight="1" x14ac:dyDescent="0.25">
      <c r="A13" s="17" t="s">
        <v>295</v>
      </c>
      <c r="B13" s="14">
        <v>90</v>
      </c>
      <c r="C13" s="14">
        <v>86</v>
      </c>
      <c r="D13" s="14">
        <v>45</v>
      </c>
      <c r="E13" s="14">
        <v>13</v>
      </c>
      <c r="F13" s="14">
        <v>29</v>
      </c>
      <c r="G13" s="14">
        <v>12415</v>
      </c>
      <c r="H13" s="14">
        <v>11903</v>
      </c>
      <c r="I13" s="14">
        <v>6120</v>
      </c>
      <c r="J13" s="14">
        <v>1846</v>
      </c>
      <c r="K13" s="14">
        <v>3937</v>
      </c>
    </row>
    <row r="14" spans="1:11" ht="15" customHeight="1" x14ac:dyDescent="0.25">
      <c r="A14" s="17" t="s">
        <v>296</v>
      </c>
      <c r="B14" s="14">
        <v>38</v>
      </c>
      <c r="C14" s="14">
        <v>36</v>
      </c>
      <c r="D14" s="14">
        <v>17</v>
      </c>
      <c r="E14" s="14">
        <v>5</v>
      </c>
      <c r="F14" s="14">
        <v>14</v>
      </c>
      <c r="G14" s="14">
        <v>10724</v>
      </c>
      <c r="H14" s="14">
        <v>10351</v>
      </c>
      <c r="I14" s="14">
        <v>4924</v>
      </c>
      <c r="J14" s="14">
        <v>1516</v>
      </c>
      <c r="K14" s="14">
        <v>3911</v>
      </c>
    </row>
    <row r="15" spans="1:11" ht="15" customHeight="1" x14ac:dyDescent="0.25">
      <c r="A15" s="17" t="s">
        <v>297</v>
      </c>
      <c r="B15" s="14">
        <v>8</v>
      </c>
      <c r="C15" s="14">
        <v>8</v>
      </c>
      <c r="D15" s="14">
        <v>4</v>
      </c>
      <c r="E15" s="14">
        <v>1</v>
      </c>
      <c r="F15" s="14">
        <v>3</v>
      </c>
      <c r="G15" s="14">
        <v>7074</v>
      </c>
      <c r="H15" s="14">
        <v>6951</v>
      </c>
      <c r="I15" s="14">
        <v>2998</v>
      </c>
      <c r="J15" s="14">
        <v>1220</v>
      </c>
      <c r="K15" s="14">
        <v>2734</v>
      </c>
    </row>
    <row r="16" spans="1:11" ht="24" customHeight="1" x14ac:dyDescent="0.25">
      <c r="A16" s="15" t="s">
        <v>298</v>
      </c>
      <c r="B16" s="15"/>
      <c r="C16" s="15"/>
      <c r="D16" s="15"/>
      <c r="E16" s="15"/>
      <c r="F16" s="15"/>
      <c r="G16" s="15"/>
      <c r="H16" s="15"/>
      <c r="I16" s="15"/>
      <c r="J16" s="15"/>
      <c r="K16" s="15"/>
    </row>
    <row r="17" spans="1:14" x14ac:dyDescent="0.25">
      <c r="A17" s="17" t="s">
        <v>299</v>
      </c>
      <c r="B17" s="14">
        <v>389</v>
      </c>
      <c r="C17" s="14">
        <v>332</v>
      </c>
      <c r="D17" s="14">
        <v>244</v>
      </c>
      <c r="E17" s="14">
        <v>51</v>
      </c>
      <c r="F17" s="14">
        <v>38</v>
      </c>
      <c r="G17" s="14">
        <v>12239</v>
      </c>
      <c r="H17" s="14">
        <v>11905</v>
      </c>
      <c r="I17" s="14">
        <v>7580</v>
      </c>
      <c r="J17" s="14">
        <v>1269</v>
      </c>
      <c r="K17" s="14">
        <v>3057</v>
      </c>
    </row>
    <row r="18" spans="1:14" x14ac:dyDescent="0.25">
      <c r="A18" s="17" t="s">
        <v>300</v>
      </c>
      <c r="B18" s="14">
        <v>177</v>
      </c>
      <c r="C18" s="14">
        <v>177</v>
      </c>
      <c r="D18" s="14">
        <v>155</v>
      </c>
      <c r="E18" s="14" t="s">
        <v>290</v>
      </c>
      <c r="F18" s="14" t="s">
        <v>290</v>
      </c>
      <c r="G18" s="14">
        <v>1252</v>
      </c>
      <c r="H18" s="14">
        <v>1252</v>
      </c>
      <c r="I18" s="14">
        <v>883</v>
      </c>
      <c r="J18" s="14" t="s">
        <v>290</v>
      </c>
      <c r="K18" s="14" t="s">
        <v>290</v>
      </c>
    </row>
    <row r="19" spans="1:14" x14ac:dyDescent="0.25">
      <c r="A19" s="17" t="s">
        <v>302</v>
      </c>
      <c r="B19" s="14">
        <v>380</v>
      </c>
      <c r="C19" s="14">
        <v>379</v>
      </c>
      <c r="D19" s="14">
        <v>307</v>
      </c>
      <c r="E19" s="14">
        <v>33</v>
      </c>
      <c r="F19" s="14">
        <v>39</v>
      </c>
      <c r="G19" s="14">
        <v>1819</v>
      </c>
      <c r="H19" s="14">
        <v>1817</v>
      </c>
      <c r="I19" s="14">
        <v>1449</v>
      </c>
      <c r="J19" s="14">
        <v>130</v>
      </c>
      <c r="K19" s="14">
        <v>237</v>
      </c>
    </row>
    <row r="20" spans="1:14" x14ac:dyDescent="0.25">
      <c r="A20" s="17" t="s">
        <v>303</v>
      </c>
      <c r="B20" s="14">
        <v>157</v>
      </c>
      <c r="C20" s="14">
        <v>156</v>
      </c>
      <c r="D20" s="14">
        <v>124</v>
      </c>
      <c r="E20" s="14">
        <v>22</v>
      </c>
      <c r="F20" s="14">
        <v>10</v>
      </c>
      <c r="G20" s="14">
        <v>4155</v>
      </c>
      <c r="H20" s="14">
        <v>4153</v>
      </c>
      <c r="I20" s="14">
        <v>2630</v>
      </c>
      <c r="J20" s="14">
        <v>449</v>
      </c>
      <c r="K20" s="14">
        <v>1074</v>
      </c>
    </row>
    <row r="21" spans="1:14" x14ac:dyDescent="0.25">
      <c r="A21" s="18" t="s">
        <v>304</v>
      </c>
      <c r="B21" s="14">
        <v>10</v>
      </c>
      <c r="C21" s="14">
        <v>10</v>
      </c>
      <c r="D21" s="14">
        <v>6</v>
      </c>
      <c r="E21" s="14" t="s">
        <v>290</v>
      </c>
      <c r="F21" s="14">
        <v>2</v>
      </c>
      <c r="G21" s="14">
        <v>2374</v>
      </c>
      <c r="H21" s="14">
        <v>2374</v>
      </c>
      <c r="I21" s="14">
        <v>1419</v>
      </c>
      <c r="J21" s="14" t="s">
        <v>290</v>
      </c>
      <c r="K21" s="14">
        <v>860</v>
      </c>
    </row>
    <row r="22" spans="1:14" x14ac:dyDescent="0.25">
      <c r="A22" s="18" t="s">
        <v>305</v>
      </c>
      <c r="B22" s="14">
        <v>147</v>
      </c>
      <c r="C22" s="14">
        <v>146</v>
      </c>
      <c r="D22" s="14">
        <v>118</v>
      </c>
      <c r="E22" s="14">
        <v>21</v>
      </c>
      <c r="F22" s="14" t="s">
        <v>290</v>
      </c>
      <c r="G22" s="14">
        <v>1781</v>
      </c>
      <c r="H22" s="14">
        <v>1779</v>
      </c>
      <c r="I22" s="14">
        <v>1211</v>
      </c>
      <c r="J22" s="14">
        <v>354</v>
      </c>
      <c r="K22" s="14" t="s">
        <v>290</v>
      </c>
    </row>
    <row r="23" spans="1:14" x14ac:dyDescent="0.25">
      <c r="A23" s="17" t="s">
        <v>306</v>
      </c>
      <c r="B23" s="14">
        <v>158</v>
      </c>
      <c r="C23" s="14">
        <v>158</v>
      </c>
      <c r="D23" s="14">
        <v>132</v>
      </c>
      <c r="E23" s="14">
        <v>7</v>
      </c>
      <c r="F23" s="14">
        <v>19</v>
      </c>
      <c r="G23" s="14">
        <v>5826</v>
      </c>
      <c r="H23" s="14">
        <v>5821</v>
      </c>
      <c r="I23" s="14">
        <v>4418</v>
      </c>
      <c r="J23" s="14">
        <v>369</v>
      </c>
      <c r="K23" s="14">
        <v>1034</v>
      </c>
    </row>
    <row r="24" spans="1:14" x14ac:dyDescent="0.25">
      <c r="A24" s="17" t="s">
        <v>307</v>
      </c>
      <c r="B24" s="14">
        <v>602</v>
      </c>
      <c r="C24" s="14">
        <v>531</v>
      </c>
      <c r="D24" s="14">
        <v>342</v>
      </c>
      <c r="E24" s="14">
        <v>90</v>
      </c>
      <c r="F24" s="14">
        <v>99</v>
      </c>
      <c r="G24" s="14">
        <v>11330</v>
      </c>
      <c r="H24" s="14">
        <v>10960</v>
      </c>
      <c r="I24" s="14">
        <v>4705</v>
      </c>
      <c r="J24" s="14">
        <v>1492</v>
      </c>
      <c r="K24" s="14">
        <v>4763</v>
      </c>
      <c r="N24" s="19"/>
    </row>
    <row r="25" spans="1:14" ht="15" customHeight="1" x14ac:dyDescent="0.25">
      <c r="A25" s="20" t="s">
        <v>308</v>
      </c>
      <c r="B25" s="14">
        <v>438</v>
      </c>
      <c r="C25" s="14">
        <v>367</v>
      </c>
      <c r="D25" s="14">
        <v>270</v>
      </c>
      <c r="E25" s="14">
        <v>80</v>
      </c>
      <c r="F25" s="14">
        <v>17</v>
      </c>
      <c r="G25" s="14">
        <v>5439</v>
      </c>
      <c r="H25" s="14">
        <v>5070</v>
      </c>
      <c r="I25" s="14">
        <v>2932</v>
      </c>
      <c r="J25" s="14">
        <v>1013</v>
      </c>
      <c r="K25" s="14">
        <v>1125</v>
      </c>
    </row>
    <row r="26" spans="1:14" ht="15" customHeight="1" x14ac:dyDescent="0.25">
      <c r="A26" s="20" t="s">
        <v>309</v>
      </c>
      <c r="B26" s="14">
        <v>164</v>
      </c>
      <c r="C26" s="14">
        <v>164</v>
      </c>
      <c r="D26" s="14">
        <v>72</v>
      </c>
      <c r="E26" s="14">
        <v>10</v>
      </c>
      <c r="F26" s="14">
        <v>82</v>
      </c>
      <c r="G26" s="14">
        <v>5890</v>
      </c>
      <c r="H26" s="14">
        <v>5890</v>
      </c>
      <c r="I26" s="14">
        <v>1773</v>
      </c>
      <c r="J26" s="14">
        <v>479</v>
      </c>
      <c r="K26" s="14">
        <v>3638</v>
      </c>
    </row>
    <row r="27" spans="1:14" ht="15" customHeight="1" x14ac:dyDescent="0.25">
      <c r="A27" s="17" t="s">
        <v>310</v>
      </c>
      <c r="B27" s="14">
        <v>1012</v>
      </c>
      <c r="C27" s="14">
        <v>943</v>
      </c>
      <c r="D27" s="14">
        <v>713</v>
      </c>
      <c r="E27" s="14">
        <v>160</v>
      </c>
      <c r="F27" s="14">
        <v>71</v>
      </c>
      <c r="G27" s="14">
        <v>15952</v>
      </c>
      <c r="H27" s="14">
        <v>15663</v>
      </c>
      <c r="I27" s="14">
        <v>8724</v>
      </c>
      <c r="J27" s="14">
        <v>2934</v>
      </c>
      <c r="K27" s="14">
        <v>4006</v>
      </c>
    </row>
    <row r="28" spans="1:14" ht="15" customHeight="1" x14ac:dyDescent="0.25">
      <c r="A28" s="17" t="s">
        <v>311</v>
      </c>
      <c r="B28" s="14">
        <v>352</v>
      </c>
      <c r="C28" s="14">
        <v>317</v>
      </c>
      <c r="D28" s="14">
        <v>248</v>
      </c>
      <c r="E28" s="14">
        <v>41</v>
      </c>
      <c r="F28" s="14">
        <v>28</v>
      </c>
      <c r="G28" s="14">
        <v>5559</v>
      </c>
      <c r="H28" s="14">
        <v>5318</v>
      </c>
      <c r="I28" s="14">
        <v>3389</v>
      </c>
      <c r="J28" s="14">
        <v>514</v>
      </c>
      <c r="K28" s="14">
        <v>1415</v>
      </c>
    </row>
    <row r="29" spans="1:14" ht="15" customHeight="1" x14ac:dyDescent="0.25">
      <c r="A29" s="17" t="s">
        <v>312</v>
      </c>
      <c r="B29" s="14">
        <v>84</v>
      </c>
      <c r="C29" s="14">
        <v>80</v>
      </c>
      <c r="D29" s="14">
        <v>72</v>
      </c>
      <c r="E29" s="14" t="s">
        <v>290</v>
      </c>
      <c r="F29" s="14" t="s">
        <v>290</v>
      </c>
      <c r="G29" s="14">
        <v>1440</v>
      </c>
      <c r="H29" s="14">
        <v>1341</v>
      </c>
      <c r="I29" s="14">
        <v>1139</v>
      </c>
      <c r="J29" s="14" t="s">
        <v>290</v>
      </c>
      <c r="K29" s="14" t="s">
        <v>290</v>
      </c>
    </row>
    <row r="30" spans="1:14" ht="15" customHeight="1" x14ac:dyDescent="0.25">
      <c r="A30" s="17" t="s">
        <v>313</v>
      </c>
      <c r="B30" s="14">
        <v>412</v>
      </c>
      <c r="C30" s="14">
        <v>383</v>
      </c>
      <c r="D30" s="14">
        <v>290</v>
      </c>
      <c r="E30" s="14">
        <v>70</v>
      </c>
      <c r="F30" s="14">
        <v>23</v>
      </c>
      <c r="G30" s="14">
        <v>4557</v>
      </c>
      <c r="H30" s="14">
        <v>4337</v>
      </c>
      <c r="I30" s="14">
        <v>2850</v>
      </c>
      <c r="J30" s="14">
        <v>711</v>
      </c>
      <c r="K30" s="14">
        <v>776</v>
      </c>
    </row>
    <row r="31" spans="1:14" ht="15" customHeight="1" x14ac:dyDescent="0.25">
      <c r="A31" s="17" t="s">
        <v>314</v>
      </c>
      <c r="B31" s="14">
        <v>619</v>
      </c>
      <c r="C31" s="14">
        <v>442</v>
      </c>
      <c r="D31" s="14">
        <v>347</v>
      </c>
      <c r="E31" s="14">
        <v>80</v>
      </c>
      <c r="F31" s="14" t="s">
        <v>290</v>
      </c>
      <c r="G31" s="14">
        <v>4630</v>
      </c>
      <c r="H31" s="14">
        <v>3763</v>
      </c>
      <c r="I31" s="14">
        <v>2695</v>
      </c>
      <c r="J31" s="14">
        <v>669</v>
      </c>
      <c r="K31" s="14" t="s">
        <v>290</v>
      </c>
    </row>
    <row r="32" spans="1:14" ht="15" customHeight="1" x14ac:dyDescent="0.25">
      <c r="A32" s="17" t="s">
        <v>315</v>
      </c>
      <c r="B32" s="14">
        <v>796</v>
      </c>
      <c r="C32" s="14">
        <v>370</v>
      </c>
      <c r="D32" s="14">
        <v>252</v>
      </c>
      <c r="E32" s="14">
        <v>93</v>
      </c>
      <c r="F32" s="14">
        <v>26</v>
      </c>
      <c r="G32" s="14">
        <v>13077</v>
      </c>
      <c r="H32" s="14">
        <v>10041</v>
      </c>
      <c r="I32" s="14">
        <v>5204</v>
      </c>
      <c r="J32" s="14">
        <v>3449</v>
      </c>
      <c r="K32" s="14">
        <v>1388</v>
      </c>
    </row>
    <row r="33" spans="1:11" ht="15" customHeight="1" x14ac:dyDescent="0.25">
      <c r="A33" s="17" t="s">
        <v>316</v>
      </c>
      <c r="B33" s="14">
        <v>125</v>
      </c>
      <c r="C33" s="14">
        <v>98</v>
      </c>
      <c r="D33" s="14">
        <v>81</v>
      </c>
      <c r="E33" s="14" t="s">
        <v>290</v>
      </c>
      <c r="F33" s="14" t="s">
        <v>290</v>
      </c>
      <c r="G33" s="14">
        <v>2002</v>
      </c>
      <c r="H33" s="14">
        <v>1614</v>
      </c>
      <c r="I33" s="14">
        <v>1170</v>
      </c>
      <c r="J33" s="14" t="s">
        <v>290</v>
      </c>
      <c r="K33" s="14" t="s">
        <v>290</v>
      </c>
    </row>
    <row r="34" spans="1:11" ht="15" customHeight="1" x14ac:dyDescent="0.25">
      <c r="A34" s="17" t="s">
        <v>317</v>
      </c>
      <c r="B34" s="14">
        <v>296</v>
      </c>
      <c r="C34" s="14">
        <v>56</v>
      </c>
      <c r="D34" s="14">
        <v>44</v>
      </c>
      <c r="E34" s="14" t="s">
        <v>290</v>
      </c>
      <c r="F34" s="14" t="s">
        <v>290</v>
      </c>
      <c r="G34" s="14">
        <v>3256</v>
      </c>
      <c r="H34" s="14">
        <v>1031</v>
      </c>
      <c r="I34" s="14">
        <v>700</v>
      </c>
      <c r="J34" s="14" t="s">
        <v>290</v>
      </c>
      <c r="K34" s="14" t="s">
        <v>290</v>
      </c>
    </row>
    <row r="35" spans="1:11" ht="24" customHeight="1" x14ac:dyDescent="0.25">
      <c r="A35" s="15" t="s">
        <v>318</v>
      </c>
      <c r="B35" s="15"/>
      <c r="C35" s="15"/>
      <c r="D35" s="15"/>
      <c r="E35" s="15"/>
      <c r="F35" s="15"/>
      <c r="G35" s="15"/>
      <c r="H35" s="15"/>
      <c r="I35" s="15"/>
      <c r="J35" s="15"/>
      <c r="K35" s="15"/>
    </row>
    <row r="36" spans="1:11" ht="15" customHeight="1" x14ac:dyDescent="0.25">
      <c r="A36" s="17" t="s">
        <v>319</v>
      </c>
      <c r="B36" s="14">
        <v>362</v>
      </c>
      <c r="C36" s="14">
        <v>286</v>
      </c>
      <c r="D36" s="14">
        <v>232</v>
      </c>
      <c r="E36" s="14">
        <v>39</v>
      </c>
      <c r="F36" s="14">
        <v>15</v>
      </c>
      <c r="G36" s="14">
        <v>3983</v>
      </c>
      <c r="H36" s="14">
        <v>3403</v>
      </c>
      <c r="I36" s="14">
        <v>2287</v>
      </c>
      <c r="J36" s="14">
        <v>526</v>
      </c>
      <c r="K36" s="14">
        <v>590</v>
      </c>
    </row>
    <row r="37" spans="1:11" ht="15" customHeight="1" x14ac:dyDescent="0.25">
      <c r="A37" s="17" t="s">
        <v>320</v>
      </c>
      <c r="B37" s="14">
        <v>488</v>
      </c>
      <c r="C37" s="14">
        <v>383</v>
      </c>
      <c r="D37" s="14">
        <v>288</v>
      </c>
      <c r="E37" s="14">
        <v>69</v>
      </c>
      <c r="F37" s="14">
        <v>26</v>
      </c>
      <c r="G37" s="14">
        <v>6025</v>
      </c>
      <c r="H37" s="14">
        <v>5299</v>
      </c>
      <c r="I37" s="14">
        <v>2918</v>
      </c>
      <c r="J37" s="14">
        <v>743</v>
      </c>
      <c r="K37" s="14">
        <v>1638</v>
      </c>
    </row>
    <row r="38" spans="1:11" ht="15" customHeight="1" x14ac:dyDescent="0.25">
      <c r="A38" s="17" t="s">
        <v>321</v>
      </c>
      <c r="B38" s="14">
        <v>599</v>
      </c>
      <c r="C38" s="14">
        <v>460</v>
      </c>
      <c r="D38" s="14">
        <v>356</v>
      </c>
      <c r="E38" s="14">
        <v>78</v>
      </c>
      <c r="F38" s="14">
        <v>26</v>
      </c>
      <c r="G38" s="14">
        <v>7381</v>
      </c>
      <c r="H38" s="14">
        <v>6410</v>
      </c>
      <c r="I38" s="14">
        <v>4305</v>
      </c>
      <c r="J38" s="14">
        <v>943</v>
      </c>
      <c r="K38" s="14">
        <v>1162</v>
      </c>
    </row>
    <row r="39" spans="1:11" ht="15" customHeight="1" x14ac:dyDescent="0.25">
      <c r="A39" s="17" t="s">
        <v>322</v>
      </c>
      <c r="B39" s="14">
        <v>639</v>
      </c>
      <c r="C39" s="14">
        <v>540</v>
      </c>
      <c r="D39" s="14">
        <v>427</v>
      </c>
      <c r="E39" s="14">
        <v>60</v>
      </c>
      <c r="F39" s="14">
        <v>53</v>
      </c>
      <c r="G39" s="14">
        <v>10362</v>
      </c>
      <c r="H39" s="14">
        <v>9699</v>
      </c>
      <c r="I39" s="14">
        <v>6252</v>
      </c>
      <c r="J39" s="14">
        <v>1005</v>
      </c>
      <c r="K39" s="14">
        <v>2442</v>
      </c>
    </row>
    <row r="40" spans="1:11" ht="15" customHeight="1" x14ac:dyDescent="0.25">
      <c r="A40" s="17" t="s">
        <v>323</v>
      </c>
      <c r="B40" s="14">
        <v>684</v>
      </c>
      <c r="C40" s="14">
        <v>577</v>
      </c>
      <c r="D40" s="14">
        <v>435</v>
      </c>
      <c r="E40" s="14">
        <v>87</v>
      </c>
      <c r="F40" s="14">
        <v>55</v>
      </c>
      <c r="G40" s="14">
        <v>10846</v>
      </c>
      <c r="H40" s="14">
        <v>10158</v>
      </c>
      <c r="I40" s="14">
        <v>6298</v>
      </c>
      <c r="J40" s="14">
        <v>1773</v>
      </c>
      <c r="K40" s="14">
        <v>2087</v>
      </c>
    </row>
    <row r="41" spans="1:11" ht="15" customHeight="1" x14ac:dyDescent="0.25">
      <c r="A41" s="17" t="s">
        <v>324</v>
      </c>
      <c r="B41" s="14">
        <v>915</v>
      </c>
      <c r="C41" s="14">
        <v>727</v>
      </c>
      <c r="D41" s="14">
        <v>527</v>
      </c>
      <c r="E41" s="14">
        <v>139</v>
      </c>
      <c r="F41" s="14">
        <v>61</v>
      </c>
      <c r="G41" s="14">
        <v>15230</v>
      </c>
      <c r="H41" s="14">
        <v>13831</v>
      </c>
      <c r="I41" s="14">
        <v>7338</v>
      </c>
      <c r="J41" s="14">
        <v>2888</v>
      </c>
      <c r="K41" s="14">
        <v>3605</v>
      </c>
    </row>
    <row r="42" spans="1:11" ht="15" customHeight="1" x14ac:dyDescent="0.25">
      <c r="A42" s="17" t="s">
        <v>325</v>
      </c>
      <c r="B42" s="14">
        <v>845</v>
      </c>
      <c r="C42" s="14">
        <v>631</v>
      </c>
      <c r="D42" s="14">
        <v>498</v>
      </c>
      <c r="E42" s="14">
        <v>86</v>
      </c>
      <c r="F42" s="14">
        <v>48</v>
      </c>
      <c r="G42" s="14">
        <v>13803</v>
      </c>
      <c r="H42" s="14">
        <v>12209</v>
      </c>
      <c r="I42" s="14">
        <v>7417</v>
      </c>
      <c r="J42" s="14">
        <v>1724</v>
      </c>
      <c r="K42" s="14">
        <v>3069</v>
      </c>
    </row>
    <row r="43" spans="1:11" ht="15" customHeight="1" x14ac:dyDescent="0.25">
      <c r="A43" s="17" t="s">
        <v>326</v>
      </c>
      <c r="B43" s="14">
        <v>375</v>
      </c>
      <c r="C43" s="14">
        <v>312</v>
      </c>
      <c r="D43" s="14">
        <v>235</v>
      </c>
      <c r="E43" s="14">
        <v>45</v>
      </c>
      <c r="F43" s="14">
        <v>32</v>
      </c>
      <c r="G43" s="14">
        <v>7215</v>
      </c>
      <c r="H43" s="14">
        <v>6889</v>
      </c>
      <c r="I43" s="14">
        <v>4098</v>
      </c>
      <c r="J43" s="14">
        <v>1145</v>
      </c>
      <c r="K43" s="14">
        <v>1646</v>
      </c>
    </row>
    <row r="44" spans="1:11" ht="15" customHeight="1" x14ac:dyDescent="0.25">
      <c r="A44" s="17" t="s">
        <v>327</v>
      </c>
      <c r="B44" s="14">
        <v>347</v>
      </c>
      <c r="C44" s="14">
        <v>275</v>
      </c>
      <c r="D44" s="14">
        <v>190</v>
      </c>
      <c r="E44" s="14">
        <v>47</v>
      </c>
      <c r="F44" s="14">
        <v>38</v>
      </c>
      <c r="G44" s="14">
        <v>6524</v>
      </c>
      <c r="H44" s="14">
        <v>5955</v>
      </c>
      <c r="I44" s="14">
        <v>3445</v>
      </c>
      <c r="J44" s="14">
        <v>1007</v>
      </c>
      <c r="K44" s="14">
        <v>1503</v>
      </c>
    </row>
    <row r="45" spans="1:11" ht="15" customHeight="1" x14ac:dyDescent="0.25">
      <c r="A45" s="17" t="s">
        <v>328</v>
      </c>
      <c r="B45" s="14">
        <v>303</v>
      </c>
      <c r="C45" s="14">
        <v>231</v>
      </c>
      <c r="D45" s="14">
        <v>161</v>
      </c>
      <c r="E45" s="14">
        <v>39</v>
      </c>
      <c r="F45" s="14">
        <v>30</v>
      </c>
      <c r="G45" s="14">
        <v>5723</v>
      </c>
      <c r="H45" s="14">
        <v>5162</v>
      </c>
      <c r="I45" s="14">
        <v>3176</v>
      </c>
      <c r="J45" s="14">
        <v>933</v>
      </c>
      <c r="K45" s="14">
        <v>1053</v>
      </c>
    </row>
    <row r="46" spans="1:11" ht="24" customHeight="1" x14ac:dyDescent="0.25">
      <c r="A46" s="15" t="s">
        <v>329</v>
      </c>
      <c r="B46" s="16"/>
      <c r="C46" s="16"/>
      <c r="D46" s="16"/>
      <c r="E46" s="16"/>
      <c r="F46" s="16"/>
      <c r="G46" s="16"/>
      <c r="H46" s="16"/>
      <c r="I46" s="16"/>
      <c r="J46" s="16"/>
      <c r="K46" s="16"/>
    </row>
    <row r="47" spans="1:11" ht="15" customHeight="1" x14ac:dyDescent="0.25">
      <c r="A47" s="17" t="s">
        <v>330</v>
      </c>
      <c r="B47" s="14">
        <v>805</v>
      </c>
      <c r="C47" s="14">
        <v>671</v>
      </c>
      <c r="D47" s="14">
        <v>493</v>
      </c>
      <c r="E47" s="14">
        <v>123</v>
      </c>
      <c r="F47" s="14">
        <v>56</v>
      </c>
      <c r="G47" s="14">
        <v>15534</v>
      </c>
      <c r="H47" s="14">
        <v>14633</v>
      </c>
      <c r="I47" s="14">
        <v>9128</v>
      </c>
      <c r="J47" s="14">
        <v>2383</v>
      </c>
      <c r="K47" s="14">
        <v>3122</v>
      </c>
    </row>
    <row r="48" spans="1:11" ht="15" customHeight="1" x14ac:dyDescent="0.25">
      <c r="A48" s="18" t="s">
        <v>331</v>
      </c>
      <c r="B48" s="14">
        <v>302</v>
      </c>
      <c r="C48" s="14">
        <v>235</v>
      </c>
      <c r="D48" s="14">
        <v>166</v>
      </c>
      <c r="E48" s="14">
        <v>40</v>
      </c>
      <c r="F48" s="14">
        <v>30</v>
      </c>
      <c r="G48" s="14">
        <v>4302</v>
      </c>
      <c r="H48" s="14">
        <v>3915</v>
      </c>
      <c r="I48" s="14">
        <v>2487</v>
      </c>
      <c r="J48" s="14">
        <v>586</v>
      </c>
      <c r="K48" s="14">
        <v>843</v>
      </c>
    </row>
    <row r="49" spans="1:11" ht="15" customHeight="1" x14ac:dyDescent="0.25">
      <c r="A49" s="18" t="s">
        <v>332</v>
      </c>
      <c r="B49" s="14">
        <v>504</v>
      </c>
      <c r="C49" s="14">
        <v>436</v>
      </c>
      <c r="D49" s="14">
        <v>327</v>
      </c>
      <c r="E49" s="14">
        <v>83</v>
      </c>
      <c r="F49" s="14">
        <v>26</v>
      </c>
      <c r="G49" s="14">
        <v>11232</v>
      </c>
      <c r="H49" s="14">
        <v>10718</v>
      </c>
      <c r="I49" s="14">
        <v>6641</v>
      </c>
      <c r="J49" s="14">
        <v>1797</v>
      </c>
      <c r="K49" s="14">
        <v>2279</v>
      </c>
    </row>
    <row r="50" spans="1:11" ht="15" customHeight="1" x14ac:dyDescent="0.25">
      <c r="A50" s="17" t="s">
        <v>333</v>
      </c>
      <c r="B50" s="14">
        <v>1237</v>
      </c>
      <c r="C50" s="14">
        <v>1014</v>
      </c>
      <c r="D50" s="14">
        <v>806</v>
      </c>
      <c r="E50" s="14">
        <v>133</v>
      </c>
      <c r="F50" s="14">
        <v>76</v>
      </c>
      <c r="G50" s="14">
        <v>18919</v>
      </c>
      <c r="H50" s="14">
        <v>17592</v>
      </c>
      <c r="I50" s="14">
        <v>11316</v>
      </c>
      <c r="J50" s="14">
        <v>2335</v>
      </c>
      <c r="K50" s="14">
        <v>3942</v>
      </c>
    </row>
    <row r="51" spans="1:11" ht="15" customHeight="1" x14ac:dyDescent="0.25">
      <c r="A51" s="18" t="s">
        <v>334</v>
      </c>
      <c r="B51" s="14">
        <v>735</v>
      </c>
      <c r="C51" s="14">
        <v>629</v>
      </c>
      <c r="D51" s="14">
        <v>490</v>
      </c>
      <c r="E51" s="14">
        <v>90</v>
      </c>
      <c r="F51" s="14">
        <v>49</v>
      </c>
      <c r="G51" s="14">
        <v>12742</v>
      </c>
      <c r="H51" s="14">
        <v>12082</v>
      </c>
      <c r="I51" s="14">
        <v>7606</v>
      </c>
      <c r="J51" s="14">
        <v>1671</v>
      </c>
      <c r="K51" s="14">
        <v>2804</v>
      </c>
    </row>
    <row r="52" spans="1:11" ht="15" customHeight="1" x14ac:dyDescent="0.25">
      <c r="A52" s="18" t="s">
        <v>335</v>
      </c>
      <c r="B52" s="14">
        <v>502</v>
      </c>
      <c r="C52" s="14">
        <v>385</v>
      </c>
      <c r="D52" s="14">
        <v>316</v>
      </c>
      <c r="E52" s="14">
        <v>43</v>
      </c>
      <c r="F52" s="14">
        <v>27</v>
      </c>
      <c r="G52" s="14">
        <v>6178</v>
      </c>
      <c r="H52" s="14">
        <v>5510</v>
      </c>
      <c r="I52" s="14">
        <v>3710</v>
      </c>
      <c r="J52" s="14">
        <v>663</v>
      </c>
      <c r="K52" s="14">
        <v>1137</v>
      </c>
    </row>
    <row r="53" spans="1:11" ht="15" customHeight="1" x14ac:dyDescent="0.25">
      <c r="A53" s="17" t="s">
        <v>336</v>
      </c>
      <c r="B53" s="14">
        <v>2247</v>
      </c>
      <c r="C53" s="14">
        <v>1740</v>
      </c>
      <c r="D53" s="14">
        <v>1322</v>
      </c>
      <c r="E53" s="14">
        <v>264</v>
      </c>
      <c r="F53" s="14">
        <v>154</v>
      </c>
      <c r="G53" s="14">
        <v>34279</v>
      </c>
      <c r="H53" s="14">
        <v>30261</v>
      </c>
      <c r="I53" s="14">
        <v>17460</v>
      </c>
      <c r="J53" s="14">
        <v>4938</v>
      </c>
      <c r="K53" s="14">
        <v>7863</v>
      </c>
    </row>
    <row r="54" spans="1:11" ht="15" customHeight="1" x14ac:dyDescent="0.25">
      <c r="A54" s="18" t="s">
        <v>337</v>
      </c>
      <c r="B54" s="14">
        <v>1091</v>
      </c>
      <c r="C54" s="14">
        <v>856</v>
      </c>
      <c r="D54" s="14">
        <v>617</v>
      </c>
      <c r="E54" s="14">
        <v>160</v>
      </c>
      <c r="F54" s="14">
        <v>79</v>
      </c>
      <c r="G54" s="14">
        <v>17981</v>
      </c>
      <c r="H54" s="14">
        <v>16144</v>
      </c>
      <c r="I54" s="14">
        <v>8889</v>
      </c>
      <c r="J54" s="14">
        <v>3030</v>
      </c>
      <c r="K54" s="14">
        <v>4226</v>
      </c>
    </row>
    <row r="55" spans="1:11" ht="15" customHeight="1" x14ac:dyDescent="0.25">
      <c r="A55" s="18" t="s">
        <v>338</v>
      </c>
      <c r="B55" s="14">
        <v>370</v>
      </c>
      <c r="C55" s="14">
        <v>325</v>
      </c>
      <c r="D55" s="14">
        <v>268</v>
      </c>
      <c r="E55" s="14">
        <v>28</v>
      </c>
      <c r="F55" s="14">
        <v>29</v>
      </c>
      <c r="G55" s="14">
        <v>4904</v>
      </c>
      <c r="H55" s="14">
        <v>4598</v>
      </c>
      <c r="I55" s="14">
        <v>2745</v>
      </c>
      <c r="J55" s="14">
        <v>437</v>
      </c>
      <c r="K55" s="14">
        <v>1416</v>
      </c>
    </row>
    <row r="56" spans="1:11" ht="15" customHeight="1" x14ac:dyDescent="0.25">
      <c r="A56" s="18" t="s">
        <v>339</v>
      </c>
      <c r="B56" s="14">
        <v>786</v>
      </c>
      <c r="C56" s="14">
        <v>560</v>
      </c>
      <c r="D56" s="14">
        <v>437</v>
      </c>
      <c r="E56" s="14">
        <v>76</v>
      </c>
      <c r="F56" s="14">
        <v>46</v>
      </c>
      <c r="G56" s="14">
        <v>11394</v>
      </c>
      <c r="H56" s="14">
        <v>9519</v>
      </c>
      <c r="I56" s="14">
        <v>5826</v>
      </c>
      <c r="J56" s="14">
        <v>1471</v>
      </c>
      <c r="K56" s="14">
        <v>2222</v>
      </c>
    </row>
    <row r="57" spans="1:11" ht="15" customHeight="1" x14ac:dyDescent="0.25">
      <c r="A57" s="17" t="s">
        <v>340</v>
      </c>
      <c r="B57" s="14">
        <v>1267</v>
      </c>
      <c r="C57" s="14">
        <v>997</v>
      </c>
      <c r="D57" s="14">
        <v>728</v>
      </c>
      <c r="E57" s="14">
        <v>170</v>
      </c>
      <c r="F57" s="14">
        <v>99</v>
      </c>
      <c r="G57" s="14">
        <v>18360</v>
      </c>
      <c r="H57" s="14">
        <v>16529</v>
      </c>
      <c r="I57" s="14">
        <v>9631</v>
      </c>
      <c r="J57" s="14">
        <v>3032</v>
      </c>
      <c r="K57" s="14">
        <v>3866</v>
      </c>
    </row>
    <row r="58" spans="1:11" ht="15" customHeight="1" x14ac:dyDescent="0.25">
      <c r="A58" s="18" t="s">
        <v>341</v>
      </c>
      <c r="B58" s="14">
        <v>338</v>
      </c>
      <c r="C58" s="14">
        <v>260</v>
      </c>
      <c r="D58" s="14">
        <v>195</v>
      </c>
      <c r="E58" s="14">
        <v>36</v>
      </c>
      <c r="F58" s="14">
        <v>29</v>
      </c>
      <c r="G58" s="14">
        <v>4981</v>
      </c>
      <c r="H58" s="14">
        <v>4440</v>
      </c>
      <c r="I58" s="14">
        <v>2573</v>
      </c>
      <c r="J58" s="14">
        <v>699</v>
      </c>
      <c r="K58" s="14">
        <v>1168</v>
      </c>
    </row>
    <row r="59" spans="1:11" ht="15" customHeight="1" x14ac:dyDescent="0.25">
      <c r="A59" s="18" t="s">
        <v>342</v>
      </c>
      <c r="B59" s="14">
        <v>929</v>
      </c>
      <c r="C59" s="14">
        <v>737</v>
      </c>
      <c r="D59" s="14">
        <v>533</v>
      </c>
      <c r="E59" s="14">
        <v>135</v>
      </c>
      <c r="F59" s="14">
        <v>69</v>
      </c>
      <c r="G59" s="14">
        <v>13379</v>
      </c>
      <c r="H59" s="14">
        <v>12089</v>
      </c>
      <c r="I59" s="14">
        <v>7058</v>
      </c>
      <c r="J59" s="14">
        <v>2333</v>
      </c>
      <c r="K59" s="14">
        <v>2698</v>
      </c>
    </row>
    <row r="60" spans="1:11" ht="24" customHeight="1" x14ac:dyDescent="0.25">
      <c r="A60" s="15" t="s">
        <v>343</v>
      </c>
      <c r="B60" s="15"/>
      <c r="C60" s="15"/>
      <c r="D60" s="15"/>
      <c r="E60" s="15"/>
      <c r="F60" s="15"/>
      <c r="G60" s="15"/>
      <c r="H60" s="15"/>
      <c r="I60" s="15"/>
      <c r="J60" s="15"/>
      <c r="K60" s="15"/>
    </row>
    <row r="61" spans="1:11" x14ac:dyDescent="0.25">
      <c r="A61" s="17" t="s">
        <v>344</v>
      </c>
      <c r="B61" s="14">
        <v>2031</v>
      </c>
      <c r="C61" s="14">
        <v>1639</v>
      </c>
      <c r="D61" s="14">
        <v>1261</v>
      </c>
      <c r="E61" s="14">
        <v>242</v>
      </c>
      <c r="F61" s="14">
        <v>136</v>
      </c>
      <c r="G61" s="14">
        <v>31898</v>
      </c>
      <c r="H61" s="14">
        <v>29567</v>
      </c>
      <c r="I61" s="14">
        <v>18894</v>
      </c>
      <c r="J61" s="14">
        <v>4184</v>
      </c>
      <c r="K61" s="14">
        <v>6489</v>
      </c>
    </row>
    <row r="62" spans="1:11" x14ac:dyDescent="0.25">
      <c r="A62" s="17" t="s">
        <v>345</v>
      </c>
      <c r="B62" s="14">
        <v>1743</v>
      </c>
      <c r="C62" s="14">
        <v>1445</v>
      </c>
      <c r="D62" s="14">
        <v>1120</v>
      </c>
      <c r="E62" s="14">
        <v>201</v>
      </c>
      <c r="F62" s="14">
        <v>124</v>
      </c>
      <c r="G62" s="14">
        <v>27873</v>
      </c>
      <c r="H62" s="14">
        <v>25772</v>
      </c>
      <c r="I62" s="14">
        <v>15231</v>
      </c>
      <c r="J62" s="14">
        <v>3619</v>
      </c>
      <c r="K62" s="14">
        <v>6922</v>
      </c>
    </row>
    <row r="63" spans="1:11" x14ac:dyDescent="0.25">
      <c r="A63" s="17" t="s">
        <v>346</v>
      </c>
      <c r="B63" s="14">
        <v>837</v>
      </c>
      <c r="C63" s="14">
        <v>635</v>
      </c>
      <c r="D63" s="14">
        <v>457</v>
      </c>
      <c r="E63" s="14">
        <v>124</v>
      </c>
      <c r="F63" s="14">
        <v>54</v>
      </c>
      <c r="G63" s="14">
        <v>12037</v>
      </c>
      <c r="H63" s="14">
        <v>10585</v>
      </c>
      <c r="I63" s="14">
        <v>6259</v>
      </c>
      <c r="J63" s="14">
        <v>2221</v>
      </c>
      <c r="K63" s="14">
        <v>2105</v>
      </c>
    </row>
    <row r="64" spans="1:11" x14ac:dyDescent="0.25">
      <c r="A64" s="17" t="s">
        <v>347</v>
      </c>
      <c r="B64" s="14">
        <v>799</v>
      </c>
      <c r="C64" s="14">
        <v>590</v>
      </c>
      <c r="D64" s="14">
        <v>431</v>
      </c>
      <c r="E64" s="14">
        <v>104</v>
      </c>
      <c r="F64" s="14">
        <v>55</v>
      </c>
      <c r="G64" s="14">
        <v>12831</v>
      </c>
      <c r="H64" s="14">
        <v>10837</v>
      </c>
      <c r="I64" s="14">
        <v>5983</v>
      </c>
      <c r="J64" s="14">
        <v>2298</v>
      </c>
      <c r="K64" s="14">
        <v>2556</v>
      </c>
    </row>
    <row r="65" spans="1:11" x14ac:dyDescent="0.25">
      <c r="A65" s="17" t="s">
        <v>348</v>
      </c>
      <c r="B65" s="14">
        <v>147</v>
      </c>
      <c r="C65" s="14">
        <v>113</v>
      </c>
      <c r="D65" s="14">
        <v>78</v>
      </c>
      <c r="E65" s="14" t="s">
        <v>290</v>
      </c>
      <c r="F65" s="14">
        <v>16</v>
      </c>
      <c r="G65" s="14">
        <v>2454</v>
      </c>
      <c r="H65" s="14">
        <v>2255</v>
      </c>
      <c r="I65" s="14">
        <v>1168</v>
      </c>
      <c r="J65" s="14">
        <v>366</v>
      </c>
      <c r="K65" s="14">
        <v>721</v>
      </c>
    </row>
    <row r="66" spans="1:11" ht="24" customHeight="1" x14ac:dyDescent="0.25">
      <c r="A66" s="15" t="s">
        <v>349</v>
      </c>
      <c r="B66" s="15"/>
      <c r="C66" s="15"/>
      <c r="D66" s="15"/>
      <c r="E66" s="15"/>
      <c r="F66" s="15"/>
      <c r="G66" s="15"/>
      <c r="H66" s="15"/>
      <c r="I66" s="15"/>
      <c r="J66" s="15"/>
      <c r="K66" s="15"/>
    </row>
    <row r="67" spans="1:11" x14ac:dyDescent="0.25">
      <c r="A67" s="17" t="s">
        <v>350</v>
      </c>
      <c r="B67" s="14">
        <v>3836</v>
      </c>
      <c r="C67" s="14">
        <v>2862</v>
      </c>
      <c r="D67" s="14">
        <v>2179</v>
      </c>
      <c r="E67" s="14">
        <v>451</v>
      </c>
      <c r="F67" s="14">
        <v>231</v>
      </c>
      <c r="G67" s="14">
        <v>39809</v>
      </c>
      <c r="H67" s="14">
        <v>33591</v>
      </c>
      <c r="I67" s="14">
        <v>20177</v>
      </c>
      <c r="J67" s="14">
        <v>6094</v>
      </c>
      <c r="K67" s="14">
        <v>7321</v>
      </c>
    </row>
    <row r="68" spans="1:11" x14ac:dyDescent="0.25">
      <c r="A68" s="17" t="s">
        <v>351</v>
      </c>
      <c r="B68" s="14">
        <v>1158</v>
      </c>
      <c r="C68" s="14">
        <v>1039</v>
      </c>
      <c r="D68" s="14">
        <v>786</v>
      </c>
      <c r="E68" s="14">
        <v>156</v>
      </c>
      <c r="F68" s="14">
        <v>97</v>
      </c>
      <c r="G68" s="14">
        <v>20206</v>
      </c>
      <c r="H68" s="14">
        <v>19088</v>
      </c>
      <c r="I68" s="14">
        <v>11762</v>
      </c>
      <c r="J68" s="14">
        <v>3133</v>
      </c>
      <c r="K68" s="14">
        <v>4194</v>
      </c>
    </row>
    <row r="69" spans="1:11" x14ac:dyDescent="0.25">
      <c r="A69" s="17" t="s">
        <v>352</v>
      </c>
      <c r="B69" s="14">
        <v>374</v>
      </c>
      <c r="C69" s="14">
        <v>344</v>
      </c>
      <c r="D69" s="14">
        <v>259</v>
      </c>
      <c r="E69" s="14">
        <v>58</v>
      </c>
      <c r="F69" s="14">
        <v>26</v>
      </c>
      <c r="G69" s="14">
        <v>8140</v>
      </c>
      <c r="H69" s="14">
        <v>7932</v>
      </c>
      <c r="I69" s="14">
        <v>5148</v>
      </c>
      <c r="J69" s="14">
        <v>1181</v>
      </c>
      <c r="K69" s="14">
        <v>1602</v>
      </c>
    </row>
    <row r="70" spans="1:11" x14ac:dyDescent="0.25">
      <c r="A70" s="17" t="s">
        <v>353</v>
      </c>
      <c r="B70" s="14">
        <v>177</v>
      </c>
      <c r="C70" s="14">
        <v>166</v>
      </c>
      <c r="D70" s="14">
        <v>118</v>
      </c>
      <c r="E70" s="14">
        <v>23</v>
      </c>
      <c r="F70" s="14">
        <v>26</v>
      </c>
      <c r="G70" s="14">
        <v>13535</v>
      </c>
      <c r="H70" s="14">
        <v>13141</v>
      </c>
      <c r="I70" s="14">
        <v>7998</v>
      </c>
      <c r="J70" s="14">
        <v>1646</v>
      </c>
      <c r="K70" s="14">
        <v>3497</v>
      </c>
    </row>
    <row r="71" spans="1:11" x14ac:dyDescent="0.25">
      <c r="A71" s="17" t="s">
        <v>354</v>
      </c>
      <c r="B71" s="14">
        <v>13</v>
      </c>
      <c r="C71" s="14">
        <v>12</v>
      </c>
      <c r="D71" s="14">
        <v>6</v>
      </c>
      <c r="E71" s="14">
        <v>2</v>
      </c>
      <c r="F71" s="14">
        <v>5</v>
      </c>
      <c r="G71" s="14">
        <v>5404</v>
      </c>
      <c r="H71" s="14">
        <v>5264</v>
      </c>
      <c r="I71" s="14">
        <v>2450</v>
      </c>
      <c r="J71" s="14">
        <v>635</v>
      </c>
      <c r="K71" s="14">
        <v>2179</v>
      </c>
    </row>
    <row r="72" spans="1:11" ht="24" customHeight="1" x14ac:dyDescent="0.25">
      <c r="A72" s="15" t="s">
        <v>355</v>
      </c>
      <c r="B72" s="21"/>
      <c r="C72" s="21"/>
      <c r="D72" s="21"/>
      <c r="E72" s="21"/>
      <c r="F72" s="21"/>
      <c r="G72" s="21"/>
      <c r="H72" s="21"/>
      <c r="I72" s="21"/>
      <c r="J72" s="21"/>
      <c r="K72" s="21"/>
    </row>
    <row r="73" spans="1:11" ht="15" customHeight="1" x14ac:dyDescent="0.25">
      <c r="A73" s="17" t="s">
        <v>356</v>
      </c>
      <c r="B73" s="14">
        <v>2892</v>
      </c>
      <c r="C73" s="14">
        <v>1917</v>
      </c>
      <c r="D73" s="14">
        <v>1547</v>
      </c>
      <c r="E73" s="14">
        <v>292</v>
      </c>
      <c r="F73" s="14">
        <v>78</v>
      </c>
      <c r="G73" s="14">
        <v>17751</v>
      </c>
      <c r="H73" s="14">
        <v>11783</v>
      </c>
      <c r="I73" s="14">
        <v>8984</v>
      </c>
      <c r="J73" s="14">
        <v>1713</v>
      </c>
      <c r="K73" s="14">
        <v>1086</v>
      </c>
    </row>
    <row r="74" spans="1:11" ht="15" customHeight="1" x14ac:dyDescent="0.25">
      <c r="A74" s="17" t="s">
        <v>357</v>
      </c>
      <c r="B74" s="14">
        <v>1085</v>
      </c>
      <c r="C74" s="14">
        <v>977</v>
      </c>
      <c r="D74" s="14">
        <v>777</v>
      </c>
      <c r="E74" s="14">
        <v>140</v>
      </c>
      <c r="F74" s="14">
        <v>61</v>
      </c>
      <c r="G74" s="14">
        <v>8973</v>
      </c>
      <c r="H74" s="14">
        <v>8205</v>
      </c>
      <c r="I74" s="14">
        <v>6262</v>
      </c>
      <c r="J74" s="14">
        <v>1188</v>
      </c>
      <c r="K74" s="14">
        <v>755</v>
      </c>
    </row>
    <row r="75" spans="1:11" ht="15" customHeight="1" x14ac:dyDescent="0.25">
      <c r="A75" s="17" t="s">
        <v>358</v>
      </c>
      <c r="B75" s="14">
        <v>731</v>
      </c>
      <c r="C75" s="14">
        <v>700</v>
      </c>
      <c r="D75" s="14">
        <v>515</v>
      </c>
      <c r="E75" s="14">
        <v>118</v>
      </c>
      <c r="F75" s="14">
        <v>66</v>
      </c>
      <c r="G75" s="14">
        <v>9623</v>
      </c>
      <c r="H75" s="14">
        <v>9137</v>
      </c>
      <c r="I75" s="14">
        <v>6320</v>
      </c>
      <c r="J75" s="14">
        <v>1690</v>
      </c>
      <c r="K75" s="14">
        <v>1126</v>
      </c>
    </row>
    <row r="76" spans="1:11" ht="15" customHeight="1" x14ac:dyDescent="0.25">
      <c r="A76" s="17" t="s">
        <v>359</v>
      </c>
      <c r="B76" s="14">
        <v>513</v>
      </c>
      <c r="C76" s="14">
        <v>495</v>
      </c>
      <c r="D76" s="14">
        <v>319</v>
      </c>
      <c r="E76" s="14">
        <v>78</v>
      </c>
      <c r="F76" s="14">
        <v>98</v>
      </c>
      <c r="G76" s="14">
        <v>14514</v>
      </c>
      <c r="H76" s="14">
        <v>14097</v>
      </c>
      <c r="I76" s="14">
        <v>7957</v>
      </c>
      <c r="J76" s="14">
        <v>2282</v>
      </c>
      <c r="K76" s="14">
        <v>3859</v>
      </c>
    </row>
    <row r="77" spans="1:11" ht="15" customHeight="1" x14ac:dyDescent="0.25">
      <c r="A77" s="17" t="s">
        <v>360</v>
      </c>
      <c r="B77" s="14">
        <v>206</v>
      </c>
      <c r="C77" s="14">
        <v>203</v>
      </c>
      <c r="D77" s="14">
        <v>122</v>
      </c>
      <c r="E77" s="14">
        <v>36</v>
      </c>
      <c r="F77" s="14">
        <v>46</v>
      </c>
      <c r="G77" s="14">
        <v>13476</v>
      </c>
      <c r="H77" s="14">
        <v>13171</v>
      </c>
      <c r="I77" s="14">
        <v>7105</v>
      </c>
      <c r="J77" s="14">
        <v>2192</v>
      </c>
      <c r="K77" s="14">
        <v>3873</v>
      </c>
    </row>
    <row r="78" spans="1:11" ht="15" customHeight="1" x14ac:dyDescent="0.25">
      <c r="A78" s="17" t="s">
        <v>361</v>
      </c>
      <c r="B78" s="14">
        <v>93</v>
      </c>
      <c r="C78" s="14">
        <v>93</v>
      </c>
      <c r="D78" s="14">
        <v>51</v>
      </c>
      <c r="E78" s="14">
        <v>20</v>
      </c>
      <c r="F78" s="14">
        <v>23</v>
      </c>
      <c r="G78" s="14">
        <v>10941</v>
      </c>
      <c r="H78" s="14">
        <v>10912</v>
      </c>
      <c r="I78" s="14">
        <v>5614</v>
      </c>
      <c r="J78" s="14">
        <v>1893</v>
      </c>
      <c r="K78" s="14">
        <v>3404</v>
      </c>
    </row>
    <row r="79" spans="1:11" ht="15" customHeight="1" x14ac:dyDescent="0.25">
      <c r="A79" s="17" t="s">
        <v>362</v>
      </c>
      <c r="B79" s="14">
        <v>37</v>
      </c>
      <c r="C79" s="14">
        <v>37</v>
      </c>
      <c r="D79" s="14">
        <v>17</v>
      </c>
      <c r="E79" s="14">
        <v>6</v>
      </c>
      <c r="F79" s="14">
        <v>14</v>
      </c>
      <c r="G79" s="14">
        <v>11815</v>
      </c>
      <c r="H79" s="14">
        <v>11711</v>
      </c>
      <c r="I79" s="14">
        <v>5292</v>
      </c>
      <c r="J79" s="14">
        <v>1730</v>
      </c>
      <c r="K79" s="14">
        <v>4689</v>
      </c>
    </row>
    <row r="80" spans="1:11" ht="24" customHeight="1" x14ac:dyDescent="0.25">
      <c r="A80" s="15" t="s">
        <v>363</v>
      </c>
      <c r="B80" s="21"/>
      <c r="C80" s="21"/>
      <c r="D80" s="21"/>
      <c r="E80" s="21"/>
      <c r="F80" s="21"/>
      <c r="G80" s="21"/>
      <c r="H80" s="21"/>
      <c r="I80" s="21"/>
      <c r="J80" s="21"/>
      <c r="K80" s="21"/>
    </row>
    <row r="81" spans="1:11" ht="15" customHeight="1" x14ac:dyDescent="0.25">
      <c r="A81" s="17" t="s">
        <v>364</v>
      </c>
      <c r="B81" s="14">
        <v>1149</v>
      </c>
      <c r="C81" s="14">
        <v>703</v>
      </c>
      <c r="D81" s="14">
        <v>575</v>
      </c>
      <c r="E81" s="14">
        <v>97</v>
      </c>
      <c r="F81" s="14">
        <v>31</v>
      </c>
      <c r="G81" s="14">
        <v>8220</v>
      </c>
      <c r="H81" s="14">
        <v>5137</v>
      </c>
      <c r="I81" s="14">
        <v>3777</v>
      </c>
      <c r="J81" s="14">
        <v>659</v>
      </c>
      <c r="K81" s="14">
        <v>701</v>
      </c>
    </row>
    <row r="82" spans="1:11" ht="15" customHeight="1" x14ac:dyDescent="0.25">
      <c r="A82" s="17" t="s">
        <v>365</v>
      </c>
      <c r="B82" s="14">
        <v>1346</v>
      </c>
      <c r="C82" s="14">
        <v>1107</v>
      </c>
      <c r="D82" s="14">
        <v>843</v>
      </c>
      <c r="E82" s="14">
        <v>193</v>
      </c>
      <c r="F82" s="14">
        <v>71</v>
      </c>
      <c r="G82" s="14">
        <v>15828</v>
      </c>
      <c r="H82" s="14">
        <v>14388</v>
      </c>
      <c r="I82" s="14">
        <v>9155</v>
      </c>
      <c r="J82" s="14">
        <v>2631</v>
      </c>
      <c r="K82" s="14">
        <v>2602</v>
      </c>
    </row>
    <row r="83" spans="1:11" ht="15" customHeight="1" x14ac:dyDescent="0.25">
      <c r="A83" s="17" t="s">
        <v>366</v>
      </c>
      <c r="B83" s="14">
        <v>1244</v>
      </c>
      <c r="C83" s="14">
        <v>1063</v>
      </c>
      <c r="D83" s="14">
        <v>789</v>
      </c>
      <c r="E83" s="14">
        <v>184</v>
      </c>
      <c r="F83" s="14">
        <v>89</v>
      </c>
      <c r="G83" s="14">
        <v>20529</v>
      </c>
      <c r="H83" s="14">
        <v>18878</v>
      </c>
      <c r="I83" s="14">
        <v>11623</v>
      </c>
      <c r="J83" s="14">
        <v>3487</v>
      </c>
      <c r="K83" s="14">
        <v>3768</v>
      </c>
    </row>
    <row r="84" spans="1:11" ht="15" customHeight="1" x14ac:dyDescent="0.25">
      <c r="A84" s="17" t="s">
        <v>367</v>
      </c>
      <c r="B84" s="14">
        <v>764</v>
      </c>
      <c r="C84" s="14">
        <v>676</v>
      </c>
      <c r="D84" s="14">
        <v>467</v>
      </c>
      <c r="E84" s="14">
        <v>111</v>
      </c>
      <c r="F84" s="14">
        <v>98</v>
      </c>
      <c r="G84" s="14">
        <v>15867</v>
      </c>
      <c r="H84" s="14">
        <v>15304</v>
      </c>
      <c r="I84" s="14">
        <v>7601</v>
      </c>
      <c r="J84" s="14">
        <v>2621</v>
      </c>
      <c r="K84" s="14">
        <v>5082</v>
      </c>
    </row>
    <row r="85" spans="1:11" ht="15" customHeight="1" x14ac:dyDescent="0.25">
      <c r="A85" s="17" t="s">
        <v>368</v>
      </c>
      <c r="B85" s="14">
        <v>479</v>
      </c>
      <c r="C85" s="14">
        <v>428</v>
      </c>
      <c r="D85" s="14">
        <v>315</v>
      </c>
      <c r="E85" s="14">
        <v>67</v>
      </c>
      <c r="F85" s="14">
        <v>46</v>
      </c>
      <c r="G85" s="14">
        <v>9395</v>
      </c>
      <c r="H85" s="14">
        <v>8937</v>
      </c>
      <c r="I85" s="14">
        <v>5247</v>
      </c>
      <c r="J85" s="14">
        <v>1470</v>
      </c>
      <c r="K85" s="14">
        <v>2220</v>
      </c>
    </row>
    <row r="86" spans="1:11" ht="15" customHeight="1" x14ac:dyDescent="0.25">
      <c r="A86" s="17" t="s">
        <v>369</v>
      </c>
      <c r="B86" s="14">
        <v>575</v>
      </c>
      <c r="C86" s="14">
        <v>447</v>
      </c>
      <c r="D86" s="14">
        <v>359</v>
      </c>
      <c r="E86" s="14">
        <v>38</v>
      </c>
      <c r="F86" s="14">
        <v>49</v>
      </c>
      <c r="G86" s="14">
        <v>17253</v>
      </c>
      <c r="H86" s="14">
        <v>16371</v>
      </c>
      <c r="I86" s="14">
        <v>10131</v>
      </c>
      <c r="J86" s="14">
        <v>1820</v>
      </c>
      <c r="K86" s="14">
        <v>4420</v>
      </c>
    </row>
    <row r="87" spans="1:11" ht="24" customHeight="1" x14ac:dyDescent="0.25">
      <c r="A87" s="15" t="s">
        <v>370</v>
      </c>
      <c r="B87" s="21"/>
      <c r="C87" s="21"/>
      <c r="D87" s="21"/>
      <c r="E87" s="21"/>
      <c r="F87" s="21"/>
      <c r="G87" s="21"/>
      <c r="H87" s="21"/>
      <c r="I87" s="21"/>
      <c r="J87" s="21"/>
      <c r="K87" s="21"/>
    </row>
    <row r="88" spans="1:11" ht="15" customHeight="1" x14ac:dyDescent="0.25">
      <c r="A88" s="17" t="s">
        <v>371</v>
      </c>
      <c r="B88" s="14">
        <v>4781</v>
      </c>
      <c r="C88" s="14">
        <v>3791</v>
      </c>
      <c r="D88" s="14">
        <v>2851</v>
      </c>
      <c r="E88" s="14">
        <v>617</v>
      </c>
      <c r="F88" s="14">
        <v>323</v>
      </c>
      <c r="G88" s="14">
        <v>67550</v>
      </c>
      <c r="H88" s="14">
        <v>60645</v>
      </c>
      <c r="I88" s="14">
        <v>35837</v>
      </c>
      <c r="J88" s="14">
        <v>11091</v>
      </c>
      <c r="K88" s="14">
        <v>13717</v>
      </c>
    </row>
    <row r="89" spans="1:11" ht="15" customHeight="1" x14ac:dyDescent="0.25">
      <c r="A89" s="18" t="s">
        <v>372</v>
      </c>
      <c r="B89" s="14">
        <v>2466</v>
      </c>
      <c r="C89" s="14">
        <v>2048</v>
      </c>
      <c r="D89" s="14">
        <v>1634</v>
      </c>
      <c r="E89" s="14">
        <v>289</v>
      </c>
      <c r="F89" s="14">
        <v>125</v>
      </c>
      <c r="G89" s="14">
        <v>30637</v>
      </c>
      <c r="H89" s="14">
        <v>27869</v>
      </c>
      <c r="I89" s="14">
        <v>19154</v>
      </c>
      <c r="J89" s="14">
        <v>4090</v>
      </c>
      <c r="K89" s="14">
        <v>4626</v>
      </c>
    </row>
    <row r="90" spans="1:11" ht="15" customHeight="1" x14ac:dyDescent="0.25">
      <c r="A90" s="18" t="s">
        <v>373</v>
      </c>
      <c r="B90" s="14">
        <v>1745</v>
      </c>
      <c r="C90" s="14">
        <v>1401</v>
      </c>
      <c r="D90" s="14">
        <v>1001</v>
      </c>
      <c r="E90" s="14">
        <v>251</v>
      </c>
      <c r="F90" s="14">
        <v>149</v>
      </c>
      <c r="G90" s="14">
        <v>26115</v>
      </c>
      <c r="H90" s="14">
        <v>23900</v>
      </c>
      <c r="I90" s="14">
        <v>12749</v>
      </c>
      <c r="J90" s="14">
        <v>4804</v>
      </c>
      <c r="K90" s="14">
        <v>6347</v>
      </c>
    </row>
    <row r="91" spans="1:11" ht="15" customHeight="1" x14ac:dyDescent="0.25">
      <c r="A91" s="18" t="s">
        <v>374</v>
      </c>
      <c r="B91" s="14">
        <v>349</v>
      </c>
      <c r="C91" s="14">
        <v>316</v>
      </c>
      <c r="D91" s="14">
        <v>195</v>
      </c>
      <c r="E91" s="14">
        <v>75</v>
      </c>
      <c r="F91" s="14">
        <v>46</v>
      </c>
      <c r="G91" s="14">
        <v>8873</v>
      </c>
      <c r="H91" s="14">
        <v>8544</v>
      </c>
      <c r="I91" s="14">
        <v>3698</v>
      </c>
      <c r="J91" s="14">
        <v>2181</v>
      </c>
      <c r="K91" s="14">
        <v>2665</v>
      </c>
    </row>
    <row r="92" spans="1:11" ht="15" customHeight="1" x14ac:dyDescent="0.25">
      <c r="A92" s="18" t="s">
        <v>375</v>
      </c>
      <c r="B92" s="14">
        <v>221</v>
      </c>
      <c r="C92" s="14">
        <v>26</v>
      </c>
      <c r="D92" s="14">
        <v>21</v>
      </c>
      <c r="E92" s="14" t="s">
        <v>290</v>
      </c>
      <c r="F92" s="14" t="s">
        <v>290</v>
      </c>
      <c r="G92" s="14">
        <v>1925</v>
      </c>
      <c r="H92" s="14">
        <v>332</v>
      </c>
      <c r="I92" s="14">
        <v>237</v>
      </c>
      <c r="J92" s="14" t="s">
        <v>290</v>
      </c>
      <c r="K92" s="14" t="s">
        <v>290</v>
      </c>
    </row>
    <row r="93" spans="1:11" ht="15" customHeight="1" x14ac:dyDescent="0.25">
      <c r="A93" s="17" t="s">
        <v>376</v>
      </c>
      <c r="B93" s="14">
        <v>776</v>
      </c>
      <c r="C93" s="14">
        <v>632</v>
      </c>
      <c r="D93" s="14">
        <v>497</v>
      </c>
      <c r="E93" s="14">
        <v>72</v>
      </c>
      <c r="F93" s="14">
        <v>62</v>
      </c>
      <c r="G93" s="14">
        <v>19543</v>
      </c>
      <c r="H93" s="14">
        <v>18370</v>
      </c>
      <c r="I93" s="14">
        <v>11697</v>
      </c>
      <c r="J93" s="14">
        <v>1596</v>
      </c>
      <c r="K93" s="14">
        <v>5076</v>
      </c>
    </row>
    <row r="94" spans="1:11" ht="15" customHeight="1" x14ac:dyDescent="0.25">
      <c r="A94" s="18" t="s">
        <v>377</v>
      </c>
      <c r="B94" s="14">
        <v>33</v>
      </c>
      <c r="C94" s="14">
        <v>33</v>
      </c>
      <c r="D94" s="14">
        <v>29</v>
      </c>
      <c r="E94" s="14" t="s">
        <v>290</v>
      </c>
      <c r="F94" s="14">
        <v>3</v>
      </c>
      <c r="G94" s="14">
        <v>1573</v>
      </c>
      <c r="H94" s="14">
        <v>1565</v>
      </c>
      <c r="I94" s="14">
        <v>837</v>
      </c>
      <c r="J94" s="14" t="s">
        <v>290</v>
      </c>
      <c r="K94" s="14">
        <v>626</v>
      </c>
    </row>
    <row r="95" spans="1:11" ht="15" customHeight="1" x14ac:dyDescent="0.25">
      <c r="A95" s="18" t="s">
        <v>378</v>
      </c>
      <c r="B95" s="14">
        <v>185</v>
      </c>
      <c r="C95" s="14">
        <v>146</v>
      </c>
      <c r="D95" s="14">
        <v>106</v>
      </c>
      <c r="E95" s="14">
        <v>22</v>
      </c>
      <c r="F95" s="14">
        <v>19</v>
      </c>
      <c r="G95" s="14">
        <v>5539</v>
      </c>
      <c r="H95" s="14">
        <v>5270</v>
      </c>
      <c r="I95" s="14">
        <v>3188</v>
      </c>
      <c r="J95" s="14">
        <v>746</v>
      </c>
      <c r="K95" s="14">
        <v>1336</v>
      </c>
    </row>
    <row r="96" spans="1:11" ht="15" customHeight="1" x14ac:dyDescent="0.25">
      <c r="A96" s="18" t="s">
        <v>379</v>
      </c>
      <c r="B96" s="14">
        <v>558</v>
      </c>
      <c r="C96" s="14">
        <v>452</v>
      </c>
      <c r="D96" s="14">
        <v>362</v>
      </c>
      <c r="E96" s="14">
        <v>50</v>
      </c>
      <c r="F96" s="14">
        <v>40</v>
      </c>
      <c r="G96" s="14">
        <v>12431</v>
      </c>
      <c r="H96" s="14">
        <v>11535</v>
      </c>
      <c r="I96" s="14">
        <v>7672</v>
      </c>
      <c r="J96" s="14">
        <v>749</v>
      </c>
      <c r="K96" s="14">
        <v>3115</v>
      </c>
    </row>
    <row r="97" spans="1:11" ht="45.95" customHeight="1" x14ac:dyDescent="0.25">
      <c r="A97" s="15" t="s">
        <v>380</v>
      </c>
      <c r="B97" s="21"/>
      <c r="C97" s="21"/>
      <c r="D97" s="21"/>
      <c r="E97" s="21"/>
      <c r="F97" s="21"/>
      <c r="G97" s="21"/>
      <c r="H97" s="21"/>
      <c r="I97" s="21"/>
      <c r="J97" s="21"/>
      <c r="K97" s="21"/>
    </row>
    <row r="98" spans="1:11" ht="15" customHeight="1" x14ac:dyDescent="0.25">
      <c r="A98" s="17" t="s">
        <v>381</v>
      </c>
      <c r="B98" s="14">
        <v>4715</v>
      </c>
      <c r="C98" s="14">
        <v>3706</v>
      </c>
      <c r="D98" s="14">
        <v>2841</v>
      </c>
      <c r="E98" s="14">
        <v>580</v>
      </c>
      <c r="F98" s="14">
        <v>285</v>
      </c>
      <c r="G98" s="14">
        <v>73702</v>
      </c>
      <c r="H98" s="14">
        <v>66462</v>
      </c>
      <c r="I98" s="14">
        <v>41135</v>
      </c>
      <c r="J98" s="14">
        <v>10474</v>
      </c>
      <c r="K98" s="14">
        <v>14852</v>
      </c>
    </row>
    <row r="99" spans="1:11" ht="15" customHeight="1" x14ac:dyDescent="0.25">
      <c r="A99" s="17" t="s">
        <v>382</v>
      </c>
      <c r="B99" s="14">
        <v>724</v>
      </c>
      <c r="C99" s="14">
        <v>617</v>
      </c>
      <c r="D99" s="14">
        <v>432</v>
      </c>
      <c r="E99" s="14">
        <v>98</v>
      </c>
      <c r="F99" s="14">
        <v>87</v>
      </c>
      <c r="G99" s="14">
        <v>11309</v>
      </c>
      <c r="H99" s="14">
        <v>10617</v>
      </c>
      <c r="I99" s="14">
        <v>5269</v>
      </c>
      <c r="J99" s="14">
        <v>1896</v>
      </c>
      <c r="K99" s="14">
        <v>3452</v>
      </c>
    </row>
    <row r="100" spans="1:11" ht="15" customHeight="1" x14ac:dyDescent="0.25">
      <c r="A100" s="17" t="s">
        <v>383</v>
      </c>
      <c r="B100" s="14">
        <v>54</v>
      </c>
      <c r="C100" s="14">
        <v>42</v>
      </c>
      <c r="D100" s="14">
        <v>29</v>
      </c>
      <c r="E100" s="14" t="s">
        <v>290</v>
      </c>
      <c r="F100" s="14">
        <v>7</v>
      </c>
      <c r="G100" s="14">
        <v>1250</v>
      </c>
      <c r="H100" s="14">
        <v>1177</v>
      </c>
      <c r="I100" s="14">
        <v>600</v>
      </c>
      <c r="J100" s="14" t="s">
        <v>290</v>
      </c>
      <c r="K100" s="14">
        <v>400</v>
      </c>
    </row>
    <row r="101" spans="1:11" ht="15" customHeight="1" x14ac:dyDescent="0.25">
      <c r="A101" s="17" t="s">
        <v>69</v>
      </c>
      <c r="B101" s="14">
        <v>64</v>
      </c>
      <c r="C101" s="14">
        <v>57</v>
      </c>
      <c r="D101" s="14">
        <v>46</v>
      </c>
      <c r="E101" s="14" t="s">
        <v>290</v>
      </c>
      <c r="F101" s="14" t="s">
        <v>290</v>
      </c>
      <c r="G101" s="14">
        <v>832</v>
      </c>
      <c r="H101" s="14">
        <v>759</v>
      </c>
      <c r="I101" s="14">
        <v>531</v>
      </c>
      <c r="J101" s="14" t="s">
        <v>290</v>
      </c>
      <c r="K101" s="14" t="s">
        <v>290</v>
      </c>
    </row>
    <row r="102" spans="1:11" ht="33.950000000000003" customHeight="1" x14ac:dyDescent="0.25">
      <c r="A102" s="15" t="s">
        <v>384</v>
      </c>
      <c r="B102" s="21"/>
      <c r="C102" s="21"/>
      <c r="D102" s="21"/>
      <c r="E102" s="21"/>
      <c r="F102" s="21"/>
      <c r="G102" s="21"/>
      <c r="H102" s="21"/>
      <c r="I102" s="21"/>
      <c r="J102" s="21"/>
      <c r="K102" s="21"/>
    </row>
    <row r="103" spans="1:11" ht="15" customHeight="1" x14ac:dyDescent="0.25">
      <c r="A103" s="17" t="s">
        <v>381</v>
      </c>
      <c r="B103" s="22">
        <v>4876</v>
      </c>
      <c r="C103" s="22">
        <v>3830</v>
      </c>
      <c r="D103" s="22">
        <v>2933</v>
      </c>
      <c r="E103" s="22">
        <v>591</v>
      </c>
      <c r="F103" s="22">
        <v>306</v>
      </c>
      <c r="G103" s="22">
        <v>76271</v>
      </c>
      <c r="H103" s="22">
        <v>68848</v>
      </c>
      <c r="I103" s="22">
        <v>42370</v>
      </c>
      <c r="J103" s="22">
        <v>10971</v>
      </c>
      <c r="K103" s="22">
        <v>15507</v>
      </c>
    </row>
    <row r="104" spans="1:11" ht="15" customHeight="1" x14ac:dyDescent="0.25">
      <c r="A104" s="17" t="s">
        <v>382</v>
      </c>
      <c r="B104" s="14">
        <v>540</v>
      </c>
      <c r="C104" s="14">
        <v>466</v>
      </c>
      <c r="D104" s="14">
        <v>317</v>
      </c>
      <c r="E104" s="14">
        <v>85</v>
      </c>
      <c r="F104" s="14">
        <v>64</v>
      </c>
      <c r="G104" s="14">
        <v>8256</v>
      </c>
      <c r="H104" s="14">
        <v>7779</v>
      </c>
      <c r="I104" s="14">
        <v>3962</v>
      </c>
      <c r="J104" s="14">
        <v>1345</v>
      </c>
      <c r="K104" s="14">
        <v>2471</v>
      </c>
    </row>
    <row r="105" spans="1:11" ht="15" customHeight="1" x14ac:dyDescent="0.25">
      <c r="A105" s="17" t="s">
        <v>383</v>
      </c>
      <c r="B105" s="14">
        <v>35</v>
      </c>
      <c r="C105" s="14">
        <v>29</v>
      </c>
      <c r="D105" s="14">
        <v>23</v>
      </c>
      <c r="E105" s="14" t="s">
        <v>290</v>
      </c>
      <c r="F105" s="14" t="s">
        <v>290</v>
      </c>
      <c r="G105" s="14">
        <v>880</v>
      </c>
      <c r="H105" s="14">
        <v>784</v>
      </c>
      <c r="I105" s="14">
        <v>378</v>
      </c>
      <c r="J105" s="14" t="s">
        <v>290</v>
      </c>
      <c r="K105" s="14" t="s">
        <v>290</v>
      </c>
    </row>
    <row r="106" spans="1:11" ht="15" customHeight="1" x14ac:dyDescent="0.25">
      <c r="A106" s="17" t="s">
        <v>69</v>
      </c>
      <c r="B106" s="14">
        <v>106</v>
      </c>
      <c r="C106" s="14">
        <v>98</v>
      </c>
      <c r="D106" s="14">
        <v>75</v>
      </c>
      <c r="E106" s="14" t="s">
        <v>290</v>
      </c>
      <c r="F106" s="14">
        <v>12</v>
      </c>
      <c r="G106" s="14">
        <v>1686</v>
      </c>
      <c r="H106" s="14">
        <v>1605</v>
      </c>
      <c r="I106" s="14">
        <v>824</v>
      </c>
      <c r="J106" s="14" t="s">
        <v>290</v>
      </c>
      <c r="K106" s="14">
        <v>549</v>
      </c>
    </row>
    <row r="107" spans="1:11" ht="24" customHeight="1" x14ac:dyDescent="0.25">
      <c r="A107" s="15" t="s">
        <v>385</v>
      </c>
      <c r="B107" s="16"/>
      <c r="C107" s="16"/>
      <c r="D107" s="16"/>
      <c r="E107" s="16"/>
      <c r="F107" s="16"/>
      <c r="G107" s="16"/>
      <c r="H107" s="16"/>
      <c r="I107" s="16"/>
      <c r="J107" s="16"/>
      <c r="K107" s="16"/>
    </row>
    <row r="108" spans="1:11" ht="15" customHeight="1" x14ac:dyDescent="0.25">
      <c r="A108" s="17" t="s">
        <v>386</v>
      </c>
      <c r="B108" s="14">
        <v>3683</v>
      </c>
      <c r="C108" s="14">
        <v>3084</v>
      </c>
      <c r="D108" s="14">
        <v>2369</v>
      </c>
      <c r="E108" s="14">
        <v>467</v>
      </c>
      <c r="F108" s="14">
        <v>248</v>
      </c>
      <c r="G108" s="14">
        <v>52275</v>
      </c>
      <c r="H108" s="14">
        <v>47942</v>
      </c>
      <c r="I108" s="14">
        <v>29176</v>
      </c>
      <c r="J108" s="14">
        <v>8061</v>
      </c>
      <c r="K108" s="14">
        <v>10705</v>
      </c>
    </row>
    <row r="109" spans="1:11" ht="15" customHeight="1" x14ac:dyDescent="0.25">
      <c r="A109" s="17" t="s">
        <v>387</v>
      </c>
      <c r="B109" s="14">
        <v>237</v>
      </c>
      <c r="C109" s="14">
        <v>165</v>
      </c>
      <c r="D109" s="14">
        <v>115</v>
      </c>
      <c r="E109" s="14">
        <v>32</v>
      </c>
      <c r="F109" s="14">
        <v>19</v>
      </c>
      <c r="G109" s="14">
        <v>4616</v>
      </c>
      <c r="H109" s="14">
        <v>4214</v>
      </c>
      <c r="I109" s="14">
        <v>2522</v>
      </c>
      <c r="J109" s="14">
        <v>496</v>
      </c>
      <c r="K109" s="14">
        <v>1196</v>
      </c>
    </row>
    <row r="110" spans="1:11" ht="15" customHeight="1" x14ac:dyDescent="0.25">
      <c r="A110" s="17" t="s">
        <v>388</v>
      </c>
      <c r="B110" s="14">
        <v>84</v>
      </c>
      <c r="C110" s="14">
        <v>79</v>
      </c>
      <c r="D110" s="14">
        <v>63</v>
      </c>
      <c r="E110" s="14">
        <v>8</v>
      </c>
      <c r="F110" s="14">
        <v>8</v>
      </c>
      <c r="G110" s="14">
        <v>4068</v>
      </c>
      <c r="H110" s="14">
        <v>4010</v>
      </c>
      <c r="I110" s="14">
        <v>2951</v>
      </c>
      <c r="J110" s="14">
        <v>472</v>
      </c>
      <c r="K110" s="14">
        <v>587</v>
      </c>
    </row>
    <row r="111" spans="1:11" ht="15" customHeight="1" x14ac:dyDescent="0.25">
      <c r="A111" s="17" t="s">
        <v>389</v>
      </c>
      <c r="B111" s="14">
        <v>154</v>
      </c>
      <c r="C111" s="14">
        <v>141</v>
      </c>
      <c r="D111" s="14">
        <v>93</v>
      </c>
      <c r="E111" s="14">
        <v>33</v>
      </c>
      <c r="F111" s="14">
        <v>15</v>
      </c>
      <c r="G111" s="14">
        <v>3456</v>
      </c>
      <c r="H111" s="14">
        <v>3395</v>
      </c>
      <c r="I111" s="14">
        <v>1606</v>
      </c>
      <c r="J111" s="14">
        <v>691</v>
      </c>
      <c r="K111" s="14">
        <v>1097</v>
      </c>
    </row>
    <row r="112" spans="1:11" ht="15" customHeight="1" x14ac:dyDescent="0.25">
      <c r="A112" s="17" t="s">
        <v>390</v>
      </c>
      <c r="B112" s="14">
        <v>258</v>
      </c>
      <c r="C112" s="14">
        <v>218</v>
      </c>
      <c r="D112" s="14">
        <v>139</v>
      </c>
      <c r="E112" s="14">
        <v>26</v>
      </c>
      <c r="F112" s="14">
        <v>53</v>
      </c>
      <c r="G112" s="14">
        <v>5159</v>
      </c>
      <c r="H112" s="14">
        <v>4921</v>
      </c>
      <c r="I112" s="14">
        <v>2014</v>
      </c>
      <c r="J112" s="14">
        <v>482</v>
      </c>
      <c r="K112" s="14">
        <v>2425</v>
      </c>
    </row>
    <row r="113" spans="1:11" ht="15" customHeight="1" x14ac:dyDescent="0.25">
      <c r="A113" s="17" t="s">
        <v>391</v>
      </c>
      <c r="B113" s="14">
        <v>314</v>
      </c>
      <c r="C113" s="14">
        <v>52</v>
      </c>
      <c r="D113" s="14">
        <v>29</v>
      </c>
      <c r="E113" s="14">
        <v>22</v>
      </c>
      <c r="F113" s="14" t="s">
        <v>290</v>
      </c>
      <c r="G113" s="14">
        <v>3212</v>
      </c>
      <c r="H113" s="14">
        <v>1284</v>
      </c>
      <c r="I113" s="14">
        <v>643</v>
      </c>
      <c r="J113" s="14">
        <v>545</v>
      </c>
      <c r="K113" s="14" t="s">
        <v>290</v>
      </c>
    </row>
    <row r="114" spans="1:11" ht="15" customHeight="1" x14ac:dyDescent="0.25">
      <c r="A114" s="17" t="s">
        <v>392</v>
      </c>
      <c r="B114" s="14">
        <v>197</v>
      </c>
      <c r="C114" s="14">
        <v>181</v>
      </c>
      <c r="D114" s="14">
        <v>136</v>
      </c>
      <c r="E114" s="14">
        <v>36</v>
      </c>
      <c r="F114" s="14" t="s">
        <v>290</v>
      </c>
      <c r="G114" s="14">
        <v>1932</v>
      </c>
      <c r="H114" s="14">
        <v>1810</v>
      </c>
      <c r="I114" s="14">
        <v>1159</v>
      </c>
      <c r="J114" s="14">
        <v>344</v>
      </c>
      <c r="K114" s="14" t="s">
        <v>290</v>
      </c>
    </row>
    <row r="115" spans="1:11" ht="15" customHeight="1" x14ac:dyDescent="0.25">
      <c r="A115" s="17" t="s">
        <v>393</v>
      </c>
      <c r="B115" s="14">
        <v>52</v>
      </c>
      <c r="C115" s="14">
        <v>50</v>
      </c>
      <c r="D115" s="14">
        <v>42</v>
      </c>
      <c r="E115" s="14" t="s">
        <v>290</v>
      </c>
      <c r="F115" s="14">
        <v>7</v>
      </c>
      <c r="G115" s="14">
        <v>3362</v>
      </c>
      <c r="H115" s="14">
        <v>3314</v>
      </c>
      <c r="I115" s="14">
        <v>2278</v>
      </c>
      <c r="J115" s="14" t="s">
        <v>290</v>
      </c>
      <c r="K115" s="14">
        <v>912</v>
      </c>
    </row>
    <row r="116" spans="1:11" ht="15" customHeight="1" x14ac:dyDescent="0.25">
      <c r="A116" s="17" t="s">
        <v>394</v>
      </c>
      <c r="B116" s="14">
        <v>65</v>
      </c>
      <c r="C116" s="14">
        <v>61</v>
      </c>
      <c r="D116" s="14">
        <v>53</v>
      </c>
      <c r="E116" s="14" t="s">
        <v>290</v>
      </c>
      <c r="F116" s="14" t="s">
        <v>290</v>
      </c>
      <c r="G116" s="14">
        <v>1295</v>
      </c>
      <c r="H116" s="14">
        <v>1275</v>
      </c>
      <c r="I116" s="14">
        <v>1048</v>
      </c>
      <c r="J116" s="14" t="s">
        <v>290</v>
      </c>
      <c r="K116" s="14" t="s">
        <v>290</v>
      </c>
    </row>
    <row r="117" spans="1:11" ht="15" customHeight="1" x14ac:dyDescent="0.25">
      <c r="A117" s="17" t="s">
        <v>395</v>
      </c>
      <c r="B117" s="14">
        <v>35</v>
      </c>
      <c r="C117" s="14">
        <v>32</v>
      </c>
      <c r="D117" s="14">
        <v>27</v>
      </c>
      <c r="E117" s="14" t="s">
        <v>290</v>
      </c>
      <c r="F117" s="14" t="s">
        <v>483</v>
      </c>
      <c r="G117" s="14">
        <v>554</v>
      </c>
      <c r="H117" s="14">
        <v>494</v>
      </c>
      <c r="I117" s="14">
        <v>193</v>
      </c>
      <c r="J117" s="14" t="s">
        <v>290</v>
      </c>
      <c r="K117" s="14">
        <v>200</v>
      </c>
    </row>
    <row r="118" spans="1:11" ht="15" customHeight="1" x14ac:dyDescent="0.25">
      <c r="A118" s="17" t="s">
        <v>396</v>
      </c>
      <c r="B118" s="14">
        <v>104</v>
      </c>
      <c r="C118" s="14">
        <v>81</v>
      </c>
      <c r="D118" s="14">
        <v>71</v>
      </c>
      <c r="E118" s="14" t="s">
        <v>290</v>
      </c>
      <c r="F118" s="14">
        <v>2</v>
      </c>
      <c r="G118" s="14">
        <v>2107</v>
      </c>
      <c r="H118" s="14">
        <v>1886</v>
      </c>
      <c r="I118" s="14">
        <v>1359</v>
      </c>
      <c r="J118" s="14" t="s">
        <v>290</v>
      </c>
      <c r="K118" s="14">
        <v>415</v>
      </c>
    </row>
    <row r="119" spans="1:11" ht="15" customHeight="1" x14ac:dyDescent="0.25">
      <c r="A119" s="17" t="s">
        <v>69</v>
      </c>
      <c r="B119" s="14">
        <v>371</v>
      </c>
      <c r="C119" s="14">
        <v>278</v>
      </c>
      <c r="D119" s="14">
        <v>209</v>
      </c>
      <c r="E119" s="14">
        <v>49</v>
      </c>
      <c r="F119" s="14">
        <v>20</v>
      </c>
      <c r="G119" s="14">
        <v>5057</v>
      </c>
      <c r="H119" s="14">
        <v>4470</v>
      </c>
      <c r="I119" s="14">
        <v>2584</v>
      </c>
      <c r="J119" s="14">
        <v>1228</v>
      </c>
      <c r="K119" s="14">
        <v>658</v>
      </c>
    </row>
    <row r="120" spans="1:11" ht="44.25" customHeight="1" x14ac:dyDescent="0.25">
      <c r="A120" s="15" t="s">
        <v>397</v>
      </c>
      <c r="B120" s="21"/>
      <c r="C120" s="21"/>
      <c r="D120" s="21"/>
      <c r="E120" s="21"/>
      <c r="F120" s="21"/>
      <c r="G120" s="21"/>
      <c r="H120" s="21"/>
      <c r="I120" s="21"/>
      <c r="J120" s="21"/>
      <c r="K120" s="21"/>
    </row>
    <row r="121" spans="1:11" ht="15" customHeight="1" x14ac:dyDescent="0.25">
      <c r="A121" s="17" t="s">
        <v>398</v>
      </c>
      <c r="B121" s="14">
        <v>2094</v>
      </c>
      <c r="C121" s="14">
        <v>1886</v>
      </c>
      <c r="D121" s="14">
        <v>1393</v>
      </c>
      <c r="E121" s="14">
        <v>297</v>
      </c>
      <c r="F121" s="14">
        <v>196</v>
      </c>
      <c r="G121" s="14">
        <v>42216</v>
      </c>
      <c r="H121" s="14">
        <v>40289</v>
      </c>
      <c r="I121" s="14">
        <v>22231</v>
      </c>
      <c r="J121" s="14">
        <v>6390</v>
      </c>
      <c r="K121" s="14">
        <v>11668</v>
      </c>
    </row>
    <row r="122" spans="1:11" ht="15" customHeight="1" x14ac:dyDescent="0.25">
      <c r="A122" s="18" t="s">
        <v>399</v>
      </c>
      <c r="B122" s="14">
        <v>444</v>
      </c>
      <c r="C122" s="14">
        <v>424</v>
      </c>
      <c r="D122" s="14">
        <v>296</v>
      </c>
      <c r="E122" s="14">
        <v>74</v>
      </c>
      <c r="F122" s="14">
        <v>54</v>
      </c>
      <c r="G122" s="14">
        <v>13022</v>
      </c>
      <c r="H122" s="14">
        <v>12835</v>
      </c>
      <c r="I122" s="14">
        <v>7022</v>
      </c>
      <c r="J122" s="14">
        <v>1819</v>
      </c>
      <c r="K122" s="14">
        <v>3994</v>
      </c>
    </row>
    <row r="123" spans="1:11" ht="15" customHeight="1" x14ac:dyDescent="0.25">
      <c r="A123" s="18" t="s">
        <v>400</v>
      </c>
      <c r="B123" s="14">
        <v>71</v>
      </c>
      <c r="C123" s="14">
        <v>62</v>
      </c>
      <c r="D123" s="14">
        <v>52</v>
      </c>
      <c r="E123" s="14" t="s">
        <v>290</v>
      </c>
      <c r="F123" s="14">
        <v>5</v>
      </c>
      <c r="G123" s="14">
        <v>1753</v>
      </c>
      <c r="H123" s="14">
        <v>1715</v>
      </c>
      <c r="I123" s="14">
        <v>935</v>
      </c>
      <c r="J123" s="14" t="s">
        <v>290</v>
      </c>
      <c r="K123" s="14">
        <v>485</v>
      </c>
    </row>
    <row r="124" spans="1:11" ht="15" customHeight="1" x14ac:dyDescent="0.25">
      <c r="A124" s="18" t="s">
        <v>401</v>
      </c>
      <c r="B124" s="14">
        <v>987</v>
      </c>
      <c r="C124" s="14">
        <v>881</v>
      </c>
      <c r="D124" s="14">
        <v>654</v>
      </c>
      <c r="E124" s="14">
        <v>133</v>
      </c>
      <c r="F124" s="14">
        <v>94</v>
      </c>
      <c r="G124" s="14">
        <v>20917</v>
      </c>
      <c r="H124" s="14">
        <v>20189</v>
      </c>
      <c r="I124" s="14">
        <v>10907</v>
      </c>
      <c r="J124" s="14">
        <v>3186</v>
      </c>
      <c r="K124" s="14">
        <v>6095</v>
      </c>
    </row>
    <row r="125" spans="1:11" ht="15" customHeight="1" x14ac:dyDescent="0.25">
      <c r="A125" s="18" t="s">
        <v>402</v>
      </c>
      <c r="B125" s="14">
        <v>194</v>
      </c>
      <c r="C125" s="14">
        <v>174</v>
      </c>
      <c r="D125" s="14">
        <v>130</v>
      </c>
      <c r="E125" s="14">
        <v>27</v>
      </c>
      <c r="F125" s="14">
        <v>17</v>
      </c>
      <c r="G125" s="14">
        <v>4230</v>
      </c>
      <c r="H125" s="14">
        <v>4144</v>
      </c>
      <c r="I125" s="14">
        <v>2261</v>
      </c>
      <c r="J125" s="14">
        <v>788</v>
      </c>
      <c r="K125" s="14">
        <v>1096</v>
      </c>
    </row>
    <row r="126" spans="1:11" ht="15" customHeight="1" x14ac:dyDescent="0.25">
      <c r="A126" s="18" t="s">
        <v>403</v>
      </c>
      <c r="B126" s="14">
        <v>889</v>
      </c>
      <c r="C126" s="14">
        <v>813</v>
      </c>
      <c r="D126" s="14">
        <v>563</v>
      </c>
      <c r="E126" s="14">
        <v>136</v>
      </c>
      <c r="F126" s="14">
        <v>114</v>
      </c>
      <c r="G126" s="14">
        <v>21340</v>
      </c>
      <c r="H126" s="14">
        <v>20777</v>
      </c>
      <c r="I126" s="14">
        <v>10449</v>
      </c>
      <c r="J126" s="14">
        <v>3418</v>
      </c>
      <c r="K126" s="14">
        <v>6911</v>
      </c>
    </row>
    <row r="127" spans="1:11" ht="15" customHeight="1" x14ac:dyDescent="0.25">
      <c r="A127" s="18" t="s">
        <v>404</v>
      </c>
      <c r="B127" s="14">
        <v>560</v>
      </c>
      <c r="C127" s="14">
        <v>526</v>
      </c>
      <c r="D127" s="14">
        <v>352</v>
      </c>
      <c r="E127" s="14">
        <v>107</v>
      </c>
      <c r="F127" s="14">
        <v>66</v>
      </c>
      <c r="G127" s="14">
        <v>12265</v>
      </c>
      <c r="H127" s="14">
        <v>11984</v>
      </c>
      <c r="I127" s="14">
        <v>6237</v>
      </c>
      <c r="J127" s="14">
        <v>1983</v>
      </c>
      <c r="K127" s="14">
        <v>3765</v>
      </c>
    </row>
    <row r="128" spans="1:11" ht="15" customHeight="1" x14ac:dyDescent="0.25">
      <c r="A128" s="18" t="s">
        <v>405</v>
      </c>
      <c r="B128" s="14">
        <v>1101</v>
      </c>
      <c r="C128" s="14">
        <v>1019</v>
      </c>
      <c r="D128" s="14">
        <v>722</v>
      </c>
      <c r="E128" s="14">
        <v>173</v>
      </c>
      <c r="F128" s="14">
        <v>123</v>
      </c>
      <c r="G128" s="14">
        <v>26779</v>
      </c>
      <c r="H128" s="14">
        <v>26061</v>
      </c>
      <c r="I128" s="14">
        <v>13578</v>
      </c>
      <c r="J128" s="14">
        <v>4230</v>
      </c>
      <c r="K128" s="14">
        <v>8253</v>
      </c>
    </row>
    <row r="129" spans="1:11" ht="15" customHeight="1" x14ac:dyDescent="0.25">
      <c r="A129" s="18" t="s">
        <v>406</v>
      </c>
      <c r="B129" s="14">
        <v>982</v>
      </c>
      <c r="C129" s="14">
        <v>920</v>
      </c>
      <c r="D129" s="14">
        <v>660</v>
      </c>
      <c r="E129" s="14">
        <v>150</v>
      </c>
      <c r="F129" s="14">
        <v>110</v>
      </c>
      <c r="G129" s="14">
        <v>25503</v>
      </c>
      <c r="H129" s="14">
        <v>24671</v>
      </c>
      <c r="I129" s="14">
        <v>12695</v>
      </c>
      <c r="J129" s="14">
        <v>3900</v>
      </c>
      <c r="K129" s="14">
        <v>8076</v>
      </c>
    </row>
    <row r="130" spans="1:11" ht="15" customHeight="1" x14ac:dyDescent="0.25">
      <c r="A130" s="18" t="s">
        <v>407</v>
      </c>
      <c r="B130" s="14">
        <v>747</v>
      </c>
      <c r="C130" s="14">
        <v>681</v>
      </c>
      <c r="D130" s="14">
        <v>487</v>
      </c>
      <c r="E130" s="14">
        <v>109</v>
      </c>
      <c r="F130" s="14">
        <v>85</v>
      </c>
      <c r="G130" s="14">
        <v>16160</v>
      </c>
      <c r="H130" s="14">
        <v>15675</v>
      </c>
      <c r="I130" s="14">
        <v>8123</v>
      </c>
      <c r="J130" s="14">
        <v>2398</v>
      </c>
      <c r="K130" s="14">
        <v>5154</v>
      </c>
    </row>
    <row r="131" spans="1:11" ht="15" customHeight="1" x14ac:dyDescent="0.25">
      <c r="A131" s="18" t="s">
        <v>408</v>
      </c>
      <c r="B131" s="14">
        <v>644</v>
      </c>
      <c r="C131" s="14">
        <v>601</v>
      </c>
      <c r="D131" s="14">
        <v>422</v>
      </c>
      <c r="E131" s="14">
        <v>98</v>
      </c>
      <c r="F131" s="14">
        <v>81</v>
      </c>
      <c r="G131" s="14">
        <v>13828</v>
      </c>
      <c r="H131" s="14">
        <v>13544</v>
      </c>
      <c r="I131" s="14">
        <v>7147</v>
      </c>
      <c r="J131" s="14">
        <v>1944</v>
      </c>
      <c r="K131" s="14">
        <v>4452</v>
      </c>
    </row>
    <row r="132" spans="1:11" ht="15" customHeight="1" x14ac:dyDescent="0.25">
      <c r="A132" s="18" t="s">
        <v>409</v>
      </c>
      <c r="B132" s="14">
        <v>382</v>
      </c>
      <c r="C132" s="14">
        <v>353</v>
      </c>
      <c r="D132" s="14">
        <v>248</v>
      </c>
      <c r="E132" s="14">
        <v>61</v>
      </c>
      <c r="F132" s="14">
        <v>44</v>
      </c>
      <c r="G132" s="14">
        <v>7607</v>
      </c>
      <c r="H132" s="14">
        <v>7331</v>
      </c>
      <c r="I132" s="14">
        <v>3785</v>
      </c>
      <c r="J132" s="14">
        <v>1176</v>
      </c>
      <c r="K132" s="14">
        <v>2370</v>
      </c>
    </row>
    <row r="133" spans="1:11" ht="15" customHeight="1" x14ac:dyDescent="0.25">
      <c r="A133" s="18" t="s">
        <v>410</v>
      </c>
      <c r="B133" s="14">
        <v>616</v>
      </c>
      <c r="C133" s="14">
        <v>585</v>
      </c>
      <c r="D133" s="14">
        <v>407</v>
      </c>
      <c r="E133" s="14">
        <v>101</v>
      </c>
      <c r="F133" s="14">
        <v>77</v>
      </c>
      <c r="G133" s="14">
        <v>17196</v>
      </c>
      <c r="H133" s="14">
        <v>16864</v>
      </c>
      <c r="I133" s="14">
        <v>8874</v>
      </c>
      <c r="J133" s="14">
        <v>2709</v>
      </c>
      <c r="K133" s="14">
        <v>5281</v>
      </c>
    </row>
    <row r="134" spans="1:11" ht="15" customHeight="1" x14ac:dyDescent="0.25">
      <c r="A134" s="18" t="s">
        <v>411</v>
      </c>
      <c r="B134" s="14">
        <v>152</v>
      </c>
      <c r="C134" s="14">
        <v>144</v>
      </c>
      <c r="D134" s="14">
        <v>108</v>
      </c>
      <c r="E134" s="14">
        <v>20</v>
      </c>
      <c r="F134" s="14">
        <v>16</v>
      </c>
      <c r="G134" s="14">
        <v>3913</v>
      </c>
      <c r="H134" s="14">
        <v>3853</v>
      </c>
      <c r="I134" s="14">
        <v>2137</v>
      </c>
      <c r="J134" s="14">
        <v>518</v>
      </c>
      <c r="K134" s="14">
        <v>1198</v>
      </c>
    </row>
    <row r="135" spans="1:11" ht="15" customHeight="1" x14ac:dyDescent="0.25">
      <c r="A135" s="18" t="s">
        <v>69</v>
      </c>
      <c r="B135" s="14">
        <v>39</v>
      </c>
      <c r="C135" s="14">
        <v>34</v>
      </c>
      <c r="D135" s="14">
        <v>25</v>
      </c>
      <c r="E135" s="14" t="s">
        <v>290</v>
      </c>
      <c r="F135" s="14" t="s">
        <v>290</v>
      </c>
      <c r="G135" s="14">
        <v>848</v>
      </c>
      <c r="H135" s="14">
        <v>829</v>
      </c>
      <c r="I135" s="14">
        <v>321</v>
      </c>
      <c r="J135" s="14" t="s">
        <v>290</v>
      </c>
      <c r="K135" s="14" t="s">
        <v>290</v>
      </c>
    </row>
    <row r="136" spans="1:11" ht="15" customHeight="1" x14ac:dyDescent="0.25">
      <c r="A136" s="17" t="s">
        <v>412</v>
      </c>
      <c r="B136" s="14">
        <v>3160</v>
      </c>
      <c r="C136" s="14">
        <v>2306</v>
      </c>
      <c r="D136" s="14">
        <v>1794</v>
      </c>
      <c r="E136" s="14">
        <v>354</v>
      </c>
      <c r="F136" s="14">
        <v>158</v>
      </c>
      <c r="G136" s="14">
        <v>39154</v>
      </c>
      <c r="H136" s="14">
        <v>33564</v>
      </c>
      <c r="I136" s="14">
        <v>22127</v>
      </c>
      <c r="J136" s="14">
        <v>5365</v>
      </c>
      <c r="K136" s="14">
        <v>6073</v>
      </c>
    </row>
    <row r="137" spans="1:11" ht="15" customHeight="1" x14ac:dyDescent="0.25">
      <c r="A137" s="17" t="s">
        <v>413</v>
      </c>
      <c r="B137" s="14">
        <v>303</v>
      </c>
      <c r="C137" s="14">
        <v>231</v>
      </c>
      <c r="D137" s="14">
        <v>161</v>
      </c>
      <c r="E137" s="14">
        <v>39</v>
      </c>
      <c r="F137" s="14">
        <v>30</v>
      </c>
      <c r="G137" s="14">
        <v>5723</v>
      </c>
      <c r="H137" s="14">
        <v>5162</v>
      </c>
      <c r="I137" s="14">
        <v>3176</v>
      </c>
      <c r="J137" s="14">
        <v>933</v>
      </c>
      <c r="K137" s="14">
        <v>1053</v>
      </c>
    </row>
    <row r="138" spans="1:11" ht="33.950000000000003" customHeight="1" x14ac:dyDescent="0.25">
      <c r="A138" s="15" t="s">
        <v>414</v>
      </c>
      <c r="B138" s="21"/>
      <c r="C138" s="21"/>
      <c r="D138" s="21"/>
      <c r="E138" s="21"/>
      <c r="F138" s="21"/>
      <c r="G138" s="21"/>
      <c r="H138" s="21"/>
      <c r="I138" s="21"/>
      <c r="J138" s="21"/>
      <c r="K138" s="21"/>
    </row>
    <row r="139" spans="1:11" ht="15" customHeight="1" x14ac:dyDescent="0.25">
      <c r="A139" s="17" t="s">
        <v>186</v>
      </c>
      <c r="B139" s="14">
        <v>5234</v>
      </c>
      <c r="C139" s="14">
        <v>4423</v>
      </c>
      <c r="D139" s="14">
        <v>3348</v>
      </c>
      <c r="E139" s="14">
        <v>690</v>
      </c>
      <c r="F139" s="14">
        <v>385</v>
      </c>
      <c r="G139" s="14">
        <v>84869</v>
      </c>
      <c r="H139" s="14">
        <v>79015</v>
      </c>
      <c r="I139" s="14">
        <v>47534</v>
      </c>
      <c r="J139" s="14">
        <v>12688</v>
      </c>
      <c r="K139" s="14">
        <v>18793</v>
      </c>
    </row>
    <row r="140" spans="1:11" ht="15" customHeight="1" x14ac:dyDescent="0.25">
      <c r="A140" s="17" t="s">
        <v>193</v>
      </c>
      <c r="B140" s="14">
        <v>2933</v>
      </c>
      <c r="C140" s="14">
        <v>2742</v>
      </c>
      <c r="D140" s="14">
        <v>2073</v>
      </c>
      <c r="E140" s="14">
        <v>388</v>
      </c>
      <c r="F140" s="14">
        <v>282</v>
      </c>
      <c r="G140" s="14">
        <v>58725</v>
      </c>
      <c r="H140" s="14">
        <v>57019</v>
      </c>
      <c r="I140" s="14">
        <v>34005</v>
      </c>
      <c r="J140" s="14">
        <v>8211</v>
      </c>
      <c r="K140" s="14">
        <v>14803</v>
      </c>
    </row>
    <row r="141" spans="1:11" ht="15" customHeight="1" x14ac:dyDescent="0.25">
      <c r="A141" s="17" t="s">
        <v>194</v>
      </c>
      <c r="B141" s="14">
        <v>467</v>
      </c>
      <c r="C141" s="14">
        <v>411</v>
      </c>
      <c r="D141" s="14">
        <v>314</v>
      </c>
      <c r="E141" s="14">
        <v>52</v>
      </c>
      <c r="F141" s="14">
        <v>45</v>
      </c>
      <c r="G141" s="14">
        <v>20200</v>
      </c>
      <c r="H141" s="14">
        <v>19708</v>
      </c>
      <c r="I141" s="14">
        <v>10979</v>
      </c>
      <c r="J141" s="14">
        <v>2510</v>
      </c>
      <c r="K141" s="14">
        <v>6219</v>
      </c>
    </row>
    <row r="142" spans="1:11" ht="15" customHeight="1" x14ac:dyDescent="0.25">
      <c r="A142" s="17" t="s">
        <v>195</v>
      </c>
      <c r="B142" s="14">
        <v>48</v>
      </c>
      <c r="C142" s="14">
        <v>45</v>
      </c>
      <c r="D142" s="14">
        <v>30</v>
      </c>
      <c r="E142" s="14">
        <v>6</v>
      </c>
      <c r="F142" s="14">
        <v>8</v>
      </c>
      <c r="G142" s="14">
        <v>5964</v>
      </c>
      <c r="H142" s="14">
        <v>5822</v>
      </c>
      <c r="I142" s="14">
        <v>3596</v>
      </c>
      <c r="J142" s="14">
        <v>501</v>
      </c>
      <c r="K142" s="14">
        <v>1725</v>
      </c>
    </row>
    <row r="143" spans="1:11" ht="15" customHeight="1" x14ac:dyDescent="0.25">
      <c r="A143" s="17" t="s">
        <v>415</v>
      </c>
      <c r="B143" s="14">
        <v>54</v>
      </c>
      <c r="C143" s="14">
        <v>51</v>
      </c>
      <c r="D143" s="14">
        <v>24</v>
      </c>
      <c r="E143" s="14">
        <v>19</v>
      </c>
      <c r="F143" s="14">
        <v>7</v>
      </c>
      <c r="G143" s="14">
        <v>4608</v>
      </c>
      <c r="H143" s="14">
        <v>4511</v>
      </c>
      <c r="I143" s="14">
        <v>2907</v>
      </c>
      <c r="J143" s="14">
        <v>450</v>
      </c>
      <c r="K143" s="14">
        <v>1154</v>
      </c>
    </row>
    <row r="144" spans="1:11" ht="15" customHeight="1" x14ac:dyDescent="0.25">
      <c r="A144" s="17" t="s">
        <v>169</v>
      </c>
      <c r="B144" s="14">
        <v>510</v>
      </c>
      <c r="C144" s="14">
        <v>466</v>
      </c>
      <c r="D144" s="14">
        <v>357</v>
      </c>
      <c r="E144" s="14">
        <v>72</v>
      </c>
      <c r="F144" s="14">
        <v>38</v>
      </c>
      <c r="G144" s="14">
        <v>7706</v>
      </c>
      <c r="H144" s="14">
        <v>7383</v>
      </c>
      <c r="I144" s="14">
        <v>4491</v>
      </c>
      <c r="J144" s="14">
        <v>1127</v>
      </c>
      <c r="K144" s="14">
        <v>1765</v>
      </c>
    </row>
    <row r="145" spans="1:11" ht="15" customHeight="1" thickBot="1" x14ac:dyDescent="0.3">
      <c r="A145" s="23" t="s">
        <v>69</v>
      </c>
      <c r="B145" s="24">
        <v>172</v>
      </c>
      <c r="C145" s="24">
        <v>141</v>
      </c>
      <c r="D145" s="24">
        <v>104</v>
      </c>
      <c r="E145" s="24">
        <v>23</v>
      </c>
      <c r="F145" s="24">
        <v>14</v>
      </c>
      <c r="G145" s="24">
        <v>3826</v>
      </c>
      <c r="H145" s="24">
        <v>3679</v>
      </c>
      <c r="I145" s="24">
        <v>2260</v>
      </c>
      <c r="J145" s="24">
        <v>475</v>
      </c>
      <c r="K145" s="24">
        <v>944</v>
      </c>
    </row>
    <row r="146" spans="1:11" ht="33.950000000000003" customHeight="1" x14ac:dyDescent="0.25">
      <c r="A146" s="25" t="s">
        <v>484</v>
      </c>
      <c r="B146" s="26"/>
      <c r="C146" s="26"/>
      <c r="D146" s="26"/>
      <c r="E146" s="26"/>
      <c r="F146" s="26"/>
      <c r="G146" s="26"/>
      <c r="H146" s="26"/>
      <c r="I146" s="26"/>
      <c r="J146" s="26"/>
      <c r="K146" s="27"/>
    </row>
    <row r="147" spans="1:11" ht="15" customHeight="1" x14ac:dyDescent="0.25">
      <c r="A147" s="28" t="s">
        <v>186</v>
      </c>
      <c r="B147" s="29">
        <v>2658</v>
      </c>
      <c r="C147" s="29">
        <v>2658</v>
      </c>
      <c r="D147" s="29">
        <v>1901</v>
      </c>
      <c r="E147" s="29">
        <v>508</v>
      </c>
      <c r="F147" s="29">
        <v>250</v>
      </c>
      <c r="G147" s="29">
        <v>42755</v>
      </c>
      <c r="H147" s="29">
        <v>42755</v>
      </c>
      <c r="I147" s="29">
        <v>21435</v>
      </c>
      <c r="J147" s="29">
        <v>9362</v>
      </c>
      <c r="K147" s="30">
        <v>11957</v>
      </c>
    </row>
    <row r="148" spans="1:11" ht="15" customHeight="1" x14ac:dyDescent="0.25">
      <c r="A148" s="28" t="s">
        <v>193</v>
      </c>
      <c r="B148" s="29">
        <v>1758</v>
      </c>
      <c r="C148" s="29">
        <v>1758</v>
      </c>
      <c r="D148" s="29">
        <v>1367</v>
      </c>
      <c r="E148" s="29">
        <v>182</v>
      </c>
      <c r="F148" s="29">
        <v>209</v>
      </c>
      <c r="G148" s="29">
        <v>39523</v>
      </c>
      <c r="H148" s="29">
        <v>39523</v>
      </c>
      <c r="I148" s="29">
        <v>24806</v>
      </c>
      <c r="J148" s="29">
        <v>4088</v>
      </c>
      <c r="K148" s="30">
        <v>10629</v>
      </c>
    </row>
    <row r="149" spans="1:11" ht="15" customHeight="1" x14ac:dyDescent="0.25">
      <c r="A149" s="28" t="s">
        <v>194</v>
      </c>
      <c r="B149" s="29">
        <v>77</v>
      </c>
      <c r="C149" s="29">
        <v>77</v>
      </c>
      <c r="D149" s="29">
        <v>63</v>
      </c>
      <c r="E149" s="29" t="s">
        <v>290</v>
      </c>
      <c r="F149" s="29">
        <v>7</v>
      </c>
      <c r="G149" s="29">
        <v>1911</v>
      </c>
      <c r="H149" s="29">
        <v>1911</v>
      </c>
      <c r="I149" s="29">
        <v>1318</v>
      </c>
      <c r="J149" s="29" t="s">
        <v>290</v>
      </c>
      <c r="K149" s="30">
        <v>467</v>
      </c>
    </row>
    <row r="150" spans="1:11" ht="15" customHeight="1" x14ac:dyDescent="0.25">
      <c r="A150" s="28" t="s">
        <v>195</v>
      </c>
      <c r="B150" s="29">
        <v>25</v>
      </c>
      <c r="C150" s="29">
        <v>25</v>
      </c>
      <c r="D150" s="29">
        <v>19</v>
      </c>
      <c r="E150" s="29">
        <v>3</v>
      </c>
      <c r="F150" s="29">
        <v>4</v>
      </c>
      <c r="G150" s="29">
        <v>4551</v>
      </c>
      <c r="H150" s="29">
        <v>4551</v>
      </c>
      <c r="I150" s="29">
        <v>3002</v>
      </c>
      <c r="J150" s="29">
        <v>325</v>
      </c>
      <c r="K150" s="30">
        <v>1224</v>
      </c>
    </row>
    <row r="151" spans="1:11" ht="15" customHeight="1" thickBot="1" x14ac:dyDescent="0.3">
      <c r="A151" s="31" t="s">
        <v>169</v>
      </c>
      <c r="B151" s="32">
        <v>142</v>
      </c>
      <c r="C151" s="32">
        <v>142</v>
      </c>
      <c r="D151" s="32">
        <v>106</v>
      </c>
      <c r="E151" s="32" t="s">
        <v>290</v>
      </c>
      <c r="F151" s="32">
        <v>14</v>
      </c>
      <c r="G151" s="32">
        <v>1575</v>
      </c>
      <c r="H151" s="32">
        <v>1575</v>
      </c>
      <c r="I151" s="32">
        <v>1006</v>
      </c>
      <c r="J151" s="32" t="s">
        <v>290</v>
      </c>
      <c r="K151" s="33">
        <v>348</v>
      </c>
    </row>
    <row r="152" spans="1:11" ht="33.950000000000003" customHeight="1" x14ac:dyDescent="0.25">
      <c r="A152" s="15" t="s">
        <v>418</v>
      </c>
      <c r="B152" s="21"/>
      <c r="C152" s="21"/>
      <c r="D152" s="21"/>
      <c r="E152" s="21"/>
      <c r="F152" s="21"/>
      <c r="G152" s="21"/>
      <c r="H152" s="21"/>
      <c r="I152" s="21"/>
      <c r="J152" s="21"/>
      <c r="K152" s="21"/>
    </row>
    <row r="153" spans="1:11" ht="15" customHeight="1" x14ac:dyDescent="0.25">
      <c r="A153" s="17" t="s">
        <v>285</v>
      </c>
      <c r="B153" s="14">
        <v>4722</v>
      </c>
      <c r="C153" s="14">
        <v>4237</v>
      </c>
      <c r="D153" s="14">
        <v>3229</v>
      </c>
      <c r="E153" s="14">
        <v>634</v>
      </c>
      <c r="F153" s="14">
        <v>374</v>
      </c>
      <c r="G153" s="14">
        <v>80078</v>
      </c>
      <c r="H153" s="14">
        <v>76584</v>
      </c>
      <c r="I153" s="14">
        <v>46147</v>
      </c>
      <c r="J153" s="14">
        <v>11914</v>
      </c>
      <c r="K153" s="14">
        <v>18523</v>
      </c>
    </row>
    <row r="154" spans="1:11" ht="15" customHeight="1" x14ac:dyDescent="0.25">
      <c r="A154" s="17" t="s">
        <v>419</v>
      </c>
      <c r="B154" s="14">
        <v>4461</v>
      </c>
      <c r="C154" s="14">
        <v>4097</v>
      </c>
      <c r="D154" s="14">
        <v>3093</v>
      </c>
      <c r="E154" s="14">
        <v>631</v>
      </c>
      <c r="F154" s="14">
        <v>374</v>
      </c>
      <c r="G154" s="14">
        <v>79294</v>
      </c>
      <c r="H154" s="14">
        <v>76414</v>
      </c>
      <c r="I154" s="14">
        <v>45554</v>
      </c>
      <c r="J154" s="14">
        <v>12198</v>
      </c>
      <c r="K154" s="14">
        <v>18662</v>
      </c>
    </row>
    <row r="155" spans="1:11" ht="15" customHeight="1" x14ac:dyDescent="0.25">
      <c r="A155" s="17" t="s">
        <v>197</v>
      </c>
      <c r="B155" s="14">
        <v>4423</v>
      </c>
      <c r="C155" s="14">
        <v>4423</v>
      </c>
      <c r="D155" s="14">
        <v>3348</v>
      </c>
      <c r="E155" s="14">
        <v>690</v>
      </c>
      <c r="F155" s="14">
        <v>385</v>
      </c>
      <c r="G155" s="14">
        <v>79015</v>
      </c>
      <c r="H155" s="14">
        <v>79015</v>
      </c>
      <c r="I155" s="14">
        <v>47534</v>
      </c>
      <c r="J155" s="14">
        <v>12688</v>
      </c>
      <c r="K155" s="14">
        <v>18793</v>
      </c>
    </row>
    <row r="156" spans="1:11" ht="15" customHeight="1" x14ac:dyDescent="0.25">
      <c r="A156" s="17" t="s">
        <v>420</v>
      </c>
      <c r="B156" s="14">
        <v>1589</v>
      </c>
      <c r="C156" s="14">
        <v>1573</v>
      </c>
      <c r="D156" s="14">
        <v>1190</v>
      </c>
      <c r="E156" s="14">
        <v>176</v>
      </c>
      <c r="F156" s="14">
        <v>208</v>
      </c>
      <c r="G156" s="14">
        <v>38546</v>
      </c>
      <c r="H156" s="14">
        <v>38389</v>
      </c>
      <c r="I156" s="14">
        <v>21608</v>
      </c>
      <c r="J156" s="14">
        <v>4102</v>
      </c>
      <c r="K156" s="14">
        <v>12679</v>
      </c>
    </row>
    <row r="157" spans="1:11" ht="15" customHeight="1" x14ac:dyDescent="0.25">
      <c r="A157" s="17" t="s">
        <v>421</v>
      </c>
      <c r="B157" s="14">
        <v>259</v>
      </c>
      <c r="C157" s="14">
        <v>228</v>
      </c>
      <c r="D157" s="14">
        <v>150</v>
      </c>
      <c r="E157" s="14">
        <v>55</v>
      </c>
      <c r="F157" s="14">
        <v>22</v>
      </c>
      <c r="G157" s="14">
        <v>5078</v>
      </c>
      <c r="H157" s="14">
        <v>4570</v>
      </c>
      <c r="I157" s="14">
        <v>2431</v>
      </c>
      <c r="J157" s="14">
        <v>1148</v>
      </c>
      <c r="K157" s="14">
        <v>990</v>
      </c>
    </row>
    <row r="158" spans="1:11" ht="27.95" customHeight="1" x14ac:dyDescent="0.25">
      <c r="A158" s="17" t="s">
        <v>422</v>
      </c>
      <c r="B158" s="14">
        <v>410</v>
      </c>
      <c r="C158" s="14">
        <v>395</v>
      </c>
      <c r="D158" s="14">
        <v>292</v>
      </c>
      <c r="E158" s="14">
        <v>34</v>
      </c>
      <c r="F158" s="14">
        <v>69</v>
      </c>
      <c r="G158" s="14">
        <v>25642</v>
      </c>
      <c r="H158" s="14">
        <v>25280</v>
      </c>
      <c r="I158" s="14">
        <v>14045</v>
      </c>
      <c r="J158" s="14">
        <v>2858</v>
      </c>
      <c r="K158" s="14">
        <v>8378</v>
      </c>
    </row>
    <row r="159" spans="1:11" ht="44.25" customHeight="1" x14ac:dyDescent="0.25">
      <c r="A159" s="15" t="s">
        <v>485</v>
      </c>
      <c r="B159" s="21"/>
      <c r="C159" s="21"/>
      <c r="D159" s="21"/>
      <c r="E159" s="21"/>
      <c r="F159" s="21"/>
      <c r="G159" s="21"/>
      <c r="H159" s="21"/>
      <c r="I159" s="21"/>
      <c r="J159" s="21"/>
      <c r="K159" s="21"/>
    </row>
    <row r="160" spans="1:11" ht="15" customHeight="1" x14ac:dyDescent="0.25">
      <c r="A160" s="17" t="s">
        <v>486</v>
      </c>
      <c r="B160" s="14">
        <v>153</v>
      </c>
      <c r="C160" s="14">
        <v>150</v>
      </c>
      <c r="D160" s="14">
        <v>95</v>
      </c>
      <c r="E160" s="14">
        <v>17</v>
      </c>
      <c r="F160" s="14">
        <v>38</v>
      </c>
      <c r="G160" s="14">
        <v>9884</v>
      </c>
      <c r="H160" s="14">
        <v>9864</v>
      </c>
      <c r="I160" s="14">
        <v>4357</v>
      </c>
      <c r="J160" s="14">
        <v>899</v>
      </c>
      <c r="K160" s="14">
        <v>4608</v>
      </c>
    </row>
    <row r="161" spans="1:11" ht="15" customHeight="1" x14ac:dyDescent="0.25">
      <c r="A161" s="17" t="s">
        <v>487</v>
      </c>
      <c r="B161" s="14">
        <v>173</v>
      </c>
      <c r="C161" s="14">
        <v>173</v>
      </c>
      <c r="D161" s="14">
        <v>97</v>
      </c>
      <c r="E161" s="14">
        <v>13</v>
      </c>
      <c r="F161" s="14">
        <v>63</v>
      </c>
      <c r="G161" s="14">
        <v>9787</v>
      </c>
      <c r="H161" s="14">
        <v>9778</v>
      </c>
      <c r="I161" s="14">
        <v>3500</v>
      </c>
      <c r="J161" s="14">
        <v>1131</v>
      </c>
      <c r="K161" s="14">
        <v>5147</v>
      </c>
    </row>
    <row r="162" spans="1:11" ht="15" customHeight="1" x14ac:dyDescent="0.25">
      <c r="A162" s="17" t="s">
        <v>488</v>
      </c>
      <c r="B162" s="14">
        <v>130</v>
      </c>
      <c r="C162" s="14">
        <v>130</v>
      </c>
      <c r="D162" s="14">
        <v>81</v>
      </c>
      <c r="E162" s="14">
        <v>12</v>
      </c>
      <c r="F162" s="14">
        <v>38</v>
      </c>
      <c r="G162" s="14">
        <v>15222</v>
      </c>
      <c r="H162" s="14">
        <v>15219</v>
      </c>
      <c r="I162" s="14">
        <v>8204</v>
      </c>
      <c r="J162" s="14">
        <v>1429</v>
      </c>
      <c r="K162" s="14">
        <v>5587</v>
      </c>
    </row>
    <row r="163" spans="1:11" ht="27.95" customHeight="1" x14ac:dyDescent="0.25">
      <c r="A163" s="17" t="s">
        <v>489</v>
      </c>
      <c r="B163" s="14">
        <v>282</v>
      </c>
      <c r="C163" s="14">
        <v>282</v>
      </c>
      <c r="D163" s="14">
        <v>181</v>
      </c>
      <c r="E163" s="14">
        <v>41</v>
      </c>
      <c r="F163" s="14">
        <v>60</v>
      </c>
      <c r="G163" s="14">
        <v>16150</v>
      </c>
      <c r="H163" s="14">
        <v>16150</v>
      </c>
      <c r="I163" s="14">
        <v>8757</v>
      </c>
      <c r="J163" s="14">
        <v>1491</v>
      </c>
      <c r="K163" s="14">
        <v>5901</v>
      </c>
    </row>
    <row r="164" spans="1:11" ht="15" customHeight="1" x14ac:dyDescent="0.25">
      <c r="A164" s="17" t="s">
        <v>490</v>
      </c>
      <c r="B164" s="14">
        <v>736</v>
      </c>
      <c r="C164" s="14">
        <v>723</v>
      </c>
      <c r="D164" s="14">
        <v>577</v>
      </c>
      <c r="E164" s="14">
        <v>82</v>
      </c>
      <c r="F164" s="14">
        <v>64</v>
      </c>
      <c r="G164" s="14">
        <v>14054</v>
      </c>
      <c r="H164" s="14">
        <v>13926</v>
      </c>
      <c r="I164" s="14">
        <v>8428</v>
      </c>
      <c r="J164" s="14">
        <v>1284</v>
      </c>
      <c r="K164" s="14">
        <v>4213</v>
      </c>
    </row>
    <row r="165" spans="1:11" ht="15" customHeight="1" thickBot="1" x14ac:dyDescent="0.3">
      <c r="A165" s="18"/>
    </row>
    <row r="166" spans="1:11" ht="153" customHeight="1" x14ac:dyDescent="0.25">
      <c r="A166" s="111" t="s">
        <v>491</v>
      </c>
      <c r="B166" s="112"/>
      <c r="C166" s="112"/>
      <c r="D166" s="112"/>
      <c r="E166" s="112"/>
      <c r="F166" s="112"/>
      <c r="G166" s="112"/>
      <c r="H166" s="112"/>
      <c r="I166" s="112"/>
      <c r="J166" s="112"/>
      <c r="K166" s="112"/>
    </row>
  </sheetData>
  <mergeCells count="10">
    <mergeCell ref="A2:K2"/>
    <mergeCell ref="I4:K4"/>
    <mergeCell ref="G3:K3"/>
    <mergeCell ref="B4:B5"/>
    <mergeCell ref="C4:C5"/>
    <mergeCell ref="G4:G5"/>
    <mergeCell ref="A166:K166"/>
    <mergeCell ref="D4:F4"/>
    <mergeCell ref="B3:F3"/>
    <mergeCell ref="H4:H5"/>
  </mergeCells>
  <pageMargins left="0.7" right="0.7" top="0.6" bottom="0.6" header="0.3" footer="0.3"/>
  <pageSetup scale="85" fitToHeight="0" orientation="portrait"/>
  <rowBreaks count="3" manualBreakCount="3">
    <brk id="45" max="16383" man="1"/>
    <brk id="79" max="16383" man="1"/>
    <brk id="10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92"/>
  <sheetViews>
    <sheetView workbookViewId="0"/>
  </sheetViews>
  <sheetFormatPr defaultRowHeight="15" x14ac:dyDescent="0.25"/>
  <sheetData>
    <row r="1" spans="1:31" x14ac:dyDescent="0.25">
      <c r="A1" t="s">
        <v>492</v>
      </c>
    </row>
    <row r="2" spans="1:31" x14ac:dyDescent="0.25">
      <c r="A2" t="s">
        <v>493</v>
      </c>
    </row>
    <row r="3" spans="1:31" x14ac:dyDescent="0.25">
      <c r="A3" t="s">
        <v>494</v>
      </c>
    </row>
    <row r="4" spans="1:31" x14ac:dyDescent="0.25">
      <c r="A4" t="s">
        <v>495</v>
      </c>
    </row>
    <row r="5" spans="1:31" x14ac:dyDescent="0.25">
      <c r="B5" t="s">
        <v>229</v>
      </c>
      <c r="C5" t="s">
        <v>230</v>
      </c>
      <c r="D5" t="s">
        <v>231</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496</v>
      </c>
    </row>
    <row r="6" spans="1:31" x14ac:dyDescent="0.25">
      <c r="A6" t="s">
        <v>232</v>
      </c>
    </row>
    <row r="7" spans="1:31" x14ac:dyDescent="0.25">
      <c r="A7" t="s">
        <v>162</v>
      </c>
    </row>
    <row r="8" spans="1:31" x14ac:dyDescent="0.25">
      <c r="A8" t="s">
        <v>164</v>
      </c>
      <c r="B8" t="s">
        <v>233</v>
      </c>
      <c r="C8" t="s">
        <v>497</v>
      </c>
      <c r="D8" t="s">
        <v>234</v>
      </c>
      <c r="E8">
        <v>17.311983000000001</v>
      </c>
      <c r="F8">
        <v>17.749022</v>
      </c>
      <c r="G8">
        <v>18.189437999999999</v>
      </c>
      <c r="H8">
        <v>18.620296</v>
      </c>
      <c r="I8">
        <v>19.048622000000002</v>
      </c>
      <c r="J8">
        <v>19.472925</v>
      </c>
      <c r="K8">
        <v>19.896325999999998</v>
      </c>
      <c r="L8">
        <v>20.319126000000001</v>
      </c>
      <c r="M8">
        <v>20.735678</v>
      </c>
      <c r="N8">
        <v>21.139624000000001</v>
      </c>
      <c r="O8">
        <v>21.534763000000002</v>
      </c>
      <c r="P8">
        <v>21.918703000000001</v>
      </c>
      <c r="Q8">
        <v>22.287914000000001</v>
      </c>
      <c r="R8">
        <v>22.643485999999999</v>
      </c>
      <c r="S8">
        <v>22.982574</v>
      </c>
      <c r="T8">
        <v>23.308935000000002</v>
      </c>
      <c r="U8">
        <v>23.621449999999999</v>
      </c>
      <c r="V8">
        <v>23.92503</v>
      </c>
      <c r="W8">
        <v>24.216194000000002</v>
      </c>
      <c r="X8">
        <v>24.497820000000001</v>
      </c>
      <c r="Y8">
        <v>24.778502</v>
      </c>
      <c r="Z8">
        <v>25.059135000000001</v>
      </c>
      <c r="AA8">
        <v>25.339226</v>
      </c>
      <c r="AB8">
        <v>25.618915999999999</v>
      </c>
      <c r="AC8">
        <v>25.898472000000002</v>
      </c>
      <c r="AD8">
        <v>26.179151999999998</v>
      </c>
      <c r="AE8" t="s">
        <v>498</v>
      </c>
    </row>
    <row r="9" spans="1:31" x14ac:dyDescent="0.25">
      <c r="A9" t="s">
        <v>165</v>
      </c>
      <c r="B9" t="s">
        <v>235</v>
      </c>
      <c r="C9" t="s">
        <v>499</v>
      </c>
      <c r="D9" t="s">
        <v>234</v>
      </c>
      <c r="E9">
        <v>27.181431</v>
      </c>
      <c r="F9">
        <v>27.515512000000001</v>
      </c>
      <c r="G9">
        <v>27.865957000000002</v>
      </c>
      <c r="H9">
        <v>28.217012</v>
      </c>
      <c r="I9">
        <v>28.567571999999998</v>
      </c>
      <c r="J9">
        <v>28.915745000000001</v>
      </c>
      <c r="K9">
        <v>29.279917000000001</v>
      </c>
      <c r="L9">
        <v>29.647375</v>
      </c>
      <c r="M9">
        <v>30.010169999999999</v>
      </c>
      <c r="N9">
        <v>30.363132</v>
      </c>
      <c r="O9">
        <v>30.709727999999998</v>
      </c>
      <c r="P9">
        <v>31.049109000000001</v>
      </c>
      <c r="Q9">
        <v>31.363337000000001</v>
      </c>
      <c r="R9">
        <v>31.661715000000001</v>
      </c>
      <c r="S9">
        <v>31.943415000000002</v>
      </c>
      <c r="T9">
        <v>32.213225999999999</v>
      </c>
      <c r="U9">
        <v>32.469130999999997</v>
      </c>
      <c r="V9">
        <v>32.713242000000001</v>
      </c>
      <c r="W9">
        <v>32.952083999999999</v>
      </c>
      <c r="X9">
        <v>33.190829999999998</v>
      </c>
      <c r="Y9">
        <v>33.431499000000002</v>
      </c>
      <c r="Z9">
        <v>33.672843999999998</v>
      </c>
      <c r="AA9">
        <v>33.914619000000002</v>
      </c>
      <c r="AB9">
        <v>34.156719000000002</v>
      </c>
      <c r="AC9">
        <v>34.399776000000003</v>
      </c>
      <c r="AD9">
        <v>34.644348000000001</v>
      </c>
      <c r="AE9" t="s">
        <v>500</v>
      </c>
    </row>
    <row r="10" spans="1:31" x14ac:dyDescent="0.25">
      <c r="A10" t="s">
        <v>166</v>
      </c>
      <c r="B10" t="s">
        <v>236</v>
      </c>
      <c r="C10" t="s">
        <v>501</v>
      </c>
      <c r="D10" t="s">
        <v>234</v>
      </c>
      <c r="E10">
        <v>1.3534809999999999</v>
      </c>
      <c r="F10">
        <v>1.362886</v>
      </c>
      <c r="G10">
        <v>1.372539</v>
      </c>
      <c r="H10">
        <v>1.381982</v>
      </c>
      <c r="I10">
        <v>1.3914569999999999</v>
      </c>
      <c r="J10">
        <v>1.401143</v>
      </c>
      <c r="K10">
        <v>1.411546</v>
      </c>
      <c r="L10">
        <v>1.4220060000000001</v>
      </c>
      <c r="M10">
        <v>1.432234</v>
      </c>
      <c r="N10">
        <v>1.442105</v>
      </c>
      <c r="O10">
        <v>1.451719</v>
      </c>
      <c r="P10">
        <v>1.4610829999999999</v>
      </c>
      <c r="Q10">
        <v>1.469427</v>
      </c>
      <c r="R10">
        <v>1.4771780000000001</v>
      </c>
      <c r="S10">
        <v>1.484383</v>
      </c>
      <c r="T10">
        <v>1.491171</v>
      </c>
      <c r="U10">
        <v>1.4974749999999999</v>
      </c>
      <c r="V10">
        <v>1.50339</v>
      </c>
      <c r="W10">
        <v>1.5091540000000001</v>
      </c>
      <c r="X10">
        <v>1.5149699999999999</v>
      </c>
      <c r="Y10">
        <v>1.520823</v>
      </c>
      <c r="Z10">
        <v>1.5266820000000001</v>
      </c>
      <c r="AA10">
        <v>1.532497</v>
      </c>
      <c r="AB10">
        <v>1.5382849999999999</v>
      </c>
      <c r="AC10">
        <v>1.544062</v>
      </c>
      <c r="AD10">
        <v>1.5498529999999999</v>
      </c>
      <c r="AE10" t="s">
        <v>502</v>
      </c>
    </row>
    <row r="11" spans="1:31" x14ac:dyDescent="0.25">
      <c r="A11" t="s">
        <v>167</v>
      </c>
      <c r="B11" t="s">
        <v>237</v>
      </c>
      <c r="C11" t="s">
        <v>503</v>
      </c>
      <c r="D11" t="s">
        <v>234</v>
      </c>
      <c r="E11">
        <v>65.676497999999995</v>
      </c>
      <c r="F11">
        <v>66.275077999999993</v>
      </c>
      <c r="G11">
        <v>66.880843999999996</v>
      </c>
      <c r="H11">
        <v>67.475455999999994</v>
      </c>
      <c r="I11">
        <v>68.067947000000004</v>
      </c>
      <c r="J11">
        <v>68.658011999999999</v>
      </c>
      <c r="K11">
        <v>69.244476000000006</v>
      </c>
      <c r="L11">
        <v>69.829482999999996</v>
      </c>
      <c r="M11">
        <v>70.404747</v>
      </c>
      <c r="N11">
        <v>70.963165000000004</v>
      </c>
      <c r="O11">
        <v>71.509583000000006</v>
      </c>
      <c r="P11">
        <v>72.040465999999995</v>
      </c>
      <c r="Q11">
        <v>72.550301000000005</v>
      </c>
      <c r="R11">
        <v>73.040488999999994</v>
      </c>
      <c r="S11">
        <v>73.507484000000005</v>
      </c>
      <c r="T11">
        <v>73.955642999999995</v>
      </c>
      <c r="U11">
        <v>74.382568000000006</v>
      </c>
      <c r="V11">
        <v>74.796256999999997</v>
      </c>
      <c r="W11">
        <v>75.194984000000005</v>
      </c>
      <c r="X11">
        <v>75.582877999999994</v>
      </c>
      <c r="Y11">
        <v>75.97184</v>
      </c>
      <c r="Z11">
        <v>76.362976000000003</v>
      </c>
      <c r="AA11">
        <v>76.752701000000002</v>
      </c>
      <c r="AB11">
        <v>77.141457000000003</v>
      </c>
      <c r="AC11">
        <v>77.529769999999999</v>
      </c>
      <c r="AD11">
        <v>77.919685000000001</v>
      </c>
      <c r="AE11" t="s">
        <v>504</v>
      </c>
    </row>
    <row r="12" spans="1:31" x14ac:dyDescent="0.25">
      <c r="A12" t="s">
        <v>168</v>
      </c>
      <c r="B12" t="s">
        <v>238</v>
      </c>
      <c r="C12" t="s">
        <v>505</v>
      </c>
      <c r="D12" t="s">
        <v>234</v>
      </c>
      <c r="E12">
        <v>4.6737549999999999</v>
      </c>
      <c r="F12">
        <v>4.6422800000000004</v>
      </c>
      <c r="G12">
        <v>4.6102230000000004</v>
      </c>
      <c r="H12">
        <v>4.5781340000000004</v>
      </c>
      <c r="I12">
        <v>4.546576</v>
      </c>
      <c r="J12">
        <v>4.5154690000000004</v>
      </c>
      <c r="K12">
        <v>4.4839739999999999</v>
      </c>
      <c r="L12">
        <v>4.4538039999999999</v>
      </c>
      <c r="M12">
        <v>4.424804</v>
      </c>
      <c r="N12">
        <v>4.3976670000000002</v>
      </c>
      <c r="O12">
        <v>4.372064</v>
      </c>
      <c r="P12">
        <v>4.3475010000000003</v>
      </c>
      <c r="Q12">
        <v>4.3242209999999996</v>
      </c>
      <c r="R12">
        <v>4.3016819999999996</v>
      </c>
      <c r="S12">
        <v>4.2798569999999998</v>
      </c>
      <c r="T12">
        <v>4.2586279999999999</v>
      </c>
      <c r="U12">
        <v>4.237717</v>
      </c>
      <c r="V12">
        <v>4.2175820000000002</v>
      </c>
      <c r="W12">
        <v>4.1980930000000001</v>
      </c>
      <c r="X12">
        <v>4.1792980000000002</v>
      </c>
      <c r="Y12">
        <v>4.1611890000000002</v>
      </c>
      <c r="Z12">
        <v>4.1435909999999998</v>
      </c>
      <c r="AA12">
        <v>4.1251040000000003</v>
      </c>
      <c r="AB12">
        <v>4.1058329999999996</v>
      </c>
      <c r="AC12">
        <v>4.0859059999999996</v>
      </c>
      <c r="AD12">
        <v>4.0656650000000001</v>
      </c>
      <c r="AE12" t="s">
        <v>506</v>
      </c>
    </row>
    <row r="13" spans="1:31" x14ac:dyDescent="0.25">
      <c r="A13" t="s">
        <v>169</v>
      </c>
      <c r="B13" t="s">
        <v>239</v>
      </c>
      <c r="C13" t="s">
        <v>507</v>
      </c>
      <c r="D13" t="s">
        <v>234</v>
      </c>
      <c r="E13">
        <v>5.2395709999999998</v>
      </c>
      <c r="F13">
        <v>5.2549010000000003</v>
      </c>
      <c r="G13">
        <v>5.2751890000000001</v>
      </c>
      <c r="H13">
        <v>5.292929</v>
      </c>
      <c r="I13">
        <v>5.3152679999999997</v>
      </c>
      <c r="J13">
        <v>5.332719</v>
      </c>
      <c r="K13">
        <v>5.3451440000000003</v>
      </c>
      <c r="L13">
        <v>5.3563660000000004</v>
      </c>
      <c r="M13">
        <v>5.3660180000000004</v>
      </c>
      <c r="N13">
        <v>5.3747540000000003</v>
      </c>
      <c r="O13">
        <v>5.3829750000000001</v>
      </c>
      <c r="P13">
        <v>5.3903879999999997</v>
      </c>
      <c r="Q13">
        <v>5.3971450000000001</v>
      </c>
      <c r="R13">
        <v>5.402469</v>
      </c>
      <c r="S13">
        <v>5.4060649999999999</v>
      </c>
      <c r="T13">
        <v>5.4090369999999997</v>
      </c>
      <c r="U13">
        <v>5.4112850000000003</v>
      </c>
      <c r="V13">
        <v>5.4132400000000001</v>
      </c>
      <c r="W13">
        <v>5.4150200000000002</v>
      </c>
      <c r="X13">
        <v>5.4168830000000003</v>
      </c>
      <c r="Y13">
        <v>5.4196330000000001</v>
      </c>
      <c r="Z13">
        <v>5.4235189999999998</v>
      </c>
      <c r="AA13">
        <v>5.4257790000000004</v>
      </c>
      <c r="AB13">
        <v>5.426469</v>
      </c>
      <c r="AC13">
        <v>5.4259060000000003</v>
      </c>
      <c r="AD13">
        <v>5.424696</v>
      </c>
      <c r="AE13" t="s">
        <v>508</v>
      </c>
    </row>
    <row r="14" spans="1:31" x14ac:dyDescent="0.25">
      <c r="A14" t="s">
        <v>171</v>
      </c>
      <c r="B14" t="s">
        <v>241</v>
      </c>
      <c r="C14" t="s">
        <v>509</v>
      </c>
      <c r="D14" t="s">
        <v>234</v>
      </c>
      <c r="E14">
        <v>2.2090990000000001</v>
      </c>
      <c r="F14">
        <v>2.206372</v>
      </c>
      <c r="G14">
        <v>2.2047159999999999</v>
      </c>
      <c r="H14">
        <v>2.2026789999999998</v>
      </c>
      <c r="I14">
        <v>2.2002570000000001</v>
      </c>
      <c r="J14">
        <v>2.1964980000000001</v>
      </c>
      <c r="K14">
        <v>2.1924929999999998</v>
      </c>
      <c r="L14">
        <v>2.1884109999999999</v>
      </c>
      <c r="M14">
        <v>2.183818</v>
      </c>
      <c r="N14">
        <v>2.179103</v>
      </c>
      <c r="O14">
        <v>2.1740590000000002</v>
      </c>
      <c r="P14">
        <v>2.1687409999999998</v>
      </c>
      <c r="Q14">
        <v>2.1626880000000002</v>
      </c>
      <c r="R14">
        <v>2.1560899999999998</v>
      </c>
      <c r="S14">
        <v>2.1488040000000002</v>
      </c>
      <c r="T14">
        <v>2.1411419999999999</v>
      </c>
      <c r="U14">
        <v>2.1330819999999999</v>
      </c>
      <c r="V14">
        <v>2.125569</v>
      </c>
      <c r="W14">
        <v>2.1186440000000002</v>
      </c>
      <c r="X14">
        <v>2.112358</v>
      </c>
      <c r="Y14">
        <v>2.1066569999999998</v>
      </c>
      <c r="Z14">
        <v>2.1014249999999999</v>
      </c>
      <c r="AA14">
        <v>2.0966870000000002</v>
      </c>
      <c r="AB14">
        <v>2.0924040000000002</v>
      </c>
      <c r="AC14">
        <v>2.0886610000000001</v>
      </c>
      <c r="AD14">
        <v>2.0855130000000002</v>
      </c>
      <c r="AE14" t="s">
        <v>510</v>
      </c>
    </row>
    <row r="15" spans="1:31" x14ac:dyDescent="0.25">
      <c r="A15" t="s">
        <v>172</v>
      </c>
      <c r="B15" t="s">
        <v>242</v>
      </c>
      <c r="C15" t="s">
        <v>511</v>
      </c>
      <c r="D15" t="s">
        <v>234</v>
      </c>
      <c r="E15">
        <v>1.313477</v>
      </c>
      <c r="F15">
        <v>1.3238179999999999</v>
      </c>
      <c r="G15">
        <v>1.3355079999999999</v>
      </c>
      <c r="H15">
        <v>1.347146</v>
      </c>
      <c r="I15">
        <v>1.358514</v>
      </c>
      <c r="J15">
        <v>1.368395</v>
      </c>
      <c r="K15">
        <v>1.3780220000000001</v>
      </c>
      <c r="L15">
        <v>1.387662</v>
      </c>
      <c r="M15">
        <v>1.3971420000000001</v>
      </c>
      <c r="N15">
        <v>1.4063639999999999</v>
      </c>
      <c r="O15">
        <v>1.415457</v>
      </c>
      <c r="P15">
        <v>1.424366</v>
      </c>
      <c r="Q15">
        <v>1.432796</v>
      </c>
      <c r="R15">
        <v>1.4408460000000001</v>
      </c>
      <c r="S15">
        <v>1.448364</v>
      </c>
      <c r="T15">
        <v>1.455673</v>
      </c>
      <c r="U15">
        <v>1.462747</v>
      </c>
      <c r="V15">
        <v>1.469619</v>
      </c>
      <c r="W15">
        <v>1.4763219999999999</v>
      </c>
      <c r="X15">
        <v>1.4829699999999999</v>
      </c>
      <c r="Y15">
        <v>1.489655</v>
      </c>
      <c r="Z15">
        <v>1.496316</v>
      </c>
      <c r="AA15">
        <v>1.5029079999999999</v>
      </c>
      <c r="AB15">
        <v>1.509388</v>
      </c>
      <c r="AC15">
        <v>1.5158069999999999</v>
      </c>
      <c r="AD15">
        <v>1.522205</v>
      </c>
      <c r="AE15" t="s">
        <v>512</v>
      </c>
    </row>
    <row r="16" spans="1:31" x14ac:dyDescent="0.25">
      <c r="A16" t="s">
        <v>243</v>
      </c>
      <c r="B16" t="s">
        <v>244</v>
      </c>
      <c r="C16" t="s">
        <v>513</v>
      </c>
      <c r="D16" t="s">
        <v>234</v>
      </c>
      <c r="E16">
        <v>124.95929</v>
      </c>
      <c r="F16">
        <v>126.329865</v>
      </c>
      <c r="G16">
        <v>127.734421</v>
      </c>
      <c r="H16">
        <v>129.115646</v>
      </c>
      <c r="I16">
        <v>130.49623099999999</v>
      </c>
      <c r="J16">
        <v>131.860916</v>
      </c>
      <c r="K16">
        <v>133.231888</v>
      </c>
      <c r="L16">
        <v>134.60423299999999</v>
      </c>
      <c r="M16">
        <v>135.95462000000001</v>
      </c>
      <c r="N16">
        <v>137.26591500000001</v>
      </c>
      <c r="O16">
        <v>138.550354</v>
      </c>
      <c r="P16">
        <v>139.800354</v>
      </c>
      <c r="Q16">
        <v>140.98782299999999</v>
      </c>
      <c r="R16">
        <v>142.123932</v>
      </c>
      <c r="S16">
        <v>143.200943</v>
      </c>
      <c r="T16">
        <v>144.23345900000001</v>
      </c>
      <c r="U16">
        <v>145.21546900000001</v>
      </c>
      <c r="V16">
        <v>146.16392500000001</v>
      </c>
      <c r="W16">
        <v>147.08049</v>
      </c>
      <c r="X16">
        <v>147.97799699999999</v>
      </c>
      <c r="Y16">
        <v>148.879807</v>
      </c>
      <c r="Z16">
        <v>149.78649899999999</v>
      </c>
      <c r="AA16">
        <v>150.68952899999999</v>
      </c>
      <c r="AB16">
        <v>151.58947800000001</v>
      </c>
      <c r="AC16">
        <v>152.48834199999999</v>
      </c>
      <c r="AD16">
        <v>153.39111299999999</v>
      </c>
      <c r="AE16" t="s">
        <v>514</v>
      </c>
    </row>
    <row r="17" spans="1:31" x14ac:dyDescent="0.25">
      <c r="A17" t="s">
        <v>245</v>
      </c>
    </row>
    <row r="18" spans="1:31" x14ac:dyDescent="0.25">
      <c r="A18" t="s">
        <v>164</v>
      </c>
      <c r="B18" t="s">
        <v>246</v>
      </c>
      <c r="C18" t="s">
        <v>515</v>
      </c>
      <c r="D18" t="s">
        <v>234</v>
      </c>
      <c r="E18">
        <v>17.311980999999999</v>
      </c>
      <c r="F18">
        <v>17.749023000000001</v>
      </c>
      <c r="G18">
        <v>18.189427999999999</v>
      </c>
      <c r="H18">
        <v>18.620301999999999</v>
      </c>
      <c r="I18">
        <v>19.048615000000002</v>
      </c>
      <c r="J18">
        <v>19.472926999999999</v>
      </c>
      <c r="K18">
        <v>19.896329999999999</v>
      </c>
      <c r="L18">
        <v>20.319123999999999</v>
      </c>
      <c r="M18">
        <v>20.735673999999999</v>
      </c>
      <c r="N18">
        <v>21.139621999999999</v>
      </c>
      <c r="O18">
        <v>21.534761</v>
      </c>
      <c r="P18">
        <v>21.918699</v>
      </c>
      <c r="Q18">
        <v>22.287915999999999</v>
      </c>
      <c r="R18">
        <v>22.643476</v>
      </c>
      <c r="S18">
        <v>22.982578</v>
      </c>
      <c r="T18">
        <v>23.308931000000001</v>
      </c>
      <c r="U18">
        <v>23.621455999999998</v>
      </c>
      <c r="V18">
        <v>23.925042999999999</v>
      </c>
      <c r="W18">
        <v>24.216196</v>
      </c>
      <c r="X18">
        <v>24.497821999999999</v>
      </c>
      <c r="Y18">
        <v>24.778507000000001</v>
      </c>
      <c r="Z18">
        <v>25.059124000000001</v>
      </c>
      <c r="AA18">
        <v>25.339233</v>
      </c>
      <c r="AB18">
        <v>25.618922999999999</v>
      </c>
      <c r="AC18">
        <v>25.898475999999999</v>
      </c>
      <c r="AD18">
        <v>26.179152999999999</v>
      </c>
      <c r="AE18" t="s">
        <v>498</v>
      </c>
    </row>
    <row r="19" spans="1:31" x14ac:dyDescent="0.25">
      <c r="A19" t="s">
        <v>166</v>
      </c>
      <c r="B19" t="s">
        <v>247</v>
      </c>
      <c r="C19" t="s">
        <v>516</v>
      </c>
      <c r="D19" t="s">
        <v>234</v>
      </c>
      <c r="E19">
        <v>1.3534809999999999</v>
      </c>
      <c r="F19">
        <v>1.362886</v>
      </c>
      <c r="G19">
        <v>1.372539</v>
      </c>
      <c r="H19">
        <v>1.381982</v>
      </c>
      <c r="I19">
        <v>1.3914569999999999</v>
      </c>
      <c r="J19">
        <v>1.401143</v>
      </c>
      <c r="K19">
        <v>1.411546</v>
      </c>
      <c r="L19">
        <v>1.4220060000000001</v>
      </c>
      <c r="M19">
        <v>1.432234</v>
      </c>
      <c r="N19">
        <v>1.442105</v>
      </c>
      <c r="O19">
        <v>1.4517199999999999</v>
      </c>
      <c r="P19">
        <v>1.461082</v>
      </c>
      <c r="Q19">
        <v>1.469427</v>
      </c>
      <c r="R19">
        <v>1.4771780000000001</v>
      </c>
      <c r="S19">
        <v>1.484383</v>
      </c>
      <c r="T19">
        <v>1.4911719999999999</v>
      </c>
      <c r="U19">
        <v>1.4974749999999999</v>
      </c>
      <c r="V19">
        <v>1.5033890000000001</v>
      </c>
      <c r="W19">
        <v>1.509155</v>
      </c>
      <c r="X19">
        <v>1.5149699999999999</v>
      </c>
      <c r="Y19">
        <v>1.520824</v>
      </c>
      <c r="Z19">
        <v>1.5266820000000001</v>
      </c>
      <c r="AA19">
        <v>1.532497</v>
      </c>
      <c r="AB19">
        <v>1.5382849999999999</v>
      </c>
      <c r="AC19">
        <v>1.544062</v>
      </c>
      <c r="AD19">
        <v>1.5498529999999999</v>
      </c>
      <c r="AE19" t="s">
        <v>502</v>
      </c>
    </row>
    <row r="20" spans="1:31" x14ac:dyDescent="0.25">
      <c r="A20" t="s">
        <v>172</v>
      </c>
      <c r="B20" t="s">
        <v>248</v>
      </c>
      <c r="C20" t="s">
        <v>517</v>
      </c>
      <c r="D20" t="s">
        <v>234</v>
      </c>
      <c r="E20">
        <v>1.3134760000000001</v>
      </c>
      <c r="F20">
        <v>1.3238179999999999</v>
      </c>
      <c r="G20">
        <v>1.3355079999999999</v>
      </c>
      <c r="H20">
        <v>1.347146</v>
      </c>
      <c r="I20">
        <v>1.358514</v>
      </c>
      <c r="J20">
        <v>1.3683959999999999</v>
      </c>
      <c r="K20">
        <v>1.3780220000000001</v>
      </c>
      <c r="L20">
        <v>1.387662</v>
      </c>
      <c r="M20">
        <v>1.3971420000000001</v>
      </c>
      <c r="N20">
        <v>1.4063639999999999</v>
      </c>
      <c r="O20">
        <v>1.415457</v>
      </c>
      <c r="P20">
        <v>1.424366</v>
      </c>
      <c r="Q20">
        <v>1.4327970000000001</v>
      </c>
      <c r="R20">
        <v>1.4408460000000001</v>
      </c>
      <c r="S20">
        <v>1.448364</v>
      </c>
      <c r="T20">
        <v>1.455673</v>
      </c>
      <c r="U20">
        <v>1.4627479999999999</v>
      </c>
      <c r="V20">
        <v>1.469619</v>
      </c>
      <c r="W20">
        <v>1.4763230000000001</v>
      </c>
      <c r="X20">
        <v>1.482969</v>
      </c>
      <c r="Y20">
        <v>1.489655</v>
      </c>
      <c r="Z20">
        <v>1.496316</v>
      </c>
      <c r="AA20">
        <v>1.5029079999999999</v>
      </c>
      <c r="AB20">
        <v>1.509388</v>
      </c>
      <c r="AC20">
        <v>1.5158069999999999</v>
      </c>
      <c r="AD20">
        <v>1.522205</v>
      </c>
      <c r="AE20" t="s">
        <v>512</v>
      </c>
    </row>
    <row r="21" spans="1:31" x14ac:dyDescent="0.25">
      <c r="A21" t="s">
        <v>174</v>
      </c>
      <c r="B21" t="s">
        <v>249</v>
      </c>
      <c r="C21" t="s">
        <v>518</v>
      </c>
      <c r="D21" t="s">
        <v>234</v>
      </c>
      <c r="E21">
        <v>80.644835999999998</v>
      </c>
      <c r="F21">
        <v>81.803375000000003</v>
      </c>
      <c r="G21">
        <v>82.981055999999995</v>
      </c>
      <c r="H21">
        <v>84.147582999999997</v>
      </c>
      <c r="I21">
        <v>85.314003</v>
      </c>
      <c r="J21">
        <v>86.473327999999995</v>
      </c>
      <c r="K21">
        <v>87.635993999999997</v>
      </c>
      <c r="L21">
        <v>88.798950000000005</v>
      </c>
      <c r="M21">
        <v>89.949646000000001</v>
      </c>
      <c r="N21">
        <v>91.078986999999998</v>
      </c>
      <c r="O21">
        <v>92.193398000000002</v>
      </c>
      <c r="P21">
        <v>93.288848999999999</v>
      </c>
      <c r="Q21">
        <v>94.35051</v>
      </c>
      <c r="R21">
        <v>95.384315000000001</v>
      </c>
      <c r="S21">
        <v>96.386200000000002</v>
      </c>
      <c r="T21">
        <v>97.363770000000002</v>
      </c>
      <c r="U21">
        <v>98.313896</v>
      </c>
      <c r="V21">
        <v>99.24588</v>
      </c>
      <c r="W21">
        <v>100.160545</v>
      </c>
      <c r="X21">
        <v>101.064911</v>
      </c>
      <c r="Y21">
        <v>101.971619</v>
      </c>
      <c r="Z21">
        <v>102.881165</v>
      </c>
      <c r="AA21">
        <v>103.788918</v>
      </c>
      <c r="AB21">
        <v>104.695221</v>
      </c>
      <c r="AC21">
        <v>105.60105900000001</v>
      </c>
      <c r="AD21">
        <v>106.509247</v>
      </c>
      <c r="AE21" t="s">
        <v>519</v>
      </c>
    </row>
    <row r="22" spans="1:31" x14ac:dyDescent="0.25">
      <c r="A22" t="s">
        <v>175</v>
      </c>
      <c r="B22" t="s">
        <v>250</v>
      </c>
      <c r="C22" t="s">
        <v>520</v>
      </c>
      <c r="D22" t="s">
        <v>234</v>
      </c>
      <c r="E22">
        <v>43.230812</v>
      </c>
      <c r="F22">
        <v>43.332206999999997</v>
      </c>
      <c r="G22">
        <v>43.442599999999999</v>
      </c>
      <c r="H22">
        <v>43.551468</v>
      </c>
      <c r="I22">
        <v>43.660193999999997</v>
      </c>
      <c r="J22">
        <v>43.765265999999997</v>
      </c>
      <c r="K22">
        <v>43.876235999999999</v>
      </c>
      <c r="L22">
        <v>43.988444999999999</v>
      </c>
      <c r="M22">
        <v>44.098244000000001</v>
      </c>
      <c r="N22">
        <v>44.203854</v>
      </c>
      <c r="O22">
        <v>44.306885000000001</v>
      </c>
      <c r="P22">
        <v>44.407001000000001</v>
      </c>
      <c r="Q22">
        <v>44.495967999999998</v>
      </c>
      <c r="R22">
        <v>44.577995000000001</v>
      </c>
      <c r="S22">
        <v>44.652718</v>
      </c>
      <c r="T22">
        <v>44.722828</v>
      </c>
      <c r="U22">
        <v>44.787525000000002</v>
      </c>
      <c r="V22">
        <v>44.848129</v>
      </c>
      <c r="W22">
        <v>44.906857000000002</v>
      </c>
      <c r="X22">
        <v>44.966090999999999</v>
      </c>
      <c r="Y22">
        <v>45.026668999999998</v>
      </c>
      <c r="Z22">
        <v>45.088047000000003</v>
      </c>
      <c r="AA22">
        <v>45.149470999999998</v>
      </c>
      <c r="AB22">
        <v>45.210838000000003</v>
      </c>
      <c r="AC22">
        <v>45.272564000000003</v>
      </c>
      <c r="AD22">
        <v>45.335132999999999</v>
      </c>
      <c r="AE22" t="s">
        <v>521</v>
      </c>
    </row>
    <row r="23" spans="1:31" x14ac:dyDescent="0.25">
      <c r="A23" t="s">
        <v>243</v>
      </c>
      <c r="B23" t="s">
        <v>251</v>
      </c>
      <c r="C23" t="s">
        <v>522</v>
      </c>
      <c r="D23" t="s">
        <v>234</v>
      </c>
      <c r="E23">
        <v>143.85458399999999</v>
      </c>
      <c r="F23">
        <v>145.57131999999999</v>
      </c>
      <c r="G23">
        <v>147.321136</v>
      </c>
      <c r="H23">
        <v>149.04849200000001</v>
      </c>
      <c r="I23">
        <v>150.77278100000001</v>
      </c>
      <c r="J23">
        <v>152.48104900000001</v>
      </c>
      <c r="K23">
        <v>154.19811999999999</v>
      </c>
      <c r="L23">
        <v>155.91618299999999</v>
      </c>
      <c r="M23">
        <v>157.61294599999999</v>
      </c>
      <c r="N23">
        <v>159.27093500000001</v>
      </c>
      <c r="O23">
        <v>160.90222199999999</v>
      </c>
      <c r="P23">
        <v>162.5</v>
      </c>
      <c r="Q23">
        <v>164.036621</v>
      </c>
      <c r="R23">
        <v>165.52380400000001</v>
      </c>
      <c r="S23">
        <v>166.95425399999999</v>
      </c>
      <c r="T23">
        <v>168.342377</v>
      </c>
      <c r="U23">
        <v>169.68310500000001</v>
      </c>
      <c r="V23">
        <v>170.992065</v>
      </c>
      <c r="W23">
        <v>172.26907299999999</v>
      </c>
      <c r="X23">
        <v>173.52676400000001</v>
      </c>
      <c r="Y23">
        <v>174.78727699999999</v>
      </c>
      <c r="Z23">
        <v>176.051331</v>
      </c>
      <c r="AA23">
        <v>177.31303399999999</v>
      </c>
      <c r="AB23">
        <v>178.57266200000001</v>
      </c>
      <c r="AC23">
        <v>179.83197000000001</v>
      </c>
      <c r="AD23">
        <v>181.09558100000001</v>
      </c>
      <c r="AE23" t="s">
        <v>523</v>
      </c>
    </row>
    <row r="24" spans="1:31" x14ac:dyDescent="0.25">
      <c r="A24" t="s">
        <v>252</v>
      </c>
    </row>
    <row r="25" spans="1:31" x14ac:dyDescent="0.25">
      <c r="A25" t="s">
        <v>177</v>
      </c>
      <c r="B25" t="s">
        <v>253</v>
      </c>
      <c r="C25" t="s">
        <v>524</v>
      </c>
      <c r="D25" t="s">
        <v>234</v>
      </c>
      <c r="E25">
        <v>62.475158999999998</v>
      </c>
      <c r="F25">
        <v>63.120700999999997</v>
      </c>
      <c r="G25">
        <v>63.779792999999998</v>
      </c>
      <c r="H25">
        <v>64.431319999999999</v>
      </c>
      <c r="I25">
        <v>65.353851000000006</v>
      </c>
      <c r="J25">
        <v>66.246184999999997</v>
      </c>
      <c r="K25">
        <v>67.135970999999998</v>
      </c>
      <c r="L25">
        <v>68.015441999999993</v>
      </c>
      <c r="M25">
        <v>68.872505000000004</v>
      </c>
      <c r="N25">
        <v>69.689301</v>
      </c>
      <c r="O25">
        <v>70.473304999999996</v>
      </c>
      <c r="P25">
        <v>71.249404999999996</v>
      </c>
      <c r="Q25">
        <v>71.995590000000007</v>
      </c>
      <c r="R25">
        <v>72.719170000000005</v>
      </c>
      <c r="S25">
        <v>73.415535000000006</v>
      </c>
      <c r="T25">
        <v>74.092467999999997</v>
      </c>
      <c r="U25">
        <v>74.745131999999998</v>
      </c>
      <c r="V25">
        <v>75.379486</v>
      </c>
      <c r="W25">
        <v>75.998474000000002</v>
      </c>
      <c r="X25">
        <v>76.607581999999994</v>
      </c>
      <c r="Y25">
        <v>77.218093999999994</v>
      </c>
      <c r="Z25">
        <v>77.830139000000003</v>
      </c>
      <c r="AA25">
        <v>78.438873000000001</v>
      </c>
      <c r="AB25">
        <v>79.044280999999998</v>
      </c>
      <c r="AC25">
        <v>79.647743000000006</v>
      </c>
      <c r="AD25">
        <v>80.251227999999998</v>
      </c>
      <c r="AE25" t="s">
        <v>500</v>
      </c>
    </row>
    <row r="26" spans="1:31" x14ac:dyDescent="0.25">
      <c r="A26" t="s">
        <v>178</v>
      </c>
      <c r="B26" t="s">
        <v>254</v>
      </c>
      <c r="C26" t="s">
        <v>525</v>
      </c>
      <c r="D26" t="s">
        <v>234</v>
      </c>
      <c r="E26">
        <v>65.115172999999999</v>
      </c>
      <c r="F26">
        <v>65.884170999999995</v>
      </c>
      <c r="G26">
        <v>66.651427999999996</v>
      </c>
      <c r="H26">
        <v>67.398285000000001</v>
      </c>
      <c r="I26">
        <v>67.943634000000003</v>
      </c>
      <c r="J26">
        <v>68.493774000000002</v>
      </c>
      <c r="K26">
        <v>69.045731000000004</v>
      </c>
      <c r="L26">
        <v>69.599311999999998</v>
      </c>
      <c r="M26">
        <v>70.142830000000004</v>
      </c>
      <c r="N26">
        <v>70.674828000000005</v>
      </c>
      <c r="O26">
        <v>71.197997999999998</v>
      </c>
      <c r="P26">
        <v>71.701553000000004</v>
      </c>
      <c r="Q26">
        <v>72.178955000000002</v>
      </c>
      <c r="R26">
        <v>72.633232000000007</v>
      </c>
      <c r="S26">
        <v>73.061042999999998</v>
      </c>
      <c r="T26">
        <v>73.467194000000006</v>
      </c>
      <c r="U26">
        <v>73.849609000000001</v>
      </c>
      <c r="V26">
        <v>74.217758000000003</v>
      </c>
      <c r="W26">
        <v>74.569519</v>
      </c>
      <c r="X26">
        <v>74.911040999999997</v>
      </c>
      <c r="Y26">
        <v>75.253555000000006</v>
      </c>
      <c r="Z26">
        <v>75.597663999999995</v>
      </c>
      <c r="AA26">
        <v>75.939887999999996</v>
      </c>
      <c r="AB26">
        <v>76.280815000000004</v>
      </c>
      <c r="AC26">
        <v>76.620627999999996</v>
      </c>
      <c r="AD26">
        <v>76.962226999999999</v>
      </c>
      <c r="AE26" t="s">
        <v>504</v>
      </c>
    </row>
    <row r="27" spans="1:31" x14ac:dyDescent="0.25">
      <c r="A27" t="s">
        <v>168</v>
      </c>
      <c r="B27" t="s">
        <v>255</v>
      </c>
      <c r="C27" t="s">
        <v>526</v>
      </c>
      <c r="D27" t="s">
        <v>234</v>
      </c>
      <c r="E27">
        <v>2.2249989999999999</v>
      </c>
      <c r="F27">
        <v>2.1372429999999998</v>
      </c>
      <c r="G27">
        <v>2.0548129999999998</v>
      </c>
      <c r="H27">
        <v>1.9790049999999999</v>
      </c>
      <c r="I27">
        <v>1.905996</v>
      </c>
      <c r="J27">
        <v>1.841834</v>
      </c>
      <c r="K27">
        <v>1.785774</v>
      </c>
      <c r="L27">
        <v>1.7382200000000001</v>
      </c>
      <c r="M27">
        <v>1.6991959999999999</v>
      </c>
      <c r="N27">
        <v>1.6690750000000001</v>
      </c>
      <c r="O27">
        <v>1.6480349999999999</v>
      </c>
      <c r="P27">
        <v>1.6257440000000001</v>
      </c>
      <c r="Q27">
        <v>1.6024309999999999</v>
      </c>
      <c r="R27">
        <v>1.578433</v>
      </c>
      <c r="S27">
        <v>1.5539849999999999</v>
      </c>
      <c r="T27">
        <v>1.5293639999999999</v>
      </c>
      <c r="U27">
        <v>1.5047299999999999</v>
      </c>
      <c r="V27">
        <v>1.480259</v>
      </c>
      <c r="W27">
        <v>1.4560999999999999</v>
      </c>
      <c r="X27">
        <v>1.4324030000000001</v>
      </c>
      <c r="Y27">
        <v>1.4092560000000001</v>
      </c>
      <c r="Z27">
        <v>1.386725</v>
      </c>
      <c r="AA27">
        <v>1.3648480000000001</v>
      </c>
      <c r="AB27">
        <v>1.343653</v>
      </c>
      <c r="AC27">
        <v>1.32317</v>
      </c>
      <c r="AD27">
        <v>1.3034319999999999</v>
      </c>
      <c r="AE27" t="s">
        <v>527</v>
      </c>
    </row>
    <row r="28" spans="1:31" x14ac:dyDescent="0.25">
      <c r="A28" t="s">
        <v>169</v>
      </c>
      <c r="B28" t="s">
        <v>256</v>
      </c>
      <c r="C28" t="s">
        <v>528</v>
      </c>
      <c r="D28" t="s">
        <v>234</v>
      </c>
      <c r="E28">
        <v>4.1999490000000002</v>
      </c>
      <c r="F28">
        <v>4.2309659999999996</v>
      </c>
      <c r="G28">
        <v>4.2742089999999999</v>
      </c>
      <c r="H28">
        <v>4.316001</v>
      </c>
      <c r="I28">
        <v>4.2940230000000001</v>
      </c>
      <c r="J28">
        <v>4.2723849999999999</v>
      </c>
      <c r="K28">
        <v>4.2498259999999997</v>
      </c>
      <c r="L28">
        <v>4.228853</v>
      </c>
      <c r="M28">
        <v>4.2099399999999996</v>
      </c>
      <c r="N28">
        <v>4.1951309999999999</v>
      </c>
      <c r="O28">
        <v>4.1860609999999996</v>
      </c>
      <c r="P28">
        <v>4.1713630000000004</v>
      </c>
      <c r="Q28">
        <v>4.1514150000000001</v>
      </c>
      <c r="R28">
        <v>4.1265790000000004</v>
      </c>
      <c r="S28">
        <v>4.0969160000000002</v>
      </c>
      <c r="T28">
        <v>4.0640700000000001</v>
      </c>
      <c r="U28">
        <v>4.0289239999999999</v>
      </c>
      <c r="V28">
        <v>3.992864</v>
      </c>
      <c r="W28">
        <v>3.9564889999999999</v>
      </c>
      <c r="X28">
        <v>3.9207900000000002</v>
      </c>
      <c r="Y28">
        <v>3.8863789999999998</v>
      </c>
      <c r="Z28">
        <v>3.8531279999999999</v>
      </c>
      <c r="AA28">
        <v>3.8208299999999999</v>
      </c>
      <c r="AB28">
        <v>3.789447</v>
      </c>
      <c r="AC28">
        <v>3.759233</v>
      </c>
      <c r="AD28">
        <v>3.7305290000000002</v>
      </c>
      <c r="AE28" t="s">
        <v>529</v>
      </c>
    </row>
    <row r="29" spans="1:31" x14ac:dyDescent="0.25">
      <c r="A29" t="s">
        <v>179</v>
      </c>
      <c r="B29" t="s">
        <v>257</v>
      </c>
      <c r="C29" t="s">
        <v>530</v>
      </c>
      <c r="D29" t="s">
        <v>234</v>
      </c>
      <c r="E29">
        <v>2.1779500000000001</v>
      </c>
      <c r="F29">
        <v>2.185155</v>
      </c>
      <c r="G29">
        <v>2.197155</v>
      </c>
      <c r="H29">
        <v>2.2086779999999999</v>
      </c>
      <c r="I29">
        <v>2.2111190000000001</v>
      </c>
      <c r="J29">
        <v>2.213908</v>
      </c>
      <c r="K29">
        <v>2.2168079999999999</v>
      </c>
      <c r="L29">
        <v>2.219646</v>
      </c>
      <c r="M29">
        <v>2.2224400000000002</v>
      </c>
      <c r="N29">
        <v>2.2251629999999998</v>
      </c>
      <c r="O29">
        <v>2.2278129999999998</v>
      </c>
      <c r="P29">
        <v>2.2304569999999999</v>
      </c>
      <c r="Q29">
        <v>2.233098</v>
      </c>
      <c r="R29">
        <v>2.235716</v>
      </c>
      <c r="S29">
        <v>2.238299</v>
      </c>
      <c r="T29">
        <v>2.2408290000000002</v>
      </c>
      <c r="U29">
        <v>2.2432910000000001</v>
      </c>
      <c r="V29">
        <v>2.2456640000000001</v>
      </c>
      <c r="W29">
        <v>2.2479269999999998</v>
      </c>
      <c r="X29">
        <v>2.2502469999999999</v>
      </c>
      <c r="Y29">
        <v>2.2526139999999999</v>
      </c>
      <c r="Z29">
        <v>2.2550300000000001</v>
      </c>
      <c r="AA29">
        <v>2.257498</v>
      </c>
      <c r="AB29">
        <v>2.2600120000000001</v>
      </c>
      <c r="AC29">
        <v>2.2625549999999999</v>
      </c>
      <c r="AD29">
        <v>2.2651370000000002</v>
      </c>
      <c r="AE29" t="s">
        <v>521</v>
      </c>
    </row>
    <row r="30" spans="1:31" x14ac:dyDescent="0.25">
      <c r="A30" t="s">
        <v>243</v>
      </c>
      <c r="B30" t="s">
        <v>258</v>
      </c>
      <c r="C30" t="s">
        <v>531</v>
      </c>
      <c r="D30" t="s">
        <v>234</v>
      </c>
      <c r="E30">
        <v>136.19323700000001</v>
      </c>
      <c r="F30">
        <v>137.55822800000001</v>
      </c>
      <c r="G30">
        <v>138.95739699999999</v>
      </c>
      <c r="H30">
        <v>140.333282</v>
      </c>
      <c r="I30">
        <v>141.708618</v>
      </c>
      <c r="J30">
        <v>143.068085</v>
      </c>
      <c r="K30">
        <v>144.434113</v>
      </c>
      <c r="L30">
        <v>145.801468</v>
      </c>
      <c r="M30">
        <v>147.14692700000001</v>
      </c>
      <c r="N30">
        <v>148.45349100000001</v>
      </c>
      <c r="O30">
        <v>149.733215</v>
      </c>
      <c r="P30">
        <v>150.97851600000001</v>
      </c>
      <c r="Q30">
        <v>152.161484</v>
      </c>
      <c r="R30">
        <v>153.29312100000001</v>
      </c>
      <c r="S30">
        <v>154.365768</v>
      </c>
      <c r="T30">
        <v>155.39392100000001</v>
      </c>
      <c r="U30">
        <v>156.371689</v>
      </c>
      <c r="V30">
        <v>157.316025</v>
      </c>
      <c r="W30">
        <v>158.2285</v>
      </c>
      <c r="X30">
        <v>159.12205499999999</v>
      </c>
      <c r="Y30">
        <v>160.01989699999999</v>
      </c>
      <c r="Z30">
        <v>160.922684</v>
      </c>
      <c r="AA30">
        <v>161.82193000000001</v>
      </c>
      <c r="AB30">
        <v>162.71821600000001</v>
      </c>
      <c r="AC30">
        <v>163.613327</v>
      </c>
      <c r="AD30">
        <v>164.51255800000001</v>
      </c>
      <c r="AE30" t="s">
        <v>514</v>
      </c>
    </row>
    <row r="31" spans="1:31" x14ac:dyDescent="0.25">
      <c r="A31" t="s">
        <v>259</v>
      </c>
    </row>
    <row r="32" spans="1:31" x14ac:dyDescent="0.25">
      <c r="A32" t="s">
        <v>177</v>
      </c>
      <c r="B32" t="s">
        <v>260</v>
      </c>
      <c r="C32" t="s">
        <v>532</v>
      </c>
      <c r="D32" t="s">
        <v>234</v>
      </c>
      <c r="E32">
        <v>101.44486999999999</v>
      </c>
      <c r="F32">
        <v>102.380219</v>
      </c>
      <c r="G32">
        <v>103.33311500000001</v>
      </c>
      <c r="H32">
        <v>104.26102400000001</v>
      </c>
      <c r="I32">
        <v>105.182686</v>
      </c>
      <c r="J32">
        <v>106.088013</v>
      </c>
      <c r="K32">
        <v>106.99603999999999</v>
      </c>
      <c r="L32">
        <v>107.89810199999999</v>
      </c>
      <c r="M32">
        <v>108.775696</v>
      </c>
      <c r="N32">
        <v>109.595596</v>
      </c>
      <c r="O32">
        <v>110.36457799999999</v>
      </c>
      <c r="P32">
        <v>111.068726</v>
      </c>
      <c r="Q32">
        <v>111.67789500000001</v>
      </c>
      <c r="R32">
        <v>112.264961</v>
      </c>
      <c r="S32">
        <v>112.842308</v>
      </c>
      <c r="T32">
        <v>113.424797</v>
      </c>
      <c r="U32">
        <v>114.018433</v>
      </c>
      <c r="V32">
        <v>114.64278400000001</v>
      </c>
      <c r="W32">
        <v>115.23735000000001</v>
      </c>
      <c r="X32">
        <v>115.81296500000001</v>
      </c>
      <c r="Y32">
        <v>116.38593299999999</v>
      </c>
      <c r="Z32">
        <v>116.95549800000001</v>
      </c>
      <c r="AA32">
        <v>117.514168</v>
      </c>
      <c r="AB32">
        <v>118.061089</v>
      </c>
      <c r="AC32">
        <v>118.59641999999999</v>
      </c>
      <c r="AD32">
        <v>119.12215399999999</v>
      </c>
      <c r="AE32" t="s">
        <v>512</v>
      </c>
    </row>
    <row r="33" spans="1:31" x14ac:dyDescent="0.25">
      <c r="A33" t="s">
        <v>178</v>
      </c>
      <c r="B33" t="s">
        <v>261</v>
      </c>
      <c r="C33" t="s">
        <v>533</v>
      </c>
      <c r="D33" t="s">
        <v>234</v>
      </c>
      <c r="E33">
        <v>54.077556999999999</v>
      </c>
      <c r="F33">
        <v>54.473880999999999</v>
      </c>
      <c r="G33">
        <v>54.882652</v>
      </c>
      <c r="H33">
        <v>55.293208999999997</v>
      </c>
      <c r="I33">
        <v>55.709217000000002</v>
      </c>
      <c r="J33">
        <v>56.129210999999998</v>
      </c>
      <c r="K33">
        <v>56.555218000000004</v>
      </c>
      <c r="L33">
        <v>56.989882999999999</v>
      </c>
      <c r="M33">
        <v>57.42915</v>
      </c>
      <c r="N33">
        <v>57.889847000000003</v>
      </c>
      <c r="O33">
        <v>58.377192999999998</v>
      </c>
      <c r="P33">
        <v>58.898079000000003</v>
      </c>
      <c r="Q33">
        <v>59.454914000000002</v>
      </c>
      <c r="R33">
        <v>59.983089</v>
      </c>
      <c r="S33">
        <v>60.462696000000001</v>
      </c>
      <c r="T33">
        <v>60.892116999999999</v>
      </c>
      <c r="U33">
        <v>61.259189999999997</v>
      </c>
      <c r="V33">
        <v>61.560585000000003</v>
      </c>
      <c r="W33">
        <v>61.861618</v>
      </c>
      <c r="X33">
        <v>62.164096999999998</v>
      </c>
      <c r="Y33">
        <v>62.474186000000003</v>
      </c>
      <c r="Z33">
        <v>62.793368999999998</v>
      </c>
      <c r="AA33">
        <v>63.121020999999999</v>
      </c>
      <c r="AB33">
        <v>63.458534</v>
      </c>
      <c r="AC33">
        <v>63.807617</v>
      </c>
      <c r="AD33">
        <v>64.171135000000007</v>
      </c>
      <c r="AE33" t="s">
        <v>504</v>
      </c>
    </row>
    <row r="34" spans="1:31" x14ac:dyDescent="0.25">
      <c r="A34" t="s">
        <v>169</v>
      </c>
      <c r="B34" t="s">
        <v>262</v>
      </c>
      <c r="C34" t="s">
        <v>534</v>
      </c>
      <c r="D34" t="s">
        <v>234</v>
      </c>
      <c r="E34">
        <v>6.3130860000000002</v>
      </c>
      <c r="F34">
        <v>6.3374180000000004</v>
      </c>
      <c r="G34">
        <v>6.3660569999999996</v>
      </c>
      <c r="H34">
        <v>6.3947450000000003</v>
      </c>
      <c r="I34">
        <v>6.4238</v>
      </c>
      <c r="J34">
        <v>6.4495940000000003</v>
      </c>
      <c r="K34">
        <v>6.4733359999999998</v>
      </c>
      <c r="L34">
        <v>6.4958270000000002</v>
      </c>
      <c r="M34">
        <v>6.5165069999999998</v>
      </c>
      <c r="N34">
        <v>6.5346590000000004</v>
      </c>
      <c r="O34">
        <v>6.5503739999999997</v>
      </c>
      <c r="P34">
        <v>6.5630930000000003</v>
      </c>
      <c r="Q34">
        <v>6.572578</v>
      </c>
      <c r="R34">
        <v>6.581728</v>
      </c>
      <c r="S34">
        <v>6.5902399999999997</v>
      </c>
      <c r="T34">
        <v>6.5994219999999997</v>
      </c>
      <c r="U34">
        <v>6.6096219999999999</v>
      </c>
      <c r="V34">
        <v>6.6214529999999998</v>
      </c>
      <c r="W34">
        <v>6.6316680000000003</v>
      </c>
      <c r="X34">
        <v>6.6405750000000001</v>
      </c>
      <c r="Y34">
        <v>6.6489390000000004</v>
      </c>
      <c r="Z34">
        <v>6.656644</v>
      </c>
      <c r="AA34">
        <v>6.6634019999999996</v>
      </c>
      <c r="AB34">
        <v>6.6690889999999996</v>
      </c>
      <c r="AC34">
        <v>6.6738559999999998</v>
      </c>
      <c r="AD34">
        <v>6.678013</v>
      </c>
      <c r="AE34" t="s">
        <v>521</v>
      </c>
    </row>
    <row r="35" spans="1:31" x14ac:dyDescent="0.25">
      <c r="A35" t="s">
        <v>243</v>
      </c>
      <c r="B35" t="s">
        <v>263</v>
      </c>
      <c r="C35" t="s">
        <v>535</v>
      </c>
      <c r="D35" t="s">
        <v>234</v>
      </c>
      <c r="E35">
        <v>161.83551</v>
      </c>
      <c r="F35">
        <v>163.19151299999999</v>
      </c>
      <c r="G35">
        <v>164.581818</v>
      </c>
      <c r="H35">
        <v>165.94897499999999</v>
      </c>
      <c r="I35">
        <v>167.31570400000001</v>
      </c>
      <c r="J35">
        <v>168.66682399999999</v>
      </c>
      <c r="K35">
        <v>170.024597</v>
      </c>
      <c r="L35">
        <v>171.38381999999999</v>
      </c>
      <c r="M35">
        <v>172.72135900000001</v>
      </c>
      <c r="N35">
        <v>174.020096</v>
      </c>
      <c r="O35">
        <v>175.292145</v>
      </c>
      <c r="P35">
        <v>176.52989199999999</v>
      </c>
      <c r="Q35">
        <v>177.70538300000001</v>
      </c>
      <c r="R35">
        <v>178.82977299999999</v>
      </c>
      <c r="S35">
        <v>179.89524800000001</v>
      </c>
      <c r="T35">
        <v>180.916336</v>
      </c>
      <c r="U35">
        <v>181.887238</v>
      </c>
      <c r="V35">
        <v>182.82482899999999</v>
      </c>
      <c r="W35">
        <v>183.730637</v>
      </c>
      <c r="X35">
        <v>184.61764500000001</v>
      </c>
      <c r="Y35">
        <v>185.509064</v>
      </c>
      <c r="Z35">
        <v>186.405518</v>
      </c>
      <c r="AA35">
        <v>187.298599</v>
      </c>
      <c r="AB35">
        <v>188.188705</v>
      </c>
      <c r="AC35">
        <v>189.07789600000001</v>
      </c>
      <c r="AD35">
        <v>189.97129799999999</v>
      </c>
      <c r="AE35" t="s">
        <v>512</v>
      </c>
    </row>
    <row r="36" spans="1:31" x14ac:dyDescent="0.25">
      <c r="A36" t="s">
        <v>264</v>
      </c>
    </row>
    <row r="37" spans="1:31" x14ac:dyDescent="0.25">
      <c r="A37" t="s">
        <v>177</v>
      </c>
      <c r="B37" t="s">
        <v>265</v>
      </c>
      <c r="C37" t="s">
        <v>536</v>
      </c>
      <c r="D37" t="s">
        <v>234</v>
      </c>
      <c r="E37">
        <v>95.144310000000004</v>
      </c>
      <c r="F37">
        <v>97.873146000000006</v>
      </c>
      <c r="G37">
        <v>100.648087</v>
      </c>
      <c r="H37">
        <v>103.42568199999999</v>
      </c>
      <c r="I37">
        <v>106.189522</v>
      </c>
      <c r="J37">
        <v>108.940674</v>
      </c>
      <c r="K37">
        <v>111.672546</v>
      </c>
      <c r="L37">
        <v>114.384888</v>
      </c>
      <c r="M37">
        <v>117.081833</v>
      </c>
      <c r="N37">
        <v>119.745583</v>
      </c>
      <c r="O37">
        <v>122.390137</v>
      </c>
      <c r="P37">
        <v>125.005318</v>
      </c>
      <c r="Q37">
        <v>127.570015</v>
      </c>
      <c r="R37">
        <v>130.09307899999999</v>
      </c>
      <c r="S37">
        <v>132.56723</v>
      </c>
      <c r="T37">
        <v>135.00874300000001</v>
      </c>
      <c r="U37">
        <v>137.42129499999999</v>
      </c>
      <c r="V37">
        <v>139.789841</v>
      </c>
      <c r="W37">
        <v>142.116501</v>
      </c>
      <c r="X37">
        <v>144.413208</v>
      </c>
      <c r="Y37">
        <v>146.704849</v>
      </c>
      <c r="Z37">
        <v>148.99615499999999</v>
      </c>
      <c r="AA37">
        <v>151.27671799999999</v>
      </c>
      <c r="AB37">
        <v>153.54920999999999</v>
      </c>
      <c r="AC37">
        <v>155.817474</v>
      </c>
      <c r="AD37">
        <v>158.084946</v>
      </c>
      <c r="AE37" t="s">
        <v>537</v>
      </c>
    </row>
    <row r="38" spans="1:31" x14ac:dyDescent="0.25">
      <c r="A38" t="s">
        <v>178</v>
      </c>
      <c r="B38" t="s">
        <v>266</v>
      </c>
      <c r="C38" t="s">
        <v>538</v>
      </c>
      <c r="D38" t="s">
        <v>234</v>
      </c>
      <c r="E38">
        <v>20.463491000000001</v>
      </c>
      <c r="F38">
        <v>20.786949</v>
      </c>
      <c r="G38">
        <v>21.119661000000001</v>
      </c>
      <c r="H38">
        <v>21.460750999999998</v>
      </c>
      <c r="I38">
        <v>21.814619</v>
      </c>
      <c r="J38">
        <v>22.183361000000001</v>
      </c>
      <c r="K38">
        <v>22.569464</v>
      </c>
      <c r="L38">
        <v>22.975387999999999</v>
      </c>
      <c r="M38">
        <v>23.374451000000001</v>
      </c>
      <c r="N38">
        <v>23.767054000000002</v>
      </c>
      <c r="O38">
        <v>24.153271</v>
      </c>
      <c r="P38">
        <v>24.532173</v>
      </c>
      <c r="Q38">
        <v>24.902653000000001</v>
      </c>
      <c r="R38">
        <v>25.263342000000002</v>
      </c>
      <c r="S38">
        <v>25.611775999999999</v>
      </c>
      <c r="T38">
        <v>25.946064</v>
      </c>
      <c r="U38">
        <v>26.263985000000002</v>
      </c>
      <c r="V38">
        <v>26.590997999999999</v>
      </c>
      <c r="W38">
        <v>26.924613999999998</v>
      </c>
      <c r="X38">
        <v>27.264744</v>
      </c>
      <c r="Y38">
        <v>27.613161000000002</v>
      </c>
      <c r="Z38">
        <v>27.969189</v>
      </c>
      <c r="AA38">
        <v>28.330772</v>
      </c>
      <c r="AB38">
        <v>28.696926000000001</v>
      </c>
      <c r="AC38">
        <v>29.066327999999999</v>
      </c>
      <c r="AD38">
        <v>29.43947</v>
      </c>
      <c r="AE38" t="s">
        <v>539</v>
      </c>
    </row>
    <row r="39" spans="1:31" x14ac:dyDescent="0.25">
      <c r="A39" t="s">
        <v>243</v>
      </c>
      <c r="B39" t="s">
        <v>267</v>
      </c>
      <c r="C39" t="s">
        <v>540</v>
      </c>
      <c r="D39" t="s">
        <v>234</v>
      </c>
      <c r="E39">
        <v>115.607803</v>
      </c>
      <c r="F39">
        <v>118.660095</v>
      </c>
      <c r="G39">
        <v>121.767746</v>
      </c>
      <c r="H39">
        <v>124.88642900000001</v>
      </c>
      <c r="I39">
        <v>128.00413499999999</v>
      </c>
      <c r="J39">
        <v>131.12403900000001</v>
      </c>
      <c r="K39">
        <v>134.24200400000001</v>
      </c>
      <c r="L39">
        <v>137.360275</v>
      </c>
      <c r="M39">
        <v>140.45628400000001</v>
      </c>
      <c r="N39">
        <v>143.51263399999999</v>
      </c>
      <c r="O39">
        <v>146.54341099999999</v>
      </c>
      <c r="P39">
        <v>149.53749099999999</v>
      </c>
      <c r="Q39">
        <v>152.47267199999999</v>
      </c>
      <c r="R39">
        <v>155.356415</v>
      </c>
      <c r="S39">
        <v>158.179001</v>
      </c>
      <c r="T39">
        <v>160.954803</v>
      </c>
      <c r="U39">
        <v>163.685272</v>
      </c>
      <c r="V39">
        <v>166.380844</v>
      </c>
      <c r="W39">
        <v>169.04110700000001</v>
      </c>
      <c r="X39">
        <v>171.67794799999999</v>
      </c>
      <c r="Y39">
        <v>174.31800799999999</v>
      </c>
      <c r="Z39">
        <v>176.96534700000001</v>
      </c>
      <c r="AA39">
        <v>179.607483</v>
      </c>
      <c r="AB39">
        <v>182.24614</v>
      </c>
      <c r="AC39">
        <v>184.883804</v>
      </c>
      <c r="AD39">
        <v>187.52441400000001</v>
      </c>
      <c r="AE39" t="s">
        <v>541</v>
      </c>
    </row>
    <row r="40" spans="1:31" x14ac:dyDescent="0.25">
      <c r="A40" t="s">
        <v>268</v>
      </c>
    </row>
    <row r="41" spans="1:31" x14ac:dyDescent="0.25">
      <c r="A41" t="s">
        <v>269</v>
      </c>
      <c r="B41" t="s">
        <v>270</v>
      </c>
      <c r="C41" t="s">
        <v>542</v>
      </c>
      <c r="D41" t="s">
        <v>234</v>
      </c>
      <c r="E41">
        <v>187.50732400000001</v>
      </c>
      <c r="F41">
        <v>189.53199799999999</v>
      </c>
      <c r="G41">
        <v>191.598602</v>
      </c>
      <c r="H41">
        <v>193.630844</v>
      </c>
      <c r="I41">
        <v>195.66355899999999</v>
      </c>
      <c r="J41">
        <v>197.67378199999999</v>
      </c>
      <c r="K41">
        <v>199.67797899999999</v>
      </c>
      <c r="L41">
        <v>201.68270899999999</v>
      </c>
      <c r="M41">
        <v>203.65733299999999</v>
      </c>
      <c r="N41">
        <v>205.57685900000001</v>
      </c>
      <c r="O41">
        <v>207.458237</v>
      </c>
      <c r="P41">
        <v>209.28874200000001</v>
      </c>
      <c r="Q41">
        <v>211.04333500000001</v>
      </c>
      <c r="R41">
        <v>212.728531</v>
      </c>
      <c r="S41">
        <v>214.33122299999999</v>
      </c>
      <c r="T41">
        <v>215.870193</v>
      </c>
      <c r="U41">
        <v>217.33749399999999</v>
      </c>
      <c r="V41">
        <v>218.75924699999999</v>
      </c>
      <c r="W41">
        <v>220.13121000000001</v>
      </c>
      <c r="X41">
        <v>221.46958900000001</v>
      </c>
      <c r="Y41">
        <v>222.813278</v>
      </c>
      <c r="Z41">
        <v>224.16485599999999</v>
      </c>
      <c r="AA41">
        <v>225.51156599999999</v>
      </c>
      <c r="AB41">
        <v>226.854141</v>
      </c>
      <c r="AC41">
        <v>228.19508400000001</v>
      </c>
      <c r="AD41">
        <v>229.54212999999999</v>
      </c>
      <c r="AE41" t="s">
        <v>514</v>
      </c>
    </row>
    <row r="42" spans="1:31" x14ac:dyDescent="0.25">
      <c r="A42" t="s">
        <v>271</v>
      </c>
      <c r="B42" t="s">
        <v>272</v>
      </c>
      <c r="C42" t="s">
        <v>543</v>
      </c>
      <c r="D42" t="s">
        <v>234</v>
      </c>
      <c r="E42">
        <v>48.868606999999997</v>
      </c>
      <c r="F42">
        <v>49.328505999999997</v>
      </c>
      <c r="G42">
        <v>49.801876</v>
      </c>
      <c r="H42">
        <v>50.268410000000003</v>
      </c>
      <c r="I42">
        <v>50.734222000000003</v>
      </c>
      <c r="J42">
        <v>51.187572000000003</v>
      </c>
      <c r="K42">
        <v>51.631802</v>
      </c>
      <c r="L42">
        <v>52.075958</v>
      </c>
      <c r="M42">
        <v>52.514102999999999</v>
      </c>
      <c r="N42">
        <v>52.940769000000003</v>
      </c>
      <c r="O42">
        <v>53.359661000000003</v>
      </c>
      <c r="P42">
        <v>53.767310999999999</v>
      </c>
      <c r="Q42">
        <v>54.163525</v>
      </c>
      <c r="R42">
        <v>54.546295000000001</v>
      </c>
      <c r="S42">
        <v>54.911200999999998</v>
      </c>
      <c r="T42">
        <v>55.263004000000002</v>
      </c>
      <c r="U42">
        <v>55.600150999999997</v>
      </c>
      <c r="V42">
        <v>55.928660999999998</v>
      </c>
      <c r="W42">
        <v>56.245289</v>
      </c>
      <c r="X42">
        <v>56.55265</v>
      </c>
      <c r="Y42">
        <v>56.861313000000003</v>
      </c>
      <c r="Z42">
        <v>57.172103999999997</v>
      </c>
      <c r="AA42">
        <v>57.481895000000002</v>
      </c>
      <c r="AB42">
        <v>57.790633999999997</v>
      </c>
      <c r="AC42">
        <v>58.099026000000002</v>
      </c>
      <c r="AD42">
        <v>58.408915999999998</v>
      </c>
      <c r="AE42" t="s">
        <v>504</v>
      </c>
    </row>
    <row r="43" spans="1:31" x14ac:dyDescent="0.25">
      <c r="A43" t="s">
        <v>544</v>
      </c>
    </row>
    <row r="44" spans="1:31" x14ac:dyDescent="0.25">
      <c r="A44" t="s">
        <v>162</v>
      </c>
    </row>
    <row r="45" spans="1:31" x14ac:dyDescent="0.25">
      <c r="A45" t="s">
        <v>545</v>
      </c>
      <c r="B45" t="s">
        <v>546</v>
      </c>
      <c r="C45" t="s">
        <v>547</v>
      </c>
      <c r="D45" t="s">
        <v>548</v>
      </c>
      <c r="E45">
        <v>8.4944120000000005</v>
      </c>
      <c r="F45">
        <v>8.6147109999999998</v>
      </c>
      <c r="G45">
        <v>8.7350209999999997</v>
      </c>
      <c r="H45">
        <v>8.8580020000000008</v>
      </c>
      <c r="I45">
        <v>8.9711669999999994</v>
      </c>
      <c r="J45">
        <v>9.0751109999999997</v>
      </c>
      <c r="K45">
        <v>9.1697790000000001</v>
      </c>
      <c r="L45">
        <v>9.2555589999999999</v>
      </c>
      <c r="M45">
        <v>9.3323830000000001</v>
      </c>
      <c r="N45">
        <v>9.4010339999999992</v>
      </c>
      <c r="O45">
        <v>9.4613560000000003</v>
      </c>
      <c r="P45">
        <v>9.5137499999999999</v>
      </c>
      <c r="Q45">
        <v>9.5584790000000002</v>
      </c>
      <c r="R45">
        <v>9.5954759999999997</v>
      </c>
      <c r="S45">
        <v>9.6249929999999999</v>
      </c>
      <c r="T45">
        <v>9.6481890000000003</v>
      </c>
      <c r="U45">
        <v>9.6625589999999999</v>
      </c>
      <c r="V45">
        <v>9.6671499999999995</v>
      </c>
      <c r="W45">
        <v>9.6721179999999993</v>
      </c>
      <c r="X45">
        <v>9.6772670000000005</v>
      </c>
      <c r="Y45">
        <v>9.6822759999999999</v>
      </c>
      <c r="Z45">
        <v>9.6870829999999994</v>
      </c>
      <c r="AA45">
        <v>9.6917500000000008</v>
      </c>
      <c r="AB45">
        <v>9.6962539999999997</v>
      </c>
      <c r="AC45">
        <v>9.7005169999999996</v>
      </c>
      <c r="AD45">
        <v>9.7045030000000008</v>
      </c>
      <c r="AE45" t="s">
        <v>502</v>
      </c>
    </row>
    <row r="46" spans="1:31" x14ac:dyDescent="0.25">
      <c r="A46" t="s">
        <v>549</v>
      </c>
      <c r="B46" t="s">
        <v>550</v>
      </c>
      <c r="C46" t="s">
        <v>551</v>
      </c>
      <c r="D46" t="s">
        <v>552</v>
      </c>
      <c r="E46">
        <v>1.3</v>
      </c>
      <c r="F46">
        <v>1.3</v>
      </c>
      <c r="G46">
        <v>1.3</v>
      </c>
      <c r="H46">
        <v>1.3</v>
      </c>
      <c r="I46">
        <v>1.3</v>
      </c>
      <c r="J46">
        <v>1.3</v>
      </c>
      <c r="K46">
        <v>1.3</v>
      </c>
      <c r="L46">
        <v>1.3</v>
      </c>
      <c r="M46">
        <v>1.3</v>
      </c>
      <c r="N46">
        <v>1.3</v>
      </c>
      <c r="O46">
        <v>1.3</v>
      </c>
      <c r="P46">
        <v>1.3</v>
      </c>
      <c r="Q46">
        <v>1.3</v>
      </c>
      <c r="R46">
        <v>1.3</v>
      </c>
      <c r="S46">
        <v>1.3</v>
      </c>
      <c r="T46">
        <v>1.3</v>
      </c>
      <c r="U46">
        <v>1.3</v>
      </c>
      <c r="V46">
        <v>1.3</v>
      </c>
      <c r="W46">
        <v>1.3</v>
      </c>
      <c r="X46">
        <v>1.3</v>
      </c>
      <c r="Y46">
        <v>1.3</v>
      </c>
      <c r="Z46">
        <v>1.3</v>
      </c>
      <c r="AA46">
        <v>1.3</v>
      </c>
      <c r="AB46">
        <v>1.3</v>
      </c>
      <c r="AC46">
        <v>1.3</v>
      </c>
      <c r="AD46">
        <v>1.3</v>
      </c>
      <c r="AE46" t="s">
        <v>553</v>
      </c>
    </row>
    <row r="47" spans="1:31" x14ac:dyDescent="0.25">
      <c r="A47" t="s">
        <v>554</v>
      </c>
      <c r="B47" t="s">
        <v>555</v>
      </c>
      <c r="C47" t="s">
        <v>556</v>
      </c>
      <c r="D47" t="s">
        <v>557</v>
      </c>
      <c r="E47">
        <v>3.2020689999999998</v>
      </c>
      <c r="F47">
        <v>3.2208589999999999</v>
      </c>
      <c r="G47">
        <v>3.2392620000000001</v>
      </c>
      <c r="H47">
        <v>3.2580079999999998</v>
      </c>
      <c r="I47">
        <v>3.2769370000000002</v>
      </c>
      <c r="J47">
        <v>3.295919</v>
      </c>
      <c r="K47">
        <v>3.3151869999999999</v>
      </c>
      <c r="L47">
        <v>3.3336049999999999</v>
      </c>
      <c r="M47">
        <v>3.3511600000000001</v>
      </c>
      <c r="N47">
        <v>3.3678859999999999</v>
      </c>
      <c r="O47">
        <v>3.3837480000000002</v>
      </c>
      <c r="P47">
        <v>3.3987419999999999</v>
      </c>
      <c r="Q47">
        <v>3.4129209999999999</v>
      </c>
      <c r="R47">
        <v>3.426215</v>
      </c>
      <c r="S47">
        <v>3.4386139999999998</v>
      </c>
      <c r="T47">
        <v>3.4501810000000002</v>
      </c>
      <c r="U47">
        <v>3.4606970000000001</v>
      </c>
      <c r="V47">
        <v>3.470215</v>
      </c>
      <c r="W47">
        <v>3.4786480000000002</v>
      </c>
      <c r="X47">
        <v>3.4860410000000002</v>
      </c>
      <c r="Y47">
        <v>3.4922330000000001</v>
      </c>
      <c r="Z47">
        <v>3.4974340000000002</v>
      </c>
      <c r="AA47">
        <v>3.5015890000000001</v>
      </c>
      <c r="AB47">
        <v>3.504642</v>
      </c>
      <c r="AC47">
        <v>3.5068049999999999</v>
      </c>
      <c r="AD47">
        <v>3.5079829999999999</v>
      </c>
      <c r="AE47" t="s">
        <v>558</v>
      </c>
    </row>
    <row r="48" spans="1:31" x14ac:dyDescent="0.25">
      <c r="A48" t="s">
        <v>559</v>
      </c>
      <c r="B48" t="s">
        <v>560</v>
      </c>
      <c r="C48" t="s">
        <v>561</v>
      </c>
      <c r="D48" t="s">
        <v>562</v>
      </c>
      <c r="E48">
        <v>0.82194900000000004</v>
      </c>
      <c r="F48">
        <v>0.82621500000000003</v>
      </c>
      <c r="G48">
        <v>0.83040000000000003</v>
      </c>
      <c r="H48">
        <v>0.83462000000000003</v>
      </c>
      <c r="I48">
        <v>0.84283799999999998</v>
      </c>
      <c r="J48">
        <v>0.85197800000000001</v>
      </c>
      <c r="K48">
        <v>0.86122500000000002</v>
      </c>
      <c r="L48">
        <v>0.87001300000000004</v>
      </c>
      <c r="M48">
        <v>0.878359</v>
      </c>
      <c r="N48">
        <v>0.88619599999999998</v>
      </c>
      <c r="O48">
        <v>0.89350200000000002</v>
      </c>
      <c r="P48">
        <v>0.90035600000000005</v>
      </c>
      <c r="Q48">
        <v>0.90672799999999998</v>
      </c>
      <c r="R48">
        <v>0.91264500000000004</v>
      </c>
      <c r="S48">
        <v>0.91808599999999996</v>
      </c>
      <c r="T48">
        <v>0.92307399999999995</v>
      </c>
      <c r="U48">
        <v>0.92759199999999997</v>
      </c>
      <c r="V48">
        <v>0.93167500000000003</v>
      </c>
      <c r="W48">
        <v>0.93527899999999997</v>
      </c>
      <c r="X48">
        <v>0.93838100000000002</v>
      </c>
      <c r="Y48">
        <v>0.94093199999999999</v>
      </c>
      <c r="Z48">
        <v>0.94290600000000002</v>
      </c>
      <c r="AA48">
        <v>0.94488700000000003</v>
      </c>
      <c r="AB48">
        <v>0.94683600000000001</v>
      </c>
      <c r="AC48">
        <v>0.94871499999999997</v>
      </c>
      <c r="AD48">
        <v>0.95049099999999997</v>
      </c>
      <c r="AE48" t="s">
        <v>512</v>
      </c>
    </row>
    <row r="49" spans="1:31" x14ac:dyDescent="0.25">
      <c r="A49" t="s">
        <v>563</v>
      </c>
      <c r="B49" t="s">
        <v>564</v>
      </c>
      <c r="C49" t="s">
        <v>565</v>
      </c>
      <c r="D49" t="s">
        <v>562</v>
      </c>
      <c r="E49">
        <v>0.83211599999999997</v>
      </c>
      <c r="F49">
        <v>0.83264400000000005</v>
      </c>
      <c r="G49">
        <v>0.83314299999999997</v>
      </c>
      <c r="H49">
        <v>0.83362700000000001</v>
      </c>
      <c r="I49">
        <v>0.83410099999999998</v>
      </c>
      <c r="J49">
        <v>0.83458200000000005</v>
      </c>
      <c r="K49">
        <v>0.83506199999999997</v>
      </c>
      <c r="L49">
        <v>0.83552599999999999</v>
      </c>
      <c r="M49">
        <v>0.83596300000000001</v>
      </c>
      <c r="N49">
        <v>0.83637700000000004</v>
      </c>
      <c r="O49">
        <v>0.836758</v>
      </c>
      <c r="P49">
        <v>0.83711599999999997</v>
      </c>
      <c r="Q49">
        <v>0.83744499999999999</v>
      </c>
      <c r="R49">
        <v>0.83774999999999999</v>
      </c>
      <c r="S49">
        <v>0.83803300000000003</v>
      </c>
      <c r="T49">
        <v>0.83829200000000004</v>
      </c>
      <c r="U49">
        <v>0.83852499999999996</v>
      </c>
      <c r="V49">
        <v>0.83873600000000004</v>
      </c>
      <c r="W49">
        <v>0.83892</v>
      </c>
      <c r="X49">
        <v>0.83907699999999996</v>
      </c>
      <c r="Y49">
        <v>0.83919900000000003</v>
      </c>
      <c r="Z49">
        <v>0.83929500000000001</v>
      </c>
      <c r="AA49">
        <v>0.83939799999999998</v>
      </c>
      <c r="AB49">
        <v>0.83950499999999995</v>
      </c>
      <c r="AC49">
        <v>0.83961799999999998</v>
      </c>
      <c r="AD49">
        <v>0.83973600000000004</v>
      </c>
      <c r="AE49" t="s">
        <v>553</v>
      </c>
    </row>
    <row r="50" spans="1:31" x14ac:dyDescent="0.25">
      <c r="A50" t="s">
        <v>173</v>
      </c>
    </row>
    <row r="51" spans="1:31" x14ac:dyDescent="0.25">
      <c r="A51" t="s">
        <v>566</v>
      </c>
      <c r="B51" t="s">
        <v>567</v>
      </c>
      <c r="C51" t="s">
        <v>568</v>
      </c>
      <c r="D51" t="s">
        <v>569</v>
      </c>
      <c r="E51">
        <v>14.394477</v>
      </c>
      <c r="F51">
        <v>14.649236</v>
      </c>
      <c r="G51">
        <v>14.903358000000001</v>
      </c>
      <c r="H51">
        <v>15.162801999999999</v>
      </c>
      <c r="I51">
        <v>15.401135999999999</v>
      </c>
      <c r="J51">
        <v>15.619678</v>
      </c>
      <c r="K51">
        <v>15.818391999999999</v>
      </c>
      <c r="L51">
        <v>15.998156</v>
      </c>
      <c r="M51">
        <v>16.158895000000001</v>
      </c>
      <c r="N51">
        <v>16.302316999999999</v>
      </c>
      <c r="O51">
        <v>16.428106</v>
      </c>
      <c r="P51">
        <v>16.537175999999999</v>
      </c>
      <c r="Q51">
        <v>16.630082999999999</v>
      </c>
      <c r="R51">
        <v>16.706704999999999</v>
      </c>
      <c r="S51">
        <v>16.767574</v>
      </c>
      <c r="T51">
        <v>16.818881999999999</v>
      </c>
      <c r="U51">
        <v>16.851130000000001</v>
      </c>
      <c r="V51">
        <v>16.862507000000001</v>
      </c>
      <c r="W51">
        <v>16.874935000000001</v>
      </c>
      <c r="X51">
        <v>16.887955000000002</v>
      </c>
      <c r="Y51">
        <v>16.900825999999999</v>
      </c>
      <c r="Z51">
        <v>16.913347000000002</v>
      </c>
      <c r="AA51">
        <v>16.925616999999999</v>
      </c>
      <c r="AB51">
        <v>16.937542000000001</v>
      </c>
      <c r="AC51">
        <v>16.948915</v>
      </c>
      <c r="AD51">
        <v>16.959634999999999</v>
      </c>
      <c r="AE51" t="s">
        <v>504</v>
      </c>
    </row>
    <row r="52" spans="1:31" x14ac:dyDescent="0.25">
      <c r="A52" t="s">
        <v>549</v>
      </c>
      <c r="B52" t="s">
        <v>570</v>
      </c>
      <c r="C52" t="s">
        <v>571</v>
      </c>
      <c r="D52" t="s">
        <v>552</v>
      </c>
      <c r="E52">
        <v>0.62992899999999996</v>
      </c>
      <c r="F52">
        <v>0.63624700000000001</v>
      </c>
      <c r="G52">
        <v>0.64288400000000001</v>
      </c>
      <c r="H52">
        <v>0.64990599999999998</v>
      </c>
      <c r="I52">
        <v>0.65654999999999997</v>
      </c>
      <c r="J52">
        <v>0.66279299999999997</v>
      </c>
      <c r="K52">
        <v>0.668605</v>
      </c>
      <c r="L52">
        <v>0.67397399999999996</v>
      </c>
      <c r="M52">
        <v>0.67886199999999997</v>
      </c>
      <c r="N52">
        <v>0.68328800000000001</v>
      </c>
      <c r="O52">
        <v>0.68722099999999997</v>
      </c>
      <c r="P52">
        <v>0.69066499999999997</v>
      </c>
      <c r="Q52">
        <v>0.69361099999999998</v>
      </c>
      <c r="R52">
        <v>0.69603800000000005</v>
      </c>
      <c r="S52">
        <v>0.69794199999999995</v>
      </c>
      <c r="T52">
        <v>0.69928800000000002</v>
      </c>
      <c r="U52">
        <v>0.7</v>
      </c>
      <c r="V52">
        <v>0.7</v>
      </c>
      <c r="W52">
        <v>0.7</v>
      </c>
      <c r="X52">
        <v>0.7</v>
      </c>
      <c r="Y52">
        <v>0.7</v>
      </c>
      <c r="Z52">
        <v>0.7</v>
      </c>
      <c r="AA52">
        <v>0.7</v>
      </c>
      <c r="AB52">
        <v>0.7</v>
      </c>
      <c r="AC52">
        <v>0.7</v>
      </c>
      <c r="AD52">
        <v>0.7</v>
      </c>
      <c r="AE52" t="s">
        <v>558</v>
      </c>
    </row>
    <row r="53" spans="1:31" x14ac:dyDescent="0.25">
      <c r="A53" t="s">
        <v>572</v>
      </c>
      <c r="B53" t="s">
        <v>573</v>
      </c>
      <c r="C53" t="s">
        <v>574</v>
      </c>
      <c r="D53" t="s">
        <v>575</v>
      </c>
      <c r="E53">
        <v>14.018055</v>
      </c>
      <c r="F53">
        <v>14.153003</v>
      </c>
      <c r="G53">
        <v>14.285444999999999</v>
      </c>
      <c r="H53">
        <v>14.420227000000001</v>
      </c>
      <c r="I53">
        <v>14.556438</v>
      </c>
      <c r="J53">
        <v>14.693085</v>
      </c>
      <c r="K53">
        <v>14.831795</v>
      </c>
      <c r="L53">
        <v>14.964411999999999</v>
      </c>
      <c r="M53">
        <v>15.090814999999999</v>
      </c>
      <c r="N53">
        <v>15.211212</v>
      </c>
      <c r="O53">
        <v>15.325381</v>
      </c>
      <c r="P53">
        <v>15.433255000000001</v>
      </c>
      <c r="Q53">
        <v>15.535234000000001</v>
      </c>
      <c r="R53">
        <v>15.630803</v>
      </c>
      <c r="S53">
        <v>15.719887</v>
      </c>
      <c r="T53">
        <v>15.802962000000001</v>
      </c>
      <c r="U53">
        <v>15.878443000000001</v>
      </c>
      <c r="V53">
        <v>15.946691</v>
      </c>
      <c r="W53">
        <v>16.007121999999999</v>
      </c>
      <c r="X53">
        <v>16.060036</v>
      </c>
      <c r="Y53">
        <v>16.104306999999999</v>
      </c>
      <c r="Z53">
        <v>16.141459000000001</v>
      </c>
      <c r="AA53">
        <v>16.171091000000001</v>
      </c>
      <c r="AB53">
        <v>16.192817999999999</v>
      </c>
      <c r="AC53">
        <v>16.208144999999998</v>
      </c>
      <c r="AD53">
        <v>16.216425000000001</v>
      </c>
      <c r="AE53" t="s">
        <v>512</v>
      </c>
    </row>
    <row r="54" spans="1:31" x14ac:dyDescent="0.25">
      <c r="A54" t="s">
        <v>576</v>
      </c>
      <c r="B54" t="s">
        <v>577</v>
      </c>
      <c r="C54" t="s">
        <v>578</v>
      </c>
      <c r="D54" t="s">
        <v>569</v>
      </c>
      <c r="E54">
        <v>13.182221999999999</v>
      </c>
      <c r="F54">
        <v>13.332609</v>
      </c>
      <c r="G54">
        <v>13.483406</v>
      </c>
      <c r="H54">
        <v>13.636544000000001</v>
      </c>
      <c r="I54">
        <v>13.779714999999999</v>
      </c>
      <c r="J54">
        <v>13.925951</v>
      </c>
      <c r="K54">
        <v>14.060987000000001</v>
      </c>
      <c r="L54">
        <v>14.184298999999999</v>
      </c>
      <c r="M54">
        <v>14.295242</v>
      </c>
      <c r="N54">
        <v>14.394966999999999</v>
      </c>
      <c r="O54">
        <v>14.482498</v>
      </c>
      <c r="P54">
        <v>14.557345</v>
      </c>
      <c r="Q54">
        <v>14.620028</v>
      </c>
      <c r="R54">
        <v>14.671937</v>
      </c>
      <c r="S54">
        <v>14.712533000000001</v>
      </c>
      <c r="T54">
        <v>14.742565000000001</v>
      </c>
      <c r="U54">
        <v>14.761471</v>
      </c>
      <c r="V54">
        <v>14.768062</v>
      </c>
      <c r="W54">
        <v>14.774350999999999</v>
      </c>
      <c r="X54">
        <v>14.780355</v>
      </c>
      <c r="Y54">
        <v>14.786111</v>
      </c>
      <c r="Z54">
        <v>14.791622</v>
      </c>
      <c r="AA54">
        <v>14.796846</v>
      </c>
      <c r="AB54">
        <v>14.801774</v>
      </c>
      <c r="AC54">
        <v>14.806412999999999</v>
      </c>
      <c r="AD54">
        <v>14.810778000000001</v>
      </c>
      <c r="AE54" t="s">
        <v>502</v>
      </c>
    </row>
    <row r="55" spans="1:31" x14ac:dyDescent="0.25">
      <c r="A55" t="s">
        <v>579</v>
      </c>
      <c r="B55" t="s">
        <v>580</v>
      </c>
      <c r="C55" t="s">
        <v>581</v>
      </c>
      <c r="D55" t="s">
        <v>575</v>
      </c>
      <c r="E55">
        <v>11.645765000000001</v>
      </c>
      <c r="F55">
        <v>11.861027</v>
      </c>
      <c r="G55">
        <v>12.310933</v>
      </c>
      <c r="H55">
        <v>12.769360000000001</v>
      </c>
      <c r="I55">
        <v>13.284547</v>
      </c>
      <c r="J55">
        <v>13.782188</v>
      </c>
      <c r="K55">
        <v>14.243883</v>
      </c>
      <c r="L55">
        <v>14.660746</v>
      </c>
      <c r="M55">
        <v>15.032824</v>
      </c>
      <c r="N55">
        <v>15.34953</v>
      </c>
      <c r="O55">
        <v>15.587445000000001</v>
      </c>
      <c r="P55">
        <v>15.743828000000001</v>
      </c>
      <c r="Q55">
        <v>15.817233</v>
      </c>
      <c r="R55">
        <v>15.875088999999999</v>
      </c>
      <c r="S55">
        <v>15.918317</v>
      </c>
      <c r="T55">
        <v>15.94899</v>
      </c>
      <c r="U55">
        <v>15.969602999999999</v>
      </c>
      <c r="V55">
        <v>15.982771</v>
      </c>
      <c r="W55">
        <v>15.990712</v>
      </c>
      <c r="X55">
        <v>15.995247000000001</v>
      </c>
      <c r="Y55">
        <v>15.997692000000001</v>
      </c>
      <c r="Z55">
        <v>15.998946</v>
      </c>
      <c r="AA55">
        <v>15.999542999999999</v>
      </c>
      <c r="AB55">
        <v>15.999808</v>
      </c>
      <c r="AC55">
        <v>15.999928000000001</v>
      </c>
      <c r="AD55">
        <v>15.999976</v>
      </c>
      <c r="AE55" t="s">
        <v>582</v>
      </c>
    </row>
    <row r="56" spans="1:31" x14ac:dyDescent="0.25">
      <c r="A56" t="s">
        <v>176</v>
      </c>
    </row>
    <row r="57" spans="1:31" x14ac:dyDescent="0.25">
      <c r="A57" t="s">
        <v>583</v>
      </c>
      <c r="B57" t="s">
        <v>584</v>
      </c>
      <c r="C57" t="s">
        <v>585</v>
      </c>
      <c r="D57" t="s">
        <v>586</v>
      </c>
      <c r="E57">
        <v>1.1499429999999999</v>
      </c>
      <c r="F57">
        <v>1.174917</v>
      </c>
      <c r="G57">
        <v>1.19136</v>
      </c>
      <c r="H57">
        <v>1.2090780000000001</v>
      </c>
      <c r="I57">
        <v>1.3223739999999999</v>
      </c>
      <c r="J57">
        <v>1.415462</v>
      </c>
      <c r="K57">
        <v>1.513617</v>
      </c>
      <c r="L57">
        <v>1.607691</v>
      </c>
      <c r="M57">
        <v>1.697708</v>
      </c>
      <c r="N57">
        <v>1.782251</v>
      </c>
      <c r="O57">
        <v>1.8609519999999999</v>
      </c>
      <c r="P57">
        <v>1.933254</v>
      </c>
      <c r="Q57">
        <v>1.9984850000000001</v>
      </c>
      <c r="R57">
        <v>2.0566399999999998</v>
      </c>
      <c r="S57">
        <v>2.107246</v>
      </c>
      <c r="T57">
        <v>2.1504300000000001</v>
      </c>
      <c r="U57">
        <v>2.1858909999999998</v>
      </c>
      <c r="V57">
        <v>2.2133630000000002</v>
      </c>
      <c r="W57">
        <v>2.2330320000000001</v>
      </c>
      <c r="X57">
        <v>2.2516430000000001</v>
      </c>
      <c r="Y57">
        <v>2.2690800000000002</v>
      </c>
      <c r="Z57">
        <v>2.2852920000000001</v>
      </c>
      <c r="AA57">
        <v>2.3002539999999998</v>
      </c>
      <c r="AB57">
        <v>2.3139759999999998</v>
      </c>
      <c r="AC57">
        <v>2.3265150000000001</v>
      </c>
      <c r="AD57">
        <v>2.337879</v>
      </c>
      <c r="AE57" t="s">
        <v>587</v>
      </c>
    </row>
    <row r="58" spans="1:31" x14ac:dyDescent="0.25">
      <c r="A58" t="s">
        <v>588</v>
      </c>
      <c r="B58" t="s">
        <v>589</v>
      </c>
      <c r="C58" t="s">
        <v>590</v>
      </c>
      <c r="D58" t="s">
        <v>586</v>
      </c>
      <c r="E58">
        <v>0.61341900000000005</v>
      </c>
      <c r="F58">
        <v>0.616896</v>
      </c>
      <c r="G58">
        <v>0.61976299999999995</v>
      </c>
      <c r="H58">
        <v>0.62213300000000005</v>
      </c>
      <c r="I58">
        <v>0.62867700000000004</v>
      </c>
      <c r="J58">
        <v>0.63433700000000004</v>
      </c>
      <c r="K58">
        <v>0.63926899999999998</v>
      </c>
      <c r="L58">
        <v>0.64344900000000005</v>
      </c>
      <c r="M58">
        <v>0.64674299999999996</v>
      </c>
      <c r="N58">
        <v>0.64916600000000002</v>
      </c>
      <c r="O58">
        <v>0.65077700000000005</v>
      </c>
      <c r="P58">
        <v>0.65238700000000005</v>
      </c>
      <c r="Q58">
        <v>0.65396600000000005</v>
      </c>
      <c r="R58">
        <v>0.65549900000000005</v>
      </c>
      <c r="S58">
        <v>0.65696900000000003</v>
      </c>
      <c r="T58">
        <v>0.65836799999999995</v>
      </c>
      <c r="U58">
        <v>0.65968499999999997</v>
      </c>
      <c r="V58">
        <v>0.66091699999999998</v>
      </c>
      <c r="W58">
        <v>0.66205899999999995</v>
      </c>
      <c r="X58">
        <v>0.66310999999999998</v>
      </c>
      <c r="Y58">
        <v>0.66407099999999997</v>
      </c>
      <c r="Z58">
        <v>0.66494200000000003</v>
      </c>
      <c r="AA58">
        <v>0.66572399999999998</v>
      </c>
      <c r="AB58">
        <v>0.66642199999999996</v>
      </c>
      <c r="AC58">
        <v>0.667041</v>
      </c>
      <c r="AD58">
        <v>0.66758600000000001</v>
      </c>
      <c r="AE58" t="s">
        <v>591</v>
      </c>
    </row>
    <row r="59" spans="1:31" x14ac:dyDescent="0.25">
      <c r="A59" t="s">
        <v>592</v>
      </c>
      <c r="B59" t="s">
        <v>593</v>
      </c>
      <c r="C59" t="s">
        <v>594</v>
      </c>
      <c r="D59" t="s">
        <v>586</v>
      </c>
      <c r="E59">
        <v>0.55984</v>
      </c>
      <c r="F59">
        <v>0.57216900000000004</v>
      </c>
      <c r="G59">
        <v>0.58407900000000001</v>
      </c>
      <c r="H59">
        <v>0.59534100000000001</v>
      </c>
      <c r="I59">
        <v>0.60676600000000003</v>
      </c>
      <c r="J59">
        <v>0.616869</v>
      </c>
      <c r="K59">
        <v>0.62558499999999995</v>
      </c>
      <c r="L59">
        <v>0.63260099999999997</v>
      </c>
      <c r="M59">
        <v>0.63767600000000002</v>
      </c>
      <c r="N59">
        <v>0.64056400000000002</v>
      </c>
      <c r="O59">
        <v>0.64110900000000004</v>
      </c>
      <c r="P59">
        <v>0.64166800000000002</v>
      </c>
      <c r="Q59">
        <v>0.64223300000000005</v>
      </c>
      <c r="R59">
        <v>0.64279900000000001</v>
      </c>
      <c r="S59">
        <v>0.64336300000000002</v>
      </c>
      <c r="T59">
        <v>0.64391799999999999</v>
      </c>
      <c r="U59">
        <v>0.64446199999999998</v>
      </c>
      <c r="V59">
        <v>0.64498999999999995</v>
      </c>
      <c r="W59">
        <v>0.64549999999999996</v>
      </c>
      <c r="X59">
        <v>0.64598800000000001</v>
      </c>
      <c r="Y59">
        <v>0.64645300000000006</v>
      </c>
      <c r="Z59">
        <v>0.64689200000000002</v>
      </c>
      <c r="AA59">
        <v>0.64730399999999999</v>
      </c>
      <c r="AB59">
        <v>0.64768800000000004</v>
      </c>
      <c r="AC59">
        <v>0.64804399999999995</v>
      </c>
      <c r="AD59">
        <v>0.64837199999999995</v>
      </c>
      <c r="AE59" t="s">
        <v>512</v>
      </c>
    </row>
    <row r="60" spans="1:31" x14ac:dyDescent="0.25">
      <c r="A60" t="s">
        <v>595</v>
      </c>
      <c r="B60" t="s">
        <v>596</v>
      </c>
      <c r="C60" t="s">
        <v>597</v>
      </c>
      <c r="D60" t="s">
        <v>586</v>
      </c>
      <c r="E60">
        <v>0.62192700000000001</v>
      </c>
      <c r="F60">
        <v>0.62515299999999996</v>
      </c>
      <c r="G60">
        <v>0.62743199999999999</v>
      </c>
      <c r="H60">
        <v>0.62917199999999995</v>
      </c>
      <c r="I60">
        <v>0.634517</v>
      </c>
      <c r="J60">
        <v>0.63917000000000002</v>
      </c>
      <c r="K60">
        <v>0.64313299999999995</v>
      </c>
      <c r="L60">
        <v>0.646393</v>
      </c>
      <c r="M60">
        <v>0.64889699999999995</v>
      </c>
      <c r="N60">
        <v>0.65062799999999998</v>
      </c>
      <c r="O60">
        <v>0.651559</v>
      </c>
      <c r="P60">
        <v>0.65250300000000006</v>
      </c>
      <c r="Q60">
        <v>0.65344500000000005</v>
      </c>
      <c r="R60">
        <v>0.65437500000000004</v>
      </c>
      <c r="S60">
        <v>0.65528399999999998</v>
      </c>
      <c r="T60">
        <v>0.65616699999999994</v>
      </c>
      <c r="U60">
        <v>0.65701799999999999</v>
      </c>
      <c r="V60">
        <v>0.657833</v>
      </c>
      <c r="W60">
        <v>0.658609</v>
      </c>
      <c r="X60">
        <v>0.65934099999999995</v>
      </c>
      <c r="Y60">
        <v>0.66002799999999995</v>
      </c>
      <c r="Z60">
        <v>0.66066499999999995</v>
      </c>
      <c r="AA60">
        <v>0.66125100000000003</v>
      </c>
      <c r="AB60">
        <v>0.66178499999999996</v>
      </c>
      <c r="AC60">
        <v>0.662269</v>
      </c>
      <c r="AD60">
        <v>0.66270399999999996</v>
      </c>
      <c r="AE60" t="s">
        <v>591</v>
      </c>
    </row>
    <row r="61" spans="1:31" x14ac:dyDescent="0.25">
      <c r="A61" t="s">
        <v>598</v>
      </c>
    </row>
    <row r="62" spans="1:31" x14ac:dyDescent="0.25">
      <c r="A62" t="s">
        <v>269</v>
      </c>
      <c r="B62" t="s">
        <v>599</v>
      </c>
      <c r="C62" t="s">
        <v>600</v>
      </c>
      <c r="D62" t="s">
        <v>601</v>
      </c>
      <c r="E62">
        <v>596.52557400000001</v>
      </c>
      <c r="F62">
        <v>587.68524200000002</v>
      </c>
      <c r="G62">
        <v>578.72015399999998</v>
      </c>
      <c r="H62">
        <v>569.70684800000004</v>
      </c>
      <c r="I62">
        <v>561.17810099999997</v>
      </c>
      <c r="J62">
        <v>548.50134300000002</v>
      </c>
      <c r="K62">
        <v>536.26910399999997</v>
      </c>
      <c r="L62">
        <v>524.46575900000005</v>
      </c>
      <c r="M62">
        <v>513.08746299999996</v>
      </c>
      <c r="N62">
        <v>502.114105</v>
      </c>
      <c r="O62">
        <v>491.57818600000002</v>
      </c>
      <c r="P62">
        <v>481.78292800000003</v>
      </c>
      <c r="Q62">
        <v>472.79702800000001</v>
      </c>
      <c r="R62">
        <v>464.65429699999999</v>
      </c>
      <c r="S62">
        <v>457.36560100000003</v>
      </c>
      <c r="T62">
        <v>450.895355</v>
      </c>
      <c r="U62">
        <v>445.244843</v>
      </c>
      <c r="V62">
        <v>440.373627</v>
      </c>
      <c r="W62">
        <v>436.319031</v>
      </c>
      <c r="X62">
        <v>433.03894000000003</v>
      </c>
      <c r="Y62">
        <v>430.56066900000002</v>
      </c>
      <c r="Z62">
        <v>428.90655500000003</v>
      </c>
      <c r="AA62">
        <v>428.04953</v>
      </c>
      <c r="AB62">
        <v>427.28192100000001</v>
      </c>
      <c r="AC62">
        <v>426.60015900000002</v>
      </c>
      <c r="AD62">
        <v>425.988586</v>
      </c>
      <c r="AE62" t="s">
        <v>602</v>
      </c>
    </row>
    <row r="63" spans="1:31" x14ac:dyDescent="0.25">
      <c r="A63" t="s">
        <v>271</v>
      </c>
      <c r="B63" t="s">
        <v>603</v>
      </c>
      <c r="C63" t="s">
        <v>604</v>
      </c>
      <c r="D63" t="s">
        <v>601</v>
      </c>
      <c r="E63">
        <v>458.94305400000002</v>
      </c>
      <c r="F63">
        <v>454.38635299999999</v>
      </c>
      <c r="G63">
        <v>449.85458399999999</v>
      </c>
      <c r="H63">
        <v>445.28195199999999</v>
      </c>
      <c r="I63">
        <v>440.63296500000001</v>
      </c>
      <c r="J63">
        <v>433.89245599999998</v>
      </c>
      <c r="K63">
        <v>427.01754799999998</v>
      </c>
      <c r="L63">
        <v>420.04757699999999</v>
      </c>
      <c r="M63">
        <v>413.35656699999998</v>
      </c>
      <c r="N63">
        <v>406.94708300000002</v>
      </c>
      <c r="O63">
        <v>400.83316000000002</v>
      </c>
      <c r="P63">
        <v>395.00173999999998</v>
      </c>
      <c r="Q63">
        <v>389.434753</v>
      </c>
      <c r="R63">
        <v>384.16476399999999</v>
      </c>
      <c r="S63">
        <v>379.21167000000003</v>
      </c>
      <c r="T63">
        <v>374.55355800000001</v>
      </c>
      <c r="U63">
        <v>370.24371300000001</v>
      </c>
      <c r="V63">
        <v>366.24969499999997</v>
      </c>
      <c r="W63">
        <v>362.59118699999999</v>
      </c>
      <c r="X63">
        <v>359.25006100000002</v>
      </c>
      <c r="Y63">
        <v>356.20797700000003</v>
      </c>
      <c r="Z63">
        <v>353.52856400000002</v>
      </c>
      <c r="AA63">
        <v>351.185089</v>
      </c>
      <c r="AB63">
        <v>349.22869900000001</v>
      </c>
      <c r="AC63">
        <v>347.686554</v>
      </c>
      <c r="AD63">
        <v>346.56289700000002</v>
      </c>
      <c r="AE63" t="s">
        <v>605</v>
      </c>
    </row>
    <row r="64" spans="1:31" x14ac:dyDescent="0.25">
      <c r="A64" t="s">
        <v>606</v>
      </c>
    </row>
    <row r="65" spans="1:31" x14ac:dyDescent="0.25">
      <c r="A65" t="s">
        <v>607</v>
      </c>
    </row>
    <row r="66" spans="1:31" x14ac:dyDescent="0.25">
      <c r="A66" t="s">
        <v>608</v>
      </c>
      <c r="B66" t="s">
        <v>609</v>
      </c>
      <c r="C66" t="s">
        <v>610</v>
      </c>
      <c r="D66" t="s">
        <v>611</v>
      </c>
      <c r="E66">
        <v>0.95610099999999998</v>
      </c>
      <c r="F66">
        <v>0.95075799999999999</v>
      </c>
      <c r="G66">
        <v>0.945052</v>
      </c>
      <c r="H66">
        <v>0.938998</v>
      </c>
      <c r="I66">
        <v>0.93234499999999998</v>
      </c>
      <c r="J66">
        <v>0.92517199999999999</v>
      </c>
      <c r="K66">
        <v>0.91781599999999997</v>
      </c>
      <c r="L66">
        <v>0.91053700000000004</v>
      </c>
      <c r="M66">
        <v>0.90305000000000002</v>
      </c>
      <c r="N66">
        <v>0.895764</v>
      </c>
      <c r="O66">
        <v>0.88857200000000003</v>
      </c>
      <c r="P66">
        <v>0.88155799999999995</v>
      </c>
      <c r="Q66">
        <v>0.87451100000000004</v>
      </c>
      <c r="R66">
        <v>0.86754500000000001</v>
      </c>
      <c r="S66">
        <v>0.86061299999999996</v>
      </c>
      <c r="T66">
        <v>0.85371600000000003</v>
      </c>
      <c r="U66">
        <v>0.84686600000000001</v>
      </c>
      <c r="V66">
        <v>0.84017699999999995</v>
      </c>
      <c r="W66">
        <v>0.83362000000000003</v>
      </c>
      <c r="X66">
        <v>0.82715000000000005</v>
      </c>
      <c r="Y66">
        <v>0.82064999999999999</v>
      </c>
      <c r="Z66">
        <v>0.81401599999999996</v>
      </c>
      <c r="AA66">
        <v>0.80725599999999997</v>
      </c>
      <c r="AB66">
        <v>0.80045100000000002</v>
      </c>
      <c r="AC66">
        <v>0.79367699999999997</v>
      </c>
      <c r="AD66">
        <v>0.78692600000000001</v>
      </c>
      <c r="AE66" t="s">
        <v>612</v>
      </c>
    </row>
    <row r="67" spans="1:31" x14ac:dyDescent="0.25">
      <c r="A67" t="s">
        <v>613</v>
      </c>
      <c r="B67" t="s">
        <v>614</v>
      </c>
      <c r="C67" t="s">
        <v>615</v>
      </c>
      <c r="D67" t="s">
        <v>611</v>
      </c>
      <c r="E67">
        <v>0.78972399999999998</v>
      </c>
      <c r="F67">
        <v>0.86574700000000004</v>
      </c>
      <c r="G67">
        <v>0.901509</v>
      </c>
      <c r="H67">
        <v>0.90080700000000002</v>
      </c>
      <c r="I67">
        <v>0.898675</v>
      </c>
      <c r="J67">
        <v>0.902115</v>
      </c>
      <c r="K67">
        <v>0.90810199999999996</v>
      </c>
      <c r="L67">
        <v>0.90783999999999998</v>
      </c>
      <c r="M67">
        <v>0.90634099999999995</v>
      </c>
      <c r="N67">
        <v>0.90492600000000001</v>
      </c>
      <c r="O67">
        <v>0.90334000000000003</v>
      </c>
      <c r="P67">
        <v>0.90240500000000001</v>
      </c>
      <c r="Q67">
        <v>0.89503299999999997</v>
      </c>
      <c r="R67">
        <v>0.89120200000000005</v>
      </c>
      <c r="S67">
        <v>0.88833899999999999</v>
      </c>
      <c r="T67">
        <v>0.885432</v>
      </c>
      <c r="U67">
        <v>0.88196600000000003</v>
      </c>
      <c r="V67">
        <v>0.87860000000000005</v>
      </c>
      <c r="W67">
        <v>0.87830799999999998</v>
      </c>
      <c r="X67">
        <v>0.87978699999999999</v>
      </c>
      <c r="Y67">
        <v>0.87917299999999998</v>
      </c>
      <c r="Z67">
        <v>0.87790800000000002</v>
      </c>
      <c r="AA67">
        <v>0.87659100000000001</v>
      </c>
      <c r="AB67">
        <v>0.87554500000000002</v>
      </c>
      <c r="AC67">
        <v>0.87458800000000003</v>
      </c>
      <c r="AD67">
        <v>0.87356100000000003</v>
      </c>
      <c r="AE67" t="s">
        <v>558</v>
      </c>
    </row>
    <row r="68" spans="1:31" x14ac:dyDescent="0.25">
      <c r="A68" t="s">
        <v>616</v>
      </c>
      <c r="B68" t="s">
        <v>617</v>
      </c>
      <c r="C68" t="s">
        <v>618</v>
      </c>
      <c r="D68" t="s">
        <v>611</v>
      </c>
      <c r="E68">
        <v>0.94750000000000001</v>
      </c>
      <c r="F68">
        <v>0.94159000000000004</v>
      </c>
      <c r="G68">
        <v>0.93589100000000003</v>
      </c>
      <c r="H68">
        <v>0.93000899999999997</v>
      </c>
      <c r="I68">
        <v>0.92370200000000002</v>
      </c>
      <c r="J68">
        <v>0.91712000000000005</v>
      </c>
      <c r="K68">
        <v>0.91059199999999996</v>
      </c>
      <c r="L68">
        <v>0.90427199999999996</v>
      </c>
      <c r="M68">
        <v>0.89789600000000003</v>
      </c>
      <c r="N68">
        <v>0.89180700000000002</v>
      </c>
      <c r="O68">
        <v>0.885903</v>
      </c>
      <c r="P68">
        <v>0.88025299999999995</v>
      </c>
      <c r="Q68">
        <v>0.87460199999999999</v>
      </c>
      <c r="R68">
        <v>0.86907800000000002</v>
      </c>
      <c r="S68">
        <v>0.86364300000000005</v>
      </c>
      <c r="T68">
        <v>0.85829299999999997</v>
      </c>
      <c r="U68">
        <v>0.85302800000000001</v>
      </c>
      <c r="V68">
        <v>0.84793600000000002</v>
      </c>
      <c r="W68">
        <v>0.84301000000000004</v>
      </c>
      <c r="X68">
        <v>0.83822600000000003</v>
      </c>
      <c r="Y68">
        <v>0.83348</v>
      </c>
      <c r="Z68">
        <v>0.82868799999999998</v>
      </c>
      <c r="AA68">
        <v>0.82385299999999995</v>
      </c>
      <c r="AB68">
        <v>0.81903999999999999</v>
      </c>
      <c r="AC68">
        <v>0.81430599999999997</v>
      </c>
      <c r="AD68">
        <v>0.80964599999999998</v>
      </c>
      <c r="AE68" t="s">
        <v>506</v>
      </c>
    </row>
    <row r="69" spans="1:31" x14ac:dyDescent="0.25">
      <c r="A69" t="s">
        <v>173</v>
      </c>
    </row>
    <row r="70" spans="1:31" x14ac:dyDescent="0.25">
      <c r="A70" t="s">
        <v>608</v>
      </c>
      <c r="B70" t="s">
        <v>619</v>
      </c>
      <c r="C70" t="s">
        <v>620</v>
      </c>
      <c r="D70" t="s">
        <v>611</v>
      </c>
      <c r="E70">
        <v>0.98486499999999999</v>
      </c>
      <c r="F70">
        <v>0.98309800000000003</v>
      </c>
      <c r="G70">
        <v>0.98112999999999995</v>
      </c>
      <c r="H70">
        <v>0.97897699999999999</v>
      </c>
      <c r="I70">
        <v>0.976576</v>
      </c>
      <c r="J70">
        <v>0.97401199999999999</v>
      </c>
      <c r="K70">
        <v>0.971383</v>
      </c>
      <c r="L70">
        <v>0.96880500000000003</v>
      </c>
      <c r="M70">
        <v>0.96619699999999997</v>
      </c>
      <c r="N70">
        <v>0.96365400000000001</v>
      </c>
      <c r="O70">
        <v>0.96111899999999995</v>
      </c>
      <c r="P70">
        <v>0.95863799999999999</v>
      </c>
      <c r="Q70">
        <v>0.95614100000000002</v>
      </c>
      <c r="R70">
        <v>0.95366799999999996</v>
      </c>
      <c r="S70">
        <v>0.95120899999999997</v>
      </c>
      <c r="T70">
        <v>0.94877</v>
      </c>
      <c r="U70">
        <v>0.94634300000000005</v>
      </c>
      <c r="V70">
        <v>0.94396999999999998</v>
      </c>
      <c r="W70">
        <v>0.94163699999999995</v>
      </c>
      <c r="X70">
        <v>0.93933100000000003</v>
      </c>
      <c r="Y70">
        <v>0.93701299999999998</v>
      </c>
      <c r="Z70">
        <v>0.93464700000000001</v>
      </c>
      <c r="AA70">
        <v>0.93223599999999995</v>
      </c>
      <c r="AB70">
        <v>0.92980700000000005</v>
      </c>
      <c r="AC70">
        <v>0.92738900000000002</v>
      </c>
      <c r="AD70">
        <v>0.92498400000000003</v>
      </c>
      <c r="AE70" t="s">
        <v>621</v>
      </c>
    </row>
    <row r="71" spans="1:31" x14ac:dyDescent="0.25">
      <c r="A71" t="s">
        <v>613</v>
      </c>
      <c r="B71" t="s">
        <v>622</v>
      </c>
      <c r="C71" t="s">
        <v>623</v>
      </c>
      <c r="D71" t="s">
        <v>611</v>
      </c>
      <c r="E71">
        <v>0.97893300000000005</v>
      </c>
      <c r="F71">
        <v>1.0065269999999999</v>
      </c>
      <c r="G71">
        <v>1.023568</v>
      </c>
      <c r="H71">
        <v>1.0234479999999999</v>
      </c>
      <c r="I71">
        <v>1.0224839999999999</v>
      </c>
      <c r="J71">
        <v>1.022529</v>
      </c>
      <c r="K71">
        <v>1.026335</v>
      </c>
      <c r="L71">
        <v>1.0263979999999999</v>
      </c>
      <c r="M71">
        <v>1.025671</v>
      </c>
      <c r="N71">
        <v>1.025067</v>
      </c>
      <c r="O71">
        <v>1.0245059999999999</v>
      </c>
      <c r="P71">
        <v>1.024467</v>
      </c>
      <c r="Q71">
        <v>1.019954</v>
      </c>
      <c r="R71">
        <v>1.017898</v>
      </c>
      <c r="S71">
        <v>1.0163720000000001</v>
      </c>
      <c r="T71">
        <v>1.015388</v>
      </c>
      <c r="U71">
        <v>1.014135</v>
      </c>
      <c r="V71">
        <v>1.0125500000000001</v>
      </c>
      <c r="W71">
        <v>1.013225</v>
      </c>
      <c r="X71">
        <v>1.0151429999999999</v>
      </c>
      <c r="Y71">
        <v>1.015255</v>
      </c>
      <c r="Z71">
        <v>1.01481</v>
      </c>
      <c r="AA71">
        <v>1.0144740000000001</v>
      </c>
      <c r="AB71">
        <v>1.0141720000000001</v>
      </c>
      <c r="AC71">
        <v>1.014011</v>
      </c>
      <c r="AD71">
        <v>1.0137830000000001</v>
      </c>
      <c r="AE71" t="s">
        <v>508</v>
      </c>
    </row>
    <row r="72" spans="1:31" x14ac:dyDescent="0.25">
      <c r="A72" t="s">
        <v>616</v>
      </c>
      <c r="B72" t="s">
        <v>624</v>
      </c>
      <c r="C72" t="s">
        <v>625</v>
      </c>
      <c r="D72" t="s">
        <v>611</v>
      </c>
      <c r="E72">
        <v>0.98508200000000001</v>
      </c>
      <c r="F72">
        <v>0.98362799999999995</v>
      </c>
      <c r="G72">
        <v>0.98218700000000003</v>
      </c>
      <c r="H72">
        <v>0.98058999999999996</v>
      </c>
      <c r="I72">
        <v>0.97878500000000002</v>
      </c>
      <c r="J72">
        <v>0.976858</v>
      </c>
      <c r="K72">
        <v>0.97494099999999995</v>
      </c>
      <c r="L72">
        <v>0.97310099999999999</v>
      </c>
      <c r="M72">
        <v>0.971248</v>
      </c>
      <c r="N72">
        <v>0.96946200000000005</v>
      </c>
      <c r="O72">
        <v>0.96769499999999997</v>
      </c>
      <c r="P72">
        <v>0.96598799999999996</v>
      </c>
      <c r="Q72">
        <v>0.96423099999999995</v>
      </c>
      <c r="R72">
        <v>0.96248599999999995</v>
      </c>
      <c r="S72">
        <v>0.96074199999999998</v>
      </c>
      <c r="T72">
        <v>0.95901400000000003</v>
      </c>
      <c r="U72">
        <v>0.95728999999999997</v>
      </c>
      <c r="V72">
        <v>0.95560599999999996</v>
      </c>
      <c r="W72">
        <v>0.95396400000000003</v>
      </c>
      <c r="X72">
        <v>0.95236399999999999</v>
      </c>
      <c r="Y72">
        <v>0.95076899999999998</v>
      </c>
      <c r="Z72">
        <v>0.94914799999999999</v>
      </c>
      <c r="AA72">
        <v>0.94750100000000004</v>
      </c>
      <c r="AB72">
        <v>0.94584900000000005</v>
      </c>
      <c r="AC72">
        <v>0.94421900000000003</v>
      </c>
      <c r="AD72">
        <v>0.94261099999999998</v>
      </c>
      <c r="AE72" t="s">
        <v>510</v>
      </c>
    </row>
    <row r="73" spans="1:31" x14ac:dyDescent="0.25">
      <c r="A73" t="s">
        <v>626</v>
      </c>
    </row>
    <row r="74" spans="1:31" x14ac:dyDescent="0.25">
      <c r="A74" t="s">
        <v>627</v>
      </c>
    </row>
    <row r="75" spans="1:31" x14ac:dyDescent="0.25">
      <c r="A75" t="s">
        <v>628</v>
      </c>
    </row>
    <row r="76" spans="1:31" x14ac:dyDescent="0.25">
      <c r="A76" t="s">
        <v>629</v>
      </c>
      <c r="B76" t="s">
        <v>630</v>
      </c>
      <c r="C76" t="s">
        <v>631</v>
      </c>
      <c r="D76" t="s">
        <v>632</v>
      </c>
      <c r="E76">
        <v>5.0500000000000002E-4</v>
      </c>
      <c r="F76">
        <v>1.1050000000000001E-3</v>
      </c>
      <c r="G76">
        <v>1.689E-3</v>
      </c>
      <c r="H76">
        <v>1.702E-3</v>
      </c>
      <c r="I76">
        <v>1.7149999999999999E-3</v>
      </c>
      <c r="J76">
        <v>2.529E-3</v>
      </c>
      <c r="K76">
        <v>3.6159999999999999E-3</v>
      </c>
      <c r="L76">
        <v>4.7369999999999999E-3</v>
      </c>
      <c r="M76">
        <v>5.6090000000000003E-3</v>
      </c>
      <c r="N76">
        <v>6.7019999999999996E-3</v>
      </c>
      <c r="O76">
        <v>6.7149999999999996E-3</v>
      </c>
      <c r="P76">
        <v>6.7279999999999996E-3</v>
      </c>
      <c r="Q76">
        <v>6.7409999999999996E-3</v>
      </c>
      <c r="R76">
        <v>6.7539999999999996E-3</v>
      </c>
      <c r="S76">
        <v>6.7679999999999997E-3</v>
      </c>
      <c r="T76">
        <v>6.7819999999999998E-3</v>
      </c>
      <c r="U76">
        <v>6.7980000000000002E-3</v>
      </c>
      <c r="V76">
        <v>6.8190000000000004E-3</v>
      </c>
      <c r="W76">
        <v>6.8479999999999999E-3</v>
      </c>
      <c r="X76">
        <v>6.894E-3</v>
      </c>
      <c r="Y76">
        <v>6.973E-3</v>
      </c>
      <c r="Z76">
        <v>7.1110000000000001E-3</v>
      </c>
      <c r="AA76">
        <v>7.2490000000000002E-3</v>
      </c>
      <c r="AB76">
        <v>7.3879999999999996E-3</v>
      </c>
      <c r="AC76">
        <v>7.528E-3</v>
      </c>
      <c r="AD76">
        <v>7.6689999999999996E-3</v>
      </c>
      <c r="AE76" t="s">
        <v>633</v>
      </c>
    </row>
    <row r="77" spans="1:31" x14ac:dyDescent="0.25">
      <c r="A77" t="s">
        <v>634</v>
      </c>
      <c r="B77" t="s">
        <v>635</v>
      </c>
      <c r="C77" t="s">
        <v>636</v>
      </c>
      <c r="D77" t="s">
        <v>632</v>
      </c>
      <c r="E77">
        <v>44.365597000000001</v>
      </c>
      <c r="F77">
        <v>47.055515</v>
      </c>
      <c r="G77">
        <v>50.090209999999999</v>
      </c>
      <c r="H77">
        <v>53.229542000000002</v>
      </c>
      <c r="I77">
        <v>56.177745999999999</v>
      </c>
      <c r="J77">
        <v>59.281429000000003</v>
      </c>
      <c r="K77">
        <v>62.644226000000003</v>
      </c>
      <c r="L77">
        <v>66.000397000000007</v>
      </c>
      <c r="M77">
        <v>69.527916000000005</v>
      </c>
      <c r="N77">
        <v>73.271034</v>
      </c>
      <c r="O77">
        <v>77.272437999999994</v>
      </c>
      <c r="P77">
        <v>81.470436000000007</v>
      </c>
      <c r="Q77">
        <v>85.978043</v>
      </c>
      <c r="R77">
        <v>90.700515999999993</v>
      </c>
      <c r="S77">
        <v>95.678627000000006</v>
      </c>
      <c r="T77">
        <v>100.839439</v>
      </c>
      <c r="U77">
        <v>106.218834</v>
      </c>
      <c r="V77">
        <v>111.758263</v>
      </c>
      <c r="W77">
        <v>117.472054</v>
      </c>
      <c r="X77">
        <v>123.40827899999999</v>
      </c>
      <c r="Y77">
        <v>129.49212600000001</v>
      </c>
      <c r="Z77">
        <v>135.76173399999999</v>
      </c>
      <c r="AA77">
        <v>142.22489899999999</v>
      </c>
      <c r="AB77">
        <v>148.97238200000001</v>
      </c>
      <c r="AC77">
        <v>155.84429900000001</v>
      </c>
      <c r="AD77">
        <v>162.963379</v>
      </c>
      <c r="AE77" t="s">
        <v>637</v>
      </c>
    </row>
    <row r="78" spans="1:31" x14ac:dyDescent="0.25">
      <c r="A78" t="s">
        <v>638</v>
      </c>
      <c r="B78" t="s">
        <v>639</v>
      </c>
      <c r="C78" t="s">
        <v>640</v>
      </c>
      <c r="D78" t="s">
        <v>632</v>
      </c>
      <c r="E78">
        <v>0.16123199999999999</v>
      </c>
      <c r="F78">
        <v>0.16136600000000001</v>
      </c>
      <c r="G78">
        <v>0.16153000000000001</v>
      </c>
      <c r="H78">
        <v>0.161692</v>
      </c>
      <c r="I78">
        <v>0.16195399999999999</v>
      </c>
      <c r="J78">
        <v>0.16241</v>
      </c>
      <c r="K78">
        <v>0.163239</v>
      </c>
      <c r="L78">
        <v>0.16453400000000001</v>
      </c>
      <c r="M78">
        <v>0.16653499999999999</v>
      </c>
      <c r="N78">
        <v>0.169296</v>
      </c>
      <c r="O78">
        <v>0.1726</v>
      </c>
      <c r="P78">
        <v>0.176311</v>
      </c>
      <c r="Q78">
        <v>0.180427</v>
      </c>
      <c r="R78">
        <v>0.184751</v>
      </c>
      <c r="S78">
        <v>0.18918299999999999</v>
      </c>
      <c r="T78">
        <v>0.193883</v>
      </c>
      <c r="U78">
        <v>0.199127</v>
      </c>
      <c r="V78">
        <v>0.20472899999999999</v>
      </c>
      <c r="W78">
        <v>0.21051300000000001</v>
      </c>
      <c r="X78">
        <v>0.21643999999999999</v>
      </c>
      <c r="Y78">
        <v>0.22256200000000001</v>
      </c>
      <c r="Z78">
        <v>0.22922899999999999</v>
      </c>
      <c r="AA78">
        <v>0.236147</v>
      </c>
      <c r="AB78">
        <v>0.24405399999999999</v>
      </c>
      <c r="AC78">
        <v>0.25204900000000002</v>
      </c>
      <c r="AD78">
        <v>0.260129</v>
      </c>
      <c r="AE78" t="s">
        <v>641</v>
      </c>
    </row>
    <row r="79" spans="1:31" x14ac:dyDescent="0.25">
      <c r="A79" t="s">
        <v>243</v>
      </c>
      <c r="B79" t="s">
        <v>642</v>
      </c>
      <c r="C79" t="s">
        <v>643</v>
      </c>
      <c r="D79" t="s">
        <v>632</v>
      </c>
      <c r="E79">
        <v>44.527335999999998</v>
      </c>
      <c r="F79">
        <v>47.217987000000001</v>
      </c>
      <c r="G79">
        <v>50.253428999999997</v>
      </c>
      <c r="H79">
        <v>53.392937000000003</v>
      </c>
      <c r="I79">
        <v>56.341414999999998</v>
      </c>
      <c r="J79">
        <v>59.446368999999997</v>
      </c>
      <c r="K79">
        <v>62.811081000000001</v>
      </c>
      <c r="L79">
        <v>66.169669999999996</v>
      </c>
      <c r="M79">
        <v>69.700057999999999</v>
      </c>
      <c r="N79">
        <v>73.447029000000001</v>
      </c>
      <c r="O79">
        <v>77.451751999999999</v>
      </c>
      <c r="P79">
        <v>81.653473000000005</v>
      </c>
      <c r="Q79">
        <v>86.165215000000003</v>
      </c>
      <c r="R79">
        <v>90.892021</v>
      </c>
      <c r="S79">
        <v>95.874579999999995</v>
      </c>
      <c r="T79">
        <v>101.040108</v>
      </c>
      <c r="U79">
        <v>106.42475899999999</v>
      </c>
      <c r="V79">
        <v>111.96981</v>
      </c>
      <c r="W79">
        <v>117.689415</v>
      </c>
      <c r="X79">
        <v>123.631615</v>
      </c>
      <c r="Y79">
        <v>129.721664</v>
      </c>
      <c r="Z79">
        <v>135.99807699999999</v>
      </c>
      <c r="AA79">
        <v>142.46829199999999</v>
      </c>
      <c r="AB79">
        <v>149.223816</v>
      </c>
      <c r="AC79">
        <v>156.10386700000001</v>
      </c>
      <c r="AD79">
        <v>163.23118600000001</v>
      </c>
      <c r="AE79" t="s">
        <v>637</v>
      </c>
    </row>
    <row r="80" spans="1:31" x14ac:dyDescent="0.25">
      <c r="A80" t="s">
        <v>644</v>
      </c>
    </row>
    <row r="81" spans="1:31" x14ac:dyDescent="0.25">
      <c r="A81" t="s">
        <v>629</v>
      </c>
      <c r="B81" t="s">
        <v>645</v>
      </c>
      <c r="C81" t="s">
        <v>646</v>
      </c>
      <c r="D81" t="s">
        <v>647</v>
      </c>
      <c r="E81">
        <v>2.0019999999999999E-3</v>
      </c>
      <c r="F81">
        <v>4.3750000000000004E-3</v>
      </c>
      <c r="G81">
        <v>6.6880000000000004E-3</v>
      </c>
      <c r="H81">
        <v>6.7390000000000002E-3</v>
      </c>
      <c r="I81">
        <v>6.7910000000000002E-3</v>
      </c>
      <c r="J81">
        <v>1.0015E-2</v>
      </c>
      <c r="K81">
        <v>1.4319E-2</v>
      </c>
      <c r="L81">
        <v>1.8756999999999999E-2</v>
      </c>
      <c r="M81">
        <v>2.2213E-2</v>
      </c>
      <c r="N81">
        <v>2.6542E-2</v>
      </c>
      <c r="O81">
        <v>2.6592999999999999E-2</v>
      </c>
      <c r="P81">
        <v>2.6644000000000001E-2</v>
      </c>
      <c r="Q81">
        <v>2.6696000000000001E-2</v>
      </c>
      <c r="R81">
        <v>2.6747E-2</v>
      </c>
      <c r="S81">
        <v>2.6799E-2</v>
      </c>
      <c r="T81">
        <v>2.6855E-2</v>
      </c>
      <c r="U81">
        <v>2.6918999999999998E-2</v>
      </c>
      <c r="V81">
        <v>2.7001000000000001E-2</v>
      </c>
      <c r="W81">
        <v>2.7116999999999999E-2</v>
      </c>
      <c r="X81">
        <v>2.7300999999999999E-2</v>
      </c>
      <c r="Y81">
        <v>2.7612000000000001E-2</v>
      </c>
      <c r="Z81">
        <v>2.8157999999999999E-2</v>
      </c>
      <c r="AA81">
        <v>2.8707E-2</v>
      </c>
      <c r="AB81">
        <v>2.9257999999999999E-2</v>
      </c>
      <c r="AC81">
        <v>2.9812000000000002E-2</v>
      </c>
      <c r="AD81">
        <v>3.0370999999999999E-2</v>
      </c>
      <c r="AE81" t="s">
        <v>633</v>
      </c>
    </row>
    <row r="82" spans="1:31" x14ac:dyDescent="0.25">
      <c r="A82" t="s">
        <v>634</v>
      </c>
      <c r="B82" t="s">
        <v>648</v>
      </c>
      <c r="C82" t="s">
        <v>649</v>
      </c>
      <c r="D82" t="s">
        <v>647</v>
      </c>
      <c r="E82">
        <v>65.763306</v>
      </c>
      <c r="F82">
        <v>69.514885000000007</v>
      </c>
      <c r="G82">
        <v>73.749602999999993</v>
      </c>
      <c r="H82">
        <v>78.117583999999994</v>
      </c>
      <c r="I82">
        <v>82.188416000000004</v>
      </c>
      <c r="J82">
        <v>86.464530999999994</v>
      </c>
      <c r="K82">
        <v>91.093108999999998</v>
      </c>
      <c r="L82">
        <v>95.701415999999995</v>
      </c>
      <c r="M82">
        <v>100.53012099999999</v>
      </c>
      <c r="N82">
        <v>105.647018</v>
      </c>
      <c r="O82">
        <v>111.102661</v>
      </c>
      <c r="P82">
        <v>116.817886</v>
      </c>
      <c r="Q82">
        <v>122.939804</v>
      </c>
      <c r="R82">
        <v>129.34982299999999</v>
      </c>
      <c r="S82">
        <v>136.10320999999999</v>
      </c>
      <c r="T82">
        <v>143.09359699999999</v>
      </c>
      <c r="U82">
        <v>150.360107</v>
      </c>
      <c r="V82">
        <v>157.83047500000001</v>
      </c>
      <c r="W82">
        <v>165.53160099999999</v>
      </c>
      <c r="X82">
        <v>173.53079199999999</v>
      </c>
      <c r="Y82">
        <v>181.71040300000001</v>
      </c>
      <c r="Z82">
        <v>190.129639</v>
      </c>
      <c r="AA82">
        <v>198.79531900000001</v>
      </c>
      <c r="AB82">
        <v>207.82278400000001</v>
      </c>
      <c r="AC82">
        <v>216.99314899999999</v>
      </c>
      <c r="AD82">
        <v>226.49281300000001</v>
      </c>
      <c r="AE82" t="s">
        <v>650</v>
      </c>
    </row>
    <row r="83" spans="1:31" x14ac:dyDescent="0.25">
      <c r="A83" t="s">
        <v>638</v>
      </c>
      <c r="B83" t="s">
        <v>651</v>
      </c>
      <c r="C83" t="s">
        <v>652</v>
      </c>
      <c r="D83" t="s">
        <v>647</v>
      </c>
      <c r="E83">
        <v>0.17227400000000001</v>
      </c>
      <c r="F83">
        <v>0.172428</v>
      </c>
      <c r="G83">
        <v>0.17261599999999999</v>
      </c>
      <c r="H83">
        <v>0.17280200000000001</v>
      </c>
      <c r="I83">
        <v>0.17310300000000001</v>
      </c>
      <c r="J83">
        <v>0.173625</v>
      </c>
      <c r="K83">
        <v>0.174572</v>
      </c>
      <c r="L83">
        <v>0.17604500000000001</v>
      </c>
      <c r="M83">
        <v>0.17830799999999999</v>
      </c>
      <c r="N83">
        <v>0.18141699999999999</v>
      </c>
      <c r="O83">
        <v>0.18512600000000001</v>
      </c>
      <c r="P83">
        <v>0.18928300000000001</v>
      </c>
      <c r="Q83">
        <v>0.193886</v>
      </c>
      <c r="R83">
        <v>0.198717</v>
      </c>
      <c r="S83">
        <v>0.20366799999999999</v>
      </c>
      <c r="T83">
        <v>0.20891399999999999</v>
      </c>
      <c r="U83">
        <v>0.21476100000000001</v>
      </c>
      <c r="V83">
        <v>0.221002</v>
      </c>
      <c r="W83">
        <v>0.227441</v>
      </c>
      <c r="X83">
        <v>0.23403499999999999</v>
      </c>
      <c r="Y83">
        <v>0.240839</v>
      </c>
      <c r="Z83">
        <v>0.24821199999999999</v>
      </c>
      <c r="AA83">
        <v>0.25586700000000001</v>
      </c>
      <c r="AB83">
        <v>0.26457799999999998</v>
      </c>
      <c r="AC83">
        <v>0.27338699999999999</v>
      </c>
      <c r="AD83">
        <v>0.28228599999999998</v>
      </c>
      <c r="AE83" t="s">
        <v>541</v>
      </c>
    </row>
    <row r="84" spans="1:31" x14ac:dyDescent="0.25">
      <c r="A84" t="s">
        <v>243</v>
      </c>
      <c r="B84" t="s">
        <v>653</v>
      </c>
      <c r="C84" t="s">
        <v>654</v>
      </c>
      <c r="D84" t="s">
        <v>647</v>
      </c>
      <c r="E84">
        <v>65.937576000000007</v>
      </c>
      <c r="F84">
        <v>69.691681000000003</v>
      </c>
      <c r="G84">
        <v>73.928909000000004</v>
      </c>
      <c r="H84">
        <v>78.297127000000003</v>
      </c>
      <c r="I84">
        <v>82.368308999999996</v>
      </c>
      <c r="J84">
        <v>86.648169999999993</v>
      </c>
      <c r="K84">
        <v>91.282004999999998</v>
      </c>
      <c r="L84">
        <v>95.896216999999993</v>
      </c>
      <c r="M84">
        <v>100.730644</v>
      </c>
      <c r="N84">
        <v>105.85498</v>
      </c>
      <c r="O84">
        <v>111.314384</v>
      </c>
      <c r="P84">
        <v>117.03381299999999</v>
      </c>
      <c r="Q84">
        <v>123.16038500000001</v>
      </c>
      <c r="R84">
        <v>129.575287</v>
      </c>
      <c r="S84">
        <v>136.33367899999999</v>
      </c>
      <c r="T84">
        <v>143.32936100000001</v>
      </c>
      <c r="U84">
        <v>150.60179099999999</v>
      </c>
      <c r="V84">
        <v>158.07849100000001</v>
      </c>
      <c r="W84">
        <v>165.78616299999999</v>
      </c>
      <c r="X84">
        <v>173.79212999999999</v>
      </c>
      <c r="Y84">
        <v>181.97886700000001</v>
      </c>
      <c r="Z84">
        <v>190.40600599999999</v>
      </c>
      <c r="AA84">
        <v>199.07988</v>
      </c>
      <c r="AB84">
        <v>208.11660800000001</v>
      </c>
      <c r="AC84">
        <v>217.296356</v>
      </c>
      <c r="AD84">
        <v>226.805466</v>
      </c>
      <c r="AE84" t="s">
        <v>650</v>
      </c>
    </row>
    <row r="85" spans="1:31" x14ac:dyDescent="0.25">
      <c r="A85" t="s">
        <v>655</v>
      </c>
    </row>
    <row r="86" spans="1:31" x14ac:dyDescent="0.25">
      <c r="A86" t="s">
        <v>656</v>
      </c>
      <c r="B86" t="s">
        <v>657</v>
      </c>
      <c r="C86" t="s">
        <v>658</v>
      </c>
      <c r="D86" t="s">
        <v>647</v>
      </c>
      <c r="E86">
        <v>11.678179999999999</v>
      </c>
      <c r="F86">
        <v>12.194283</v>
      </c>
      <c r="G86">
        <v>12.947094999999999</v>
      </c>
      <c r="H86">
        <v>13.733867999999999</v>
      </c>
      <c r="I86">
        <v>14.398315999999999</v>
      </c>
      <c r="J86">
        <v>15.122087000000001</v>
      </c>
      <c r="K86">
        <v>15.963412999999999</v>
      </c>
      <c r="L86">
        <v>16.765619000000001</v>
      </c>
      <c r="M86">
        <v>17.624851</v>
      </c>
      <c r="N86">
        <v>18.541654999999999</v>
      </c>
      <c r="O86">
        <v>19.535112000000002</v>
      </c>
      <c r="P86">
        <v>20.570558999999999</v>
      </c>
      <c r="Q86">
        <v>21.705860000000001</v>
      </c>
      <c r="R86">
        <v>22.895941000000001</v>
      </c>
      <c r="S86">
        <v>24.190172</v>
      </c>
      <c r="T86">
        <v>25.534420000000001</v>
      </c>
      <c r="U86">
        <v>26.944834</v>
      </c>
      <c r="V86">
        <v>28.379297000000001</v>
      </c>
      <c r="W86">
        <v>29.894017999999999</v>
      </c>
      <c r="X86">
        <v>31.475760999999999</v>
      </c>
      <c r="Y86">
        <v>33.075305999999998</v>
      </c>
      <c r="Z86">
        <v>34.696655</v>
      </c>
      <c r="AA86">
        <v>36.351891000000002</v>
      </c>
      <c r="AB86">
        <v>38.104987999999999</v>
      </c>
      <c r="AC86">
        <v>39.860675999999998</v>
      </c>
      <c r="AD86">
        <v>41.713695999999999</v>
      </c>
      <c r="AE86" t="s">
        <v>659</v>
      </c>
    </row>
    <row r="87" spans="1:31" x14ac:dyDescent="0.25">
      <c r="A87" t="s">
        <v>660</v>
      </c>
      <c r="B87" t="s">
        <v>661</v>
      </c>
      <c r="C87" t="s">
        <v>662</v>
      </c>
      <c r="D87" t="s">
        <v>647</v>
      </c>
      <c r="E87">
        <v>54.259399000000002</v>
      </c>
      <c r="F87">
        <v>57.497405999999998</v>
      </c>
      <c r="G87">
        <v>60.981811999999998</v>
      </c>
      <c r="H87">
        <v>64.563263000000006</v>
      </c>
      <c r="I87">
        <v>67.970000999999996</v>
      </c>
      <c r="J87">
        <v>71.526084999999995</v>
      </c>
      <c r="K87">
        <v>75.318588000000005</v>
      </c>
      <c r="L87">
        <v>79.130600000000001</v>
      </c>
      <c r="M87">
        <v>83.105789000000001</v>
      </c>
      <c r="N87">
        <v>87.313323999999994</v>
      </c>
      <c r="O87">
        <v>91.779266000000007</v>
      </c>
      <c r="P87">
        <v>96.463249000000005</v>
      </c>
      <c r="Q87">
        <v>101.454521</v>
      </c>
      <c r="R87">
        <v>106.67935199999999</v>
      </c>
      <c r="S87">
        <v>112.143501</v>
      </c>
      <c r="T87">
        <v>117.794945</v>
      </c>
      <c r="U87">
        <v>123.656952</v>
      </c>
      <c r="V87">
        <v>129.699173</v>
      </c>
      <c r="W87">
        <v>135.89213599999999</v>
      </c>
      <c r="X87">
        <v>142.31637599999999</v>
      </c>
      <c r="Y87">
        <v>148.903549</v>
      </c>
      <c r="Z87">
        <v>155.709351</v>
      </c>
      <c r="AA87">
        <v>162.727982</v>
      </c>
      <c r="AB87">
        <v>170.01164199999999</v>
      </c>
      <c r="AC87">
        <v>177.43568400000001</v>
      </c>
      <c r="AD87">
        <v>185.09176600000001</v>
      </c>
      <c r="AE87" t="s">
        <v>663</v>
      </c>
    </row>
    <row r="88" spans="1:31" x14ac:dyDescent="0.25">
      <c r="A88" t="s">
        <v>664</v>
      </c>
    </row>
    <row r="89" spans="1:31" x14ac:dyDescent="0.25">
      <c r="A89" t="s">
        <v>629</v>
      </c>
      <c r="B89" t="s">
        <v>665</v>
      </c>
      <c r="C89" t="s">
        <v>666</v>
      </c>
      <c r="D89" t="s">
        <v>667</v>
      </c>
      <c r="E89">
        <v>1.5282E-2</v>
      </c>
      <c r="F89">
        <v>3.3397000000000003E-2</v>
      </c>
      <c r="G89">
        <v>5.1050999999999999E-2</v>
      </c>
      <c r="H89">
        <v>5.1443999999999997E-2</v>
      </c>
      <c r="I89">
        <v>5.1837000000000001E-2</v>
      </c>
      <c r="J89">
        <v>7.6448000000000002E-2</v>
      </c>
      <c r="K89">
        <v>0.10929800000000001</v>
      </c>
      <c r="L89">
        <v>0.143174</v>
      </c>
      <c r="M89">
        <v>0.16955899999999999</v>
      </c>
      <c r="N89">
        <v>0.202596</v>
      </c>
      <c r="O89">
        <v>0.202989</v>
      </c>
      <c r="P89">
        <v>0.20338200000000001</v>
      </c>
      <c r="Q89">
        <v>0.20377500000000001</v>
      </c>
      <c r="R89">
        <v>0.20416799999999999</v>
      </c>
      <c r="S89">
        <v>0.204565</v>
      </c>
      <c r="T89">
        <v>0.20499000000000001</v>
      </c>
      <c r="U89">
        <v>0.20548</v>
      </c>
      <c r="V89">
        <v>0.20610700000000001</v>
      </c>
      <c r="W89">
        <v>0.20699300000000001</v>
      </c>
      <c r="X89">
        <v>0.208397</v>
      </c>
      <c r="Y89">
        <v>0.21077099999999999</v>
      </c>
      <c r="Z89">
        <v>0.21493499999999999</v>
      </c>
      <c r="AA89">
        <v>0.21912400000000001</v>
      </c>
      <c r="AB89">
        <v>0.22333</v>
      </c>
      <c r="AC89">
        <v>0.22756399999999999</v>
      </c>
      <c r="AD89">
        <v>0.231824</v>
      </c>
      <c r="AE89" t="s">
        <v>633</v>
      </c>
    </row>
    <row r="90" spans="1:31" x14ac:dyDescent="0.25">
      <c r="A90" t="s">
        <v>634</v>
      </c>
      <c r="B90" t="s">
        <v>668</v>
      </c>
      <c r="C90" t="s">
        <v>669</v>
      </c>
      <c r="D90" t="s">
        <v>667</v>
      </c>
      <c r="E90">
        <v>224.38436899999999</v>
      </c>
      <c r="F90">
        <v>237.18476899999999</v>
      </c>
      <c r="G90">
        <v>251.633636</v>
      </c>
      <c r="H90">
        <v>266.53720099999998</v>
      </c>
      <c r="I90">
        <v>280.42687999999998</v>
      </c>
      <c r="J90">
        <v>295.01696800000002</v>
      </c>
      <c r="K90">
        <v>310.80969199999998</v>
      </c>
      <c r="L90">
        <v>326.53320300000001</v>
      </c>
      <c r="M90">
        <v>343.00872800000002</v>
      </c>
      <c r="N90">
        <v>360.46758999999997</v>
      </c>
      <c r="O90">
        <v>379.08227499999998</v>
      </c>
      <c r="P90">
        <v>398.582581</v>
      </c>
      <c r="Q90">
        <v>419.470642</v>
      </c>
      <c r="R90">
        <v>441.34155299999998</v>
      </c>
      <c r="S90">
        <v>464.38412499999998</v>
      </c>
      <c r="T90">
        <v>488.23529100000002</v>
      </c>
      <c r="U90">
        <v>513.02868699999999</v>
      </c>
      <c r="V90">
        <v>538.51745600000004</v>
      </c>
      <c r="W90">
        <v>564.79382299999997</v>
      </c>
      <c r="X90">
        <v>592.08697500000005</v>
      </c>
      <c r="Y90">
        <v>619.99591099999998</v>
      </c>
      <c r="Z90">
        <v>648.72229000000004</v>
      </c>
      <c r="AA90">
        <v>678.28955099999996</v>
      </c>
      <c r="AB90">
        <v>709.09130900000002</v>
      </c>
      <c r="AC90">
        <v>740.38061500000003</v>
      </c>
      <c r="AD90">
        <v>772.79345699999999</v>
      </c>
      <c r="AE90" t="s">
        <v>650</v>
      </c>
    </row>
    <row r="91" spans="1:31" x14ac:dyDescent="0.25">
      <c r="A91" t="s">
        <v>638</v>
      </c>
      <c r="B91" t="s">
        <v>670</v>
      </c>
      <c r="C91" t="s">
        <v>671</v>
      </c>
      <c r="D91" t="s">
        <v>667</v>
      </c>
      <c r="E91">
        <v>0.58779899999999996</v>
      </c>
      <c r="F91">
        <v>0.58832399999999996</v>
      </c>
      <c r="G91">
        <v>0.58896499999999996</v>
      </c>
      <c r="H91">
        <v>0.58960100000000004</v>
      </c>
      <c r="I91">
        <v>0.59062800000000004</v>
      </c>
      <c r="J91">
        <v>0.59240999999999999</v>
      </c>
      <c r="K91">
        <v>0.59563999999999995</v>
      </c>
      <c r="L91">
        <v>0.60066600000000003</v>
      </c>
      <c r="M91">
        <v>0.60838700000000001</v>
      </c>
      <c r="N91">
        <v>0.61899499999999996</v>
      </c>
      <c r="O91">
        <v>0.63164799999999999</v>
      </c>
      <c r="P91">
        <v>0.64583299999999999</v>
      </c>
      <c r="Q91">
        <v>0.66153799999999996</v>
      </c>
      <c r="R91">
        <v>0.67802200000000001</v>
      </c>
      <c r="S91">
        <v>0.69491499999999995</v>
      </c>
      <c r="T91">
        <v>0.71281300000000003</v>
      </c>
      <c r="U91">
        <v>0.732765</v>
      </c>
      <c r="V91">
        <v>0.75405800000000001</v>
      </c>
      <c r="W91">
        <v>0.77603</v>
      </c>
      <c r="X91">
        <v>0.79852900000000004</v>
      </c>
      <c r="Y91">
        <v>0.821743</v>
      </c>
      <c r="Z91">
        <v>0.84689899999999996</v>
      </c>
      <c r="AA91">
        <v>0.87301700000000004</v>
      </c>
      <c r="AB91">
        <v>0.90273999999999999</v>
      </c>
      <c r="AC91">
        <v>0.93279500000000004</v>
      </c>
      <c r="AD91">
        <v>0.96316100000000004</v>
      </c>
      <c r="AE91" t="s">
        <v>541</v>
      </c>
    </row>
    <row r="92" spans="1:31" x14ac:dyDescent="0.25">
      <c r="A92" t="s">
        <v>243</v>
      </c>
      <c r="B92" t="s">
        <v>672</v>
      </c>
      <c r="C92" t="s">
        <v>673</v>
      </c>
      <c r="D92" t="s">
        <v>667</v>
      </c>
      <c r="E92">
        <v>224.98744199999999</v>
      </c>
      <c r="F92">
        <v>237.806488</v>
      </c>
      <c r="G92">
        <v>252.273651</v>
      </c>
      <c r="H92">
        <v>267.17825299999998</v>
      </c>
      <c r="I92">
        <v>281.069366</v>
      </c>
      <c r="J92">
        <v>295.68582199999997</v>
      </c>
      <c r="K92">
        <v>311.51461799999998</v>
      </c>
      <c r="L92">
        <v>327.27706899999998</v>
      </c>
      <c r="M92">
        <v>343.78668199999998</v>
      </c>
      <c r="N92">
        <v>361.28918499999997</v>
      </c>
      <c r="O92">
        <v>379.91693099999998</v>
      </c>
      <c r="P92">
        <v>399.43179300000003</v>
      </c>
      <c r="Q92">
        <v>420.335938</v>
      </c>
      <c r="R92">
        <v>442.223724</v>
      </c>
      <c r="S92">
        <v>465.28359999999998</v>
      </c>
      <c r="T92">
        <v>489.153076</v>
      </c>
      <c r="U92">
        <v>513.96698000000004</v>
      </c>
      <c r="V92">
        <v>539.47760000000005</v>
      </c>
      <c r="W92">
        <v>565.776794</v>
      </c>
      <c r="X92">
        <v>593.09387200000003</v>
      </c>
      <c r="Y92">
        <v>621.02838099999997</v>
      </c>
      <c r="Z92">
        <v>649.78411900000003</v>
      </c>
      <c r="AA92">
        <v>679.38171399999999</v>
      </c>
      <c r="AB92">
        <v>710.21734600000002</v>
      </c>
      <c r="AC92">
        <v>741.54095500000005</v>
      </c>
      <c r="AD92">
        <v>773.98840299999995</v>
      </c>
      <c r="AE92" t="s">
        <v>650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4107-E250-4800-A0F1-A4F4F99E906A}">
  <dimension ref="A1:K1076"/>
  <sheetViews>
    <sheetView workbookViewId="0"/>
  </sheetViews>
  <sheetFormatPr defaultRowHeight="15" x14ac:dyDescent="0.25"/>
  <cols>
    <col min="1" max="1" width="9.140625" style="130"/>
    <col min="2" max="2" width="40.7109375" customWidth="1"/>
    <col min="3" max="3" width="9.140625" style="130"/>
    <col min="4" max="4" width="40.7109375" customWidth="1"/>
  </cols>
  <sheetData>
    <row r="1" spans="1:11" x14ac:dyDescent="0.25">
      <c r="A1" s="130" t="s">
        <v>785</v>
      </c>
    </row>
    <row r="2" spans="1:11" x14ac:dyDescent="0.25">
      <c r="A2" s="130" t="s">
        <v>786</v>
      </c>
    </row>
    <row r="3" spans="1:11" x14ac:dyDescent="0.25">
      <c r="A3" s="130" t="s">
        <v>787</v>
      </c>
    </row>
    <row r="4" spans="1:11" x14ac:dyDescent="0.25">
      <c r="E4" t="s">
        <v>788</v>
      </c>
      <c r="F4" t="s">
        <v>789</v>
      </c>
      <c r="G4" t="s">
        <v>790</v>
      </c>
      <c r="I4" t="s">
        <v>791</v>
      </c>
    </row>
    <row r="5" spans="1:11" ht="75" x14ac:dyDescent="0.25">
      <c r="A5" s="130" t="s">
        <v>792</v>
      </c>
      <c r="B5" t="s">
        <v>793</v>
      </c>
      <c r="C5" s="130" t="s">
        <v>794</v>
      </c>
      <c r="D5" t="s">
        <v>795</v>
      </c>
      <c r="G5" t="s">
        <v>796</v>
      </c>
      <c r="H5" t="s">
        <v>797</v>
      </c>
      <c r="J5" s="46" t="s">
        <v>1586</v>
      </c>
      <c r="K5" s="46" t="s">
        <v>1587</v>
      </c>
    </row>
    <row r="6" spans="1:11" x14ac:dyDescent="0.25">
      <c r="A6" s="130" t="s">
        <v>798</v>
      </c>
      <c r="B6" t="s">
        <v>799</v>
      </c>
      <c r="C6" s="130" t="s">
        <v>798</v>
      </c>
      <c r="D6" t="s">
        <v>799</v>
      </c>
      <c r="E6">
        <v>8332</v>
      </c>
      <c r="F6">
        <v>1105</v>
      </c>
      <c r="G6">
        <v>2723</v>
      </c>
      <c r="H6">
        <v>0</v>
      </c>
      <c r="I6">
        <v>12160</v>
      </c>
    </row>
    <row r="7" spans="1:11" x14ac:dyDescent="0.25">
      <c r="A7" s="130" t="s">
        <v>800</v>
      </c>
      <c r="B7" t="s">
        <v>801</v>
      </c>
      <c r="C7" s="130" t="s">
        <v>802</v>
      </c>
      <c r="D7" t="s">
        <v>803</v>
      </c>
      <c r="E7">
        <v>0</v>
      </c>
      <c r="F7">
        <v>0</v>
      </c>
      <c r="G7">
        <v>0</v>
      </c>
      <c r="H7">
        <v>0</v>
      </c>
      <c r="I7">
        <v>0</v>
      </c>
      <c r="J7" t="str">
        <f>IFERROR(VLOOKUP(A7&amp;"",'BEA Buyer Groups'!$A$4:$C$500,3,FALSE),"Not used")</f>
        <v>Not used</v>
      </c>
      <c r="K7" t="str">
        <f t="shared" ref="K7:K70" si="0">IF(LEFT(A7,2)="23","Contractor","Direct")</f>
        <v>Direct</v>
      </c>
    </row>
    <row r="8" spans="1:11" x14ac:dyDescent="0.25">
      <c r="A8" s="130" t="s">
        <v>804</v>
      </c>
      <c r="B8" t="s">
        <v>805</v>
      </c>
      <c r="C8" s="130" t="s">
        <v>806</v>
      </c>
      <c r="D8" t="s">
        <v>807</v>
      </c>
      <c r="E8">
        <v>56</v>
      </c>
      <c r="F8">
        <v>1</v>
      </c>
      <c r="G8">
        <v>16</v>
      </c>
      <c r="H8">
        <v>0</v>
      </c>
      <c r="I8">
        <v>72</v>
      </c>
      <c r="J8" t="str">
        <f>IFERROR(VLOOKUP(A8&amp;"",'BEA Buyer Groups'!$A$4:$C$500,3,FALSE),"Not used")</f>
        <v>Not used</v>
      </c>
      <c r="K8" t="str">
        <f t="shared" si="0"/>
        <v>Direct</v>
      </c>
    </row>
    <row r="9" spans="1:11" x14ac:dyDescent="0.25">
      <c r="A9" s="130" t="s">
        <v>808</v>
      </c>
      <c r="B9" t="s">
        <v>809</v>
      </c>
      <c r="C9" s="130" t="s">
        <v>802</v>
      </c>
      <c r="D9" t="s">
        <v>803</v>
      </c>
      <c r="E9">
        <v>0</v>
      </c>
      <c r="F9">
        <v>0</v>
      </c>
      <c r="G9">
        <v>0</v>
      </c>
      <c r="H9">
        <v>0</v>
      </c>
      <c r="I9">
        <v>0</v>
      </c>
      <c r="J9" t="str">
        <f>IFERROR(VLOOKUP(A9&amp;"",'BEA Buyer Groups'!$A$4:$C$500,3,FALSE),"Not used")</f>
        <v>Not used</v>
      </c>
      <c r="K9" t="str">
        <f t="shared" si="0"/>
        <v>Direct</v>
      </c>
    </row>
    <row r="10" spans="1:11" x14ac:dyDescent="0.25">
      <c r="A10" s="130" t="s">
        <v>808</v>
      </c>
      <c r="B10" t="s">
        <v>809</v>
      </c>
      <c r="C10" s="130" t="s">
        <v>810</v>
      </c>
      <c r="D10" t="s">
        <v>811</v>
      </c>
      <c r="E10">
        <v>1</v>
      </c>
      <c r="F10">
        <v>0</v>
      </c>
      <c r="G10">
        <v>0</v>
      </c>
      <c r="H10">
        <v>0</v>
      </c>
      <c r="I10">
        <v>1</v>
      </c>
      <c r="J10" t="str">
        <f>IFERROR(VLOOKUP(A10&amp;"",'BEA Buyer Groups'!$A$4:$C$500,3,FALSE),"Not used")</f>
        <v>Not used</v>
      </c>
      <c r="K10" t="str">
        <f t="shared" si="0"/>
        <v>Direct</v>
      </c>
    </row>
    <row r="11" spans="1:11" x14ac:dyDescent="0.25">
      <c r="A11" s="130" t="s">
        <v>812</v>
      </c>
      <c r="B11" t="s">
        <v>813</v>
      </c>
      <c r="C11" s="130" t="s">
        <v>810</v>
      </c>
      <c r="D11" t="s">
        <v>811</v>
      </c>
      <c r="E11">
        <v>0</v>
      </c>
      <c r="F11">
        <v>0</v>
      </c>
      <c r="G11">
        <v>0</v>
      </c>
      <c r="H11">
        <v>0</v>
      </c>
      <c r="I11">
        <v>0</v>
      </c>
      <c r="J11" t="str">
        <f>IFERROR(VLOOKUP(A11&amp;"",'BEA Buyer Groups'!$A$4:$C$500,3,FALSE),"Not used")</f>
        <v>Not used</v>
      </c>
      <c r="K11" t="str">
        <f t="shared" si="0"/>
        <v>Direct</v>
      </c>
    </row>
    <row r="12" spans="1:11" x14ac:dyDescent="0.25">
      <c r="A12" s="130" t="s">
        <v>814</v>
      </c>
      <c r="B12" t="s">
        <v>815</v>
      </c>
      <c r="C12" s="130" t="s">
        <v>810</v>
      </c>
      <c r="D12" t="s">
        <v>811</v>
      </c>
      <c r="E12">
        <v>1</v>
      </c>
      <c r="F12">
        <v>0</v>
      </c>
      <c r="G12">
        <v>0</v>
      </c>
      <c r="H12">
        <v>0</v>
      </c>
      <c r="I12">
        <v>1</v>
      </c>
      <c r="J12" t="str">
        <f>IFERROR(VLOOKUP(A12&amp;"",'BEA Buyer Groups'!$A$4:$C$500,3,FALSE),"Not used")</f>
        <v>Not used</v>
      </c>
      <c r="K12" t="str">
        <f t="shared" si="0"/>
        <v>Direct</v>
      </c>
    </row>
    <row r="13" spans="1:11" x14ac:dyDescent="0.25">
      <c r="A13" s="130" t="s">
        <v>814</v>
      </c>
      <c r="B13" t="s">
        <v>815</v>
      </c>
      <c r="C13" s="130" t="s">
        <v>816</v>
      </c>
      <c r="D13" t="s">
        <v>817</v>
      </c>
      <c r="E13">
        <v>54</v>
      </c>
      <c r="F13">
        <v>7</v>
      </c>
      <c r="G13">
        <v>17</v>
      </c>
      <c r="H13">
        <v>0</v>
      </c>
      <c r="I13">
        <v>78</v>
      </c>
      <c r="J13" t="str">
        <f>IFERROR(VLOOKUP(A13&amp;"",'BEA Buyer Groups'!$A$4:$C$500,3,FALSE),"Not used")</f>
        <v>Not used</v>
      </c>
      <c r="K13" t="str">
        <f t="shared" si="0"/>
        <v>Direct</v>
      </c>
    </row>
    <row r="14" spans="1:11" x14ac:dyDescent="0.25">
      <c r="A14" s="130" t="s">
        <v>818</v>
      </c>
      <c r="B14" t="s">
        <v>819</v>
      </c>
      <c r="C14" s="130" t="s">
        <v>820</v>
      </c>
      <c r="D14" t="s">
        <v>821</v>
      </c>
      <c r="E14">
        <v>50</v>
      </c>
      <c r="F14">
        <v>2</v>
      </c>
      <c r="G14">
        <v>25</v>
      </c>
      <c r="H14">
        <v>0</v>
      </c>
      <c r="I14">
        <v>76</v>
      </c>
      <c r="J14" t="str">
        <f>IFERROR(VLOOKUP(A14&amp;"",'BEA Buyer Groups'!$A$4:$C$500,3,FALSE),"Not used")</f>
        <v>Not used</v>
      </c>
      <c r="K14" t="str">
        <f t="shared" si="0"/>
        <v>Direct</v>
      </c>
    </row>
    <row r="15" spans="1:11" x14ac:dyDescent="0.25">
      <c r="A15" s="130" t="s">
        <v>818</v>
      </c>
      <c r="B15" t="s">
        <v>819</v>
      </c>
      <c r="C15" s="130" t="s">
        <v>822</v>
      </c>
      <c r="D15" t="s">
        <v>823</v>
      </c>
      <c r="E15">
        <v>7</v>
      </c>
      <c r="F15">
        <v>0</v>
      </c>
      <c r="G15">
        <v>3</v>
      </c>
      <c r="H15">
        <v>0</v>
      </c>
      <c r="I15">
        <v>11</v>
      </c>
      <c r="J15" t="str">
        <f>IFERROR(VLOOKUP(A15&amp;"",'BEA Buyer Groups'!$A$4:$C$500,3,FALSE),"Not used")</f>
        <v>Not used</v>
      </c>
      <c r="K15" t="str">
        <f t="shared" si="0"/>
        <v>Direct</v>
      </c>
    </row>
    <row r="16" spans="1:11" x14ac:dyDescent="0.25">
      <c r="A16" s="130" t="s">
        <v>818</v>
      </c>
      <c r="B16" t="s">
        <v>819</v>
      </c>
      <c r="C16" s="130" t="s">
        <v>816</v>
      </c>
      <c r="D16" t="s">
        <v>817</v>
      </c>
      <c r="E16">
        <v>39</v>
      </c>
      <c r="F16">
        <v>5</v>
      </c>
      <c r="G16">
        <v>12</v>
      </c>
      <c r="H16">
        <v>0</v>
      </c>
      <c r="I16">
        <v>56</v>
      </c>
      <c r="J16" t="str">
        <f>IFERROR(VLOOKUP(A16&amp;"",'BEA Buyer Groups'!$A$4:$C$500,3,FALSE),"Not used")</f>
        <v>Not used</v>
      </c>
      <c r="K16" t="str">
        <f t="shared" si="0"/>
        <v>Direct</v>
      </c>
    </row>
    <row r="17" spans="1:11" x14ac:dyDescent="0.25">
      <c r="A17" s="130" t="s">
        <v>824</v>
      </c>
      <c r="B17" t="s">
        <v>825</v>
      </c>
      <c r="C17" s="130" t="s">
        <v>820</v>
      </c>
      <c r="D17" t="s">
        <v>821</v>
      </c>
      <c r="E17">
        <v>0</v>
      </c>
      <c r="F17">
        <v>0</v>
      </c>
      <c r="G17">
        <v>0</v>
      </c>
      <c r="H17">
        <v>0</v>
      </c>
      <c r="I17">
        <v>0</v>
      </c>
      <c r="J17" t="str">
        <f>IFERROR(VLOOKUP(A17&amp;"",'BEA Buyer Groups'!$A$4:$C$500,3,FALSE),"Not used")</f>
        <v>Not used</v>
      </c>
      <c r="K17" t="str">
        <f t="shared" si="0"/>
        <v>Direct</v>
      </c>
    </row>
    <row r="18" spans="1:11" x14ac:dyDescent="0.25">
      <c r="A18" s="130" t="s">
        <v>824</v>
      </c>
      <c r="B18" t="s">
        <v>825</v>
      </c>
      <c r="C18" s="130" t="s">
        <v>816</v>
      </c>
      <c r="D18" t="s">
        <v>817</v>
      </c>
      <c r="E18">
        <v>18</v>
      </c>
      <c r="F18">
        <v>2</v>
      </c>
      <c r="G18">
        <v>6</v>
      </c>
      <c r="H18">
        <v>0</v>
      </c>
      <c r="I18">
        <v>26</v>
      </c>
      <c r="J18" t="str">
        <f>IFERROR(VLOOKUP(A18&amp;"",'BEA Buyer Groups'!$A$4:$C$500,3,FALSE),"Not used")</f>
        <v>Not used</v>
      </c>
      <c r="K18" t="str">
        <f t="shared" si="0"/>
        <v>Direct</v>
      </c>
    </row>
    <row r="19" spans="1:11" x14ac:dyDescent="0.25">
      <c r="A19" s="130" t="s">
        <v>826</v>
      </c>
      <c r="B19" t="s">
        <v>827</v>
      </c>
      <c r="C19" s="130" t="s">
        <v>820</v>
      </c>
      <c r="D19" t="s">
        <v>821</v>
      </c>
      <c r="E19">
        <v>0</v>
      </c>
      <c r="F19">
        <v>0</v>
      </c>
      <c r="G19">
        <v>0</v>
      </c>
      <c r="H19">
        <v>0</v>
      </c>
      <c r="I19">
        <v>0</v>
      </c>
      <c r="J19" t="str">
        <f>IFERROR(VLOOKUP(A19&amp;"",'BEA Buyer Groups'!$A$4:$C$500,3,FALSE),"Not used")</f>
        <v>Not used</v>
      </c>
      <c r="K19" t="str">
        <f t="shared" si="0"/>
        <v>Direct</v>
      </c>
    </row>
    <row r="20" spans="1:11" x14ac:dyDescent="0.25">
      <c r="A20" s="130" t="s">
        <v>826</v>
      </c>
      <c r="B20" t="s">
        <v>827</v>
      </c>
      <c r="C20" s="130" t="s">
        <v>816</v>
      </c>
      <c r="D20" t="s">
        <v>817</v>
      </c>
      <c r="E20">
        <v>2</v>
      </c>
      <c r="F20">
        <v>0</v>
      </c>
      <c r="G20">
        <v>1</v>
      </c>
      <c r="H20">
        <v>0</v>
      </c>
      <c r="I20">
        <v>3</v>
      </c>
      <c r="J20" t="str">
        <f>IFERROR(VLOOKUP(A20&amp;"",'BEA Buyer Groups'!$A$4:$C$500,3,FALSE),"Not used")</f>
        <v>Not used</v>
      </c>
      <c r="K20" t="str">
        <f t="shared" si="0"/>
        <v>Direct</v>
      </c>
    </row>
    <row r="21" spans="1:11" x14ac:dyDescent="0.25">
      <c r="A21" s="130" t="s">
        <v>828</v>
      </c>
      <c r="B21" t="s">
        <v>829</v>
      </c>
      <c r="C21" s="130" t="s">
        <v>820</v>
      </c>
      <c r="D21" t="s">
        <v>821</v>
      </c>
      <c r="E21">
        <v>0</v>
      </c>
      <c r="F21">
        <v>0</v>
      </c>
      <c r="G21">
        <v>0</v>
      </c>
      <c r="H21">
        <v>0</v>
      </c>
      <c r="I21">
        <v>1</v>
      </c>
      <c r="J21" t="str">
        <f>IFERROR(VLOOKUP(A21&amp;"",'BEA Buyer Groups'!$A$4:$C$500,3,FALSE),"Not used")</f>
        <v>Not used</v>
      </c>
      <c r="K21" t="str">
        <f t="shared" si="0"/>
        <v>Direct</v>
      </c>
    </row>
    <row r="22" spans="1:11" x14ac:dyDescent="0.25">
      <c r="A22" s="130" t="s">
        <v>830</v>
      </c>
      <c r="B22" t="s">
        <v>831</v>
      </c>
      <c r="C22" s="130" t="s">
        <v>820</v>
      </c>
      <c r="D22" t="s">
        <v>821</v>
      </c>
      <c r="E22">
        <v>0</v>
      </c>
      <c r="F22">
        <v>0</v>
      </c>
      <c r="G22">
        <v>0</v>
      </c>
      <c r="H22">
        <v>0</v>
      </c>
      <c r="I22">
        <v>0</v>
      </c>
      <c r="J22" t="str">
        <f>IFERROR(VLOOKUP(A22&amp;"",'BEA Buyer Groups'!$A$4:$C$500,3,FALSE),"Not used")</f>
        <v>Not used</v>
      </c>
      <c r="K22" t="str">
        <f t="shared" si="0"/>
        <v>Direct</v>
      </c>
    </row>
    <row r="23" spans="1:11" x14ac:dyDescent="0.25">
      <c r="A23" s="130" t="s">
        <v>830</v>
      </c>
      <c r="B23" t="s">
        <v>831</v>
      </c>
      <c r="C23" s="130" t="s">
        <v>816</v>
      </c>
      <c r="D23" t="s">
        <v>817</v>
      </c>
      <c r="E23">
        <v>12</v>
      </c>
      <c r="F23">
        <v>2</v>
      </c>
      <c r="G23">
        <v>4</v>
      </c>
      <c r="H23">
        <v>0</v>
      </c>
      <c r="I23">
        <v>18</v>
      </c>
      <c r="J23" t="str">
        <f>IFERROR(VLOOKUP(A23&amp;"",'BEA Buyer Groups'!$A$4:$C$500,3,FALSE),"Not used")</f>
        <v>Not used</v>
      </c>
      <c r="K23" t="str">
        <f t="shared" si="0"/>
        <v>Direct</v>
      </c>
    </row>
    <row r="24" spans="1:11" x14ac:dyDescent="0.25">
      <c r="A24" s="130" t="s">
        <v>832</v>
      </c>
      <c r="B24" t="s">
        <v>833</v>
      </c>
      <c r="C24" s="130" t="s">
        <v>820</v>
      </c>
      <c r="D24" t="s">
        <v>821</v>
      </c>
      <c r="E24">
        <v>1</v>
      </c>
      <c r="F24">
        <v>0</v>
      </c>
      <c r="G24">
        <v>0</v>
      </c>
      <c r="H24">
        <v>0</v>
      </c>
      <c r="I24">
        <v>1</v>
      </c>
      <c r="J24" t="str">
        <f>IFERROR(VLOOKUP(A24&amp;"",'BEA Buyer Groups'!$A$4:$C$500,3,FALSE),"Not used")</f>
        <v>Not used</v>
      </c>
      <c r="K24" t="str">
        <f t="shared" si="0"/>
        <v>Direct</v>
      </c>
    </row>
    <row r="25" spans="1:11" x14ac:dyDescent="0.25">
      <c r="A25" s="130" t="s">
        <v>834</v>
      </c>
      <c r="B25" t="s">
        <v>835</v>
      </c>
      <c r="C25" s="130" t="s">
        <v>820</v>
      </c>
      <c r="D25" t="s">
        <v>821</v>
      </c>
      <c r="E25">
        <v>0</v>
      </c>
      <c r="F25">
        <v>0</v>
      </c>
      <c r="G25">
        <v>0</v>
      </c>
      <c r="H25">
        <v>0</v>
      </c>
      <c r="I25">
        <v>0</v>
      </c>
      <c r="J25" t="str">
        <f>IFERROR(VLOOKUP(A25&amp;"",'BEA Buyer Groups'!$A$4:$C$500,3,FALSE),"Not used")</f>
        <v>Not used</v>
      </c>
      <c r="K25" t="str">
        <f t="shared" si="0"/>
        <v>Direct</v>
      </c>
    </row>
    <row r="26" spans="1:11" x14ac:dyDescent="0.25">
      <c r="A26" s="130" t="s">
        <v>834</v>
      </c>
      <c r="B26" t="s">
        <v>835</v>
      </c>
      <c r="C26" s="130" t="s">
        <v>816</v>
      </c>
      <c r="D26" t="s">
        <v>817</v>
      </c>
      <c r="E26">
        <v>8</v>
      </c>
      <c r="F26">
        <v>1</v>
      </c>
      <c r="G26">
        <v>2</v>
      </c>
      <c r="H26">
        <v>0</v>
      </c>
      <c r="I26">
        <v>11</v>
      </c>
      <c r="J26" t="str">
        <f>IFERROR(VLOOKUP(A26&amp;"",'BEA Buyer Groups'!$A$4:$C$500,3,FALSE),"Not used")</f>
        <v>Not used</v>
      </c>
      <c r="K26" t="str">
        <f t="shared" si="0"/>
        <v>Direct</v>
      </c>
    </row>
    <row r="27" spans="1:11" x14ac:dyDescent="0.25">
      <c r="A27" s="130" t="s">
        <v>836</v>
      </c>
      <c r="B27" t="s">
        <v>837</v>
      </c>
      <c r="C27" s="130" t="s">
        <v>820</v>
      </c>
      <c r="D27" t="s">
        <v>821</v>
      </c>
      <c r="E27">
        <v>1</v>
      </c>
      <c r="F27">
        <v>0</v>
      </c>
      <c r="G27">
        <v>0</v>
      </c>
      <c r="H27">
        <v>0</v>
      </c>
      <c r="I27">
        <v>1</v>
      </c>
      <c r="J27" t="str">
        <f>IFERROR(VLOOKUP(A27&amp;"",'BEA Buyer Groups'!$A$4:$C$500,3,FALSE),"Not used")</f>
        <v>Not used</v>
      </c>
      <c r="K27" t="str">
        <f t="shared" si="0"/>
        <v>Direct</v>
      </c>
    </row>
    <row r="28" spans="1:11" x14ac:dyDescent="0.25">
      <c r="A28" s="130" t="s">
        <v>836</v>
      </c>
      <c r="B28" t="s">
        <v>837</v>
      </c>
      <c r="C28" s="130" t="s">
        <v>816</v>
      </c>
      <c r="D28" t="s">
        <v>817</v>
      </c>
      <c r="E28">
        <v>47</v>
      </c>
      <c r="F28">
        <v>6</v>
      </c>
      <c r="G28">
        <v>15</v>
      </c>
      <c r="H28">
        <v>0</v>
      </c>
      <c r="I28">
        <v>68</v>
      </c>
      <c r="J28" t="str">
        <f>IFERROR(VLOOKUP(A28&amp;"",'BEA Buyer Groups'!$A$4:$C$500,3,FALSE),"Not used")</f>
        <v>Not used</v>
      </c>
      <c r="K28" t="str">
        <f t="shared" si="0"/>
        <v>Direct</v>
      </c>
    </row>
    <row r="29" spans="1:11" x14ac:dyDescent="0.25">
      <c r="A29" s="130" t="s">
        <v>838</v>
      </c>
      <c r="B29" t="s">
        <v>839</v>
      </c>
      <c r="C29" s="130" t="s">
        <v>820</v>
      </c>
      <c r="D29" t="s">
        <v>821</v>
      </c>
      <c r="E29">
        <v>2</v>
      </c>
      <c r="F29">
        <v>0</v>
      </c>
      <c r="G29">
        <v>1</v>
      </c>
      <c r="H29">
        <v>0</v>
      </c>
      <c r="I29">
        <v>2</v>
      </c>
      <c r="J29" t="str">
        <f>IFERROR(VLOOKUP(A29&amp;"",'BEA Buyer Groups'!$A$4:$C$500,3,FALSE),"Not used")</f>
        <v>Not used</v>
      </c>
      <c r="K29" t="str">
        <f t="shared" si="0"/>
        <v>Direct</v>
      </c>
    </row>
    <row r="30" spans="1:11" x14ac:dyDescent="0.25">
      <c r="A30" s="130" t="s">
        <v>838</v>
      </c>
      <c r="B30" t="s">
        <v>839</v>
      </c>
      <c r="C30" s="130" t="s">
        <v>810</v>
      </c>
      <c r="D30" t="s">
        <v>811</v>
      </c>
      <c r="E30">
        <v>0</v>
      </c>
      <c r="F30">
        <v>0</v>
      </c>
      <c r="G30">
        <v>0</v>
      </c>
      <c r="H30">
        <v>0</v>
      </c>
      <c r="I30">
        <v>0</v>
      </c>
      <c r="J30" t="str">
        <f>IFERROR(VLOOKUP(A30&amp;"",'BEA Buyer Groups'!$A$4:$C$500,3,FALSE),"Not used")</f>
        <v>Not used</v>
      </c>
      <c r="K30" t="str">
        <f t="shared" si="0"/>
        <v>Direct</v>
      </c>
    </row>
    <row r="31" spans="1:11" x14ac:dyDescent="0.25">
      <c r="A31" s="130" t="s">
        <v>838</v>
      </c>
      <c r="B31" t="s">
        <v>839</v>
      </c>
      <c r="C31" s="130" t="s">
        <v>816</v>
      </c>
      <c r="D31" t="s">
        <v>817</v>
      </c>
      <c r="E31">
        <v>4</v>
      </c>
      <c r="F31">
        <v>0</v>
      </c>
      <c r="G31">
        <v>1</v>
      </c>
      <c r="H31">
        <v>0</v>
      </c>
      <c r="I31">
        <v>5</v>
      </c>
      <c r="J31" t="str">
        <f>IFERROR(VLOOKUP(A31&amp;"",'BEA Buyer Groups'!$A$4:$C$500,3,FALSE),"Not used")</f>
        <v>Not used</v>
      </c>
      <c r="K31" t="str">
        <f t="shared" si="0"/>
        <v>Direct</v>
      </c>
    </row>
    <row r="32" spans="1:11" x14ac:dyDescent="0.25">
      <c r="A32" s="130" t="s">
        <v>840</v>
      </c>
      <c r="B32" t="s">
        <v>841</v>
      </c>
      <c r="C32" s="130" t="s">
        <v>820</v>
      </c>
      <c r="D32" t="s">
        <v>821</v>
      </c>
      <c r="E32">
        <v>0</v>
      </c>
      <c r="F32">
        <v>0</v>
      </c>
      <c r="G32">
        <v>0</v>
      </c>
      <c r="H32">
        <v>0</v>
      </c>
      <c r="I32">
        <v>0</v>
      </c>
      <c r="J32" t="str">
        <f>IFERROR(VLOOKUP(A32&amp;"",'BEA Buyer Groups'!$A$4:$C$500,3,FALSE),"Not used")</f>
        <v>Not used</v>
      </c>
      <c r="K32" t="str">
        <f t="shared" si="0"/>
        <v>Direct</v>
      </c>
    </row>
    <row r="33" spans="1:11" x14ac:dyDescent="0.25">
      <c r="A33" s="130" t="s">
        <v>842</v>
      </c>
      <c r="B33" t="s">
        <v>843</v>
      </c>
      <c r="C33" s="130" t="s">
        <v>820</v>
      </c>
      <c r="D33" t="s">
        <v>821</v>
      </c>
      <c r="E33">
        <v>0</v>
      </c>
      <c r="F33">
        <v>0</v>
      </c>
      <c r="G33">
        <v>0</v>
      </c>
      <c r="H33">
        <v>0</v>
      </c>
      <c r="I33">
        <v>0</v>
      </c>
      <c r="J33" t="str">
        <f>IFERROR(VLOOKUP(A33&amp;"",'BEA Buyer Groups'!$A$4:$C$500,3,FALSE),"Not used")</f>
        <v>Not used</v>
      </c>
      <c r="K33" t="str">
        <f t="shared" si="0"/>
        <v>Direct</v>
      </c>
    </row>
    <row r="34" spans="1:11" x14ac:dyDescent="0.25">
      <c r="A34" s="130" t="s">
        <v>842</v>
      </c>
      <c r="B34" t="s">
        <v>843</v>
      </c>
      <c r="C34" s="130" t="s">
        <v>822</v>
      </c>
      <c r="D34" t="s">
        <v>823</v>
      </c>
      <c r="E34">
        <v>0</v>
      </c>
      <c r="F34">
        <v>0</v>
      </c>
      <c r="G34">
        <v>0</v>
      </c>
      <c r="H34">
        <v>0</v>
      </c>
      <c r="I34">
        <v>0</v>
      </c>
      <c r="J34" t="str">
        <f>IFERROR(VLOOKUP(A34&amp;"",'BEA Buyer Groups'!$A$4:$C$500,3,FALSE),"Not used")</f>
        <v>Not used</v>
      </c>
      <c r="K34" t="str">
        <f t="shared" si="0"/>
        <v>Direct</v>
      </c>
    </row>
    <row r="35" spans="1:11" x14ac:dyDescent="0.25">
      <c r="A35" s="130" t="s">
        <v>842</v>
      </c>
      <c r="B35" t="s">
        <v>843</v>
      </c>
      <c r="C35" s="130" t="s">
        <v>816</v>
      </c>
      <c r="D35" t="s">
        <v>817</v>
      </c>
      <c r="E35">
        <v>1</v>
      </c>
      <c r="F35">
        <v>0</v>
      </c>
      <c r="G35">
        <v>0</v>
      </c>
      <c r="H35">
        <v>0</v>
      </c>
      <c r="I35">
        <v>2</v>
      </c>
      <c r="J35" t="str">
        <f>IFERROR(VLOOKUP(A35&amp;"",'BEA Buyer Groups'!$A$4:$C$500,3,FALSE),"Not used")</f>
        <v>Not used</v>
      </c>
      <c r="K35" t="str">
        <f t="shared" si="0"/>
        <v>Direct</v>
      </c>
    </row>
    <row r="36" spans="1:11" x14ac:dyDescent="0.25">
      <c r="A36" s="130" t="s">
        <v>844</v>
      </c>
      <c r="B36" t="s">
        <v>845</v>
      </c>
      <c r="C36" s="130" t="s">
        <v>820</v>
      </c>
      <c r="D36" t="s">
        <v>821</v>
      </c>
      <c r="E36">
        <v>3</v>
      </c>
      <c r="F36">
        <v>0</v>
      </c>
      <c r="G36">
        <v>2</v>
      </c>
      <c r="H36">
        <v>0</v>
      </c>
      <c r="I36">
        <v>5</v>
      </c>
      <c r="J36" t="str">
        <f>IFERROR(VLOOKUP(A36&amp;"",'BEA Buyer Groups'!$A$4:$C$500,3,FALSE),"Not used")</f>
        <v>Commercial</v>
      </c>
      <c r="K36" t="str">
        <f t="shared" si="0"/>
        <v>Contractor</v>
      </c>
    </row>
    <row r="37" spans="1:11" x14ac:dyDescent="0.25">
      <c r="A37" s="130" t="s">
        <v>844</v>
      </c>
      <c r="B37" t="s">
        <v>845</v>
      </c>
      <c r="C37" s="130" t="s">
        <v>802</v>
      </c>
      <c r="D37" t="s">
        <v>803</v>
      </c>
      <c r="E37">
        <v>292</v>
      </c>
      <c r="F37">
        <v>9</v>
      </c>
      <c r="G37">
        <v>132</v>
      </c>
      <c r="H37">
        <v>132</v>
      </c>
      <c r="I37">
        <v>565</v>
      </c>
      <c r="J37" t="str">
        <f>IFERROR(VLOOKUP(A37&amp;"",'BEA Buyer Groups'!$A$4:$C$500,3,FALSE),"Not used")</f>
        <v>Commercial</v>
      </c>
      <c r="K37" t="str">
        <f t="shared" si="0"/>
        <v>Contractor</v>
      </c>
    </row>
    <row r="38" spans="1:11" x14ac:dyDescent="0.25">
      <c r="A38" s="130" t="s">
        <v>844</v>
      </c>
      <c r="B38" t="s">
        <v>845</v>
      </c>
      <c r="C38" s="130" t="s">
        <v>822</v>
      </c>
      <c r="D38" t="s">
        <v>823</v>
      </c>
      <c r="E38">
        <v>1367</v>
      </c>
      <c r="F38">
        <v>40</v>
      </c>
      <c r="G38">
        <v>202</v>
      </c>
      <c r="H38">
        <v>1248</v>
      </c>
      <c r="I38">
        <v>2857</v>
      </c>
      <c r="J38" t="str">
        <f>IFERROR(VLOOKUP(A38&amp;"",'BEA Buyer Groups'!$A$4:$C$500,3,FALSE),"Not used")</f>
        <v>Commercial</v>
      </c>
      <c r="K38" t="str">
        <f t="shared" si="0"/>
        <v>Contractor</v>
      </c>
    </row>
    <row r="39" spans="1:11" x14ac:dyDescent="0.25">
      <c r="A39" s="130" t="s">
        <v>844</v>
      </c>
      <c r="B39" t="s">
        <v>845</v>
      </c>
      <c r="C39" s="130" t="s">
        <v>810</v>
      </c>
      <c r="D39" t="s">
        <v>811</v>
      </c>
      <c r="E39">
        <v>2</v>
      </c>
      <c r="F39">
        <v>0</v>
      </c>
      <c r="G39">
        <v>1</v>
      </c>
      <c r="H39">
        <v>3</v>
      </c>
      <c r="I39">
        <v>6</v>
      </c>
      <c r="J39" t="str">
        <f>IFERROR(VLOOKUP(A39&amp;"",'BEA Buyer Groups'!$A$4:$C$500,3,FALSE),"Not used")</f>
        <v>Commercial</v>
      </c>
      <c r="K39" t="str">
        <f t="shared" si="0"/>
        <v>Contractor</v>
      </c>
    </row>
    <row r="40" spans="1:11" x14ac:dyDescent="0.25">
      <c r="A40" s="130" t="s">
        <v>844</v>
      </c>
      <c r="B40" t="s">
        <v>845</v>
      </c>
      <c r="C40" s="130" t="s">
        <v>816</v>
      </c>
      <c r="D40" t="s">
        <v>817</v>
      </c>
      <c r="E40">
        <v>2351</v>
      </c>
      <c r="F40">
        <v>297</v>
      </c>
      <c r="G40">
        <v>738</v>
      </c>
      <c r="H40">
        <v>0</v>
      </c>
      <c r="I40">
        <v>3386</v>
      </c>
      <c r="J40" t="str">
        <f>IFERROR(VLOOKUP(A40&amp;"",'BEA Buyer Groups'!$A$4:$C$500,3,FALSE),"Not used")</f>
        <v>Commercial</v>
      </c>
      <c r="K40" t="str">
        <f t="shared" si="0"/>
        <v>Contractor</v>
      </c>
    </row>
    <row r="41" spans="1:11" x14ac:dyDescent="0.25">
      <c r="A41" s="130" t="s">
        <v>844</v>
      </c>
      <c r="B41" t="s">
        <v>845</v>
      </c>
      <c r="C41" s="130" t="s">
        <v>846</v>
      </c>
      <c r="D41" t="s">
        <v>847</v>
      </c>
      <c r="E41">
        <v>102</v>
      </c>
      <c r="F41">
        <v>13</v>
      </c>
      <c r="G41">
        <v>35</v>
      </c>
      <c r="H41">
        <v>71</v>
      </c>
      <c r="I41">
        <v>222</v>
      </c>
      <c r="J41" t="str">
        <f>IFERROR(VLOOKUP(A41&amp;"",'BEA Buyer Groups'!$A$4:$C$500,3,FALSE),"Not used")</f>
        <v>Commercial</v>
      </c>
      <c r="K41" t="str">
        <f t="shared" si="0"/>
        <v>Contractor</v>
      </c>
    </row>
    <row r="42" spans="1:11" x14ac:dyDescent="0.25">
      <c r="A42" s="130" t="s">
        <v>844</v>
      </c>
      <c r="B42" t="s">
        <v>845</v>
      </c>
      <c r="C42" s="130" t="s">
        <v>848</v>
      </c>
      <c r="D42" t="s">
        <v>849</v>
      </c>
      <c r="E42">
        <v>20</v>
      </c>
      <c r="F42">
        <v>0</v>
      </c>
      <c r="G42">
        <v>7</v>
      </c>
      <c r="H42">
        <v>0</v>
      </c>
      <c r="I42">
        <v>27</v>
      </c>
      <c r="J42" t="str">
        <f>IFERROR(VLOOKUP(A42&amp;"",'BEA Buyer Groups'!$A$4:$C$500,3,FALSE),"Not used")</f>
        <v>Commercial</v>
      </c>
      <c r="K42" t="str">
        <f t="shared" si="0"/>
        <v>Contractor</v>
      </c>
    </row>
    <row r="43" spans="1:11" x14ac:dyDescent="0.25">
      <c r="A43" s="130" t="s">
        <v>850</v>
      </c>
      <c r="B43" t="s">
        <v>851</v>
      </c>
      <c r="C43" s="130" t="s">
        <v>820</v>
      </c>
      <c r="D43" t="s">
        <v>821</v>
      </c>
      <c r="E43">
        <v>2</v>
      </c>
      <c r="F43">
        <v>0</v>
      </c>
      <c r="G43">
        <v>1</v>
      </c>
      <c r="H43">
        <v>0</v>
      </c>
      <c r="I43">
        <v>2</v>
      </c>
      <c r="J43" t="str">
        <f>IFERROR(VLOOKUP(A43&amp;"",'BEA Buyer Groups'!$A$4:$C$500,3,FALSE),"Not used")</f>
        <v>Residential</v>
      </c>
      <c r="K43" t="str">
        <f t="shared" si="0"/>
        <v>Contractor</v>
      </c>
    </row>
    <row r="44" spans="1:11" x14ac:dyDescent="0.25">
      <c r="A44" s="130" t="s">
        <v>850</v>
      </c>
      <c r="B44" t="s">
        <v>851</v>
      </c>
      <c r="C44" s="130" t="s">
        <v>802</v>
      </c>
      <c r="D44" t="s">
        <v>803</v>
      </c>
      <c r="E44">
        <v>137</v>
      </c>
      <c r="F44">
        <v>4</v>
      </c>
      <c r="G44">
        <v>62</v>
      </c>
      <c r="H44">
        <v>70</v>
      </c>
      <c r="I44">
        <v>272</v>
      </c>
      <c r="J44" t="str">
        <f>IFERROR(VLOOKUP(A44&amp;"",'BEA Buyer Groups'!$A$4:$C$500,3,FALSE),"Not used")</f>
        <v>Residential</v>
      </c>
      <c r="K44" t="str">
        <f t="shared" si="0"/>
        <v>Contractor</v>
      </c>
    </row>
    <row r="45" spans="1:11" x14ac:dyDescent="0.25">
      <c r="A45" s="130" t="s">
        <v>850</v>
      </c>
      <c r="B45" t="s">
        <v>851</v>
      </c>
      <c r="C45" s="130" t="s">
        <v>822</v>
      </c>
      <c r="D45" t="s">
        <v>823</v>
      </c>
      <c r="E45">
        <v>662</v>
      </c>
      <c r="F45">
        <v>19</v>
      </c>
      <c r="G45">
        <v>83</v>
      </c>
      <c r="H45">
        <v>611</v>
      </c>
      <c r="I45">
        <v>1375</v>
      </c>
      <c r="J45" t="str">
        <f>IFERROR(VLOOKUP(A45&amp;"",'BEA Buyer Groups'!$A$4:$C$500,3,FALSE),"Not used")</f>
        <v>Residential</v>
      </c>
      <c r="K45" t="str">
        <f t="shared" si="0"/>
        <v>Contractor</v>
      </c>
    </row>
    <row r="46" spans="1:11" x14ac:dyDescent="0.25">
      <c r="A46" s="130" t="s">
        <v>850</v>
      </c>
      <c r="B46" t="s">
        <v>851</v>
      </c>
      <c r="C46" s="130" t="s">
        <v>810</v>
      </c>
      <c r="D46" t="s">
        <v>811</v>
      </c>
      <c r="E46">
        <v>0</v>
      </c>
      <c r="F46">
        <v>0</v>
      </c>
      <c r="G46">
        <v>0</v>
      </c>
      <c r="H46">
        <v>1</v>
      </c>
      <c r="I46">
        <v>1</v>
      </c>
      <c r="J46" t="str">
        <f>IFERROR(VLOOKUP(A46&amp;"",'BEA Buyer Groups'!$A$4:$C$500,3,FALSE),"Not used")</f>
        <v>Residential</v>
      </c>
      <c r="K46" t="str">
        <f t="shared" si="0"/>
        <v>Contractor</v>
      </c>
    </row>
    <row r="47" spans="1:11" x14ac:dyDescent="0.25">
      <c r="A47" s="130" t="s">
        <v>850</v>
      </c>
      <c r="B47" t="s">
        <v>851</v>
      </c>
      <c r="C47" s="130" t="s">
        <v>816</v>
      </c>
      <c r="D47" t="s">
        <v>817</v>
      </c>
      <c r="E47">
        <v>179</v>
      </c>
      <c r="F47">
        <v>23</v>
      </c>
      <c r="G47">
        <v>56</v>
      </c>
      <c r="H47">
        <v>0</v>
      </c>
      <c r="I47">
        <v>258</v>
      </c>
      <c r="J47" t="str">
        <f>IFERROR(VLOOKUP(A47&amp;"",'BEA Buyer Groups'!$A$4:$C$500,3,FALSE),"Not used")</f>
        <v>Residential</v>
      </c>
      <c r="K47" t="str">
        <f t="shared" si="0"/>
        <v>Contractor</v>
      </c>
    </row>
    <row r="48" spans="1:11" x14ac:dyDescent="0.25">
      <c r="A48" s="130" t="s">
        <v>850</v>
      </c>
      <c r="B48" t="s">
        <v>851</v>
      </c>
      <c r="C48" s="130" t="s">
        <v>846</v>
      </c>
      <c r="D48" t="s">
        <v>847</v>
      </c>
      <c r="E48">
        <v>12</v>
      </c>
      <c r="F48">
        <v>2</v>
      </c>
      <c r="G48">
        <v>4</v>
      </c>
      <c r="H48">
        <v>11</v>
      </c>
      <c r="I48">
        <v>29</v>
      </c>
      <c r="J48" t="str">
        <f>IFERROR(VLOOKUP(A48&amp;"",'BEA Buyer Groups'!$A$4:$C$500,3,FALSE),"Not used")</f>
        <v>Residential</v>
      </c>
      <c r="K48" t="str">
        <f t="shared" si="0"/>
        <v>Contractor</v>
      </c>
    </row>
    <row r="49" spans="1:11" x14ac:dyDescent="0.25">
      <c r="A49" s="130" t="s">
        <v>850</v>
      </c>
      <c r="B49" t="s">
        <v>851</v>
      </c>
      <c r="C49" s="130" t="s">
        <v>848</v>
      </c>
      <c r="D49" t="s">
        <v>849</v>
      </c>
      <c r="E49">
        <v>464</v>
      </c>
      <c r="F49">
        <v>7</v>
      </c>
      <c r="G49">
        <v>161</v>
      </c>
      <c r="H49">
        <v>0</v>
      </c>
      <c r="I49">
        <v>631</v>
      </c>
      <c r="J49" t="str">
        <f>IFERROR(VLOOKUP(A49&amp;"",'BEA Buyer Groups'!$A$4:$C$500,3,FALSE),"Not used")</f>
        <v>Residential</v>
      </c>
      <c r="K49" t="str">
        <f t="shared" si="0"/>
        <v>Contractor</v>
      </c>
    </row>
    <row r="50" spans="1:11" x14ac:dyDescent="0.25">
      <c r="A50" s="130" t="s">
        <v>852</v>
      </c>
      <c r="B50" t="s">
        <v>853</v>
      </c>
      <c r="C50" s="130" t="s">
        <v>820</v>
      </c>
      <c r="D50" t="s">
        <v>821</v>
      </c>
      <c r="E50">
        <v>1</v>
      </c>
      <c r="F50">
        <v>0</v>
      </c>
      <c r="G50">
        <v>1</v>
      </c>
      <c r="H50">
        <v>0</v>
      </c>
      <c r="I50">
        <v>2</v>
      </c>
      <c r="J50" t="str">
        <f>IFERROR(VLOOKUP(A50&amp;"",'BEA Buyer Groups'!$A$4:$C$500,3,FALSE),"Not used")</f>
        <v>Commercial</v>
      </c>
      <c r="K50" t="str">
        <f t="shared" si="0"/>
        <v>Contractor</v>
      </c>
    </row>
    <row r="51" spans="1:11" x14ac:dyDescent="0.25">
      <c r="A51" s="130" t="s">
        <v>852</v>
      </c>
      <c r="B51" t="s">
        <v>853</v>
      </c>
      <c r="C51" s="130" t="s">
        <v>802</v>
      </c>
      <c r="D51" t="s">
        <v>803</v>
      </c>
      <c r="E51">
        <v>96</v>
      </c>
      <c r="F51">
        <v>3</v>
      </c>
      <c r="G51">
        <v>43</v>
      </c>
      <c r="H51">
        <v>1</v>
      </c>
      <c r="I51">
        <v>143</v>
      </c>
      <c r="J51" t="str">
        <f>IFERROR(VLOOKUP(A51&amp;"",'BEA Buyer Groups'!$A$4:$C$500,3,FALSE),"Not used")</f>
        <v>Commercial</v>
      </c>
      <c r="K51" t="str">
        <f t="shared" si="0"/>
        <v>Contractor</v>
      </c>
    </row>
    <row r="52" spans="1:11" x14ac:dyDescent="0.25">
      <c r="A52" s="130" t="s">
        <v>852</v>
      </c>
      <c r="B52" t="s">
        <v>853</v>
      </c>
      <c r="C52" s="130" t="s">
        <v>822</v>
      </c>
      <c r="D52" t="s">
        <v>823</v>
      </c>
      <c r="E52">
        <v>248</v>
      </c>
      <c r="F52">
        <v>7</v>
      </c>
      <c r="G52">
        <v>66</v>
      </c>
      <c r="H52">
        <v>4</v>
      </c>
      <c r="I52">
        <v>326</v>
      </c>
      <c r="J52" t="str">
        <f>IFERROR(VLOOKUP(A52&amp;"",'BEA Buyer Groups'!$A$4:$C$500,3,FALSE),"Not used")</f>
        <v>Commercial</v>
      </c>
      <c r="K52" t="str">
        <f t="shared" si="0"/>
        <v>Contractor</v>
      </c>
    </row>
    <row r="53" spans="1:11" x14ac:dyDescent="0.25">
      <c r="A53" s="130" t="s">
        <v>852</v>
      </c>
      <c r="B53" t="s">
        <v>853</v>
      </c>
      <c r="C53" s="130" t="s">
        <v>810</v>
      </c>
      <c r="D53" t="s">
        <v>811</v>
      </c>
      <c r="E53">
        <v>1</v>
      </c>
      <c r="F53">
        <v>0</v>
      </c>
      <c r="G53">
        <v>0</v>
      </c>
      <c r="H53">
        <v>0</v>
      </c>
      <c r="I53">
        <v>2</v>
      </c>
      <c r="J53" t="str">
        <f>IFERROR(VLOOKUP(A53&amp;"",'BEA Buyer Groups'!$A$4:$C$500,3,FALSE),"Not used")</f>
        <v>Commercial</v>
      </c>
      <c r="K53" t="str">
        <f t="shared" si="0"/>
        <v>Contractor</v>
      </c>
    </row>
    <row r="54" spans="1:11" x14ac:dyDescent="0.25">
      <c r="A54" s="130" t="s">
        <v>852</v>
      </c>
      <c r="B54" t="s">
        <v>853</v>
      </c>
      <c r="C54" s="130" t="s">
        <v>816</v>
      </c>
      <c r="D54" t="s">
        <v>817</v>
      </c>
      <c r="E54">
        <v>516</v>
      </c>
      <c r="F54">
        <v>65</v>
      </c>
      <c r="G54">
        <v>162</v>
      </c>
      <c r="H54">
        <v>0</v>
      </c>
      <c r="I54">
        <v>742</v>
      </c>
      <c r="J54" t="str">
        <f>IFERROR(VLOOKUP(A54&amp;"",'BEA Buyer Groups'!$A$4:$C$500,3,FALSE),"Not used")</f>
        <v>Commercial</v>
      </c>
      <c r="K54" t="str">
        <f t="shared" si="0"/>
        <v>Contractor</v>
      </c>
    </row>
    <row r="55" spans="1:11" x14ac:dyDescent="0.25">
      <c r="A55" s="130" t="s">
        <v>852</v>
      </c>
      <c r="B55" t="s">
        <v>853</v>
      </c>
      <c r="C55" s="130" t="s">
        <v>846</v>
      </c>
      <c r="D55" t="s">
        <v>847</v>
      </c>
      <c r="E55">
        <v>223</v>
      </c>
      <c r="F55">
        <v>29</v>
      </c>
      <c r="G55">
        <v>77</v>
      </c>
      <c r="H55">
        <v>0</v>
      </c>
      <c r="I55">
        <v>330</v>
      </c>
      <c r="J55" t="str">
        <f>IFERROR(VLOOKUP(A55&amp;"",'BEA Buyer Groups'!$A$4:$C$500,3,FALSE),"Not used")</f>
        <v>Commercial</v>
      </c>
      <c r="K55" t="str">
        <f t="shared" si="0"/>
        <v>Contractor</v>
      </c>
    </row>
    <row r="56" spans="1:11" x14ac:dyDescent="0.25">
      <c r="A56" s="130" t="s">
        <v>852</v>
      </c>
      <c r="B56" t="s">
        <v>853</v>
      </c>
      <c r="C56" s="130" t="s">
        <v>848</v>
      </c>
      <c r="D56" t="s">
        <v>849</v>
      </c>
      <c r="E56">
        <v>312</v>
      </c>
      <c r="F56">
        <v>4</v>
      </c>
      <c r="G56">
        <v>108</v>
      </c>
      <c r="H56">
        <v>0</v>
      </c>
      <c r="I56">
        <v>424</v>
      </c>
      <c r="J56" t="str">
        <f>IFERROR(VLOOKUP(A56&amp;"",'BEA Buyer Groups'!$A$4:$C$500,3,FALSE),"Not used")</f>
        <v>Commercial</v>
      </c>
      <c r="K56" t="str">
        <f t="shared" si="0"/>
        <v>Contractor</v>
      </c>
    </row>
    <row r="57" spans="1:11" x14ac:dyDescent="0.25">
      <c r="A57" s="130" t="s">
        <v>854</v>
      </c>
      <c r="B57" t="s">
        <v>855</v>
      </c>
      <c r="C57" s="130" t="s">
        <v>820</v>
      </c>
      <c r="D57" t="s">
        <v>821</v>
      </c>
      <c r="E57">
        <v>20</v>
      </c>
      <c r="F57">
        <v>1</v>
      </c>
      <c r="G57">
        <v>10</v>
      </c>
      <c r="H57">
        <v>0</v>
      </c>
      <c r="I57">
        <v>31</v>
      </c>
      <c r="J57" t="str">
        <f>IFERROR(VLOOKUP(A57&amp;"",'BEA Buyer Groups'!$A$4:$C$500,3,FALSE),"Not used")</f>
        <v>Not used</v>
      </c>
      <c r="K57" t="str">
        <f t="shared" si="0"/>
        <v>Contractor</v>
      </c>
    </row>
    <row r="58" spans="1:11" x14ac:dyDescent="0.25">
      <c r="A58" s="130" t="s">
        <v>854</v>
      </c>
      <c r="B58" t="s">
        <v>855</v>
      </c>
      <c r="C58" s="130" t="s">
        <v>802</v>
      </c>
      <c r="D58" t="s">
        <v>803</v>
      </c>
      <c r="E58">
        <v>160</v>
      </c>
      <c r="F58">
        <v>5</v>
      </c>
      <c r="G58">
        <v>72</v>
      </c>
      <c r="H58">
        <v>0</v>
      </c>
      <c r="I58">
        <v>238</v>
      </c>
      <c r="J58" t="str">
        <f>IFERROR(VLOOKUP(A58&amp;"",'BEA Buyer Groups'!$A$4:$C$500,3,FALSE),"Not used")</f>
        <v>Not used</v>
      </c>
      <c r="K58" t="str">
        <f t="shared" si="0"/>
        <v>Contractor</v>
      </c>
    </row>
    <row r="59" spans="1:11" x14ac:dyDescent="0.25">
      <c r="A59" s="130" t="s">
        <v>854</v>
      </c>
      <c r="B59" t="s">
        <v>855</v>
      </c>
      <c r="C59" s="130" t="s">
        <v>822</v>
      </c>
      <c r="D59" t="s">
        <v>823</v>
      </c>
      <c r="E59">
        <v>275</v>
      </c>
      <c r="F59">
        <v>8</v>
      </c>
      <c r="G59">
        <v>120</v>
      </c>
      <c r="H59">
        <v>0</v>
      </c>
      <c r="I59">
        <v>403</v>
      </c>
      <c r="J59" t="str">
        <f>IFERROR(VLOOKUP(A59&amp;"",'BEA Buyer Groups'!$A$4:$C$500,3,FALSE),"Not used")</f>
        <v>Not used</v>
      </c>
      <c r="K59" t="str">
        <f t="shared" si="0"/>
        <v>Contractor</v>
      </c>
    </row>
    <row r="60" spans="1:11" x14ac:dyDescent="0.25">
      <c r="A60" s="130" t="s">
        <v>854</v>
      </c>
      <c r="B60" t="s">
        <v>855</v>
      </c>
      <c r="C60" s="130" t="s">
        <v>816</v>
      </c>
      <c r="D60" t="s">
        <v>817</v>
      </c>
      <c r="E60">
        <v>1627</v>
      </c>
      <c r="F60">
        <v>205</v>
      </c>
      <c r="G60">
        <v>510</v>
      </c>
      <c r="H60">
        <v>0</v>
      </c>
      <c r="I60">
        <v>2342</v>
      </c>
      <c r="J60" t="str">
        <f>IFERROR(VLOOKUP(A60&amp;"",'BEA Buyer Groups'!$A$4:$C$500,3,FALSE),"Not used")</f>
        <v>Not used</v>
      </c>
      <c r="K60" t="str">
        <f t="shared" si="0"/>
        <v>Contractor</v>
      </c>
    </row>
    <row r="61" spans="1:11" x14ac:dyDescent="0.25">
      <c r="A61" s="130" t="s">
        <v>854</v>
      </c>
      <c r="B61" t="s">
        <v>855</v>
      </c>
      <c r="C61" s="130" t="s">
        <v>846</v>
      </c>
      <c r="D61" t="s">
        <v>847</v>
      </c>
      <c r="E61">
        <v>18</v>
      </c>
      <c r="F61">
        <v>2</v>
      </c>
      <c r="G61">
        <v>6</v>
      </c>
      <c r="H61">
        <v>0</v>
      </c>
      <c r="I61">
        <v>26</v>
      </c>
      <c r="J61" t="str">
        <f>IFERROR(VLOOKUP(A61&amp;"",'BEA Buyer Groups'!$A$4:$C$500,3,FALSE),"Not used")</f>
        <v>Not used</v>
      </c>
      <c r="K61" t="str">
        <f t="shared" si="0"/>
        <v>Contractor</v>
      </c>
    </row>
    <row r="62" spans="1:11" x14ac:dyDescent="0.25">
      <c r="A62" s="130" t="s">
        <v>856</v>
      </c>
      <c r="B62" t="s">
        <v>857</v>
      </c>
      <c r="C62" s="130" t="s">
        <v>820</v>
      </c>
      <c r="D62" t="s">
        <v>821</v>
      </c>
      <c r="E62">
        <v>2</v>
      </c>
      <c r="F62">
        <v>0</v>
      </c>
      <c r="G62">
        <v>1</v>
      </c>
      <c r="H62">
        <v>0</v>
      </c>
      <c r="I62">
        <v>3</v>
      </c>
      <c r="J62" t="str">
        <f>IFERROR(VLOOKUP(A62&amp;"",'BEA Buyer Groups'!$A$4:$C$500,3,FALSE),"Not used")</f>
        <v>Not used</v>
      </c>
      <c r="K62" t="str">
        <f t="shared" si="0"/>
        <v>Contractor</v>
      </c>
    </row>
    <row r="63" spans="1:11" x14ac:dyDescent="0.25">
      <c r="A63" s="130" t="s">
        <v>856</v>
      </c>
      <c r="B63" t="s">
        <v>857</v>
      </c>
      <c r="C63" s="130" t="s">
        <v>802</v>
      </c>
      <c r="D63" t="s">
        <v>803</v>
      </c>
      <c r="E63">
        <v>19</v>
      </c>
      <c r="F63">
        <v>1</v>
      </c>
      <c r="G63">
        <v>9</v>
      </c>
      <c r="H63">
        <v>0</v>
      </c>
      <c r="I63">
        <v>29</v>
      </c>
      <c r="J63" t="str">
        <f>IFERROR(VLOOKUP(A63&amp;"",'BEA Buyer Groups'!$A$4:$C$500,3,FALSE),"Not used")</f>
        <v>Not used</v>
      </c>
      <c r="K63" t="str">
        <f t="shared" si="0"/>
        <v>Contractor</v>
      </c>
    </row>
    <row r="64" spans="1:11" x14ac:dyDescent="0.25">
      <c r="A64" s="130" t="s">
        <v>856</v>
      </c>
      <c r="B64" t="s">
        <v>857</v>
      </c>
      <c r="C64" s="130" t="s">
        <v>822</v>
      </c>
      <c r="D64" t="s">
        <v>823</v>
      </c>
      <c r="E64">
        <v>207</v>
      </c>
      <c r="F64">
        <v>6</v>
      </c>
      <c r="G64">
        <v>70</v>
      </c>
      <c r="H64">
        <v>0</v>
      </c>
      <c r="I64">
        <v>284</v>
      </c>
      <c r="J64" t="str">
        <f>IFERROR(VLOOKUP(A64&amp;"",'BEA Buyer Groups'!$A$4:$C$500,3,FALSE),"Not used")</f>
        <v>Not used</v>
      </c>
      <c r="K64" t="str">
        <f t="shared" si="0"/>
        <v>Contractor</v>
      </c>
    </row>
    <row r="65" spans="1:11" x14ac:dyDescent="0.25">
      <c r="A65" s="130" t="s">
        <v>856</v>
      </c>
      <c r="B65" t="s">
        <v>857</v>
      </c>
      <c r="C65" s="130" t="s">
        <v>810</v>
      </c>
      <c r="D65" t="s">
        <v>811</v>
      </c>
      <c r="E65">
        <v>0</v>
      </c>
      <c r="F65">
        <v>0</v>
      </c>
      <c r="G65">
        <v>0</v>
      </c>
      <c r="H65">
        <v>1</v>
      </c>
      <c r="I65">
        <v>1</v>
      </c>
      <c r="J65" t="str">
        <f>IFERROR(VLOOKUP(A65&amp;"",'BEA Buyer Groups'!$A$4:$C$500,3,FALSE),"Not used")</f>
        <v>Not used</v>
      </c>
      <c r="K65" t="str">
        <f t="shared" si="0"/>
        <v>Contractor</v>
      </c>
    </row>
    <row r="66" spans="1:11" x14ac:dyDescent="0.25">
      <c r="A66" s="130" t="s">
        <v>856</v>
      </c>
      <c r="B66" t="s">
        <v>857</v>
      </c>
      <c r="C66" s="130" t="s">
        <v>816</v>
      </c>
      <c r="D66" t="s">
        <v>817</v>
      </c>
      <c r="E66">
        <v>258</v>
      </c>
      <c r="F66">
        <v>33</v>
      </c>
      <c r="G66">
        <v>81</v>
      </c>
      <c r="H66">
        <v>0</v>
      </c>
      <c r="I66">
        <v>372</v>
      </c>
      <c r="J66" t="str">
        <f>IFERROR(VLOOKUP(A66&amp;"",'BEA Buyer Groups'!$A$4:$C$500,3,FALSE),"Not used")</f>
        <v>Not used</v>
      </c>
      <c r="K66" t="str">
        <f t="shared" si="0"/>
        <v>Contractor</v>
      </c>
    </row>
    <row r="67" spans="1:11" x14ac:dyDescent="0.25">
      <c r="A67" s="130" t="s">
        <v>856</v>
      </c>
      <c r="B67" t="s">
        <v>857</v>
      </c>
      <c r="C67" s="130" t="s">
        <v>846</v>
      </c>
      <c r="D67" t="s">
        <v>847</v>
      </c>
      <c r="E67">
        <v>35</v>
      </c>
      <c r="F67">
        <v>5</v>
      </c>
      <c r="G67">
        <v>12</v>
      </c>
      <c r="H67">
        <v>0</v>
      </c>
      <c r="I67">
        <v>52</v>
      </c>
      <c r="J67" t="str">
        <f>IFERROR(VLOOKUP(A67&amp;"",'BEA Buyer Groups'!$A$4:$C$500,3,FALSE),"Not used")</f>
        <v>Not used</v>
      </c>
      <c r="K67" t="str">
        <f t="shared" si="0"/>
        <v>Contractor</v>
      </c>
    </row>
    <row r="68" spans="1:11" x14ac:dyDescent="0.25">
      <c r="A68" s="130" t="s">
        <v>858</v>
      </c>
      <c r="B68" t="s">
        <v>859</v>
      </c>
      <c r="C68" s="130" t="s">
        <v>820</v>
      </c>
      <c r="D68" t="s">
        <v>821</v>
      </c>
      <c r="E68">
        <v>1</v>
      </c>
      <c r="F68">
        <v>0</v>
      </c>
      <c r="G68">
        <v>0</v>
      </c>
      <c r="H68">
        <v>0</v>
      </c>
      <c r="I68">
        <v>1</v>
      </c>
      <c r="J68" t="str">
        <f>IFERROR(VLOOKUP(A68&amp;"",'BEA Buyer Groups'!$A$4:$C$500,3,FALSE),"Not used")</f>
        <v>Commercial</v>
      </c>
      <c r="K68" t="str">
        <f t="shared" si="0"/>
        <v>Contractor</v>
      </c>
    </row>
    <row r="69" spans="1:11" x14ac:dyDescent="0.25">
      <c r="A69" s="130" t="s">
        <v>858</v>
      </c>
      <c r="B69" t="s">
        <v>859</v>
      </c>
      <c r="C69" s="130" t="s">
        <v>802</v>
      </c>
      <c r="D69" t="s">
        <v>803</v>
      </c>
      <c r="E69">
        <v>342</v>
      </c>
      <c r="F69">
        <v>10</v>
      </c>
      <c r="G69">
        <v>155</v>
      </c>
      <c r="H69">
        <v>0</v>
      </c>
      <c r="I69">
        <v>507</v>
      </c>
      <c r="J69" t="str">
        <f>IFERROR(VLOOKUP(A69&amp;"",'BEA Buyer Groups'!$A$4:$C$500,3,FALSE),"Not used")</f>
        <v>Commercial</v>
      </c>
      <c r="K69" t="str">
        <f t="shared" si="0"/>
        <v>Contractor</v>
      </c>
    </row>
    <row r="70" spans="1:11" x14ac:dyDescent="0.25">
      <c r="A70" s="130" t="s">
        <v>858</v>
      </c>
      <c r="B70" t="s">
        <v>859</v>
      </c>
      <c r="C70" s="130" t="s">
        <v>822</v>
      </c>
      <c r="D70" t="s">
        <v>823</v>
      </c>
      <c r="E70">
        <v>1455</v>
      </c>
      <c r="F70">
        <v>42</v>
      </c>
      <c r="G70">
        <v>654</v>
      </c>
      <c r="H70">
        <v>0</v>
      </c>
      <c r="I70">
        <v>2151</v>
      </c>
      <c r="J70" t="str">
        <f>IFERROR(VLOOKUP(A70&amp;"",'BEA Buyer Groups'!$A$4:$C$500,3,FALSE),"Not used")</f>
        <v>Commercial</v>
      </c>
      <c r="K70" t="str">
        <f t="shared" si="0"/>
        <v>Contractor</v>
      </c>
    </row>
    <row r="71" spans="1:11" x14ac:dyDescent="0.25">
      <c r="A71" s="130" t="s">
        <v>858</v>
      </c>
      <c r="B71" t="s">
        <v>859</v>
      </c>
      <c r="C71" s="130" t="s">
        <v>860</v>
      </c>
      <c r="D71" t="s">
        <v>861</v>
      </c>
      <c r="E71">
        <v>23</v>
      </c>
      <c r="F71">
        <v>0</v>
      </c>
      <c r="G71">
        <v>8</v>
      </c>
      <c r="H71">
        <v>0</v>
      </c>
      <c r="I71">
        <v>31</v>
      </c>
      <c r="J71" t="str">
        <f>IFERROR(VLOOKUP(A71&amp;"",'BEA Buyer Groups'!$A$4:$C$500,3,FALSE),"Not used")</f>
        <v>Commercial</v>
      </c>
      <c r="K71" t="str">
        <f t="shared" ref="K71:K134" si="1">IF(LEFT(A71,2)="23","Contractor","Direct")</f>
        <v>Contractor</v>
      </c>
    </row>
    <row r="72" spans="1:11" x14ac:dyDescent="0.25">
      <c r="A72" s="130" t="s">
        <v>858</v>
      </c>
      <c r="B72" t="s">
        <v>859</v>
      </c>
      <c r="C72" s="130" t="s">
        <v>810</v>
      </c>
      <c r="D72" t="s">
        <v>811</v>
      </c>
      <c r="E72">
        <v>4</v>
      </c>
      <c r="F72">
        <v>0</v>
      </c>
      <c r="G72">
        <v>1</v>
      </c>
      <c r="H72">
        <v>0</v>
      </c>
      <c r="I72">
        <v>5</v>
      </c>
      <c r="J72" t="str">
        <f>IFERROR(VLOOKUP(A72&amp;"",'BEA Buyer Groups'!$A$4:$C$500,3,FALSE),"Not used")</f>
        <v>Commercial</v>
      </c>
      <c r="K72" t="str">
        <f t="shared" si="1"/>
        <v>Contractor</v>
      </c>
    </row>
    <row r="73" spans="1:11" x14ac:dyDescent="0.25">
      <c r="A73" s="130" t="s">
        <v>858</v>
      </c>
      <c r="B73" t="s">
        <v>859</v>
      </c>
      <c r="C73" s="130" t="s">
        <v>816</v>
      </c>
      <c r="D73" t="s">
        <v>817</v>
      </c>
      <c r="E73">
        <v>13</v>
      </c>
      <c r="F73">
        <v>2</v>
      </c>
      <c r="G73">
        <v>4</v>
      </c>
      <c r="H73">
        <v>0</v>
      </c>
      <c r="I73">
        <v>19</v>
      </c>
      <c r="J73" t="str">
        <f>IFERROR(VLOOKUP(A73&amp;"",'BEA Buyer Groups'!$A$4:$C$500,3,FALSE),"Not used")</f>
        <v>Commercial</v>
      </c>
      <c r="K73" t="str">
        <f t="shared" si="1"/>
        <v>Contractor</v>
      </c>
    </row>
    <row r="74" spans="1:11" x14ac:dyDescent="0.25">
      <c r="A74" s="130" t="s">
        <v>858</v>
      </c>
      <c r="B74" t="s">
        <v>859</v>
      </c>
      <c r="C74" s="130" t="s">
        <v>846</v>
      </c>
      <c r="D74" t="s">
        <v>847</v>
      </c>
      <c r="E74">
        <v>886</v>
      </c>
      <c r="F74">
        <v>116</v>
      </c>
      <c r="G74">
        <v>307</v>
      </c>
      <c r="H74">
        <v>0</v>
      </c>
      <c r="I74">
        <v>1308</v>
      </c>
      <c r="J74" t="str">
        <f>IFERROR(VLOOKUP(A74&amp;"",'BEA Buyer Groups'!$A$4:$C$500,3,FALSE),"Not used")</f>
        <v>Commercial</v>
      </c>
      <c r="K74" t="str">
        <f t="shared" si="1"/>
        <v>Contractor</v>
      </c>
    </row>
    <row r="75" spans="1:11" x14ac:dyDescent="0.25">
      <c r="A75" s="130" t="s">
        <v>858</v>
      </c>
      <c r="B75" t="s">
        <v>859</v>
      </c>
      <c r="C75" s="130" t="s">
        <v>848</v>
      </c>
      <c r="D75" t="s">
        <v>849</v>
      </c>
      <c r="E75">
        <v>76</v>
      </c>
      <c r="F75">
        <v>1</v>
      </c>
      <c r="G75">
        <v>26</v>
      </c>
      <c r="H75">
        <v>0</v>
      </c>
      <c r="I75">
        <v>104</v>
      </c>
      <c r="J75" t="str">
        <f>IFERROR(VLOOKUP(A75&amp;"",'BEA Buyer Groups'!$A$4:$C$500,3,FALSE),"Not used")</f>
        <v>Commercial</v>
      </c>
      <c r="K75" t="str">
        <f t="shared" si="1"/>
        <v>Contractor</v>
      </c>
    </row>
    <row r="76" spans="1:11" x14ac:dyDescent="0.25">
      <c r="A76" s="130" t="s">
        <v>862</v>
      </c>
      <c r="B76" t="s">
        <v>863</v>
      </c>
      <c r="C76" s="130" t="s">
        <v>820</v>
      </c>
      <c r="D76" t="s">
        <v>821</v>
      </c>
      <c r="E76">
        <v>92</v>
      </c>
      <c r="F76">
        <v>3</v>
      </c>
      <c r="G76">
        <v>45</v>
      </c>
      <c r="H76">
        <v>0</v>
      </c>
      <c r="I76">
        <v>140</v>
      </c>
      <c r="J76" t="str">
        <f>IFERROR(VLOOKUP(A76&amp;"",'BEA Buyer Groups'!$A$4:$C$500,3,FALSE),"Not used")</f>
        <v>Commercial</v>
      </c>
      <c r="K76" t="str">
        <f t="shared" si="1"/>
        <v>Contractor</v>
      </c>
    </row>
    <row r="77" spans="1:11" x14ac:dyDescent="0.25">
      <c r="A77" s="130" t="s">
        <v>862</v>
      </c>
      <c r="B77" t="s">
        <v>863</v>
      </c>
      <c r="C77" s="130" t="s">
        <v>802</v>
      </c>
      <c r="D77" t="s">
        <v>803</v>
      </c>
      <c r="E77">
        <v>401</v>
      </c>
      <c r="F77">
        <v>12</v>
      </c>
      <c r="G77">
        <v>181</v>
      </c>
      <c r="H77">
        <v>0</v>
      </c>
      <c r="I77">
        <v>594</v>
      </c>
      <c r="J77" t="str">
        <f>IFERROR(VLOOKUP(A77&amp;"",'BEA Buyer Groups'!$A$4:$C$500,3,FALSE),"Not used")</f>
        <v>Commercial</v>
      </c>
      <c r="K77" t="str">
        <f t="shared" si="1"/>
        <v>Contractor</v>
      </c>
    </row>
    <row r="78" spans="1:11" x14ac:dyDescent="0.25">
      <c r="A78" s="130" t="s">
        <v>862</v>
      </c>
      <c r="B78" t="s">
        <v>863</v>
      </c>
      <c r="C78" s="130" t="s">
        <v>822</v>
      </c>
      <c r="D78" t="s">
        <v>823</v>
      </c>
      <c r="E78">
        <v>2372</v>
      </c>
      <c r="F78">
        <v>69</v>
      </c>
      <c r="G78">
        <v>382</v>
      </c>
      <c r="H78">
        <v>30</v>
      </c>
      <c r="I78">
        <v>2852</v>
      </c>
      <c r="J78" t="str">
        <f>IFERROR(VLOOKUP(A78&amp;"",'BEA Buyer Groups'!$A$4:$C$500,3,FALSE),"Not used")</f>
        <v>Commercial</v>
      </c>
      <c r="K78" t="str">
        <f t="shared" si="1"/>
        <v>Contractor</v>
      </c>
    </row>
    <row r="79" spans="1:11" x14ac:dyDescent="0.25">
      <c r="A79" s="130" t="s">
        <v>862</v>
      </c>
      <c r="B79" t="s">
        <v>863</v>
      </c>
      <c r="C79" s="130" t="s">
        <v>810</v>
      </c>
      <c r="D79" t="s">
        <v>811</v>
      </c>
      <c r="E79">
        <v>2</v>
      </c>
      <c r="F79">
        <v>0</v>
      </c>
      <c r="G79">
        <v>1</v>
      </c>
      <c r="H79">
        <v>0</v>
      </c>
      <c r="I79">
        <v>2</v>
      </c>
      <c r="J79" t="str">
        <f>IFERROR(VLOOKUP(A79&amp;"",'BEA Buyer Groups'!$A$4:$C$500,3,FALSE),"Not used")</f>
        <v>Commercial</v>
      </c>
      <c r="K79" t="str">
        <f t="shared" si="1"/>
        <v>Contractor</v>
      </c>
    </row>
    <row r="80" spans="1:11" x14ac:dyDescent="0.25">
      <c r="A80" s="130" t="s">
        <v>862</v>
      </c>
      <c r="B80" t="s">
        <v>863</v>
      </c>
      <c r="C80" s="130" t="s">
        <v>816</v>
      </c>
      <c r="D80" t="s">
        <v>817</v>
      </c>
      <c r="E80">
        <v>1126</v>
      </c>
      <c r="F80">
        <v>142</v>
      </c>
      <c r="G80">
        <v>353</v>
      </c>
      <c r="H80">
        <v>0</v>
      </c>
      <c r="I80">
        <v>1621</v>
      </c>
      <c r="J80" t="str">
        <f>IFERROR(VLOOKUP(A80&amp;"",'BEA Buyer Groups'!$A$4:$C$500,3,FALSE),"Not used")</f>
        <v>Commercial</v>
      </c>
      <c r="K80" t="str">
        <f t="shared" si="1"/>
        <v>Contractor</v>
      </c>
    </row>
    <row r="81" spans="1:11" x14ac:dyDescent="0.25">
      <c r="A81" s="130" t="s">
        <v>862</v>
      </c>
      <c r="B81" t="s">
        <v>863</v>
      </c>
      <c r="C81" s="130" t="s">
        <v>846</v>
      </c>
      <c r="D81" t="s">
        <v>847</v>
      </c>
      <c r="E81">
        <v>118</v>
      </c>
      <c r="F81">
        <v>16</v>
      </c>
      <c r="G81">
        <v>41</v>
      </c>
      <c r="H81">
        <v>25</v>
      </c>
      <c r="I81">
        <v>200</v>
      </c>
      <c r="J81" t="str">
        <f>IFERROR(VLOOKUP(A81&amp;"",'BEA Buyer Groups'!$A$4:$C$500,3,FALSE),"Not used")</f>
        <v>Commercial</v>
      </c>
      <c r="K81" t="str">
        <f t="shared" si="1"/>
        <v>Contractor</v>
      </c>
    </row>
    <row r="82" spans="1:11" x14ac:dyDescent="0.25">
      <c r="A82" s="130" t="s">
        <v>862</v>
      </c>
      <c r="B82" t="s">
        <v>863</v>
      </c>
      <c r="C82" s="130" t="s">
        <v>848</v>
      </c>
      <c r="D82" t="s">
        <v>849</v>
      </c>
      <c r="E82">
        <v>106</v>
      </c>
      <c r="F82">
        <v>1</v>
      </c>
      <c r="G82">
        <v>37</v>
      </c>
      <c r="H82">
        <v>0</v>
      </c>
      <c r="I82">
        <v>144</v>
      </c>
      <c r="J82" t="str">
        <f>IFERROR(VLOOKUP(A82&amp;"",'BEA Buyer Groups'!$A$4:$C$500,3,FALSE),"Not used")</f>
        <v>Commercial</v>
      </c>
      <c r="K82" t="str">
        <f t="shared" si="1"/>
        <v>Contractor</v>
      </c>
    </row>
    <row r="83" spans="1:11" x14ac:dyDescent="0.25">
      <c r="A83" s="130" t="s">
        <v>864</v>
      </c>
      <c r="B83" t="s">
        <v>865</v>
      </c>
      <c r="C83" s="130" t="s">
        <v>820</v>
      </c>
      <c r="D83" t="s">
        <v>821</v>
      </c>
      <c r="E83">
        <v>1</v>
      </c>
      <c r="F83">
        <v>0</v>
      </c>
      <c r="G83">
        <v>1</v>
      </c>
      <c r="H83">
        <v>0</v>
      </c>
      <c r="I83">
        <v>2</v>
      </c>
      <c r="J83" t="str">
        <f>IFERROR(VLOOKUP(A83&amp;"",'BEA Buyer Groups'!$A$4:$C$500,3,FALSE),"Not used")</f>
        <v>Not used</v>
      </c>
      <c r="K83" t="str">
        <f t="shared" si="1"/>
        <v>Contractor</v>
      </c>
    </row>
    <row r="84" spans="1:11" x14ac:dyDescent="0.25">
      <c r="A84" s="130" t="s">
        <v>864</v>
      </c>
      <c r="B84" t="s">
        <v>865</v>
      </c>
      <c r="C84" s="130" t="s">
        <v>802</v>
      </c>
      <c r="D84" t="s">
        <v>803</v>
      </c>
      <c r="E84">
        <v>139</v>
      </c>
      <c r="F84">
        <v>4</v>
      </c>
      <c r="G84">
        <v>63</v>
      </c>
      <c r="H84">
        <v>0</v>
      </c>
      <c r="I84">
        <v>206</v>
      </c>
      <c r="J84" t="str">
        <f>IFERROR(VLOOKUP(A84&amp;"",'BEA Buyer Groups'!$A$4:$C$500,3,FALSE),"Not used")</f>
        <v>Not used</v>
      </c>
      <c r="K84" t="str">
        <f t="shared" si="1"/>
        <v>Contractor</v>
      </c>
    </row>
    <row r="85" spans="1:11" x14ac:dyDescent="0.25">
      <c r="A85" s="130" t="s">
        <v>864</v>
      </c>
      <c r="B85" t="s">
        <v>865</v>
      </c>
      <c r="C85" s="130" t="s">
        <v>822</v>
      </c>
      <c r="D85" t="s">
        <v>823</v>
      </c>
      <c r="E85">
        <v>393</v>
      </c>
      <c r="F85">
        <v>11</v>
      </c>
      <c r="G85">
        <v>105</v>
      </c>
      <c r="H85">
        <v>0</v>
      </c>
      <c r="I85">
        <v>509</v>
      </c>
      <c r="J85" t="str">
        <f>IFERROR(VLOOKUP(A85&amp;"",'BEA Buyer Groups'!$A$4:$C$500,3,FALSE),"Not used")</f>
        <v>Not used</v>
      </c>
      <c r="K85" t="str">
        <f t="shared" si="1"/>
        <v>Contractor</v>
      </c>
    </row>
    <row r="86" spans="1:11" x14ac:dyDescent="0.25">
      <c r="A86" s="130" t="s">
        <v>864</v>
      </c>
      <c r="B86" t="s">
        <v>865</v>
      </c>
      <c r="C86" s="130" t="s">
        <v>810</v>
      </c>
      <c r="D86" t="s">
        <v>811</v>
      </c>
      <c r="E86">
        <v>1</v>
      </c>
      <c r="F86">
        <v>0</v>
      </c>
      <c r="G86">
        <v>0</v>
      </c>
      <c r="H86">
        <v>0</v>
      </c>
      <c r="I86">
        <v>2</v>
      </c>
      <c r="J86" t="str">
        <f>IFERROR(VLOOKUP(A86&amp;"",'BEA Buyer Groups'!$A$4:$C$500,3,FALSE),"Not used")</f>
        <v>Not used</v>
      </c>
      <c r="K86" t="str">
        <f t="shared" si="1"/>
        <v>Contractor</v>
      </c>
    </row>
    <row r="87" spans="1:11" x14ac:dyDescent="0.25">
      <c r="A87" s="130" t="s">
        <v>864</v>
      </c>
      <c r="B87" t="s">
        <v>865</v>
      </c>
      <c r="C87" s="130" t="s">
        <v>816</v>
      </c>
      <c r="D87" t="s">
        <v>817</v>
      </c>
      <c r="E87">
        <v>837</v>
      </c>
      <c r="F87">
        <v>106</v>
      </c>
      <c r="G87">
        <v>263</v>
      </c>
      <c r="H87">
        <v>0</v>
      </c>
      <c r="I87">
        <v>1206</v>
      </c>
      <c r="J87" t="str">
        <f>IFERROR(VLOOKUP(A87&amp;"",'BEA Buyer Groups'!$A$4:$C$500,3,FALSE),"Not used")</f>
        <v>Not used</v>
      </c>
      <c r="K87" t="str">
        <f t="shared" si="1"/>
        <v>Contractor</v>
      </c>
    </row>
    <row r="88" spans="1:11" x14ac:dyDescent="0.25">
      <c r="A88" s="130" t="s">
        <v>864</v>
      </c>
      <c r="B88" t="s">
        <v>865</v>
      </c>
      <c r="C88" s="130" t="s">
        <v>846</v>
      </c>
      <c r="D88" t="s">
        <v>847</v>
      </c>
      <c r="E88">
        <v>118</v>
      </c>
      <c r="F88">
        <v>16</v>
      </c>
      <c r="G88">
        <v>41</v>
      </c>
      <c r="H88">
        <v>0</v>
      </c>
      <c r="I88">
        <v>175</v>
      </c>
      <c r="J88" t="str">
        <f>IFERROR(VLOOKUP(A88&amp;"",'BEA Buyer Groups'!$A$4:$C$500,3,FALSE),"Not used")</f>
        <v>Not used</v>
      </c>
      <c r="K88" t="str">
        <f t="shared" si="1"/>
        <v>Contractor</v>
      </c>
    </row>
    <row r="89" spans="1:11" x14ac:dyDescent="0.25">
      <c r="A89" s="130" t="s">
        <v>866</v>
      </c>
      <c r="B89" t="s">
        <v>867</v>
      </c>
      <c r="C89" s="130" t="s">
        <v>820</v>
      </c>
      <c r="D89" t="s">
        <v>821</v>
      </c>
      <c r="E89">
        <v>2085</v>
      </c>
      <c r="F89">
        <v>66</v>
      </c>
      <c r="G89">
        <v>1025</v>
      </c>
      <c r="H89">
        <v>0</v>
      </c>
      <c r="I89">
        <v>3176</v>
      </c>
      <c r="J89" t="str">
        <f>IFERROR(VLOOKUP(A89&amp;"",'BEA Buyer Groups'!$A$4:$C$500,3,FALSE),"Not used")</f>
        <v>Commercial</v>
      </c>
      <c r="K89" t="str">
        <f t="shared" si="1"/>
        <v>Contractor</v>
      </c>
    </row>
    <row r="90" spans="1:11" x14ac:dyDescent="0.25">
      <c r="A90" s="130" t="s">
        <v>866</v>
      </c>
      <c r="B90" t="s">
        <v>867</v>
      </c>
      <c r="C90" s="130" t="s">
        <v>802</v>
      </c>
      <c r="D90" t="s">
        <v>803</v>
      </c>
      <c r="E90">
        <v>168</v>
      </c>
      <c r="F90">
        <v>5</v>
      </c>
      <c r="G90">
        <v>76</v>
      </c>
      <c r="H90">
        <v>90</v>
      </c>
      <c r="I90">
        <v>339</v>
      </c>
      <c r="J90" t="str">
        <f>IFERROR(VLOOKUP(A90&amp;"",'BEA Buyer Groups'!$A$4:$C$500,3,FALSE),"Not used")</f>
        <v>Commercial</v>
      </c>
      <c r="K90" t="str">
        <f t="shared" si="1"/>
        <v>Contractor</v>
      </c>
    </row>
    <row r="91" spans="1:11" x14ac:dyDescent="0.25">
      <c r="A91" s="130" t="s">
        <v>866</v>
      </c>
      <c r="B91" t="s">
        <v>867</v>
      </c>
      <c r="C91" s="130" t="s">
        <v>822</v>
      </c>
      <c r="D91" t="s">
        <v>823</v>
      </c>
      <c r="E91">
        <v>531</v>
      </c>
      <c r="F91">
        <v>15</v>
      </c>
      <c r="G91">
        <v>87</v>
      </c>
      <c r="H91">
        <v>353</v>
      </c>
      <c r="I91">
        <v>986</v>
      </c>
      <c r="J91" t="str">
        <f>IFERROR(VLOOKUP(A91&amp;"",'BEA Buyer Groups'!$A$4:$C$500,3,FALSE),"Not used")</f>
        <v>Commercial</v>
      </c>
      <c r="K91" t="str">
        <f t="shared" si="1"/>
        <v>Contractor</v>
      </c>
    </row>
    <row r="92" spans="1:11" x14ac:dyDescent="0.25">
      <c r="A92" s="130" t="s">
        <v>866</v>
      </c>
      <c r="B92" t="s">
        <v>867</v>
      </c>
      <c r="C92" s="130" t="s">
        <v>810</v>
      </c>
      <c r="D92" t="s">
        <v>811</v>
      </c>
      <c r="E92">
        <v>0</v>
      </c>
      <c r="F92">
        <v>0</v>
      </c>
      <c r="G92">
        <v>0</v>
      </c>
      <c r="H92">
        <v>0</v>
      </c>
      <c r="I92">
        <v>0</v>
      </c>
      <c r="J92" t="str">
        <f>IFERROR(VLOOKUP(A92&amp;"",'BEA Buyer Groups'!$A$4:$C$500,3,FALSE),"Not used")</f>
        <v>Commercial</v>
      </c>
      <c r="K92" t="str">
        <f t="shared" si="1"/>
        <v>Contractor</v>
      </c>
    </row>
    <row r="93" spans="1:11" x14ac:dyDescent="0.25">
      <c r="A93" s="130" t="s">
        <v>866</v>
      </c>
      <c r="B93" t="s">
        <v>867</v>
      </c>
      <c r="C93" s="130" t="s">
        <v>816</v>
      </c>
      <c r="D93" t="s">
        <v>817</v>
      </c>
      <c r="E93">
        <v>2403</v>
      </c>
      <c r="F93">
        <v>304</v>
      </c>
      <c r="G93">
        <v>754</v>
      </c>
      <c r="H93">
        <v>0</v>
      </c>
      <c r="I93">
        <v>3461</v>
      </c>
      <c r="J93" t="str">
        <f>IFERROR(VLOOKUP(A93&amp;"",'BEA Buyer Groups'!$A$4:$C$500,3,FALSE),"Not used")</f>
        <v>Commercial</v>
      </c>
      <c r="K93" t="str">
        <f t="shared" si="1"/>
        <v>Contractor</v>
      </c>
    </row>
    <row r="94" spans="1:11" x14ac:dyDescent="0.25">
      <c r="A94" s="130" t="s">
        <v>866</v>
      </c>
      <c r="B94" t="s">
        <v>867</v>
      </c>
      <c r="C94" s="130" t="s">
        <v>846</v>
      </c>
      <c r="D94" t="s">
        <v>847</v>
      </c>
      <c r="E94">
        <v>51</v>
      </c>
      <c r="F94">
        <v>7</v>
      </c>
      <c r="G94">
        <v>18</v>
      </c>
      <c r="H94">
        <v>10</v>
      </c>
      <c r="I94">
        <v>84</v>
      </c>
      <c r="J94" t="str">
        <f>IFERROR(VLOOKUP(A94&amp;"",'BEA Buyer Groups'!$A$4:$C$500,3,FALSE),"Not used")</f>
        <v>Commercial</v>
      </c>
      <c r="K94" t="str">
        <f t="shared" si="1"/>
        <v>Contractor</v>
      </c>
    </row>
    <row r="95" spans="1:11" x14ac:dyDescent="0.25">
      <c r="A95" s="130" t="s">
        <v>866</v>
      </c>
      <c r="B95" t="s">
        <v>867</v>
      </c>
      <c r="C95" s="130" t="s">
        <v>848</v>
      </c>
      <c r="D95" t="s">
        <v>849</v>
      </c>
      <c r="E95">
        <v>99</v>
      </c>
      <c r="F95">
        <v>1</v>
      </c>
      <c r="G95">
        <v>34</v>
      </c>
      <c r="H95">
        <v>0</v>
      </c>
      <c r="I95">
        <v>134</v>
      </c>
      <c r="J95" t="str">
        <f>IFERROR(VLOOKUP(A95&amp;"",'BEA Buyer Groups'!$A$4:$C$500,3,FALSE),"Not used")</f>
        <v>Commercial</v>
      </c>
      <c r="K95" t="str">
        <f t="shared" si="1"/>
        <v>Contractor</v>
      </c>
    </row>
    <row r="96" spans="1:11" x14ac:dyDescent="0.25">
      <c r="A96" s="130" t="s">
        <v>868</v>
      </c>
      <c r="B96" t="s">
        <v>869</v>
      </c>
      <c r="C96" s="130" t="s">
        <v>820</v>
      </c>
      <c r="D96" t="s">
        <v>821</v>
      </c>
      <c r="E96">
        <v>678</v>
      </c>
      <c r="F96">
        <v>21</v>
      </c>
      <c r="G96">
        <v>333</v>
      </c>
      <c r="H96">
        <v>0</v>
      </c>
      <c r="I96">
        <v>1033</v>
      </c>
      <c r="J96" t="str">
        <f>IFERROR(VLOOKUP(A96&amp;"",'BEA Buyer Groups'!$A$4:$C$500,3,FALSE),"Not used")</f>
        <v>Residential</v>
      </c>
      <c r="K96" t="str">
        <f t="shared" si="1"/>
        <v>Contractor</v>
      </c>
    </row>
    <row r="97" spans="1:11" x14ac:dyDescent="0.25">
      <c r="A97" s="130" t="s">
        <v>868</v>
      </c>
      <c r="B97" t="s">
        <v>869</v>
      </c>
      <c r="C97" s="130" t="s">
        <v>802</v>
      </c>
      <c r="D97" t="s">
        <v>803</v>
      </c>
      <c r="E97">
        <v>294</v>
      </c>
      <c r="F97">
        <v>9</v>
      </c>
      <c r="G97">
        <v>133</v>
      </c>
      <c r="H97">
        <v>249</v>
      </c>
      <c r="I97">
        <v>684</v>
      </c>
      <c r="J97" t="str">
        <f>IFERROR(VLOOKUP(A97&amp;"",'BEA Buyer Groups'!$A$4:$C$500,3,FALSE),"Not used")</f>
        <v>Residential</v>
      </c>
      <c r="K97" t="str">
        <f t="shared" si="1"/>
        <v>Contractor</v>
      </c>
    </row>
    <row r="98" spans="1:11" x14ac:dyDescent="0.25">
      <c r="A98" s="130" t="s">
        <v>868</v>
      </c>
      <c r="B98" t="s">
        <v>869</v>
      </c>
      <c r="C98" s="130" t="s">
        <v>822</v>
      </c>
      <c r="D98" t="s">
        <v>823</v>
      </c>
      <c r="E98">
        <v>992</v>
      </c>
      <c r="F98">
        <v>29</v>
      </c>
      <c r="G98">
        <v>364</v>
      </c>
      <c r="H98">
        <v>1094</v>
      </c>
      <c r="I98">
        <v>2480</v>
      </c>
      <c r="J98" t="str">
        <f>IFERROR(VLOOKUP(A98&amp;"",'BEA Buyer Groups'!$A$4:$C$500,3,FALSE),"Not used")</f>
        <v>Residential</v>
      </c>
      <c r="K98" t="str">
        <f t="shared" si="1"/>
        <v>Contractor</v>
      </c>
    </row>
    <row r="99" spans="1:11" x14ac:dyDescent="0.25">
      <c r="A99" s="130" t="s">
        <v>868</v>
      </c>
      <c r="B99" t="s">
        <v>869</v>
      </c>
      <c r="C99" s="130" t="s">
        <v>810</v>
      </c>
      <c r="D99" t="s">
        <v>811</v>
      </c>
      <c r="E99">
        <v>1</v>
      </c>
      <c r="F99">
        <v>0</v>
      </c>
      <c r="G99">
        <v>0</v>
      </c>
      <c r="H99">
        <v>2</v>
      </c>
      <c r="I99">
        <v>3</v>
      </c>
      <c r="J99" t="str">
        <f>IFERROR(VLOOKUP(A99&amp;"",'BEA Buyer Groups'!$A$4:$C$500,3,FALSE),"Not used")</f>
        <v>Residential</v>
      </c>
      <c r="K99" t="str">
        <f t="shared" si="1"/>
        <v>Contractor</v>
      </c>
    </row>
    <row r="100" spans="1:11" x14ac:dyDescent="0.25">
      <c r="A100" s="130" t="s">
        <v>868</v>
      </c>
      <c r="B100" t="s">
        <v>869</v>
      </c>
      <c r="C100" s="130" t="s">
        <v>816</v>
      </c>
      <c r="D100" t="s">
        <v>817</v>
      </c>
      <c r="E100">
        <v>968</v>
      </c>
      <c r="F100">
        <v>122</v>
      </c>
      <c r="G100">
        <v>304</v>
      </c>
      <c r="H100">
        <v>881</v>
      </c>
      <c r="I100">
        <v>2275</v>
      </c>
      <c r="J100" t="str">
        <f>IFERROR(VLOOKUP(A100&amp;"",'BEA Buyer Groups'!$A$4:$C$500,3,FALSE),"Not used")</f>
        <v>Residential</v>
      </c>
      <c r="K100" t="str">
        <f t="shared" si="1"/>
        <v>Contractor</v>
      </c>
    </row>
    <row r="101" spans="1:11" x14ac:dyDescent="0.25">
      <c r="A101" s="130" t="s">
        <v>868</v>
      </c>
      <c r="B101" t="s">
        <v>869</v>
      </c>
      <c r="C101" s="130" t="s">
        <v>846</v>
      </c>
      <c r="D101" t="s">
        <v>847</v>
      </c>
      <c r="E101">
        <v>1041</v>
      </c>
      <c r="F101">
        <v>136</v>
      </c>
      <c r="G101">
        <v>361</v>
      </c>
      <c r="H101">
        <v>44</v>
      </c>
      <c r="I101">
        <v>1581</v>
      </c>
      <c r="J101" t="str">
        <f>IFERROR(VLOOKUP(A101&amp;"",'BEA Buyer Groups'!$A$4:$C$500,3,FALSE),"Not used")</f>
        <v>Residential</v>
      </c>
      <c r="K101" t="str">
        <f t="shared" si="1"/>
        <v>Contractor</v>
      </c>
    </row>
    <row r="102" spans="1:11" x14ac:dyDescent="0.25">
      <c r="A102" s="130" t="s">
        <v>868</v>
      </c>
      <c r="B102" t="s">
        <v>869</v>
      </c>
      <c r="C102" s="130" t="s">
        <v>848</v>
      </c>
      <c r="D102" t="s">
        <v>849</v>
      </c>
      <c r="E102">
        <v>1244</v>
      </c>
      <c r="F102">
        <v>18</v>
      </c>
      <c r="G102">
        <v>431</v>
      </c>
      <c r="H102">
        <v>0</v>
      </c>
      <c r="I102">
        <v>1693</v>
      </c>
      <c r="J102" t="str">
        <f>IFERROR(VLOOKUP(A102&amp;"",'BEA Buyer Groups'!$A$4:$C$500,3,FALSE),"Not used")</f>
        <v>Residential</v>
      </c>
      <c r="K102" t="str">
        <f t="shared" si="1"/>
        <v>Contractor</v>
      </c>
    </row>
    <row r="103" spans="1:11" x14ac:dyDescent="0.25">
      <c r="A103" s="130" t="s">
        <v>870</v>
      </c>
      <c r="B103" t="s">
        <v>871</v>
      </c>
      <c r="C103" s="130" t="s">
        <v>820</v>
      </c>
      <c r="D103" t="s">
        <v>821</v>
      </c>
      <c r="E103">
        <v>2</v>
      </c>
      <c r="F103">
        <v>0</v>
      </c>
      <c r="G103">
        <v>1</v>
      </c>
      <c r="H103">
        <v>0</v>
      </c>
      <c r="I103">
        <v>2</v>
      </c>
      <c r="J103" t="str">
        <f>IFERROR(VLOOKUP(A103&amp;"",'BEA Buyer Groups'!$A$4:$C$500,3,FALSE),"Not used")</f>
        <v>Residential</v>
      </c>
      <c r="K103" t="str">
        <f t="shared" si="1"/>
        <v>Contractor</v>
      </c>
    </row>
    <row r="104" spans="1:11" x14ac:dyDescent="0.25">
      <c r="A104" s="130" t="s">
        <v>870</v>
      </c>
      <c r="B104" t="s">
        <v>871</v>
      </c>
      <c r="C104" s="130" t="s">
        <v>802</v>
      </c>
      <c r="D104" t="s">
        <v>803</v>
      </c>
      <c r="E104">
        <v>87</v>
      </c>
      <c r="F104">
        <v>3</v>
      </c>
      <c r="G104">
        <v>39</v>
      </c>
      <c r="H104">
        <v>60</v>
      </c>
      <c r="I104">
        <v>189</v>
      </c>
      <c r="J104" t="str">
        <f>IFERROR(VLOOKUP(A104&amp;"",'BEA Buyer Groups'!$A$4:$C$500,3,FALSE),"Not used")</f>
        <v>Residential</v>
      </c>
      <c r="K104" t="str">
        <f t="shared" si="1"/>
        <v>Contractor</v>
      </c>
    </row>
    <row r="105" spans="1:11" x14ac:dyDescent="0.25">
      <c r="A105" s="130" t="s">
        <v>870</v>
      </c>
      <c r="B105" t="s">
        <v>871</v>
      </c>
      <c r="C105" s="130" t="s">
        <v>822</v>
      </c>
      <c r="D105" t="s">
        <v>823</v>
      </c>
      <c r="E105">
        <v>376</v>
      </c>
      <c r="F105">
        <v>11</v>
      </c>
      <c r="G105">
        <v>48</v>
      </c>
      <c r="H105">
        <v>339</v>
      </c>
      <c r="I105">
        <v>774</v>
      </c>
      <c r="J105" t="str">
        <f>IFERROR(VLOOKUP(A105&amp;"",'BEA Buyer Groups'!$A$4:$C$500,3,FALSE),"Not used")</f>
        <v>Residential</v>
      </c>
      <c r="K105" t="str">
        <f t="shared" si="1"/>
        <v>Contractor</v>
      </c>
    </row>
    <row r="106" spans="1:11" x14ac:dyDescent="0.25">
      <c r="A106" s="130" t="s">
        <v>870</v>
      </c>
      <c r="B106" t="s">
        <v>871</v>
      </c>
      <c r="C106" s="130" t="s">
        <v>816</v>
      </c>
      <c r="D106" t="s">
        <v>817</v>
      </c>
      <c r="E106">
        <v>133</v>
      </c>
      <c r="F106">
        <v>17</v>
      </c>
      <c r="G106">
        <v>42</v>
      </c>
      <c r="H106">
        <v>0</v>
      </c>
      <c r="I106">
        <v>192</v>
      </c>
      <c r="J106" t="str">
        <f>IFERROR(VLOOKUP(A106&amp;"",'BEA Buyer Groups'!$A$4:$C$500,3,FALSE),"Not used")</f>
        <v>Residential</v>
      </c>
      <c r="K106" t="str">
        <f t="shared" si="1"/>
        <v>Contractor</v>
      </c>
    </row>
    <row r="107" spans="1:11" x14ac:dyDescent="0.25">
      <c r="A107" s="130" t="s">
        <v>870</v>
      </c>
      <c r="B107" t="s">
        <v>871</v>
      </c>
      <c r="C107" s="130" t="s">
        <v>846</v>
      </c>
      <c r="D107" t="s">
        <v>847</v>
      </c>
      <c r="E107">
        <v>8</v>
      </c>
      <c r="F107">
        <v>1</v>
      </c>
      <c r="G107">
        <v>3</v>
      </c>
      <c r="H107">
        <v>11</v>
      </c>
      <c r="I107">
        <v>22</v>
      </c>
      <c r="J107" t="str">
        <f>IFERROR(VLOOKUP(A107&amp;"",'BEA Buyer Groups'!$A$4:$C$500,3,FALSE),"Not used")</f>
        <v>Residential</v>
      </c>
      <c r="K107" t="str">
        <f t="shared" si="1"/>
        <v>Contractor</v>
      </c>
    </row>
    <row r="108" spans="1:11" x14ac:dyDescent="0.25">
      <c r="A108" s="130" t="s">
        <v>870</v>
      </c>
      <c r="B108" t="s">
        <v>871</v>
      </c>
      <c r="C108" s="130" t="s">
        <v>848</v>
      </c>
      <c r="D108" t="s">
        <v>849</v>
      </c>
      <c r="E108">
        <v>255</v>
      </c>
      <c r="F108">
        <v>4</v>
      </c>
      <c r="G108">
        <v>88</v>
      </c>
      <c r="H108">
        <v>0</v>
      </c>
      <c r="I108">
        <v>347</v>
      </c>
      <c r="J108" t="str">
        <f>IFERROR(VLOOKUP(A108&amp;"",'BEA Buyer Groups'!$A$4:$C$500,3,FALSE),"Not used")</f>
        <v>Residential</v>
      </c>
      <c r="K108" t="str">
        <f t="shared" si="1"/>
        <v>Contractor</v>
      </c>
    </row>
    <row r="109" spans="1:11" x14ac:dyDescent="0.25">
      <c r="A109" s="130" t="s">
        <v>872</v>
      </c>
      <c r="B109" t="s">
        <v>873</v>
      </c>
      <c r="C109" s="130" t="s">
        <v>820</v>
      </c>
      <c r="D109" t="s">
        <v>821</v>
      </c>
      <c r="E109">
        <v>3</v>
      </c>
      <c r="F109">
        <v>0</v>
      </c>
      <c r="G109">
        <v>1</v>
      </c>
      <c r="H109">
        <v>0</v>
      </c>
      <c r="I109">
        <v>5</v>
      </c>
      <c r="J109" t="str">
        <f>IFERROR(VLOOKUP(A109&amp;"",'BEA Buyer Groups'!$A$4:$C$500,3,FALSE),"Not used")</f>
        <v>Residential</v>
      </c>
      <c r="K109" t="str">
        <f t="shared" si="1"/>
        <v>Contractor</v>
      </c>
    </row>
    <row r="110" spans="1:11" x14ac:dyDescent="0.25">
      <c r="A110" s="130" t="s">
        <v>872</v>
      </c>
      <c r="B110" t="s">
        <v>873</v>
      </c>
      <c r="C110" s="130" t="s">
        <v>802</v>
      </c>
      <c r="D110" t="s">
        <v>803</v>
      </c>
      <c r="E110">
        <v>405</v>
      </c>
      <c r="F110">
        <v>12</v>
      </c>
      <c r="G110">
        <v>183</v>
      </c>
      <c r="H110">
        <v>301</v>
      </c>
      <c r="I110">
        <v>900</v>
      </c>
      <c r="J110" t="str">
        <f>IFERROR(VLOOKUP(A110&amp;"",'BEA Buyer Groups'!$A$4:$C$500,3,FALSE),"Not used")</f>
        <v>Residential</v>
      </c>
      <c r="K110" t="str">
        <f t="shared" si="1"/>
        <v>Contractor</v>
      </c>
    </row>
    <row r="111" spans="1:11" x14ac:dyDescent="0.25">
      <c r="A111" s="130" t="s">
        <v>872</v>
      </c>
      <c r="B111" t="s">
        <v>873</v>
      </c>
      <c r="C111" s="130" t="s">
        <v>822</v>
      </c>
      <c r="D111" t="s">
        <v>823</v>
      </c>
      <c r="E111">
        <v>1676</v>
      </c>
      <c r="F111">
        <v>49</v>
      </c>
      <c r="G111">
        <v>273</v>
      </c>
      <c r="H111">
        <v>1454</v>
      </c>
      <c r="I111">
        <v>3452</v>
      </c>
      <c r="J111" t="str">
        <f>IFERROR(VLOOKUP(A111&amp;"",'BEA Buyer Groups'!$A$4:$C$500,3,FALSE),"Not used")</f>
        <v>Residential</v>
      </c>
      <c r="K111" t="str">
        <f t="shared" si="1"/>
        <v>Contractor</v>
      </c>
    </row>
    <row r="112" spans="1:11" x14ac:dyDescent="0.25">
      <c r="A112" s="130" t="s">
        <v>872</v>
      </c>
      <c r="B112" t="s">
        <v>873</v>
      </c>
      <c r="C112" s="130" t="s">
        <v>810</v>
      </c>
      <c r="D112" t="s">
        <v>811</v>
      </c>
      <c r="E112">
        <v>2</v>
      </c>
      <c r="F112">
        <v>0</v>
      </c>
      <c r="G112">
        <v>1</v>
      </c>
      <c r="H112">
        <v>3</v>
      </c>
      <c r="I112">
        <v>6</v>
      </c>
      <c r="J112" t="str">
        <f>IFERROR(VLOOKUP(A112&amp;"",'BEA Buyer Groups'!$A$4:$C$500,3,FALSE),"Not used")</f>
        <v>Residential</v>
      </c>
      <c r="K112" t="str">
        <f t="shared" si="1"/>
        <v>Contractor</v>
      </c>
    </row>
    <row r="113" spans="1:11" x14ac:dyDescent="0.25">
      <c r="A113" s="130" t="s">
        <v>872</v>
      </c>
      <c r="B113" t="s">
        <v>873</v>
      </c>
      <c r="C113" s="130" t="s">
        <v>816</v>
      </c>
      <c r="D113" t="s">
        <v>817</v>
      </c>
      <c r="E113">
        <v>1427</v>
      </c>
      <c r="F113">
        <v>180</v>
      </c>
      <c r="G113">
        <v>448</v>
      </c>
      <c r="H113">
        <v>0</v>
      </c>
      <c r="I113">
        <v>2055</v>
      </c>
      <c r="J113" t="str">
        <f>IFERROR(VLOOKUP(A113&amp;"",'BEA Buyer Groups'!$A$4:$C$500,3,FALSE),"Not used")</f>
        <v>Residential</v>
      </c>
      <c r="K113" t="str">
        <f t="shared" si="1"/>
        <v>Contractor</v>
      </c>
    </row>
    <row r="114" spans="1:11" x14ac:dyDescent="0.25">
      <c r="A114" s="130" t="s">
        <v>872</v>
      </c>
      <c r="B114" t="s">
        <v>873</v>
      </c>
      <c r="C114" s="130" t="s">
        <v>846</v>
      </c>
      <c r="D114" t="s">
        <v>847</v>
      </c>
      <c r="E114">
        <v>54</v>
      </c>
      <c r="F114">
        <v>7</v>
      </c>
      <c r="G114">
        <v>19</v>
      </c>
      <c r="H114">
        <v>40</v>
      </c>
      <c r="I114">
        <v>120</v>
      </c>
      <c r="J114" t="str">
        <f>IFERROR(VLOOKUP(A114&amp;"",'BEA Buyer Groups'!$A$4:$C$500,3,FALSE),"Not used")</f>
        <v>Residential</v>
      </c>
      <c r="K114" t="str">
        <f t="shared" si="1"/>
        <v>Contractor</v>
      </c>
    </row>
    <row r="115" spans="1:11" x14ac:dyDescent="0.25">
      <c r="A115" s="130" t="s">
        <v>872</v>
      </c>
      <c r="B115" t="s">
        <v>873</v>
      </c>
      <c r="C115" s="130" t="s">
        <v>848</v>
      </c>
      <c r="D115" t="s">
        <v>849</v>
      </c>
      <c r="E115">
        <v>1178</v>
      </c>
      <c r="F115">
        <v>17</v>
      </c>
      <c r="G115">
        <v>408</v>
      </c>
      <c r="H115">
        <v>0</v>
      </c>
      <c r="I115">
        <v>1602</v>
      </c>
      <c r="J115" t="str">
        <f>IFERROR(VLOOKUP(A115&amp;"",'BEA Buyer Groups'!$A$4:$C$500,3,FALSE),"Not used")</f>
        <v>Residential</v>
      </c>
      <c r="K115" t="str">
        <f t="shared" si="1"/>
        <v>Contractor</v>
      </c>
    </row>
    <row r="116" spans="1:11" x14ac:dyDescent="0.25">
      <c r="A116" s="130" t="s">
        <v>874</v>
      </c>
      <c r="B116" t="s">
        <v>875</v>
      </c>
      <c r="C116" s="130" t="s">
        <v>820</v>
      </c>
      <c r="D116" t="s">
        <v>821</v>
      </c>
      <c r="E116">
        <v>0</v>
      </c>
      <c r="F116">
        <v>0</v>
      </c>
      <c r="G116">
        <v>0</v>
      </c>
      <c r="H116">
        <v>0</v>
      </c>
      <c r="I116">
        <v>0</v>
      </c>
      <c r="J116" t="str">
        <f>IFERROR(VLOOKUP(A116&amp;"",'BEA Buyer Groups'!$A$4:$C$500,3,FALSE),"Not used")</f>
        <v>Not used</v>
      </c>
      <c r="K116" t="str">
        <f t="shared" si="1"/>
        <v>Direct</v>
      </c>
    </row>
    <row r="117" spans="1:11" x14ac:dyDescent="0.25">
      <c r="A117" s="130" t="s">
        <v>874</v>
      </c>
      <c r="B117" t="s">
        <v>875</v>
      </c>
      <c r="C117" s="130" t="s">
        <v>822</v>
      </c>
      <c r="D117" t="s">
        <v>823</v>
      </c>
      <c r="E117">
        <v>12</v>
      </c>
      <c r="F117">
        <v>0</v>
      </c>
      <c r="G117">
        <v>5</v>
      </c>
      <c r="H117">
        <v>0</v>
      </c>
      <c r="I117">
        <v>18</v>
      </c>
      <c r="J117" t="str">
        <f>IFERROR(VLOOKUP(A117&amp;"",'BEA Buyer Groups'!$A$4:$C$500,3,FALSE),"Not used")</f>
        <v>Not used</v>
      </c>
      <c r="K117" t="str">
        <f t="shared" si="1"/>
        <v>Direct</v>
      </c>
    </row>
    <row r="118" spans="1:11" x14ac:dyDescent="0.25">
      <c r="A118" s="130" t="s">
        <v>876</v>
      </c>
      <c r="B118" t="s">
        <v>877</v>
      </c>
      <c r="C118" s="130" t="s">
        <v>820</v>
      </c>
      <c r="D118" t="s">
        <v>821</v>
      </c>
      <c r="E118">
        <v>0</v>
      </c>
      <c r="F118">
        <v>0</v>
      </c>
      <c r="G118">
        <v>0</v>
      </c>
      <c r="H118">
        <v>0</v>
      </c>
      <c r="I118">
        <v>0</v>
      </c>
      <c r="J118" t="str">
        <f>IFERROR(VLOOKUP(A118&amp;"",'BEA Buyer Groups'!$A$4:$C$500,3,FALSE),"Not used")</f>
        <v>Not used</v>
      </c>
      <c r="K118" t="str">
        <f t="shared" si="1"/>
        <v>Direct</v>
      </c>
    </row>
    <row r="119" spans="1:11" x14ac:dyDescent="0.25">
      <c r="A119" s="130" t="s">
        <v>876</v>
      </c>
      <c r="B119" t="s">
        <v>877</v>
      </c>
      <c r="C119" s="130" t="s">
        <v>822</v>
      </c>
      <c r="D119" t="s">
        <v>823</v>
      </c>
      <c r="E119">
        <v>1</v>
      </c>
      <c r="F119">
        <v>0</v>
      </c>
      <c r="G119">
        <v>0</v>
      </c>
      <c r="H119">
        <v>0</v>
      </c>
      <c r="I119">
        <v>1</v>
      </c>
      <c r="J119" t="str">
        <f>IFERROR(VLOOKUP(A119&amp;"",'BEA Buyer Groups'!$A$4:$C$500,3,FALSE),"Not used")</f>
        <v>Not used</v>
      </c>
      <c r="K119" t="str">
        <f t="shared" si="1"/>
        <v>Direct</v>
      </c>
    </row>
    <row r="120" spans="1:11" x14ac:dyDescent="0.25">
      <c r="A120" s="130" t="s">
        <v>878</v>
      </c>
      <c r="B120" t="s">
        <v>879</v>
      </c>
      <c r="C120" s="130" t="s">
        <v>820</v>
      </c>
      <c r="D120" t="s">
        <v>821</v>
      </c>
      <c r="E120">
        <v>0</v>
      </c>
      <c r="F120">
        <v>0</v>
      </c>
      <c r="G120">
        <v>0</v>
      </c>
      <c r="H120">
        <v>0</v>
      </c>
      <c r="I120">
        <v>0</v>
      </c>
      <c r="J120" t="str">
        <f>IFERROR(VLOOKUP(A120&amp;"",'BEA Buyer Groups'!$A$4:$C$500,3,FALSE),"Not used")</f>
        <v>Not used</v>
      </c>
      <c r="K120" t="str">
        <f t="shared" si="1"/>
        <v>Direct</v>
      </c>
    </row>
    <row r="121" spans="1:11" x14ac:dyDescent="0.25">
      <c r="A121" s="130" t="s">
        <v>880</v>
      </c>
      <c r="B121" t="s">
        <v>881</v>
      </c>
      <c r="C121" s="130" t="s">
        <v>820</v>
      </c>
      <c r="D121" t="s">
        <v>821</v>
      </c>
      <c r="E121">
        <v>0</v>
      </c>
      <c r="F121">
        <v>0</v>
      </c>
      <c r="G121">
        <v>0</v>
      </c>
      <c r="H121">
        <v>0</v>
      </c>
      <c r="I121">
        <v>0</v>
      </c>
      <c r="J121" t="str">
        <f>IFERROR(VLOOKUP(A121&amp;"",'BEA Buyer Groups'!$A$4:$C$500,3,FALSE),"Not used")</f>
        <v>Not used</v>
      </c>
      <c r="K121" t="str">
        <f t="shared" si="1"/>
        <v>Direct</v>
      </c>
    </row>
    <row r="122" spans="1:11" x14ac:dyDescent="0.25">
      <c r="A122" s="130" t="s">
        <v>880</v>
      </c>
      <c r="B122" t="s">
        <v>881</v>
      </c>
      <c r="C122" s="130" t="s">
        <v>822</v>
      </c>
      <c r="D122" t="s">
        <v>823</v>
      </c>
      <c r="E122">
        <v>0</v>
      </c>
      <c r="F122">
        <v>0</v>
      </c>
      <c r="G122">
        <v>0</v>
      </c>
      <c r="H122">
        <v>0</v>
      </c>
      <c r="I122">
        <v>0</v>
      </c>
      <c r="J122" t="str">
        <f>IFERROR(VLOOKUP(A122&amp;"",'BEA Buyer Groups'!$A$4:$C$500,3,FALSE),"Not used")</f>
        <v>Not used</v>
      </c>
      <c r="K122" t="str">
        <f t="shared" si="1"/>
        <v>Direct</v>
      </c>
    </row>
    <row r="123" spans="1:11" x14ac:dyDescent="0.25">
      <c r="A123" s="130" t="s">
        <v>882</v>
      </c>
      <c r="B123" t="s">
        <v>883</v>
      </c>
      <c r="C123" s="130" t="s">
        <v>820</v>
      </c>
      <c r="D123" t="s">
        <v>821</v>
      </c>
      <c r="E123">
        <v>0</v>
      </c>
      <c r="F123">
        <v>0</v>
      </c>
      <c r="G123">
        <v>0</v>
      </c>
      <c r="H123">
        <v>0</v>
      </c>
      <c r="I123">
        <v>0</v>
      </c>
      <c r="J123" t="str">
        <f>IFERROR(VLOOKUP(A123&amp;"",'BEA Buyer Groups'!$A$4:$C$500,3,FALSE),"Not used")</f>
        <v>Not used</v>
      </c>
      <c r="K123" t="str">
        <f t="shared" si="1"/>
        <v>Direct</v>
      </c>
    </row>
    <row r="124" spans="1:11" x14ac:dyDescent="0.25">
      <c r="A124" s="130" t="s">
        <v>884</v>
      </c>
      <c r="B124" t="s">
        <v>885</v>
      </c>
      <c r="C124" s="130" t="s">
        <v>820</v>
      </c>
      <c r="D124" t="s">
        <v>821</v>
      </c>
      <c r="E124">
        <v>0</v>
      </c>
      <c r="F124">
        <v>0</v>
      </c>
      <c r="G124">
        <v>0</v>
      </c>
      <c r="H124">
        <v>0</v>
      </c>
      <c r="I124">
        <v>0</v>
      </c>
      <c r="J124" t="str">
        <f>IFERROR(VLOOKUP(A124&amp;"",'BEA Buyer Groups'!$A$4:$C$500,3,FALSE),"Not used")</f>
        <v>Not used</v>
      </c>
      <c r="K124" t="str">
        <f t="shared" si="1"/>
        <v>Direct</v>
      </c>
    </row>
    <row r="125" spans="1:11" x14ac:dyDescent="0.25">
      <c r="A125" s="130" t="s">
        <v>884</v>
      </c>
      <c r="B125" t="s">
        <v>885</v>
      </c>
      <c r="C125" s="130" t="s">
        <v>822</v>
      </c>
      <c r="D125" t="s">
        <v>823</v>
      </c>
      <c r="E125">
        <v>1</v>
      </c>
      <c r="F125">
        <v>0</v>
      </c>
      <c r="G125">
        <v>0</v>
      </c>
      <c r="H125">
        <v>0</v>
      </c>
      <c r="I125">
        <v>1</v>
      </c>
      <c r="J125" t="str">
        <f>IFERROR(VLOOKUP(A125&amp;"",'BEA Buyer Groups'!$A$4:$C$500,3,FALSE),"Not used")</f>
        <v>Not used</v>
      </c>
      <c r="K125" t="str">
        <f t="shared" si="1"/>
        <v>Direct</v>
      </c>
    </row>
    <row r="126" spans="1:11" x14ac:dyDescent="0.25">
      <c r="A126" s="130" t="s">
        <v>886</v>
      </c>
      <c r="B126" t="s">
        <v>887</v>
      </c>
      <c r="C126" s="130" t="s">
        <v>820</v>
      </c>
      <c r="D126" t="s">
        <v>821</v>
      </c>
      <c r="E126">
        <v>0</v>
      </c>
      <c r="F126">
        <v>0</v>
      </c>
      <c r="G126">
        <v>0</v>
      </c>
      <c r="H126">
        <v>0</v>
      </c>
      <c r="I126">
        <v>0</v>
      </c>
      <c r="J126" t="str">
        <f>IFERROR(VLOOKUP(A126&amp;"",'BEA Buyer Groups'!$A$4:$C$500,3,FALSE),"Not used")</f>
        <v>Not used</v>
      </c>
      <c r="K126" t="str">
        <f t="shared" si="1"/>
        <v>Direct</v>
      </c>
    </row>
    <row r="127" spans="1:11" x14ac:dyDescent="0.25">
      <c r="A127" s="130" t="s">
        <v>886</v>
      </c>
      <c r="B127" t="s">
        <v>887</v>
      </c>
      <c r="C127" s="130" t="s">
        <v>822</v>
      </c>
      <c r="D127" t="s">
        <v>823</v>
      </c>
      <c r="E127">
        <v>27</v>
      </c>
      <c r="F127">
        <v>1</v>
      </c>
      <c r="G127">
        <v>10</v>
      </c>
      <c r="H127">
        <v>0</v>
      </c>
      <c r="I127">
        <v>38</v>
      </c>
      <c r="J127" t="str">
        <f>IFERROR(VLOOKUP(A127&amp;"",'BEA Buyer Groups'!$A$4:$C$500,3,FALSE),"Not used")</f>
        <v>Not used</v>
      </c>
      <c r="K127" t="str">
        <f t="shared" si="1"/>
        <v>Direct</v>
      </c>
    </row>
    <row r="128" spans="1:11" x14ac:dyDescent="0.25">
      <c r="A128" s="130" t="s">
        <v>886</v>
      </c>
      <c r="B128" t="s">
        <v>887</v>
      </c>
      <c r="C128" s="130" t="s">
        <v>810</v>
      </c>
      <c r="D128" t="s">
        <v>811</v>
      </c>
      <c r="E128">
        <v>0</v>
      </c>
      <c r="F128">
        <v>0</v>
      </c>
      <c r="G128">
        <v>0</v>
      </c>
      <c r="H128">
        <v>0</v>
      </c>
      <c r="I128">
        <v>0</v>
      </c>
      <c r="J128" t="str">
        <f>IFERROR(VLOOKUP(A128&amp;"",'BEA Buyer Groups'!$A$4:$C$500,3,FALSE),"Not used")</f>
        <v>Not used</v>
      </c>
      <c r="K128" t="str">
        <f t="shared" si="1"/>
        <v>Direct</v>
      </c>
    </row>
    <row r="129" spans="1:11" x14ac:dyDescent="0.25">
      <c r="A129" s="130" t="s">
        <v>888</v>
      </c>
      <c r="B129" t="s">
        <v>889</v>
      </c>
      <c r="C129" s="130" t="s">
        <v>820</v>
      </c>
      <c r="D129" t="s">
        <v>821</v>
      </c>
      <c r="E129">
        <v>1</v>
      </c>
      <c r="F129">
        <v>0</v>
      </c>
      <c r="G129">
        <v>0</v>
      </c>
      <c r="H129">
        <v>0</v>
      </c>
      <c r="I129">
        <v>1</v>
      </c>
      <c r="J129" t="str">
        <f>IFERROR(VLOOKUP(A129&amp;"",'BEA Buyer Groups'!$A$4:$C$500,3,FALSE),"Not used")</f>
        <v>Not used</v>
      </c>
      <c r="K129" t="str">
        <f t="shared" si="1"/>
        <v>Direct</v>
      </c>
    </row>
    <row r="130" spans="1:11" x14ac:dyDescent="0.25">
      <c r="A130" s="130" t="s">
        <v>888</v>
      </c>
      <c r="B130" t="s">
        <v>889</v>
      </c>
      <c r="C130" s="130" t="s">
        <v>822</v>
      </c>
      <c r="D130" t="s">
        <v>823</v>
      </c>
      <c r="E130">
        <v>47</v>
      </c>
      <c r="F130">
        <v>1</v>
      </c>
      <c r="G130">
        <v>20</v>
      </c>
      <c r="H130">
        <v>0</v>
      </c>
      <c r="I130">
        <v>68</v>
      </c>
      <c r="J130" t="str">
        <f>IFERROR(VLOOKUP(A130&amp;"",'BEA Buyer Groups'!$A$4:$C$500,3,FALSE),"Not used")</f>
        <v>Not used</v>
      </c>
      <c r="K130" t="str">
        <f t="shared" si="1"/>
        <v>Direct</v>
      </c>
    </row>
    <row r="131" spans="1:11" x14ac:dyDescent="0.25">
      <c r="A131" s="130" t="s">
        <v>888</v>
      </c>
      <c r="B131" t="s">
        <v>889</v>
      </c>
      <c r="C131" s="130" t="s">
        <v>810</v>
      </c>
      <c r="D131" t="s">
        <v>811</v>
      </c>
      <c r="E131">
        <v>1</v>
      </c>
      <c r="F131">
        <v>0</v>
      </c>
      <c r="G131">
        <v>0</v>
      </c>
      <c r="H131">
        <v>0</v>
      </c>
      <c r="I131">
        <v>2</v>
      </c>
      <c r="J131" t="str">
        <f>IFERROR(VLOOKUP(A131&amp;"",'BEA Buyer Groups'!$A$4:$C$500,3,FALSE),"Not used")</f>
        <v>Not used</v>
      </c>
      <c r="K131" t="str">
        <f t="shared" si="1"/>
        <v>Direct</v>
      </c>
    </row>
    <row r="132" spans="1:11" x14ac:dyDescent="0.25">
      <c r="A132" s="130" t="s">
        <v>890</v>
      </c>
      <c r="B132" t="s">
        <v>891</v>
      </c>
      <c r="C132" s="130" t="s">
        <v>820</v>
      </c>
      <c r="D132" t="s">
        <v>821</v>
      </c>
      <c r="E132">
        <v>0</v>
      </c>
      <c r="F132">
        <v>0</v>
      </c>
      <c r="G132">
        <v>0</v>
      </c>
      <c r="H132">
        <v>0</v>
      </c>
      <c r="I132">
        <v>0</v>
      </c>
      <c r="J132" t="str">
        <f>IFERROR(VLOOKUP(A132&amp;"",'BEA Buyer Groups'!$A$4:$C$500,3,FALSE),"Not used")</f>
        <v>Not used</v>
      </c>
      <c r="K132" t="str">
        <f t="shared" si="1"/>
        <v>Direct</v>
      </c>
    </row>
    <row r="133" spans="1:11" x14ac:dyDescent="0.25">
      <c r="A133" s="130" t="s">
        <v>890</v>
      </c>
      <c r="B133" t="s">
        <v>891</v>
      </c>
      <c r="C133" s="130" t="s">
        <v>822</v>
      </c>
      <c r="D133" t="s">
        <v>823</v>
      </c>
      <c r="E133">
        <v>21</v>
      </c>
      <c r="F133">
        <v>1</v>
      </c>
      <c r="G133">
        <v>9</v>
      </c>
      <c r="H133">
        <v>0</v>
      </c>
      <c r="I133">
        <v>30</v>
      </c>
      <c r="J133" t="str">
        <f>IFERROR(VLOOKUP(A133&amp;"",'BEA Buyer Groups'!$A$4:$C$500,3,FALSE),"Not used")</f>
        <v>Not used</v>
      </c>
      <c r="K133" t="str">
        <f t="shared" si="1"/>
        <v>Direct</v>
      </c>
    </row>
    <row r="134" spans="1:11" x14ac:dyDescent="0.25">
      <c r="A134" s="130" t="s">
        <v>890</v>
      </c>
      <c r="B134" t="s">
        <v>891</v>
      </c>
      <c r="C134" s="130" t="s">
        <v>810</v>
      </c>
      <c r="D134" t="s">
        <v>811</v>
      </c>
      <c r="E134">
        <v>0</v>
      </c>
      <c r="F134">
        <v>0</v>
      </c>
      <c r="G134">
        <v>0</v>
      </c>
      <c r="H134">
        <v>0</v>
      </c>
      <c r="I134">
        <v>1</v>
      </c>
      <c r="J134" t="str">
        <f>IFERROR(VLOOKUP(A134&amp;"",'BEA Buyer Groups'!$A$4:$C$500,3,FALSE),"Not used")</f>
        <v>Not used</v>
      </c>
      <c r="K134" t="str">
        <f t="shared" si="1"/>
        <v>Direct</v>
      </c>
    </row>
    <row r="135" spans="1:11" x14ac:dyDescent="0.25">
      <c r="A135" s="130" t="s">
        <v>892</v>
      </c>
      <c r="B135" t="s">
        <v>893</v>
      </c>
      <c r="C135" s="130" t="s">
        <v>820</v>
      </c>
      <c r="D135" t="s">
        <v>821</v>
      </c>
      <c r="E135">
        <v>1</v>
      </c>
      <c r="F135">
        <v>0</v>
      </c>
      <c r="G135">
        <v>0</v>
      </c>
      <c r="H135">
        <v>0</v>
      </c>
      <c r="I135">
        <v>1</v>
      </c>
      <c r="J135" t="str">
        <f>IFERROR(VLOOKUP(A135&amp;"",'BEA Buyer Groups'!$A$4:$C$500,3,FALSE),"Not used")</f>
        <v>Not used</v>
      </c>
      <c r="K135" t="str">
        <f t="shared" ref="K135:K198" si="2">IF(LEFT(A135,2)="23","Contractor","Direct")</f>
        <v>Direct</v>
      </c>
    </row>
    <row r="136" spans="1:11" x14ac:dyDescent="0.25">
      <c r="A136" s="130" t="s">
        <v>892</v>
      </c>
      <c r="B136" t="s">
        <v>893</v>
      </c>
      <c r="C136" s="130" t="s">
        <v>822</v>
      </c>
      <c r="D136" t="s">
        <v>823</v>
      </c>
      <c r="E136">
        <v>411</v>
      </c>
      <c r="F136">
        <v>12</v>
      </c>
      <c r="G136">
        <v>185</v>
      </c>
      <c r="H136">
        <v>0</v>
      </c>
      <c r="I136">
        <v>608</v>
      </c>
      <c r="J136" t="str">
        <f>IFERROR(VLOOKUP(A136&amp;"",'BEA Buyer Groups'!$A$4:$C$500,3,FALSE),"Not used")</f>
        <v>Not used</v>
      </c>
      <c r="K136" t="str">
        <f t="shared" si="2"/>
        <v>Direct</v>
      </c>
    </row>
    <row r="137" spans="1:11" x14ac:dyDescent="0.25">
      <c r="A137" s="130" t="s">
        <v>892</v>
      </c>
      <c r="B137" t="s">
        <v>893</v>
      </c>
      <c r="C137" s="130" t="s">
        <v>810</v>
      </c>
      <c r="D137" t="s">
        <v>811</v>
      </c>
      <c r="E137">
        <v>0</v>
      </c>
      <c r="F137">
        <v>0</v>
      </c>
      <c r="G137">
        <v>0</v>
      </c>
      <c r="H137">
        <v>0</v>
      </c>
      <c r="I137">
        <v>1</v>
      </c>
      <c r="J137" t="str">
        <f>IFERROR(VLOOKUP(A137&amp;"",'BEA Buyer Groups'!$A$4:$C$500,3,FALSE),"Not used")</f>
        <v>Not used</v>
      </c>
      <c r="K137" t="str">
        <f t="shared" si="2"/>
        <v>Direct</v>
      </c>
    </row>
    <row r="138" spans="1:11" x14ac:dyDescent="0.25">
      <c r="A138" s="130" t="s">
        <v>894</v>
      </c>
      <c r="B138" t="s">
        <v>895</v>
      </c>
      <c r="C138" s="130" t="s">
        <v>820</v>
      </c>
      <c r="D138" t="s">
        <v>821</v>
      </c>
      <c r="E138">
        <v>0</v>
      </c>
      <c r="F138">
        <v>0</v>
      </c>
      <c r="G138">
        <v>0</v>
      </c>
      <c r="H138">
        <v>0</v>
      </c>
      <c r="I138">
        <v>0</v>
      </c>
      <c r="J138" t="str">
        <f>IFERROR(VLOOKUP(A138&amp;"",'BEA Buyer Groups'!$A$4:$C$500,3,FALSE),"Not used")</f>
        <v>Not used</v>
      </c>
      <c r="K138" t="str">
        <f t="shared" si="2"/>
        <v>Direct</v>
      </c>
    </row>
    <row r="139" spans="1:11" x14ac:dyDescent="0.25">
      <c r="A139" s="130" t="s">
        <v>894</v>
      </c>
      <c r="B139" t="s">
        <v>895</v>
      </c>
      <c r="C139" s="130" t="s">
        <v>822</v>
      </c>
      <c r="D139" t="s">
        <v>823</v>
      </c>
      <c r="E139">
        <v>24</v>
      </c>
      <c r="F139">
        <v>1</v>
      </c>
      <c r="G139">
        <v>11</v>
      </c>
      <c r="H139">
        <v>0</v>
      </c>
      <c r="I139">
        <v>36</v>
      </c>
      <c r="J139" t="str">
        <f>IFERROR(VLOOKUP(A139&amp;"",'BEA Buyer Groups'!$A$4:$C$500,3,FALSE),"Not used")</f>
        <v>Not used</v>
      </c>
      <c r="K139" t="str">
        <f t="shared" si="2"/>
        <v>Direct</v>
      </c>
    </row>
    <row r="140" spans="1:11" x14ac:dyDescent="0.25">
      <c r="A140" s="130" t="s">
        <v>894</v>
      </c>
      <c r="B140" t="s">
        <v>895</v>
      </c>
      <c r="C140" s="130" t="s">
        <v>810</v>
      </c>
      <c r="D140" t="s">
        <v>811</v>
      </c>
      <c r="E140">
        <v>1</v>
      </c>
      <c r="F140">
        <v>0</v>
      </c>
      <c r="G140">
        <v>0</v>
      </c>
      <c r="H140">
        <v>0</v>
      </c>
      <c r="I140">
        <v>1</v>
      </c>
      <c r="J140" t="str">
        <f>IFERROR(VLOOKUP(A140&amp;"",'BEA Buyer Groups'!$A$4:$C$500,3,FALSE),"Not used")</f>
        <v>Not used</v>
      </c>
      <c r="K140" t="str">
        <f t="shared" si="2"/>
        <v>Direct</v>
      </c>
    </row>
    <row r="141" spans="1:11" x14ac:dyDescent="0.25">
      <c r="A141" s="130" t="s">
        <v>896</v>
      </c>
      <c r="B141" t="s">
        <v>897</v>
      </c>
      <c r="C141" s="130" t="s">
        <v>820</v>
      </c>
      <c r="D141" t="s">
        <v>821</v>
      </c>
      <c r="E141">
        <v>0</v>
      </c>
      <c r="F141">
        <v>0</v>
      </c>
      <c r="G141">
        <v>0</v>
      </c>
      <c r="H141">
        <v>0</v>
      </c>
      <c r="I141">
        <v>0</v>
      </c>
      <c r="J141" t="str">
        <f>IFERROR(VLOOKUP(A141&amp;"",'BEA Buyer Groups'!$A$4:$C$500,3,FALSE),"Not used")</f>
        <v>Not used</v>
      </c>
      <c r="K141" t="str">
        <f t="shared" si="2"/>
        <v>Direct</v>
      </c>
    </row>
    <row r="142" spans="1:11" x14ac:dyDescent="0.25">
      <c r="A142" s="130" t="s">
        <v>896</v>
      </c>
      <c r="B142" t="s">
        <v>897</v>
      </c>
      <c r="C142" s="130" t="s">
        <v>822</v>
      </c>
      <c r="D142" t="s">
        <v>823</v>
      </c>
      <c r="E142">
        <v>60</v>
      </c>
      <c r="F142">
        <v>2</v>
      </c>
      <c r="G142">
        <v>27</v>
      </c>
      <c r="H142">
        <v>0</v>
      </c>
      <c r="I142">
        <v>88</v>
      </c>
      <c r="J142" t="str">
        <f>IFERROR(VLOOKUP(A142&amp;"",'BEA Buyer Groups'!$A$4:$C$500,3,FALSE),"Not used")</f>
        <v>Not used</v>
      </c>
      <c r="K142" t="str">
        <f t="shared" si="2"/>
        <v>Direct</v>
      </c>
    </row>
    <row r="143" spans="1:11" x14ac:dyDescent="0.25">
      <c r="A143" s="130" t="s">
        <v>896</v>
      </c>
      <c r="B143" t="s">
        <v>897</v>
      </c>
      <c r="C143" s="130" t="s">
        <v>810</v>
      </c>
      <c r="D143" t="s">
        <v>811</v>
      </c>
      <c r="E143">
        <v>1</v>
      </c>
      <c r="F143">
        <v>0</v>
      </c>
      <c r="G143">
        <v>0</v>
      </c>
      <c r="H143">
        <v>0</v>
      </c>
      <c r="I143">
        <v>1</v>
      </c>
      <c r="J143" t="str">
        <f>IFERROR(VLOOKUP(A143&amp;"",'BEA Buyer Groups'!$A$4:$C$500,3,FALSE),"Not used")</f>
        <v>Not used</v>
      </c>
      <c r="K143" t="str">
        <f t="shared" si="2"/>
        <v>Direct</v>
      </c>
    </row>
    <row r="144" spans="1:11" x14ac:dyDescent="0.25">
      <c r="A144" s="130" t="s">
        <v>898</v>
      </c>
      <c r="B144" t="s">
        <v>899</v>
      </c>
      <c r="C144" s="130" t="s">
        <v>820</v>
      </c>
      <c r="D144" t="s">
        <v>821</v>
      </c>
      <c r="E144">
        <v>0</v>
      </c>
      <c r="F144">
        <v>0</v>
      </c>
      <c r="G144">
        <v>0</v>
      </c>
      <c r="H144">
        <v>0</v>
      </c>
      <c r="I144">
        <v>0</v>
      </c>
      <c r="J144" t="str">
        <f>IFERROR(VLOOKUP(A144&amp;"",'BEA Buyer Groups'!$A$4:$C$500,3,FALSE),"Not used")</f>
        <v>Not used</v>
      </c>
      <c r="K144" t="str">
        <f t="shared" si="2"/>
        <v>Direct</v>
      </c>
    </row>
    <row r="145" spans="1:11" x14ac:dyDescent="0.25">
      <c r="A145" s="130" t="s">
        <v>898</v>
      </c>
      <c r="B145" t="s">
        <v>899</v>
      </c>
      <c r="C145" s="130" t="s">
        <v>822</v>
      </c>
      <c r="D145" t="s">
        <v>823</v>
      </c>
      <c r="E145">
        <v>29</v>
      </c>
      <c r="F145">
        <v>1</v>
      </c>
      <c r="G145">
        <v>13</v>
      </c>
      <c r="H145">
        <v>0</v>
      </c>
      <c r="I145">
        <v>43</v>
      </c>
      <c r="J145" t="str">
        <f>IFERROR(VLOOKUP(A145&amp;"",'BEA Buyer Groups'!$A$4:$C$500,3,FALSE),"Not used")</f>
        <v>Not used</v>
      </c>
      <c r="K145" t="str">
        <f t="shared" si="2"/>
        <v>Direct</v>
      </c>
    </row>
    <row r="146" spans="1:11" x14ac:dyDescent="0.25">
      <c r="A146" s="130" t="s">
        <v>898</v>
      </c>
      <c r="B146" t="s">
        <v>899</v>
      </c>
      <c r="C146" s="130" t="s">
        <v>810</v>
      </c>
      <c r="D146" t="s">
        <v>811</v>
      </c>
      <c r="E146">
        <v>0</v>
      </c>
      <c r="F146">
        <v>0</v>
      </c>
      <c r="G146">
        <v>0</v>
      </c>
      <c r="H146">
        <v>0</v>
      </c>
      <c r="I146">
        <v>1</v>
      </c>
      <c r="J146" t="str">
        <f>IFERROR(VLOOKUP(A146&amp;"",'BEA Buyer Groups'!$A$4:$C$500,3,FALSE),"Not used")</f>
        <v>Not used</v>
      </c>
      <c r="K146" t="str">
        <f t="shared" si="2"/>
        <v>Direct</v>
      </c>
    </row>
    <row r="147" spans="1:11" x14ac:dyDescent="0.25">
      <c r="A147" s="130" t="s">
        <v>900</v>
      </c>
      <c r="B147" t="s">
        <v>901</v>
      </c>
      <c r="C147" s="130" t="s">
        <v>820</v>
      </c>
      <c r="D147" t="s">
        <v>821</v>
      </c>
      <c r="E147">
        <v>0</v>
      </c>
      <c r="F147">
        <v>0</v>
      </c>
      <c r="G147">
        <v>0</v>
      </c>
      <c r="H147">
        <v>0</v>
      </c>
      <c r="I147">
        <v>0</v>
      </c>
      <c r="J147" t="str">
        <f>IFERROR(VLOOKUP(A147&amp;"",'BEA Buyer Groups'!$A$4:$C$500,3,FALSE),"Not used")</f>
        <v>Not used</v>
      </c>
      <c r="K147" t="str">
        <f t="shared" si="2"/>
        <v>Direct</v>
      </c>
    </row>
    <row r="148" spans="1:11" x14ac:dyDescent="0.25">
      <c r="A148" s="130" t="s">
        <v>900</v>
      </c>
      <c r="B148" t="s">
        <v>901</v>
      </c>
      <c r="C148" s="130" t="s">
        <v>822</v>
      </c>
      <c r="D148" t="s">
        <v>823</v>
      </c>
      <c r="E148">
        <v>46</v>
      </c>
      <c r="F148">
        <v>1</v>
      </c>
      <c r="G148">
        <v>21</v>
      </c>
      <c r="H148">
        <v>0</v>
      </c>
      <c r="I148">
        <v>69</v>
      </c>
      <c r="J148" t="str">
        <f>IFERROR(VLOOKUP(A148&amp;"",'BEA Buyer Groups'!$A$4:$C$500,3,FALSE),"Not used")</f>
        <v>Not used</v>
      </c>
      <c r="K148" t="str">
        <f t="shared" si="2"/>
        <v>Direct</v>
      </c>
    </row>
    <row r="149" spans="1:11" x14ac:dyDescent="0.25">
      <c r="A149" s="130" t="s">
        <v>900</v>
      </c>
      <c r="B149" t="s">
        <v>901</v>
      </c>
      <c r="C149" s="130" t="s">
        <v>810</v>
      </c>
      <c r="D149" t="s">
        <v>811</v>
      </c>
      <c r="E149">
        <v>1</v>
      </c>
      <c r="F149">
        <v>0</v>
      </c>
      <c r="G149">
        <v>0</v>
      </c>
      <c r="H149">
        <v>0</v>
      </c>
      <c r="I149">
        <v>2</v>
      </c>
      <c r="J149" t="str">
        <f>IFERROR(VLOOKUP(A149&amp;"",'BEA Buyer Groups'!$A$4:$C$500,3,FALSE),"Not used")</f>
        <v>Not used</v>
      </c>
      <c r="K149" t="str">
        <f t="shared" si="2"/>
        <v>Direct</v>
      </c>
    </row>
    <row r="150" spans="1:11" x14ac:dyDescent="0.25">
      <c r="A150" s="130" t="s">
        <v>902</v>
      </c>
      <c r="B150" t="s">
        <v>903</v>
      </c>
      <c r="C150" s="130" t="s">
        <v>820</v>
      </c>
      <c r="D150" t="s">
        <v>821</v>
      </c>
      <c r="E150">
        <v>0</v>
      </c>
      <c r="F150">
        <v>0</v>
      </c>
      <c r="G150">
        <v>0</v>
      </c>
      <c r="H150">
        <v>0</v>
      </c>
      <c r="I150">
        <v>0</v>
      </c>
      <c r="J150" t="str">
        <f>IFERROR(VLOOKUP(A150&amp;"",'BEA Buyer Groups'!$A$4:$C$500,3,FALSE),"Not used")</f>
        <v>Not used</v>
      </c>
      <c r="K150" t="str">
        <f t="shared" si="2"/>
        <v>Direct</v>
      </c>
    </row>
    <row r="151" spans="1:11" x14ac:dyDescent="0.25">
      <c r="A151" s="130" t="s">
        <v>902</v>
      </c>
      <c r="B151" t="s">
        <v>903</v>
      </c>
      <c r="C151" s="130" t="s">
        <v>822</v>
      </c>
      <c r="D151" t="s">
        <v>823</v>
      </c>
      <c r="E151">
        <v>1</v>
      </c>
      <c r="F151">
        <v>0</v>
      </c>
      <c r="G151">
        <v>0</v>
      </c>
      <c r="H151">
        <v>0</v>
      </c>
      <c r="I151">
        <v>1</v>
      </c>
      <c r="J151" t="str">
        <f>IFERROR(VLOOKUP(A151&amp;"",'BEA Buyer Groups'!$A$4:$C$500,3,FALSE),"Not used")</f>
        <v>Not used</v>
      </c>
      <c r="K151" t="str">
        <f t="shared" si="2"/>
        <v>Direct</v>
      </c>
    </row>
    <row r="152" spans="1:11" x14ac:dyDescent="0.25">
      <c r="A152" s="130" t="s">
        <v>904</v>
      </c>
      <c r="B152" t="s">
        <v>905</v>
      </c>
      <c r="C152" s="130" t="s">
        <v>820</v>
      </c>
      <c r="D152" t="s">
        <v>821</v>
      </c>
      <c r="E152">
        <v>0</v>
      </c>
      <c r="F152">
        <v>0</v>
      </c>
      <c r="G152">
        <v>0</v>
      </c>
      <c r="H152">
        <v>0</v>
      </c>
      <c r="I152">
        <v>0</v>
      </c>
      <c r="J152" t="str">
        <f>IFERROR(VLOOKUP(A152&amp;"",'BEA Buyer Groups'!$A$4:$C$500,3,FALSE),"Not used")</f>
        <v>Not used</v>
      </c>
      <c r="K152" t="str">
        <f t="shared" si="2"/>
        <v>Direct</v>
      </c>
    </row>
    <row r="153" spans="1:11" x14ac:dyDescent="0.25">
      <c r="A153" s="130" t="s">
        <v>904</v>
      </c>
      <c r="B153" t="s">
        <v>905</v>
      </c>
      <c r="C153" s="130" t="s">
        <v>822</v>
      </c>
      <c r="D153" t="s">
        <v>823</v>
      </c>
      <c r="E153">
        <v>1</v>
      </c>
      <c r="F153">
        <v>0</v>
      </c>
      <c r="G153">
        <v>0</v>
      </c>
      <c r="H153">
        <v>0</v>
      </c>
      <c r="I153">
        <v>1</v>
      </c>
      <c r="J153" t="str">
        <f>IFERROR(VLOOKUP(A153&amp;"",'BEA Buyer Groups'!$A$4:$C$500,3,FALSE),"Not used")</f>
        <v>Not used</v>
      </c>
      <c r="K153" t="str">
        <f t="shared" si="2"/>
        <v>Direct</v>
      </c>
    </row>
    <row r="154" spans="1:11" x14ac:dyDescent="0.25">
      <c r="A154" s="130" t="s">
        <v>906</v>
      </c>
      <c r="B154" t="s">
        <v>907</v>
      </c>
      <c r="C154" s="130" t="s">
        <v>820</v>
      </c>
      <c r="D154" t="s">
        <v>821</v>
      </c>
      <c r="E154">
        <v>0</v>
      </c>
      <c r="F154">
        <v>0</v>
      </c>
      <c r="G154">
        <v>0</v>
      </c>
      <c r="H154">
        <v>0</v>
      </c>
      <c r="I154">
        <v>0</v>
      </c>
      <c r="J154" t="str">
        <f>IFERROR(VLOOKUP(A154&amp;"",'BEA Buyer Groups'!$A$4:$C$500,3,FALSE),"Not used")</f>
        <v>Not used</v>
      </c>
      <c r="K154" t="str">
        <f t="shared" si="2"/>
        <v>Direct</v>
      </c>
    </row>
    <row r="155" spans="1:11" x14ac:dyDescent="0.25">
      <c r="A155" s="130" t="s">
        <v>906</v>
      </c>
      <c r="B155" t="s">
        <v>907</v>
      </c>
      <c r="C155" s="130" t="s">
        <v>822</v>
      </c>
      <c r="D155" t="s">
        <v>823</v>
      </c>
      <c r="E155">
        <v>1</v>
      </c>
      <c r="F155">
        <v>0</v>
      </c>
      <c r="G155">
        <v>0</v>
      </c>
      <c r="H155">
        <v>0</v>
      </c>
      <c r="I155">
        <v>2</v>
      </c>
      <c r="J155" t="str">
        <f>IFERROR(VLOOKUP(A155&amp;"",'BEA Buyer Groups'!$A$4:$C$500,3,FALSE),"Not used")</f>
        <v>Not used</v>
      </c>
      <c r="K155" t="str">
        <f t="shared" si="2"/>
        <v>Direct</v>
      </c>
    </row>
    <row r="156" spans="1:11" x14ac:dyDescent="0.25">
      <c r="A156" s="130" t="s">
        <v>908</v>
      </c>
      <c r="B156" t="s">
        <v>909</v>
      </c>
      <c r="C156" s="130" t="s">
        <v>820</v>
      </c>
      <c r="D156" t="s">
        <v>821</v>
      </c>
      <c r="E156">
        <v>1</v>
      </c>
      <c r="F156">
        <v>0</v>
      </c>
      <c r="G156">
        <v>0</v>
      </c>
      <c r="H156">
        <v>0</v>
      </c>
      <c r="I156">
        <v>1</v>
      </c>
      <c r="J156" t="str">
        <f>IFERROR(VLOOKUP(A156&amp;"",'BEA Buyer Groups'!$A$4:$C$500,3,FALSE),"Not used")</f>
        <v>Not used</v>
      </c>
      <c r="K156" t="str">
        <f t="shared" si="2"/>
        <v>Direct</v>
      </c>
    </row>
    <row r="157" spans="1:11" x14ac:dyDescent="0.25">
      <c r="A157" s="130" t="s">
        <v>908</v>
      </c>
      <c r="B157" t="s">
        <v>909</v>
      </c>
      <c r="C157" s="130" t="s">
        <v>822</v>
      </c>
      <c r="D157" t="s">
        <v>823</v>
      </c>
      <c r="E157">
        <v>47</v>
      </c>
      <c r="F157">
        <v>1</v>
      </c>
      <c r="G157">
        <v>19</v>
      </c>
      <c r="H157">
        <v>0</v>
      </c>
      <c r="I157">
        <v>68</v>
      </c>
      <c r="J157" t="str">
        <f>IFERROR(VLOOKUP(A157&amp;"",'BEA Buyer Groups'!$A$4:$C$500,3,FALSE),"Not used")</f>
        <v>Not used</v>
      </c>
      <c r="K157" t="str">
        <f t="shared" si="2"/>
        <v>Direct</v>
      </c>
    </row>
    <row r="158" spans="1:11" x14ac:dyDescent="0.25">
      <c r="A158" s="130" t="s">
        <v>908</v>
      </c>
      <c r="B158" t="s">
        <v>909</v>
      </c>
      <c r="C158" s="130" t="s">
        <v>810</v>
      </c>
      <c r="D158" t="s">
        <v>811</v>
      </c>
      <c r="E158">
        <v>0</v>
      </c>
      <c r="F158">
        <v>0</v>
      </c>
      <c r="G158">
        <v>0</v>
      </c>
      <c r="H158">
        <v>1</v>
      </c>
      <c r="I158">
        <v>1</v>
      </c>
      <c r="J158" t="str">
        <f>IFERROR(VLOOKUP(A158&amp;"",'BEA Buyer Groups'!$A$4:$C$500,3,FALSE),"Not used")</f>
        <v>Not used</v>
      </c>
      <c r="K158" t="str">
        <f t="shared" si="2"/>
        <v>Direct</v>
      </c>
    </row>
    <row r="159" spans="1:11" x14ac:dyDescent="0.25">
      <c r="A159" s="130" t="s">
        <v>910</v>
      </c>
      <c r="B159" t="s">
        <v>911</v>
      </c>
      <c r="C159" s="130" t="s">
        <v>820</v>
      </c>
      <c r="D159" t="s">
        <v>821</v>
      </c>
      <c r="E159">
        <v>0</v>
      </c>
      <c r="F159">
        <v>0</v>
      </c>
      <c r="G159">
        <v>0</v>
      </c>
      <c r="H159">
        <v>0</v>
      </c>
      <c r="I159">
        <v>0</v>
      </c>
      <c r="J159" t="str">
        <f>IFERROR(VLOOKUP(A159&amp;"",'BEA Buyer Groups'!$A$4:$C$500,3,FALSE),"Not used")</f>
        <v>Not used</v>
      </c>
      <c r="K159" t="str">
        <f t="shared" si="2"/>
        <v>Direct</v>
      </c>
    </row>
    <row r="160" spans="1:11" x14ac:dyDescent="0.25">
      <c r="A160" s="130" t="s">
        <v>910</v>
      </c>
      <c r="B160" t="s">
        <v>911</v>
      </c>
      <c r="C160" s="130" t="s">
        <v>822</v>
      </c>
      <c r="D160" t="s">
        <v>823</v>
      </c>
      <c r="E160">
        <v>79</v>
      </c>
      <c r="F160">
        <v>2</v>
      </c>
      <c r="G160">
        <v>36</v>
      </c>
      <c r="H160">
        <v>0</v>
      </c>
      <c r="I160">
        <v>117</v>
      </c>
      <c r="J160" t="str">
        <f>IFERROR(VLOOKUP(A160&amp;"",'BEA Buyer Groups'!$A$4:$C$500,3,FALSE),"Not used")</f>
        <v>Not used</v>
      </c>
      <c r="K160" t="str">
        <f t="shared" si="2"/>
        <v>Direct</v>
      </c>
    </row>
    <row r="161" spans="1:11" x14ac:dyDescent="0.25">
      <c r="A161" s="130" t="s">
        <v>910</v>
      </c>
      <c r="B161" t="s">
        <v>911</v>
      </c>
      <c r="C161" s="130" t="s">
        <v>810</v>
      </c>
      <c r="D161" t="s">
        <v>811</v>
      </c>
      <c r="E161">
        <v>1</v>
      </c>
      <c r="F161">
        <v>0</v>
      </c>
      <c r="G161">
        <v>0</v>
      </c>
      <c r="H161">
        <v>1</v>
      </c>
      <c r="I161">
        <v>2</v>
      </c>
      <c r="J161" t="str">
        <f>IFERROR(VLOOKUP(A161&amp;"",'BEA Buyer Groups'!$A$4:$C$500,3,FALSE),"Not used")</f>
        <v>Not used</v>
      </c>
      <c r="K161" t="str">
        <f t="shared" si="2"/>
        <v>Direct</v>
      </c>
    </row>
    <row r="162" spans="1:11" x14ac:dyDescent="0.25">
      <c r="A162" s="130" t="s">
        <v>912</v>
      </c>
      <c r="B162" t="s">
        <v>913</v>
      </c>
      <c r="C162" s="130" t="s">
        <v>820</v>
      </c>
      <c r="D162" t="s">
        <v>821</v>
      </c>
      <c r="E162">
        <v>0</v>
      </c>
      <c r="F162">
        <v>0</v>
      </c>
      <c r="G162">
        <v>0</v>
      </c>
      <c r="H162">
        <v>0</v>
      </c>
      <c r="I162">
        <v>0</v>
      </c>
      <c r="J162" t="str">
        <f>IFERROR(VLOOKUP(A162&amp;"",'BEA Buyer Groups'!$A$4:$C$500,3,FALSE),"Not used")</f>
        <v>Not used</v>
      </c>
      <c r="K162" t="str">
        <f t="shared" si="2"/>
        <v>Direct</v>
      </c>
    </row>
    <row r="163" spans="1:11" x14ac:dyDescent="0.25">
      <c r="A163" s="130" t="s">
        <v>912</v>
      </c>
      <c r="B163" t="s">
        <v>913</v>
      </c>
      <c r="C163" s="130" t="s">
        <v>822</v>
      </c>
      <c r="D163" t="s">
        <v>823</v>
      </c>
      <c r="E163">
        <v>116</v>
      </c>
      <c r="F163">
        <v>3</v>
      </c>
      <c r="G163">
        <v>52</v>
      </c>
      <c r="H163">
        <v>0</v>
      </c>
      <c r="I163">
        <v>171</v>
      </c>
      <c r="J163" t="str">
        <f>IFERROR(VLOOKUP(A163&amp;"",'BEA Buyer Groups'!$A$4:$C$500,3,FALSE),"Not used")</f>
        <v>Not used</v>
      </c>
      <c r="K163" t="str">
        <f t="shared" si="2"/>
        <v>Direct</v>
      </c>
    </row>
    <row r="164" spans="1:11" x14ac:dyDescent="0.25">
      <c r="A164" s="130" t="s">
        <v>912</v>
      </c>
      <c r="B164" t="s">
        <v>913</v>
      </c>
      <c r="C164" s="130" t="s">
        <v>810</v>
      </c>
      <c r="D164" t="s">
        <v>811</v>
      </c>
      <c r="E164">
        <v>5</v>
      </c>
      <c r="F164">
        <v>0</v>
      </c>
      <c r="G164">
        <v>1</v>
      </c>
      <c r="H164">
        <v>0</v>
      </c>
      <c r="I164">
        <v>6</v>
      </c>
      <c r="J164" t="str">
        <f>IFERROR(VLOOKUP(A164&amp;"",'BEA Buyer Groups'!$A$4:$C$500,3,FALSE),"Not used")</f>
        <v>Not used</v>
      </c>
      <c r="K164" t="str">
        <f t="shared" si="2"/>
        <v>Direct</v>
      </c>
    </row>
    <row r="165" spans="1:11" x14ac:dyDescent="0.25">
      <c r="A165" s="130" t="s">
        <v>914</v>
      </c>
      <c r="B165" t="s">
        <v>915</v>
      </c>
      <c r="C165" s="130" t="s">
        <v>820</v>
      </c>
      <c r="D165" t="s">
        <v>821</v>
      </c>
      <c r="E165">
        <v>0</v>
      </c>
      <c r="F165">
        <v>0</v>
      </c>
      <c r="G165">
        <v>0</v>
      </c>
      <c r="H165">
        <v>0</v>
      </c>
      <c r="I165">
        <v>0</v>
      </c>
      <c r="J165" t="str">
        <f>IFERROR(VLOOKUP(A165&amp;"",'BEA Buyer Groups'!$A$4:$C$500,3,FALSE),"Not used")</f>
        <v>Not used</v>
      </c>
      <c r="K165" t="str">
        <f t="shared" si="2"/>
        <v>Direct</v>
      </c>
    </row>
    <row r="166" spans="1:11" x14ac:dyDescent="0.25">
      <c r="A166" s="130" t="s">
        <v>916</v>
      </c>
      <c r="B166" t="s">
        <v>917</v>
      </c>
      <c r="C166" s="130" t="s">
        <v>820</v>
      </c>
      <c r="D166" t="s">
        <v>821</v>
      </c>
      <c r="E166">
        <v>0</v>
      </c>
      <c r="F166">
        <v>0</v>
      </c>
      <c r="G166">
        <v>0</v>
      </c>
      <c r="H166">
        <v>0</v>
      </c>
      <c r="I166">
        <v>0</v>
      </c>
      <c r="J166" t="str">
        <f>IFERROR(VLOOKUP(A166&amp;"",'BEA Buyer Groups'!$A$4:$C$500,3,FALSE),"Not used")</f>
        <v>Not used</v>
      </c>
      <c r="K166" t="str">
        <f t="shared" si="2"/>
        <v>Direct</v>
      </c>
    </row>
    <row r="167" spans="1:11" x14ac:dyDescent="0.25">
      <c r="A167" s="130" t="s">
        <v>918</v>
      </c>
      <c r="B167" t="s">
        <v>919</v>
      </c>
      <c r="C167" s="130" t="s">
        <v>820</v>
      </c>
      <c r="D167" t="s">
        <v>821</v>
      </c>
      <c r="E167">
        <v>0</v>
      </c>
      <c r="F167">
        <v>0</v>
      </c>
      <c r="G167">
        <v>0</v>
      </c>
      <c r="H167">
        <v>0</v>
      </c>
      <c r="I167">
        <v>0</v>
      </c>
      <c r="J167" t="str">
        <f>IFERROR(VLOOKUP(A167&amp;"",'BEA Buyer Groups'!$A$4:$C$500,3,FALSE),"Not used")</f>
        <v>Not used</v>
      </c>
      <c r="K167" t="str">
        <f t="shared" si="2"/>
        <v>Direct</v>
      </c>
    </row>
    <row r="168" spans="1:11" x14ac:dyDescent="0.25">
      <c r="A168" s="130" t="s">
        <v>920</v>
      </c>
      <c r="B168" t="s">
        <v>921</v>
      </c>
      <c r="C168" s="130" t="s">
        <v>820</v>
      </c>
      <c r="D168" t="s">
        <v>821</v>
      </c>
      <c r="E168">
        <v>0</v>
      </c>
      <c r="F168">
        <v>0</v>
      </c>
      <c r="G168">
        <v>0</v>
      </c>
      <c r="H168">
        <v>0</v>
      </c>
      <c r="I168">
        <v>0</v>
      </c>
      <c r="J168" t="str">
        <f>IFERROR(VLOOKUP(A168&amp;"",'BEA Buyer Groups'!$A$4:$C$500,3,FALSE),"Not used")</f>
        <v>Not used</v>
      </c>
      <c r="K168" t="str">
        <f t="shared" si="2"/>
        <v>Direct</v>
      </c>
    </row>
    <row r="169" spans="1:11" x14ac:dyDescent="0.25">
      <c r="A169" s="130" t="s">
        <v>920</v>
      </c>
      <c r="B169" t="s">
        <v>921</v>
      </c>
      <c r="C169" s="130" t="s">
        <v>822</v>
      </c>
      <c r="D169" t="s">
        <v>823</v>
      </c>
      <c r="E169">
        <v>2</v>
      </c>
      <c r="F169">
        <v>0</v>
      </c>
      <c r="G169">
        <v>1</v>
      </c>
      <c r="H169">
        <v>0</v>
      </c>
      <c r="I169">
        <v>3</v>
      </c>
      <c r="J169" t="str">
        <f>IFERROR(VLOOKUP(A169&amp;"",'BEA Buyer Groups'!$A$4:$C$500,3,FALSE),"Not used")</f>
        <v>Not used</v>
      </c>
      <c r="K169" t="str">
        <f t="shared" si="2"/>
        <v>Direct</v>
      </c>
    </row>
    <row r="170" spans="1:11" x14ac:dyDescent="0.25">
      <c r="A170" s="130" t="s">
        <v>920</v>
      </c>
      <c r="B170" t="s">
        <v>921</v>
      </c>
      <c r="C170" s="130" t="s">
        <v>810</v>
      </c>
      <c r="D170" t="s">
        <v>811</v>
      </c>
      <c r="E170">
        <v>1</v>
      </c>
      <c r="F170">
        <v>0</v>
      </c>
      <c r="G170">
        <v>0</v>
      </c>
      <c r="H170">
        <v>0</v>
      </c>
      <c r="I170">
        <v>1</v>
      </c>
      <c r="J170" t="str">
        <f>IFERROR(VLOOKUP(A170&amp;"",'BEA Buyer Groups'!$A$4:$C$500,3,FALSE),"Not used")</f>
        <v>Not used</v>
      </c>
      <c r="K170" t="str">
        <f t="shared" si="2"/>
        <v>Direct</v>
      </c>
    </row>
    <row r="171" spans="1:11" x14ac:dyDescent="0.25">
      <c r="A171" s="130" t="s">
        <v>922</v>
      </c>
      <c r="B171" t="s">
        <v>923</v>
      </c>
      <c r="C171" s="130" t="s">
        <v>820</v>
      </c>
      <c r="D171" t="s">
        <v>821</v>
      </c>
      <c r="E171">
        <v>2</v>
      </c>
      <c r="F171">
        <v>0</v>
      </c>
      <c r="G171">
        <v>1</v>
      </c>
      <c r="H171">
        <v>0</v>
      </c>
      <c r="I171">
        <v>2</v>
      </c>
      <c r="J171" t="str">
        <f>IFERROR(VLOOKUP(A171&amp;"",'BEA Buyer Groups'!$A$4:$C$500,3,FALSE),"Not used")</f>
        <v>Not used</v>
      </c>
      <c r="K171" t="str">
        <f t="shared" si="2"/>
        <v>Direct</v>
      </c>
    </row>
    <row r="172" spans="1:11" x14ac:dyDescent="0.25">
      <c r="A172" s="130" t="s">
        <v>922</v>
      </c>
      <c r="B172" t="s">
        <v>923</v>
      </c>
      <c r="C172" s="130" t="s">
        <v>822</v>
      </c>
      <c r="D172" t="s">
        <v>823</v>
      </c>
      <c r="E172">
        <v>388</v>
      </c>
      <c r="F172">
        <v>11</v>
      </c>
      <c r="G172">
        <v>175</v>
      </c>
      <c r="H172">
        <v>0</v>
      </c>
      <c r="I172">
        <v>574</v>
      </c>
      <c r="J172" t="str">
        <f>IFERROR(VLOOKUP(A172&amp;"",'BEA Buyer Groups'!$A$4:$C$500,3,FALSE),"Not used")</f>
        <v>Not used</v>
      </c>
      <c r="K172" t="str">
        <f t="shared" si="2"/>
        <v>Direct</v>
      </c>
    </row>
    <row r="173" spans="1:11" x14ac:dyDescent="0.25">
      <c r="A173" s="130" t="s">
        <v>922</v>
      </c>
      <c r="B173" t="s">
        <v>923</v>
      </c>
      <c r="C173" s="130" t="s">
        <v>810</v>
      </c>
      <c r="D173" t="s">
        <v>811</v>
      </c>
      <c r="E173">
        <v>3</v>
      </c>
      <c r="F173">
        <v>0</v>
      </c>
      <c r="G173">
        <v>1</v>
      </c>
      <c r="H173">
        <v>1</v>
      </c>
      <c r="I173">
        <v>5</v>
      </c>
      <c r="J173" t="str">
        <f>IFERROR(VLOOKUP(A173&amp;"",'BEA Buyer Groups'!$A$4:$C$500,3,FALSE),"Not used")</f>
        <v>Not used</v>
      </c>
      <c r="K173" t="str">
        <f t="shared" si="2"/>
        <v>Direct</v>
      </c>
    </row>
    <row r="174" spans="1:11" x14ac:dyDescent="0.25">
      <c r="A174" s="130" t="s">
        <v>924</v>
      </c>
      <c r="B174" t="s">
        <v>925</v>
      </c>
      <c r="C174" s="130" t="s">
        <v>820</v>
      </c>
      <c r="D174" t="s">
        <v>821</v>
      </c>
      <c r="E174">
        <v>0</v>
      </c>
      <c r="F174">
        <v>0</v>
      </c>
      <c r="G174">
        <v>0</v>
      </c>
      <c r="H174">
        <v>0</v>
      </c>
      <c r="I174">
        <v>0</v>
      </c>
      <c r="J174" t="str">
        <f>IFERROR(VLOOKUP(A174&amp;"",'BEA Buyer Groups'!$A$4:$C$500,3,FALSE),"Not used")</f>
        <v>Not used</v>
      </c>
      <c r="K174" t="str">
        <f t="shared" si="2"/>
        <v>Direct</v>
      </c>
    </row>
    <row r="175" spans="1:11" x14ac:dyDescent="0.25">
      <c r="A175" s="130" t="s">
        <v>924</v>
      </c>
      <c r="B175" t="s">
        <v>925</v>
      </c>
      <c r="C175" s="130" t="s">
        <v>822</v>
      </c>
      <c r="D175" t="s">
        <v>823</v>
      </c>
      <c r="E175">
        <v>19</v>
      </c>
      <c r="F175">
        <v>1</v>
      </c>
      <c r="G175">
        <v>8</v>
      </c>
      <c r="H175">
        <v>0</v>
      </c>
      <c r="I175">
        <v>28</v>
      </c>
      <c r="J175" t="str">
        <f>IFERROR(VLOOKUP(A175&amp;"",'BEA Buyer Groups'!$A$4:$C$500,3,FALSE),"Not used")</f>
        <v>Not used</v>
      </c>
      <c r="K175" t="str">
        <f t="shared" si="2"/>
        <v>Direct</v>
      </c>
    </row>
    <row r="176" spans="1:11" x14ac:dyDescent="0.25">
      <c r="A176" s="130" t="s">
        <v>924</v>
      </c>
      <c r="B176" t="s">
        <v>925</v>
      </c>
      <c r="C176" s="130" t="s">
        <v>810</v>
      </c>
      <c r="D176" t="s">
        <v>811</v>
      </c>
      <c r="E176">
        <v>0</v>
      </c>
      <c r="F176">
        <v>0</v>
      </c>
      <c r="G176">
        <v>0</v>
      </c>
      <c r="H176">
        <v>0</v>
      </c>
      <c r="I176">
        <v>1</v>
      </c>
      <c r="J176" t="str">
        <f>IFERROR(VLOOKUP(A176&amp;"",'BEA Buyer Groups'!$A$4:$C$500,3,FALSE),"Not used")</f>
        <v>Not used</v>
      </c>
      <c r="K176" t="str">
        <f t="shared" si="2"/>
        <v>Direct</v>
      </c>
    </row>
    <row r="177" spans="1:11" x14ac:dyDescent="0.25">
      <c r="A177" s="130" t="s">
        <v>926</v>
      </c>
      <c r="B177" t="s">
        <v>927</v>
      </c>
      <c r="C177" s="130" t="s">
        <v>820</v>
      </c>
      <c r="D177" t="s">
        <v>821</v>
      </c>
      <c r="E177">
        <v>0</v>
      </c>
      <c r="F177">
        <v>0</v>
      </c>
      <c r="G177">
        <v>0</v>
      </c>
      <c r="H177">
        <v>0</v>
      </c>
      <c r="I177">
        <v>0</v>
      </c>
      <c r="J177" t="str">
        <f>IFERROR(VLOOKUP(A177&amp;"",'BEA Buyer Groups'!$A$4:$C$500,3,FALSE),"Not used")</f>
        <v>Not used</v>
      </c>
      <c r="K177" t="str">
        <f t="shared" si="2"/>
        <v>Direct</v>
      </c>
    </row>
    <row r="178" spans="1:11" x14ac:dyDescent="0.25">
      <c r="A178" s="130" t="s">
        <v>926</v>
      </c>
      <c r="B178" t="s">
        <v>927</v>
      </c>
      <c r="C178" s="130" t="s">
        <v>822</v>
      </c>
      <c r="D178" t="s">
        <v>823</v>
      </c>
      <c r="E178">
        <v>0</v>
      </c>
      <c r="F178">
        <v>0</v>
      </c>
      <c r="G178">
        <v>0</v>
      </c>
      <c r="H178">
        <v>0</v>
      </c>
      <c r="I178">
        <v>0</v>
      </c>
      <c r="J178" t="str">
        <f>IFERROR(VLOOKUP(A178&amp;"",'BEA Buyer Groups'!$A$4:$C$500,3,FALSE),"Not used")</f>
        <v>Not used</v>
      </c>
      <c r="K178" t="str">
        <f t="shared" si="2"/>
        <v>Direct</v>
      </c>
    </row>
    <row r="179" spans="1:11" x14ac:dyDescent="0.25">
      <c r="A179" s="130" t="s">
        <v>928</v>
      </c>
      <c r="B179" t="s">
        <v>929</v>
      </c>
      <c r="C179" s="130" t="s">
        <v>820</v>
      </c>
      <c r="D179" t="s">
        <v>821</v>
      </c>
      <c r="E179">
        <v>0</v>
      </c>
      <c r="F179">
        <v>0</v>
      </c>
      <c r="G179">
        <v>0</v>
      </c>
      <c r="H179">
        <v>0</v>
      </c>
      <c r="I179">
        <v>0</v>
      </c>
      <c r="J179" t="str">
        <f>IFERROR(VLOOKUP(A179&amp;"",'BEA Buyer Groups'!$A$4:$C$500,3,FALSE),"Not used")</f>
        <v>Not used</v>
      </c>
      <c r="K179" t="str">
        <f t="shared" si="2"/>
        <v>Direct</v>
      </c>
    </row>
    <row r="180" spans="1:11" x14ac:dyDescent="0.25">
      <c r="A180" s="130" t="s">
        <v>930</v>
      </c>
      <c r="B180" t="s">
        <v>931</v>
      </c>
      <c r="C180" s="130" t="s">
        <v>820</v>
      </c>
      <c r="D180" t="s">
        <v>821</v>
      </c>
      <c r="E180">
        <v>0</v>
      </c>
      <c r="F180">
        <v>0</v>
      </c>
      <c r="G180">
        <v>0</v>
      </c>
      <c r="H180">
        <v>0</v>
      </c>
      <c r="I180">
        <v>0</v>
      </c>
      <c r="J180" t="str">
        <f>IFERROR(VLOOKUP(A180&amp;"",'BEA Buyer Groups'!$A$4:$C$500,3,FALSE),"Not used")</f>
        <v>Not used</v>
      </c>
      <c r="K180" t="str">
        <f t="shared" si="2"/>
        <v>Direct</v>
      </c>
    </row>
    <row r="181" spans="1:11" x14ac:dyDescent="0.25">
      <c r="A181" s="130" t="s">
        <v>930</v>
      </c>
      <c r="B181" t="s">
        <v>931</v>
      </c>
      <c r="C181" s="130" t="s">
        <v>822</v>
      </c>
      <c r="D181" t="s">
        <v>823</v>
      </c>
      <c r="E181">
        <v>1</v>
      </c>
      <c r="F181">
        <v>0</v>
      </c>
      <c r="G181">
        <v>0</v>
      </c>
      <c r="H181">
        <v>0</v>
      </c>
      <c r="I181">
        <v>1</v>
      </c>
      <c r="J181" t="str">
        <f>IFERROR(VLOOKUP(A181&amp;"",'BEA Buyer Groups'!$A$4:$C$500,3,FALSE),"Not used")</f>
        <v>Not used</v>
      </c>
      <c r="K181" t="str">
        <f t="shared" si="2"/>
        <v>Direct</v>
      </c>
    </row>
    <row r="182" spans="1:11" x14ac:dyDescent="0.25">
      <c r="A182" s="130" t="s">
        <v>932</v>
      </c>
      <c r="B182" t="s">
        <v>933</v>
      </c>
      <c r="C182" s="130" t="s">
        <v>820</v>
      </c>
      <c r="D182" t="s">
        <v>821</v>
      </c>
      <c r="E182">
        <v>0</v>
      </c>
      <c r="F182">
        <v>0</v>
      </c>
      <c r="G182">
        <v>0</v>
      </c>
      <c r="H182">
        <v>0</v>
      </c>
      <c r="I182">
        <v>0</v>
      </c>
      <c r="J182" t="str">
        <f>IFERROR(VLOOKUP(A182&amp;"",'BEA Buyer Groups'!$A$4:$C$500,3,FALSE),"Not used")</f>
        <v>Not used</v>
      </c>
      <c r="K182" t="str">
        <f t="shared" si="2"/>
        <v>Direct</v>
      </c>
    </row>
    <row r="183" spans="1:11" x14ac:dyDescent="0.25">
      <c r="A183" s="130" t="s">
        <v>934</v>
      </c>
      <c r="B183" t="s">
        <v>935</v>
      </c>
      <c r="C183" s="130" t="s">
        <v>820</v>
      </c>
      <c r="D183" t="s">
        <v>821</v>
      </c>
      <c r="E183">
        <v>1</v>
      </c>
      <c r="F183">
        <v>0</v>
      </c>
      <c r="G183">
        <v>0</v>
      </c>
      <c r="H183">
        <v>0</v>
      </c>
      <c r="I183">
        <v>1</v>
      </c>
      <c r="J183" t="str">
        <f>IFERROR(VLOOKUP(A183&amp;"",'BEA Buyer Groups'!$A$4:$C$500,3,FALSE),"Not used")</f>
        <v>Not used</v>
      </c>
      <c r="K183" t="str">
        <f t="shared" si="2"/>
        <v>Direct</v>
      </c>
    </row>
    <row r="184" spans="1:11" x14ac:dyDescent="0.25">
      <c r="A184" s="130" t="s">
        <v>936</v>
      </c>
      <c r="B184" t="s">
        <v>937</v>
      </c>
      <c r="C184" s="130" t="s">
        <v>820</v>
      </c>
      <c r="D184" t="s">
        <v>821</v>
      </c>
      <c r="E184">
        <v>0</v>
      </c>
      <c r="F184">
        <v>0</v>
      </c>
      <c r="G184">
        <v>0</v>
      </c>
      <c r="H184">
        <v>0</v>
      </c>
      <c r="I184">
        <v>0</v>
      </c>
      <c r="J184" t="str">
        <f>IFERROR(VLOOKUP(A184&amp;"",'BEA Buyer Groups'!$A$4:$C$500,3,FALSE),"Not used")</f>
        <v>Not used</v>
      </c>
      <c r="K184" t="str">
        <f t="shared" si="2"/>
        <v>Direct</v>
      </c>
    </row>
    <row r="185" spans="1:11" x14ac:dyDescent="0.25">
      <c r="A185" s="130" t="s">
        <v>938</v>
      </c>
      <c r="B185" t="s">
        <v>939</v>
      </c>
      <c r="C185" s="130" t="s">
        <v>820</v>
      </c>
      <c r="D185" t="s">
        <v>821</v>
      </c>
      <c r="E185">
        <v>0</v>
      </c>
      <c r="F185">
        <v>0</v>
      </c>
      <c r="G185">
        <v>0</v>
      </c>
      <c r="H185">
        <v>0</v>
      </c>
      <c r="I185">
        <v>0</v>
      </c>
      <c r="J185" t="str">
        <f>IFERROR(VLOOKUP(A185&amp;"",'BEA Buyer Groups'!$A$4:$C$500,3,FALSE),"Not used")</f>
        <v>Not used</v>
      </c>
      <c r="K185" t="str">
        <f t="shared" si="2"/>
        <v>Direct</v>
      </c>
    </row>
    <row r="186" spans="1:11" x14ac:dyDescent="0.25">
      <c r="A186" s="130" t="s">
        <v>940</v>
      </c>
      <c r="B186" t="s">
        <v>941</v>
      </c>
      <c r="C186" s="130" t="s">
        <v>820</v>
      </c>
      <c r="D186" t="s">
        <v>821</v>
      </c>
      <c r="E186">
        <v>0</v>
      </c>
      <c r="F186">
        <v>0</v>
      </c>
      <c r="G186">
        <v>0</v>
      </c>
      <c r="H186">
        <v>0</v>
      </c>
      <c r="I186">
        <v>0</v>
      </c>
      <c r="J186" t="str">
        <f>IFERROR(VLOOKUP(A186&amp;"",'BEA Buyer Groups'!$A$4:$C$500,3,FALSE),"Not used")</f>
        <v>Not used</v>
      </c>
      <c r="K186" t="str">
        <f t="shared" si="2"/>
        <v>Direct</v>
      </c>
    </row>
    <row r="187" spans="1:11" x14ac:dyDescent="0.25">
      <c r="A187" s="130" t="s">
        <v>942</v>
      </c>
      <c r="B187" t="s">
        <v>943</v>
      </c>
      <c r="C187" s="130" t="s">
        <v>820</v>
      </c>
      <c r="D187" t="s">
        <v>821</v>
      </c>
      <c r="E187">
        <v>0</v>
      </c>
      <c r="F187">
        <v>0</v>
      </c>
      <c r="G187">
        <v>0</v>
      </c>
      <c r="H187">
        <v>0</v>
      </c>
      <c r="I187">
        <v>1</v>
      </c>
      <c r="J187" t="str">
        <f>IFERROR(VLOOKUP(A187&amp;"",'BEA Buyer Groups'!$A$4:$C$500,3,FALSE),"Not used")</f>
        <v>Not used</v>
      </c>
      <c r="K187" t="str">
        <f t="shared" si="2"/>
        <v>Direct</v>
      </c>
    </row>
    <row r="188" spans="1:11" x14ac:dyDescent="0.25">
      <c r="A188" s="130" t="s">
        <v>942</v>
      </c>
      <c r="B188" t="s">
        <v>943</v>
      </c>
      <c r="C188" s="130" t="s">
        <v>822</v>
      </c>
      <c r="D188" t="s">
        <v>823</v>
      </c>
      <c r="E188">
        <v>0</v>
      </c>
      <c r="F188">
        <v>0</v>
      </c>
      <c r="G188">
        <v>0</v>
      </c>
      <c r="H188">
        <v>0</v>
      </c>
      <c r="I188">
        <v>0</v>
      </c>
      <c r="J188" t="str">
        <f>IFERROR(VLOOKUP(A188&amp;"",'BEA Buyer Groups'!$A$4:$C$500,3,FALSE),"Not used")</f>
        <v>Not used</v>
      </c>
      <c r="K188" t="str">
        <f t="shared" si="2"/>
        <v>Direct</v>
      </c>
    </row>
    <row r="189" spans="1:11" x14ac:dyDescent="0.25">
      <c r="A189" s="130" t="s">
        <v>944</v>
      </c>
      <c r="B189" t="s">
        <v>945</v>
      </c>
      <c r="C189" s="130" t="s">
        <v>820</v>
      </c>
      <c r="D189" t="s">
        <v>821</v>
      </c>
      <c r="E189">
        <v>1</v>
      </c>
      <c r="F189">
        <v>0</v>
      </c>
      <c r="G189">
        <v>0</v>
      </c>
      <c r="H189">
        <v>0</v>
      </c>
      <c r="I189">
        <v>1</v>
      </c>
      <c r="J189" t="str">
        <f>IFERROR(VLOOKUP(A189&amp;"",'BEA Buyer Groups'!$A$4:$C$500,3,FALSE),"Not used")</f>
        <v>Not used</v>
      </c>
      <c r="K189" t="str">
        <f t="shared" si="2"/>
        <v>Direct</v>
      </c>
    </row>
    <row r="190" spans="1:11" x14ac:dyDescent="0.25">
      <c r="A190" s="130" t="s">
        <v>946</v>
      </c>
      <c r="B190" t="s">
        <v>947</v>
      </c>
      <c r="C190" s="130" t="s">
        <v>820</v>
      </c>
      <c r="D190" t="s">
        <v>821</v>
      </c>
      <c r="E190">
        <v>0</v>
      </c>
      <c r="F190">
        <v>0</v>
      </c>
      <c r="G190">
        <v>0</v>
      </c>
      <c r="H190">
        <v>0</v>
      </c>
      <c r="I190">
        <v>0</v>
      </c>
      <c r="J190" t="str">
        <f>IFERROR(VLOOKUP(A190&amp;"",'BEA Buyer Groups'!$A$4:$C$500,3,FALSE),"Not used")</f>
        <v>Not used</v>
      </c>
      <c r="K190" t="str">
        <f t="shared" si="2"/>
        <v>Direct</v>
      </c>
    </row>
    <row r="191" spans="1:11" x14ac:dyDescent="0.25">
      <c r="A191" s="130" t="s">
        <v>948</v>
      </c>
      <c r="B191" t="s">
        <v>949</v>
      </c>
      <c r="C191" s="130" t="s">
        <v>820</v>
      </c>
      <c r="D191" t="s">
        <v>821</v>
      </c>
      <c r="E191">
        <v>0</v>
      </c>
      <c r="F191">
        <v>0</v>
      </c>
      <c r="G191">
        <v>0</v>
      </c>
      <c r="H191">
        <v>0</v>
      </c>
      <c r="I191">
        <v>0</v>
      </c>
      <c r="J191" t="str">
        <f>IFERROR(VLOOKUP(A191&amp;"",'BEA Buyer Groups'!$A$4:$C$500,3,FALSE),"Not used")</f>
        <v>Not used</v>
      </c>
      <c r="K191" t="str">
        <f t="shared" si="2"/>
        <v>Direct</v>
      </c>
    </row>
    <row r="192" spans="1:11" x14ac:dyDescent="0.25">
      <c r="A192" s="130" t="s">
        <v>948</v>
      </c>
      <c r="B192" t="s">
        <v>949</v>
      </c>
      <c r="C192" s="130" t="s">
        <v>822</v>
      </c>
      <c r="D192" t="s">
        <v>823</v>
      </c>
      <c r="E192">
        <v>1</v>
      </c>
      <c r="F192">
        <v>0</v>
      </c>
      <c r="G192">
        <v>0</v>
      </c>
      <c r="H192">
        <v>0</v>
      </c>
      <c r="I192">
        <v>1</v>
      </c>
      <c r="J192" t="str">
        <f>IFERROR(VLOOKUP(A192&amp;"",'BEA Buyer Groups'!$A$4:$C$500,3,FALSE),"Not used")</f>
        <v>Not used</v>
      </c>
      <c r="K192" t="str">
        <f t="shared" si="2"/>
        <v>Direct</v>
      </c>
    </row>
    <row r="193" spans="1:11" x14ac:dyDescent="0.25">
      <c r="A193" s="130" t="s">
        <v>950</v>
      </c>
      <c r="B193" t="s">
        <v>951</v>
      </c>
      <c r="C193" s="130" t="s">
        <v>820</v>
      </c>
      <c r="D193" t="s">
        <v>821</v>
      </c>
      <c r="E193">
        <v>0</v>
      </c>
      <c r="F193">
        <v>0</v>
      </c>
      <c r="G193">
        <v>0</v>
      </c>
      <c r="H193">
        <v>0</v>
      </c>
      <c r="I193">
        <v>1</v>
      </c>
      <c r="J193" t="str">
        <f>IFERROR(VLOOKUP(A193&amp;"",'BEA Buyer Groups'!$A$4:$C$500,3,FALSE),"Not used")</f>
        <v>Not used</v>
      </c>
      <c r="K193" t="str">
        <f t="shared" si="2"/>
        <v>Direct</v>
      </c>
    </row>
    <row r="194" spans="1:11" x14ac:dyDescent="0.25">
      <c r="A194" s="130" t="s">
        <v>952</v>
      </c>
      <c r="B194" t="s">
        <v>953</v>
      </c>
      <c r="C194" s="130" t="s">
        <v>820</v>
      </c>
      <c r="D194" t="s">
        <v>821</v>
      </c>
      <c r="E194">
        <v>0</v>
      </c>
      <c r="F194">
        <v>0</v>
      </c>
      <c r="G194">
        <v>0</v>
      </c>
      <c r="H194">
        <v>0</v>
      </c>
      <c r="I194">
        <v>0</v>
      </c>
      <c r="J194" t="str">
        <f>IFERROR(VLOOKUP(A194&amp;"",'BEA Buyer Groups'!$A$4:$C$500,3,FALSE),"Not used")</f>
        <v>Not used</v>
      </c>
      <c r="K194" t="str">
        <f t="shared" si="2"/>
        <v>Direct</v>
      </c>
    </row>
    <row r="195" spans="1:11" x14ac:dyDescent="0.25">
      <c r="A195" s="130" t="s">
        <v>952</v>
      </c>
      <c r="B195" t="s">
        <v>953</v>
      </c>
      <c r="C195" s="130" t="s">
        <v>802</v>
      </c>
      <c r="D195" t="s">
        <v>803</v>
      </c>
      <c r="E195">
        <v>6</v>
      </c>
      <c r="F195">
        <v>0</v>
      </c>
      <c r="G195">
        <v>3</v>
      </c>
      <c r="H195">
        <v>0</v>
      </c>
      <c r="I195">
        <v>9</v>
      </c>
      <c r="J195" t="str">
        <f>IFERROR(VLOOKUP(A195&amp;"",'BEA Buyer Groups'!$A$4:$C$500,3,FALSE),"Not used")</f>
        <v>Not used</v>
      </c>
      <c r="K195" t="str">
        <f t="shared" si="2"/>
        <v>Direct</v>
      </c>
    </row>
    <row r="196" spans="1:11" x14ac:dyDescent="0.25">
      <c r="A196" s="130" t="s">
        <v>952</v>
      </c>
      <c r="B196" t="s">
        <v>953</v>
      </c>
      <c r="C196" s="130" t="s">
        <v>822</v>
      </c>
      <c r="D196" t="s">
        <v>823</v>
      </c>
      <c r="E196">
        <v>41</v>
      </c>
      <c r="F196">
        <v>1</v>
      </c>
      <c r="G196">
        <v>18</v>
      </c>
      <c r="H196">
        <v>0</v>
      </c>
      <c r="I196">
        <v>60</v>
      </c>
      <c r="J196" t="str">
        <f>IFERROR(VLOOKUP(A196&amp;"",'BEA Buyer Groups'!$A$4:$C$500,3,FALSE),"Not used")</f>
        <v>Not used</v>
      </c>
      <c r="K196" t="str">
        <f t="shared" si="2"/>
        <v>Direct</v>
      </c>
    </row>
    <row r="197" spans="1:11" x14ac:dyDescent="0.25">
      <c r="A197" s="130" t="s">
        <v>954</v>
      </c>
      <c r="B197" t="s">
        <v>955</v>
      </c>
      <c r="C197" s="130" t="s">
        <v>820</v>
      </c>
      <c r="D197" t="s">
        <v>821</v>
      </c>
      <c r="E197">
        <v>0</v>
      </c>
      <c r="F197">
        <v>0</v>
      </c>
      <c r="G197">
        <v>0</v>
      </c>
      <c r="H197">
        <v>0</v>
      </c>
      <c r="I197">
        <v>1</v>
      </c>
      <c r="J197" t="str">
        <f>IFERROR(VLOOKUP(A197&amp;"",'BEA Buyer Groups'!$A$4:$C$500,3,FALSE),"Not used")</f>
        <v>Not used</v>
      </c>
      <c r="K197" t="str">
        <f t="shared" si="2"/>
        <v>Direct</v>
      </c>
    </row>
    <row r="198" spans="1:11" x14ac:dyDescent="0.25">
      <c r="A198" s="130" t="s">
        <v>954</v>
      </c>
      <c r="B198" t="s">
        <v>955</v>
      </c>
      <c r="C198" s="130" t="s">
        <v>802</v>
      </c>
      <c r="D198" t="s">
        <v>803</v>
      </c>
      <c r="E198">
        <v>11</v>
      </c>
      <c r="F198">
        <v>0</v>
      </c>
      <c r="G198">
        <v>5</v>
      </c>
      <c r="H198">
        <v>0</v>
      </c>
      <c r="I198">
        <v>17</v>
      </c>
      <c r="J198" t="str">
        <f>IFERROR(VLOOKUP(A198&amp;"",'BEA Buyer Groups'!$A$4:$C$500,3,FALSE),"Not used")</f>
        <v>Not used</v>
      </c>
      <c r="K198" t="str">
        <f t="shared" si="2"/>
        <v>Direct</v>
      </c>
    </row>
    <row r="199" spans="1:11" x14ac:dyDescent="0.25">
      <c r="A199" s="130" t="s">
        <v>954</v>
      </c>
      <c r="B199" t="s">
        <v>955</v>
      </c>
      <c r="C199" s="130" t="s">
        <v>822</v>
      </c>
      <c r="D199" t="s">
        <v>823</v>
      </c>
      <c r="E199">
        <v>108</v>
      </c>
      <c r="F199">
        <v>3</v>
      </c>
      <c r="G199">
        <v>48</v>
      </c>
      <c r="H199">
        <v>0</v>
      </c>
      <c r="I199">
        <v>159</v>
      </c>
      <c r="J199" t="str">
        <f>IFERROR(VLOOKUP(A199&amp;"",'BEA Buyer Groups'!$A$4:$C$500,3,FALSE),"Not used")</f>
        <v>Not used</v>
      </c>
      <c r="K199" t="str">
        <f t="shared" ref="K199:K262" si="3">IF(LEFT(A199,2)="23","Contractor","Direct")</f>
        <v>Direct</v>
      </c>
    </row>
    <row r="200" spans="1:11" x14ac:dyDescent="0.25">
      <c r="A200" s="130" t="s">
        <v>954</v>
      </c>
      <c r="B200" t="s">
        <v>955</v>
      </c>
      <c r="C200" s="130" t="s">
        <v>816</v>
      </c>
      <c r="D200" t="s">
        <v>817</v>
      </c>
      <c r="E200">
        <v>126</v>
      </c>
      <c r="F200">
        <v>16</v>
      </c>
      <c r="G200">
        <v>40</v>
      </c>
      <c r="H200">
        <v>0</v>
      </c>
      <c r="I200">
        <v>182</v>
      </c>
      <c r="J200" t="str">
        <f>IFERROR(VLOOKUP(A200&amp;"",'BEA Buyer Groups'!$A$4:$C$500,3,FALSE),"Not used")</f>
        <v>Not used</v>
      </c>
      <c r="K200" t="str">
        <f t="shared" si="3"/>
        <v>Direct</v>
      </c>
    </row>
    <row r="201" spans="1:11" x14ac:dyDescent="0.25">
      <c r="A201" s="130" t="s">
        <v>954</v>
      </c>
      <c r="B201" t="s">
        <v>955</v>
      </c>
      <c r="C201" s="130" t="s">
        <v>848</v>
      </c>
      <c r="D201" t="s">
        <v>849</v>
      </c>
      <c r="E201">
        <v>70</v>
      </c>
      <c r="F201">
        <v>1</v>
      </c>
      <c r="G201">
        <v>24</v>
      </c>
      <c r="H201">
        <v>0</v>
      </c>
      <c r="I201">
        <v>95</v>
      </c>
      <c r="J201" t="str">
        <f>IFERROR(VLOOKUP(A201&amp;"",'BEA Buyer Groups'!$A$4:$C$500,3,FALSE),"Not used")</f>
        <v>Not used</v>
      </c>
      <c r="K201" t="str">
        <f t="shared" si="3"/>
        <v>Direct</v>
      </c>
    </row>
    <row r="202" spans="1:11" x14ac:dyDescent="0.25">
      <c r="A202" s="130" t="s">
        <v>956</v>
      </c>
      <c r="B202" t="s">
        <v>957</v>
      </c>
      <c r="C202" s="130" t="s">
        <v>820</v>
      </c>
      <c r="D202" t="s">
        <v>821</v>
      </c>
      <c r="E202">
        <v>0</v>
      </c>
      <c r="F202">
        <v>0</v>
      </c>
      <c r="G202">
        <v>0</v>
      </c>
      <c r="H202">
        <v>0</v>
      </c>
      <c r="I202">
        <v>0</v>
      </c>
      <c r="J202" t="str">
        <f>IFERROR(VLOOKUP(A202&amp;"",'BEA Buyer Groups'!$A$4:$C$500,3,FALSE),"Not used")</f>
        <v>Not used</v>
      </c>
      <c r="K202" t="str">
        <f t="shared" si="3"/>
        <v>Direct</v>
      </c>
    </row>
    <row r="203" spans="1:11" x14ac:dyDescent="0.25">
      <c r="A203" s="130" t="s">
        <v>958</v>
      </c>
      <c r="B203" t="s">
        <v>959</v>
      </c>
      <c r="C203" s="130" t="s">
        <v>820</v>
      </c>
      <c r="D203" t="s">
        <v>821</v>
      </c>
      <c r="E203">
        <v>0</v>
      </c>
      <c r="F203">
        <v>0</v>
      </c>
      <c r="G203">
        <v>0</v>
      </c>
      <c r="H203">
        <v>0</v>
      </c>
      <c r="I203">
        <v>0</v>
      </c>
      <c r="J203" t="str">
        <f>IFERROR(VLOOKUP(A203&amp;"",'BEA Buyer Groups'!$A$4:$C$500,3,FALSE),"Not used")</f>
        <v>Not used</v>
      </c>
      <c r="K203" t="str">
        <f t="shared" si="3"/>
        <v>Direct</v>
      </c>
    </row>
    <row r="204" spans="1:11" x14ac:dyDescent="0.25">
      <c r="A204" s="130" t="s">
        <v>958</v>
      </c>
      <c r="B204" t="s">
        <v>959</v>
      </c>
      <c r="C204" s="130" t="s">
        <v>822</v>
      </c>
      <c r="D204" t="s">
        <v>823</v>
      </c>
      <c r="E204">
        <v>1</v>
      </c>
      <c r="F204">
        <v>0</v>
      </c>
      <c r="G204">
        <v>0</v>
      </c>
      <c r="H204">
        <v>0</v>
      </c>
      <c r="I204">
        <v>1</v>
      </c>
      <c r="J204" t="str">
        <f>IFERROR(VLOOKUP(A204&amp;"",'BEA Buyer Groups'!$A$4:$C$500,3,FALSE),"Not used")</f>
        <v>Not used</v>
      </c>
      <c r="K204" t="str">
        <f t="shared" si="3"/>
        <v>Direct</v>
      </c>
    </row>
    <row r="205" spans="1:11" x14ac:dyDescent="0.25">
      <c r="A205" s="130" t="s">
        <v>960</v>
      </c>
      <c r="B205" t="s">
        <v>961</v>
      </c>
      <c r="C205" s="130" t="s">
        <v>820</v>
      </c>
      <c r="D205" t="s">
        <v>821</v>
      </c>
      <c r="E205">
        <v>0</v>
      </c>
      <c r="F205">
        <v>0</v>
      </c>
      <c r="G205">
        <v>0</v>
      </c>
      <c r="H205">
        <v>0</v>
      </c>
      <c r="I205">
        <v>0</v>
      </c>
      <c r="J205" t="str">
        <f>IFERROR(VLOOKUP(A205&amp;"",'BEA Buyer Groups'!$A$4:$C$500,3,FALSE),"Not used")</f>
        <v>Not used</v>
      </c>
      <c r="K205" t="str">
        <f t="shared" si="3"/>
        <v>Direct</v>
      </c>
    </row>
    <row r="206" spans="1:11" x14ac:dyDescent="0.25">
      <c r="A206" s="130" t="s">
        <v>960</v>
      </c>
      <c r="B206" t="s">
        <v>961</v>
      </c>
      <c r="C206" s="130" t="s">
        <v>822</v>
      </c>
      <c r="D206" t="s">
        <v>823</v>
      </c>
      <c r="E206">
        <v>1</v>
      </c>
      <c r="F206">
        <v>0</v>
      </c>
      <c r="G206">
        <v>0</v>
      </c>
      <c r="H206">
        <v>0</v>
      </c>
      <c r="I206">
        <v>1</v>
      </c>
      <c r="J206" t="str">
        <f>IFERROR(VLOOKUP(A206&amp;"",'BEA Buyer Groups'!$A$4:$C$500,3,FALSE),"Not used")</f>
        <v>Not used</v>
      </c>
      <c r="K206" t="str">
        <f t="shared" si="3"/>
        <v>Direct</v>
      </c>
    </row>
    <row r="207" spans="1:11" x14ac:dyDescent="0.25">
      <c r="A207" s="130" t="s">
        <v>962</v>
      </c>
      <c r="B207" t="s">
        <v>963</v>
      </c>
      <c r="C207" s="130" t="s">
        <v>820</v>
      </c>
      <c r="D207" t="s">
        <v>821</v>
      </c>
      <c r="E207">
        <v>1</v>
      </c>
      <c r="F207">
        <v>0</v>
      </c>
      <c r="G207">
        <v>0</v>
      </c>
      <c r="H207">
        <v>0</v>
      </c>
      <c r="I207">
        <v>1</v>
      </c>
      <c r="J207" t="str">
        <f>IFERROR(VLOOKUP(A207&amp;"",'BEA Buyer Groups'!$A$4:$C$500,3,FALSE),"Not used")</f>
        <v>Not used</v>
      </c>
      <c r="K207" t="str">
        <f t="shared" si="3"/>
        <v>Direct</v>
      </c>
    </row>
    <row r="208" spans="1:11" x14ac:dyDescent="0.25">
      <c r="A208" s="130" t="s">
        <v>962</v>
      </c>
      <c r="B208" t="s">
        <v>963</v>
      </c>
      <c r="C208" s="130" t="s">
        <v>822</v>
      </c>
      <c r="D208" t="s">
        <v>823</v>
      </c>
      <c r="E208">
        <v>3</v>
      </c>
      <c r="F208">
        <v>0</v>
      </c>
      <c r="G208">
        <v>0</v>
      </c>
      <c r="H208">
        <v>0</v>
      </c>
      <c r="I208">
        <v>3</v>
      </c>
      <c r="J208" t="str">
        <f>IFERROR(VLOOKUP(A208&amp;"",'BEA Buyer Groups'!$A$4:$C$500,3,FALSE),"Not used")</f>
        <v>Not used</v>
      </c>
      <c r="K208" t="str">
        <f t="shared" si="3"/>
        <v>Direct</v>
      </c>
    </row>
    <row r="209" spans="1:11" x14ac:dyDescent="0.25">
      <c r="A209" s="130" t="s">
        <v>964</v>
      </c>
      <c r="B209" t="s">
        <v>965</v>
      </c>
      <c r="C209" s="130" t="s">
        <v>820</v>
      </c>
      <c r="D209" t="s">
        <v>821</v>
      </c>
      <c r="E209">
        <v>0</v>
      </c>
      <c r="F209">
        <v>0</v>
      </c>
      <c r="G209">
        <v>0</v>
      </c>
      <c r="H209">
        <v>0</v>
      </c>
      <c r="I209">
        <v>0</v>
      </c>
      <c r="J209" t="str">
        <f>IFERROR(VLOOKUP(A209&amp;"",'BEA Buyer Groups'!$A$4:$C$500,3,FALSE),"Not used")</f>
        <v>Not used</v>
      </c>
      <c r="K209" t="str">
        <f t="shared" si="3"/>
        <v>Direct</v>
      </c>
    </row>
    <row r="210" spans="1:11" x14ac:dyDescent="0.25">
      <c r="A210" s="130" t="s">
        <v>966</v>
      </c>
      <c r="B210" t="s">
        <v>967</v>
      </c>
      <c r="C210" s="130" t="s">
        <v>820</v>
      </c>
      <c r="D210" t="s">
        <v>821</v>
      </c>
      <c r="E210">
        <v>0</v>
      </c>
      <c r="F210">
        <v>0</v>
      </c>
      <c r="G210">
        <v>0</v>
      </c>
      <c r="H210">
        <v>0</v>
      </c>
      <c r="I210">
        <v>0</v>
      </c>
      <c r="J210" t="str">
        <f>IFERROR(VLOOKUP(A210&amp;"",'BEA Buyer Groups'!$A$4:$C$500,3,FALSE),"Not used")</f>
        <v>Not used</v>
      </c>
      <c r="K210" t="str">
        <f t="shared" si="3"/>
        <v>Direct</v>
      </c>
    </row>
    <row r="211" spans="1:11" x14ac:dyDescent="0.25">
      <c r="A211" s="130" t="s">
        <v>968</v>
      </c>
      <c r="B211" t="s">
        <v>969</v>
      </c>
      <c r="C211" s="130" t="s">
        <v>820</v>
      </c>
      <c r="D211" t="s">
        <v>821</v>
      </c>
      <c r="E211">
        <v>0</v>
      </c>
      <c r="F211">
        <v>0</v>
      </c>
      <c r="G211">
        <v>0</v>
      </c>
      <c r="H211">
        <v>0</v>
      </c>
      <c r="I211">
        <v>0</v>
      </c>
      <c r="J211" t="str">
        <f>IFERROR(VLOOKUP(A211&amp;"",'BEA Buyer Groups'!$A$4:$C$500,3,FALSE),"Not used")</f>
        <v>Not used</v>
      </c>
      <c r="K211" t="str">
        <f t="shared" si="3"/>
        <v>Direct</v>
      </c>
    </row>
    <row r="212" spans="1:11" x14ac:dyDescent="0.25">
      <c r="A212" s="130" t="s">
        <v>968</v>
      </c>
      <c r="B212" t="s">
        <v>969</v>
      </c>
      <c r="C212" s="130" t="s">
        <v>822</v>
      </c>
      <c r="D212" t="s">
        <v>823</v>
      </c>
      <c r="E212">
        <v>0</v>
      </c>
      <c r="F212">
        <v>0</v>
      </c>
      <c r="G212">
        <v>0</v>
      </c>
      <c r="H212">
        <v>0</v>
      </c>
      <c r="I212">
        <v>0</v>
      </c>
      <c r="J212" t="str">
        <f>IFERROR(VLOOKUP(A212&amp;"",'BEA Buyer Groups'!$A$4:$C$500,3,FALSE),"Not used")</f>
        <v>Not used</v>
      </c>
      <c r="K212" t="str">
        <f t="shared" si="3"/>
        <v>Direct</v>
      </c>
    </row>
    <row r="213" spans="1:11" x14ac:dyDescent="0.25">
      <c r="A213" s="130" t="s">
        <v>970</v>
      </c>
      <c r="B213" t="s">
        <v>971</v>
      </c>
      <c r="C213" s="130" t="s">
        <v>820</v>
      </c>
      <c r="D213" t="s">
        <v>821</v>
      </c>
      <c r="E213">
        <v>0</v>
      </c>
      <c r="F213">
        <v>0</v>
      </c>
      <c r="G213">
        <v>0</v>
      </c>
      <c r="H213">
        <v>0</v>
      </c>
      <c r="I213">
        <v>0</v>
      </c>
      <c r="J213" t="str">
        <f>IFERROR(VLOOKUP(A213&amp;"",'BEA Buyer Groups'!$A$4:$C$500,3,FALSE),"Not used")</f>
        <v>Not used</v>
      </c>
      <c r="K213" t="str">
        <f t="shared" si="3"/>
        <v>Direct</v>
      </c>
    </row>
    <row r="214" spans="1:11" x14ac:dyDescent="0.25">
      <c r="A214" s="130" t="s">
        <v>972</v>
      </c>
      <c r="B214" t="s">
        <v>973</v>
      </c>
      <c r="C214" s="130" t="s">
        <v>820</v>
      </c>
      <c r="D214" t="s">
        <v>821</v>
      </c>
      <c r="E214">
        <v>1</v>
      </c>
      <c r="F214">
        <v>0</v>
      </c>
      <c r="G214">
        <v>0</v>
      </c>
      <c r="H214">
        <v>0</v>
      </c>
      <c r="I214">
        <v>1</v>
      </c>
      <c r="J214" t="str">
        <f>IFERROR(VLOOKUP(A214&amp;"",'BEA Buyer Groups'!$A$4:$C$500,3,FALSE),"Not used")</f>
        <v>Not used</v>
      </c>
      <c r="K214" t="str">
        <f t="shared" si="3"/>
        <v>Direct</v>
      </c>
    </row>
    <row r="215" spans="1:11" x14ac:dyDescent="0.25">
      <c r="A215" s="130" t="s">
        <v>972</v>
      </c>
      <c r="B215" t="s">
        <v>973</v>
      </c>
      <c r="C215" s="130" t="s">
        <v>822</v>
      </c>
      <c r="D215" t="s">
        <v>823</v>
      </c>
      <c r="E215">
        <v>3</v>
      </c>
      <c r="F215">
        <v>0</v>
      </c>
      <c r="G215">
        <v>0</v>
      </c>
      <c r="H215">
        <v>0</v>
      </c>
      <c r="I215">
        <v>3</v>
      </c>
      <c r="J215" t="str">
        <f>IFERROR(VLOOKUP(A215&amp;"",'BEA Buyer Groups'!$A$4:$C$500,3,FALSE),"Not used")</f>
        <v>Not used</v>
      </c>
      <c r="K215" t="str">
        <f t="shared" si="3"/>
        <v>Direct</v>
      </c>
    </row>
    <row r="216" spans="1:11" x14ac:dyDescent="0.25">
      <c r="A216" s="130" t="s">
        <v>972</v>
      </c>
      <c r="B216" t="s">
        <v>973</v>
      </c>
      <c r="C216" s="130" t="s">
        <v>860</v>
      </c>
      <c r="D216" t="s">
        <v>861</v>
      </c>
      <c r="E216">
        <v>7</v>
      </c>
      <c r="F216">
        <v>0</v>
      </c>
      <c r="G216">
        <v>3</v>
      </c>
      <c r="H216">
        <v>0</v>
      </c>
      <c r="I216">
        <v>10</v>
      </c>
      <c r="J216" t="str">
        <f>IFERROR(VLOOKUP(A216&amp;"",'BEA Buyer Groups'!$A$4:$C$500,3,FALSE),"Not used")</f>
        <v>Not used</v>
      </c>
      <c r="K216" t="str">
        <f t="shared" si="3"/>
        <v>Direct</v>
      </c>
    </row>
    <row r="217" spans="1:11" x14ac:dyDescent="0.25">
      <c r="A217" s="130" t="s">
        <v>974</v>
      </c>
      <c r="B217" t="s">
        <v>975</v>
      </c>
      <c r="C217" s="130" t="s">
        <v>820</v>
      </c>
      <c r="D217" t="s">
        <v>821</v>
      </c>
      <c r="E217">
        <v>0</v>
      </c>
      <c r="F217">
        <v>0</v>
      </c>
      <c r="G217">
        <v>0</v>
      </c>
      <c r="H217">
        <v>0</v>
      </c>
      <c r="I217">
        <v>0</v>
      </c>
      <c r="J217" t="str">
        <f>IFERROR(VLOOKUP(A217&amp;"",'BEA Buyer Groups'!$A$4:$C$500,3,FALSE),"Not used")</f>
        <v>Not used</v>
      </c>
      <c r="K217" t="str">
        <f t="shared" si="3"/>
        <v>Direct</v>
      </c>
    </row>
    <row r="218" spans="1:11" x14ac:dyDescent="0.25">
      <c r="A218" s="130" t="s">
        <v>976</v>
      </c>
      <c r="B218" t="s">
        <v>977</v>
      </c>
      <c r="C218" s="130" t="s">
        <v>820</v>
      </c>
      <c r="D218" t="s">
        <v>821</v>
      </c>
      <c r="E218">
        <v>0</v>
      </c>
      <c r="F218">
        <v>0</v>
      </c>
      <c r="G218">
        <v>0</v>
      </c>
      <c r="H218">
        <v>0</v>
      </c>
      <c r="I218">
        <v>0</v>
      </c>
      <c r="J218" t="str">
        <f>IFERROR(VLOOKUP(A218&amp;"",'BEA Buyer Groups'!$A$4:$C$500,3,FALSE),"Not used")</f>
        <v>Not used</v>
      </c>
      <c r="K218" t="str">
        <f t="shared" si="3"/>
        <v>Direct</v>
      </c>
    </row>
    <row r="219" spans="1:11" x14ac:dyDescent="0.25">
      <c r="A219" s="130" t="s">
        <v>976</v>
      </c>
      <c r="B219" t="s">
        <v>977</v>
      </c>
      <c r="C219" s="130" t="s">
        <v>822</v>
      </c>
      <c r="D219" t="s">
        <v>823</v>
      </c>
      <c r="E219">
        <v>2</v>
      </c>
      <c r="F219">
        <v>0</v>
      </c>
      <c r="G219">
        <v>0</v>
      </c>
      <c r="H219">
        <v>0</v>
      </c>
      <c r="I219">
        <v>2</v>
      </c>
      <c r="J219" t="str">
        <f>IFERROR(VLOOKUP(A219&amp;"",'BEA Buyer Groups'!$A$4:$C$500,3,FALSE),"Not used")</f>
        <v>Not used</v>
      </c>
      <c r="K219" t="str">
        <f t="shared" si="3"/>
        <v>Direct</v>
      </c>
    </row>
    <row r="220" spans="1:11" x14ac:dyDescent="0.25">
      <c r="A220" s="130" t="s">
        <v>978</v>
      </c>
      <c r="B220" t="s">
        <v>979</v>
      </c>
      <c r="C220" s="130" t="s">
        <v>820</v>
      </c>
      <c r="D220" t="s">
        <v>821</v>
      </c>
      <c r="E220">
        <v>0</v>
      </c>
      <c r="F220">
        <v>0</v>
      </c>
      <c r="G220">
        <v>0</v>
      </c>
      <c r="H220">
        <v>0</v>
      </c>
      <c r="I220">
        <v>0</v>
      </c>
      <c r="J220" t="str">
        <f>IFERROR(VLOOKUP(A220&amp;"",'BEA Buyer Groups'!$A$4:$C$500,3,FALSE),"Not used")</f>
        <v>Not used</v>
      </c>
      <c r="K220" t="str">
        <f t="shared" si="3"/>
        <v>Direct</v>
      </c>
    </row>
    <row r="221" spans="1:11" x14ac:dyDescent="0.25">
      <c r="A221" s="130" t="s">
        <v>978</v>
      </c>
      <c r="B221" t="s">
        <v>979</v>
      </c>
      <c r="C221" s="130" t="s">
        <v>802</v>
      </c>
      <c r="D221" t="s">
        <v>803</v>
      </c>
      <c r="E221">
        <v>4</v>
      </c>
      <c r="F221">
        <v>0</v>
      </c>
      <c r="G221">
        <v>2</v>
      </c>
      <c r="H221">
        <v>0</v>
      </c>
      <c r="I221">
        <v>6</v>
      </c>
      <c r="J221" t="str">
        <f>IFERROR(VLOOKUP(A221&amp;"",'BEA Buyer Groups'!$A$4:$C$500,3,FALSE),"Not used")</f>
        <v>Not used</v>
      </c>
      <c r="K221" t="str">
        <f t="shared" si="3"/>
        <v>Direct</v>
      </c>
    </row>
    <row r="222" spans="1:11" x14ac:dyDescent="0.25">
      <c r="A222" s="130" t="s">
        <v>978</v>
      </c>
      <c r="B222" t="s">
        <v>979</v>
      </c>
      <c r="C222" s="130" t="s">
        <v>822</v>
      </c>
      <c r="D222" t="s">
        <v>823</v>
      </c>
      <c r="E222">
        <v>3</v>
      </c>
      <c r="F222">
        <v>0</v>
      </c>
      <c r="G222">
        <v>1</v>
      </c>
      <c r="H222">
        <v>0</v>
      </c>
      <c r="I222">
        <v>4</v>
      </c>
      <c r="J222" t="str">
        <f>IFERROR(VLOOKUP(A222&amp;"",'BEA Buyer Groups'!$A$4:$C$500,3,FALSE),"Not used")</f>
        <v>Not used</v>
      </c>
      <c r="K222" t="str">
        <f t="shared" si="3"/>
        <v>Direct</v>
      </c>
    </row>
    <row r="223" spans="1:11" x14ac:dyDescent="0.25">
      <c r="A223" s="130" t="s">
        <v>978</v>
      </c>
      <c r="B223" t="s">
        <v>979</v>
      </c>
      <c r="C223" s="130" t="s">
        <v>816</v>
      </c>
      <c r="D223" t="s">
        <v>817</v>
      </c>
      <c r="E223">
        <v>16</v>
      </c>
      <c r="F223">
        <v>2</v>
      </c>
      <c r="G223">
        <v>5</v>
      </c>
      <c r="H223">
        <v>0</v>
      </c>
      <c r="I223">
        <v>23</v>
      </c>
      <c r="J223" t="str">
        <f>IFERROR(VLOOKUP(A223&amp;"",'BEA Buyer Groups'!$A$4:$C$500,3,FALSE),"Not used")</f>
        <v>Not used</v>
      </c>
      <c r="K223" t="str">
        <f t="shared" si="3"/>
        <v>Direct</v>
      </c>
    </row>
    <row r="224" spans="1:11" x14ac:dyDescent="0.25">
      <c r="A224" s="130" t="s">
        <v>980</v>
      </c>
      <c r="B224" t="s">
        <v>981</v>
      </c>
      <c r="C224" s="130" t="s">
        <v>820</v>
      </c>
      <c r="D224" t="s">
        <v>821</v>
      </c>
      <c r="E224">
        <v>0</v>
      </c>
      <c r="F224">
        <v>0</v>
      </c>
      <c r="G224">
        <v>0</v>
      </c>
      <c r="H224">
        <v>0</v>
      </c>
      <c r="I224">
        <v>0</v>
      </c>
      <c r="J224" t="str">
        <f>IFERROR(VLOOKUP(A224&amp;"",'BEA Buyer Groups'!$A$4:$C$500,3,FALSE),"Not used")</f>
        <v>Not used</v>
      </c>
      <c r="K224" t="str">
        <f t="shared" si="3"/>
        <v>Direct</v>
      </c>
    </row>
    <row r="225" spans="1:11" x14ac:dyDescent="0.25">
      <c r="A225" s="130" t="s">
        <v>982</v>
      </c>
      <c r="B225" t="s">
        <v>983</v>
      </c>
      <c r="C225" s="130" t="s">
        <v>820</v>
      </c>
      <c r="D225" t="s">
        <v>821</v>
      </c>
      <c r="E225">
        <v>0</v>
      </c>
      <c r="F225">
        <v>0</v>
      </c>
      <c r="G225">
        <v>0</v>
      </c>
      <c r="H225">
        <v>0</v>
      </c>
      <c r="I225">
        <v>1</v>
      </c>
      <c r="J225" t="str">
        <f>IFERROR(VLOOKUP(A225&amp;"",'BEA Buyer Groups'!$A$4:$C$500,3,FALSE),"Not used")</f>
        <v>Not used</v>
      </c>
      <c r="K225" t="str">
        <f t="shared" si="3"/>
        <v>Direct</v>
      </c>
    </row>
    <row r="226" spans="1:11" x14ac:dyDescent="0.25">
      <c r="A226" s="130" t="s">
        <v>984</v>
      </c>
      <c r="B226" t="s">
        <v>985</v>
      </c>
      <c r="C226" s="130" t="s">
        <v>820</v>
      </c>
      <c r="D226" t="s">
        <v>821</v>
      </c>
      <c r="E226">
        <v>0</v>
      </c>
      <c r="F226">
        <v>0</v>
      </c>
      <c r="G226">
        <v>0</v>
      </c>
      <c r="H226">
        <v>0</v>
      </c>
      <c r="I226">
        <v>1</v>
      </c>
      <c r="J226" t="str">
        <f>IFERROR(VLOOKUP(A226&amp;"",'BEA Buyer Groups'!$A$4:$C$500,3,FALSE),"Not used")</f>
        <v>Not used</v>
      </c>
      <c r="K226" t="str">
        <f t="shared" si="3"/>
        <v>Direct</v>
      </c>
    </row>
    <row r="227" spans="1:11" x14ac:dyDescent="0.25">
      <c r="A227" s="130" t="s">
        <v>984</v>
      </c>
      <c r="B227" t="s">
        <v>985</v>
      </c>
      <c r="C227" s="130" t="s">
        <v>822</v>
      </c>
      <c r="D227" t="s">
        <v>823</v>
      </c>
      <c r="E227">
        <v>0</v>
      </c>
      <c r="F227">
        <v>0</v>
      </c>
      <c r="G227">
        <v>0</v>
      </c>
      <c r="H227">
        <v>0</v>
      </c>
      <c r="I227">
        <v>0</v>
      </c>
      <c r="J227" t="str">
        <f>IFERROR(VLOOKUP(A227&amp;"",'BEA Buyer Groups'!$A$4:$C$500,3,FALSE),"Not used")</f>
        <v>Not used</v>
      </c>
      <c r="K227" t="str">
        <f t="shared" si="3"/>
        <v>Direct</v>
      </c>
    </row>
    <row r="228" spans="1:11" x14ac:dyDescent="0.25">
      <c r="A228" s="130" t="s">
        <v>986</v>
      </c>
      <c r="B228" t="s">
        <v>987</v>
      </c>
      <c r="C228" s="130" t="s">
        <v>820</v>
      </c>
      <c r="D228" t="s">
        <v>821</v>
      </c>
      <c r="E228">
        <v>0</v>
      </c>
      <c r="F228">
        <v>0</v>
      </c>
      <c r="G228">
        <v>0</v>
      </c>
      <c r="H228">
        <v>0</v>
      </c>
      <c r="I228">
        <v>0</v>
      </c>
      <c r="J228" t="str">
        <f>IFERROR(VLOOKUP(A228&amp;"",'BEA Buyer Groups'!$A$4:$C$500,3,FALSE),"Not used")</f>
        <v>Not used</v>
      </c>
      <c r="K228" t="str">
        <f t="shared" si="3"/>
        <v>Direct</v>
      </c>
    </row>
    <row r="229" spans="1:11" x14ac:dyDescent="0.25">
      <c r="A229" s="130" t="s">
        <v>988</v>
      </c>
      <c r="B229" t="s">
        <v>989</v>
      </c>
      <c r="C229" s="130" t="s">
        <v>820</v>
      </c>
      <c r="D229" t="s">
        <v>821</v>
      </c>
      <c r="E229">
        <v>0</v>
      </c>
      <c r="F229">
        <v>0</v>
      </c>
      <c r="G229">
        <v>0</v>
      </c>
      <c r="H229">
        <v>0</v>
      </c>
      <c r="I229">
        <v>0</v>
      </c>
      <c r="J229" t="str">
        <f>IFERROR(VLOOKUP(A229&amp;"",'BEA Buyer Groups'!$A$4:$C$500,3,FALSE),"Not used")</f>
        <v>Not used</v>
      </c>
      <c r="K229" t="str">
        <f t="shared" si="3"/>
        <v>Direct</v>
      </c>
    </row>
    <row r="230" spans="1:11" x14ac:dyDescent="0.25">
      <c r="A230" s="130" t="s">
        <v>990</v>
      </c>
      <c r="B230" t="s">
        <v>991</v>
      </c>
      <c r="C230" s="130" t="s">
        <v>820</v>
      </c>
      <c r="D230" t="s">
        <v>821</v>
      </c>
      <c r="E230">
        <v>0</v>
      </c>
      <c r="F230">
        <v>0</v>
      </c>
      <c r="G230">
        <v>0</v>
      </c>
      <c r="H230">
        <v>0</v>
      </c>
      <c r="I230">
        <v>0</v>
      </c>
      <c r="J230" t="str">
        <f>IFERROR(VLOOKUP(A230&amp;"",'BEA Buyer Groups'!$A$4:$C$500,3,FALSE),"Not used")</f>
        <v>Not used</v>
      </c>
      <c r="K230" t="str">
        <f t="shared" si="3"/>
        <v>Direct</v>
      </c>
    </row>
    <row r="231" spans="1:11" x14ac:dyDescent="0.25">
      <c r="A231" s="130" t="s">
        <v>990</v>
      </c>
      <c r="B231" t="s">
        <v>991</v>
      </c>
      <c r="C231" s="130" t="s">
        <v>822</v>
      </c>
      <c r="D231" t="s">
        <v>823</v>
      </c>
      <c r="E231">
        <v>2</v>
      </c>
      <c r="F231">
        <v>0</v>
      </c>
      <c r="G231">
        <v>0</v>
      </c>
      <c r="H231">
        <v>0</v>
      </c>
      <c r="I231">
        <v>2</v>
      </c>
      <c r="J231" t="str">
        <f>IFERROR(VLOOKUP(A231&amp;"",'BEA Buyer Groups'!$A$4:$C$500,3,FALSE),"Not used")</f>
        <v>Not used</v>
      </c>
      <c r="K231" t="str">
        <f t="shared" si="3"/>
        <v>Direct</v>
      </c>
    </row>
    <row r="232" spans="1:11" x14ac:dyDescent="0.25">
      <c r="A232" s="130" t="s">
        <v>992</v>
      </c>
      <c r="B232" t="s">
        <v>993</v>
      </c>
      <c r="C232" s="130" t="s">
        <v>820</v>
      </c>
      <c r="D232" t="s">
        <v>821</v>
      </c>
      <c r="E232">
        <v>0</v>
      </c>
      <c r="F232">
        <v>0</v>
      </c>
      <c r="G232">
        <v>0</v>
      </c>
      <c r="H232">
        <v>0</v>
      </c>
      <c r="I232">
        <v>0</v>
      </c>
      <c r="J232" t="str">
        <f>IFERROR(VLOOKUP(A232&amp;"",'BEA Buyer Groups'!$A$4:$C$500,3,FALSE),"Not used")</f>
        <v>Not used</v>
      </c>
      <c r="K232" t="str">
        <f t="shared" si="3"/>
        <v>Direct</v>
      </c>
    </row>
    <row r="233" spans="1:11" x14ac:dyDescent="0.25">
      <c r="A233" s="130" t="s">
        <v>992</v>
      </c>
      <c r="B233" t="s">
        <v>993</v>
      </c>
      <c r="C233" s="130" t="s">
        <v>822</v>
      </c>
      <c r="D233" t="s">
        <v>823</v>
      </c>
      <c r="E233">
        <v>6</v>
      </c>
      <c r="F233">
        <v>0</v>
      </c>
      <c r="G233">
        <v>0</v>
      </c>
      <c r="H233">
        <v>0</v>
      </c>
      <c r="I233">
        <v>6</v>
      </c>
      <c r="J233" t="str">
        <f>IFERROR(VLOOKUP(A233&amp;"",'BEA Buyer Groups'!$A$4:$C$500,3,FALSE),"Not used")</f>
        <v>Not used</v>
      </c>
      <c r="K233" t="str">
        <f t="shared" si="3"/>
        <v>Direct</v>
      </c>
    </row>
    <row r="234" spans="1:11" x14ac:dyDescent="0.25">
      <c r="A234" s="130" t="s">
        <v>994</v>
      </c>
      <c r="B234" t="s">
        <v>995</v>
      </c>
      <c r="C234" s="130" t="s">
        <v>820</v>
      </c>
      <c r="D234" t="s">
        <v>821</v>
      </c>
      <c r="E234">
        <v>0</v>
      </c>
      <c r="F234">
        <v>0</v>
      </c>
      <c r="G234">
        <v>0</v>
      </c>
      <c r="H234">
        <v>0</v>
      </c>
      <c r="I234">
        <v>0</v>
      </c>
      <c r="J234" t="str">
        <f>IFERROR(VLOOKUP(A234&amp;"",'BEA Buyer Groups'!$A$4:$C$500,3,FALSE),"Not used")</f>
        <v>Not used</v>
      </c>
      <c r="K234" t="str">
        <f t="shared" si="3"/>
        <v>Direct</v>
      </c>
    </row>
    <row r="235" spans="1:11" x14ac:dyDescent="0.25">
      <c r="A235" s="130" t="s">
        <v>994</v>
      </c>
      <c r="B235" t="s">
        <v>995</v>
      </c>
      <c r="C235" s="130" t="s">
        <v>802</v>
      </c>
      <c r="D235" t="s">
        <v>803</v>
      </c>
      <c r="E235">
        <v>21</v>
      </c>
      <c r="F235">
        <v>1</v>
      </c>
      <c r="G235">
        <v>10</v>
      </c>
      <c r="H235">
        <v>0</v>
      </c>
      <c r="I235">
        <v>32</v>
      </c>
      <c r="J235" t="str">
        <f>IFERROR(VLOOKUP(A235&amp;"",'BEA Buyer Groups'!$A$4:$C$500,3,FALSE),"Not used")</f>
        <v>Not used</v>
      </c>
      <c r="K235" t="str">
        <f t="shared" si="3"/>
        <v>Direct</v>
      </c>
    </row>
    <row r="236" spans="1:11" x14ac:dyDescent="0.25">
      <c r="A236" s="130" t="s">
        <v>994</v>
      </c>
      <c r="B236" t="s">
        <v>995</v>
      </c>
      <c r="C236" s="130" t="s">
        <v>822</v>
      </c>
      <c r="D236" t="s">
        <v>823</v>
      </c>
      <c r="E236">
        <v>9</v>
      </c>
      <c r="F236">
        <v>0</v>
      </c>
      <c r="G236">
        <v>2</v>
      </c>
      <c r="H236">
        <v>0</v>
      </c>
      <c r="I236">
        <v>11</v>
      </c>
      <c r="J236" t="str">
        <f>IFERROR(VLOOKUP(A236&amp;"",'BEA Buyer Groups'!$A$4:$C$500,3,FALSE),"Not used")</f>
        <v>Not used</v>
      </c>
      <c r="K236" t="str">
        <f t="shared" si="3"/>
        <v>Direct</v>
      </c>
    </row>
    <row r="237" spans="1:11" x14ac:dyDescent="0.25">
      <c r="A237" s="130" t="s">
        <v>996</v>
      </c>
      <c r="B237" t="s">
        <v>997</v>
      </c>
      <c r="C237" s="130" t="s">
        <v>820</v>
      </c>
      <c r="D237" t="s">
        <v>821</v>
      </c>
      <c r="E237">
        <v>0</v>
      </c>
      <c r="F237">
        <v>0</v>
      </c>
      <c r="G237">
        <v>0</v>
      </c>
      <c r="H237">
        <v>0</v>
      </c>
      <c r="I237">
        <v>0</v>
      </c>
      <c r="J237" t="str">
        <f>IFERROR(VLOOKUP(A237&amp;"",'BEA Buyer Groups'!$A$4:$C$500,3,FALSE),"Not used")</f>
        <v>Not used</v>
      </c>
      <c r="K237" t="str">
        <f t="shared" si="3"/>
        <v>Direct</v>
      </c>
    </row>
    <row r="238" spans="1:11" x14ac:dyDescent="0.25">
      <c r="A238" s="130" t="s">
        <v>998</v>
      </c>
      <c r="B238" t="s">
        <v>999</v>
      </c>
      <c r="C238" s="130" t="s">
        <v>820</v>
      </c>
      <c r="D238" t="s">
        <v>821</v>
      </c>
      <c r="E238">
        <v>1</v>
      </c>
      <c r="F238">
        <v>0</v>
      </c>
      <c r="G238">
        <v>0</v>
      </c>
      <c r="H238">
        <v>0</v>
      </c>
      <c r="I238">
        <v>1</v>
      </c>
      <c r="J238" t="str">
        <f>IFERROR(VLOOKUP(A238&amp;"",'BEA Buyer Groups'!$A$4:$C$500,3,FALSE),"Not used")</f>
        <v>Not used</v>
      </c>
      <c r="K238" t="str">
        <f t="shared" si="3"/>
        <v>Direct</v>
      </c>
    </row>
    <row r="239" spans="1:11" x14ac:dyDescent="0.25">
      <c r="A239" s="130" t="s">
        <v>998</v>
      </c>
      <c r="B239" t="s">
        <v>999</v>
      </c>
      <c r="C239" s="130" t="s">
        <v>822</v>
      </c>
      <c r="D239" t="s">
        <v>823</v>
      </c>
      <c r="E239">
        <v>0</v>
      </c>
      <c r="F239">
        <v>0</v>
      </c>
      <c r="G239">
        <v>0</v>
      </c>
      <c r="H239">
        <v>0</v>
      </c>
      <c r="I239">
        <v>0</v>
      </c>
      <c r="J239" t="str">
        <f>IFERROR(VLOOKUP(A239&amp;"",'BEA Buyer Groups'!$A$4:$C$500,3,FALSE),"Not used")</f>
        <v>Not used</v>
      </c>
      <c r="K239" t="str">
        <f t="shared" si="3"/>
        <v>Direct</v>
      </c>
    </row>
    <row r="240" spans="1:11" x14ac:dyDescent="0.25">
      <c r="A240" s="130" t="s">
        <v>1000</v>
      </c>
      <c r="B240" t="s">
        <v>1001</v>
      </c>
      <c r="C240" s="130" t="s">
        <v>820</v>
      </c>
      <c r="D240" t="s">
        <v>821</v>
      </c>
      <c r="E240">
        <v>0</v>
      </c>
      <c r="F240">
        <v>0</v>
      </c>
      <c r="G240">
        <v>0</v>
      </c>
      <c r="H240">
        <v>0</v>
      </c>
      <c r="I240">
        <v>0</v>
      </c>
      <c r="J240" t="str">
        <f>IFERROR(VLOOKUP(A240&amp;"",'BEA Buyer Groups'!$A$4:$C$500,3,FALSE),"Not used")</f>
        <v>Not used</v>
      </c>
      <c r="K240" t="str">
        <f t="shared" si="3"/>
        <v>Direct</v>
      </c>
    </row>
    <row r="241" spans="1:11" x14ac:dyDescent="0.25">
      <c r="A241" s="130" t="s">
        <v>1000</v>
      </c>
      <c r="B241" t="s">
        <v>1001</v>
      </c>
      <c r="C241" s="130" t="s">
        <v>822</v>
      </c>
      <c r="D241" t="s">
        <v>823</v>
      </c>
      <c r="E241">
        <v>0</v>
      </c>
      <c r="F241">
        <v>0</v>
      </c>
      <c r="G241">
        <v>0</v>
      </c>
      <c r="H241">
        <v>0</v>
      </c>
      <c r="I241">
        <v>0</v>
      </c>
      <c r="J241" t="str">
        <f>IFERROR(VLOOKUP(A241&amp;"",'BEA Buyer Groups'!$A$4:$C$500,3,FALSE),"Not used")</f>
        <v>Not used</v>
      </c>
      <c r="K241" t="str">
        <f t="shared" si="3"/>
        <v>Direct</v>
      </c>
    </row>
    <row r="242" spans="1:11" x14ac:dyDescent="0.25">
      <c r="A242" s="130" t="s">
        <v>1002</v>
      </c>
      <c r="B242" t="s">
        <v>1003</v>
      </c>
      <c r="C242" s="130" t="s">
        <v>820</v>
      </c>
      <c r="D242" t="s">
        <v>821</v>
      </c>
      <c r="E242">
        <v>0</v>
      </c>
      <c r="F242">
        <v>0</v>
      </c>
      <c r="G242">
        <v>0</v>
      </c>
      <c r="H242">
        <v>0</v>
      </c>
      <c r="I242">
        <v>0</v>
      </c>
      <c r="J242" t="str">
        <f>IFERROR(VLOOKUP(A242&amp;"",'BEA Buyer Groups'!$A$4:$C$500,3,FALSE),"Not used")</f>
        <v>Not used</v>
      </c>
      <c r="K242" t="str">
        <f t="shared" si="3"/>
        <v>Direct</v>
      </c>
    </row>
    <row r="243" spans="1:11" x14ac:dyDescent="0.25">
      <c r="A243" s="130" t="s">
        <v>1002</v>
      </c>
      <c r="B243" t="s">
        <v>1003</v>
      </c>
      <c r="C243" s="130" t="s">
        <v>822</v>
      </c>
      <c r="D243" t="s">
        <v>823</v>
      </c>
      <c r="E243">
        <v>1</v>
      </c>
      <c r="F243">
        <v>0</v>
      </c>
      <c r="G243">
        <v>0</v>
      </c>
      <c r="H243">
        <v>0</v>
      </c>
      <c r="I243">
        <v>1</v>
      </c>
      <c r="J243" t="str">
        <f>IFERROR(VLOOKUP(A243&amp;"",'BEA Buyer Groups'!$A$4:$C$500,3,FALSE),"Not used")</f>
        <v>Not used</v>
      </c>
      <c r="K243" t="str">
        <f t="shared" si="3"/>
        <v>Direct</v>
      </c>
    </row>
    <row r="244" spans="1:11" x14ac:dyDescent="0.25">
      <c r="A244" s="130" t="s">
        <v>1004</v>
      </c>
      <c r="B244" t="s">
        <v>1005</v>
      </c>
      <c r="C244" s="130" t="s">
        <v>820</v>
      </c>
      <c r="D244" t="s">
        <v>821</v>
      </c>
      <c r="E244">
        <v>0</v>
      </c>
      <c r="F244">
        <v>0</v>
      </c>
      <c r="G244">
        <v>0</v>
      </c>
      <c r="H244">
        <v>0</v>
      </c>
      <c r="I244">
        <v>0</v>
      </c>
      <c r="J244" t="str">
        <f>IFERROR(VLOOKUP(A244&amp;"",'BEA Buyer Groups'!$A$4:$C$500,3,FALSE),"Not used")</f>
        <v>Not used</v>
      </c>
      <c r="K244" t="str">
        <f t="shared" si="3"/>
        <v>Direct</v>
      </c>
    </row>
    <row r="245" spans="1:11" x14ac:dyDescent="0.25">
      <c r="A245" s="130" t="s">
        <v>1006</v>
      </c>
      <c r="B245" t="s">
        <v>1007</v>
      </c>
      <c r="C245" s="130" t="s">
        <v>820</v>
      </c>
      <c r="D245" t="s">
        <v>821</v>
      </c>
      <c r="E245">
        <v>0</v>
      </c>
      <c r="F245">
        <v>0</v>
      </c>
      <c r="G245">
        <v>0</v>
      </c>
      <c r="H245">
        <v>0</v>
      </c>
      <c r="I245">
        <v>0</v>
      </c>
      <c r="J245" t="str">
        <f>IFERROR(VLOOKUP(A245&amp;"",'BEA Buyer Groups'!$A$4:$C$500,3,FALSE),"Not used")</f>
        <v>Not used</v>
      </c>
      <c r="K245" t="str">
        <f t="shared" si="3"/>
        <v>Direct</v>
      </c>
    </row>
    <row r="246" spans="1:11" x14ac:dyDescent="0.25">
      <c r="A246" s="130" t="s">
        <v>1008</v>
      </c>
      <c r="B246" t="s">
        <v>1009</v>
      </c>
      <c r="C246" s="130" t="s">
        <v>820</v>
      </c>
      <c r="D246" t="s">
        <v>821</v>
      </c>
      <c r="E246">
        <v>0</v>
      </c>
      <c r="F246">
        <v>0</v>
      </c>
      <c r="G246">
        <v>0</v>
      </c>
      <c r="H246">
        <v>0</v>
      </c>
      <c r="I246">
        <v>0</v>
      </c>
      <c r="J246" t="str">
        <f>IFERROR(VLOOKUP(A246&amp;"",'BEA Buyer Groups'!$A$4:$C$500,3,FALSE),"Not used")</f>
        <v>Not used</v>
      </c>
      <c r="K246" t="str">
        <f t="shared" si="3"/>
        <v>Direct</v>
      </c>
    </row>
    <row r="247" spans="1:11" x14ac:dyDescent="0.25">
      <c r="A247" s="130" t="s">
        <v>1010</v>
      </c>
      <c r="B247" t="s">
        <v>1011</v>
      </c>
      <c r="C247" s="130" t="s">
        <v>820</v>
      </c>
      <c r="D247" t="s">
        <v>821</v>
      </c>
      <c r="E247">
        <v>0</v>
      </c>
      <c r="F247">
        <v>0</v>
      </c>
      <c r="G247">
        <v>0</v>
      </c>
      <c r="H247">
        <v>0</v>
      </c>
      <c r="I247">
        <v>0</v>
      </c>
      <c r="J247" t="str">
        <f>IFERROR(VLOOKUP(A247&amp;"",'BEA Buyer Groups'!$A$4:$C$500,3,FALSE),"Not used")</f>
        <v>Not used</v>
      </c>
      <c r="K247" t="str">
        <f t="shared" si="3"/>
        <v>Direct</v>
      </c>
    </row>
    <row r="248" spans="1:11" x14ac:dyDescent="0.25">
      <c r="A248" s="130" t="s">
        <v>1012</v>
      </c>
      <c r="B248" t="s">
        <v>1013</v>
      </c>
      <c r="C248" s="130" t="s">
        <v>820</v>
      </c>
      <c r="D248" t="s">
        <v>821</v>
      </c>
      <c r="E248">
        <v>0</v>
      </c>
      <c r="F248">
        <v>0</v>
      </c>
      <c r="G248">
        <v>0</v>
      </c>
      <c r="H248">
        <v>0</v>
      </c>
      <c r="I248">
        <v>0</v>
      </c>
      <c r="J248" t="str">
        <f>IFERROR(VLOOKUP(A248&amp;"",'BEA Buyer Groups'!$A$4:$C$500,3,FALSE),"Not used")</f>
        <v>Not used</v>
      </c>
      <c r="K248" t="str">
        <f t="shared" si="3"/>
        <v>Direct</v>
      </c>
    </row>
    <row r="249" spans="1:11" x14ac:dyDescent="0.25">
      <c r="A249" s="130" t="s">
        <v>1012</v>
      </c>
      <c r="B249" t="s">
        <v>1013</v>
      </c>
      <c r="C249" s="130" t="s">
        <v>822</v>
      </c>
      <c r="D249" t="s">
        <v>823</v>
      </c>
      <c r="E249">
        <v>32</v>
      </c>
      <c r="F249">
        <v>1</v>
      </c>
      <c r="G249">
        <v>14</v>
      </c>
      <c r="H249">
        <v>0</v>
      </c>
      <c r="I249">
        <v>47</v>
      </c>
      <c r="J249" t="str">
        <f>IFERROR(VLOOKUP(A249&amp;"",'BEA Buyer Groups'!$A$4:$C$500,3,FALSE),"Not used")</f>
        <v>Not used</v>
      </c>
      <c r="K249" t="str">
        <f t="shared" si="3"/>
        <v>Direct</v>
      </c>
    </row>
    <row r="250" spans="1:11" x14ac:dyDescent="0.25">
      <c r="A250" s="130" t="s">
        <v>1012</v>
      </c>
      <c r="B250" t="s">
        <v>1013</v>
      </c>
      <c r="C250" s="130" t="s">
        <v>810</v>
      </c>
      <c r="D250" t="s">
        <v>811</v>
      </c>
      <c r="E250">
        <v>1</v>
      </c>
      <c r="F250">
        <v>0</v>
      </c>
      <c r="G250">
        <v>0</v>
      </c>
      <c r="H250">
        <v>0</v>
      </c>
      <c r="I250">
        <v>1</v>
      </c>
      <c r="J250" t="str">
        <f>IFERROR(VLOOKUP(A250&amp;"",'BEA Buyer Groups'!$A$4:$C$500,3,FALSE),"Not used")</f>
        <v>Not used</v>
      </c>
      <c r="K250" t="str">
        <f t="shared" si="3"/>
        <v>Direct</v>
      </c>
    </row>
    <row r="251" spans="1:11" x14ac:dyDescent="0.25">
      <c r="A251" s="130" t="s">
        <v>1014</v>
      </c>
      <c r="B251" t="s">
        <v>1015</v>
      </c>
      <c r="C251" s="130" t="s">
        <v>820</v>
      </c>
      <c r="D251" t="s">
        <v>821</v>
      </c>
      <c r="E251">
        <v>0</v>
      </c>
      <c r="F251">
        <v>0</v>
      </c>
      <c r="G251">
        <v>0</v>
      </c>
      <c r="H251">
        <v>0</v>
      </c>
      <c r="I251">
        <v>0</v>
      </c>
      <c r="J251" t="str">
        <f>IFERROR(VLOOKUP(A251&amp;"",'BEA Buyer Groups'!$A$4:$C$500,3,FALSE),"Not used")</f>
        <v>Not used</v>
      </c>
      <c r="K251" t="str">
        <f t="shared" si="3"/>
        <v>Direct</v>
      </c>
    </row>
    <row r="252" spans="1:11" x14ac:dyDescent="0.25">
      <c r="A252" s="130" t="s">
        <v>1014</v>
      </c>
      <c r="B252" t="s">
        <v>1015</v>
      </c>
      <c r="C252" s="130" t="s">
        <v>822</v>
      </c>
      <c r="D252" t="s">
        <v>823</v>
      </c>
      <c r="E252">
        <v>158</v>
      </c>
      <c r="F252">
        <v>5</v>
      </c>
      <c r="G252">
        <v>71</v>
      </c>
      <c r="H252">
        <v>0</v>
      </c>
      <c r="I252">
        <v>234</v>
      </c>
      <c r="J252" t="str">
        <f>IFERROR(VLOOKUP(A252&amp;"",'BEA Buyer Groups'!$A$4:$C$500,3,FALSE),"Not used")</f>
        <v>Not used</v>
      </c>
      <c r="K252" t="str">
        <f t="shared" si="3"/>
        <v>Direct</v>
      </c>
    </row>
    <row r="253" spans="1:11" x14ac:dyDescent="0.25">
      <c r="A253" s="130" t="s">
        <v>1014</v>
      </c>
      <c r="B253" t="s">
        <v>1015</v>
      </c>
      <c r="C253" s="130" t="s">
        <v>810</v>
      </c>
      <c r="D253" t="s">
        <v>811</v>
      </c>
      <c r="E253">
        <v>3</v>
      </c>
      <c r="F253">
        <v>0</v>
      </c>
      <c r="G253">
        <v>1</v>
      </c>
      <c r="H253">
        <v>2</v>
      </c>
      <c r="I253">
        <v>5</v>
      </c>
      <c r="J253" t="str">
        <f>IFERROR(VLOOKUP(A253&amp;"",'BEA Buyer Groups'!$A$4:$C$500,3,FALSE),"Not used")</f>
        <v>Not used</v>
      </c>
      <c r="K253" t="str">
        <f t="shared" si="3"/>
        <v>Direct</v>
      </c>
    </row>
    <row r="254" spans="1:11" x14ac:dyDescent="0.25">
      <c r="A254" s="130" t="s">
        <v>1016</v>
      </c>
      <c r="B254" t="s">
        <v>1017</v>
      </c>
      <c r="C254" s="130" t="s">
        <v>820</v>
      </c>
      <c r="D254" t="s">
        <v>821</v>
      </c>
      <c r="E254">
        <v>0</v>
      </c>
      <c r="F254">
        <v>0</v>
      </c>
      <c r="G254">
        <v>0</v>
      </c>
      <c r="H254">
        <v>0</v>
      </c>
      <c r="I254">
        <v>0</v>
      </c>
      <c r="J254" t="str">
        <f>IFERROR(VLOOKUP(A254&amp;"",'BEA Buyer Groups'!$A$4:$C$500,3,FALSE),"Not used")</f>
        <v>Not used</v>
      </c>
      <c r="K254" t="str">
        <f t="shared" si="3"/>
        <v>Direct</v>
      </c>
    </row>
    <row r="255" spans="1:11" x14ac:dyDescent="0.25">
      <c r="A255" s="130" t="s">
        <v>1016</v>
      </c>
      <c r="B255" t="s">
        <v>1017</v>
      </c>
      <c r="C255" s="130" t="s">
        <v>822</v>
      </c>
      <c r="D255" t="s">
        <v>823</v>
      </c>
      <c r="E255">
        <v>24</v>
      </c>
      <c r="F255">
        <v>1</v>
      </c>
      <c r="G255">
        <v>10</v>
      </c>
      <c r="H255">
        <v>0</v>
      </c>
      <c r="I255">
        <v>35</v>
      </c>
      <c r="J255" t="str">
        <f>IFERROR(VLOOKUP(A255&amp;"",'BEA Buyer Groups'!$A$4:$C$500,3,FALSE),"Not used")</f>
        <v>Not used</v>
      </c>
      <c r="K255" t="str">
        <f t="shared" si="3"/>
        <v>Direct</v>
      </c>
    </row>
    <row r="256" spans="1:11" x14ac:dyDescent="0.25">
      <c r="A256" s="130" t="s">
        <v>1016</v>
      </c>
      <c r="B256" t="s">
        <v>1017</v>
      </c>
      <c r="C256" s="130" t="s">
        <v>810</v>
      </c>
      <c r="D256" t="s">
        <v>811</v>
      </c>
      <c r="E256">
        <v>1</v>
      </c>
      <c r="F256">
        <v>0</v>
      </c>
      <c r="G256">
        <v>0</v>
      </c>
      <c r="H256">
        <v>0</v>
      </c>
      <c r="I256">
        <v>1</v>
      </c>
      <c r="J256" t="str">
        <f>IFERROR(VLOOKUP(A256&amp;"",'BEA Buyer Groups'!$A$4:$C$500,3,FALSE),"Not used")</f>
        <v>Not used</v>
      </c>
      <c r="K256" t="str">
        <f t="shared" si="3"/>
        <v>Direct</v>
      </c>
    </row>
    <row r="257" spans="1:11" x14ac:dyDescent="0.25">
      <c r="A257" s="130" t="s">
        <v>1018</v>
      </c>
      <c r="B257" t="s">
        <v>1019</v>
      </c>
      <c r="C257" s="130" t="s">
        <v>820</v>
      </c>
      <c r="D257" t="s">
        <v>821</v>
      </c>
      <c r="E257">
        <v>0</v>
      </c>
      <c r="F257">
        <v>0</v>
      </c>
      <c r="G257">
        <v>0</v>
      </c>
      <c r="H257">
        <v>0</v>
      </c>
      <c r="I257">
        <v>0</v>
      </c>
      <c r="J257" t="str">
        <f>IFERROR(VLOOKUP(A257&amp;"",'BEA Buyer Groups'!$A$4:$C$500,3,FALSE),"Not used")</f>
        <v>Not used</v>
      </c>
      <c r="K257" t="str">
        <f t="shared" si="3"/>
        <v>Direct</v>
      </c>
    </row>
    <row r="258" spans="1:11" x14ac:dyDescent="0.25">
      <c r="A258" s="130" t="s">
        <v>1020</v>
      </c>
      <c r="B258" t="s">
        <v>1021</v>
      </c>
      <c r="C258" s="130" t="s">
        <v>820</v>
      </c>
      <c r="D258" t="s">
        <v>821</v>
      </c>
      <c r="E258">
        <v>0</v>
      </c>
      <c r="F258">
        <v>0</v>
      </c>
      <c r="G258">
        <v>0</v>
      </c>
      <c r="H258">
        <v>0</v>
      </c>
      <c r="I258">
        <v>1</v>
      </c>
      <c r="J258" t="str">
        <f>IFERROR(VLOOKUP(A258&amp;"",'BEA Buyer Groups'!$A$4:$C$500,3,FALSE),"Not used")</f>
        <v>Not used</v>
      </c>
      <c r="K258" t="str">
        <f t="shared" si="3"/>
        <v>Direct</v>
      </c>
    </row>
    <row r="259" spans="1:11" x14ac:dyDescent="0.25">
      <c r="A259" s="130" t="s">
        <v>1020</v>
      </c>
      <c r="B259" t="s">
        <v>1021</v>
      </c>
      <c r="C259" s="130" t="s">
        <v>822</v>
      </c>
      <c r="D259" t="s">
        <v>823</v>
      </c>
      <c r="E259">
        <v>268</v>
      </c>
      <c r="F259">
        <v>8</v>
      </c>
      <c r="G259">
        <v>121</v>
      </c>
      <c r="H259">
        <v>0</v>
      </c>
      <c r="I259">
        <v>397</v>
      </c>
      <c r="J259" t="str">
        <f>IFERROR(VLOOKUP(A259&amp;"",'BEA Buyer Groups'!$A$4:$C$500,3,FALSE),"Not used")</f>
        <v>Not used</v>
      </c>
      <c r="K259" t="str">
        <f t="shared" si="3"/>
        <v>Direct</v>
      </c>
    </row>
    <row r="260" spans="1:11" x14ac:dyDescent="0.25">
      <c r="A260" s="130" t="s">
        <v>1022</v>
      </c>
      <c r="B260" t="s">
        <v>1023</v>
      </c>
      <c r="C260" s="130" t="s">
        <v>820</v>
      </c>
      <c r="D260" t="s">
        <v>821</v>
      </c>
      <c r="E260">
        <v>1</v>
      </c>
      <c r="F260">
        <v>0</v>
      </c>
      <c r="G260">
        <v>0</v>
      </c>
      <c r="H260">
        <v>0</v>
      </c>
      <c r="I260">
        <v>1</v>
      </c>
      <c r="J260" t="str">
        <f>IFERROR(VLOOKUP(A260&amp;"",'BEA Buyer Groups'!$A$4:$C$500,3,FALSE),"Not used")</f>
        <v>Not used</v>
      </c>
      <c r="K260" t="str">
        <f t="shared" si="3"/>
        <v>Direct</v>
      </c>
    </row>
    <row r="261" spans="1:11" x14ac:dyDescent="0.25">
      <c r="A261" s="130" t="s">
        <v>1022</v>
      </c>
      <c r="B261" t="s">
        <v>1023</v>
      </c>
      <c r="C261" s="130" t="s">
        <v>822</v>
      </c>
      <c r="D261" t="s">
        <v>823</v>
      </c>
      <c r="E261">
        <v>22</v>
      </c>
      <c r="F261">
        <v>1</v>
      </c>
      <c r="G261">
        <v>10</v>
      </c>
      <c r="H261">
        <v>0</v>
      </c>
      <c r="I261">
        <v>32</v>
      </c>
      <c r="J261" t="str">
        <f>IFERROR(VLOOKUP(A261&amp;"",'BEA Buyer Groups'!$A$4:$C$500,3,FALSE),"Not used")</f>
        <v>Not used</v>
      </c>
      <c r="K261" t="str">
        <f t="shared" si="3"/>
        <v>Direct</v>
      </c>
    </row>
    <row r="262" spans="1:11" x14ac:dyDescent="0.25">
      <c r="A262" s="130" t="s">
        <v>1024</v>
      </c>
      <c r="B262" t="s">
        <v>1025</v>
      </c>
      <c r="C262" s="130" t="s">
        <v>820</v>
      </c>
      <c r="D262" t="s">
        <v>821</v>
      </c>
      <c r="E262">
        <v>0</v>
      </c>
      <c r="F262">
        <v>0</v>
      </c>
      <c r="G262">
        <v>0</v>
      </c>
      <c r="H262">
        <v>0</v>
      </c>
      <c r="I262">
        <v>0</v>
      </c>
      <c r="J262" t="str">
        <f>IFERROR(VLOOKUP(A262&amp;"",'BEA Buyer Groups'!$A$4:$C$500,3,FALSE),"Not used")</f>
        <v>Not used</v>
      </c>
      <c r="K262" t="str">
        <f t="shared" si="3"/>
        <v>Direct</v>
      </c>
    </row>
    <row r="263" spans="1:11" x14ac:dyDescent="0.25">
      <c r="A263" s="130" t="s">
        <v>1024</v>
      </c>
      <c r="B263" t="s">
        <v>1025</v>
      </c>
      <c r="C263" s="130" t="s">
        <v>816</v>
      </c>
      <c r="D263" t="s">
        <v>817</v>
      </c>
      <c r="E263">
        <v>11</v>
      </c>
      <c r="F263">
        <v>1</v>
      </c>
      <c r="G263">
        <v>3</v>
      </c>
      <c r="H263">
        <v>0</v>
      </c>
      <c r="I263">
        <v>16</v>
      </c>
      <c r="J263" t="str">
        <f>IFERROR(VLOOKUP(A263&amp;"",'BEA Buyer Groups'!$A$4:$C$500,3,FALSE),"Not used")</f>
        <v>Not used</v>
      </c>
      <c r="K263" t="str">
        <f t="shared" ref="K263:K326" si="4">IF(LEFT(A263,2)="23","Contractor","Direct")</f>
        <v>Direct</v>
      </c>
    </row>
    <row r="264" spans="1:11" x14ac:dyDescent="0.25">
      <c r="A264" s="130" t="s">
        <v>1026</v>
      </c>
      <c r="B264" t="s">
        <v>1027</v>
      </c>
      <c r="C264" s="130" t="s">
        <v>820</v>
      </c>
      <c r="D264" t="s">
        <v>821</v>
      </c>
      <c r="E264">
        <v>0</v>
      </c>
      <c r="F264">
        <v>0</v>
      </c>
      <c r="G264">
        <v>0</v>
      </c>
      <c r="H264">
        <v>0</v>
      </c>
      <c r="I264">
        <v>0</v>
      </c>
      <c r="J264" t="str">
        <f>IFERROR(VLOOKUP(A264&amp;"",'BEA Buyer Groups'!$A$4:$C$500,3,FALSE),"Not used")</f>
        <v>Not used</v>
      </c>
      <c r="K264" t="str">
        <f t="shared" si="4"/>
        <v>Direct</v>
      </c>
    </row>
    <row r="265" spans="1:11" x14ac:dyDescent="0.25">
      <c r="A265" s="130" t="s">
        <v>1026</v>
      </c>
      <c r="B265" t="s">
        <v>1027</v>
      </c>
      <c r="C265" s="130" t="s">
        <v>816</v>
      </c>
      <c r="D265" t="s">
        <v>817</v>
      </c>
      <c r="E265">
        <v>31</v>
      </c>
      <c r="F265">
        <v>4</v>
      </c>
      <c r="G265">
        <v>10</v>
      </c>
      <c r="H265">
        <v>0</v>
      </c>
      <c r="I265">
        <v>44</v>
      </c>
      <c r="J265" t="str">
        <f>IFERROR(VLOOKUP(A265&amp;"",'BEA Buyer Groups'!$A$4:$C$500,3,FALSE),"Not used")</f>
        <v>Not used</v>
      </c>
      <c r="K265" t="str">
        <f t="shared" si="4"/>
        <v>Direct</v>
      </c>
    </row>
    <row r="266" spans="1:11" x14ac:dyDescent="0.25">
      <c r="A266" s="130" t="s">
        <v>1028</v>
      </c>
      <c r="B266" t="s">
        <v>1029</v>
      </c>
      <c r="C266" s="130" t="s">
        <v>820</v>
      </c>
      <c r="D266" t="s">
        <v>821</v>
      </c>
      <c r="E266">
        <v>0</v>
      </c>
      <c r="F266">
        <v>0</v>
      </c>
      <c r="G266">
        <v>0</v>
      </c>
      <c r="H266">
        <v>0</v>
      </c>
      <c r="I266">
        <v>0</v>
      </c>
      <c r="J266" t="str">
        <f>IFERROR(VLOOKUP(A266&amp;"",'BEA Buyer Groups'!$A$4:$C$500,3,FALSE),"Not used")</f>
        <v>Not used</v>
      </c>
      <c r="K266" t="str">
        <f t="shared" si="4"/>
        <v>Direct</v>
      </c>
    </row>
    <row r="267" spans="1:11" x14ac:dyDescent="0.25">
      <c r="A267" s="130" t="s">
        <v>1028</v>
      </c>
      <c r="B267" t="s">
        <v>1029</v>
      </c>
      <c r="C267" s="130" t="s">
        <v>822</v>
      </c>
      <c r="D267" t="s">
        <v>823</v>
      </c>
      <c r="E267">
        <v>9</v>
      </c>
      <c r="F267">
        <v>0</v>
      </c>
      <c r="G267">
        <v>3</v>
      </c>
      <c r="H267">
        <v>0</v>
      </c>
      <c r="I267">
        <v>13</v>
      </c>
      <c r="J267" t="str">
        <f>IFERROR(VLOOKUP(A267&amp;"",'BEA Buyer Groups'!$A$4:$C$500,3,FALSE),"Not used")</f>
        <v>Not used</v>
      </c>
      <c r="K267" t="str">
        <f t="shared" si="4"/>
        <v>Direct</v>
      </c>
    </row>
    <row r="268" spans="1:11" x14ac:dyDescent="0.25">
      <c r="A268" s="130" t="s">
        <v>1030</v>
      </c>
      <c r="B268" t="s">
        <v>1031</v>
      </c>
      <c r="C268" s="130" t="s">
        <v>820</v>
      </c>
      <c r="D268" t="s">
        <v>821</v>
      </c>
      <c r="E268">
        <v>0</v>
      </c>
      <c r="F268">
        <v>0</v>
      </c>
      <c r="G268">
        <v>0</v>
      </c>
      <c r="H268">
        <v>0</v>
      </c>
      <c r="I268">
        <v>0</v>
      </c>
      <c r="J268" t="str">
        <f>IFERROR(VLOOKUP(A268&amp;"",'BEA Buyer Groups'!$A$4:$C$500,3,FALSE),"Not used")</f>
        <v>Not used</v>
      </c>
      <c r="K268" t="str">
        <f t="shared" si="4"/>
        <v>Direct</v>
      </c>
    </row>
    <row r="269" spans="1:11" x14ac:dyDescent="0.25">
      <c r="A269" s="130" t="s">
        <v>1030</v>
      </c>
      <c r="B269" t="s">
        <v>1031</v>
      </c>
      <c r="C269" s="130" t="s">
        <v>822</v>
      </c>
      <c r="D269" t="s">
        <v>823</v>
      </c>
      <c r="E269">
        <v>153</v>
      </c>
      <c r="F269">
        <v>4</v>
      </c>
      <c r="G269">
        <v>69</v>
      </c>
      <c r="H269">
        <v>0</v>
      </c>
      <c r="I269">
        <v>227</v>
      </c>
      <c r="J269" t="str">
        <f>IFERROR(VLOOKUP(A269&amp;"",'BEA Buyer Groups'!$A$4:$C$500,3,FALSE),"Not used")</f>
        <v>Not used</v>
      </c>
      <c r="K269" t="str">
        <f t="shared" si="4"/>
        <v>Direct</v>
      </c>
    </row>
    <row r="270" spans="1:11" x14ac:dyDescent="0.25">
      <c r="A270" s="130" t="s">
        <v>1032</v>
      </c>
      <c r="B270" t="s">
        <v>1033</v>
      </c>
      <c r="C270" s="130" t="s">
        <v>820</v>
      </c>
      <c r="D270" t="s">
        <v>821</v>
      </c>
      <c r="E270">
        <v>0</v>
      </c>
      <c r="F270">
        <v>0</v>
      </c>
      <c r="G270">
        <v>0</v>
      </c>
      <c r="H270">
        <v>0</v>
      </c>
      <c r="I270">
        <v>0</v>
      </c>
      <c r="J270" t="str">
        <f>IFERROR(VLOOKUP(A270&amp;"",'BEA Buyer Groups'!$A$4:$C$500,3,FALSE),"Not used")</f>
        <v>Not used</v>
      </c>
      <c r="K270" t="str">
        <f t="shared" si="4"/>
        <v>Direct</v>
      </c>
    </row>
    <row r="271" spans="1:11" x14ac:dyDescent="0.25">
      <c r="A271" s="130" t="s">
        <v>1032</v>
      </c>
      <c r="B271" t="s">
        <v>1033</v>
      </c>
      <c r="C271" s="130" t="s">
        <v>822</v>
      </c>
      <c r="D271" t="s">
        <v>823</v>
      </c>
      <c r="E271">
        <v>11</v>
      </c>
      <c r="F271">
        <v>0</v>
      </c>
      <c r="G271">
        <v>5</v>
      </c>
      <c r="H271">
        <v>0</v>
      </c>
      <c r="I271">
        <v>16</v>
      </c>
      <c r="J271" t="str">
        <f>IFERROR(VLOOKUP(A271&amp;"",'BEA Buyer Groups'!$A$4:$C$500,3,FALSE),"Not used")</f>
        <v>Not used</v>
      </c>
      <c r="K271" t="str">
        <f t="shared" si="4"/>
        <v>Direct</v>
      </c>
    </row>
    <row r="272" spans="1:11" x14ac:dyDescent="0.25">
      <c r="A272" s="130" t="s">
        <v>1032</v>
      </c>
      <c r="B272" t="s">
        <v>1033</v>
      </c>
      <c r="C272" s="130" t="s">
        <v>810</v>
      </c>
      <c r="D272" t="s">
        <v>811</v>
      </c>
      <c r="E272">
        <v>0</v>
      </c>
      <c r="F272">
        <v>0</v>
      </c>
      <c r="G272">
        <v>0</v>
      </c>
      <c r="H272">
        <v>0</v>
      </c>
      <c r="I272">
        <v>0</v>
      </c>
      <c r="J272" t="str">
        <f>IFERROR(VLOOKUP(A272&amp;"",'BEA Buyer Groups'!$A$4:$C$500,3,FALSE),"Not used")</f>
        <v>Not used</v>
      </c>
      <c r="K272" t="str">
        <f t="shared" si="4"/>
        <v>Direct</v>
      </c>
    </row>
    <row r="273" spans="1:11" x14ac:dyDescent="0.25">
      <c r="A273" s="130" t="s">
        <v>1034</v>
      </c>
      <c r="B273" t="s">
        <v>1035</v>
      </c>
      <c r="C273" s="130" t="s">
        <v>820</v>
      </c>
      <c r="D273" t="s">
        <v>821</v>
      </c>
      <c r="E273">
        <v>0</v>
      </c>
      <c r="F273">
        <v>0</v>
      </c>
      <c r="G273">
        <v>0</v>
      </c>
      <c r="H273">
        <v>0</v>
      </c>
      <c r="I273">
        <v>0</v>
      </c>
      <c r="J273" t="str">
        <f>IFERROR(VLOOKUP(A273&amp;"",'BEA Buyer Groups'!$A$4:$C$500,3,FALSE),"Not used")</f>
        <v>Not used</v>
      </c>
      <c r="K273" t="str">
        <f t="shared" si="4"/>
        <v>Direct</v>
      </c>
    </row>
    <row r="274" spans="1:11" x14ac:dyDescent="0.25">
      <c r="A274" s="130" t="s">
        <v>1034</v>
      </c>
      <c r="B274" t="s">
        <v>1035</v>
      </c>
      <c r="C274" s="130" t="s">
        <v>802</v>
      </c>
      <c r="D274" t="s">
        <v>803</v>
      </c>
      <c r="E274">
        <v>0</v>
      </c>
      <c r="F274">
        <v>0</v>
      </c>
      <c r="G274">
        <v>0</v>
      </c>
      <c r="H274">
        <v>0</v>
      </c>
      <c r="I274">
        <v>0</v>
      </c>
      <c r="J274" t="str">
        <f>IFERROR(VLOOKUP(A274&amp;"",'BEA Buyer Groups'!$A$4:$C$500,3,FALSE),"Not used")</f>
        <v>Not used</v>
      </c>
      <c r="K274" t="str">
        <f t="shared" si="4"/>
        <v>Direct</v>
      </c>
    </row>
    <row r="275" spans="1:11" x14ac:dyDescent="0.25">
      <c r="A275" s="130" t="s">
        <v>1034</v>
      </c>
      <c r="B275" t="s">
        <v>1035</v>
      </c>
      <c r="C275" s="130" t="s">
        <v>822</v>
      </c>
      <c r="D275" t="s">
        <v>823</v>
      </c>
      <c r="E275">
        <v>86</v>
      </c>
      <c r="F275">
        <v>2</v>
      </c>
      <c r="G275">
        <v>38</v>
      </c>
      <c r="H275">
        <v>0</v>
      </c>
      <c r="I275">
        <v>126</v>
      </c>
      <c r="J275" t="str">
        <f>IFERROR(VLOOKUP(A275&amp;"",'BEA Buyer Groups'!$A$4:$C$500,3,FALSE),"Not used")</f>
        <v>Not used</v>
      </c>
      <c r="K275" t="str">
        <f t="shared" si="4"/>
        <v>Direct</v>
      </c>
    </row>
    <row r="276" spans="1:11" x14ac:dyDescent="0.25">
      <c r="A276" s="130" t="s">
        <v>1034</v>
      </c>
      <c r="B276" t="s">
        <v>1035</v>
      </c>
      <c r="C276" s="130" t="s">
        <v>810</v>
      </c>
      <c r="D276" t="s">
        <v>811</v>
      </c>
      <c r="E276">
        <v>0</v>
      </c>
      <c r="F276">
        <v>0</v>
      </c>
      <c r="G276">
        <v>0</v>
      </c>
      <c r="H276">
        <v>0</v>
      </c>
      <c r="I276">
        <v>1</v>
      </c>
      <c r="J276" t="str">
        <f>IFERROR(VLOOKUP(A276&amp;"",'BEA Buyer Groups'!$A$4:$C$500,3,FALSE),"Not used")</f>
        <v>Not used</v>
      </c>
      <c r="K276" t="str">
        <f t="shared" si="4"/>
        <v>Direct</v>
      </c>
    </row>
    <row r="277" spans="1:11" x14ac:dyDescent="0.25">
      <c r="A277" s="130" t="s">
        <v>1034</v>
      </c>
      <c r="B277" t="s">
        <v>1035</v>
      </c>
      <c r="C277" s="130" t="s">
        <v>816</v>
      </c>
      <c r="D277" t="s">
        <v>817</v>
      </c>
      <c r="E277">
        <v>48</v>
      </c>
      <c r="F277">
        <v>6</v>
      </c>
      <c r="G277">
        <v>15</v>
      </c>
      <c r="H277">
        <v>0</v>
      </c>
      <c r="I277">
        <v>70</v>
      </c>
      <c r="J277" t="str">
        <f>IFERROR(VLOOKUP(A277&amp;"",'BEA Buyer Groups'!$A$4:$C$500,3,FALSE),"Not used")</f>
        <v>Not used</v>
      </c>
      <c r="K277" t="str">
        <f t="shared" si="4"/>
        <v>Direct</v>
      </c>
    </row>
    <row r="278" spans="1:11" x14ac:dyDescent="0.25">
      <c r="A278" s="130" t="s">
        <v>1034</v>
      </c>
      <c r="B278" t="s">
        <v>1035</v>
      </c>
      <c r="C278" s="130" t="s">
        <v>846</v>
      </c>
      <c r="D278" t="s">
        <v>847</v>
      </c>
      <c r="E278">
        <v>216</v>
      </c>
      <c r="F278">
        <v>28</v>
      </c>
      <c r="G278">
        <v>75</v>
      </c>
      <c r="H278">
        <v>0</v>
      </c>
      <c r="I278">
        <v>320</v>
      </c>
      <c r="J278" t="str">
        <f>IFERROR(VLOOKUP(A278&amp;"",'BEA Buyer Groups'!$A$4:$C$500,3,FALSE),"Not used")</f>
        <v>Not used</v>
      </c>
      <c r="K278" t="str">
        <f t="shared" si="4"/>
        <v>Direct</v>
      </c>
    </row>
    <row r="279" spans="1:11" x14ac:dyDescent="0.25">
      <c r="A279" s="130" t="s">
        <v>1036</v>
      </c>
      <c r="B279" t="s">
        <v>1037</v>
      </c>
      <c r="C279" s="130" t="s">
        <v>820</v>
      </c>
      <c r="D279" t="s">
        <v>821</v>
      </c>
      <c r="E279">
        <v>0</v>
      </c>
      <c r="F279">
        <v>0</v>
      </c>
      <c r="G279">
        <v>0</v>
      </c>
      <c r="H279">
        <v>0</v>
      </c>
      <c r="I279">
        <v>0</v>
      </c>
      <c r="J279" t="str">
        <f>IFERROR(VLOOKUP(A279&amp;"",'BEA Buyer Groups'!$A$4:$C$500,3,FALSE),"Not used")</f>
        <v>Not used</v>
      </c>
      <c r="K279" t="str">
        <f t="shared" si="4"/>
        <v>Direct</v>
      </c>
    </row>
    <row r="280" spans="1:11" x14ac:dyDescent="0.25">
      <c r="A280" s="130" t="s">
        <v>1038</v>
      </c>
      <c r="B280" t="s">
        <v>1039</v>
      </c>
      <c r="C280" s="130" t="s">
        <v>820</v>
      </c>
      <c r="D280" t="s">
        <v>821</v>
      </c>
      <c r="E280">
        <v>0</v>
      </c>
      <c r="F280">
        <v>0</v>
      </c>
      <c r="G280">
        <v>0</v>
      </c>
      <c r="H280">
        <v>0</v>
      </c>
      <c r="I280">
        <v>0</v>
      </c>
      <c r="J280" t="str">
        <f>IFERROR(VLOOKUP(A280&amp;"",'BEA Buyer Groups'!$A$4:$C$500,3,FALSE),"Not used")</f>
        <v>Not used</v>
      </c>
      <c r="K280" t="str">
        <f t="shared" si="4"/>
        <v>Direct</v>
      </c>
    </row>
    <row r="281" spans="1:11" x14ac:dyDescent="0.25">
      <c r="A281" s="130" t="s">
        <v>1040</v>
      </c>
      <c r="B281" t="s">
        <v>1041</v>
      </c>
      <c r="C281" s="130" t="s">
        <v>820</v>
      </c>
      <c r="D281" t="s">
        <v>821</v>
      </c>
      <c r="E281">
        <v>0</v>
      </c>
      <c r="F281">
        <v>0</v>
      </c>
      <c r="G281">
        <v>0</v>
      </c>
      <c r="H281">
        <v>0</v>
      </c>
      <c r="I281">
        <v>0</v>
      </c>
      <c r="J281" t="str">
        <f>IFERROR(VLOOKUP(A281&amp;"",'BEA Buyer Groups'!$A$4:$C$500,3,FALSE),"Not used")</f>
        <v>Not used</v>
      </c>
      <c r="K281" t="str">
        <f t="shared" si="4"/>
        <v>Direct</v>
      </c>
    </row>
    <row r="282" spans="1:11" x14ac:dyDescent="0.25">
      <c r="A282" s="130" t="s">
        <v>1040</v>
      </c>
      <c r="B282" t="s">
        <v>1041</v>
      </c>
      <c r="C282" s="130" t="s">
        <v>822</v>
      </c>
      <c r="D282" t="s">
        <v>823</v>
      </c>
      <c r="E282">
        <v>0</v>
      </c>
      <c r="F282">
        <v>0</v>
      </c>
      <c r="G282">
        <v>0</v>
      </c>
      <c r="H282">
        <v>0</v>
      </c>
      <c r="I282">
        <v>0</v>
      </c>
      <c r="J282" t="str">
        <f>IFERROR(VLOOKUP(A282&amp;"",'BEA Buyer Groups'!$A$4:$C$500,3,FALSE),"Not used")</f>
        <v>Not used</v>
      </c>
      <c r="K282" t="str">
        <f t="shared" si="4"/>
        <v>Direct</v>
      </c>
    </row>
    <row r="283" spans="1:11" x14ac:dyDescent="0.25">
      <c r="A283" s="130" t="s">
        <v>1040</v>
      </c>
      <c r="B283" t="s">
        <v>1041</v>
      </c>
      <c r="C283" s="130" t="s">
        <v>810</v>
      </c>
      <c r="D283" t="s">
        <v>811</v>
      </c>
      <c r="E283">
        <v>0</v>
      </c>
      <c r="F283">
        <v>0</v>
      </c>
      <c r="G283">
        <v>0</v>
      </c>
      <c r="H283">
        <v>0</v>
      </c>
      <c r="I283">
        <v>0</v>
      </c>
      <c r="J283" t="str">
        <f>IFERROR(VLOOKUP(A283&amp;"",'BEA Buyer Groups'!$A$4:$C$500,3,FALSE),"Not used")</f>
        <v>Not used</v>
      </c>
      <c r="K283" t="str">
        <f t="shared" si="4"/>
        <v>Direct</v>
      </c>
    </row>
    <row r="284" spans="1:11" x14ac:dyDescent="0.25">
      <c r="A284" s="130" t="s">
        <v>1042</v>
      </c>
      <c r="B284" t="s">
        <v>1043</v>
      </c>
      <c r="C284" s="130" t="s">
        <v>820</v>
      </c>
      <c r="D284" t="s">
        <v>821</v>
      </c>
      <c r="E284">
        <v>0</v>
      </c>
      <c r="F284">
        <v>0</v>
      </c>
      <c r="G284">
        <v>0</v>
      </c>
      <c r="H284">
        <v>0</v>
      </c>
      <c r="I284">
        <v>0</v>
      </c>
      <c r="J284" t="str">
        <f>IFERROR(VLOOKUP(A284&amp;"",'BEA Buyer Groups'!$A$4:$C$500,3,FALSE),"Not used")</f>
        <v>Not used</v>
      </c>
      <c r="K284" t="str">
        <f t="shared" si="4"/>
        <v>Direct</v>
      </c>
    </row>
    <row r="285" spans="1:11" x14ac:dyDescent="0.25">
      <c r="A285" s="130" t="s">
        <v>1044</v>
      </c>
      <c r="B285" t="s">
        <v>1045</v>
      </c>
      <c r="C285" s="130" t="s">
        <v>820</v>
      </c>
      <c r="D285" t="s">
        <v>821</v>
      </c>
      <c r="E285">
        <v>0</v>
      </c>
      <c r="F285">
        <v>0</v>
      </c>
      <c r="G285">
        <v>0</v>
      </c>
      <c r="H285">
        <v>0</v>
      </c>
      <c r="I285">
        <v>1</v>
      </c>
      <c r="J285" t="str">
        <f>IFERROR(VLOOKUP(A285&amp;"",'BEA Buyer Groups'!$A$4:$C$500,3,FALSE),"Not used")</f>
        <v>Not used</v>
      </c>
      <c r="K285" t="str">
        <f t="shared" si="4"/>
        <v>Direct</v>
      </c>
    </row>
    <row r="286" spans="1:11" x14ac:dyDescent="0.25">
      <c r="A286" s="130" t="s">
        <v>1044</v>
      </c>
      <c r="B286" t="s">
        <v>1045</v>
      </c>
      <c r="C286" s="130" t="s">
        <v>822</v>
      </c>
      <c r="D286" t="s">
        <v>823</v>
      </c>
      <c r="E286">
        <v>4</v>
      </c>
      <c r="F286">
        <v>0</v>
      </c>
      <c r="G286">
        <v>1</v>
      </c>
      <c r="H286">
        <v>0</v>
      </c>
      <c r="I286">
        <v>5</v>
      </c>
      <c r="J286" t="str">
        <f>IFERROR(VLOOKUP(A286&amp;"",'BEA Buyer Groups'!$A$4:$C$500,3,FALSE),"Not used")</f>
        <v>Not used</v>
      </c>
      <c r="K286" t="str">
        <f t="shared" si="4"/>
        <v>Direct</v>
      </c>
    </row>
    <row r="287" spans="1:11" x14ac:dyDescent="0.25">
      <c r="A287" s="130" t="s">
        <v>1044</v>
      </c>
      <c r="B287" t="s">
        <v>1045</v>
      </c>
      <c r="C287" s="130" t="s">
        <v>810</v>
      </c>
      <c r="D287" t="s">
        <v>811</v>
      </c>
      <c r="E287">
        <v>0</v>
      </c>
      <c r="F287">
        <v>0</v>
      </c>
      <c r="G287">
        <v>0</v>
      </c>
      <c r="H287">
        <v>0</v>
      </c>
      <c r="I287">
        <v>0</v>
      </c>
      <c r="J287" t="str">
        <f>IFERROR(VLOOKUP(A287&amp;"",'BEA Buyer Groups'!$A$4:$C$500,3,FALSE),"Not used")</f>
        <v>Not used</v>
      </c>
      <c r="K287" t="str">
        <f t="shared" si="4"/>
        <v>Direct</v>
      </c>
    </row>
    <row r="288" spans="1:11" x14ac:dyDescent="0.25">
      <c r="A288" s="130" t="s">
        <v>1046</v>
      </c>
      <c r="B288" t="s">
        <v>1047</v>
      </c>
      <c r="C288" s="130" t="s">
        <v>820</v>
      </c>
      <c r="D288" t="s">
        <v>821</v>
      </c>
      <c r="E288">
        <v>0</v>
      </c>
      <c r="F288">
        <v>0</v>
      </c>
      <c r="G288">
        <v>0</v>
      </c>
      <c r="H288">
        <v>0</v>
      </c>
      <c r="I288">
        <v>0</v>
      </c>
      <c r="J288" t="str">
        <f>IFERROR(VLOOKUP(A288&amp;"",'BEA Buyer Groups'!$A$4:$C$500,3,FALSE),"Not used")</f>
        <v>Not used</v>
      </c>
      <c r="K288" t="str">
        <f t="shared" si="4"/>
        <v>Direct</v>
      </c>
    </row>
    <row r="289" spans="1:11" x14ac:dyDescent="0.25">
      <c r="A289" s="130" t="s">
        <v>1048</v>
      </c>
      <c r="B289" t="s">
        <v>1049</v>
      </c>
      <c r="C289" s="130" t="s">
        <v>820</v>
      </c>
      <c r="D289" t="s">
        <v>821</v>
      </c>
      <c r="E289">
        <v>0</v>
      </c>
      <c r="F289">
        <v>0</v>
      </c>
      <c r="G289">
        <v>0</v>
      </c>
      <c r="H289">
        <v>0</v>
      </c>
      <c r="I289">
        <v>0</v>
      </c>
      <c r="J289" t="str">
        <f>IFERROR(VLOOKUP(A289&amp;"",'BEA Buyer Groups'!$A$4:$C$500,3,FALSE),"Not used")</f>
        <v>Not used</v>
      </c>
      <c r="K289" t="str">
        <f t="shared" si="4"/>
        <v>Direct</v>
      </c>
    </row>
    <row r="290" spans="1:11" x14ac:dyDescent="0.25">
      <c r="A290" s="130" t="s">
        <v>1048</v>
      </c>
      <c r="B290" t="s">
        <v>1049</v>
      </c>
      <c r="C290" s="130" t="s">
        <v>822</v>
      </c>
      <c r="D290" t="s">
        <v>823</v>
      </c>
      <c r="E290">
        <v>2</v>
      </c>
      <c r="F290">
        <v>0</v>
      </c>
      <c r="G290">
        <v>0</v>
      </c>
      <c r="H290">
        <v>0</v>
      </c>
      <c r="I290">
        <v>3</v>
      </c>
      <c r="J290" t="str">
        <f>IFERROR(VLOOKUP(A290&amp;"",'BEA Buyer Groups'!$A$4:$C$500,3,FALSE),"Not used")</f>
        <v>Not used</v>
      </c>
      <c r="K290" t="str">
        <f t="shared" si="4"/>
        <v>Direct</v>
      </c>
    </row>
    <row r="291" spans="1:11" x14ac:dyDescent="0.25">
      <c r="A291" s="130" t="s">
        <v>1050</v>
      </c>
      <c r="B291" t="s">
        <v>1051</v>
      </c>
      <c r="C291" s="130" t="s">
        <v>820</v>
      </c>
      <c r="D291" t="s">
        <v>821</v>
      </c>
      <c r="E291">
        <v>0</v>
      </c>
      <c r="F291">
        <v>0</v>
      </c>
      <c r="G291">
        <v>0</v>
      </c>
      <c r="H291">
        <v>0</v>
      </c>
      <c r="I291">
        <v>0</v>
      </c>
      <c r="J291" t="str">
        <f>IFERROR(VLOOKUP(A291&amp;"",'BEA Buyer Groups'!$A$4:$C$500,3,FALSE),"Not used")</f>
        <v>Not used</v>
      </c>
      <c r="K291" t="str">
        <f t="shared" si="4"/>
        <v>Direct</v>
      </c>
    </row>
    <row r="292" spans="1:11" x14ac:dyDescent="0.25">
      <c r="A292" s="130" t="s">
        <v>1052</v>
      </c>
      <c r="B292" t="s">
        <v>1053</v>
      </c>
      <c r="C292" s="130" t="s">
        <v>820</v>
      </c>
      <c r="D292" t="s">
        <v>821</v>
      </c>
      <c r="E292">
        <v>0</v>
      </c>
      <c r="F292">
        <v>0</v>
      </c>
      <c r="G292">
        <v>0</v>
      </c>
      <c r="H292">
        <v>0</v>
      </c>
      <c r="I292">
        <v>0</v>
      </c>
      <c r="J292" t="str">
        <f>IFERROR(VLOOKUP(A292&amp;"",'BEA Buyer Groups'!$A$4:$C$500,3,FALSE),"Not used")</f>
        <v>Not used</v>
      </c>
      <c r="K292" t="str">
        <f t="shared" si="4"/>
        <v>Direct</v>
      </c>
    </row>
    <row r="293" spans="1:11" x14ac:dyDescent="0.25">
      <c r="A293" s="130" t="s">
        <v>1054</v>
      </c>
      <c r="B293" t="s">
        <v>1055</v>
      </c>
      <c r="C293" s="130" t="s">
        <v>820</v>
      </c>
      <c r="D293" t="s">
        <v>821</v>
      </c>
      <c r="E293">
        <v>0</v>
      </c>
      <c r="F293">
        <v>0</v>
      </c>
      <c r="G293">
        <v>0</v>
      </c>
      <c r="H293">
        <v>0</v>
      </c>
      <c r="I293">
        <v>0</v>
      </c>
      <c r="J293" t="str">
        <f>IFERROR(VLOOKUP(A293&amp;"",'BEA Buyer Groups'!$A$4:$C$500,3,FALSE),"Not used")</f>
        <v>Not used</v>
      </c>
      <c r="K293" t="str">
        <f t="shared" si="4"/>
        <v>Direct</v>
      </c>
    </row>
    <row r="294" spans="1:11" x14ac:dyDescent="0.25">
      <c r="A294" s="130" t="s">
        <v>1056</v>
      </c>
      <c r="B294" t="s">
        <v>1057</v>
      </c>
      <c r="C294" s="130" t="s">
        <v>820</v>
      </c>
      <c r="D294" t="s">
        <v>821</v>
      </c>
      <c r="E294">
        <v>0</v>
      </c>
      <c r="F294">
        <v>0</v>
      </c>
      <c r="G294">
        <v>0</v>
      </c>
      <c r="H294">
        <v>0</v>
      </c>
      <c r="I294">
        <v>0</v>
      </c>
      <c r="J294" t="str">
        <f>IFERROR(VLOOKUP(A294&amp;"",'BEA Buyer Groups'!$A$4:$C$500,3,FALSE),"Not used")</f>
        <v>Not used</v>
      </c>
      <c r="K294" t="str">
        <f t="shared" si="4"/>
        <v>Direct</v>
      </c>
    </row>
    <row r="295" spans="1:11" x14ac:dyDescent="0.25">
      <c r="A295" s="130" t="s">
        <v>1058</v>
      </c>
      <c r="B295" t="s">
        <v>1059</v>
      </c>
      <c r="C295" s="130" t="s">
        <v>820</v>
      </c>
      <c r="D295" t="s">
        <v>821</v>
      </c>
      <c r="E295">
        <v>0</v>
      </c>
      <c r="F295">
        <v>0</v>
      </c>
      <c r="G295">
        <v>0</v>
      </c>
      <c r="H295">
        <v>0</v>
      </c>
      <c r="I295">
        <v>0</v>
      </c>
      <c r="J295" t="str">
        <f>IFERROR(VLOOKUP(A295&amp;"",'BEA Buyer Groups'!$A$4:$C$500,3,FALSE),"Not used")</f>
        <v>Not used</v>
      </c>
      <c r="K295" t="str">
        <f t="shared" si="4"/>
        <v>Direct</v>
      </c>
    </row>
    <row r="296" spans="1:11" x14ac:dyDescent="0.25">
      <c r="A296" s="130" t="s">
        <v>1060</v>
      </c>
      <c r="B296" t="s">
        <v>1061</v>
      </c>
      <c r="C296" s="130" t="s">
        <v>820</v>
      </c>
      <c r="D296" t="s">
        <v>821</v>
      </c>
      <c r="E296">
        <v>0</v>
      </c>
      <c r="F296">
        <v>0</v>
      </c>
      <c r="G296">
        <v>0</v>
      </c>
      <c r="H296">
        <v>0</v>
      </c>
      <c r="I296">
        <v>0</v>
      </c>
      <c r="J296" t="str">
        <f>IFERROR(VLOOKUP(A296&amp;"",'BEA Buyer Groups'!$A$4:$C$500,3,FALSE),"Not used")</f>
        <v>Not used</v>
      </c>
      <c r="K296" t="str">
        <f t="shared" si="4"/>
        <v>Direct</v>
      </c>
    </row>
    <row r="297" spans="1:11" x14ac:dyDescent="0.25">
      <c r="A297" s="130" t="s">
        <v>1062</v>
      </c>
      <c r="B297" t="s">
        <v>1063</v>
      </c>
      <c r="C297" s="130" t="s">
        <v>820</v>
      </c>
      <c r="D297" t="s">
        <v>821</v>
      </c>
      <c r="E297">
        <v>0</v>
      </c>
      <c r="F297">
        <v>0</v>
      </c>
      <c r="G297">
        <v>0</v>
      </c>
      <c r="H297">
        <v>0</v>
      </c>
      <c r="I297">
        <v>0</v>
      </c>
      <c r="J297" t="str">
        <f>IFERROR(VLOOKUP(A297&amp;"",'BEA Buyer Groups'!$A$4:$C$500,3,FALSE),"Not used")</f>
        <v>Not used</v>
      </c>
      <c r="K297" t="str">
        <f t="shared" si="4"/>
        <v>Direct</v>
      </c>
    </row>
    <row r="298" spans="1:11" x14ac:dyDescent="0.25">
      <c r="A298" s="130" t="s">
        <v>1064</v>
      </c>
      <c r="B298" t="s">
        <v>1065</v>
      </c>
      <c r="C298" s="130" t="s">
        <v>820</v>
      </c>
      <c r="D298" t="s">
        <v>821</v>
      </c>
      <c r="E298">
        <v>0</v>
      </c>
      <c r="F298">
        <v>0</v>
      </c>
      <c r="G298">
        <v>0</v>
      </c>
      <c r="H298">
        <v>0</v>
      </c>
      <c r="I298">
        <v>0</v>
      </c>
      <c r="J298" t="str">
        <f>IFERROR(VLOOKUP(A298&amp;"",'BEA Buyer Groups'!$A$4:$C$500,3,FALSE),"Not used")</f>
        <v>Not used</v>
      </c>
      <c r="K298" t="str">
        <f t="shared" si="4"/>
        <v>Direct</v>
      </c>
    </row>
    <row r="299" spans="1:11" x14ac:dyDescent="0.25">
      <c r="A299" s="130" t="s">
        <v>1066</v>
      </c>
      <c r="B299" t="s">
        <v>1067</v>
      </c>
      <c r="C299" s="130" t="s">
        <v>820</v>
      </c>
      <c r="D299" t="s">
        <v>821</v>
      </c>
      <c r="E299">
        <v>0</v>
      </c>
      <c r="F299">
        <v>0</v>
      </c>
      <c r="G299">
        <v>0</v>
      </c>
      <c r="H299">
        <v>0</v>
      </c>
      <c r="I299">
        <v>1</v>
      </c>
      <c r="J299" t="str">
        <f>IFERROR(VLOOKUP(A299&amp;"",'BEA Buyer Groups'!$A$4:$C$500,3,FALSE),"Not used")</f>
        <v>Not used</v>
      </c>
      <c r="K299" t="str">
        <f t="shared" si="4"/>
        <v>Direct</v>
      </c>
    </row>
    <row r="300" spans="1:11" x14ac:dyDescent="0.25">
      <c r="A300" s="130" t="s">
        <v>1066</v>
      </c>
      <c r="B300" t="s">
        <v>1067</v>
      </c>
      <c r="C300" s="130" t="s">
        <v>822</v>
      </c>
      <c r="D300" t="s">
        <v>823</v>
      </c>
      <c r="E300">
        <v>10</v>
      </c>
      <c r="F300">
        <v>0</v>
      </c>
      <c r="G300">
        <v>0</v>
      </c>
      <c r="H300">
        <v>0</v>
      </c>
      <c r="I300">
        <v>10</v>
      </c>
      <c r="J300" t="str">
        <f>IFERROR(VLOOKUP(A300&amp;"",'BEA Buyer Groups'!$A$4:$C$500,3,FALSE),"Not used")</f>
        <v>Not used</v>
      </c>
      <c r="K300" t="str">
        <f t="shared" si="4"/>
        <v>Direct</v>
      </c>
    </row>
    <row r="301" spans="1:11" x14ac:dyDescent="0.25">
      <c r="A301" s="130" t="s">
        <v>1066</v>
      </c>
      <c r="B301" t="s">
        <v>1067</v>
      </c>
      <c r="C301" s="130" t="s">
        <v>816</v>
      </c>
      <c r="D301" t="s">
        <v>817</v>
      </c>
      <c r="E301">
        <v>9</v>
      </c>
      <c r="F301">
        <v>1</v>
      </c>
      <c r="G301">
        <v>3</v>
      </c>
      <c r="H301">
        <v>0</v>
      </c>
      <c r="I301">
        <v>13</v>
      </c>
      <c r="J301" t="str">
        <f>IFERROR(VLOOKUP(A301&amp;"",'BEA Buyer Groups'!$A$4:$C$500,3,FALSE),"Not used")</f>
        <v>Not used</v>
      </c>
      <c r="K301" t="str">
        <f t="shared" si="4"/>
        <v>Direct</v>
      </c>
    </row>
    <row r="302" spans="1:11" x14ac:dyDescent="0.25">
      <c r="A302" s="130" t="s">
        <v>1068</v>
      </c>
      <c r="B302" t="s">
        <v>1069</v>
      </c>
      <c r="C302" s="130" t="s">
        <v>820</v>
      </c>
      <c r="D302" t="s">
        <v>821</v>
      </c>
      <c r="E302">
        <v>0</v>
      </c>
      <c r="F302">
        <v>0</v>
      </c>
      <c r="G302">
        <v>0</v>
      </c>
      <c r="H302">
        <v>0</v>
      </c>
      <c r="I302">
        <v>1</v>
      </c>
      <c r="J302" t="str">
        <f>IFERROR(VLOOKUP(A302&amp;"",'BEA Buyer Groups'!$A$4:$C$500,3,FALSE),"Not used")</f>
        <v>Not used</v>
      </c>
      <c r="K302" t="str">
        <f t="shared" si="4"/>
        <v>Direct</v>
      </c>
    </row>
    <row r="303" spans="1:11" x14ac:dyDescent="0.25">
      <c r="A303" s="130" t="s">
        <v>1068</v>
      </c>
      <c r="B303" t="s">
        <v>1069</v>
      </c>
      <c r="C303" s="130" t="s">
        <v>816</v>
      </c>
      <c r="D303" t="s">
        <v>817</v>
      </c>
      <c r="E303">
        <v>23</v>
      </c>
      <c r="F303">
        <v>3</v>
      </c>
      <c r="G303">
        <v>7</v>
      </c>
      <c r="H303">
        <v>0</v>
      </c>
      <c r="I303">
        <v>33</v>
      </c>
      <c r="J303" t="str">
        <f>IFERROR(VLOOKUP(A303&amp;"",'BEA Buyer Groups'!$A$4:$C$500,3,FALSE),"Not used")</f>
        <v>Not used</v>
      </c>
      <c r="K303" t="str">
        <f t="shared" si="4"/>
        <v>Direct</v>
      </c>
    </row>
    <row r="304" spans="1:11" x14ac:dyDescent="0.25">
      <c r="A304" s="130" t="s">
        <v>1070</v>
      </c>
      <c r="B304" t="s">
        <v>1071</v>
      </c>
      <c r="C304" s="130" t="s">
        <v>820</v>
      </c>
      <c r="D304" t="s">
        <v>821</v>
      </c>
      <c r="E304">
        <v>0</v>
      </c>
      <c r="F304">
        <v>0</v>
      </c>
      <c r="G304">
        <v>0</v>
      </c>
      <c r="H304">
        <v>0</v>
      </c>
      <c r="I304">
        <v>0</v>
      </c>
      <c r="J304" t="str">
        <f>IFERROR(VLOOKUP(A304&amp;"",'BEA Buyer Groups'!$A$4:$C$500,3,FALSE),"Not used")</f>
        <v>Not used</v>
      </c>
      <c r="K304" t="str">
        <f t="shared" si="4"/>
        <v>Direct</v>
      </c>
    </row>
    <row r="305" spans="1:11" x14ac:dyDescent="0.25">
      <c r="A305" s="130" t="s">
        <v>1070</v>
      </c>
      <c r="B305" t="s">
        <v>1071</v>
      </c>
      <c r="C305" s="130" t="s">
        <v>822</v>
      </c>
      <c r="D305" t="s">
        <v>823</v>
      </c>
      <c r="E305">
        <v>0</v>
      </c>
      <c r="F305">
        <v>0</v>
      </c>
      <c r="G305">
        <v>0</v>
      </c>
      <c r="H305">
        <v>0</v>
      </c>
      <c r="I305">
        <v>0</v>
      </c>
      <c r="J305" t="str">
        <f>IFERROR(VLOOKUP(A305&amp;"",'BEA Buyer Groups'!$A$4:$C$500,3,FALSE),"Not used")</f>
        <v>Not used</v>
      </c>
      <c r="K305" t="str">
        <f t="shared" si="4"/>
        <v>Direct</v>
      </c>
    </row>
    <row r="306" spans="1:11" x14ac:dyDescent="0.25">
      <c r="A306" s="130" t="s">
        <v>1072</v>
      </c>
      <c r="B306" t="s">
        <v>1073</v>
      </c>
      <c r="C306" s="130" t="s">
        <v>820</v>
      </c>
      <c r="D306" t="s">
        <v>821</v>
      </c>
      <c r="E306">
        <v>1</v>
      </c>
      <c r="F306">
        <v>0</v>
      </c>
      <c r="G306">
        <v>0</v>
      </c>
      <c r="H306">
        <v>0</v>
      </c>
      <c r="I306">
        <v>1</v>
      </c>
      <c r="J306" t="str">
        <f>IFERROR(VLOOKUP(A306&amp;"",'BEA Buyer Groups'!$A$4:$C$500,3,FALSE),"Not used")</f>
        <v>Not used</v>
      </c>
      <c r="K306" t="str">
        <f t="shared" si="4"/>
        <v>Direct</v>
      </c>
    </row>
    <row r="307" spans="1:11" x14ac:dyDescent="0.25">
      <c r="A307" s="130" t="s">
        <v>1074</v>
      </c>
      <c r="B307" t="s">
        <v>1075</v>
      </c>
      <c r="C307" s="130" t="s">
        <v>820</v>
      </c>
      <c r="D307" t="s">
        <v>821</v>
      </c>
      <c r="E307">
        <v>1</v>
      </c>
      <c r="F307">
        <v>0</v>
      </c>
      <c r="G307">
        <v>0</v>
      </c>
      <c r="H307">
        <v>0</v>
      </c>
      <c r="I307">
        <v>1</v>
      </c>
      <c r="J307" t="str">
        <f>IFERROR(VLOOKUP(A307&amp;"",'BEA Buyer Groups'!$A$4:$C$500,3,FALSE),"Not used")</f>
        <v>Not used</v>
      </c>
      <c r="K307" t="str">
        <f t="shared" si="4"/>
        <v>Direct</v>
      </c>
    </row>
    <row r="308" spans="1:11" x14ac:dyDescent="0.25">
      <c r="A308" s="130" t="s">
        <v>1074</v>
      </c>
      <c r="B308" t="s">
        <v>1075</v>
      </c>
      <c r="C308" s="130" t="s">
        <v>822</v>
      </c>
      <c r="D308" t="s">
        <v>823</v>
      </c>
      <c r="E308">
        <v>0</v>
      </c>
      <c r="F308">
        <v>0</v>
      </c>
      <c r="G308">
        <v>0</v>
      </c>
      <c r="H308">
        <v>0</v>
      </c>
      <c r="I308">
        <v>0</v>
      </c>
      <c r="J308" t="str">
        <f>IFERROR(VLOOKUP(A308&amp;"",'BEA Buyer Groups'!$A$4:$C$500,3,FALSE),"Not used")</f>
        <v>Not used</v>
      </c>
      <c r="K308" t="str">
        <f t="shared" si="4"/>
        <v>Direct</v>
      </c>
    </row>
    <row r="309" spans="1:11" x14ac:dyDescent="0.25">
      <c r="A309" s="130" t="s">
        <v>1076</v>
      </c>
      <c r="B309" t="s">
        <v>1077</v>
      </c>
      <c r="C309" s="130" t="s">
        <v>820</v>
      </c>
      <c r="D309" t="s">
        <v>821</v>
      </c>
      <c r="E309">
        <v>0</v>
      </c>
      <c r="F309">
        <v>0</v>
      </c>
      <c r="G309">
        <v>0</v>
      </c>
      <c r="H309">
        <v>0</v>
      </c>
      <c r="I309">
        <v>0</v>
      </c>
      <c r="J309" t="str">
        <f>IFERROR(VLOOKUP(A309&amp;"",'BEA Buyer Groups'!$A$4:$C$500,3,FALSE),"Not used")</f>
        <v>Not used</v>
      </c>
      <c r="K309" t="str">
        <f t="shared" si="4"/>
        <v>Direct</v>
      </c>
    </row>
    <row r="310" spans="1:11" x14ac:dyDescent="0.25">
      <c r="A310" s="130" t="s">
        <v>1076</v>
      </c>
      <c r="B310" t="s">
        <v>1077</v>
      </c>
      <c r="C310" s="130" t="s">
        <v>822</v>
      </c>
      <c r="D310" t="s">
        <v>823</v>
      </c>
      <c r="E310">
        <v>9</v>
      </c>
      <c r="F310">
        <v>0</v>
      </c>
      <c r="G310">
        <v>0</v>
      </c>
      <c r="H310">
        <v>0</v>
      </c>
      <c r="I310">
        <v>9</v>
      </c>
      <c r="J310" t="str">
        <f>IFERROR(VLOOKUP(A310&amp;"",'BEA Buyer Groups'!$A$4:$C$500,3,FALSE),"Not used")</f>
        <v>Not used</v>
      </c>
      <c r="K310" t="str">
        <f t="shared" si="4"/>
        <v>Direct</v>
      </c>
    </row>
    <row r="311" spans="1:11" x14ac:dyDescent="0.25">
      <c r="A311" s="130" t="s">
        <v>1078</v>
      </c>
      <c r="B311" t="s">
        <v>1079</v>
      </c>
      <c r="C311" s="130" t="s">
        <v>820</v>
      </c>
      <c r="D311" t="s">
        <v>821</v>
      </c>
      <c r="E311">
        <v>0</v>
      </c>
      <c r="F311">
        <v>0</v>
      </c>
      <c r="G311">
        <v>0</v>
      </c>
      <c r="H311">
        <v>0</v>
      </c>
      <c r="I311">
        <v>0</v>
      </c>
      <c r="J311" t="str">
        <f>IFERROR(VLOOKUP(A311&amp;"",'BEA Buyer Groups'!$A$4:$C$500,3,FALSE),"Not used")</f>
        <v>Not used</v>
      </c>
      <c r="K311" t="str">
        <f t="shared" si="4"/>
        <v>Direct</v>
      </c>
    </row>
    <row r="312" spans="1:11" x14ac:dyDescent="0.25">
      <c r="A312" s="130" t="s">
        <v>1080</v>
      </c>
      <c r="B312" t="s">
        <v>1081</v>
      </c>
      <c r="C312" s="130" t="s">
        <v>820</v>
      </c>
      <c r="D312" t="s">
        <v>821</v>
      </c>
      <c r="E312">
        <v>0</v>
      </c>
      <c r="F312">
        <v>0</v>
      </c>
      <c r="G312">
        <v>0</v>
      </c>
      <c r="H312">
        <v>0</v>
      </c>
      <c r="I312">
        <v>1</v>
      </c>
      <c r="J312" t="str">
        <f>IFERROR(VLOOKUP(A312&amp;"",'BEA Buyer Groups'!$A$4:$C$500,3,FALSE),"Not used")</f>
        <v>Not used</v>
      </c>
      <c r="K312" t="str">
        <f t="shared" si="4"/>
        <v>Direct</v>
      </c>
    </row>
    <row r="313" spans="1:11" x14ac:dyDescent="0.25">
      <c r="A313" s="130" t="s">
        <v>1080</v>
      </c>
      <c r="B313" t="s">
        <v>1081</v>
      </c>
      <c r="C313" s="130" t="s">
        <v>822</v>
      </c>
      <c r="D313" t="s">
        <v>823</v>
      </c>
      <c r="E313">
        <v>0</v>
      </c>
      <c r="F313">
        <v>0</v>
      </c>
      <c r="G313">
        <v>0</v>
      </c>
      <c r="H313">
        <v>0</v>
      </c>
      <c r="I313">
        <v>0</v>
      </c>
      <c r="J313" t="str">
        <f>IFERROR(VLOOKUP(A313&amp;"",'BEA Buyer Groups'!$A$4:$C$500,3,FALSE),"Not used")</f>
        <v>Not used</v>
      </c>
      <c r="K313" t="str">
        <f t="shared" si="4"/>
        <v>Direct</v>
      </c>
    </row>
    <row r="314" spans="1:11" x14ac:dyDescent="0.25">
      <c r="A314" s="130" t="s">
        <v>1082</v>
      </c>
      <c r="B314" t="s">
        <v>1083</v>
      </c>
      <c r="C314" s="130" t="s">
        <v>820</v>
      </c>
      <c r="D314" t="s">
        <v>821</v>
      </c>
      <c r="E314">
        <v>2</v>
      </c>
      <c r="F314">
        <v>0</v>
      </c>
      <c r="G314">
        <v>1</v>
      </c>
      <c r="H314">
        <v>0</v>
      </c>
      <c r="I314">
        <v>2</v>
      </c>
      <c r="J314" t="str">
        <f>IFERROR(VLOOKUP(A314&amp;"",'BEA Buyer Groups'!$A$4:$C$500,3,FALSE),"Not used")</f>
        <v>Not used</v>
      </c>
      <c r="K314" t="str">
        <f t="shared" si="4"/>
        <v>Direct</v>
      </c>
    </row>
    <row r="315" spans="1:11" x14ac:dyDescent="0.25">
      <c r="A315" s="130" t="s">
        <v>1082</v>
      </c>
      <c r="B315" t="s">
        <v>1083</v>
      </c>
      <c r="C315" s="130" t="s">
        <v>822</v>
      </c>
      <c r="D315" t="s">
        <v>823</v>
      </c>
      <c r="E315">
        <v>0</v>
      </c>
      <c r="F315">
        <v>0</v>
      </c>
      <c r="G315">
        <v>0</v>
      </c>
      <c r="H315">
        <v>0</v>
      </c>
      <c r="I315">
        <v>0</v>
      </c>
      <c r="J315" t="str">
        <f>IFERROR(VLOOKUP(A315&amp;"",'BEA Buyer Groups'!$A$4:$C$500,3,FALSE),"Not used")</f>
        <v>Not used</v>
      </c>
      <c r="K315" t="str">
        <f t="shared" si="4"/>
        <v>Direct</v>
      </c>
    </row>
    <row r="316" spans="1:11" x14ac:dyDescent="0.25">
      <c r="A316" s="130" t="s">
        <v>1084</v>
      </c>
      <c r="B316" t="s">
        <v>1085</v>
      </c>
      <c r="C316" s="130" t="s">
        <v>820</v>
      </c>
      <c r="D316" t="s">
        <v>821</v>
      </c>
      <c r="E316">
        <v>3</v>
      </c>
      <c r="F316">
        <v>0</v>
      </c>
      <c r="G316">
        <v>1</v>
      </c>
      <c r="H316">
        <v>0</v>
      </c>
      <c r="I316">
        <v>4</v>
      </c>
      <c r="J316" t="str">
        <f>IFERROR(VLOOKUP(A316&amp;"",'BEA Buyer Groups'!$A$4:$C$500,3,FALSE),"Not used")</f>
        <v>Not used</v>
      </c>
      <c r="K316" t="str">
        <f t="shared" si="4"/>
        <v>Direct</v>
      </c>
    </row>
    <row r="317" spans="1:11" x14ac:dyDescent="0.25">
      <c r="A317" s="130" t="s">
        <v>1084</v>
      </c>
      <c r="B317" t="s">
        <v>1085</v>
      </c>
      <c r="C317" s="130" t="s">
        <v>822</v>
      </c>
      <c r="D317" t="s">
        <v>823</v>
      </c>
      <c r="E317">
        <v>1</v>
      </c>
      <c r="F317">
        <v>0</v>
      </c>
      <c r="G317">
        <v>0</v>
      </c>
      <c r="H317">
        <v>0</v>
      </c>
      <c r="I317">
        <v>1</v>
      </c>
      <c r="J317" t="str">
        <f>IFERROR(VLOOKUP(A317&amp;"",'BEA Buyer Groups'!$A$4:$C$500,3,FALSE),"Not used")</f>
        <v>Not used</v>
      </c>
      <c r="K317" t="str">
        <f t="shared" si="4"/>
        <v>Direct</v>
      </c>
    </row>
    <row r="318" spans="1:11" x14ac:dyDescent="0.25">
      <c r="A318" s="130" t="s">
        <v>1086</v>
      </c>
      <c r="B318" t="s">
        <v>1087</v>
      </c>
      <c r="C318" s="130" t="s">
        <v>820</v>
      </c>
      <c r="D318" t="s">
        <v>821</v>
      </c>
      <c r="E318">
        <v>0</v>
      </c>
      <c r="F318">
        <v>0</v>
      </c>
      <c r="G318">
        <v>0</v>
      </c>
      <c r="H318">
        <v>0</v>
      </c>
      <c r="I318">
        <v>0</v>
      </c>
      <c r="J318" t="str">
        <f>IFERROR(VLOOKUP(A318&amp;"",'BEA Buyer Groups'!$A$4:$C$500,3,FALSE),"Not used")</f>
        <v>Not used</v>
      </c>
      <c r="K318" t="str">
        <f t="shared" si="4"/>
        <v>Direct</v>
      </c>
    </row>
    <row r="319" spans="1:11" x14ac:dyDescent="0.25">
      <c r="A319" s="130" t="s">
        <v>1086</v>
      </c>
      <c r="B319" t="s">
        <v>1087</v>
      </c>
      <c r="C319" s="130" t="s">
        <v>822</v>
      </c>
      <c r="D319" t="s">
        <v>823</v>
      </c>
      <c r="E319">
        <v>4</v>
      </c>
      <c r="F319">
        <v>0</v>
      </c>
      <c r="G319">
        <v>2</v>
      </c>
      <c r="H319">
        <v>0</v>
      </c>
      <c r="I319">
        <v>5</v>
      </c>
      <c r="J319" t="str">
        <f>IFERROR(VLOOKUP(A319&amp;"",'BEA Buyer Groups'!$A$4:$C$500,3,FALSE),"Not used")</f>
        <v>Not used</v>
      </c>
      <c r="K319" t="str">
        <f t="shared" si="4"/>
        <v>Direct</v>
      </c>
    </row>
    <row r="320" spans="1:11" x14ac:dyDescent="0.25">
      <c r="A320" s="130" t="s">
        <v>1088</v>
      </c>
      <c r="B320" t="s">
        <v>1089</v>
      </c>
      <c r="C320" s="130" t="s">
        <v>820</v>
      </c>
      <c r="D320" t="s">
        <v>821</v>
      </c>
      <c r="E320">
        <v>1</v>
      </c>
      <c r="F320">
        <v>0</v>
      </c>
      <c r="G320">
        <v>0</v>
      </c>
      <c r="H320">
        <v>0</v>
      </c>
      <c r="I320">
        <v>1</v>
      </c>
      <c r="J320" t="str">
        <f>IFERROR(VLOOKUP(A320&amp;"",'BEA Buyer Groups'!$A$4:$C$500,3,FALSE),"Not used")</f>
        <v>Not used</v>
      </c>
      <c r="K320" t="str">
        <f t="shared" si="4"/>
        <v>Direct</v>
      </c>
    </row>
    <row r="321" spans="1:11" x14ac:dyDescent="0.25">
      <c r="A321" s="130" t="s">
        <v>1088</v>
      </c>
      <c r="B321" t="s">
        <v>1089</v>
      </c>
      <c r="C321" s="130" t="s">
        <v>822</v>
      </c>
      <c r="D321" t="s">
        <v>823</v>
      </c>
      <c r="E321">
        <v>4</v>
      </c>
      <c r="F321">
        <v>0</v>
      </c>
      <c r="G321">
        <v>2</v>
      </c>
      <c r="H321">
        <v>0</v>
      </c>
      <c r="I321">
        <v>6</v>
      </c>
      <c r="J321" t="str">
        <f>IFERROR(VLOOKUP(A321&amp;"",'BEA Buyer Groups'!$A$4:$C$500,3,FALSE),"Not used")</f>
        <v>Not used</v>
      </c>
      <c r="K321" t="str">
        <f t="shared" si="4"/>
        <v>Direct</v>
      </c>
    </row>
    <row r="322" spans="1:11" x14ac:dyDescent="0.25">
      <c r="A322" s="130" t="s">
        <v>1090</v>
      </c>
      <c r="B322" t="s">
        <v>1091</v>
      </c>
      <c r="C322" s="130" t="s">
        <v>820</v>
      </c>
      <c r="D322" t="s">
        <v>821</v>
      </c>
      <c r="E322">
        <v>1</v>
      </c>
      <c r="F322">
        <v>0</v>
      </c>
      <c r="G322">
        <v>0</v>
      </c>
      <c r="H322">
        <v>0</v>
      </c>
      <c r="I322">
        <v>1</v>
      </c>
      <c r="J322" t="str">
        <f>IFERROR(VLOOKUP(A322&amp;"",'BEA Buyer Groups'!$A$4:$C$500,3,FALSE),"Not used")</f>
        <v>Not used</v>
      </c>
      <c r="K322" t="str">
        <f t="shared" si="4"/>
        <v>Direct</v>
      </c>
    </row>
    <row r="323" spans="1:11" x14ac:dyDescent="0.25">
      <c r="A323" s="130" t="s">
        <v>1092</v>
      </c>
      <c r="B323" t="s">
        <v>1093</v>
      </c>
      <c r="C323" s="130" t="s">
        <v>820</v>
      </c>
      <c r="D323" t="s">
        <v>821</v>
      </c>
      <c r="E323">
        <v>2</v>
      </c>
      <c r="F323">
        <v>0</v>
      </c>
      <c r="G323">
        <v>1</v>
      </c>
      <c r="H323">
        <v>0</v>
      </c>
      <c r="I323">
        <v>2</v>
      </c>
      <c r="J323" t="str">
        <f>IFERROR(VLOOKUP(A323&amp;"",'BEA Buyer Groups'!$A$4:$C$500,3,FALSE),"Not used")</f>
        <v>Not used</v>
      </c>
      <c r="K323" t="str">
        <f t="shared" si="4"/>
        <v>Direct</v>
      </c>
    </row>
    <row r="324" spans="1:11" x14ac:dyDescent="0.25">
      <c r="A324" s="130" t="s">
        <v>1092</v>
      </c>
      <c r="B324" t="s">
        <v>1093</v>
      </c>
      <c r="C324" s="130" t="s">
        <v>822</v>
      </c>
      <c r="D324" t="s">
        <v>823</v>
      </c>
      <c r="E324">
        <v>1</v>
      </c>
      <c r="F324">
        <v>0</v>
      </c>
      <c r="G324">
        <v>0</v>
      </c>
      <c r="H324">
        <v>0</v>
      </c>
      <c r="I324">
        <v>1</v>
      </c>
      <c r="J324" t="str">
        <f>IFERROR(VLOOKUP(A324&amp;"",'BEA Buyer Groups'!$A$4:$C$500,3,FALSE),"Not used")</f>
        <v>Not used</v>
      </c>
      <c r="K324" t="str">
        <f t="shared" si="4"/>
        <v>Direct</v>
      </c>
    </row>
    <row r="325" spans="1:11" x14ac:dyDescent="0.25">
      <c r="A325" s="130" t="s">
        <v>1092</v>
      </c>
      <c r="B325" t="s">
        <v>1093</v>
      </c>
      <c r="C325" s="130" t="s">
        <v>810</v>
      </c>
      <c r="D325" t="s">
        <v>811</v>
      </c>
      <c r="E325">
        <v>1</v>
      </c>
      <c r="F325">
        <v>0</v>
      </c>
      <c r="G325">
        <v>0</v>
      </c>
      <c r="H325">
        <v>0</v>
      </c>
      <c r="I325">
        <v>1</v>
      </c>
      <c r="J325" t="str">
        <f>IFERROR(VLOOKUP(A325&amp;"",'BEA Buyer Groups'!$A$4:$C$500,3,FALSE),"Not used")</f>
        <v>Not used</v>
      </c>
      <c r="K325" t="str">
        <f t="shared" si="4"/>
        <v>Direct</v>
      </c>
    </row>
    <row r="326" spans="1:11" x14ac:dyDescent="0.25">
      <c r="A326" s="130" t="s">
        <v>1092</v>
      </c>
      <c r="B326" t="s">
        <v>1093</v>
      </c>
      <c r="C326" s="130" t="s">
        <v>816</v>
      </c>
      <c r="D326" t="s">
        <v>817</v>
      </c>
      <c r="E326">
        <v>1</v>
      </c>
      <c r="F326">
        <v>0</v>
      </c>
      <c r="G326">
        <v>0</v>
      </c>
      <c r="H326">
        <v>0</v>
      </c>
      <c r="I326">
        <v>1</v>
      </c>
      <c r="J326" t="str">
        <f>IFERROR(VLOOKUP(A326&amp;"",'BEA Buyer Groups'!$A$4:$C$500,3,FALSE),"Not used")</f>
        <v>Not used</v>
      </c>
      <c r="K326" t="str">
        <f t="shared" si="4"/>
        <v>Direct</v>
      </c>
    </row>
    <row r="327" spans="1:11" x14ac:dyDescent="0.25">
      <c r="A327" s="130" t="s">
        <v>1094</v>
      </c>
      <c r="B327" t="s">
        <v>1095</v>
      </c>
      <c r="C327" s="130" t="s">
        <v>820</v>
      </c>
      <c r="D327" t="s">
        <v>821</v>
      </c>
      <c r="E327">
        <v>1</v>
      </c>
      <c r="F327">
        <v>0</v>
      </c>
      <c r="G327">
        <v>1</v>
      </c>
      <c r="H327">
        <v>0</v>
      </c>
      <c r="I327">
        <v>2</v>
      </c>
      <c r="J327" t="str">
        <f>IFERROR(VLOOKUP(A327&amp;"",'BEA Buyer Groups'!$A$4:$C$500,3,FALSE),"Not used")</f>
        <v>Not used</v>
      </c>
      <c r="K327" t="str">
        <f t="shared" ref="K327:K390" si="5">IF(LEFT(A327,2)="23","Contractor","Direct")</f>
        <v>Direct</v>
      </c>
    </row>
    <row r="328" spans="1:11" x14ac:dyDescent="0.25">
      <c r="A328" s="130" t="s">
        <v>1094</v>
      </c>
      <c r="B328" t="s">
        <v>1095</v>
      </c>
      <c r="C328" s="130" t="s">
        <v>822</v>
      </c>
      <c r="D328" t="s">
        <v>823</v>
      </c>
      <c r="E328">
        <v>14</v>
      </c>
      <c r="F328">
        <v>0</v>
      </c>
      <c r="G328">
        <v>6</v>
      </c>
      <c r="H328">
        <v>0</v>
      </c>
      <c r="I328">
        <v>21</v>
      </c>
      <c r="J328" t="str">
        <f>IFERROR(VLOOKUP(A328&amp;"",'BEA Buyer Groups'!$A$4:$C$500,3,FALSE),"Not used")</f>
        <v>Not used</v>
      </c>
      <c r="K328" t="str">
        <f t="shared" si="5"/>
        <v>Direct</v>
      </c>
    </row>
    <row r="329" spans="1:11" x14ac:dyDescent="0.25">
      <c r="A329" s="130" t="s">
        <v>1096</v>
      </c>
      <c r="B329" t="s">
        <v>1097</v>
      </c>
      <c r="C329" s="130" t="s">
        <v>820</v>
      </c>
      <c r="D329" t="s">
        <v>821</v>
      </c>
      <c r="E329">
        <v>195</v>
      </c>
      <c r="F329">
        <v>6</v>
      </c>
      <c r="G329">
        <v>96</v>
      </c>
      <c r="H329">
        <v>0</v>
      </c>
      <c r="I329">
        <v>297</v>
      </c>
      <c r="J329" t="str">
        <f>IFERROR(VLOOKUP(A329&amp;"",'BEA Buyer Groups'!$A$4:$C$500,3,FALSE),"Not used")</f>
        <v>Not used</v>
      </c>
      <c r="K329" t="str">
        <f t="shared" si="5"/>
        <v>Direct</v>
      </c>
    </row>
    <row r="330" spans="1:11" x14ac:dyDescent="0.25">
      <c r="A330" s="130" t="s">
        <v>1096</v>
      </c>
      <c r="B330" t="s">
        <v>1097</v>
      </c>
      <c r="C330" s="130" t="s">
        <v>822</v>
      </c>
      <c r="D330" t="s">
        <v>823</v>
      </c>
      <c r="E330">
        <v>34</v>
      </c>
      <c r="F330">
        <v>1</v>
      </c>
      <c r="G330">
        <v>13</v>
      </c>
      <c r="H330">
        <v>0</v>
      </c>
      <c r="I330">
        <v>48</v>
      </c>
      <c r="J330" t="str">
        <f>IFERROR(VLOOKUP(A330&amp;"",'BEA Buyer Groups'!$A$4:$C$500,3,FALSE),"Not used")</f>
        <v>Not used</v>
      </c>
      <c r="K330" t="str">
        <f t="shared" si="5"/>
        <v>Direct</v>
      </c>
    </row>
    <row r="331" spans="1:11" x14ac:dyDescent="0.25">
      <c r="A331" s="130" t="s">
        <v>1098</v>
      </c>
      <c r="B331" t="s">
        <v>1099</v>
      </c>
      <c r="C331" s="130" t="s">
        <v>820</v>
      </c>
      <c r="D331" t="s">
        <v>821</v>
      </c>
      <c r="E331">
        <v>1</v>
      </c>
      <c r="F331">
        <v>0</v>
      </c>
      <c r="G331">
        <v>0</v>
      </c>
      <c r="H331">
        <v>0</v>
      </c>
      <c r="I331">
        <v>1</v>
      </c>
      <c r="J331" t="str">
        <f>IFERROR(VLOOKUP(A331&amp;"",'BEA Buyer Groups'!$A$4:$C$500,3,FALSE),"Not used")</f>
        <v>Not used</v>
      </c>
      <c r="K331" t="str">
        <f t="shared" si="5"/>
        <v>Direct</v>
      </c>
    </row>
    <row r="332" spans="1:11" x14ac:dyDescent="0.25">
      <c r="A332" s="130" t="s">
        <v>1098</v>
      </c>
      <c r="B332" t="s">
        <v>1099</v>
      </c>
      <c r="C332" s="130" t="s">
        <v>822</v>
      </c>
      <c r="D332" t="s">
        <v>823</v>
      </c>
      <c r="E332">
        <v>2</v>
      </c>
      <c r="F332">
        <v>0</v>
      </c>
      <c r="G332">
        <v>1</v>
      </c>
      <c r="H332">
        <v>0</v>
      </c>
      <c r="I332">
        <v>2</v>
      </c>
      <c r="J332" t="str">
        <f>IFERROR(VLOOKUP(A332&amp;"",'BEA Buyer Groups'!$A$4:$C$500,3,FALSE),"Not used")</f>
        <v>Not used</v>
      </c>
      <c r="K332" t="str">
        <f t="shared" si="5"/>
        <v>Direct</v>
      </c>
    </row>
    <row r="333" spans="1:11" x14ac:dyDescent="0.25">
      <c r="A333" s="130" t="s">
        <v>1100</v>
      </c>
      <c r="B333" t="s">
        <v>1101</v>
      </c>
      <c r="C333" s="130" t="s">
        <v>820</v>
      </c>
      <c r="D333" t="s">
        <v>821</v>
      </c>
      <c r="E333">
        <v>0</v>
      </c>
      <c r="F333">
        <v>0</v>
      </c>
      <c r="G333">
        <v>0</v>
      </c>
      <c r="H333">
        <v>0</v>
      </c>
      <c r="I333">
        <v>1</v>
      </c>
      <c r="J333" t="str">
        <f>IFERROR(VLOOKUP(A333&amp;"",'BEA Buyer Groups'!$A$4:$C$500,3,FALSE),"Not used")</f>
        <v>Not used</v>
      </c>
      <c r="K333" t="str">
        <f t="shared" si="5"/>
        <v>Direct</v>
      </c>
    </row>
    <row r="334" spans="1:11" x14ac:dyDescent="0.25">
      <c r="A334" s="130" t="s">
        <v>1100</v>
      </c>
      <c r="B334" t="s">
        <v>1101</v>
      </c>
      <c r="C334" s="130" t="s">
        <v>822</v>
      </c>
      <c r="D334" t="s">
        <v>823</v>
      </c>
      <c r="E334">
        <v>5</v>
      </c>
      <c r="F334">
        <v>0</v>
      </c>
      <c r="G334">
        <v>1</v>
      </c>
      <c r="H334">
        <v>0</v>
      </c>
      <c r="I334">
        <v>6</v>
      </c>
      <c r="J334" t="str">
        <f>IFERROR(VLOOKUP(A334&amp;"",'BEA Buyer Groups'!$A$4:$C$500,3,FALSE),"Not used")</f>
        <v>Not used</v>
      </c>
      <c r="K334" t="str">
        <f t="shared" si="5"/>
        <v>Direct</v>
      </c>
    </row>
    <row r="335" spans="1:11" x14ac:dyDescent="0.25">
      <c r="A335" s="130" t="s">
        <v>1102</v>
      </c>
      <c r="B335" t="s">
        <v>1103</v>
      </c>
      <c r="C335" s="130" t="s">
        <v>820</v>
      </c>
      <c r="D335" t="s">
        <v>821</v>
      </c>
      <c r="E335">
        <v>1</v>
      </c>
      <c r="F335">
        <v>0</v>
      </c>
      <c r="G335">
        <v>0</v>
      </c>
      <c r="H335">
        <v>0</v>
      </c>
      <c r="I335">
        <v>1</v>
      </c>
      <c r="J335" t="str">
        <f>IFERROR(VLOOKUP(A335&amp;"",'BEA Buyer Groups'!$A$4:$C$500,3,FALSE),"Not used")</f>
        <v>Not used</v>
      </c>
      <c r="K335" t="str">
        <f t="shared" si="5"/>
        <v>Direct</v>
      </c>
    </row>
    <row r="336" spans="1:11" x14ac:dyDescent="0.25">
      <c r="A336" s="130" t="s">
        <v>1104</v>
      </c>
      <c r="B336" t="s">
        <v>1105</v>
      </c>
      <c r="C336" s="130" t="s">
        <v>820</v>
      </c>
      <c r="D336" t="s">
        <v>821</v>
      </c>
      <c r="E336">
        <v>2</v>
      </c>
      <c r="F336">
        <v>0</v>
      </c>
      <c r="G336">
        <v>1</v>
      </c>
      <c r="H336">
        <v>0</v>
      </c>
      <c r="I336">
        <v>3</v>
      </c>
      <c r="J336" t="str">
        <f>IFERROR(VLOOKUP(A336&amp;"",'BEA Buyer Groups'!$A$4:$C$500,3,FALSE),"Not used")</f>
        <v>Not used</v>
      </c>
      <c r="K336" t="str">
        <f t="shared" si="5"/>
        <v>Direct</v>
      </c>
    </row>
    <row r="337" spans="1:11" x14ac:dyDescent="0.25">
      <c r="A337" s="130" t="s">
        <v>1104</v>
      </c>
      <c r="B337" t="s">
        <v>1105</v>
      </c>
      <c r="C337" s="130" t="s">
        <v>822</v>
      </c>
      <c r="D337" t="s">
        <v>823</v>
      </c>
      <c r="E337">
        <v>0</v>
      </c>
      <c r="F337">
        <v>0</v>
      </c>
      <c r="G337">
        <v>0</v>
      </c>
      <c r="H337">
        <v>0</v>
      </c>
      <c r="I337">
        <v>0</v>
      </c>
      <c r="J337" t="str">
        <f>IFERROR(VLOOKUP(A337&amp;"",'BEA Buyer Groups'!$A$4:$C$500,3,FALSE),"Not used")</f>
        <v>Not used</v>
      </c>
      <c r="K337" t="str">
        <f t="shared" si="5"/>
        <v>Direct</v>
      </c>
    </row>
    <row r="338" spans="1:11" x14ac:dyDescent="0.25">
      <c r="A338" s="130" t="s">
        <v>1106</v>
      </c>
      <c r="B338" t="s">
        <v>1107</v>
      </c>
      <c r="C338" s="130" t="s">
        <v>820</v>
      </c>
      <c r="D338" t="s">
        <v>821</v>
      </c>
      <c r="E338">
        <v>0</v>
      </c>
      <c r="F338">
        <v>0</v>
      </c>
      <c r="G338">
        <v>0</v>
      </c>
      <c r="H338">
        <v>0</v>
      </c>
      <c r="I338">
        <v>1</v>
      </c>
      <c r="J338" t="str">
        <f>IFERROR(VLOOKUP(A338&amp;"",'BEA Buyer Groups'!$A$4:$C$500,3,FALSE),"Not used")</f>
        <v>Not used</v>
      </c>
      <c r="K338" t="str">
        <f t="shared" si="5"/>
        <v>Direct</v>
      </c>
    </row>
    <row r="339" spans="1:11" x14ac:dyDescent="0.25">
      <c r="A339" s="130" t="s">
        <v>1106</v>
      </c>
      <c r="B339" t="s">
        <v>1107</v>
      </c>
      <c r="C339" s="130" t="s">
        <v>822</v>
      </c>
      <c r="D339" t="s">
        <v>823</v>
      </c>
      <c r="E339">
        <v>0</v>
      </c>
      <c r="F339">
        <v>0</v>
      </c>
      <c r="G339">
        <v>0</v>
      </c>
      <c r="H339">
        <v>0</v>
      </c>
      <c r="I339">
        <v>0</v>
      </c>
      <c r="J339" t="str">
        <f>IFERROR(VLOOKUP(A339&amp;"",'BEA Buyer Groups'!$A$4:$C$500,3,FALSE),"Not used")</f>
        <v>Not used</v>
      </c>
      <c r="K339" t="str">
        <f t="shared" si="5"/>
        <v>Direct</v>
      </c>
    </row>
    <row r="340" spans="1:11" x14ac:dyDescent="0.25">
      <c r="A340" s="130" t="s">
        <v>1108</v>
      </c>
      <c r="B340" t="s">
        <v>1109</v>
      </c>
      <c r="C340" s="130" t="s">
        <v>820</v>
      </c>
      <c r="D340" t="s">
        <v>821</v>
      </c>
      <c r="E340">
        <v>9</v>
      </c>
      <c r="F340">
        <v>0</v>
      </c>
      <c r="G340">
        <v>4</v>
      </c>
      <c r="H340">
        <v>0</v>
      </c>
      <c r="I340">
        <v>14</v>
      </c>
      <c r="J340" t="str">
        <f>IFERROR(VLOOKUP(A340&amp;"",'BEA Buyer Groups'!$A$4:$C$500,3,FALSE),"Not used")</f>
        <v>Not used</v>
      </c>
      <c r="K340" t="str">
        <f t="shared" si="5"/>
        <v>Direct</v>
      </c>
    </row>
    <row r="341" spans="1:11" x14ac:dyDescent="0.25">
      <c r="A341" s="130" t="s">
        <v>1108</v>
      </c>
      <c r="B341" t="s">
        <v>1109</v>
      </c>
      <c r="C341" s="130" t="s">
        <v>822</v>
      </c>
      <c r="D341" t="s">
        <v>823</v>
      </c>
      <c r="E341">
        <v>2</v>
      </c>
      <c r="F341">
        <v>0</v>
      </c>
      <c r="G341">
        <v>0</v>
      </c>
      <c r="H341">
        <v>0</v>
      </c>
      <c r="I341">
        <v>2</v>
      </c>
      <c r="J341" t="str">
        <f>IFERROR(VLOOKUP(A341&amp;"",'BEA Buyer Groups'!$A$4:$C$500,3,FALSE),"Not used")</f>
        <v>Not used</v>
      </c>
      <c r="K341" t="str">
        <f t="shared" si="5"/>
        <v>Direct</v>
      </c>
    </row>
    <row r="342" spans="1:11" x14ac:dyDescent="0.25">
      <c r="A342" s="130" t="s">
        <v>1110</v>
      </c>
      <c r="B342" t="s">
        <v>1111</v>
      </c>
      <c r="C342" s="130" t="s">
        <v>820</v>
      </c>
      <c r="D342" t="s">
        <v>821</v>
      </c>
      <c r="E342">
        <v>8</v>
      </c>
      <c r="F342">
        <v>0</v>
      </c>
      <c r="G342">
        <v>4</v>
      </c>
      <c r="H342">
        <v>0</v>
      </c>
      <c r="I342">
        <v>12</v>
      </c>
      <c r="J342" t="str">
        <f>IFERROR(VLOOKUP(A342&amp;"",'BEA Buyer Groups'!$A$4:$C$500,3,FALSE),"Not used")</f>
        <v>Not used</v>
      </c>
      <c r="K342" t="str">
        <f t="shared" si="5"/>
        <v>Direct</v>
      </c>
    </row>
    <row r="343" spans="1:11" x14ac:dyDescent="0.25">
      <c r="A343" s="130" t="s">
        <v>1110</v>
      </c>
      <c r="B343" t="s">
        <v>1111</v>
      </c>
      <c r="C343" s="130" t="s">
        <v>822</v>
      </c>
      <c r="D343" t="s">
        <v>823</v>
      </c>
      <c r="E343">
        <v>2</v>
      </c>
      <c r="F343">
        <v>0</v>
      </c>
      <c r="G343">
        <v>1</v>
      </c>
      <c r="H343">
        <v>0</v>
      </c>
      <c r="I343">
        <v>3</v>
      </c>
      <c r="J343" t="str">
        <f>IFERROR(VLOOKUP(A343&amp;"",'BEA Buyer Groups'!$A$4:$C$500,3,FALSE),"Not used")</f>
        <v>Not used</v>
      </c>
      <c r="K343" t="str">
        <f t="shared" si="5"/>
        <v>Direct</v>
      </c>
    </row>
    <row r="344" spans="1:11" x14ac:dyDescent="0.25">
      <c r="A344" s="130" t="s">
        <v>1112</v>
      </c>
      <c r="B344" t="s">
        <v>1113</v>
      </c>
      <c r="C344" s="130" t="s">
        <v>820</v>
      </c>
      <c r="D344" t="s">
        <v>821</v>
      </c>
      <c r="E344">
        <v>7</v>
      </c>
      <c r="F344">
        <v>0</v>
      </c>
      <c r="G344">
        <v>3</v>
      </c>
      <c r="H344">
        <v>0</v>
      </c>
      <c r="I344">
        <v>10</v>
      </c>
      <c r="J344" t="str">
        <f>IFERROR(VLOOKUP(A344&amp;"",'BEA Buyer Groups'!$A$4:$C$500,3,FALSE),"Not used")</f>
        <v>Not used</v>
      </c>
      <c r="K344" t="str">
        <f t="shared" si="5"/>
        <v>Direct</v>
      </c>
    </row>
    <row r="345" spans="1:11" x14ac:dyDescent="0.25">
      <c r="A345" s="130" t="s">
        <v>1112</v>
      </c>
      <c r="B345" t="s">
        <v>1113</v>
      </c>
      <c r="C345" s="130" t="s">
        <v>822</v>
      </c>
      <c r="D345" t="s">
        <v>823</v>
      </c>
      <c r="E345">
        <v>2</v>
      </c>
      <c r="F345">
        <v>0</v>
      </c>
      <c r="G345">
        <v>0</v>
      </c>
      <c r="H345">
        <v>0</v>
      </c>
      <c r="I345">
        <v>2</v>
      </c>
      <c r="J345" t="str">
        <f>IFERROR(VLOOKUP(A345&amp;"",'BEA Buyer Groups'!$A$4:$C$500,3,FALSE),"Not used")</f>
        <v>Not used</v>
      </c>
      <c r="K345" t="str">
        <f t="shared" si="5"/>
        <v>Direct</v>
      </c>
    </row>
    <row r="346" spans="1:11" x14ac:dyDescent="0.25">
      <c r="A346" s="130" t="s">
        <v>1114</v>
      </c>
      <c r="B346" t="s">
        <v>1115</v>
      </c>
      <c r="C346" s="130" t="s">
        <v>820</v>
      </c>
      <c r="D346" t="s">
        <v>821</v>
      </c>
      <c r="E346">
        <v>1</v>
      </c>
      <c r="F346">
        <v>0</v>
      </c>
      <c r="G346">
        <v>0</v>
      </c>
      <c r="H346">
        <v>0</v>
      </c>
      <c r="I346">
        <v>1</v>
      </c>
      <c r="J346" t="str">
        <f>IFERROR(VLOOKUP(A346&amp;"",'BEA Buyer Groups'!$A$4:$C$500,3,FALSE),"Not used")</f>
        <v>Not used</v>
      </c>
      <c r="K346" t="str">
        <f t="shared" si="5"/>
        <v>Direct</v>
      </c>
    </row>
    <row r="347" spans="1:11" x14ac:dyDescent="0.25">
      <c r="A347" s="130" t="s">
        <v>1116</v>
      </c>
      <c r="B347" t="s">
        <v>1117</v>
      </c>
      <c r="C347" s="130" t="s">
        <v>820</v>
      </c>
      <c r="D347" t="s">
        <v>821</v>
      </c>
      <c r="E347">
        <v>4</v>
      </c>
      <c r="F347">
        <v>0</v>
      </c>
      <c r="G347">
        <v>2</v>
      </c>
      <c r="H347">
        <v>0</v>
      </c>
      <c r="I347">
        <v>7</v>
      </c>
      <c r="J347" t="str">
        <f>IFERROR(VLOOKUP(A347&amp;"",'BEA Buyer Groups'!$A$4:$C$500,3,FALSE),"Not used")</f>
        <v>Not used</v>
      </c>
      <c r="K347" t="str">
        <f t="shared" si="5"/>
        <v>Direct</v>
      </c>
    </row>
    <row r="348" spans="1:11" x14ac:dyDescent="0.25">
      <c r="A348" s="130" t="s">
        <v>1116</v>
      </c>
      <c r="B348" t="s">
        <v>1117</v>
      </c>
      <c r="C348" s="130" t="s">
        <v>822</v>
      </c>
      <c r="D348" t="s">
        <v>823</v>
      </c>
      <c r="E348">
        <v>1</v>
      </c>
      <c r="F348">
        <v>0</v>
      </c>
      <c r="G348">
        <v>1</v>
      </c>
      <c r="H348">
        <v>0</v>
      </c>
      <c r="I348">
        <v>2</v>
      </c>
      <c r="J348" t="str">
        <f>IFERROR(VLOOKUP(A348&amp;"",'BEA Buyer Groups'!$A$4:$C$500,3,FALSE),"Not used")</f>
        <v>Not used</v>
      </c>
      <c r="K348" t="str">
        <f t="shared" si="5"/>
        <v>Direct</v>
      </c>
    </row>
    <row r="349" spans="1:11" x14ac:dyDescent="0.25">
      <c r="A349" s="130" t="s">
        <v>1118</v>
      </c>
      <c r="B349" t="s">
        <v>1119</v>
      </c>
      <c r="C349" s="130" t="s">
        <v>820</v>
      </c>
      <c r="D349" t="s">
        <v>821</v>
      </c>
      <c r="E349">
        <v>2</v>
      </c>
      <c r="F349">
        <v>0</v>
      </c>
      <c r="G349">
        <v>1</v>
      </c>
      <c r="H349">
        <v>0</v>
      </c>
      <c r="I349">
        <v>3</v>
      </c>
      <c r="J349" t="str">
        <f>IFERROR(VLOOKUP(A349&amp;"",'BEA Buyer Groups'!$A$4:$C$500,3,FALSE),"Not used")</f>
        <v>Not used</v>
      </c>
      <c r="K349" t="str">
        <f t="shared" si="5"/>
        <v>Direct</v>
      </c>
    </row>
    <row r="350" spans="1:11" x14ac:dyDescent="0.25">
      <c r="A350" s="130" t="s">
        <v>1120</v>
      </c>
      <c r="B350" t="s">
        <v>1121</v>
      </c>
      <c r="C350" s="130" t="s">
        <v>820</v>
      </c>
      <c r="D350" t="s">
        <v>821</v>
      </c>
      <c r="E350">
        <v>0</v>
      </c>
      <c r="F350">
        <v>0</v>
      </c>
      <c r="G350">
        <v>0</v>
      </c>
      <c r="H350">
        <v>0</v>
      </c>
      <c r="I350">
        <v>1</v>
      </c>
      <c r="J350" t="str">
        <f>IFERROR(VLOOKUP(A350&amp;"",'BEA Buyer Groups'!$A$4:$C$500,3,FALSE),"Not used")</f>
        <v>Not used</v>
      </c>
      <c r="K350" t="str">
        <f t="shared" si="5"/>
        <v>Direct</v>
      </c>
    </row>
    <row r="351" spans="1:11" x14ac:dyDescent="0.25">
      <c r="A351" s="130" t="s">
        <v>1120</v>
      </c>
      <c r="B351" t="s">
        <v>1121</v>
      </c>
      <c r="C351" s="130" t="s">
        <v>822</v>
      </c>
      <c r="D351" t="s">
        <v>823</v>
      </c>
      <c r="E351">
        <v>1</v>
      </c>
      <c r="F351">
        <v>0</v>
      </c>
      <c r="G351">
        <v>0</v>
      </c>
      <c r="H351">
        <v>0</v>
      </c>
      <c r="I351">
        <v>1</v>
      </c>
      <c r="J351" t="str">
        <f>IFERROR(VLOOKUP(A351&amp;"",'BEA Buyer Groups'!$A$4:$C$500,3,FALSE),"Not used")</f>
        <v>Not used</v>
      </c>
      <c r="K351" t="str">
        <f t="shared" si="5"/>
        <v>Direct</v>
      </c>
    </row>
    <row r="352" spans="1:11" x14ac:dyDescent="0.25">
      <c r="A352" s="130" t="s">
        <v>1122</v>
      </c>
      <c r="B352" t="s">
        <v>1123</v>
      </c>
      <c r="C352" s="130" t="s">
        <v>820</v>
      </c>
      <c r="D352" t="s">
        <v>821</v>
      </c>
      <c r="E352">
        <v>1</v>
      </c>
      <c r="F352">
        <v>0</v>
      </c>
      <c r="G352">
        <v>1</v>
      </c>
      <c r="H352">
        <v>0</v>
      </c>
      <c r="I352">
        <v>2</v>
      </c>
      <c r="J352" t="str">
        <f>IFERROR(VLOOKUP(A352&amp;"",'BEA Buyer Groups'!$A$4:$C$500,3,FALSE),"Not used")</f>
        <v>Not used</v>
      </c>
      <c r="K352" t="str">
        <f t="shared" si="5"/>
        <v>Direct</v>
      </c>
    </row>
    <row r="353" spans="1:11" x14ac:dyDescent="0.25">
      <c r="A353" s="130" t="s">
        <v>1122</v>
      </c>
      <c r="B353" t="s">
        <v>1123</v>
      </c>
      <c r="C353" s="130" t="s">
        <v>822</v>
      </c>
      <c r="D353" t="s">
        <v>823</v>
      </c>
      <c r="E353">
        <v>4</v>
      </c>
      <c r="F353">
        <v>0</v>
      </c>
      <c r="G353">
        <v>2</v>
      </c>
      <c r="H353">
        <v>0</v>
      </c>
      <c r="I353">
        <v>6</v>
      </c>
      <c r="J353" t="str">
        <f>IFERROR(VLOOKUP(A353&amp;"",'BEA Buyer Groups'!$A$4:$C$500,3,FALSE),"Not used")</f>
        <v>Not used</v>
      </c>
      <c r="K353" t="str">
        <f t="shared" si="5"/>
        <v>Direct</v>
      </c>
    </row>
    <row r="354" spans="1:11" x14ac:dyDescent="0.25">
      <c r="A354" s="130" t="s">
        <v>1124</v>
      </c>
      <c r="B354" t="s">
        <v>1125</v>
      </c>
      <c r="C354" s="130" t="s">
        <v>820</v>
      </c>
      <c r="D354" t="s">
        <v>821</v>
      </c>
      <c r="E354">
        <v>1</v>
      </c>
      <c r="F354">
        <v>0</v>
      </c>
      <c r="G354">
        <v>1</v>
      </c>
      <c r="H354">
        <v>0</v>
      </c>
      <c r="I354">
        <v>2</v>
      </c>
      <c r="J354" t="str">
        <f>IFERROR(VLOOKUP(A354&amp;"",'BEA Buyer Groups'!$A$4:$C$500,3,FALSE),"Not used")</f>
        <v>Not used</v>
      </c>
      <c r="K354" t="str">
        <f t="shared" si="5"/>
        <v>Direct</v>
      </c>
    </row>
    <row r="355" spans="1:11" x14ac:dyDescent="0.25">
      <c r="A355" s="130" t="s">
        <v>1126</v>
      </c>
      <c r="B355" t="s">
        <v>1127</v>
      </c>
      <c r="C355" s="130" t="s">
        <v>820</v>
      </c>
      <c r="D355" t="s">
        <v>821</v>
      </c>
      <c r="E355">
        <v>1</v>
      </c>
      <c r="F355">
        <v>0</v>
      </c>
      <c r="G355">
        <v>0</v>
      </c>
      <c r="H355">
        <v>0</v>
      </c>
      <c r="I355">
        <v>1</v>
      </c>
      <c r="J355" t="str">
        <f>IFERROR(VLOOKUP(A355&amp;"",'BEA Buyer Groups'!$A$4:$C$500,3,FALSE),"Not used")</f>
        <v>Not used</v>
      </c>
      <c r="K355" t="str">
        <f t="shared" si="5"/>
        <v>Direct</v>
      </c>
    </row>
    <row r="356" spans="1:11" x14ac:dyDescent="0.25">
      <c r="A356" s="130" t="s">
        <v>1126</v>
      </c>
      <c r="B356" t="s">
        <v>1127</v>
      </c>
      <c r="C356" s="130" t="s">
        <v>822</v>
      </c>
      <c r="D356" t="s">
        <v>823</v>
      </c>
      <c r="E356">
        <v>3</v>
      </c>
      <c r="F356">
        <v>0</v>
      </c>
      <c r="G356">
        <v>1</v>
      </c>
      <c r="H356">
        <v>0</v>
      </c>
      <c r="I356">
        <v>5</v>
      </c>
      <c r="J356" t="str">
        <f>IFERROR(VLOOKUP(A356&amp;"",'BEA Buyer Groups'!$A$4:$C$500,3,FALSE),"Not used")</f>
        <v>Not used</v>
      </c>
      <c r="K356" t="str">
        <f t="shared" si="5"/>
        <v>Direct</v>
      </c>
    </row>
    <row r="357" spans="1:11" x14ac:dyDescent="0.25">
      <c r="A357" s="130" t="s">
        <v>1128</v>
      </c>
      <c r="B357" t="s">
        <v>1129</v>
      </c>
      <c r="C357" s="130" t="s">
        <v>820</v>
      </c>
      <c r="D357" t="s">
        <v>821</v>
      </c>
      <c r="E357">
        <v>1</v>
      </c>
      <c r="F357">
        <v>0</v>
      </c>
      <c r="G357">
        <v>0</v>
      </c>
      <c r="H357">
        <v>0</v>
      </c>
      <c r="I357">
        <v>1</v>
      </c>
      <c r="J357" t="str">
        <f>IFERROR(VLOOKUP(A357&amp;"",'BEA Buyer Groups'!$A$4:$C$500,3,FALSE),"Not used")</f>
        <v>Not used</v>
      </c>
      <c r="K357" t="str">
        <f t="shared" si="5"/>
        <v>Direct</v>
      </c>
    </row>
    <row r="358" spans="1:11" x14ac:dyDescent="0.25">
      <c r="A358" s="130" t="s">
        <v>1128</v>
      </c>
      <c r="B358" t="s">
        <v>1129</v>
      </c>
      <c r="C358" s="130" t="s">
        <v>822</v>
      </c>
      <c r="D358" t="s">
        <v>823</v>
      </c>
      <c r="E358">
        <v>3</v>
      </c>
      <c r="F358">
        <v>0</v>
      </c>
      <c r="G358">
        <v>1</v>
      </c>
      <c r="H358">
        <v>0</v>
      </c>
      <c r="I358">
        <v>4</v>
      </c>
      <c r="J358" t="str">
        <f>IFERROR(VLOOKUP(A358&amp;"",'BEA Buyer Groups'!$A$4:$C$500,3,FALSE),"Not used")</f>
        <v>Not used</v>
      </c>
      <c r="K358" t="str">
        <f t="shared" si="5"/>
        <v>Direct</v>
      </c>
    </row>
    <row r="359" spans="1:11" x14ac:dyDescent="0.25">
      <c r="A359" s="130" t="s">
        <v>1130</v>
      </c>
      <c r="B359" t="s">
        <v>1131</v>
      </c>
      <c r="C359" s="130" t="s">
        <v>820</v>
      </c>
      <c r="D359" t="s">
        <v>821</v>
      </c>
      <c r="E359">
        <v>2</v>
      </c>
      <c r="F359">
        <v>0</v>
      </c>
      <c r="G359">
        <v>1</v>
      </c>
      <c r="H359">
        <v>0</v>
      </c>
      <c r="I359">
        <v>3</v>
      </c>
      <c r="J359" t="str">
        <f>IFERROR(VLOOKUP(A359&amp;"",'BEA Buyer Groups'!$A$4:$C$500,3,FALSE),"Not used")</f>
        <v>Not used</v>
      </c>
      <c r="K359" t="str">
        <f t="shared" si="5"/>
        <v>Direct</v>
      </c>
    </row>
    <row r="360" spans="1:11" x14ac:dyDescent="0.25">
      <c r="A360" s="130" t="s">
        <v>1130</v>
      </c>
      <c r="B360" t="s">
        <v>1131</v>
      </c>
      <c r="C360" s="130" t="s">
        <v>822</v>
      </c>
      <c r="D360" t="s">
        <v>823</v>
      </c>
      <c r="E360">
        <v>2</v>
      </c>
      <c r="F360">
        <v>0</v>
      </c>
      <c r="G360">
        <v>1</v>
      </c>
      <c r="H360">
        <v>0</v>
      </c>
      <c r="I360">
        <v>3</v>
      </c>
      <c r="J360" t="str">
        <f>IFERROR(VLOOKUP(A360&amp;"",'BEA Buyer Groups'!$A$4:$C$500,3,FALSE),"Not used")</f>
        <v>Not used</v>
      </c>
      <c r="K360" t="str">
        <f t="shared" si="5"/>
        <v>Direct</v>
      </c>
    </row>
    <row r="361" spans="1:11" x14ac:dyDescent="0.25">
      <c r="A361" s="130" t="s">
        <v>1130</v>
      </c>
      <c r="B361" t="s">
        <v>1131</v>
      </c>
      <c r="C361" s="130" t="s">
        <v>810</v>
      </c>
      <c r="D361" t="s">
        <v>811</v>
      </c>
      <c r="E361">
        <v>1</v>
      </c>
      <c r="F361">
        <v>0</v>
      </c>
      <c r="G361">
        <v>0</v>
      </c>
      <c r="H361">
        <v>0</v>
      </c>
      <c r="I361">
        <v>1</v>
      </c>
      <c r="J361" t="str">
        <f>IFERROR(VLOOKUP(A361&amp;"",'BEA Buyer Groups'!$A$4:$C$500,3,FALSE),"Not used")</f>
        <v>Not used</v>
      </c>
      <c r="K361" t="str">
        <f t="shared" si="5"/>
        <v>Direct</v>
      </c>
    </row>
    <row r="362" spans="1:11" x14ac:dyDescent="0.25">
      <c r="A362" s="130" t="s">
        <v>1130</v>
      </c>
      <c r="B362" t="s">
        <v>1131</v>
      </c>
      <c r="C362" s="130" t="s">
        <v>816</v>
      </c>
      <c r="D362" t="s">
        <v>817</v>
      </c>
      <c r="E362">
        <v>1</v>
      </c>
      <c r="F362">
        <v>0</v>
      </c>
      <c r="G362">
        <v>0</v>
      </c>
      <c r="H362">
        <v>0</v>
      </c>
      <c r="I362">
        <v>1</v>
      </c>
      <c r="J362" t="str">
        <f>IFERROR(VLOOKUP(A362&amp;"",'BEA Buyer Groups'!$A$4:$C$500,3,FALSE),"Not used")</f>
        <v>Not used</v>
      </c>
      <c r="K362" t="str">
        <f t="shared" si="5"/>
        <v>Direct</v>
      </c>
    </row>
    <row r="363" spans="1:11" x14ac:dyDescent="0.25">
      <c r="A363" s="130" t="s">
        <v>1132</v>
      </c>
      <c r="B363" t="s">
        <v>1133</v>
      </c>
      <c r="C363" s="130" t="s">
        <v>820</v>
      </c>
      <c r="D363" t="s">
        <v>821</v>
      </c>
      <c r="E363">
        <v>2</v>
      </c>
      <c r="F363">
        <v>0</v>
      </c>
      <c r="G363">
        <v>1</v>
      </c>
      <c r="H363">
        <v>0</v>
      </c>
      <c r="I363">
        <v>3</v>
      </c>
      <c r="J363" t="str">
        <f>IFERROR(VLOOKUP(A363&amp;"",'BEA Buyer Groups'!$A$4:$C$500,3,FALSE),"Not used")</f>
        <v>Not used</v>
      </c>
      <c r="K363" t="str">
        <f t="shared" si="5"/>
        <v>Direct</v>
      </c>
    </row>
    <row r="364" spans="1:11" x14ac:dyDescent="0.25">
      <c r="A364" s="130" t="s">
        <v>1132</v>
      </c>
      <c r="B364" t="s">
        <v>1133</v>
      </c>
      <c r="C364" s="130" t="s">
        <v>810</v>
      </c>
      <c r="D364" t="s">
        <v>811</v>
      </c>
      <c r="E364">
        <v>2</v>
      </c>
      <c r="F364">
        <v>0</v>
      </c>
      <c r="G364">
        <v>1</v>
      </c>
      <c r="H364">
        <v>0</v>
      </c>
      <c r="I364">
        <v>3</v>
      </c>
      <c r="J364" t="str">
        <f>IFERROR(VLOOKUP(A364&amp;"",'BEA Buyer Groups'!$A$4:$C$500,3,FALSE),"Not used")</f>
        <v>Not used</v>
      </c>
      <c r="K364" t="str">
        <f t="shared" si="5"/>
        <v>Direct</v>
      </c>
    </row>
    <row r="365" spans="1:11" x14ac:dyDescent="0.25">
      <c r="A365" s="130" t="s">
        <v>1132</v>
      </c>
      <c r="B365" t="s">
        <v>1133</v>
      </c>
      <c r="C365" s="130" t="s">
        <v>816</v>
      </c>
      <c r="D365" t="s">
        <v>817</v>
      </c>
      <c r="E365">
        <v>1</v>
      </c>
      <c r="F365">
        <v>0</v>
      </c>
      <c r="G365">
        <v>0</v>
      </c>
      <c r="H365">
        <v>0</v>
      </c>
      <c r="I365">
        <v>2</v>
      </c>
      <c r="J365" t="str">
        <f>IFERROR(VLOOKUP(A365&amp;"",'BEA Buyer Groups'!$A$4:$C$500,3,FALSE),"Not used")</f>
        <v>Not used</v>
      </c>
      <c r="K365" t="str">
        <f t="shared" si="5"/>
        <v>Direct</v>
      </c>
    </row>
    <row r="366" spans="1:11" x14ac:dyDescent="0.25">
      <c r="A366" s="130" t="s">
        <v>1134</v>
      </c>
      <c r="B366" t="s">
        <v>1135</v>
      </c>
      <c r="C366" s="130" t="s">
        <v>820</v>
      </c>
      <c r="D366" t="s">
        <v>821</v>
      </c>
      <c r="E366">
        <v>2</v>
      </c>
      <c r="F366">
        <v>0</v>
      </c>
      <c r="G366">
        <v>1</v>
      </c>
      <c r="H366">
        <v>0</v>
      </c>
      <c r="I366">
        <v>3</v>
      </c>
      <c r="J366" t="str">
        <f>IFERROR(VLOOKUP(A366&amp;"",'BEA Buyer Groups'!$A$4:$C$500,3,FALSE),"Not used")</f>
        <v>Not used</v>
      </c>
      <c r="K366" t="str">
        <f t="shared" si="5"/>
        <v>Direct</v>
      </c>
    </row>
    <row r="367" spans="1:11" x14ac:dyDescent="0.25">
      <c r="A367" s="130" t="s">
        <v>1136</v>
      </c>
      <c r="B367" t="s">
        <v>1137</v>
      </c>
      <c r="C367" s="130" t="s">
        <v>820</v>
      </c>
      <c r="D367" t="s">
        <v>821</v>
      </c>
      <c r="E367">
        <v>21</v>
      </c>
      <c r="F367">
        <v>1</v>
      </c>
      <c r="G367">
        <v>11</v>
      </c>
      <c r="H367">
        <v>0</v>
      </c>
      <c r="I367">
        <v>33</v>
      </c>
      <c r="J367" t="str">
        <f>IFERROR(VLOOKUP(A367&amp;"",'BEA Buyer Groups'!$A$4:$C$500,3,FALSE),"Not used")</f>
        <v>Not used</v>
      </c>
      <c r="K367" t="str">
        <f t="shared" si="5"/>
        <v>Direct</v>
      </c>
    </row>
    <row r="368" spans="1:11" x14ac:dyDescent="0.25">
      <c r="A368" s="130" t="s">
        <v>1136</v>
      </c>
      <c r="B368" t="s">
        <v>1137</v>
      </c>
      <c r="C368" s="130" t="s">
        <v>822</v>
      </c>
      <c r="D368" t="s">
        <v>823</v>
      </c>
      <c r="E368">
        <v>3</v>
      </c>
      <c r="F368">
        <v>0</v>
      </c>
      <c r="G368">
        <v>1</v>
      </c>
      <c r="H368">
        <v>0</v>
      </c>
      <c r="I368">
        <v>4</v>
      </c>
      <c r="J368" t="str">
        <f>IFERROR(VLOOKUP(A368&amp;"",'BEA Buyer Groups'!$A$4:$C$500,3,FALSE),"Not used")</f>
        <v>Not used</v>
      </c>
      <c r="K368" t="str">
        <f t="shared" si="5"/>
        <v>Direct</v>
      </c>
    </row>
    <row r="369" spans="1:11" x14ac:dyDescent="0.25">
      <c r="A369" s="130" t="s">
        <v>1138</v>
      </c>
      <c r="B369" t="s">
        <v>1139</v>
      </c>
      <c r="C369" s="130" t="s">
        <v>820</v>
      </c>
      <c r="D369" t="s">
        <v>821</v>
      </c>
      <c r="E369">
        <v>0</v>
      </c>
      <c r="F369">
        <v>0</v>
      </c>
      <c r="G369">
        <v>0</v>
      </c>
      <c r="H369">
        <v>0</v>
      </c>
      <c r="I369">
        <v>0</v>
      </c>
      <c r="J369" t="str">
        <f>IFERROR(VLOOKUP(A369&amp;"",'BEA Buyer Groups'!$A$4:$C$500,3,FALSE),"Not used")</f>
        <v>Not used</v>
      </c>
      <c r="K369" t="str">
        <f t="shared" si="5"/>
        <v>Direct</v>
      </c>
    </row>
    <row r="370" spans="1:11" x14ac:dyDescent="0.25">
      <c r="A370" s="130" t="s">
        <v>1140</v>
      </c>
      <c r="B370" t="s">
        <v>1141</v>
      </c>
      <c r="C370" s="130" t="s">
        <v>820</v>
      </c>
      <c r="D370" t="s">
        <v>821</v>
      </c>
      <c r="E370">
        <v>0</v>
      </c>
      <c r="F370">
        <v>0</v>
      </c>
      <c r="G370">
        <v>0</v>
      </c>
      <c r="H370">
        <v>0</v>
      </c>
      <c r="I370">
        <v>0</v>
      </c>
      <c r="J370" t="str">
        <f>IFERROR(VLOOKUP(A370&amp;"",'BEA Buyer Groups'!$A$4:$C$500,3,FALSE),"Not used")</f>
        <v>Not used</v>
      </c>
      <c r="K370" t="str">
        <f t="shared" si="5"/>
        <v>Direct</v>
      </c>
    </row>
    <row r="371" spans="1:11" x14ac:dyDescent="0.25">
      <c r="A371" s="130" t="s">
        <v>1140</v>
      </c>
      <c r="B371" t="s">
        <v>1141</v>
      </c>
      <c r="C371" s="130" t="s">
        <v>822</v>
      </c>
      <c r="D371" t="s">
        <v>823</v>
      </c>
      <c r="E371">
        <v>0</v>
      </c>
      <c r="F371">
        <v>0</v>
      </c>
      <c r="G371">
        <v>0</v>
      </c>
      <c r="H371">
        <v>0</v>
      </c>
      <c r="I371">
        <v>0</v>
      </c>
      <c r="J371" t="str">
        <f>IFERROR(VLOOKUP(A371&amp;"",'BEA Buyer Groups'!$A$4:$C$500,3,FALSE),"Not used")</f>
        <v>Not used</v>
      </c>
      <c r="K371" t="str">
        <f t="shared" si="5"/>
        <v>Direct</v>
      </c>
    </row>
    <row r="372" spans="1:11" x14ac:dyDescent="0.25">
      <c r="A372" s="130" t="s">
        <v>1140</v>
      </c>
      <c r="B372" t="s">
        <v>1141</v>
      </c>
      <c r="C372" s="130" t="s">
        <v>810</v>
      </c>
      <c r="D372" t="s">
        <v>811</v>
      </c>
      <c r="E372">
        <v>1</v>
      </c>
      <c r="F372">
        <v>0</v>
      </c>
      <c r="G372">
        <v>0</v>
      </c>
      <c r="H372">
        <v>0</v>
      </c>
      <c r="I372">
        <v>1</v>
      </c>
      <c r="J372" t="str">
        <f>IFERROR(VLOOKUP(A372&amp;"",'BEA Buyer Groups'!$A$4:$C$500,3,FALSE),"Not used")</f>
        <v>Not used</v>
      </c>
      <c r="K372" t="str">
        <f t="shared" si="5"/>
        <v>Direct</v>
      </c>
    </row>
    <row r="373" spans="1:11" x14ac:dyDescent="0.25">
      <c r="A373" s="130" t="s">
        <v>1140</v>
      </c>
      <c r="B373" t="s">
        <v>1141</v>
      </c>
      <c r="C373" s="130" t="s">
        <v>816</v>
      </c>
      <c r="D373" t="s">
        <v>817</v>
      </c>
      <c r="E373">
        <v>7</v>
      </c>
      <c r="F373">
        <v>1</v>
      </c>
      <c r="G373">
        <v>2</v>
      </c>
      <c r="H373">
        <v>0</v>
      </c>
      <c r="I373">
        <v>11</v>
      </c>
      <c r="J373" t="str">
        <f>IFERROR(VLOOKUP(A373&amp;"",'BEA Buyer Groups'!$A$4:$C$500,3,FALSE),"Not used")</f>
        <v>Not used</v>
      </c>
      <c r="K373" t="str">
        <f t="shared" si="5"/>
        <v>Direct</v>
      </c>
    </row>
    <row r="374" spans="1:11" x14ac:dyDescent="0.25">
      <c r="A374" s="130" t="s">
        <v>820</v>
      </c>
      <c r="B374" t="s">
        <v>821</v>
      </c>
      <c r="C374" s="130" t="s">
        <v>820</v>
      </c>
      <c r="D374" t="s">
        <v>821</v>
      </c>
      <c r="E374">
        <v>41</v>
      </c>
      <c r="F374">
        <v>0</v>
      </c>
      <c r="G374">
        <v>1</v>
      </c>
      <c r="H374">
        <v>0</v>
      </c>
      <c r="I374">
        <v>43</v>
      </c>
      <c r="J374" t="str">
        <f>IFERROR(VLOOKUP(A374&amp;"",'BEA Buyer Groups'!$A$4:$C$500,3,FALSE),"Not used")</f>
        <v>Not used</v>
      </c>
      <c r="K374" t="str">
        <f t="shared" si="5"/>
        <v>Direct</v>
      </c>
    </row>
    <row r="375" spans="1:11" x14ac:dyDescent="0.25">
      <c r="A375" s="130" t="s">
        <v>820</v>
      </c>
      <c r="B375" t="s">
        <v>821</v>
      </c>
      <c r="C375" s="130" t="s">
        <v>822</v>
      </c>
      <c r="D375" t="s">
        <v>823</v>
      </c>
      <c r="E375">
        <v>81</v>
      </c>
      <c r="F375">
        <v>2</v>
      </c>
      <c r="G375">
        <v>37</v>
      </c>
      <c r="H375">
        <v>0</v>
      </c>
      <c r="I375">
        <v>121</v>
      </c>
      <c r="J375" t="str">
        <f>IFERROR(VLOOKUP(A375&amp;"",'BEA Buyer Groups'!$A$4:$C$500,3,FALSE),"Not used")</f>
        <v>Not used</v>
      </c>
      <c r="K375" t="str">
        <f t="shared" si="5"/>
        <v>Direct</v>
      </c>
    </row>
    <row r="376" spans="1:11" x14ac:dyDescent="0.25">
      <c r="A376" s="130" t="s">
        <v>820</v>
      </c>
      <c r="B376" t="s">
        <v>821</v>
      </c>
      <c r="C376" s="130" t="s">
        <v>806</v>
      </c>
      <c r="D376" t="s">
        <v>807</v>
      </c>
      <c r="E376">
        <v>18</v>
      </c>
      <c r="F376">
        <v>0</v>
      </c>
      <c r="G376">
        <v>5</v>
      </c>
      <c r="H376">
        <v>0</v>
      </c>
      <c r="I376">
        <v>23</v>
      </c>
      <c r="J376" t="str">
        <f>IFERROR(VLOOKUP(A376&amp;"",'BEA Buyer Groups'!$A$4:$C$500,3,FALSE),"Not used")</f>
        <v>Not used</v>
      </c>
      <c r="K376" t="str">
        <f t="shared" si="5"/>
        <v>Direct</v>
      </c>
    </row>
    <row r="377" spans="1:11" x14ac:dyDescent="0.25">
      <c r="A377" s="130" t="s">
        <v>1142</v>
      </c>
      <c r="B377" t="s">
        <v>1143</v>
      </c>
      <c r="C377" s="130" t="s">
        <v>820</v>
      </c>
      <c r="D377" t="s">
        <v>821</v>
      </c>
      <c r="E377">
        <v>1</v>
      </c>
      <c r="F377">
        <v>0</v>
      </c>
      <c r="G377">
        <v>1</v>
      </c>
      <c r="H377">
        <v>0</v>
      </c>
      <c r="I377">
        <v>2</v>
      </c>
      <c r="J377" t="str">
        <f>IFERROR(VLOOKUP(A377&amp;"",'BEA Buyer Groups'!$A$4:$C$500,3,FALSE),"Not used")</f>
        <v>Not used</v>
      </c>
      <c r="K377" t="str">
        <f t="shared" si="5"/>
        <v>Direct</v>
      </c>
    </row>
    <row r="378" spans="1:11" x14ac:dyDescent="0.25">
      <c r="A378" s="130" t="s">
        <v>1142</v>
      </c>
      <c r="B378" t="s">
        <v>1143</v>
      </c>
      <c r="C378" s="130" t="s">
        <v>822</v>
      </c>
      <c r="D378" t="s">
        <v>823</v>
      </c>
      <c r="E378">
        <v>3</v>
      </c>
      <c r="F378">
        <v>0</v>
      </c>
      <c r="G378">
        <v>0</v>
      </c>
      <c r="H378">
        <v>0</v>
      </c>
      <c r="I378">
        <v>3</v>
      </c>
      <c r="J378" t="str">
        <f>IFERROR(VLOOKUP(A378&amp;"",'BEA Buyer Groups'!$A$4:$C$500,3,FALSE),"Not used")</f>
        <v>Not used</v>
      </c>
      <c r="K378" t="str">
        <f t="shared" si="5"/>
        <v>Direct</v>
      </c>
    </row>
    <row r="379" spans="1:11" x14ac:dyDescent="0.25">
      <c r="A379" s="130" t="s">
        <v>802</v>
      </c>
      <c r="B379" t="s">
        <v>803</v>
      </c>
      <c r="C379" s="130" t="s">
        <v>820</v>
      </c>
      <c r="D379" t="s">
        <v>821</v>
      </c>
      <c r="E379">
        <v>0</v>
      </c>
      <c r="F379">
        <v>0</v>
      </c>
      <c r="G379">
        <v>0</v>
      </c>
      <c r="H379">
        <v>0</v>
      </c>
      <c r="I379">
        <v>0</v>
      </c>
      <c r="J379" t="str">
        <f>IFERROR(VLOOKUP(A379&amp;"",'BEA Buyer Groups'!$A$4:$C$500,3,FALSE),"Not used")</f>
        <v>Not used</v>
      </c>
      <c r="K379" t="str">
        <f t="shared" si="5"/>
        <v>Direct</v>
      </c>
    </row>
    <row r="380" spans="1:11" x14ac:dyDescent="0.25">
      <c r="A380" s="130" t="s">
        <v>802</v>
      </c>
      <c r="B380" t="s">
        <v>803</v>
      </c>
      <c r="C380" s="130" t="s">
        <v>802</v>
      </c>
      <c r="D380" t="s">
        <v>803</v>
      </c>
      <c r="E380">
        <v>182</v>
      </c>
      <c r="F380">
        <v>4</v>
      </c>
      <c r="G380">
        <v>67</v>
      </c>
      <c r="H380">
        <v>0</v>
      </c>
      <c r="I380">
        <v>253</v>
      </c>
      <c r="J380" t="str">
        <f>IFERROR(VLOOKUP(A380&amp;"",'BEA Buyer Groups'!$A$4:$C$500,3,FALSE),"Not used")</f>
        <v>Not used</v>
      </c>
      <c r="K380" t="str">
        <f t="shared" si="5"/>
        <v>Direct</v>
      </c>
    </row>
    <row r="381" spans="1:11" x14ac:dyDescent="0.25">
      <c r="A381" s="130" t="s">
        <v>802</v>
      </c>
      <c r="B381" t="s">
        <v>803</v>
      </c>
      <c r="C381" s="130" t="s">
        <v>822</v>
      </c>
      <c r="D381" t="s">
        <v>823</v>
      </c>
      <c r="E381">
        <v>0</v>
      </c>
      <c r="F381">
        <v>0</v>
      </c>
      <c r="G381">
        <v>0</v>
      </c>
      <c r="H381">
        <v>0</v>
      </c>
      <c r="I381">
        <v>1</v>
      </c>
      <c r="J381" t="str">
        <f>IFERROR(VLOOKUP(A381&amp;"",'BEA Buyer Groups'!$A$4:$C$500,3,FALSE),"Not used")</f>
        <v>Not used</v>
      </c>
      <c r="K381" t="str">
        <f t="shared" si="5"/>
        <v>Direct</v>
      </c>
    </row>
    <row r="382" spans="1:11" x14ac:dyDescent="0.25">
      <c r="A382" s="130" t="s">
        <v>822</v>
      </c>
      <c r="B382" t="s">
        <v>823</v>
      </c>
      <c r="C382" s="130" t="s">
        <v>820</v>
      </c>
      <c r="D382" t="s">
        <v>821</v>
      </c>
      <c r="E382">
        <v>2</v>
      </c>
      <c r="F382">
        <v>0</v>
      </c>
      <c r="G382">
        <v>1</v>
      </c>
      <c r="H382">
        <v>0</v>
      </c>
      <c r="I382">
        <v>4</v>
      </c>
      <c r="J382" t="str">
        <f>IFERROR(VLOOKUP(A382&amp;"",'BEA Buyer Groups'!$A$4:$C$500,3,FALSE),"Not used")</f>
        <v>Not used</v>
      </c>
      <c r="K382" t="str">
        <f t="shared" si="5"/>
        <v>Direct</v>
      </c>
    </row>
    <row r="383" spans="1:11" x14ac:dyDescent="0.25">
      <c r="A383" s="130" t="s">
        <v>822</v>
      </c>
      <c r="B383" t="s">
        <v>823</v>
      </c>
      <c r="C383" s="130" t="s">
        <v>802</v>
      </c>
      <c r="D383" t="s">
        <v>803</v>
      </c>
      <c r="E383">
        <v>296</v>
      </c>
      <c r="F383">
        <v>9</v>
      </c>
      <c r="G383">
        <v>134</v>
      </c>
      <c r="H383">
        <v>0</v>
      </c>
      <c r="I383">
        <v>438</v>
      </c>
      <c r="J383" t="str">
        <f>IFERROR(VLOOKUP(A383&amp;"",'BEA Buyer Groups'!$A$4:$C$500,3,FALSE),"Not used")</f>
        <v>Not used</v>
      </c>
      <c r="K383" t="str">
        <f t="shared" si="5"/>
        <v>Direct</v>
      </c>
    </row>
    <row r="384" spans="1:11" x14ac:dyDescent="0.25">
      <c r="A384" s="130" t="s">
        <v>822</v>
      </c>
      <c r="B384" t="s">
        <v>823</v>
      </c>
      <c r="C384" s="130" t="s">
        <v>822</v>
      </c>
      <c r="D384" t="s">
        <v>823</v>
      </c>
      <c r="E384">
        <v>3098</v>
      </c>
      <c r="F384">
        <v>89</v>
      </c>
      <c r="G384">
        <v>1363</v>
      </c>
      <c r="H384">
        <v>0</v>
      </c>
      <c r="I384">
        <v>4551</v>
      </c>
      <c r="J384" t="str">
        <f>IFERROR(VLOOKUP(A384&amp;"",'BEA Buyer Groups'!$A$4:$C$500,3,FALSE),"Not used")</f>
        <v>Not used</v>
      </c>
      <c r="K384" t="str">
        <f t="shared" si="5"/>
        <v>Direct</v>
      </c>
    </row>
    <row r="385" spans="1:11" x14ac:dyDescent="0.25">
      <c r="A385" s="130" t="s">
        <v>822</v>
      </c>
      <c r="B385" t="s">
        <v>823</v>
      </c>
      <c r="C385" s="130" t="s">
        <v>810</v>
      </c>
      <c r="D385" t="s">
        <v>811</v>
      </c>
      <c r="E385">
        <v>1</v>
      </c>
      <c r="F385">
        <v>0</v>
      </c>
      <c r="G385">
        <v>0</v>
      </c>
      <c r="H385">
        <v>0</v>
      </c>
      <c r="I385">
        <v>2</v>
      </c>
      <c r="J385" t="str">
        <f>IFERROR(VLOOKUP(A385&amp;"",'BEA Buyer Groups'!$A$4:$C$500,3,FALSE),"Not used")</f>
        <v>Not used</v>
      </c>
      <c r="K385" t="str">
        <f t="shared" si="5"/>
        <v>Direct</v>
      </c>
    </row>
    <row r="386" spans="1:11" x14ac:dyDescent="0.25">
      <c r="A386" s="130" t="s">
        <v>822</v>
      </c>
      <c r="B386" t="s">
        <v>823</v>
      </c>
      <c r="C386" s="130" t="s">
        <v>816</v>
      </c>
      <c r="D386" t="s">
        <v>817</v>
      </c>
      <c r="E386">
        <v>1</v>
      </c>
      <c r="F386">
        <v>0</v>
      </c>
      <c r="G386">
        <v>0</v>
      </c>
      <c r="H386">
        <v>0</v>
      </c>
      <c r="I386">
        <v>1</v>
      </c>
      <c r="J386" t="str">
        <f>IFERROR(VLOOKUP(A386&amp;"",'BEA Buyer Groups'!$A$4:$C$500,3,FALSE),"Not used")</f>
        <v>Not used</v>
      </c>
      <c r="K386" t="str">
        <f t="shared" si="5"/>
        <v>Direct</v>
      </c>
    </row>
    <row r="387" spans="1:11" x14ac:dyDescent="0.25">
      <c r="A387" s="130" t="s">
        <v>1144</v>
      </c>
      <c r="B387" t="s">
        <v>1145</v>
      </c>
      <c r="C387" s="130" t="s">
        <v>820</v>
      </c>
      <c r="D387" t="s">
        <v>821</v>
      </c>
      <c r="E387">
        <v>3</v>
      </c>
      <c r="F387">
        <v>0</v>
      </c>
      <c r="G387">
        <v>1</v>
      </c>
      <c r="H387">
        <v>0</v>
      </c>
      <c r="I387">
        <v>4</v>
      </c>
      <c r="J387" t="str">
        <f>IFERROR(VLOOKUP(A387&amp;"",'BEA Buyer Groups'!$A$4:$C$500,3,FALSE),"Not used")</f>
        <v>Not used</v>
      </c>
      <c r="K387" t="str">
        <f t="shared" si="5"/>
        <v>Direct</v>
      </c>
    </row>
    <row r="388" spans="1:11" x14ac:dyDescent="0.25">
      <c r="A388" s="130" t="s">
        <v>1146</v>
      </c>
      <c r="B388" t="s">
        <v>1147</v>
      </c>
      <c r="C388" s="130" t="s">
        <v>820</v>
      </c>
      <c r="D388" t="s">
        <v>821</v>
      </c>
      <c r="E388">
        <v>7</v>
      </c>
      <c r="F388">
        <v>0</v>
      </c>
      <c r="G388">
        <v>4</v>
      </c>
      <c r="H388">
        <v>0</v>
      </c>
      <c r="I388">
        <v>11</v>
      </c>
      <c r="J388" t="str">
        <f>IFERROR(VLOOKUP(A388&amp;"",'BEA Buyer Groups'!$A$4:$C$500,3,FALSE),"Not used")</f>
        <v>Not used</v>
      </c>
      <c r="K388" t="str">
        <f t="shared" si="5"/>
        <v>Direct</v>
      </c>
    </row>
    <row r="389" spans="1:11" x14ac:dyDescent="0.25">
      <c r="A389" s="130" t="s">
        <v>1146</v>
      </c>
      <c r="B389" t="s">
        <v>1147</v>
      </c>
      <c r="C389" s="130" t="s">
        <v>822</v>
      </c>
      <c r="D389" t="s">
        <v>823</v>
      </c>
      <c r="E389">
        <v>1</v>
      </c>
      <c r="F389">
        <v>0</v>
      </c>
      <c r="G389">
        <v>0</v>
      </c>
      <c r="H389">
        <v>0</v>
      </c>
      <c r="I389">
        <v>1</v>
      </c>
      <c r="J389" t="str">
        <f>IFERROR(VLOOKUP(A389&amp;"",'BEA Buyer Groups'!$A$4:$C$500,3,FALSE),"Not used")</f>
        <v>Not used</v>
      </c>
      <c r="K389" t="str">
        <f t="shared" si="5"/>
        <v>Direct</v>
      </c>
    </row>
    <row r="390" spans="1:11" x14ac:dyDescent="0.25">
      <c r="A390" s="130" t="s">
        <v>1148</v>
      </c>
      <c r="B390" t="s">
        <v>1149</v>
      </c>
      <c r="C390" s="130" t="s">
        <v>820</v>
      </c>
      <c r="D390" t="s">
        <v>821</v>
      </c>
      <c r="E390">
        <v>5</v>
      </c>
      <c r="F390">
        <v>0</v>
      </c>
      <c r="G390">
        <v>2</v>
      </c>
      <c r="H390">
        <v>0</v>
      </c>
      <c r="I390">
        <v>7</v>
      </c>
      <c r="J390" t="str">
        <f>IFERROR(VLOOKUP(A390&amp;"",'BEA Buyer Groups'!$A$4:$C$500,3,FALSE),"Not used")</f>
        <v>Not used</v>
      </c>
      <c r="K390" t="str">
        <f t="shared" si="5"/>
        <v>Direct</v>
      </c>
    </row>
    <row r="391" spans="1:11" x14ac:dyDescent="0.25">
      <c r="A391" s="130" t="s">
        <v>1148</v>
      </c>
      <c r="B391" t="s">
        <v>1149</v>
      </c>
      <c r="C391" s="130" t="s">
        <v>822</v>
      </c>
      <c r="D391" t="s">
        <v>823</v>
      </c>
      <c r="E391">
        <v>1</v>
      </c>
      <c r="F391">
        <v>0</v>
      </c>
      <c r="G391">
        <v>0</v>
      </c>
      <c r="H391">
        <v>0</v>
      </c>
      <c r="I391">
        <v>1</v>
      </c>
      <c r="J391" t="str">
        <f>IFERROR(VLOOKUP(A391&amp;"",'BEA Buyer Groups'!$A$4:$C$500,3,FALSE),"Not used")</f>
        <v>Not used</v>
      </c>
      <c r="K391" t="str">
        <f t="shared" ref="K391:K454" si="6">IF(LEFT(A391,2)="23","Contractor","Direct")</f>
        <v>Direct</v>
      </c>
    </row>
    <row r="392" spans="1:11" x14ac:dyDescent="0.25">
      <c r="A392" s="130" t="s">
        <v>1148</v>
      </c>
      <c r="B392" t="s">
        <v>1149</v>
      </c>
      <c r="C392" s="130" t="s">
        <v>810</v>
      </c>
      <c r="D392" t="s">
        <v>811</v>
      </c>
      <c r="E392">
        <v>1</v>
      </c>
      <c r="F392">
        <v>0</v>
      </c>
      <c r="G392">
        <v>0</v>
      </c>
      <c r="H392">
        <v>0</v>
      </c>
      <c r="I392">
        <v>1</v>
      </c>
      <c r="J392" t="str">
        <f>IFERROR(VLOOKUP(A392&amp;"",'BEA Buyer Groups'!$A$4:$C$500,3,FALSE),"Not used")</f>
        <v>Not used</v>
      </c>
      <c r="K392" t="str">
        <f t="shared" si="6"/>
        <v>Direct</v>
      </c>
    </row>
    <row r="393" spans="1:11" x14ac:dyDescent="0.25">
      <c r="A393" s="130" t="s">
        <v>1148</v>
      </c>
      <c r="B393" t="s">
        <v>1149</v>
      </c>
      <c r="C393" s="130" t="s">
        <v>816</v>
      </c>
      <c r="D393" t="s">
        <v>817</v>
      </c>
      <c r="E393">
        <v>1</v>
      </c>
      <c r="F393">
        <v>0</v>
      </c>
      <c r="G393">
        <v>0</v>
      </c>
      <c r="H393">
        <v>0</v>
      </c>
      <c r="I393">
        <v>1</v>
      </c>
      <c r="J393" t="str">
        <f>IFERROR(VLOOKUP(A393&amp;"",'BEA Buyer Groups'!$A$4:$C$500,3,FALSE),"Not used")</f>
        <v>Not used</v>
      </c>
      <c r="K393" t="str">
        <f t="shared" si="6"/>
        <v>Direct</v>
      </c>
    </row>
    <row r="394" spans="1:11" x14ac:dyDescent="0.25">
      <c r="A394" s="130" t="s">
        <v>1150</v>
      </c>
      <c r="B394" t="s">
        <v>1151</v>
      </c>
      <c r="C394" s="130" t="s">
        <v>820</v>
      </c>
      <c r="D394" t="s">
        <v>821</v>
      </c>
      <c r="E394">
        <v>2</v>
      </c>
      <c r="F394">
        <v>0</v>
      </c>
      <c r="G394">
        <v>1</v>
      </c>
      <c r="H394">
        <v>0</v>
      </c>
      <c r="I394">
        <v>3</v>
      </c>
      <c r="J394" t="str">
        <f>IFERROR(VLOOKUP(A394&amp;"",'BEA Buyer Groups'!$A$4:$C$500,3,FALSE),"Not used")</f>
        <v>Not used</v>
      </c>
      <c r="K394" t="str">
        <f t="shared" si="6"/>
        <v>Direct</v>
      </c>
    </row>
    <row r="395" spans="1:11" x14ac:dyDescent="0.25">
      <c r="A395" s="130" t="s">
        <v>1150</v>
      </c>
      <c r="B395" t="s">
        <v>1151</v>
      </c>
      <c r="C395" s="130" t="s">
        <v>810</v>
      </c>
      <c r="D395" t="s">
        <v>811</v>
      </c>
      <c r="E395">
        <v>1</v>
      </c>
      <c r="F395">
        <v>0</v>
      </c>
      <c r="G395">
        <v>0</v>
      </c>
      <c r="H395">
        <v>0</v>
      </c>
      <c r="I395">
        <v>1</v>
      </c>
      <c r="J395" t="str">
        <f>IFERROR(VLOOKUP(A395&amp;"",'BEA Buyer Groups'!$A$4:$C$500,3,FALSE),"Not used")</f>
        <v>Not used</v>
      </c>
      <c r="K395" t="str">
        <f t="shared" si="6"/>
        <v>Direct</v>
      </c>
    </row>
    <row r="396" spans="1:11" x14ac:dyDescent="0.25">
      <c r="A396" s="130" t="s">
        <v>1150</v>
      </c>
      <c r="B396" t="s">
        <v>1151</v>
      </c>
      <c r="C396" s="130" t="s">
        <v>816</v>
      </c>
      <c r="D396" t="s">
        <v>817</v>
      </c>
      <c r="E396">
        <v>1</v>
      </c>
      <c r="F396">
        <v>0</v>
      </c>
      <c r="G396">
        <v>0</v>
      </c>
      <c r="H396">
        <v>0</v>
      </c>
      <c r="I396">
        <v>1</v>
      </c>
      <c r="J396" t="str">
        <f>IFERROR(VLOOKUP(A396&amp;"",'BEA Buyer Groups'!$A$4:$C$500,3,FALSE),"Not used")</f>
        <v>Not used</v>
      </c>
      <c r="K396" t="str">
        <f t="shared" si="6"/>
        <v>Direct</v>
      </c>
    </row>
    <row r="397" spans="1:11" x14ac:dyDescent="0.25">
      <c r="A397" s="130" t="s">
        <v>1152</v>
      </c>
      <c r="B397" t="s">
        <v>1153</v>
      </c>
      <c r="C397" s="130" t="s">
        <v>820</v>
      </c>
      <c r="D397" t="s">
        <v>821</v>
      </c>
      <c r="E397">
        <v>5</v>
      </c>
      <c r="F397">
        <v>0</v>
      </c>
      <c r="G397">
        <v>3</v>
      </c>
      <c r="H397">
        <v>0</v>
      </c>
      <c r="I397">
        <v>8</v>
      </c>
      <c r="J397" t="str">
        <f>IFERROR(VLOOKUP(A397&amp;"",'BEA Buyer Groups'!$A$4:$C$500,3,FALSE),"Not used")</f>
        <v>Not used</v>
      </c>
      <c r="K397" t="str">
        <f t="shared" si="6"/>
        <v>Direct</v>
      </c>
    </row>
    <row r="398" spans="1:11" x14ac:dyDescent="0.25">
      <c r="A398" s="130" t="s">
        <v>1152</v>
      </c>
      <c r="B398" t="s">
        <v>1153</v>
      </c>
      <c r="C398" s="130" t="s">
        <v>822</v>
      </c>
      <c r="D398" t="s">
        <v>823</v>
      </c>
      <c r="E398">
        <v>1</v>
      </c>
      <c r="F398">
        <v>0</v>
      </c>
      <c r="G398">
        <v>1</v>
      </c>
      <c r="H398">
        <v>0</v>
      </c>
      <c r="I398">
        <v>2</v>
      </c>
      <c r="J398" t="str">
        <f>IFERROR(VLOOKUP(A398&amp;"",'BEA Buyer Groups'!$A$4:$C$500,3,FALSE),"Not used")</f>
        <v>Not used</v>
      </c>
      <c r="K398" t="str">
        <f t="shared" si="6"/>
        <v>Direct</v>
      </c>
    </row>
    <row r="399" spans="1:11" x14ac:dyDescent="0.25">
      <c r="A399" s="130" t="s">
        <v>1154</v>
      </c>
      <c r="B399" t="s">
        <v>1155</v>
      </c>
      <c r="C399" s="130" t="s">
        <v>820</v>
      </c>
      <c r="D399" t="s">
        <v>821</v>
      </c>
      <c r="E399">
        <v>0</v>
      </c>
      <c r="F399">
        <v>0</v>
      </c>
      <c r="G399">
        <v>0</v>
      </c>
      <c r="H399">
        <v>0</v>
      </c>
      <c r="I399">
        <v>1</v>
      </c>
      <c r="J399" t="str">
        <f>IFERROR(VLOOKUP(A399&amp;"",'BEA Buyer Groups'!$A$4:$C$500,3,FALSE),"Not used")</f>
        <v>Not used</v>
      </c>
      <c r="K399" t="str">
        <f t="shared" si="6"/>
        <v>Direct</v>
      </c>
    </row>
    <row r="400" spans="1:11" x14ac:dyDescent="0.25">
      <c r="A400" s="130" t="s">
        <v>1154</v>
      </c>
      <c r="B400" t="s">
        <v>1155</v>
      </c>
      <c r="C400" s="130" t="s">
        <v>822</v>
      </c>
      <c r="D400" t="s">
        <v>823</v>
      </c>
      <c r="E400">
        <v>0</v>
      </c>
      <c r="F400">
        <v>0</v>
      </c>
      <c r="G400">
        <v>0</v>
      </c>
      <c r="H400">
        <v>0</v>
      </c>
      <c r="I400">
        <v>0</v>
      </c>
      <c r="J400" t="str">
        <f>IFERROR(VLOOKUP(A400&amp;"",'BEA Buyer Groups'!$A$4:$C$500,3,FALSE),"Not used")</f>
        <v>Not used</v>
      </c>
      <c r="K400" t="str">
        <f t="shared" si="6"/>
        <v>Direct</v>
      </c>
    </row>
    <row r="401" spans="1:11" x14ac:dyDescent="0.25">
      <c r="A401" s="130" t="s">
        <v>1156</v>
      </c>
      <c r="B401" t="s">
        <v>1157</v>
      </c>
      <c r="C401" s="130" t="s">
        <v>820</v>
      </c>
      <c r="D401" t="s">
        <v>821</v>
      </c>
      <c r="E401">
        <v>1</v>
      </c>
      <c r="F401">
        <v>0</v>
      </c>
      <c r="G401">
        <v>1</v>
      </c>
      <c r="H401">
        <v>0</v>
      </c>
      <c r="I401">
        <v>2</v>
      </c>
      <c r="J401" t="str">
        <f>IFERROR(VLOOKUP(A401&amp;"",'BEA Buyer Groups'!$A$4:$C$500,3,FALSE),"Not used")</f>
        <v>Not used</v>
      </c>
      <c r="K401" t="str">
        <f t="shared" si="6"/>
        <v>Direct</v>
      </c>
    </row>
    <row r="402" spans="1:11" x14ac:dyDescent="0.25">
      <c r="A402" s="130" t="s">
        <v>1156</v>
      </c>
      <c r="B402" t="s">
        <v>1157</v>
      </c>
      <c r="C402" s="130" t="s">
        <v>822</v>
      </c>
      <c r="D402" t="s">
        <v>823</v>
      </c>
      <c r="E402">
        <v>0</v>
      </c>
      <c r="F402">
        <v>0</v>
      </c>
      <c r="G402">
        <v>0</v>
      </c>
      <c r="H402">
        <v>0</v>
      </c>
      <c r="I402">
        <v>0</v>
      </c>
      <c r="J402" t="str">
        <f>IFERROR(VLOOKUP(A402&amp;"",'BEA Buyer Groups'!$A$4:$C$500,3,FALSE),"Not used")</f>
        <v>Not used</v>
      </c>
      <c r="K402" t="str">
        <f t="shared" si="6"/>
        <v>Direct</v>
      </c>
    </row>
    <row r="403" spans="1:11" x14ac:dyDescent="0.25">
      <c r="A403" s="130" t="s">
        <v>1158</v>
      </c>
      <c r="B403" t="s">
        <v>1159</v>
      </c>
      <c r="C403" s="130" t="s">
        <v>820</v>
      </c>
      <c r="D403" t="s">
        <v>821</v>
      </c>
      <c r="E403">
        <v>1</v>
      </c>
      <c r="F403">
        <v>0</v>
      </c>
      <c r="G403">
        <v>0</v>
      </c>
      <c r="H403">
        <v>0</v>
      </c>
      <c r="I403">
        <v>1</v>
      </c>
      <c r="J403" t="str">
        <f>IFERROR(VLOOKUP(A403&amp;"",'BEA Buyer Groups'!$A$4:$C$500,3,FALSE),"Not used")</f>
        <v>Not used</v>
      </c>
      <c r="K403" t="str">
        <f t="shared" si="6"/>
        <v>Direct</v>
      </c>
    </row>
    <row r="404" spans="1:11" x14ac:dyDescent="0.25">
      <c r="A404" s="130" t="s">
        <v>1158</v>
      </c>
      <c r="B404" t="s">
        <v>1159</v>
      </c>
      <c r="C404" s="130" t="s">
        <v>822</v>
      </c>
      <c r="D404" t="s">
        <v>823</v>
      </c>
      <c r="E404">
        <v>31</v>
      </c>
      <c r="F404">
        <v>1</v>
      </c>
      <c r="G404">
        <v>14</v>
      </c>
      <c r="H404">
        <v>0</v>
      </c>
      <c r="I404">
        <v>46</v>
      </c>
      <c r="J404" t="str">
        <f>IFERROR(VLOOKUP(A404&amp;"",'BEA Buyer Groups'!$A$4:$C$500,3,FALSE),"Not used")</f>
        <v>Not used</v>
      </c>
      <c r="K404" t="str">
        <f t="shared" si="6"/>
        <v>Direct</v>
      </c>
    </row>
    <row r="405" spans="1:11" x14ac:dyDescent="0.25">
      <c r="A405" s="130" t="s">
        <v>1158</v>
      </c>
      <c r="B405" t="s">
        <v>1159</v>
      </c>
      <c r="C405" s="130" t="s">
        <v>816</v>
      </c>
      <c r="D405" t="s">
        <v>817</v>
      </c>
      <c r="E405">
        <v>50</v>
      </c>
      <c r="F405">
        <v>6</v>
      </c>
      <c r="G405">
        <v>16</v>
      </c>
      <c r="H405">
        <v>0</v>
      </c>
      <c r="I405">
        <v>72</v>
      </c>
      <c r="J405" t="str">
        <f>IFERROR(VLOOKUP(A405&amp;"",'BEA Buyer Groups'!$A$4:$C$500,3,FALSE),"Not used")</f>
        <v>Not used</v>
      </c>
      <c r="K405" t="str">
        <f t="shared" si="6"/>
        <v>Direct</v>
      </c>
    </row>
    <row r="406" spans="1:11" x14ac:dyDescent="0.25">
      <c r="A406" s="130" t="s">
        <v>1160</v>
      </c>
      <c r="B406" t="s">
        <v>1161</v>
      </c>
      <c r="C406" s="130" t="s">
        <v>820</v>
      </c>
      <c r="D406" t="s">
        <v>821</v>
      </c>
      <c r="E406">
        <v>3</v>
      </c>
      <c r="F406">
        <v>0</v>
      </c>
      <c r="G406">
        <v>1</v>
      </c>
      <c r="H406">
        <v>0</v>
      </c>
      <c r="I406">
        <v>4</v>
      </c>
      <c r="J406" t="str">
        <f>IFERROR(VLOOKUP(A406&amp;"",'BEA Buyer Groups'!$A$4:$C$500,3,FALSE),"Not used")</f>
        <v>Not used</v>
      </c>
      <c r="K406" t="str">
        <f t="shared" si="6"/>
        <v>Direct</v>
      </c>
    </row>
    <row r="407" spans="1:11" x14ac:dyDescent="0.25">
      <c r="A407" s="130" t="s">
        <v>1160</v>
      </c>
      <c r="B407" t="s">
        <v>1161</v>
      </c>
      <c r="C407" s="130" t="s">
        <v>822</v>
      </c>
      <c r="D407" t="s">
        <v>823</v>
      </c>
      <c r="E407">
        <v>0</v>
      </c>
      <c r="F407">
        <v>0</v>
      </c>
      <c r="G407">
        <v>0</v>
      </c>
      <c r="H407">
        <v>0</v>
      </c>
      <c r="I407">
        <v>0</v>
      </c>
      <c r="J407" t="str">
        <f>IFERROR(VLOOKUP(A407&amp;"",'BEA Buyer Groups'!$A$4:$C$500,3,FALSE),"Not used")</f>
        <v>Not used</v>
      </c>
      <c r="K407" t="str">
        <f t="shared" si="6"/>
        <v>Direct</v>
      </c>
    </row>
    <row r="408" spans="1:11" x14ac:dyDescent="0.25">
      <c r="A408" s="130" t="s">
        <v>1162</v>
      </c>
      <c r="B408" t="s">
        <v>1163</v>
      </c>
      <c r="C408" s="130" t="s">
        <v>820</v>
      </c>
      <c r="D408" t="s">
        <v>821</v>
      </c>
      <c r="E408">
        <v>9</v>
      </c>
      <c r="F408">
        <v>0</v>
      </c>
      <c r="G408">
        <v>5</v>
      </c>
      <c r="H408">
        <v>0</v>
      </c>
      <c r="I408">
        <v>14</v>
      </c>
      <c r="J408" t="str">
        <f>IFERROR(VLOOKUP(A408&amp;"",'BEA Buyer Groups'!$A$4:$C$500,3,FALSE),"Not used")</f>
        <v>Not used</v>
      </c>
      <c r="K408" t="str">
        <f t="shared" si="6"/>
        <v>Direct</v>
      </c>
    </row>
    <row r="409" spans="1:11" x14ac:dyDescent="0.25">
      <c r="A409" s="130" t="s">
        <v>1162</v>
      </c>
      <c r="B409" t="s">
        <v>1163</v>
      </c>
      <c r="C409" s="130" t="s">
        <v>822</v>
      </c>
      <c r="D409" t="s">
        <v>823</v>
      </c>
      <c r="E409">
        <v>0</v>
      </c>
      <c r="F409">
        <v>0</v>
      </c>
      <c r="G409">
        <v>0</v>
      </c>
      <c r="H409">
        <v>0</v>
      </c>
      <c r="I409">
        <v>0</v>
      </c>
      <c r="J409" t="str">
        <f>IFERROR(VLOOKUP(A409&amp;"",'BEA Buyer Groups'!$A$4:$C$500,3,FALSE),"Not used")</f>
        <v>Not used</v>
      </c>
      <c r="K409" t="str">
        <f t="shared" si="6"/>
        <v>Direct</v>
      </c>
    </row>
    <row r="410" spans="1:11" x14ac:dyDescent="0.25">
      <c r="A410" s="130" t="s">
        <v>1162</v>
      </c>
      <c r="B410" t="s">
        <v>1163</v>
      </c>
      <c r="C410" s="130" t="s">
        <v>810</v>
      </c>
      <c r="D410" t="s">
        <v>811</v>
      </c>
      <c r="E410">
        <v>1</v>
      </c>
      <c r="F410">
        <v>0</v>
      </c>
      <c r="G410">
        <v>0</v>
      </c>
      <c r="H410">
        <v>0</v>
      </c>
      <c r="I410">
        <v>2</v>
      </c>
      <c r="J410" t="str">
        <f>IFERROR(VLOOKUP(A410&amp;"",'BEA Buyer Groups'!$A$4:$C$500,3,FALSE),"Not used")</f>
        <v>Not used</v>
      </c>
      <c r="K410" t="str">
        <f t="shared" si="6"/>
        <v>Direct</v>
      </c>
    </row>
    <row r="411" spans="1:11" x14ac:dyDescent="0.25">
      <c r="A411" s="130" t="s">
        <v>1162</v>
      </c>
      <c r="B411" t="s">
        <v>1163</v>
      </c>
      <c r="C411" s="130" t="s">
        <v>816</v>
      </c>
      <c r="D411" t="s">
        <v>817</v>
      </c>
      <c r="E411">
        <v>1</v>
      </c>
      <c r="F411">
        <v>0</v>
      </c>
      <c r="G411">
        <v>0</v>
      </c>
      <c r="H411">
        <v>0</v>
      </c>
      <c r="I411">
        <v>1</v>
      </c>
      <c r="J411" t="str">
        <f>IFERROR(VLOOKUP(A411&amp;"",'BEA Buyer Groups'!$A$4:$C$500,3,FALSE),"Not used")</f>
        <v>Not used</v>
      </c>
      <c r="K411" t="str">
        <f t="shared" si="6"/>
        <v>Direct</v>
      </c>
    </row>
    <row r="412" spans="1:11" x14ac:dyDescent="0.25">
      <c r="A412" s="130" t="s">
        <v>1164</v>
      </c>
      <c r="B412" t="s">
        <v>1165</v>
      </c>
      <c r="C412" s="130" t="s">
        <v>820</v>
      </c>
      <c r="D412" t="s">
        <v>821</v>
      </c>
      <c r="E412">
        <v>7</v>
      </c>
      <c r="F412">
        <v>0</v>
      </c>
      <c r="G412">
        <v>3</v>
      </c>
      <c r="H412">
        <v>0</v>
      </c>
      <c r="I412">
        <v>11</v>
      </c>
      <c r="J412" t="str">
        <f>IFERROR(VLOOKUP(A412&amp;"",'BEA Buyer Groups'!$A$4:$C$500,3,FALSE),"Not used")</f>
        <v>Not used</v>
      </c>
      <c r="K412" t="str">
        <f t="shared" si="6"/>
        <v>Direct</v>
      </c>
    </row>
    <row r="413" spans="1:11" x14ac:dyDescent="0.25">
      <c r="A413" s="130" t="s">
        <v>1164</v>
      </c>
      <c r="B413" t="s">
        <v>1165</v>
      </c>
      <c r="C413" s="130" t="s">
        <v>822</v>
      </c>
      <c r="D413" t="s">
        <v>823</v>
      </c>
      <c r="E413">
        <v>4</v>
      </c>
      <c r="F413">
        <v>0</v>
      </c>
      <c r="G413">
        <v>2</v>
      </c>
      <c r="H413">
        <v>0</v>
      </c>
      <c r="I413">
        <v>7</v>
      </c>
      <c r="J413" t="str">
        <f>IFERROR(VLOOKUP(A413&amp;"",'BEA Buyer Groups'!$A$4:$C$500,3,FALSE),"Not used")</f>
        <v>Not used</v>
      </c>
      <c r="K413" t="str">
        <f t="shared" si="6"/>
        <v>Direct</v>
      </c>
    </row>
    <row r="414" spans="1:11" x14ac:dyDescent="0.25">
      <c r="A414" s="130" t="s">
        <v>1166</v>
      </c>
      <c r="B414" t="s">
        <v>1167</v>
      </c>
      <c r="C414" s="130" t="s">
        <v>820</v>
      </c>
      <c r="D414" t="s">
        <v>821</v>
      </c>
      <c r="E414">
        <v>1</v>
      </c>
      <c r="F414">
        <v>0</v>
      </c>
      <c r="G414">
        <v>0</v>
      </c>
      <c r="H414">
        <v>0</v>
      </c>
      <c r="I414">
        <v>1</v>
      </c>
      <c r="J414" t="str">
        <f>IFERROR(VLOOKUP(A414&amp;"",'BEA Buyer Groups'!$A$4:$C$500,3,FALSE),"Not used")</f>
        <v>Not used</v>
      </c>
      <c r="K414" t="str">
        <f t="shared" si="6"/>
        <v>Direct</v>
      </c>
    </row>
    <row r="415" spans="1:11" x14ac:dyDescent="0.25">
      <c r="A415" s="130" t="s">
        <v>1168</v>
      </c>
      <c r="B415" t="s">
        <v>1169</v>
      </c>
      <c r="C415" s="130" t="s">
        <v>820</v>
      </c>
      <c r="D415" t="s">
        <v>821</v>
      </c>
      <c r="E415">
        <v>1</v>
      </c>
      <c r="F415">
        <v>0</v>
      </c>
      <c r="G415">
        <v>0</v>
      </c>
      <c r="H415">
        <v>0</v>
      </c>
      <c r="I415">
        <v>2</v>
      </c>
      <c r="J415" t="str">
        <f>IFERROR(VLOOKUP(A415&amp;"",'BEA Buyer Groups'!$A$4:$C$500,3,FALSE),"Not used")</f>
        <v>Not used</v>
      </c>
      <c r="K415" t="str">
        <f t="shared" si="6"/>
        <v>Direct</v>
      </c>
    </row>
    <row r="416" spans="1:11" x14ac:dyDescent="0.25">
      <c r="A416" s="130" t="s">
        <v>1170</v>
      </c>
      <c r="B416" t="s">
        <v>1171</v>
      </c>
      <c r="C416" s="130" t="s">
        <v>820</v>
      </c>
      <c r="D416" t="s">
        <v>821</v>
      </c>
      <c r="E416">
        <v>0</v>
      </c>
      <c r="F416">
        <v>0</v>
      </c>
      <c r="G416">
        <v>0</v>
      </c>
      <c r="H416">
        <v>0</v>
      </c>
      <c r="I416">
        <v>0</v>
      </c>
      <c r="J416" t="str">
        <f>IFERROR(VLOOKUP(A416&amp;"",'BEA Buyer Groups'!$A$4:$C$500,3,FALSE),"Not used")</f>
        <v>Not used</v>
      </c>
      <c r="K416" t="str">
        <f t="shared" si="6"/>
        <v>Direct</v>
      </c>
    </row>
    <row r="417" spans="1:11" x14ac:dyDescent="0.25">
      <c r="A417" s="130" t="s">
        <v>1172</v>
      </c>
      <c r="B417" t="s">
        <v>1173</v>
      </c>
      <c r="C417" s="130" t="s">
        <v>820</v>
      </c>
      <c r="D417" t="s">
        <v>821</v>
      </c>
      <c r="E417">
        <v>5</v>
      </c>
      <c r="F417">
        <v>0</v>
      </c>
      <c r="G417">
        <v>3</v>
      </c>
      <c r="H417">
        <v>0</v>
      </c>
      <c r="I417">
        <v>8</v>
      </c>
      <c r="J417" t="str">
        <f>IFERROR(VLOOKUP(A417&amp;"",'BEA Buyer Groups'!$A$4:$C$500,3,FALSE),"Not used")</f>
        <v>Not used</v>
      </c>
      <c r="K417" t="str">
        <f t="shared" si="6"/>
        <v>Direct</v>
      </c>
    </row>
    <row r="418" spans="1:11" x14ac:dyDescent="0.25">
      <c r="A418" s="130" t="s">
        <v>1172</v>
      </c>
      <c r="B418" t="s">
        <v>1173</v>
      </c>
      <c r="C418" s="130" t="s">
        <v>822</v>
      </c>
      <c r="D418" t="s">
        <v>823</v>
      </c>
      <c r="E418">
        <v>1</v>
      </c>
      <c r="F418">
        <v>0</v>
      </c>
      <c r="G418">
        <v>1</v>
      </c>
      <c r="H418">
        <v>0</v>
      </c>
      <c r="I418">
        <v>2</v>
      </c>
      <c r="J418" t="str">
        <f>IFERROR(VLOOKUP(A418&amp;"",'BEA Buyer Groups'!$A$4:$C$500,3,FALSE),"Not used")</f>
        <v>Not used</v>
      </c>
      <c r="K418" t="str">
        <f t="shared" si="6"/>
        <v>Direct</v>
      </c>
    </row>
    <row r="419" spans="1:11" x14ac:dyDescent="0.25">
      <c r="A419" s="130" t="s">
        <v>1172</v>
      </c>
      <c r="B419" t="s">
        <v>1173</v>
      </c>
      <c r="C419" s="130" t="s">
        <v>810</v>
      </c>
      <c r="D419" t="s">
        <v>811</v>
      </c>
      <c r="E419">
        <v>1</v>
      </c>
      <c r="F419">
        <v>0</v>
      </c>
      <c r="G419">
        <v>0</v>
      </c>
      <c r="H419">
        <v>0</v>
      </c>
      <c r="I419">
        <v>2</v>
      </c>
      <c r="J419" t="str">
        <f>IFERROR(VLOOKUP(A419&amp;"",'BEA Buyer Groups'!$A$4:$C$500,3,FALSE),"Not used")</f>
        <v>Not used</v>
      </c>
      <c r="K419" t="str">
        <f t="shared" si="6"/>
        <v>Direct</v>
      </c>
    </row>
    <row r="420" spans="1:11" x14ac:dyDescent="0.25">
      <c r="A420" s="130" t="s">
        <v>1172</v>
      </c>
      <c r="B420" t="s">
        <v>1173</v>
      </c>
      <c r="C420" s="130" t="s">
        <v>816</v>
      </c>
      <c r="D420" t="s">
        <v>817</v>
      </c>
      <c r="E420">
        <v>1</v>
      </c>
      <c r="F420">
        <v>0</v>
      </c>
      <c r="G420">
        <v>0</v>
      </c>
      <c r="H420">
        <v>0</v>
      </c>
      <c r="I420">
        <v>1</v>
      </c>
      <c r="J420" t="str">
        <f>IFERROR(VLOOKUP(A420&amp;"",'BEA Buyer Groups'!$A$4:$C$500,3,FALSE),"Not used")</f>
        <v>Not used</v>
      </c>
      <c r="K420" t="str">
        <f t="shared" si="6"/>
        <v>Direct</v>
      </c>
    </row>
    <row r="421" spans="1:11" x14ac:dyDescent="0.25">
      <c r="A421" s="130" t="s">
        <v>1174</v>
      </c>
      <c r="B421" t="s">
        <v>1175</v>
      </c>
      <c r="C421" s="130" t="s">
        <v>820</v>
      </c>
      <c r="D421" t="s">
        <v>821</v>
      </c>
      <c r="E421">
        <v>20</v>
      </c>
      <c r="F421">
        <v>1</v>
      </c>
      <c r="G421">
        <v>10</v>
      </c>
      <c r="H421">
        <v>0</v>
      </c>
      <c r="I421">
        <v>31</v>
      </c>
      <c r="J421" t="str">
        <f>IFERROR(VLOOKUP(A421&amp;"",'BEA Buyer Groups'!$A$4:$C$500,3,FALSE),"Not used")</f>
        <v>Not used</v>
      </c>
      <c r="K421" t="str">
        <f t="shared" si="6"/>
        <v>Direct</v>
      </c>
    </row>
    <row r="422" spans="1:11" x14ac:dyDescent="0.25">
      <c r="A422" s="130" t="s">
        <v>806</v>
      </c>
      <c r="B422" t="s">
        <v>807</v>
      </c>
      <c r="C422" s="130" t="s">
        <v>820</v>
      </c>
      <c r="D422" t="s">
        <v>821</v>
      </c>
      <c r="E422">
        <v>0</v>
      </c>
      <c r="F422">
        <v>0</v>
      </c>
      <c r="G422">
        <v>0</v>
      </c>
      <c r="H422">
        <v>0</v>
      </c>
      <c r="I422">
        <v>0</v>
      </c>
      <c r="J422" t="str">
        <f>IFERROR(VLOOKUP(A422&amp;"",'BEA Buyer Groups'!$A$4:$C$500,3,FALSE),"Not used")</f>
        <v>Not used</v>
      </c>
      <c r="K422" t="str">
        <f t="shared" si="6"/>
        <v>Direct</v>
      </c>
    </row>
    <row r="423" spans="1:11" x14ac:dyDescent="0.25">
      <c r="A423" s="130" t="s">
        <v>806</v>
      </c>
      <c r="B423" t="s">
        <v>807</v>
      </c>
      <c r="C423" s="130" t="s">
        <v>806</v>
      </c>
      <c r="D423" t="s">
        <v>807</v>
      </c>
      <c r="E423">
        <v>33</v>
      </c>
      <c r="F423">
        <v>0</v>
      </c>
      <c r="G423">
        <v>9</v>
      </c>
      <c r="H423">
        <v>0</v>
      </c>
      <c r="I423">
        <v>42</v>
      </c>
      <c r="J423" t="str">
        <f>IFERROR(VLOOKUP(A423&amp;"",'BEA Buyer Groups'!$A$4:$C$500,3,FALSE),"Not used")</f>
        <v>Not used</v>
      </c>
      <c r="K423" t="str">
        <f t="shared" si="6"/>
        <v>Direct</v>
      </c>
    </row>
    <row r="424" spans="1:11" x14ac:dyDescent="0.25">
      <c r="A424" s="130" t="s">
        <v>1176</v>
      </c>
      <c r="B424" t="s">
        <v>1177</v>
      </c>
      <c r="C424" s="130" t="s">
        <v>820</v>
      </c>
      <c r="D424" t="s">
        <v>821</v>
      </c>
      <c r="E424">
        <v>0</v>
      </c>
      <c r="F424">
        <v>0</v>
      </c>
      <c r="G424">
        <v>0</v>
      </c>
      <c r="H424">
        <v>0</v>
      </c>
      <c r="I424">
        <v>0</v>
      </c>
      <c r="J424" t="str">
        <f>IFERROR(VLOOKUP(A424&amp;"",'BEA Buyer Groups'!$A$4:$C$500,3,FALSE),"Not used")</f>
        <v>Not used</v>
      </c>
      <c r="K424" t="str">
        <f t="shared" si="6"/>
        <v>Direct</v>
      </c>
    </row>
    <row r="425" spans="1:11" x14ac:dyDescent="0.25">
      <c r="A425" s="130" t="s">
        <v>1178</v>
      </c>
      <c r="B425" t="s">
        <v>1179</v>
      </c>
      <c r="C425" s="130" t="s">
        <v>820</v>
      </c>
      <c r="D425" t="s">
        <v>821</v>
      </c>
      <c r="E425">
        <v>0</v>
      </c>
      <c r="F425">
        <v>0</v>
      </c>
      <c r="G425">
        <v>0</v>
      </c>
      <c r="H425">
        <v>0</v>
      </c>
      <c r="I425">
        <v>0</v>
      </c>
      <c r="J425" t="str">
        <f>IFERROR(VLOOKUP(A425&amp;"",'BEA Buyer Groups'!$A$4:$C$500,3,FALSE),"Not used")</f>
        <v>Not used</v>
      </c>
      <c r="K425" t="str">
        <f t="shared" si="6"/>
        <v>Direct</v>
      </c>
    </row>
    <row r="426" spans="1:11" x14ac:dyDescent="0.25">
      <c r="A426" s="130" t="s">
        <v>1178</v>
      </c>
      <c r="B426" t="s">
        <v>1179</v>
      </c>
      <c r="C426" s="130" t="s">
        <v>806</v>
      </c>
      <c r="D426" t="s">
        <v>807</v>
      </c>
      <c r="E426">
        <v>421</v>
      </c>
      <c r="F426">
        <v>4</v>
      </c>
      <c r="G426">
        <v>117</v>
      </c>
      <c r="H426">
        <v>0</v>
      </c>
      <c r="I426">
        <v>542</v>
      </c>
      <c r="J426" t="str">
        <f>IFERROR(VLOOKUP(A426&amp;"",'BEA Buyer Groups'!$A$4:$C$500,3,FALSE),"Not used")</f>
        <v>Not used</v>
      </c>
      <c r="K426" t="str">
        <f t="shared" si="6"/>
        <v>Direct</v>
      </c>
    </row>
    <row r="427" spans="1:11" x14ac:dyDescent="0.25">
      <c r="A427" s="130" t="s">
        <v>1178</v>
      </c>
      <c r="B427" t="s">
        <v>1179</v>
      </c>
      <c r="C427" s="130" t="s">
        <v>816</v>
      </c>
      <c r="D427" t="s">
        <v>817</v>
      </c>
      <c r="E427">
        <v>1</v>
      </c>
      <c r="F427">
        <v>0</v>
      </c>
      <c r="G427">
        <v>0</v>
      </c>
      <c r="H427">
        <v>0</v>
      </c>
      <c r="I427">
        <v>1</v>
      </c>
      <c r="J427" t="str">
        <f>IFERROR(VLOOKUP(A427&amp;"",'BEA Buyer Groups'!$A$4:$C$500,3,FALSE),"Not used")</f>
        <v>Not used</v>
      </c>
      <c r="K427" t="str">
        <f t="shared" si="6"/>
        <v>Direct</v>
      </c>
    </row>
    <row r="428" spans="1:11" x14ac:dyDescent="0.25">
      <c r="A428" s="130" t="s">
        <v>1180</v>
      </c>
      <c r="B428" t="s">
        <v>1181</v>
      </c>
      <c r="C428" s="130" t="s">
        <v>820</v>
      </c>
      <c r="D428" t="s">
        <v>821</v>
      </c>
      <c r="E428">
        <v>0</v>
      </c>
      <c r="F428">
        <v>0</v>
      </c>
      <c r="G428">
        <v>0</v>
      </c>
      <c r="H428">
        <v>0</v>
      </c>
      <c r="I428">
        <v>0</v>
      </c>
      <c r="J428" t="str">
        <f>IFERROR(VLOOKUP(A428&amp;"",'BEA Buyer Groups'!$A$4:$C$500,3,FALSE),"Not used")</f>
        <v>Not used</v>
      </c>
      <c r="K428" t="str">
        <f t="shared" si="6"/>
        <v>Direct</v>
      </c>
    </row>
    <row r="429" spans="1:11" x14ac:dyDescent="0.25">
      <c r="A429" s="130" t="s">
        <v>1180</v>
      </c>
      <c r="B429" t="s">
        <v>1181</v>
      </c>
      <c r="C429" s="130" t="s">
        <v>822</v>
      </c>
      <c r="D429" t="s">
        <v>823</v>
      </c>
      <c r="E429">
        <v>0</v>
      </c>
      <c r="F429">
        <v>0</v>
      </c>
      <c r="G429">
        <v>0</v>
      </c>
      <c r="H429">
        <v>0</v>
      </c>
      <c r="I429">
        <v>0</v>
      </c>
      <c r="J429" t="str">
        <f>IFERROR(VLOOKUP(A429&amp;"",'BEA Buyer Groups'!$A$4:$C$500,3,FALSE),"Not used")</f>
        <v>Not used</v>
      </c>
      <c r="K429" t="str">
        <f t="shared" si="6"/>
        <v>Direct</v>
      </c>
    </row>
    <row r="430" spans="1:11" x14ac:dyDescent="0.25">
      <c r="A430" s="130" t="s">
        <v>1180</v>
      </c>
      <c r="B430" t="s">
        <v>1181</v>
      </c>
      <c r="C430" s="130" t="s">
        <v>860</v>
      </c>
      <c r="D430" t="s">
        <v>861</v>
      </c>
      <c r="E430">
        <v>0</v>
      </c>
      <c r="F430">
        <v>0</v>
      </c>
      <c r="G430">
        <v>0</v>
      </c>
      <c r="H430">
        <v>0</v>
      </c>
      <c r="I430">
        <v>1</v>
      </c>
      <c r="J430" t="str">
        <f>IFERROR(VLOOKUP(A430&amp;"",'BEA Buyer Groups'!$A$4:$C$500,3,FALSE),"Not used")</f>
        <v>Not used</v>
      </c>
      <c r="K430" t="str">
        <f t="shared" si="6"/>
        <v>Direct</v>
      </c>
    </row>
    <row r="431" spans="1:11" x14ac:dyDescent="0.25">
      <c r="A431" s="130" t="s">
        <v>1182</v>
      </c>
      <c r="B431" t="s">
        <v>1183</v>
      </c>
      <c r="C431" s="130" t="s">
        <v>820</v>
      </c>
      <c r="D431" t="s">
        <v>821</v>
      </c>
      <c r="E431">
        <v>2</v>
      </c>
      <c r="F431">
        <v>0</v>
      </c>
      <c r="G431">
        <v>1</v>
      </c>
      <c r="H431">
        <v>0</v>
      </c>
      <c r="I431">
        <v>3</v>
      </c>
      <c r="J431" t="str">
        <f>IFERROR(VLOOKUP(A431&amp;"",'BEA Buyer Groups'!$A$4:$C$500,3,FALSE),"Not used")</f>
        <v>Not used</v>
      </c>
      <c r="K431" t="str">
        <f t="shared" si="6"/>
        <v>Direct</v>
      </c>
    </row>
    <row r="432" spans="1:11" x14ac:dyDescent="0.25">
      <c r="A432" s="130" t="s">
        <v>1182</v>
      </c>
      <c r="B432" t="s">
        <v>1183</v>
      </c>
      <c r="C432" s="130" t="s">
        <v>822</v>
      </c>
      <c r="D432" t="s">
        <v>823</v>
      </c>
      <c r="E432">
        <v>0</v>
      </c>
      <c r="F432">
        <v>0</v>
      </c>
      <c r="G432">
        <v>0</v>
      </c>
      <c r="H432">
        <v>0</v>
      </c>
      <c r="I432">
        <v>1</v>
      </c>
      <c r="J432" t="str">
        <f>IFERROR(VLOOKUP(A432&amp;"",'BEA Buyer Groups'!$A$4:$C$500,3,FALSE),"Not used")</f>
        <v>Not used</v>
      </c>
      <c r="K432" t="str">
        <f t="shared" si="6"/>
        <v>Direct</v>
      </c>
    </row>
    <row r="433" spans="1:11" x14ac:dyDescent="0.25">
      <c r="A433" s="130" t="s">
        <v>1182</v>
      </c>
      <c r="B433" t="s">
        <v>1183</v>
      </c>
      <c r="C433" s="130" t="s">
        <v>806</v>
      </c>
      <c r="D433" t="s">
        <v>807</v>
      </c>
      <c r="E433">
        <v>13</v>
      </c>
      <c r="F433">
        <v>0</v>
      </c>
      <c r="G433">
        <v>4</v>
      </c>
      <c r="H433">
        <v>0</v>
      </c>
      <c r="I433">
        <v>16</v>
      </c>
      <c r="J433" t="str">
        <f>IFERROR(VLOOKUP(A433&amp;"",'BEA Buyer Groups'!$A$4:$C$500,3,FALSE),"Not used")</f>
        <v>Not used</v>
      </c>
      <c r="K433" t="str">
        <f t="shared" si="6"/>
        <v>Direct</v>
      </c>
    </row>
    <row r="434" spans="1:11" x14ac:dyDescent="0.25">
      <c r="A434" s="130" t="s">
        <v>1182</v>
      </c>
      <c r="B434" t="s">
        <v>1183</v>
      </c>
      <c r="C434" s="130" t="s">
        <v>860</v>
      </c>
      <c r="D434" t="s">
        <v>861</v>
      </c>
      <c r="E434">
        <v>6</v>
      </c>
      <c r="F434">
        <v>0</v>
      </c>
      <c r="G434">
        <v>2</v>
      </c>
      <c r="H434">
        <v>0</v>
      </c>
      <c r="I434">
        <v>8</v>
      </c>
      <c r="J434" t="str">
        <f>IFERROR(VLOOKUP(A434&amp;"",'BEA Buyer Groups'!$A$4:$C$500,3,FALSE),"Not used")</f>
        <v>Not used</v>
      </c>
      <c r="K434" t="str">
        <f t="shared" si="6"/>
        <v>Direct</v>
      </c>
    </row>
    <row r="435" spans="1:11" x14ac:dyDescent="0.25">
      <c r="A435" s="130" t="s">
        <v>1184</v>
      </c>
      <c r="B435" t="s">
        <v>1185</v>
      </c>
      <c r="C435" s="130" t="s">
        <v>820</v>
      </c>
      <c r="D435" t="s">
        <v>821</v>
      </c>
      <c r="E435">
        <v>0</v>
      </c>
      <c r="F435">
        <v>0</v>
      </c>
      <c r="G435">
        <v>0</v>
      </c>
      <c r="H435">
        <v>0</v>
      </c>
      <c r="I435">
        <v>0</v>
      </c>
      <c r="J435" t="str">
        <f>IFERROR(VLOOKUP(A435&amp;"",'BEA Buyer Groups'!$A$4:$C$500,3,FALSE),"Not used")</f>
        <v>Not used</v>
      </c>
      <c r="K435" t="str">
        <f t="shared" si="6"/>
        <v>Direct</v>
      </c>
    </row>
    <row r="436" spans="1:11" x14ac:dyDescent="0.25">
      <c r="A436" s="130" t="s">
        <v>1184</v>
      </c>
      <c r="B436" t="s">
        <v>1185</v>
      </c>
      <c r="C436" s="130" t="s">
        <v>860</v>
      </c>
      <c r="D436" t="s">
        <v>861</v>
      </c>
      <c r="E436">
        <v>7</v>
      </c>
      <c r="F436">
        <v>0</v>
      </c>
      <c r="G436">
        <v>2</v>
      </c>
      <c r="H436">
        <v>0</v>
      </c>
      <c r="I436">
        <v>9</v>
      </c>
      <c r="J436" t="str">
        <f>IFERROR(VLOOKUP(A436&amp;"",'BEA Buyer Groups'!$A$4:$C$500,3,FALSE),"Not used")</f>
        <v>Not used</v>
      </c>
      <c r="K436" t="str">
        <f t="shared" si="6"/>
        <v>Direct</v>
      </c>
    </row>
    <row r="437" spans="1:11" x14ac:dyDescent="0.25">
      <c r="A437" s="130" t="s">
        <v>860</v>
      </c>
      <c r="B437" t="s">
        <v>861</v>
      </c>
      <c r="C437" s="130" t="s">
        <v>820</v>
      </c>
      <c r="D437" t="s">
        <v>821</v>
      </c>
      <c r="E437">
        <v>0</v>
      </c>
      <c r="F437">
        <v>0</v>
      </c>
      <c r="G437">
        <v>0</v>
      </c>
      <c r="H437">
        <v>0</v>
      </c>
      <c r="I437">
        <v>0</v>
      </c>
      <c r="J437" t="str">
        <f>IFERROR(VLOOKUP(A437&amp;"",'BEA Buyer Groups'!$A$4:$C$500,3,FALSE),"Not used")</f>
        <v>Not used</v>
      </c>
      <c r="K437" t="str">
        <f t="shared" si="6"/>
        <v>Direct</v>
      </c>
    </row>
    <row r="438" spans="1:11" x14ac:dyDescent="0.25">
      <c r="A438" s="130" t="s">
        <v>860</v>
      </c>
      <c r="B438" t="s">
        <v>861</v>
      </c>
      <c r="C438" s="130" t="s">
        <v>822</v>
      </c>
      <c r="D438" t="s">
        <v>823</v>
      </c>
      <c r="E438">
        <v>1</v>
      </c>
      <c r="F438">
        <v>0</v>
      </c>
      <c r="G438">
        <v>0</v>
      </c>
      <c r="H438">
        <v>0</v>
      </c>
      <c r="I438">
        <v>1</v>
      </c>
      <c r="J438" t="str">
        <f>IFERROR(VLOOKUP(A438&amp;"",'BEA Buyer Groups'!$A$4:$C$500,3,FALSE),"Not used")</f>
        <v>Not used</v>
      </c>
      <c r="K438" t="str">
        <f t="shared" si="6"/>
        <v>Direct</v>
      </c>
    </row>
    <row r="439" spans="1:11" x14ac:dyDescent="0.25">
      <c r="A439" s="130" t="s">
        <v>860</v>
      </c>
      <c r="B439" t="s">
        <v>861</v>
      </c>
      <c r="C439" s="130" t="s">
        <v>860</v>
      </c>
      <c r="D439" t="s">
        <v>861</v>
      </c>
      <c r="E439">
        <v>159</v>
      </c>
      <c r="F439">
        <v>2</v>
      </c>
      <c r="G439">
        <v>55</v>
      </c>
      <c r="H439">
        <v>0</v>
      </c>
      <c r="I439">
        <v>215</v>
      </c>
      <c r="J439" t="str">
        <f>IFERROR(VLOOKUP(A439&amp;"",'BEA Buyer Groups'!$A$4:$C$500,3,FALSE),"Not used")</f>
        <v>Not used</v>
      </c>
      <c r="K439" t="str">
        <f t="shared" si="6"/>
        <v>Direct</v>
      </c>
    </row>
    <row r="440" spans="1:11" x14ac:dyDescent="0.25">
      <c r="A440" s="130" t="s">
        <v>1186</v>
      </c>
      <c r="B440" t="s">
        <v>1187</v>
      </c>
      <c r="C440" s="130" t="s">
        <v>820</v>
      </c>
      <c r="D440" t="s">
        <v>821</v>
      </c>
      <c r="E440">
        <v>0</v>
      </c>
      <c r="F440">
        <v>0</v>
      </c>
      <c r="G440">
        <v>0</v>
      </c>
      <c r="H440">
        <v>0</v>
      </c>
      <c r="I440">
        <v>0</v>
      </c>
      <c r="J440" t="str">
        <f>IFERROR(VLOOKUP(A440&amp;"",'BEA Buyer Groups'!$A$4:$C$500,3,FALSE),"Not used")</f>
        <v>Not used</v>
      </c>
      <c r="K440" t="str">
        <f t="shared" si="6"/>
        <v>Direct</v>
      </c>
    </row>
    <row r="441" spans="1:11" x14ac:dyDescent="0.25">
      <c r="A441" s="130" t="s">
        <v>1186</v>
      </c>
      <c r="B441" t="s">
        <v>1187</v>
      </c>
      <c r="C441" s="130" t="s">
        <v>822</v>
      </c>
      <c r="D441" t="s">
        <v>823</v>
      </c>
      <c r="E441">
        <v>0</v>
      </c>
      <c r="F441">
        <v>0</v>
      </c>
      <c r="G441">
        <v>0</v>
      </c>
      <c r="H441">
        <v>0</v>
      </c>
      <c r="I441">
        <v>0</v>
      </c>
      <c r="J441" t="str">
        <f>IFERROR(VLOOKUP(A441&amp;"",'BEA Buyer Groups'!$A$4:$C$500,3,FALSE),"Not used")</f>
        <v>Not used</v>
      </c>
      <c r="K441" t="str">
        <f t="shared" si="6"/>
        <v>Direct</v>
      </c>
    </row>
    <row r="442" spans="1:11" x14ac:dyDescent="0.25">
      <c r="A442" s="130" t="s">
        <v>1186</v>
      </c>
      <c r="B442" t="s">
        <v>1187</v>
      </c>
      <c r="C442" s="130" t="s">
        <v>860</v>
      </c>
      <c r="D442" t="s">
        <v>861</v>
      </c>
      <c r="E442">
        <v>5</v>
      </c>
      <c r="F442">
        <v>0</v>
      </c>
      <c r="G442">
        <v>2</v>
      </c>
      <c r="H442">
        <v>0</v>
      </c>
      <c r="I442">
        <v>7</v>
      </c>
      <c r="J442" t="str">
        <f>IFERROR(VLOOKUP(A442&amp;"",'BEA Buyer Groups'!$A$4:$C$500,3,FALSE),"Not used")</f>
        <v>Not used</v>
      </c>
      <c r="K442" t="str">
        <f t="shared" si="6"/>
        <v>Direct</v>
      </c>
    </row>
    <row r="443" spans="1:11" x14ac:dyDescent="0.25">
      <c r="A443" s="130" t="s">
        <v>1186</v>
      </c>
      <c r="B443" t="s">
        <v>1187</v>
      </c>
      <c r="C443" s="130" t="s">
        <v>816</v>
      </c>
      <c r="D443" t="s">
        <v>817</v>
      </c>
      <c r="E443">
        <v>5</v>
      </c>
      <c r="F443">
        <v>1</v>
      </c>
      <c r="G443">
        <v>1</v>
      </c>
      <c r="H443">
        <v>0</v>
      </c>
      <c r="I443">
        <v>7</v>
      </c>
      <c r="J443" t="str">
        <f>IFERROR(VLOOKUP(A443&amp;"",'BEA Buyer Groups'!$A$4:$C$500,3,FALSE),"Not used")</f>
        <v>Not used</v>
      </c>
      <c r="K443" t="str">
        <f t="shared" si="6"/>
        <v>Direct</v>
      </c>
    </row>
    <row r="444" spans="1:11" x14ac:dyDescent="0.25">
      <c r="A444" s="130" t="s">
        <v>1188</v>
      </c>
      <c r="B444" t="s">
        <v>1189</v>
      </c>
      <c r="C444" s="130" t="s">
        <v>820</v>
      </c>
      <c r="D444" t="s">
        <v>821</v>
      </c>
      <c r="E444">
        <v>0</v>
      </c>
      <c r="F444">
        <v>0</v>
      </c>
      <c r="G444">
        <v>0</v>
      </c>
      <c r="H444">
        <v>0</v>
      </c>
      <c r="I444">
        <v>0</v>
      </c>
      <c r="J444" t="str">
        <f>IFERROR(VLOOKUP(A444&amp;"",'BEA Buyer Groups'!$A$4:$C$500,3,FALSE),"Not used")</f>
        <v>Not used</v>
      </c>
      <c r="K444" t="str">
        <f t="shared" si="6"/>
        <v>Direct</v>
      </c>
    </row>
    <row r="445" spans="1:11" x14ac:dyDescent="0.25">
      <c r="A445" s="130" t="s">
        <v>1188</v>
      </c>
      <c r="B445" t="s">
        <v>1189</v>
      </c>
      <c r="C445" s="130" t="s">
        <v>822</v>
      </c>
      <c r="D445" t="s">
        <v>823</v>
      </c>
      <c r="E445">
        <v>2</v>
      </c>
      <c r="F445">
        <v>0</v>
      </c>
      <c r="G445">
        <v>1</v>
      </c>
      <c r="H445">
        <v>0</v>
      </c>
      <c r="I445">
        <v>2</v>
      </c>
      <c r="J445" t="str">
        <f>IFERROR(VLOOKUP(A445&amp;"",'BEA Buyer Groups'!$A$4:$C$500,3,FALSE),"Not used")</f>
        <v>Not used</v>
      </c>
      <c r="K445" t="str">
        <f t="shared" si="6"/>
        <v>Direct</v>
      </c>
    </row>
    <row r="446" spans="1:11" x14ac:dyDescent="0.25">
      <c r="A446" s="130" t="s">
        <v>1190</v>
      </c>
      <c r="B446" t="s">
        <v>1191</v>
      </c>
      <c r="C446" s="130" t="s">
        <v>820</v>
      </c>
      <c r="D446" t="s">
        <v>821</v>
      </c>
      <c r="E446">
        <v>0</v>
      </c>
      <c r="F446">
        <v>0</v>
      </c>
      <c r="G446">
        <v>0</v>
      </c>
      <c r="H446">
        <v>0</v>
      </c>
      <c r="I446">
        <v>1</v>
      </c>
      <c r="J446" t="str">
        <f>IFERROR(VLOOKUP(A446&amp;"",'BEA Buyer Groups'!$A$4:$C$500,3,FALSE),"Not used")</f>
        <v>Not used</v>
      </c>
      <c r="K446" t="str">
        <f t="shared" si="6"/>
        <v>Direct</v>
      </c>
    </row>
    <row r="447" spans="1:11" x14ac:dyDescent="0.25">
      <c r="A447" s="130" t="s">
        <v>1190</v>
      </c>
      <c r="B447" t="s">
        <v>1191</v>
      </c>
      <c r="C447" s="130" t="s">
        <v>822</v>
      </c>
      <c r="D447" t="s">
        <v>823</v>
      </c>
      <c r="E447">
        <v>2</v>
      </c>
      <c r="F447">
        <v>0</v>
      </c>
      <c r="G447">
        <v>1</v>
      </c>
      <c r="H447">
        <v>0</v>
      </c>
      <c r="I447">
        <v>3</v>
      </c>
      <c r="J447" t="str">
        <f>IFERROR(VLOOKUP(A447&amp;"",'BEA Buyer Groups'!$A$4:$C$500,3,FALSE),"Not used")</f>
        <v>Not used</v>
      </c>
      <c r="K447" t="str">
        <f t="shared" si="6"/>
        <v>Direct</v>
      </c>
    </row>
    <row r="448" spans="1:11" x14ac:dyDescent="0.25">
      <c r="A448" s="130" t="s">
        <v>1190</v>
      </c>
      <c r="B448" t="s">
        <v>1191</v>
      </c>
      <c r="C448" s="130" t="s">
        <v>860</v>
      </c>
      <c r="D448" t="s">
        <v>861</v>
      </c>
      <c r="E448">
        <v>17</v>
      </c>
      <c r="F448">
        <v>0</v>
      </c>
      <c r="G448">
        <v>6</v>
      </c>
      <c r="H448">
        <v>0</v>
      </c>
      <c r="I448">
        <v>23</v>
      </c>
      <c r="J448" t="str">
        <f>IFERROR(VLOOKUP(A448&amp;"",'BEA Buyer Groups'!$A$4:$C$500,3,FALSE),"Not used")</f>
        <v>Not used</v>
      </c>
      <c r="K448" t="str">
        <f t="shared" si="6"/>
        <v>Direct</v>
      </c>
    </row>
    <row r="449" spans="1:11" x14ac:dyDescent="0.25">
      <c r="A449" s="130" t="s">
        <v>1192</v>
      </c>
      <c r="B449" t="s">
        <v>1193</v>
      </c>
      <c r="C449" s="130" t="s">
        <v>820</v>
      </c>
      <c r="D449" t="s">
        <v>821</v>
      </c>
      <c r="E449">
        <v>0</v>
      </c>
      <c r="F449">
        <v>0</v>
      </c>
      <c r="G449">
        <v>0</v>
      </c>
      <c r="H449">
        <v>0</v>
      </c>
      <c r="I449">
        <v>0</v>
      </c>
      <c r="J449" t="str">
        <f>IFERROR(VLOOKUP(A449&amp;"",'BEA Buyer Groups'!$A$4:$C$500,3,FALSE),"Not used")</f>
        <v>Not used</v>
      </c>
      <c r="K449" t="str">
        <f t="shared" si="6"/>
        <v>Direct</v>
      </c>
    </row>
    <row r="450" spans="1:11" x14ac:dyDescent="0.25">
      <c r="A450" s="130" t="s">
        <v>1192</v>
      </c>
      <c r="B450" t="s">
        <v>1193</v>
      </c>
      <c r="C450" s="130" t="s">
        <v>822</v>
      </c>
      <c r="D450" t="s">
        <v>823</v>
      </c>
      <c r="E450">
        <v>1</v>
      </c>
      <c r="F450">
        <v>0</v>
      </c>
      <c r="G450">
        <v>1</v>
      </c>
      <c r="H450">
        <v>0</v>
      </c>
      <c r="I450">
        <v>2</v>
      </c>
      <c r="J450" t="str">
        <f>IFERROR(VLOOKUP(A450&amp;"",'BEA Buyer Groups'!$A$4:$C$500,3,FALSE),"Not used")</f>
        <v>Not used</v>
      </c>
      <c r="K450" t="str">
        <f t="shared" si="6"/>
        <v>Direct</v>
      </c>
    </row>
    <row r="451" spans="1:11" x14ac:dyDescent="0.25">
      <c r="A451" s="130" t="s">
        <v>1194</v>
      </c>
      <c r="B451" t="s">
        <v>1195</v>
      </c>
      <c r="C451" s="130" t="s">
        <v>820</v>
      </c>
      <c r="D451" t="s">
        <v>821</v>
      </c>
      <c r="E451">
        <v>1</v>
      </c>
      <c r="F451">
        <v>0</v>
      </c>
      <c r="G451">
        <v>1</v>
      </c>
      <c r="H451">
        <v>0</v>
      </c>
      <c r="I451">
        <v>2</v>
      </c>
      <c r="J451" t="str">
        <f>IFERROR(VLOOKUP(A451&amp;"",'BEA Buyer Groups'!$A$4:$C$500,3,FALSE),"Not used")</f>
        <v>Not used</v>
      </c>
      <c r="K451" t="str">
        <f t="shared" si="6"/>
        <v>Direct</v>
      </c>
    </row>
    <row r="452" spans="1:11" x14ac:dyDescent="0.25">
      <c r="A452" s="130" t="s">
        <v>1194</v>
      </c>
      <c r="B452" t="s">
        <v>1195</v>
      </c>
      <c r="C452" s="130" t="s">
        <v>822</v>
      </c>
      <c r="D452" t="s">
        <v>823</v>
      </c>
      <c r="E452">
        <v>0</v>
      </c>
      <c r="F452">
        <v>0</v>
      </c>
      <c r="G452">
        <v>0</v>
      </c>
      <c r="H452">
        <v>0</v>
      </c>
      <c r="I452">
        <v>1</v>
      </c>
      <c r="J452" t="str">
        <f>IFERROR(VLOOKUP(A452&amp;"",'BEA Buyer Groups'!$A$4:$C$500,3,FALSE),"Not used")</f>
        <v>Not used</v>
      </c>
      <c r="K452" t="str">
        <f t="shared" si="6"/>
        <v>Direct</v>
      </c>
    </row>
    <row r="453" spans="1:11" x14ac:dyDescent="0.25">
      <c r="A453" s="130" t="s">
        <v>1194</v>
      </c>
      <c r="B453" t="s">
        <v>1195</v>
      </c>
      <c r="C453" s="130" t="s">
        <v>860</v>
      </c>
      <c r="D453" t="s">
        <v>861</v>
      </c>
      <c r="E453">
        <v>3</v>
      </c>
      <c r="F453">
        <v>0</v>
      </c>
      <c r="G453">
        <v>1</v>
      </c>
      <c r="H453">
        <v>0</v>
      </c>
      <c r="I453">
        <v>4</v>
      </c>
      <c r="J453" t="str">
        <f>IFERROR(VLOOKUP(A453&amp;"",'BEA Buyer Groups'!$A$4:$C$500,3,FALSE),"Not used")</f>
        <v>Not used</v>
      </c>
      <c r="K453" t="str">
        <f t="shared" si="6"/>
        <v>Direct</v>
      </c>
    </row>
    <row r="454" spans="1:11" x14ac:dyDescent="0.25">
      <c r="A454" s="130" t="s">
        <v>1196</v>
      </c>
      <c r="B454" t="s">
        <v>1197</v>
      </c>
      <c r="C454" s="130" t="s">
        <v>820</v>
      </c>
      <c r="D454" t="s">
        <v>821</v>
      </c>
      <c r="E454">
        <v>0</v>
      </c>
      <c r="F454">
        <v>0</v>
      </c>
      <c r="G454">
        <v>0</v>
      </c>
      <c r="H454">
        <v>0</v>
      </c>
      <c r="I454">
        <v>0</v>
      </c>
      <c r="J454" t="str">
        <f>IFERROR(VLOOKUP(A454&amp;"",'BEA Buyer Groups'!$A$4:$C$500,3,FALSE),"Not used")</f>
        <v>Not used</v>
      </c>
      <c r="K454" t="str">
        <f t="shared" si="6"/>
        <v>Direct</v>
      </c>
    </row>
    <row r="455" spans="1:11" x14ac:dyDescent="0.25">
      <c r="A455" s="130" t="s">
        <v>1198</v>
      </c>
      <c r="B455" t="s">
        <v>1199</v>
      </c>
      <c r="C455" s="130" t="s">
        <v>820</v>
      </c>
      <c r="D455" t="s">
        <v>821</v>
      </c>
      <c r="E455">
        <v>0</v>
      </c>
      <c r="F455">
        <v>0</v>
      </c>
      <c r="G455">
        <v>0</v>
      </c>
      <c r="H455">
        <v>0</v>
      </c>
      <c r="I455">
        <v>1</v>
      </c>
      <c r="J455" t="str">
        <f>IFERROR(VLOOKUP(A455&amp;"",'BEA Buyer Groups'!$A$4:$C$500,3,FALSE),"Not used")</f>
        <v>Not used</v>
      </c>
      <c r="K455" t="str">
        <f t="shared" ref="K455:K518" si="7">IF(LEFT(A455,2)="23","Contractor","Direct")</f>
        <v>Direct</v>
      </c>
    </row>
    <row r="456" spans="1:11" x14ac:dyDescent="0.25">
      <c r="A456" s="130" t="s">
        <v>1198</v>
      </c>
      <c r="B456" t="s">
        <v>1199</v>
      </c>
      <c r="C456" s="130" t="s">
        <v>822</v>
      </c>
      <c r="D456" t="s">
        <v>823</v>
      </c>
      <c r="E456">
        <v>0</v>
      </c>
      <c r="F456">
        <v>0</v>
      </c>
      <c r="G456">
        <v>0</v>
      </c>
      <c r="H456">
        <v>0</v>
      </c>
      <c r="I456">
        <v>0</v>
      </c>
      <c r="J456" t="str">
        <f>IFERROR(VLOOKUP(A456&amp;"",'BEA Buyer Groups'!$A$4:$C$500,3,FALSE),"Not used")</f>
        <v>Not used</v>
      </c>
      <c r="K456" t="str">
        <f t="shared" si="7"/>
        <v>Direct</v>
      </c>
    </row>
    <row r="457" spans="1:11" x14ac:dyDescent="0.25">
      <c r="A457" s="130" t="s">
        <v>1200</v>
      </c>
      <c r="B457" t="s">
        <v>1201</v>
      </c>
      <c r="C457" s="130" t="s">
        <v>820</v>
      </c>
      <c r="D457" t="s">
        <v>821</v>
      </c>
      <c r="E457">
        <v>1</v>
      </c>
      <c r="F457">
        <v>0</v>
      </c>
      <c r="G457">
        <v>1</v>
      </c>
      <c r="H457">
        <v>0</v>
      </c>
      <c r="I457">
        <v>2</v>
      </c>
      <c r="J457" t="str">
        <f>IFERROR(VLOOKUP(A457&amp;"",'BEA Buyer Groups'!$A$4:$C$500,3,FALSE),"Not used")</f>
        <v>Not used</v>
      </c>
      <c r="K457" t="str">
        <f t="shared" si="7"/>
        <v>Direct</v>
      </c>
    </row>
    <row r="458" spans="1:11" x14ac:dyDescent="0.25">
      <c r="A458" s="130" t="s">
        <v>1202</v>
      </c>
      <c r="B458" t="s">
        <v>1203</v>
      </c>
      <c r="C458" s="130" t="s">
        <v>820</v>
      </c>
      <c r="D458" t="s">
        <v>821</v>
      </c>
      <c r="E458">
        <v>1</v>
      </c>
      <c r="F458">
        <v>0</v>
      </c>
      <c r="G458">
        <v>1</v>
      </c>
      <c r="H458">
        <v>0</v>
      </c>
      <c r="I458">
        <v>2</v>
      </c>
      <c r="J458" t="str">
        <f>IFERROR(VLOOKUP(A458&amp;"",'BEA Buyer Groups'!$A$4:$C$500,3,FALSE),"Not used")</f>
        <v>Not used</v>
      </c>
      <c r="K458" t="str">
        <f t="shared" si="7"/>
        <v>Direct</v>
      </c>
    </row>
    <row r="459" spans="1:11" x14ac:dyDescent="0.25">
      <c r="A459" s="130" t="s">
        <v>1204</v>
      </c>
      <c r="B459" t="s">
        <v>1205</v>
      </c>
      <c r="C459" s="130" t="s">
        <v>820</v>
      </c>
      <c r="D459" t="s">
        <v>821</v>
      </c>
      <c r="E459">
        <v>1</v>
      </c>
      <c r="F459">
        <v>0</v>
      </c>
      <c r="G459">
        <v>0</v>
      </c>
      <c r="H459">
        <v>0</v>
      </c>
      <c r="I459">
        <v>1</v>
      </c>
      <c r="J459" t="str">
        <f>IFERROR(VLOOKUP(A459&amp;"",'BEA Buyer Groups'!$A$4:$C$500,3,FALSE),"Not used")</f>
        <v>Not used</v>
      </c>
      <c r="K459" t="str">
        <f t="shared" si="7"/>
        <v>Direct</v>
      </c>
    </row>
    <row r="460" spans="1:11" x14ac:dyDescent="0.25">
      <c r="A460" s="130" t="s">
        <v>1204</v>
      </c>
      <c r="B460" t="s">
        <v>1205</v>
      </c>
      <c r="C460" s="130" t="s">
        <v>822</v>
      </c>
      <c r="D460" t="s">
        <v>823</v>
      </c>
      <c r="E460">
        <v>0</v>
      </c>
      <c r="F460">
        <v>0</v>
      </c>
      <c r="G460">
        <v>0</v>
      </c>
      <c r="H460">
        <v>0</v>
      </c>
      <c r="I460">
        <v>0</v>
      </c>
      <c r="J460" t="str">
        <f>IFERROR(VLOOKUP(A460&amp;"",'BEA Buyer Groups'!$A$4:$C$500,3,FALSE),"Not used")</f>
        <v>Not used</v>
      </c>
      <c r="K460" t="str">
        <f t="shared" si="7"/>
        <v>Direct</v>
      </c>
    </row>
    <row r="461" spans="1:11" x14ac:dyDescent="0.25">
      <c r="A461" s="130" t="s">
        <v>1206</v>
      </c>
      <c r="B461" t="s">
        <v>1207</v>
      </c>
      <c r="C461" s="130" t="s">
        <v>820</v>
      </c>
      <c r="D461" t="s">
        <v>821</v>
      </c>
      <c r="E461">
        <v>0</v>
      </c>
      <c r="F461">
        <v>0</v>
      </c>
      <c r="G461">
        <v>0</v>
      </c>
      <c r="H461">
        <v>0</v>
      </c>
      <c r="I461">
        <v>0</v>
      </c>
      <c r="J461" t="str">
        <f>IFERROR(VLOOKUP(A461&amp;"",'BEA Buyer Groups'!$A$4:$C$500,3,FALSE),"Not used")</f>
        <v>Not used</v>
      </c>
      <c r="K461" t="str">
        <f t="shared" si="7"/>
        <v>Direct</v>
      </c>
    </row>
    <row r="462" spans="1:11" x14ac:dyDescent="0.25">
      <c r="A462" s="130" t="s">
        <v>1208</v>
      </c>
      <c r="B462" t="s">
        <v>1209</v>
      </c>
      <c r="C462" s="130" t="s">
        <v>820</v>
      </c>
      <c r="D462" t="s">
        <v>821</v>
      </c>
      <c r="E462">
        <v>2</v>
      </c>
      <c r="F462">
        <v>0</v>
      </c>
      <c r="G462">
        <v>1</v>
      </c>
      <c r="H462">
        <v>0</v>
      </c>
      <c r="I462">
        <v>4</v>
      </c>
      <c r="J462" t="str">
        <f>IFERROR(VLOOKUP(A462&amp;"",'BEA Buyer Groups'!$A$4:$C$500,3,FALSE),"Not used")</f>
        <v>Not used</v>
      </c>
      <c r="K462" t="str">
        <f t="shared" si="7"/>
        <v>Direct</v>
      </c>
    </row>
    <row r="463" spans="1:11" x14ac:dyDescent="0.25">
      <c r="A463" s="130" t="s">
        <v>1208</v>
      </c>
      <c r="B463" t="s">
        <v>1209</v>
      </c>
      <c r="C463" s="130" t="s">
        <v>822</v>
      </c>
      <c r="D463" t="s">
        <v>823</v>
      </c>
      <c r="E463">
        <v>0</v>
      </c>
      <c r="F463">
        <v>0</v>
      </c>
      <c r="G463">
        <v>0</v>
      </c>
      <c r="H463">
        <v>0</v>
      </c>
      <c r="I463">
        <v>0</v>
      </c>
      <c r="J463" t="str">
        <f>IFERROR(VLOOKUP(A463&amp;"",'BEA Buyer Groups'!$A$4:$C$500,3,FALSE),"Not used")</f>
        <v>Not used</v>
      </c>
      <c r="K463" t="str">
        <f t="shared" si="7"/>
        <v>Direct</v>
      </c>
    </row>
    <row r="464" spans="1:11" x14ac:dyDescent="0.25">
      <c r="A464" s="130" t="s">
        <v>1210</v>
      </c>
      <c r="B464" t="s">
        <v>1211</v>
      </c>
      <c r="C464" s="130" t="s">
        <v>820</v>
      </c>
      <c r="D464" t="s">
        <v>821</v>
      </c>
      <c r="E464">
        <v>0</v>
      </c>
      <c r="F464">
        <v>0</v>
      </c>
      <c r="G464">
        <v>0</v>
      </c>
      <c r="H464">
        <v>0</v>
      </c>
      <c r="I464">
        <v>0</v>
      </c>
      <c r="J464" t="str">
        <f>IFERROR(VLOOKUP(A464&amp;"",'BEA Buyer Groups'!$A$4:$C$500,3,FALSE),"Not used")</f>
        <v>Not used</v>
      </c>
      <c r="K464" t="str">
        <f t="shared" si="7"/>
        <v>Direct</v>
      </c>
    </row>
    <row r="465" spans="1:11" x14ac:dyDescent="0.25">
      <c r="A465" s="130" t="s">
        <v>810</v>
      </c>
      <c r="B465" t="s">
        <v>811</v>
      </c>
      <c r="C465" s="130" t="s">
        <v>820</v>
      </c>
      <c r="D465" t="s">
        <v>821</v>
      </c>
      <c r="E465">
        <v>0</v>
      </c>
      <c r="F465">
        <v>0</v>
      </c>
      <c r="G465">
        <v>0</v>
      </c>
      <c r="H465">
        <v>0</v>
      </c>
      <c r="I465">
        <v>0</v>
      </c>
      <c r="J465" t="str">
        <f>IFERROR(VLOOKUP(A465&amp;"",'BEA Buyer Groups'!$A$4:$C$500,3,FALSE),"Not used")</f>
        <v>Not used</v>
      </c>
      <c r="K465" t="str">
        <f t="shared" si="7"/>
        <v>Direct</v>
      </c>
    </row>
    <row r="466" spans="1:11" x14ac:dyDescent="0.25">
      <c r="A466" s="130" t="s">
        <v>810</v>
      </c>
      <c r="B466" t="s">
        <v>811</v>
      </c>
      <c r="C466" s="130" t="s">
        <v>810</v>
      </c>
      <c r="D466" t="s">
        <v>811</v>
      </c>
      <c r="E466">
        <v>211</v>
      </c>
      <c r="F466">
        <v>2</v>
      </c>
      <c r="G466">
        <v>66</v>
      </c>
      <c r="H466">
        <v>0</v>
      </c>
      <c r="I466">
        <v>279</v>
      </c>
      <c r="J466" t="str">
        <f>IFERROR(VLOOKUP(A466&amp;"",'BEA Buyer Groups'!$A$4:$C$500,3,FALSE),"Not used")</f>
        <v>Not used</v>
      </c>
      <c r="K466" t="str">
        <f t="shared" si="7"/>
        <v>Direct</v>
      </c>
    </row>
    <row r="467" spans="1:11" x14ac:dyDescent="0.25">
      <c r="A467" s="130" t="s">
        <v>816</v>
      </c>
      <c r="B467" t="s">
        <v>817</v>
      </c>
      <c r="C467" s="130" t="s">
        <v>820</v>
      </c>
      <c r="D467" t="s">
        <v>821</v>
      </c>
      <c r="E467">
        <v>0</v>
      </c>
      <c r="F467">
        <v>0</v>
      </c>
      <c r="G467">
        <v>0</v>
      </c>
      <c r="H467">
        <v>0</v>
      </c>
      <c r="I467">
        <v>0</v>
      </c>
      <c r="J467" t="str">
        <f>IFERROR(VLOOKUP(A467&amp;"",'BEA Buyer Groups'!$A$4:$C$500,3,FALSE),"Not used")</f>
        <v>Not used</v>
      </c>
      <c r="K467" t="str">
        <f t="shared" si="7"/>
        <v>Direct</v>
      </c>
    </row>
    <row r="468" spans="1:11" x14ac:dyDescent="0.25">
      <c r="A468" s="130" t="s">
        <v>816</v>
      </c>
      <c r="B468" t="s">
        <v>817</v>
      </c>
      <c r="C468" s="130" t="s">
        <v>822</v>
      </c>
      <c r="D468" t="s">
        <v>823</v>
      </c>
      <c r="E468">
        <v>18</v>
      </c>
      <c r="F468">
        <v>1</v>
      </c>
      <c r="G468">
        <v>8</v>
      </c>
      <c r="H468">
        <v>0</v>
      </c>
      <c r="I468">
        <v>26</v>
      </c>
      <c r="J468" t="str">
        <f>IFERROR(VLOOKUP(A468&amp;"",'BEA Buyer Groups'!$A$4:$C$500,3,FALSE),"Not used")</f>
        <v>Not used</v>
      </c>
      <c r="K468" t="str">
        <f t="shared" si="7"/>
        <v>Direct</v>
      </c>
    </row>
    <row r="469" spans="1:11" x14ac:dyDescent="0.25">
      <c r="A469" s="130" t="s">
        <v>816</v>
      </c>
      <c r="B469" t="s">
        <v>817</v>
      </c>
      <c r="C469" s="130" t="s">
        <v>810</v>
      </c>
      <c r="D469" t="s">
        <v>811</v>
      </c>
      <c r="E469">
        <v>442</v>
      </c>
      <c r="F469">
        <v>4</v>
      </c>
      <c r="G469">
        <v>139</v>
      </c>
      <c r="H469">
        <v>0</v>
      </c>
      <c r="I469">
        <v>585</v>
      </c>
      <c r="J469" t="str">
        <f>IFERROR(VLOOKUP(A469&amp;"",'BEA Buyer Groups'!$A$4:$C$500,3,FALSE),"Not used")</f>
        <v>Not used</v>
      </c>
      <c r="K469" t="str">
        <f t="shared" si="7"/>
        <v>Direct</v>
      </c>
    </row>
    <row r="470" spans="1:11" x14ac:dyDescent="0.25">
      <c r="A470" s="130" t="s">
        <v>816</v>
      </c>
      <c r="B470" t="s">
        <v>817</v>
      </c>
      <c r="C470" s="130" t="s">
        <v>816</v>
      </c>
      <c r="D470" t="s">
        <v>817</v>
      </c>
      <c r="E470">
        <v>187</v>
      </c>
      <c r="F470">
        <v>11</v>
      </c>
      <c r="G470">
        <v>27</v>
      </c>
      <c r="H470">
        <v>0</v>
      </c>
      <c r="I470">
        <v>225</v>
      </c>
      <c r="J470" t="str">
        <f>IFERROR(VLOOKUP(A470&amp;"",'BEA Buyer Groups'!$A$4:$C$500,3,FALSE),"Not used")</f>
        <v>Not used</v>
      </c>
      <c r="K470" t="str">
        <f t="shared" si="7"/>
        <v>Direct</v>
      </c>
    </row>
    <row r="471" spans="1:11" x14ac:dyDescent="0.25">
      <c r="A471" s="130" t="s">
        <v>846</v>
      </c>
      <c r="B471" t="s">
        <v>847</v>
      </c>
      <c r="C471" s="130" t="s">
        <v>820</v>
      </c>
      <c r="D471" t="s">
        <v>821</v>
      </c>
      <c r="E471">
        <v>0</v>
      </c>
      <c r="F471">
        <v>0</v>
      </c>
      <c r="G471">
        <v>0</v>
      </c>
      <c r="H471">
        <v>0</v>
      </c>
      <c r="I471">
        <v>1</v>
      </c>
      <c r="J471" t="str">
        <f>IFERROR(VLOOKUP(A471&amp;"",'BEA Buyer Groups'!$A$4:$C$500,3,FALSE),"Not used")</f>
        <v>Not used</v>
      </c>
      <c r="K471" t="str">
        <f t="shared" si="7"/>
        <v>Direct</v>
      </c>
    </row>
    <row r="472" spans="1:11" x14ac:dyDescent="0.25">
      <c r="A472" s="130" t="s">
        <v>846</v>
      </c>
      <c r="B472" t="s">
        <v>847</v>
      </c>
      <c r="C472" s="130" t="s">
        <v>846</v>
      </c>
      <c r="D472" t="s">
        <v>847</v>
      </c>
      <c r="E472">
        <v>3</v>
      </c>
      <c r="F472">
        <v>0</v>
      </c>
      <c r="G472">
        <v>0</v>
      </c>
      <c r="H472">
        <v>0</v>
      </c>
      <c r="I472">
        <v>3</v>
      </c>
      <c r="J472" t="str">
        <f>IFERROR(VLOOKUP(A472&amp;"",'BEA Buyer Groups'!$A$4:$C$500,3,FALSE),"Not used")</f>
        <v>Not used</v>
      </c>
      <c r="K472" t="str">
        <f t="shared" si="7"/>
        <v>Direct</v>
      </c>
    </row>
    <row r="473" spans="1:11" x14ac:dyDescent="0.25">
      <c r="A473" s="130" t="s">
        <v>848</v>
      </c>
      <c r="B473" t="s">
        <v>849</v>
      </c>
      <c r="C473" s="130" t="s">
        <v>820</v>
      </c>
      <c r="D473" t="s">
        <v>821</v>
      </c>
      <c r="E473">
        <v>0</v>
      </c>
      <c r="F473">
        <v>0</v>
      </c>
      <c r="G473">
        <v>0</v>
      </c>
      <c r="H473">
        <v>0</v>
      </c>
      <c r="I473">
        <v>0</v>
      </c>
      <c r="J473" t="str">
        <f>IFERROR(VLOOKUP(A473&amp;"",'BEA Buyer Groups'!$A$4:$C$500,3,FALSE),"Not used")</f>
        <v>Not used</v>
      </c>
      <c r="K473" t="str">
        <f t="shared" si="7"/>
        <v>Direct</v>
      </c>
    </row>
    <row r="474" spans="1:11" x14ac:dyDescent="0.25">
      <c r="A474" s="130" t="s">
        <v>848</v>
      </c>
      <c r="B474" t="s">
        <v>849</v>
      </c>
      <c r="C474" s="130" t="s">
        <v>822</v>
      </c>
      <c r="D474" t="s">
        <v>823</v>
      </c>
      <c r="E474">
        <v>122</v>
      </c>
      <c r="F474">
        <v>4</v>
      </c>
      <c r="G474">
        <v>55</v>
      </c>
      <c r="H474">
        <v>0</v>
      </c>
      <c r="I474">
        <v>181</v>
      </c>
      <c r="J474" t="str">
        <f>IFERROR(VLOOKUP(A474&amp;"",'BEA Buyer Groups'!$A$4:$C$500,3,FALSE),"Not used")</f>
        <v>Not used</v>
      </c>
      <c r="K474" t="str">
        <f t="shared" si="7"/>
        <v>Direct</v>
      </c>
    </row>
    <row r="475" spans="1:11" x14ac:dyDescent="0.25">
      <c r="A475" s="130" t="s">
        <v>848</v>
      </c>
      <c r="B475" t="s">
        <v>849</v>
      </c>
      <c r="C475" s="130" t="s">
        <v>810</v>
      </c>
      <c r="D475" t="s">
        <v>811</v>
      </c>
      <c r="E475">
        <v>1</v>
      </c>
      <c r="F475">
        <v>0</v>
      </c>
      <c r="G475">
        <v>0</v>
      </c>
      <c r="H475">
        <v>0</v>
      </c>
      <c r="I475">
        <v>2</v>
      </c>
      <c r="J475" t="str">
        <f>IFERROR(VLOOKUP(A475&amp;"",'BEA Buyer Groups'!$A$4:$C$500,3,FALSE),"Not used")</f>
        <v>Not used</v>
      </c>
      <c r="K475" t="str">
        <f t="shared" si="7"/>
        <v>Direct</v>
      </c>
    </row>
    <row r="476" spans="1:11" x14ac:dyDescent="0.25">
      <c r="A476" s="130" t="s">
        <v>848</v>
      </c>
      <c r="B476" t="s">
        <v>849</v>
      </c>
      <c r="C476" s="130" t="s">
        <v>848</v>
      </c>
      <c r="D476" t="s">
        <v>849</v>
      </c>
      <c r="E476">
        <v>10</v>
      </c>
      <c r="F476">
        <v>0</v>
      </c>
      <c r="G476">
        <v>0</v>
      </c>
      <c r="H476">
        <v>0</v>
      </c>
      <c r="I476">
        <v>10</v>
      </c>
      <c r="J476" t="str">
        <f>IFERROR(VLOOKUP(A476&amp;"",'BEA Buyer Groups'!$A$4:$C$500,3,FALSE),"Not used")</f>
        <v>Not used</v>
      </c>
      <c r="K476" t="str">
        <f t="shared" si="7"/>
        <v>Direct</v>
      </c>
    </row>
    <row r="477" spans="1:11" x14ac:dyDescent="0.25">
      <c r="A477" s="130" t="s">
        <v>1212</v>
      </c>
      <c r="B477" t="s">
        <v>1213</v>
      </c>
      <c r="C477" s="130" t="s">
        <v>820</v>
      </c>
      <c r="D477" t="s">
        <v>821</v>
      </c>
      <c r="E477">
        <v>0</v>
      </c>
      <c r="F477">
        <v>0</v>
      </c>
      <c r="G477">
        <v>0</v>
      </c>
      <c r="H477">
        <v>0</v>
      </c>
      <c r="I477">
        <v>0</v>
      </c>
      <c r="J477" t="str">
        <f>IFERROR(VLOOKUP(A477&amp;"",'BEA Buyer Groups'!$A$4:$C$500,3,FALSE),"Not used")</f>
        <v>Not used</v>
      </c>
      <c r="K477" t="str">
        <f t="shared" si="7"/>
        <v>Direct</v>
      </c>
    </row>
    <row r="478" spans="1:11" x14ac:dyDescent="0.25">
      <c r="A478" s="130" t="s">
        <v>1214</v>
      </c>
      <c r="B478" t="s">
        <v>1215</v>
      </c>
      <c r="C478" s="130" t="s">
        <v>820</v>
      </c>
      <c r="D478" t="s">
        <v>821</v>
      </c>
      <c r="E478">
        <v>0</v>
      </c>
      <c r="F478">
        <v>0</v>
      </c>
      <c r="G478">
        <v>0</v>
      </c>
      <c r="H478">
        <v>0</v>
      </c>
      <c r="I478">
        <v>0</v>
      </c>
      <c r="J478" t="str">
        <f>IFERROR(VLOOKUP(A478&amp;"",'BEA Buyer Groups'!$A$4:$C$500,3,FALSE),"Not used")</f>
        <v>Not used</v>
      </c>
      <c r="K478" t="str">
        <f t="shared" si="7"/>
        <v>Direct</v>
      </c>
    </row>
    <row r="479" spans="1:11" x14ac:dyDescent="0.25">
      <c r="A479" s="130" t="s">
        <v>1214</v>
      </c>
      <c r="B479" t="s">
        <v>1215</v>
      </c>
      <c r="C479" s="130" t="s">
        <v>822</v>
      </c>
      <c r="D479" t="s">
        <v>823</v>
      </c>
      <c r="E479">
        <v>4</v>
      </c>
      <c r="F479">
        <v>0</v>
      </c>
      <c r="G479">
        <v>2</v>
      </c>
      <c r="H479">
        <v>0</v>
      </c>
      <c r="I479">
        <v>5</v>
      </c>
      <c r="J479" t="str">
        <f>IFERROR(VLOOKUP(A479&amp;"",'BEA Buyer Groups'!$A$4:$C$500,3,FALSE),"Not used")</f>
        <v>Not used</v>
      </c>
      <c r="K479" t="str">
        <f t="shared" si="7"/>
        <v>Direct</v>
      </c>
    </row>
    <row r="480" spans="1:11" x14ac:dyDescent="0.25">
      <c r="A480" s="130" t="s">
        <v>1214</v>
      </c>
      <c r="B480" t="s">
        <v>1215</v>
      </c>
      <c r="C480" s="130" t="s">
        <v>810</v>
      </c>
      <c r="D480" t="s">
        <v>811</v>
      </c>
      <c r="E480">
        <v>0</v>
      </c>
      <c r="F480">
        <v>0</v>
      </c>
      <c r="G480">
        <v>0</v>
      </c>
      <c r="H480">
        <v>0</v>
      </c>
      <c r="I480">
        <v>0</v>
      </c>
      <c r="J480" t="str">
        <f>IFERROR(VLOOKUP(A480&amp;"",'BEA Buyer Groups'!$A$4:$C$500,3,FALSE),"Not used")</f>
        <v>Not used</v>
      </c>
      <c r="K480" t="str">
        <f t="shared" si="7"/>
        <v>Direct</v>
      </c>
    </row>
    <row r="481" spans="1:11" x14ac:dyDescent="0.25">
      <c r="A481" s="130" t="s">
        <v>1216</v>
      </c>
      <c r="B481" t="s">
        <v>1217</v>
      </c>
      <c r="C481" s="130" t="s">
        <v>820</v>
      </c>
      <c r="D481" t="s">
        <v>821</v>
      </c>
      <c r="E481">
        <v>0</v>
      </c>
      <c r="F481">
        <v>0</v>
      </c>
      <c r="G481">
        <v>0</v>
      </c>
      <c r="H481">
        <v>0</v>
      </c>
      <c r="I481">
        <v>0</v>
      </c>
      <c r="J481" t="str">
        <f>IFERROR(VLOOKUP(A481&amp;"",'BEA Buyer Groups'!$A$4:$C$500,3,FALSE),"Not used")</f>
        <v>Not used</v>
      </c>
      <c r="K481" t="str">
        <f t="shared" si="7"/>
        <v>Direct</v>
      </c>
    </row>
    <row r="482" spans="1:11" x14ac:dyDescent="0.25">
      <c r="A482" s="130" t="s">
        <v>1216</v>
      </c>
      <c r="B482" t="s">
        <v>1217</v>
      </c>
      <c r="C482" s="130" t="s">
        <v>822</v>
      </c>
      <c r="D482" t="s">
        <v>823</v>
      </c>
      <c r="E482">
        <v>1</v>
      </c>
      <c r="F482">
        <v>0</v>
      </c>
      <c r="G482">
        <v>0</v>
      </c>
      <c r="H482">
        <v>0</v>
      </c>
      <c r="I482">
        <v>1</v>
      </c>
      <c r="J482" t="str">
        <f>IFERROR(VLOOKUP(A482&amp;"",'BEA Buyer Groups'!$A$4:$C$500,3,FALSE),"Not used")</f>
        <v>Not used</v>
      </c>
      <c r="K482" t="str">
        <f t="shared" si="7"/>
        <v>Direct</v>
      </c>
    </row>
    <row r="483" spans="1:11" x14ac:dyDescent="0.25">
      <c r="A483" s="130" t="s">
        <v>1218</v>
      </c>
      <c r="B483" t="s">
        <v>1219</v>
      </c>
      <c r="C483" s="130" t="s">
        <v>820</v>
      </c>
      <c r="D483" t="s">
        <v>821</v>
      </c>
      <c r="E483">
        <v>1</v>
      </c>
      <c r="F483">
        <v>0</v>
      </c>
      <c r="G483">
        <v>0</v>
      </c>
      <c r="H483">
        <v>0</v>
      </c>
      <c r="I483">
        <v>1</v>
      </c>
      <c r="J483" t="str">
        <f>IFERROR(VLOOKUP(A483&amp;"",'BEA Buyer Groups'!$A$4:$C$500,3,FALSE),"Not used")</f>
        <v>Not used</v>
      </c>
      <c r="K483" t="str">
        <f t="shared" si="7"/>
        <v>Direct</v>
      </c>
    </row>
    <row r="484" spans="1:11" x14ac:dyDescent="0.25">
      <c r="A484" s="130" t="s">
        <v>1220</v>
      </c>
      <c r="B484" t="s">
        <v>1221</v>
      </c>
      <c r="C484" s="130" t="s">
        <v>820</v>
      </c>
      <c r="D484" t="s">
        <v>821</v>
      </c>
      <c r="E484">
        <v>0</v>
      </c>
      <c r="F484">
        <v>0</v>
      </c>
      <c r="G484">
        <v>0</v>
      </c>
      <c r="H484">
        <v>0</v>
      </c>
      <c r="I484">
        <v>0</v>
      </c>
      <c r="J484" t="str">
        <f>IFERROR(VLOOKUP(A484&amp;"",'BEA Buyer Groups'!$A$4:$C$500,3,FALSE),"Not used")</f>
        <v>Not used</v>
      </c>
      <c r="K484" t="str">
        <f t="shared" si="7"/>
        <v>Direct</v>
      </c>
    </row>
    <row r="485" spans="1:11" x14ac:dyDescent="0.25">
      <c r="A485" s="130" t="s">
        <v>1222</v>
      </c>
      <c r="B485" t="s">
        <v>1223</v>
      </c>
      <c r="C485" s="130" t="s">
        <v>820</v>
      </c>
      <c r="D485" t="s">
        <v>821</v>
      </c>
      <c r="E485">
        <v>0</v>
      </c>
      <c r="F485">
        <v>0</v>
      </c>
      <c r="G485">
        <v>0</v>
      </c>
      <c r="H485">
        <v>0</v>
      </c>
      <c r="I485">
        <v>0</v>
      </c>
      <c r="J485" t="str">
        <f>IFERROR(VLOOKUP(A485&amp;"",'BEA Buyer Groups'!$A$4:$C$500,3,FALSE),"Not used")</f>
        <v>Not used</v>
      </c>
      <c r="K485" t="str">
        <f t="shared" si="7"/>
        <v>Direct</v>
      </c>
    </row>
    <row r="486" spans="1:11" x14ac:dyDescent="0.25">
      <c r="A486" s="130" t="s">
        <v>1222</v>
      </c>
      <c r="B486" t="s">
        <v>1223</v>
      </c>
      <c r="C486" s="130" t="s">
        <v>822</v>
      </c>
      <c r="D486" t="s">
        <v>823</v>
      </c>
      <c r="E486">
        <v>0</v>
      </c>
      <c r="F486">
        <v>0</v>
      </c>
      <c r="G486">
        <v>0</v>
      </c>
      <c r="H486">
        <v>0</v>
      </c>
      <c r="I486">
        <v>0</v>
      </c>
      <c r="J486" t="str">
        <f>IFERROR(VLOOKUP(A486&amp;"",'BEA Buyer Groups'!$A$4:$C$500,3,FALSE),"Not used")</f>
        <v>Not used</v>
      </c>
      <c r="K486" t="str">
        <f t="shared" si="7"/>
        <v>Direct</v>
      </c>
    </row>
    <row r="487" spans="1:11" x14ac:dyDescent="0.25">
      <c r="A487" s="130" t="s">
        <v>1224</v>
      </c>
      <c r="B487" t="s">
        <v>1225</v>
      </c>
      <c r="C487" s="130" t="s">
        <v>820</v>
      </c>
      <c r="D487" t="s">
        <v>821</v>
      </c>
      <c r="E487">
        <v>0</v>
      </c>
      <c r="F487">
        <v>0</v>
      </c>
      <c r="G487">
        <v>0</v>
      </c>
      <c r="H487">
        <v>0</v>
      </c>
      <c r="I487">
        <v>0</v>
      </c>
      <c r="J487" t="str">
        <f>IFERROR(VLOOKUP(A487&amp;"",'BEA Buyer Groups'!$A$4:$C$500,3,FALSE),"Not used")</f>
        <v>Not used</v>
      </c>
      <c r="K487" t="str">
        <f t="shared" si="7"/>
        <v>Direct</v>
      </c>
    </row>
    <row r="488" spans="1:11" x14ac:dyDescent="0.25">
      <c r="A488" s="130" t="s">
        <v>1226</v>
      </c>
      <c r="B488" t="s">
        <v>1227</v>
      </c>
      <c r="C488" s="130" t="s">
        <v>820</v>
      </c>
      <c r="D488" t="s">
        <v>821</v>
      </c>
      <c r="E488">
        <v>5</v>
      </c>
      <c r="F488">
        <v>0</v>
      </c>
      <c r="G488">
        <v>2</v>
      </c>
      <c r="H488">
        <v>0</v>
      </c>
      <c r="I488">
        <v>7</v>
      </c>
      <c r="J488" t="str">
        <f>IFERROR(VLOOKUP(A488&amp;"",'BEA Buyer Groups'!$A$4:$C$500,3,FALSE),"Not used")</f>
        <v>Not used</v>
      </c>
      <c r="K488" t="str">
        <f t="shared" si="7"/>
        <v>Direct</v>
      </c>
    </row>
    <row r="489" spans="1:11" x14ac:dyDescent="0.25">
      <c r="A489" s="130" t="s">
        <v>1226</v>
      </c>
      <c r="B489" t="s">
        <v>1227</v>
      </c>
      <c r="C489" s="130" t="s">
        <v>822</v>
      </c>
      <c r="D489" t="s">
        <v>823</v>
      </c>
      <c r="E489">
        <v>5</v>
      </c>
      <c r="F489">
        <v>0</v>
      </c>
      <c r="G489">
        <v>2</v>
      </c>
      <c r="H489">
        <v>0</v>
      </c>
      <c r="I489">
        <v>8</v>
      </c>
      <c r="J489" t="str">
        <f>IFERROR(VLOOKUP(A489&amp;"",'BEA Buyer Groups'!$A$4:$C$500,3,FALSE),"Not used")</f>
        <v>Not used</v>
      </c>
      <c r="K489" t="str">
        <f t="shared" si="7"/>
        <v>Direct</v>
      </c>
    </row>
    <row r="490" spans="1:11" x14ac:dyDescent="0.25">
      <c r="A490" s="130" t="s">
        <v>1228</v>
      </c>
      <c r="B490" t="s">
        <v>1229</v>
      </c>
      <c r="C490" s="130" t="s">
        <v>820</v>
      </c>
      <c r="D490" t="s">
        <v>821</v>
      </c>
      <c r="E490">
        <v>0</v>
      </c>
      <c r="F490">
        <v>0</v>
      </c>
      <c r="G490">
        <v>0</v>
      </c>
      <c r="H490">
        <v>0</v>
      </c>
      <c r="I490">
        <v>0</v>
      </c>
      <c r="J490" t="str">
        <f>IFERROR(VLOOKUP(A490&amp;"",'BEA Buyer Groups'!$A$4:$C$500,3,FALSE),"Not used")</f>
        <v>Not used</v>
      </c>
      <c r="K490" t="str">
        <f t="shared" si="7"/>
        <v>Direct</v>
      </c>
    </row>
    <row r="491" spans="1:11" x14ac:dyDescent="0.25">
      <c r="A491" s="130" t="s">
        <v>1230</v>
      </c>
      <c r="B491" t="s">
        <v>1231</v>
      </c>
      <c r="C491" s="130" t="s">
        <v>820</v>
      </c>
      <c r="D491" t="s">
        <v>821</v>
      </c>
      <c r="E491">
        <v>0</v>
      </c>
      <c r="F491">
        <v>0</v>
      </c>
      <c r="G491">
        <v>0</v>
      </c>
      <c r="H491">
        <v>0</v>
      </c>
      <c r="I491">
        <v>1</v>
      </c>
      <c r="J491" t="str">
        <f>IFERROR(VLOOKUP(A491&amp;"",'BEA Buyer Groups'!$A$4:$C$500,3,FALSE),"Not used")</f>
        <v>Not used</v>
      </c>
      <c r="K491" t="str">
        <f t="shared" si="7"/>
        <v>Direct</v>
      </c>
    </row>
    <row r="492" spans="1:11" x14ac:dyDescent="0.25">
      <c r="A492" s="130" t="s">
        <v>1230</v>
      </c>
      <c r="B492" t="s">
        <v>1231</v>
      </c>
      <c r="C492" s="130" t="s">
        <v>860</v>
      </c>
      <c r="D492" t="s">
        <v>861</v>
      </c>
      <c r="E492">
        <v>0</v>
      </c>
      <c r="F492">
        <v>0</v>
      </c>
      <c r="G492">
        <v>0</v>
      </c>
      <c r="H492">
        <v>0</v>
      </c>
      <c r="I492">
        <v>0</v>
      </c>
      <c r="J492" t="str">
        <f>IFERROR(VLOOKUP(A492&amp;"",'BEA Buyer Groups'!$A$4:$C$500,3,FALSE),"Not used")</f>
        <v>Not used</v>
      </c>
      <c r="K492" t="str">
        <f t="shared" si="7"/>
        <v>Direct</v>
      </c>
    </row>
    <row r="493" spans="1:11" x14ac:dyDescent="0.25">
      <c r="A493" s="130" t="s">
        <v>1232</v>
      </c>
      <c r="B493" t="s">
        <v>1233</v>
      </c>
      <c r="C493" s="130" t="s">
        <v>820</v>
      </c>
      <c r="D493" t="s">
        <v>821</v>
      </c>
      <c r="E493">
        <v>0</v>
      </c>
      <c r="F493">
        <v>0</v>
      </c>
      <c r="G493">
        <v>0</v>
      </c>
      <c r="H493">
        <v>0</v>
      </c>
      <c r="I493">
        <v>0</v>
      </c>
      <c r="J493" t="str">
        <f>IFERROR(VLOOKUP(A493&amp;"",'BEA Buyer Groups'!$A$4:$C$500,3,FALSE),"Not used")</f>
        <v>Not used</v>
      </c>
      <c r="K493" t="str">
        <f t="shared" si="7"/>
        <v>Direct</v>
      </c>
    </row>
    <row r="494" spans="1:11" x14ac:dyDescent="0.25">
      <c r="A494" s="130" t="s">
        <v>1232</v>
      </c>
      <c r="B494" t="s">
        <v>1233</v>
      </c>
      <c r="C494" s="130" t="s">
        <v>822</v>
      </c>
      <c r="D494" t="s">
        <v>823</v>
      </c>
      <c r="E494">
        <v>194</v>
      </c>
      <c r="F494">
        <v>6</v>
      </c>
      <c r="G494">
        <v>88</v>
      </c>
      <c r="H494">
        <v>0</v>
      </c>
      <c r="I494">
        <v>288</v>
      </c>
      <c r="J494" t="str">
        <f>IFERROR(VLOOKUP(A494&amp;"",'BEA Buyer Groups'!$A$4:$C$500,3,FALSE),"Not used")</f>
        <v>Not used</v>
      </c>
      <c r="K494" t="str">
        <f t="shared" si="7"/>
        <v>Direct</v>
      </c>
    </row>
    <row r="495" spans="1:11" x14ac:dyDescent="0.25">
      <c r="A495" s="130" t="s">
        <v>1232</v>
      </c>
      <c r="B495" t="s">
        <v>1233</v>
      </c>
      <c r="C495" s="130" t="s">
        <v>806</v>
      </c>
      <c r="D495" t="s">
        <v>807</v>
      </c>
      <c r="E495">
        <v>80</v>
      </c>
      <c r="F495">
        <v>1</v>
      </c>
      <c r="G495">
        <v>22</v>
      </c>
      <c r="H495">
        <v>0</v>
      </c>
      <c r="I495">
        <v>103</v>
      </c>
      <c r="J495" t="str">
        <f>IFERROR(VLOOKUP(A495&amp;"",'BEA Buyer Groups'!$A$4:$C$500,3,FALSE),"Not used")</f>
        <v>Not used</v>
      </c>
      <c r="K495" t="str">
        <f t="shared" si="7"/>
        <v>Direct</v>
      </c>
    </row>
    <row r="496" spans="1:11" x14ac:dyDescent="0.25">
      <c r="A496" s="130" t="s">
        <v>1232</v>
      </c>
      <c r="B496" t="s">
        <v>1233</v>
      </c>
      <c r="C496" s="130" t="s">
        <v>860</v>
      </c>
      <c r="D496" t="s">
        <v>861</v>
      </c>
      <c r="E496">
        <v>197</v>
      </c>
      <c r="F496">
        <v>2</v>
      </c>
      <c r="G496">
        <v>68</v>
      </c>
      <c r="H496">
        <v>0</v>
      </c>
      <c r="I496">
        <v>267</v>
      </c>
      <c r="J496" t="str">
        <f>IFERROR(VLOOKUP(A496&amp;"",'BEA Buyer Groups'!$A$4:$C$500,3,FALSE),"Not used")</f>
        <v>Not used</v>
      </c>
      <c r="K496" t="str">
        <f t="shared" si="7"/>
        <v>Direct</v>
      </c>
    </row>
    <row r="497" spans="1:11" x14ac:dyDescent="0.25">
      <c r="A497" s="130" t="s">
        <v>1232</v>
      </c>
      <c r="B497" t="s">
        <v>1233</v>
      </c>
      <c r="C497" s="130" t="s">
        <v>810</v>
      </c>
      <c r="D497" t="s">
        <v>811</v>
      </c>
      <c r="E497">
        <v>17</v>
      </c>
      <c r="F497">
        <v>0</v>
      </c>
      <c r="G497">
        <v>5</v>
      </c>
      <c r="H497">
        <v>0</v>
      </c>
      <c r="I497">
        <v>22</v>
      </c>
      <c r="J497" t="str">
        <f>IFERROR(VLOOKUP(A497&amp;"",'BEA Buyer Groups'!$A$4:$C$500,3,FALSE),"Not used")</f>
        <v>Not used</v>
      </c>
      <c r="K497" t="str">
        <f t="shared" si="7"/>
        <v>Direct</v>
      </c>
    </row>
    <row r="498" spans="1:11" x14ac:dyDescent="0.25">
      <c r="A498" s="130" t="s">
        <v>1234</v>
      </c>
      <c r="B498" t="s">
        <v>1235</v>
      </c>
      <c r="C498" s="130" t="s">
        <v>820</v>
      </c>
      <c r="D498" t="s">
        <v>821</v>
      </c>
      <c r="E498">
        <v>0</v>
      </c>
      <c r="F498">
        <v>0</v>
      </c>
      <c r="G498">
        <v>0</v>
      </c>
      <c r="H498">
        <v>0</v>
      </c>
      <c r="I498">
        <v>0</v>
      </c>
      <c r="J498" t="str">
        <f>IFERROR(VLOOKUP(A498&amp;"",'BEA Buyer Groups'!$A$4:$C$500,3,FALSE),"Not used")</f>
        <v>Not used</v>
      </c>
      <c r="K498" t="str">
        <f t="shared" si="7"/>
        <v>Direct</v>
      </c>
    </row>
    <row r="499" spans="1:11" x14ac:dyDescent="0.25">
      <c r="A499" s="130" t="s">
        <v>1234</v>
      </c>
      <c r="B499" t="s">
        <v>1235</v>
      </c>
      <c r="C499" s="130" t="s">
        <v>822</v>
      </c>
      <c r="D499" t="s">
        <v>823</v>
      </c>
      <c r="E499">
        <v>1369</v>
      </c>
      <c r="F499">
        <v>40</v>
      </c>
      <c r="G499">
        <v>619</v>
      </c>
      <c r="H499">
        <v>0</v>
      </c>
      <c r="I499">
        <v>2028</v>
      </c>
      <c r="J499" t="str">
        <f>IFERROR(VLOOKUP(A499&amp;"",'BEA Buyer Groups'!$A$4:$C$500,3,FALSE),"Not used")</f>
        <v>Not used</v>
      </c>
      <c r="K499" t="str">
        <f t="shared" si="7"/>
        <v>Direct</v>
      </c>
    </row>
    <row r="500" spans="1:11" x14ac:dyDescent="0.25">
      <c r="A500" s="130" t="s">
        <v>1234</v>
      </c>
      <c r="B500" t="s">
        <v>1235</v>
      </c>
      <c r="C500" s="130" t="s">
        <v>806</v>
      </c>
      <c r="D500" t="s">
        <v>807</v>
      </c>
      <c r="E500">
        <v>537</v>
      </c>
      <c r="F500">
        <v>5</v>
      </c>
      <c r="G500">
        <v>150</v>
      </c>
      <c r="H500">
        <v>0</v>
      </c>
      <c r="I500">
        <v>692</v>
      </c>
      <c r="J500" t="str">
        <f>IFERROR(VLOOKUP(A500&amp;"",'BEA Buyer Groups'!$A$4:$C$500,3,FALSE),"Not used")</f>
        <v>Not used</v>
      </c>
      <c r="K500" t="str">
        <f t="shared" si="7"/>
        <v>Direct</v>
      </c>
    </row>
    <row r="501" spans="1:11" x14ac:dyDescent="0.25">
      <c r="A501" s="130" t="s">
        <v>1234</v>
      </c>
      <c r="B501" t="s">
        <v>1235</v>
      </c>
      <c r="C501" s="130" t="s">
        <v>860</v>
      </c>
      <c r="D501" t="s">
        <v>861</v>
      </c>
      <c r="E501">
        <v>1571</v>
      </c>
      <c r="F501">
        <v>15</v>
      </c>
      <c r="G501">
        <v>544</v>
      </c>
      <c r="H501">
        <v>0</v>
      </c>
      <c r="I501">
        <v>2130</v>
      </c>
      <c r="J501" t="str">
        <f>IFERROR(VLOOKUP(A501&amp;"",'BEA Buyer Groups'!$A$4:$C$500,3,FALSE),"Not used")</f>
        <v>Not used</v>
      </c>
      <c r="K501" t="str">
        <f t="shared" si="7"/>
        <v>Direct</v>
      </c>
    </row>
    <row r="502" spans="1:11" x14ac:dyDescent="0.25">
      <c r="A502" s="130" t="s">
        <v>1234</v>
      </c>
      <c r="B502" t="s">
        <v>1235</v>
      </c>
      <c r="C502" s="130" t="s">
        <v>810</v>
      </c>
      <c r="D502" t="s">
        <v>811</v>
      </c>
      <c r="E502">
        <v>79</v>
      </c>
      <c r="F502">
        <v>1</v>
      </c>
      <c r="G502">
        <v>25</v>
      </c>
      <c r="H502">
        <v>0</v>
      </c>
      <c r="I502">
        <v>105</v>
      </c>
      <c r="J502" t="str">
        <f>IFERROR(VLOOKUP(A502&amp;"",'BEA Buyer Groups'!$A$4:$C$500,3,FALSE),"Not used")</f>
        <v>Not used</v>
      </c>
      <c r="K502" t="str">
        <f t="shared" si="7"/>
        <v>Direct</v>
      </c>
    </row>
    <row r="503" spans="1:11" x14ac:dyDescent="0.25">
      <c r="A503" s="130" t="s">
        <v>1236</v>
      </c>
      <c r="B503" t="s">
        <v>1237</v>
      </c>
      <c r="C503" s="130" t="s">
        <v>820</v>
      </c>
      <c r="D503" t="s">
        <v>821</v>
      </c>
      <c r="E503">
        <v>0</v>
      </c>
      <c r="F503">
        <v>0</v>
      </c>
      <c r="G503">
        <v>0</v>
      </c>
      <c r="H503">
        <v>0</v>
      </c>
      <c r="I503">
        <v>0</v>
      </c>
      <c r="J503" t="str">
        <f>IFERROR(VLOOKUP(A503&amp;"",'BEA Buyer Groups'!$A$4:$C$500,3,FALSE),"Not used")</f>
        <v>Not used</v>
      </c>
      <c r="K503" t="str">
        <f t="shared" si="7"/>
        <v>Direct</v>
      </c>
    </row>
    <row r="504" spans="1:11" x14ac:dyDescent="0.25">
      <c r="A504" s="130" t="s">
        <v>1236</v>
      </c>
      <c r="B504" t="s">
        <v>1237</v>
      </c>
      <c r="C504" s="130" t="s">
        <v>822</v>
      </c>
      <c r="D504" t="s">
        <v>823</v>
      </c>
      <c r="E504">
        <v>146</v>
      </c>
      <c r="F504">
        <v>4</v>
      </c>
      <c r="G504">
        <v>65</v>
      </c>
      <c r="H504">
        <v>0</v>
      </c>
      <c r="I504">
        <v>216</v>
      </c>
      <c r="J504" t="str">
        <f>IFERROR(VLOOKUP(A504&amp;"",'BEA Buyer Groups'!$A$4:$C$500,3,FALSE),"Not used")</f>
        <v>Not used</v>
      </c>
      <c r="K504" t="str">
        <f t="shared" si="7"/>
        <v>Direct</v>
      </c>
    </row>
    <row r="505" spans="1:11" x14ac:dyDescent="0.25">
      <c r="A505" s="130" t="s">
        <v>1236</v>
      </c>
      <c r="B505" t="s">
        <v>1237</v>
      </c>
      <c r="C505" s="130" t="s">
        <v>806</v>
      </c>
      <c r="D505" t="s">
        <v>807</v>
      </c>
      <c r="E505">
        <v>18</v>
      </c>
      <c r="F505">
        <v>0</v>
      </c>
      <c r="G505">
        <v>5</v>
      </c>
      <c r="H505">
        <v>0</v>
      </c>
      <c r="I505">
        <v>23</v>
      </c>
      <c r="J505" t="str">
        <f>IFERROR(VLOOKUP(A505&amp;"",'BEA Buyer Groups'!$A$4:$C$500,3,FALSE),"Not used")</f>
        <v>Not used</v>
      </c>
      <c r="K505" t="str">
        <f t="shared" si="7"/>
        <v>Direct</v>
      </c>
    </row>
    <row r="506" spans="1:11" x14ac:dyDescent="0.25">
      <c r="A506" s="130" t="s">
        <v>1236</v>
      </c>
      <c r="B506" t="s">
        <v>1237</v>
      </c>
      <c r="C506" s="130" t="s">
        <v>860</v>
      </c>
      <c r="D506" t="s">
        <v>861</v>
      </c>
      <c r="E506">
        <v>37</v>
      </c>
      <c r="F506">
        <v>0</v>
      </c>
      <c r="G506">
        <v>13</v>
      </c>
      <c r="H506">
        <v>0</v>
      </c>
      <c r="I506">
        <v>51</v>
      </c>
      <c r="J506" t="str">
        <f>IFERROR(VLOOKUP(A506&amp;"",'BEA Buyer Groups'!$A$4:$C$500,3,FALSE),"Not used")</f>
        <v>Not used</v>
      </c>
      <c r="K506" t="str">
        <f t="shared" si="7"/>
        <v>Direct</v>
      </c>
    </row>
    <row r="507" spans="1:11" x14ac:dyDescent="0.25">
      <c r="A507" s="130" t="s">
        <v>1236</v>
      </c>
      <c r="B507" t="s">
        <v>1237</v>
      </c>
      <c r="C507" s="130" t="s">
        <v>810</v>
      </c>
      <c r="D507" t="s">
        <v>811</v>
      </c>
      <c r="E507">
        <v>6</v>
      </c>
      <c r="F507">
        <v>0</v>
      </c>
      <c r="G507">
        <v>2</v>
      </c>
      <c r="H507">
        <v>0</v>
      </c>
      <c r="I507">
        <v>8</v>
      </c>
      <c r="J507" t="str">
        <f>IFERROR(VLOOKUP(A507&amp;"",'BEA Buyer Groups'!$A$4:$C$500,3,FALSE),"Not used")</f>
        <v>Not used</v>
      </c>
      <c r="K507" t="str">
        <f t="shared" si="7"/>
        <v>Direct</v>
      </c>
    </row>
    <row r="508" spans="1:11" x14ac:dyDescent="0.25">
      <c r="A508" s="130" t="s">
        <v>1238</v>
      </c>
      <c r="B508" t="s">
        <v>1239</v>
      </c>
      <c r="C508" s="130" t="s">
        <v>820</v>
      </c>
      <c r="D508" t="s">
        <v>821</v>
      </c>
      <c r="E508">
        <v>2</v>
      </c>
      <c r="F508">
        <v>0</v>
      </c>
      <c r="G508">
        <v>1</v>
      </c>
      <c r="H508">
        <v>0</v>
      </c>
      <c r="I508">
        <v>3</v>
      </c>
      <c r="J508" t="str">
        <f>IFERROR(VLOOKUP(A508&amp;"",'BEA Buyer Groups'!$A$4:$C$500,3,FALSE),"Not used")</f>
        <v>Not used</v>
      </c>
      <c r="K508" t="str">
        <f t="shared" si="7"/>
        <v>Direct</v>
      </c>
    </row>
    <row r="509" spans="1:11" x14ac:dyDescent="0.25">
      <c r="A509" s="130" t="s">
        <v>1238</v>
      </c>
      <c r="B509" t="s">
        <v>1239</v>
      </c>
      <c r="C509" s="130" t="s">
        <v>822</v>
      </c>
      <c r="D509" t="s">
        <v>823</v>
      </c>
      <c r="E509">
        <v>2</v>
      </c>
      <c r="F509">
        <v>0</v>
      </c>
      <c r="G509">
        <v>1</v>
      </c>
      <c r="H509">
        <v>0</v>
      </c>
      <c r="I509">
        <v>2</v>
      </c>
      <c r="J509" t="str">
        <f>IFERROR(VLOOKUP(A509&amp;"",'BEA Buyer Groups'!$A$4:$C$500,3,FALSE),"Not used")</f>
        <v>Not used</v>
      </c>
      <c r="K509" t="str">
        <f t="shared" si="7"/>
        <v>Direct</v>
      </c>
    </row>
    <row r="510" spans="1:11" x14ac:dyDescent="0.25">
      <c r="A510" s="130" t="s">
        <v>1238</v>
      </c>
      <c r="B510" t="s">
        <v>1239</v>
      </c>
      <c r="C510" s="130" t="s">
        <v>810</v>
      </c>
      <c r="D510" t="s">
        <v>811</v>
      </c>
      <c r="E510">
        <v>1</v>
      </c>
      <c r="F510">
        <v>0</v>
      </c>
      <c r="G510">
        <v>0</v>
      </c>
      <c r="H510">
        <v>0</v>
      </c>
      <c r="I510">
        <v>1</v>
      </c>
      <c r="J510" t="str">
        <f>IFERROR(VLOOKUP(A510&amp;"",'BEA Buyer Groups'!$A$4:$C$500,3,FALSE),"Not used")</f>
        <v>Not used</v>
      </c>
      <c r="K510" t="str">
        <f t="shared" si="7"/>
        <v>Direct</v>
      </c>
    </row>
    <row r="511" spans="1:11" x14ac:dyDescent="0.25">
      <c r="A511" s="130" t="s">
        <v>1238</v>
      </c>
      <c r="B511" t="s">
        <v>1239</v>
      </c>
      <c r="C511" s="130" t="s">
        <v>816</v>
      </c>
      <c r="D511" t="s">
        <v>817</v>
      </c>
      <c r="E511">
        <v>109</v>
      </c>
      <c r="F511">
        <v>14</v>
      </c>
      <c r="G511">
        <v>34</v>
      </c>
      <c r="H511">
        <v>0</v>
      </c>
      <c r="I511">
        <v>157</v>
      </c>
      <c r="J511" t="str">
        <f>IFERROR(VLOOKUP(A511&amp;"",'BEA Buyer Groups'!$A$4:$C$500,3,FALSE),"Not used")</f>
        <v>Not used</v>
      </c>
      <c r="K511" t="str">
        <f t="shared" si="7"/>
        <v>Direct</v>
      </c>
    </row>
    <row r="512" spans="1:11" x14ac:dyDescent="0.25">
      <c r="A512" s="130" t="s">
        <v>1240</v>
      </c>
      <c r="B512" t="s">
        <v>1241</v>
      </c>
      <c r="C512" s="130" t="s">
        <v>820</v>
      </c>
      <c r="D512" t="s">
        <v>821</v>
      </c>
      <c r="E512">
        <v>0</v>
      </c>
      <c r="F512">
        <v>0</v>
      </c>
      <c r="G512">
        <v>0</v>
      </c>
      <c r="H512">
        <v>0</v>
      </c>
      <c r="I512">
        <v>0</v>
      </c>
      <c r="J512" t="str">
        <f>IFERROR(VLOOKUP(A512&amp;"",'BEA Buyer Groups'!$A$4:$C$500,3,FALSE),"Not used")</f>
        <v>Not used</v>
      </c>
      <c r="K512" t="str">
        <f t="shared" si="7"/>
        <v>Direct</v>
      </c>
    </row>
    <row r="513" spans="1:11" x14ac:dyDescent="0.25">
      <c r="A513" s="130" t="s">
        <v>1240</v>
      </c>
      <c r="B513" t="s">
        <v>1241</v>
      </c>
      <c r="C513" s="130" t="s">
        <v>822</v>
      </c>
      <c r="D513" t="s">
        <v>823</v>
      </c>
      <c r="E513">
        <v>89</v>
      </c>
      <c r="F513">
        <v>3</v>
      </c>
      <c r="G513">
        <v>10</v>
      </c>
      <c r="H513">
        <v>0</v>
      </c>
      <c r="I513">
        <v>102</v>
      </c>
      <c r="J513" t="str">
        <f>IFERROR(VLOOKUP(A513&amp;"",'BEA Buyer Groups'!$A$4:$C$500,3,FALSE),"Not used")</f>
        <v>Not used</v>
      </c>
      <c r="K513" t="str">
        <f t="shared" si="7"/>
        <v>Direct</v>
      </c>
    </row>
    <row r="514" spans="1:11" x14ac:dyDescent="0.25">
      <c r="A514" s="130" t="s">
        <v>1240</v>
      </c>
      <c r="B514" t="s">
        <v>1241</v>
      </c>
      <c r="C514" s="130" t="s">
        <v>810</v>
      </c>
      <c r="D514" t="s">
        <v>811</v>
      </c>
      <c r="E514">
        <v>1</v>
      </c>
      <c r="F514">
        <v>0</v>
      </c>
      <c r="G514">
        <v>0</v>
      </c>
      <c r="H514">
        <v>0</v>
      </c>
      <c r="I514">
        <v>1</v>
      </c>
      <c r="J514" t="str">
        <f>IFERROR(VLOOKUP(A514&amp;"",'BEA Buyer Groups'!$A$4:$C$500,3,FALSE),"Not used")</f>
        <v>Not used</v>
      </c>
      <c r="K514" t="str">
        <f t="shared" si="7"/>
        <v>Direct</v>
      </c>
    </row>
    <row r="515" spans="1:11" x14ac:dyDescent="0.25">
      <c r="A515" s="130" t="s">
        <v>1242</v>
      </c>
      <c r="B515" t="s">
        <v>1243</v>
      </c>
      <c r="C515" s="130" t="s">
        <v>820</v>
      </c>
      <c r="D515" t="s">
        <v>821</v>
      </c>
      <c r="E515">
        <v>0</v>
      </c>
      <c r="F515">
        <v>0</v>
      </c>
      <c r="G515">
        <v>0</v>
      </c>
      <c r="H515">
        <v>0</v>
      </c>
      <c r="I515">
        <v>0</v>
      </c>
      <c r="J515" t="str">
        <f>IFERROR(VLOOKUP(A515&amp;"",'BEA Buyer Groups'!$A$4:$C$500,3,FALSE),"Not used")</f>
        <v>Not used</v>
      </c>
      <c r="K515" t="str">
        <f t="shared" si="7"/>
        <v>Direct</v>
      </c>
    </row>
    <row r="516" spans="1:11" x14ac:dyDescent="0.25">
      <c r="A516" s="130" t="s">
        <v>1242</v>
      </c>
      <c r="B516" t="s">
        <v>1243</v>
      </c>
      <c r="C516" s="130" t="s">
        <v>802</v>
      </c>
      <c r="D516" t="s">
        <v>803</v>
      </c>
      <c r="E516">
        <v>1</v>
      </c>
      <c r="F516">
        <v>0</v>
      </c>
      <c r="G516">
        <v>0</v>
      </c>
      <c r="H516">
        <v>0</v>
      </c>
      <c r="I516">
        <v>1</v>
      </c>
      <c r="J516" t="str">
        <f>IFERROR(VLOOKUP(A516&amp;"",'BEA Buyer Groups'!$A$4:$C$500,3,FALSE),"Not used")</f>
        <v>Not used</v>
      </c>
      <c r="K516" t="str">
        <f t="shared" si="7"/>
        <v>Direct</v>
      </c>
    </row>
    <row r="517" spans="1:11" x14ac:dyDescent="0.25">
      <c r="A517" s="130" t="s">
        <v>1242</v>
      </c>
      <c r="B517" t="s">
        <v>1243</v>
      </c>
      <c r="C517" s="130" t="s">
        <v>822</v>
      </c>
      <c r="D517" t="s">
        <v>823</v>
      </c>
      <c r="E517">
        <v>0</v>
      </c>
      <c r="F517">
        <v>0</v>
      </c>
      <c r="G517">
        <v>0</v>
      </c>
      <c r="H517">
        <v>0</v>
      </c>
      <c r="I517">
        <v>0</v>
      </c>
      <c r="J517" t="str">
        <f>IFERROR(VLOOKUP(A517&amp;"",'BEA Buyer Groups'!$A$4:$C$500,3,FALSE),"Not used")</f>
        <v>Not used</v>
      </c>
      <c r="K517" t="str">
        <f t="shared" si="7"/>
        <v>Direct</v>
      </c>
    </row>
    <row r="518" spans="1:11" x14ac:dyDescent="0.25">
      <c r="A518" s="130" t="s">
        <v>1242</v>
      </c>
      <c r="B518" t="s">
        <v>1243</v>
      </c>
      <c r="C518" s="130" t="s">
        <v>816</v>
      </c>
      <c r="D518" t="s">
        <v>817</v>
      </c>
      <c r="E518">
        <v>2</v>
      </c>
      <c r="F518">
        <v>0</v>
      </c>
      <c r="G518">
        <v>1</v>
      </c>
      <c r="H518">
        <v>0</v>
      </c>
      <c r="I518">
        <v>2</v>
      </c>
      <c r="J518" t="str">
        <f>IFERROR(VLOOKUP(A518&amp;"",'BEA Buyer Groups'!$A$4:$C$500,3,FALSE),"Not used")</f>
        <v>Not used</v>
      </c>
      <c r="K518" t="str">
        <f t="shared" si="7"/>
        <v>Direct</v>
      </c>
    </row>
    <row r="519" spans="1:11" x14ac:dyDescent="0.25">
      <c r="A519" s="130" t="s">
        <v>1242</v>
      </c>
      <c r="B519" t="s">
        <v>1243</v>
      </c>
      <c r="C519" s="130" t="s">
        <v>848</v>
      </c>
      <c r="D519" t="s">
        <v>849</v>
      </c>
      <c r="E519">
        <v>4</v>
      </c>
      <c r="F519">
        <v>0</v>
      </c>
      <c r="G519">
        <v>1</v>
      </c>
      <c r="H519">
        <v>0</v>
      </c>
      <c r="I519">
        <v>6</v>
      </c>
      <c r="J519" t="str">
        <f>IFERROR(VLOOKUP(A519&amp;"",'BEA Buyer Groups'!$A$4:$C$500,3,FALSE),"Not used")</f>
        <v>Not used</v>
      </c>
      <c r="K519" t="str">
        <f t="shared" ref="K519:K582" si="8">IF(LEFT(A519,2)="23","Contractor","Direct")</f>
        <v>Direct</v>
      </c>
    </row>
    <row r="520" spans="1:11" x14ac:dyDescent="0.25">
      <c r="A520" s="130" t="s">
        <v>1244</v>
      </c>
      <c r="B520" t="s">
        <v>1245</v>
      </c>
      <c r="C520" s="130" t="s">
        <v>820</v>
      </c>
      <c r="D520" t="s">
        <v>821</v>
      </c>
      <c r="E520">
        <v>0</v>
      </c>
      <c r="F520">
        <v>0</v>
      </c>
      <c r="G520">
        <v>0</v>
      </c>
      <c r="H520">
        <v>0</v>
      </c>
      <c r="I520">
        <v>0</v>
      </c>
      <c r="J520" t="str">
        <f>IFERROR(VLOOKUP(A520&amp;"",'BEA Buyer Groups'!$A$4:$C$500,3,FALSE),"Not used")</f>
        <v>Not used</v>
      </c>
      <c r="K520" t="str">
        <f t="shared" si="8"/>
        <v>Direct</v>
      </c>
    </row>
    <row r="521" spans="1:11" x14ac:dyDescent="0.25">
      <c r="A521" s="130" t="s">
        <v>1244</v>
      </c>
      <c r="B521" t="s">
        <v>1245</v>
      </c>
      <c r="C521" s="130" t="s">
        <v>802</v>
      </c>
      <c r="D521" t="s">
        <v>803</v>
      </c>
      <c r="E521">
        <v>17</v>
      </c>
      <c r="F521">
        <v>1</v>
      </c>
      <c r="G521">
        <v>8</v>
      </c>
      <c r="H521">
        <v>0</v>
      </c>
      <c r="I521">
        <v>26</v>
      </c>
      <c r="J521" t="str">
        <f>IFERROR(VLOOKUP(A521&amp;"",'BEA Buyer Groups'!$A$4:$C$500,3,FALSE),"Not used")</f>
        <v>Not used</v>
      </c>
      <c r="K521" t="str">
        <f t="shared" si="8"/>
        <v>Direct</v>
      </c>
    </row>
    <row r="522" spans="1:11" x14ac:dyDescent="0.25">
      <c r="A522" s="130" t="s">
        <v>1244</v>
      </c>
      <c r="B522" t="s">
        <v>1245</v>
      </c>
      <c r="C522" s="130" t="s">
        <v>822</v>
      </c>
      <c r="D522" t="s">
        <v>823</v>
      </c>
      <c r="E522">
        <v>4</v>
      </c>
      <c r="F522">
        <v>0</v>
      </c>
      <c r="G522">
        <v>1</v>
      </c>
      <c r="H522">
        <v>0</v>
      </c>
      <c r="I522">
        <v>5</v>
      </c>
      <c r="J522" t="str">
        <f>IFERROR(VLOOKUP(A522&amp;"",'BEA Buyer Groups'!$A$4:$C$500,3,FALSE),"Not used")</f>
        <v>Not used</v>
      </c>
      <c r="K522" t="str">
        <f t="shared" si="8"/>
        <v>Direct</v>
      </c>
    </row>
    <row r="523" spans="1:11" x14ac:dyDescent="0.25">
      <c r="A523" s="130" t="s">
        <v>1244</v>
      </c>
      <c r="B523" t="s">
        <v>1245</v>
      </c>
      <c r="C523" s="130" t="s">
        <v>848</v>
      </c>
      <c r="D523" t="s">
        <v>849</v>
      </c>
      <c r="E523">
        <v>98</v>
      </c>
      <c r="F523">
        <v>1</v>
      </c>
      <c r="G523">
        <v>34</v>
      </c>
      <c r="H523">
        <v>0</v>
      </c>
      <c r="I523">
        <v>134</v>
      </c>
      <c r="J523" t="str">
        <f>IFERROR(VLOOKUP(A523&amp;"",'BEA Buyer Groups'!$A$4:$C$500,3,FALSE),"Not used")</f>
        <v>Not used</v>
      </c>
      <c r="K523" t="str">
        <f t="shared" si="8"/>
        <v>Direct</v>
      </c>
    </row>
    <row r="524" spans="1:11" x14ac:dyDescent="0.25">
      <c r="A524" s="130" t="s">
        <v>1246</v>
      </c>
      <c r="B524" t="s">
        <v>1247</v>
      </c>
      <c r="C524" s="130" t="s">
        <v>820</v>
      </c>
      <c r="D524" t="s">
        <v>821</v>
      </c>
      <c r="E524">
        <v>10</v>
      </c>
      <c r="F524">
        <v>0</v>
      </c>
      <c r="G524">
        <v>5</v>
      </c>
      <c r="H524">
        <v>0</v>
      </c>
      <c r="I524">
        <v>16</v>
      </c>
      <c r="J524" t="str">
        <f>IFERROR(VLOOKUP(A524&amp;"",'BEA Buyer Groups'!$A$4:$C$500,3,FALSE),"Not used")</f>
        <v>Not used</v>
      </c>
      <c r="K524" t="str">
        <f t="shared" si="8"/>
        <v>Direct</v>
      </c>
    </row>
    <row r="525" spans="1:11" x14ac:dyDescent="0.25">
      <c r="A525" s="130" t="s">
        <v>1246</v>
      </c>
      <c r="B525" t="s">
        <v>1247</v>
      </c>
      <c r="C525" s="130" t="s">
        <v>822</v>
      </c>
      <c r="D525" t="s">
        <v>823</v>
      </c>
      <c r="E525">
        <v>4</v>
      </c>
      <c r="F525">
        <v>0</v>
      </c>
      <c r="G525">
        <v>2</v>
      </c>
      <c r="H525">
        <v>0</v>
      </c>
      <c r="I525">
        <v>6</v>
      </c>
      <c r="J525" t="str">
        <f>IFERROR(VLOOKUP(A525&amp;"",'BEA Buyer Groups'!$A$4:$C$500,3,FALSE),"Not used")</f>
        <v>Not used</v>
      </c>
      <c r="K525" t="str">
        <f t="shared" si="8"/>
        <v>Direct</v>
      </c>
    </row>
    <row r="526" spans="1:11" x14ac:dyDescent="0.25">
      <c r="A526" s="130" t="s">
        <v>1248</v>
      </c>
      <c r="B526" t="s">
        <v>1249</v>
      </c>
      <c r="C526" s="130" t="s">
        <v>820</v>
      </c>
      <c r="D526" t="s">
        <v>821</v>
      </c>
      <c r="E526">
        <v>0</v>
      </c>
      <c r="F526">
        <v>0</v>
      </c>
      <c r="G526">
        <v>0</v>
      </c>
      <c r="H526">
        <v>0</v>
      </c>
      <c r="I526">
        <v>0</v>
      </c>
      <c r="J526" t="str">
        <f>IFERROR(VLOOKUP(A526&amp;"",'BEA Buyer Groups'!$A$4:$C$500,3,FALSE),"Not used")</f>
        <v>Not used</v>
      </c>
      <c r="K526" t="str">
        <f t="shared" si="8"/>
        <v>Direct</v>
      </c>
    </row>
    <row r="527" spans="1:11" x14ac:dyDescent="0.25">
      <c r="A527" s="130" t="s">
        <v>1248</v>
      </c>
      <c r="B527" t="s">
        <v>1249</v>
      </c>
      <c r="C527" s="130" t="s">
        <v>810</v>
      </c>
      <c r="D527" t="s">
        <v>811</v>
      </c>
      <c r="E527">
        <v>101</v>
      </c>
      <c r="F527">
        <v>1</v>
      </c>
      <c r="G527">
        <v>32</v>
      </c>
      <c r="H527">
        <v>0</v>
      </c>
      <c r="I527">
        <v>133</v>
      </c>
      <c r="J527" t="str">
        <f>IFERROR(VLOOKUP(A527&amp;"",'BEA Buyer Groups'!$A$4:$C$500,3,FALSE),"Not used")</f>
        <v>Not used</v>
      </c>
      <c r="K527" t="str">
        <f t="shared" si="8"/>
        <v>Direct</v>
      </c>
    </row>
    <row r="528" spans="1:11" x14ac:dyDescent="0.25">
      <c r="A528" s="130" t="s">
        <v>1248</v>
      </c>
      <c r="B528" t="s">
        <v>1249</v>
      </c>
      <c r="C528" s="130" t="s">
        <v>816</v>
      </c>
      <c r="D528" t="s">
        <v>817</v>
      </c>
      <c r="E528">
        <v>1</v>
      </c>
      <c r="F528">
        <v>0</v>
      </c>
      <c r="G528">
        <v>0</v>
      </c>
      <c r="H528">
        <v>0</v>
      </c>
      <c r="I528">
        <v>1</v>
      </c>
      <c r="J528" t="str">
        <f>IFERROR(VLOOKUP(A528&amp;"",'BEA Buyer Groups'!$A$4:$C$500,3,FALSE),"Not used")</f>
        <v>Not used</v>
      </c>
      <c r="K528" t="str">
        <f t="shared" si="8"/>
        <v>Direct</v>
      </c>
    </row>
    <row r="529" spans="1:11" x14ac:dyDescent="0.25">
      <c r="A529" s="130" t="s">
        <v>1250</v>
      </c>
      <c r="B529" t="s">
        <v>1251</v>
      </c>
      <c r="C529" s="130" t="s">
        <v>820</v>
      </c>
      <c r="D529" t="s">
        <v>821</v>
      </c>
      <c r="E529">
        <v>17</v>
      </c>
      <c r="F529">
        <v>1</v>
      </c>
      <c r="G529">
        <v>8</v>
      </c>
      <c r="H529">
        <v>0</v>
      </c>
      <c r="I529">
        <v>26</v>
      </c>
      <c r="J529" t="str">
        <f>IFERROR(VLOOKUP(A529&amp;"",'BEA Buyer Groups'!$A$4:$C$500,3,FALSE),"Not used")</f>
        <v>Not used</v>
      </c>
      <c r="K529" t="str">
        <f t="shared" si="8"/>
        <v>Direct</v>
      </c>
    </row>
    <row r="530" spans="1:11" x14ac:dyDescent="0.25">
      <c r="A530" s="130" t="s">
        <v>1250</v>
      </c>
      <c r="B530" t="s">
        <v>1251</v>
      </c>
      <c r="C530" s="130" t="s">
        <v>822</v>
      </c>
      <c r="D530" t="s">
        <v>823</v>
      </c>
      <c r="E530">
        <v>10</v>
      </c>
      <c r="F530">
        <v>0</v>
      </c>
      <c r="G530">
        <v>4</v>
      </c>
      <c r="H530">
        <v>0</v>
      </c>
      <c r="I530">
        <v>15</v>
      </c>
      <c r="J530" t="str">
        <f>IFERROR(VLOOKUP(A530&amp;"",'BEA Buyer Groups'!$A$4:$C$500,3,FALSE),"Not used")</f>
        <v>Not used</v>
      </c>
      <c r="K530" t="str">
        <f t="shared" si="8"/>
        <v>Direct</v>
      </c>
    </row>
    <row r="531" spans="1:11" x14ac:dyDescent="0.25">
      <c r="A531" s="130" t="s">
        <v>1252</v>
      </c>
      <c r="B531" t="s">
        <v>1253</v>
      </c>
      <c r="C531" s="130" t="s">
        <v>820</v>
      </c>
      <c r="D531" t="s">
        <v>821</v>
      </c>
      <c r="E531">
        <v>0</v>
      </c>
      <c r="F531">
        <v>0</v>
      </c>
      <c r="G531">
        <v>0</v>
      </c>
      <c r="H531">
        <v>0</v>
      </c>
      <c r="I531">
        <v>0</v>
      </c>
      <c r="J531" t="str">
        <f>IFERROR(VLOOKUP(A531&amp;"",'BEA Buyer Groups'!$A$4:$C$500,3,FALSE),"Not used")</f>
        <v>Not used</v>
      </c>
      <c r="K531" t="str">
        <f t="shared" si="8"/>
        <v>Direct</v>
      </c>
    </row>
    <row r="532" spans="1:11" x14ac:dyDescent="0.25">
      <c r="A532" s="130" t="s">
        <v>1252</v>
      </c>
      <c r="B532" t="s">
        <v>1253</v>
      </c>
      <c r="C532" s="130" t="s">
        <v>822</v>
      </c>
      <c r="D532" t="s">
        <v>823</v>
      </c>
      <c r="E532">
        <v>25</v>
      </c>
      <c r="F532">
        <v>1</v>
      </c>
      <c r="G532">
        <v>11</v>
      </c>
      <c r="H532">
        <v>0</v>
      </c>
      <c r="I532">
        <v>36</v>
      </c>
      <c r="J532" t="str">
        <f>IFERROR(VLOOKUP(A532&amp;"",'BEA Buyer Groups'!$A$4:$C$500,3,FALSE),"Not used")</f>
        <v>Not used</v>
      </c>
      <c r="K532" t="str">
        <f t="shared" si="8"/>
        <v>Direct</v>
      </c>
    </row>
    <row r="533" spans="1:11" x14ac:dyDescent="0.25">
      <c r="A533" s="130" t="s">
        <v>1254</v>
      </c>
      <c r="B533" t="s">
        <v>1255</v>
      </c>
      <c r="C533" s="130" t="s">
        <v>820</v>
      </c>
      <c r="D533" t="s">
        <v>821</v>
      </c>
      <c r="E533">
        <v>1</v>
      </c>
      <c r="F533">
        <v>0</v>
      </c>
      <c r="G533">
        <v>1</v>
      </c>
      <c r="H533">
        <v>0</v>
      </c>
      <c r="I533">
        <v>2</v>
      </c>
      <c r="J533" t="str">
        <f>IFERROR(VLOOKUP(A533&amp;"",'BEA Buyer Groups'!$A$4:$C$500,3,FALSE),"Not used")</f>
        <v>Not used</v>
      </c>
      <c r="K533" t="str">
        <f t="shared" si="8"/>
        <v>Direct</v>
      </c>
    </row>
    <row r="534" spans="1:11" x14ac:dyDescent="0.25">
      <c r="A534" s="130" t="s">
        <v>1254</v>
      </c>
      <c r="B534" t="s">
        <v>1255</v>
      </c>
      <c r="C534" s="130" t="s">
        <v>822</v>
      </c>
      <c r="D534" t="s">
        <v>823</v>
      </c>
      <c r="E534">
        <v>35</v>
      </c>
      <c r="F534">
        <v>1</v>
      </c>
      <c r="G534">
        <v>15</v>
      </c>
      <c r="H534">
        <v>0</v>
      </c>
      <c r="I534">
        <v>51</v>
      </c>
      <c r="J534" t="str">
        <f>IFERROR(VLOOKUP(A534&amp;"",'BEA Buyer Groups'!$A$4:$C$500,3,FALSE),"Not used")</f>
        <v>Not used</v>
      </c>
      <c r="K534" t="str">
        <f t="shared" si="8"/>
        <v>Direct</v>
      </c>
    </row>
    <row r="535" spans="1:11" x14ac:dyDescent="0.25">
      <c r="A535" s="130" t="s">
        <v>1256</v>
      </c>
      <c r="B535" t="s">
        <v>1257</v>
      </c>
      <c r="C535" s="130" t="s">
        <v>820</v>
      </c>
      <c r="D535" t="s">
        <v>821</v>
      </c>
      <c r="E535">
        <v>25</v>
      </c>
      <c r="F535">
        <v>1</v>
      </c>
      <c r="G535">
        <v>12</v>
      </c>
      <c r="H535">
        <v>0</v>
      </c>
      <c r="I535">
        <v>38</v>
      </c>
      <c r="J535" t="str">
        <f>IFERROR(VLOOKUP(A535&amp;"",'BEA Buyer Groups'!$A$4:$C$500,3,FALSE),"Not used")</f>
        <v>Not used</v>
      </c>
      <c r="K535" t="str">
        <f t="shared" si="8"/>
        <v>Direct</v>
      </c>
    </row>
    <row r="536" spans="1:11" x14ac:dyDescent="0.25">
      <c r="A536" s="130" t="s">
        <v>1256</v>
      </c>
      <c r="B536" t="s">
        <v>1257</v>
      </c>
      <c r="C536" s="130" t="s">
        <v>802</v>
      </c>
      <c r="D536" t="s">
        <v>803</v>
      </c>
      <c r="E536">
        <v>0</v>
      </c>
      <c r="F536">
        <v>0</v>
      </c>
      <c r="G536">
        <v>0</v>
      </c>
      <c r="H536">
        <v>0</v>
      </c>
      <c r="I536">
        <v>1</v>
      </c>
      <c r="J536" t="str">
        <f>IFERROR(VLOOKUP(A536&amp;"",'BEA Buyer Groups'!$A$4:$C$500,3,FALSE),"Not used")</f>
        <v>Not used</v>
      </c>
      <c r="K536" t="str">
        <f t="shared" si="8"/>
        <v>Direct</v>
      </c>
    </row>
    <row r="537" spans="1:11" x14ac:dyDescent="0.25">
      <c r="A537" s="130" t="s">
        <v>1256</v>
      </c>
      <c r="B537" t="s">
        <v>1257</v>
      </c>
      <c r="C537" s="130" t="s">
        <v>822</v>
      </c>
      <c r="D537" t="s">
        <v>823</v>
      </c>
      <c r="E537">
        <v>165</v>
      </c>
      <c r="F537">
        <v>5</v>
      </c>
      <c r="G537">
        <v>74</v>
      </c>
      <c r="H537">
        <v>0</v>
      </c>
      <c r="I537">
        <v>245</v>
      </c>
      <c r="J537" t="str">
        <f>IFERROR(VLOOKUP(A537&amp;"",'BEA Buyer Groups'!$A$4:$C$500,3,FALSE),"Not used")</f>
        <v>Not used</v>
      </c>
      <c r="K537" t="str">
        <f t="shared" si="8"/>
        <v>Direct</v>
      </c>
    </row>
    <row r="538" spans="1:11" x14ac:dyDescent="0.25">
      <c r="A538" s="130" t="s">
        <v>1256</v>
      </c>
      <c r="B538" t="s">
        <v>1257</v>
      </c>
      <c r="C538" s="130" t="s">
        <v>810</v>
      </c>
      <c r="D538" t="s">
        <v>811</v>
      </c>
      <c r="E538">
        <v>1</v>
      </c>
      <c r="F538">
        <v>0</v>
      </c>
      <c r="G538">
        <v>0</v>
      </c>
      <c r="H538">
        <v>0</v>
      </c>
      <c r="I538">
        <v>1</v>
      </c>
      <c r="J538" t="str">
        <f>IFERROR(VLOOKUP(A538&amp;"",'BEA Buyer Groups'!$A$4:$C$500,3,FALSE),"Not used")</f>
        <v>Not used</v>
      </c>
      <c r="K538" t="str">
        <f t="shared" si="8"/>
        <v>Direct</v>
      </c>
    </row>
    <row r="539" spans="1:11" x14ac:dyDescent="0.25">
      <c r="A539" s="130" t="s">
        <v>1256</v>
      </c>
      <c r="B539" t="s">
        <v>1257</v>
      </c>
      <c r="C539" s="130" t="s">
        <v>816</v>
      </c>
      <c r="D539" t="s">
        <v>817</v>
      </c>
      <c r="E539">
        <v>54</v>
      </c>
      <c r="F539">
        <v>7</v>
      </c>
      <c r="G539">
        <v>17</v>
      </c>
      <c r="H539">
        <v>0</v>
      </c>
      <c r="I539">
        <v>77</v>
      </c>
      <c r="J539" t="str">
        <f>IFERROR(VLOOKUP(A539&amp;"",'BEA Buyer Groups'!$A$4:$C$500,3,FALSE),"Not used")</f>
        <v>Not used</v>
      </c>
      <c r="K539" t="str">
        <f t="shared" si="8"/>
        <v>Direct</v>
      </c>
    </row>
    <row r="540" spans="1:11" x14ac:dyDescent="0.25">
      <c r="A540" s="130" t="s">
        <v>1258</v>
      </c>
      <c r="B540" t="s">
        <v>1259</v>
      </c>
      <c r="C540" s="130" t="s">
        <v>820</v>
      </c>
      <c r="D540" t="s">
        <v>821</v>
      </c>
      <c r="E540">
        <v>1</v>
      </c>
      <c r="F540">
        <v>0</v>
      </c>
      <c r="G540">
        <v>0</v>
      </c>
      <c r="H540">
        <v>0</v>
      </c>
      <c r="I540">
        <v>1</v>
      </c>
      <c r="J540" t="str">
        <f>IFERROR(VLOOKUP(A540&amp;"",'BEA Buyer Groups'!$A$4:$C$500,3,FALSE),"Not used")</f>
        <v>Not used</v>
      </c>
      <c r="K540" t="str">
        <f t="shared" si="8"/>
        <v>Direct</v>
      </c>
    </row>
    <row r="541" spans="1:11" x14ac:dyDescent="0.25">
      <c r="A541" s="130" t="s">
        <v>1258</v>
      </c>
      <c r="B541" t="s">
        <v>1259</v>
      </c>
      <c r="C541" s="130" t="s">
        <v>822</v>
      </c>
      <c r="D541" t="s">
        <v>823</v>
      </c>
      <c r="E541">
        <v>2</v>
      </c>
      <c r="F541">
        <v>0</v>
      </c>
      <c r="G541">
        <v>1</v>
      </c>
      <c r="H541">
        <v>0</v>
      </c>
      <c r="I541">
        <v>3</v>
      </c>
      <c r="J541" t="str">
        <f>IFERROR(VLOOKUP(A541&amp;"",'BEA Buyer Groups'!$A$4:$C$500,3,FALSE),"Not used")</f>
        <v>Not used</v>
      </c>
      <c r="K541" t="str">
        <f t="shared" si="8"/>
        <v>Direct</v>
      </c>
    </row>
    <row r="542" spans="1:11" x14ac:dyDescent="0.25">
      <c r="A542" s="130" t="s">
        <v>1258</v>
      </c>
      <c r="B542" t="s">
        <v>1259</v>
      </c>
      <c r="C542" s="130" t="s">
        <v>810</v>
      </c>
      <c r="D542" t="s">
        <v>811</v>
      </c>
      <c r="E542">
        <v>1</v>
      </c>
      <c r="F542">
        <v>0</v>
      </c>
      <c r="G542">
        <v>0</v>
      </c>
      <c r="H542">
        <v>0</v>
      </c>
      <c r="I542">
        <v>1</v>
      </c>
      <c r="J542" t="str">
        <f>IFERROR(VLOOKUP(A542&amp;"",'BEA Buyer Groups'!$A$4:$C$500,3,FALSE),"Not used")</f>
        <v>Not used</v>
      </c>
      <c r="K542" t="str">
        <f t="shared" si="8"/>
        <v>Direct</v>
      </c>
    </row>
    <row r="543" spans="1:11" x14ac:dyDescent="0.25">
      <c r="A543" s="130" t="s">
        <v>1258</v>
      </c>
      <c r="B543" t="s">
        <v>1259</v>
      </c>
      <c r="C543" s="130" t="s">
        <v>816</v>
      </c>
      <c r="D543" t="s">
        <v>817</v>
      </c>
      <c r="E543">
        <v>0</v>
      </c>
      <c r="F543">
        <v>0</v>
      </c>
      <c r="G543">
        <v>0</v>
      </c>
      <c r="H543">
        <v>0</v>
      </c>
      <c r="I543">
        <v>1</v>
      </c>
      <c r="J543" t="str">
        <f>IFERROR(VLOOKUP(A543&amp;"",'BEA Buyer Groups'!$A$4:$C$500,3,FALSE),"Not used")</f>
        <v>Not used</v>
      </c>
      <c r="K543" t="str">
        <f t="shared" si="8"/>
        <v>Direct</v>
      </c>
    </row>
    <row r="544" spans="1:11" x14ac:dyDescent="0.25">
      <c r="A544" s="130" t="s">
        <v>1260</v>
      </c>
      <c r="B544" t="s">
        <v>1261</v>
      </c>
      <c r="C544" s="130" t="s">
        <v>820</v>
      </c>
      <c r="D544" t="s">
        <v>821</v>
      </c>
      <c r="E544">
        <v>4</v>
      </c>
      <c r="F544">
        <v>0</v>
      </c>
      <c r="G544">
        <v>2</v>
      </c>
      <c r="H544">
        <v>0</v>
      </c>
      <c r="I544">
        <v>6</v>
      </c>
      <c r="J544" t="str">
        <f>IFERROR(VLOOKUP(A544&amp;"",'BEA Buyer Groups'!$A$4:$C$500,3,FALSE),"Not used")</f>
        <v>Not used</v>
      </c>
      <c r="K544" t="str">
        <f t="shared" si="8"/>
        <v>Direct</v>
      </c>
    </row>
    <row r="545" spans="1:11" x14ac:dyDescent="0.25">
      <c r="A545" s="130" t="s">
        <v>1260</v>
      </c>
      <c r="B545" t="s">
        <v>1261</v>
      </c>
      <c r="C545" s="130" t="s">
        <v>822</v>
      </c>
      <c r="D545" t="s">
        <v>823</v>
      </c>
      <c r="E545">
        <v>1</v>
      </c>
      <c r="F545">
        <v>0</v>
      </c>
      <c r="G545">
        <v>0</v>
      </c>
      <c r="H545">
        <v>0</v>
      </c>
      <c r="I545">
        <v>1</v>
      </c>
      <c r="J545" t="str">
        <f>IFERROR(VLOOKUP(A545&amp;"",'BEA Buyer Groups'!$A$4:$C$500,3,FALSE),"Not used")</f>
        <v>Not used</v>
      </c>
      <c r="K545" t="str">
        <f t="shared" si="8"/>
        <v>Direct</v>
      </c>
    </row>
    <row r="546" spans="1:11" x14ac:dyDescent="0.25">
      <c r="A546" s="130" t="s">
        <v>1262</v>
      </c>
      <c r="B546" t="s">
        <v>1263</v>
      </c>
      <c r="C546" s="130" t="s">
        <v>820</v>
      </c>
      <c r="D546" t="s">
        <v>821</v>
      </c>
      <c r="E546">
        <v>0</v>
      </c>
      <c r="F546">
        <v>0</v>
      </c>
      <c r="G546">
        <v>0</v>
      </c>
      <c r="H546">
        <v>0</v>
      </c>
      <c r="I546">
        <v>0</v>
      </c>
      <c r="J546" t="str">
        <f>IFERROR(VLOOKUP(A546&amp;"",'BEA Buyer Groups'!$A$4:$C$500,3,FALSE),"Not used")</f>
        <v>Not used</v>
      </c>
      <c r="K546" t="str">
        <f t="shared" si="8"/>
        <v>Direct</v>
      </c>
    </row>
    <row r="547" spans="1:11" x14ac:dyDescent="0.25">
      <c r="A547" s="130" t="s">
        <v>1262</v>
      </c>
      <c r="B547" t="s">
        <v>1263</v>
      </c>
      <c r="C547" s="130" t="s">
        <v>822</v>
      </c>
      <c r="D547" t="s">
        <v>823</v>
      </c>
      <c r="E547">
        <v>1</v>
      </c>
      <c r="F547">
        <v>0</v>
      </c>
      <c r="G547">
        <v>0</v>
      </c>
      <c r="H547">
        <v>0</v>
      </c>
      <c r="I547">
        <v>1</v>
      </c>
      <c r="J547" t="str">
        <f>IFERROR(VLOOKUP(A547&amp;"",'BEA Buyer Groups'!$A$4:$C$500,3,FALSE),"Not used")</f>
        <v>Not used</v>
      </c>
      <c r="K547" t="str">
        <f t="shared" si="8"/>
        <v>Direct</v>
      </c>
    </row>
    <row r="548" spans="1:11" x14ac:dyDescent="0.25">
      <c r="A548" s="130" t="s">
        <v>1262</v>
      </c>
      <c r="B548" t="s">
        <v>1263</v>
      </c>
      <c r="C548" s="130" t="s">
        <v>810</v>
      </c>
      <c r="D548" t="s">
        <v>811</v>
      </c>
      <c r="E548">
        <v>3</v>
      </c>
      <c r="F548">
        <v>0</v>
      </c>
      <c r="G548">
        <v>1</v>
      </c>
      <c r="H548">
        <v>0</v>
      </c>
      <c r="I548">
        <v>4</v>
      </c>
      <c r="J548" t="str">
        <f>IFERROR(VLOOKUP(A548&amp;"",'BEA Buyer Groups'!$A$4:$C$500,3,FALSE),"Not used")</f>
        <v>Not used</v>
      </c>
      <c r="K548" t="str">
        <f t="shared" si="8"/>
        <v>Direct</v>
      </c>
    </row>
    <row r="549" spans="1:11" x14ac:dyDescent="0.25">
      <c r="A549" s="130" t="s">
        <v>1262</v>
      </c>
      <c r="B549" t="s">
        <v>1263</v>
      </c>
      <c r="C549" s="130" t="s">
        <v>816</v>
      </c>
      <c r="D549" t="s">
        <v>817</v>
      </c>
      <c r="E549">
        <v>2</v>
      </c>
      <c r="F549">
        <v>0</v>
      </c>
      <c r="G549">
        <v>1</v>
      </c>
      <c r="H549">
        <v>0</v>
      </c>
      <c r="I549">
        <v>3</v>
      </c>
      <c r="J549" t="str">
        <f>IFERROR(VLOOKUP(A549&amp;"",'BEA Buyer Groups'!$A$4:$C$500,3,FALSE),"Not used")</f>
        <v>Not used</v>
      </c>
      <c r="K549" t="str">
        <f t="shared" si="8"/>
        <v>Direct</v>
      </c>
    </row>
    <row r="550" spans="1:11" x14ac:dyDescent="0.25">
      <c r="A550" s="130" t="s">
        <v>1264</v>
      </c>
      <c r="B550" t="s">
        <v>1265</v>
      </c>
      <c r="C550" s="130" t="s">
        <v>820</v>
      </c>
      <c r="D550" t="s">
        <v>821</v>
      </c>
      <c r="E550">
        <v>0</v>
      </c>
      <c r="F550">
        <v>0</v>
      </c>
      <c r="G550">
        <v>0</v>
      </c>
      <c r="H550">
        <v>0</v>
      </c>
      <c r="I550">
        <v>0</v>
      </c>
      <c r="J550" t="str">
        <f>IFERROR(VLOOKUP(A550&amp;"",'BEA Buyer Groups'!$A$4:$C$500,3,FALSE),"Not used")</f>
        <v>Not used</v>
      </c>
      <c r="K550" t="str">
        <f t="shared" si="8"/>
        <v>Direct</v>
      </c>
    </row>
    <row r="551" spans="1:11" x14ac:dyDescent="0.25">
      <c r="A551" s="130" t="s">
        <v>1264</v>
      </c>
      <c r="B551" t="s">
        <v>1265</v>
      </c>
      <c r="C551" s="130" t="s">
        <v>822</v>
      </c>
      <c r="D551" t="s">
        <v>823</v>
      </c>
      <c r="E551">
        <v>2</v>
      </c>
      <c r="F551">
        <v>0</v>
      </c>
      <c r="G551">
        <v>0</v>
      </c>
      <c r="H551">
        <v>0</v>
      </c>
      <c r="I551">
        <v>2</v>
      </c>
      <c r="J551" t="str">
        <f>IFERROR(VLOOKUP(A551&amp;"",'BEA Buyer Groups'!$A$4:$C$500,3,FALSE),"Not used")</f>
        <v>Not used</v>
      </c>
      <c r="K551" t="str">
        <f t="shared" si="8"/>
        <v>Direct</v>
      </c>
    </row>
    <row r="552" spans="1:11" x14ac:dyDescent="0.25">
      <c r="A552" s="130" t="s">
        <v>1266</v>
      </c>
      <c r="B552" t="s">
        <v>1267</v>
      </c>
      <c r="C552" s="130" t="s">
        <v>820</v>
      </c>
      <c r="D552" t="s">
        <v>821</v>
      </c>
      <c r="E552">
        <v>0</v>
      </c>
      <c r="F552">
        <v>0</v>
      </c>
      <c r="G552">
        <v>0</v>
      </c>
      <c r="H552">
        <v>0</v>
      </c>
      <c r="I552">
        <v>0</v>
      </c>
      <c r="J552" t="str">
        <f>IFERROR(VLOOKUP(A552&amp;"",'BEA Buyer Groups'!$A$4:$C$500,3,FALSE),"Not used")</f>
        <v>Not used</v>
      </c>
      <c r="K552" t="str">
        <f t="shared" si="8"/>
        <v>Direct</v>
      </c>
    </row>
    <row r="553" spans="1:11" x14ac:dyDescent="0.25">
      <c r="A553" s="130" t="s">
        <v>1268</v>
      </c>
      <c r="B553" t="s">
        <v>1269</v>
      </c>
      <c r="C553" s="130" t="s">
        <v>820</v>
      </c>
      <c r="D553" t="s">
        <v>821</v>
      </c>
      <c r="E553">
        <v>0</v>
      </c>
      <c r="F553">
        <v>0</v>
      </c>
      <c r="G553">
        <v>0</v>
      </c>
      <c r="H553">
        <v>0</v>
      </c>
      <c r="I553">
        <v>1</v>
      </c>
      <c r="J553" t="str">
        <f>IFERROR(VLOOKUP(A553&amp;"",'BEA Buyer Groups'!$A$4:$C$500,3,FALSE),"Not used")</f>
        <v>Not used</v>
      </c>
      <c r="K553" t="str">
        <f t="shared" si="8"/>
        <v>Direct</v>
      </c>
    </row>
    <row r="554" spans="1:11" x14ac:dyDescent="0.25">
      <c r="A554" s="130" t="s">
        <v>1270</v>
      </c>
      <c r="B554" t="s">
        <v>1271</v>
      </c>
      <c r="C554" s="130" t="s">
        <v>820</v>
      </c>
      <c r="D554" t="s">
        <v>821</v>
      </c>
      <c r="E554">
        <v>0</v>
      </c>
      <c r="F554">
        <v>0</v>
      </c>
      <c r="G554">
        <v>0</v>
      </c>
      <c r="H554">
        <v>0</v>
      </c>
      <c r="I554">
        <v>1</v>
      </c>
      <c r="J554" t="str">
        <f>IFERROR(VLOOKUP(A554&amp;"",'BEA Buyer Groups'!$A$4:$C$500,3,FALSE),"Not used")</f>
        <v>Not used</v>
      </c>
      <c r="K554" t="str">
        <f t="shared" si="8"/>
        <v>Direct</v>
      </c>
    </row>
    <row r="555" spans="1:11" x14ac:dyDescent="0.25">
      <c r="A555" s="130" t="s">
        <v>1270</v>
      </c>
      <c r="B555" t="s">
        <v>1271</v>
      </c>
      <c r="C555" s="130" t="s">
        <v>822</v>
      </c>
      <c r="D555" t="s">
        <v>823</v>
      </c>
      <c r="E555">
        <v>1</v>
      </c>
      <c r="F555">
        <v>0</v>
      </c>
      <c r="G555">
        <v>0</v>
      </c>
      <c r="H555">
        <v>0</v>
      </c>
      <c r="I555">
        <v>2</v>
      </c>
      <c r="J555" t="str">
        <f>IFERROR(VLOOKUP(A555&amp;"",'BEA Buyer Groups'!$A$4:$C$500,3,FALSE),"Not used")</f>
        <v>Not used</v>
      </c>
      <c r="K555" t="str">
        <f t="shared" si="8"/>
        <v>Direct</v>
      </c>
    </row>
    <row r="556" spans="1:11" x14ac:dyDescent="0.25">
      <c r="A556" s="130" t="s">
        <v>1270</v>
      </c>
      <c r="B556" t="s">
        <v>1271</v>
      </c>
      <c r="C556" s="130" t="s">
        <v>816</v>
      </c>
      <c r="D556" t="s">
        <v>817</v>
      </c>
      <c r="E556">
        <v>135</v>
      </c>
      <c r="F556">
        <v>17</v>
      </c>
      <c r="G556">
        <v>42</v>
      </c>
      <c r="H556">
        <v>0</v>
      </c>
      <c r="I556">
        <v>194</v>
      </c>
      <c r="J556" t="str">
        <f>IFERROR(VLOOKUP(A556&amp;"",'BEA Buyer Groups'!$A$4:$C$500,3,FALSE),"Not used")</f>
        <v>Not used</v>
      </c>
      <c r="K556" t="str">
        <f t="shared" si="8"/>
        <v>Direct</v>
      </c>
    </row>
    <row r="557" spans="1:11" x14ac:dyDescent="0.25">
      <c r="A557" s="130" t="s">
        <v>1272</v>
      </c>
      <c r="B557" t="s">
        <v>1273</v>
      </c>
      <c r="C557" s="130" t="s">
        <v>820</v>
      </c>
      <c r="D557" t="s">
        <v>821</v>
      </c>
      <c r="E557">
        <v>1</v>
      </c>
      <c r="F557">
        <v>0</v>
      </c>
      <c r="G557">
        <v>1</v>
      </c>
      <c r="H557">
        <v>0</v>
      </c>
      <c r="I557">
        <v>2</v>
      </c>
      <c r="J557" t="str">
        <f>IFERROR(VLOOKUP(A557&amp;"",'BEA Buyer Groups'!$A$4:$C$500,3,FALSE),"Not used")</f>
        <v>Not used</v>
      </c>
      <c r="K557" t="str">
        <f t="shared" si="8"/>
        <v>Direct</v>
      </c>
    </row>
    <row r="558" spans="1:11" x14ac:dyDescent="0.25">
      <c r="A558" s="130" t="s">
        <v>1272</v>
      </c>
      <c r="B558" t="s">
        <v>1273</v>
      </c>
      <c r="C558" s="130" t="s">
        <v>822</v>
      </c>
      <c r="D558" t="s">
        <v>823</v>
      </c>
      <c r="E558">
        <v>0</v>
      </c>
      <c r="F558">
        <v>0</v>
      </c>
      <c r="G558">
        <v>0</v>
      </c>
      <c r="H558">
        <v>0</v>
      </c>
      <c r="I558">
        <v>0</v>
      </c>
      <c r="J558" t="str">
        <f>IFERROR(VLOOKUP(A558&amp;"",'BEA Buyer Groups'!$A$4:$C$500,3,FALSE),"Not used")</f>
        <v>Not used</v>
      </c>
      <c r="K558" t="str">
        <f t="shared" si="8"/>
        <v>Direct</v>
      </c>
    </row>
    <row r="559" spans="1:11" x14ac:dyDescent="0.25">
      <c r="A559" s="130" t="s">
        <v>1274</v>
      </c>
      <c r="B559" t="s">
        <v>1275</v>
      </c>
      <c r="C559" s="130" t="s">
        <v>820</v>
      </c>
      <c r="D559" t="s">
        <v>821</v>
      </c>
      <c r="E559">
        <v>0</v>
      </c>
      <c r="F559">
        <v>0</v>
      </c>
      <c r="G559">
        <v>0</v>
      </c>
      <c r="H559">
        <v>0</v>
      </c>
      <c r="I559">
        <v>1</v>
      </c>
      <c r="J559" t="str">
        <f>IFERROR(VLOOKUP(A559&amp;"",'BEA Buyer Groups'!$A$4:$C$500,3,FALSE),"Not used")</f>
        <v>Not used</v>
      </c>
      <c r="K559" t="str">
        <f t="shared" si="8"/>
        <v>Direct</v>
      </c>
    </row>
    <row r="560" spans="1:11" x14ac:dyDescent="0.25">
      <c r="A560" s="130" t="s">
        <v>1274</v>
      </c>
      <c r="B560" t="s">
        <v>1275</v>
      </c>
      <c r="C560" s="130" t="s">
        <v>816</v>
      </c>
      <c r="D560" t="s">
        <v>817</v>
      </c>
      <c r="E560">
        <v>25</v>
      </c>
      <c r="F560">
        <v>3</v>
      </c>
      <c r="G560">
        <v>8</v>
      </c>
      <c r="H560">
        <v>0</v>
      </c>
      <c r="I560">
        <v>36</v>
      </c>
      <c r="J560" t="str">
        <f>IFERROR(VLOOKUP(A560&amp;"",'BEA Buyer Groups'!$A$4:$C$500,3,FALSE),"Not used")</f>
        <v>Not used</v>
      </c>
      <c r="K560" t="str">
        <f t="shared" si="8"/>
        <v>Direct</v>
      </c>
    </row>
    <row r="561" spans="1:11" x14ac:dyDescent="0.25">
      <c r="A561" s="130" t="s">
        <v>1276</v>
      </c>
      <c r="B561" t="s">
        <v>1277</v>
      </c>
      <c r="C561" s="130" t="s">
        <v>820</v>
      </c>
      <c r="D561" t="s">
        <v>821</v>
      </c>
      <c r="E561">
        <v>0</v>
      </c>
      <c r="F561">
        <v>0</v>
      </c>
      <c r="G561">
        <v>0</v>
      </c>
      <c r="H561">
        <v>0</v>
      </c>
      <c r="I561">
        <v>0</v>
      </c>
      <c r="J561" t="str">
        <f>IFERROR(VLOOKUP(A561&amp;"",'BEA Buyer Groups'!$A$4:$C$500,3,FALSE),"Not used")</f>
        <v>Not used</v>
      </c>
      <c r="K561" t="str">
        <f t="shared" si="8"/>
        <v>Direct</v>
      </c>
    </row>
    <row r="562" spans="1:11" x14ac:dyDescent="0.25">
      <c r="A562" s="130" t="s">
        <v>1276</v>
      </c>
      <c r="B562" t="s">
        <v>1277</v>
      </c>
      <c r="C562" s="130" t="s">
        <v>816</v>
      </c>
      <c r="D562" t="s">
        <v>817</v>
      </c>
      <c r="E562">
        <v>12</v>
      </c>
      <c r="F562">
        <v>1</v>
      </c>
      <c r="G562">
        <v>4</v>
      </c>
      <c r="H562">
        <v>0</v>
      </c>
      <c r="I562">
        <v>17</v>
      </c>
      <c r="J562" t="str">
        <f>IFERROR(VLOOKUP(A562&amp;"",'BEA Buyer Groups'!$A$4:$C$500,3,FALSE),"Not used")</f>
        <v>Not used</v>
      </c>
      <c r="K562" t="str">
        <f t="shared" si="8"/>
        <v>Direct</v>
      </c>
    </row>
    <row r="563" spans="1:11" x14ac:dyDescent="0.25">
      <c r="A563" s="130" t="s">
        <v>1278</v>
      </c>
      <c r="B563" t="s">
        <v>1279</v>
      </c>
      <c r="C563" s="130" t="s">
        <v>820</v>
      </c>
      <c r="D563" t="s">
        <v>821</v>
      </c>
      <c r="E563">
        <v>0</v>
      </c>
      <c r="F563">
        <v>0</v>
      </c>
      <c r="G563">
        <v>0</v>
      </c>
      <c r="H563">
        <v>0</v>
      </c>
      <c r="I563">
        <v>0</v>
      </c>
      <c r="J563" t="str">
        <f>IFERROR(VLOOKUP(A563&amp;"",'BEA Buyer Groups'!$A$4:$C$500,3,FALSE),"Not used")</f>
        <v>Not used</v>
      </c>
      <c r="K563" t="str">
        <f t="shared" si="8"/>
        <v>Direct</v>
      </c>
    </row>
    <row r="564" spans="1:11" x14ac:dyDescent="0.25">
      <c r="A564" s="130" t="s">
        <v>1280</v>
      </c>
      <c r="B564" t="s">
        <v>1281</v>
      </c>
      <c r="C564" s="130" t="s">
        <v>820</v>
      </c>
      <c r="D564" t="s">
        <v>821</v>
      </c>
      <c r="E564">
        <v>0</v>
      </c>
      <c r="F564">
        <v>0</v>
      </c>
      <c r="G564">
        <v>0</v>
      </c>
      <c r="H564">
        <v>0</v>
      </c>
      <c r="I564">
        <v>0</v>
      </c>
      <c r="J564" t="str">
        <f>IFERROR(VLOOKUP(A564&amp;"",'BEA Buyer Groups'!$A$4:$C$500,3,FALSE),"Not used")</f>
        <v>Not used</v>
      </c>
      <c r="K564" t="str">
        <f t="shared" si="8"/>
        <v>Direct</v>
      </c>
    </row>
    <row r="565" spans="1:11" x14ac:dyDescent="0.25">
      <c r="A565" s="130" t="s">
        <v>1280</v>
      </c>
      <c r="B565" t="s">
        <v>1281</v>
      </c>
      <c r="C565" s="130" t="s">
        <v>822</v>
      </c>
      <c r="D565" t="s">
        <v>823</v>
      </c>
      <c r="E565">
        <v>0</v>
      </c>
      <c r="F565">
        <v>0</v>
      </c>
      <c r="G565">
        <v>0</v>
      </c>
      <c r="H565">
        <v>0</v>
      </c>
      <c r="I565">
        <v>0</v>
      </c>
      <c r="J565" t="str">
        <f>IFERROR(VLOOKUP(A565&amp;"",'BEA Buyer Groups'!$A$4:$C$500,3,FALSE),"Not used")</f>
        <v>Not used</v>
      </c>
      <c r="K565" t="str">
        <f t="shared" si="8"/>
        <v>Direct</v>
      </c>
    </row>
    <row r="566" spans="1:11" x14ac:dyDescent="0.25">
      <c r="A566" s="130" t="s">
        <v>1282</v>
      </c>
      <c r="B566" t="s">
        <v>1283</v>
      </c>
      <c r="C566" s="130" t="s">
        <v>820</v>
      </c>
      <c r="D566" t="s">
        <v>821</v>
      </c>
      <c r="E566">
        <v>0</v>
      </c>
      <c r="F566">
        <v>0</v>
      </c>
      <c r="G566">
        <v>0</v>
      </c>
      <c r="H566">
        <v>0</v>
      </c>
      <c r="I566">
        <v>0</v>
      </c>
      <c r="J566" t="str">
        <f>IFERROR(VLOOKUP(A566&amp;"",'BEA Buyer Groups'!$A$4:$C$500,3,FALSE),"Not used")</f>
        <v>Not used</v>
      </c>
      <c r="K566" t="str">
        <f t="shared" si="8"/>
        <v>Direct</v>
      </c>
    </row>
    <row r="567" spans="1:11" x14ac:dyDescent="0.25">
      <c r="A567" s="130" t="s">
        <v>1282</v>
      </c>
      <c r="B567" t="s">
        <v>1283</v>
      </c>
      <c r="C567" s="130" t="s">
        <v>822</v>
      </c>
      <c r="D567" t="s">
        <v>823</v>
      </c>
      <c r="E567">
        <v>0</v>
      </c>
      <c r="F567">
        <v>0</v>
      </c>
      <c r="G567">
        <v>0</v>
      </c>
      <c r="H567">
        <v>0</v>
      </c>
      <c r="I567">
        <v>0</v>
      </c>
      <c r="J567" t="str">
        <f>IFERROR(VLOOKUP(A567&amp;"",'BEA Buyer Groups'!$A$4:$C$500,3,FALSE),"Not used")</f>
        <v>Not used</v>
      </c>
      <c r="K567" t="str">
        <f t="shared" si="8"/>
        <v>Direct</v>
      </c>
    </row>
    <row r="568" spans="1:11" x14ac:dyDescent="0.25">
      <c r="A568" s="130" t="s">
        <v>1284</v>
      </c>
      <c r="B568" t="s">
        <v>1285</v>
      </c>
      <c r="C568" s="130" t="s">
        <v>820</v>
      </c>
      <c r="D568" t="s">
        <v>821</v>
      </c>
      <c r="E568">
        <v>0</v>
      </c>
      <c r="F568">
        <v>0</v>
      </c>
      <c r="G568">
        <v>0</v>
      </c>
      <c r="H568">
        <v>0</v>
      </c>
      <c r="I568">
        <v>0</v>
      </c>
      <c r="J568" t="str">
        <f>IFERROR(VLOOKUP(A568&amp;"",'BEA Buyer Groups'!$A$4:$C$500,3,FALSE),"Not used")</f>
        <v>Not used</v>
      </c>
      <c r="K568" t="str">
        <f t="shared" si="8"/>
        <v>Direct</v>
      </c>
    </row>
    <row r="569" spans="1:11" x14ac:dyDescent="0.25">
      <c r="A569" s="130" t="s">
        <v>1286</v>
      </c>
      <c r="B569" t="s">
        <v>1287</v>
      </c>
      <c r="C569" s="130" t="s">
        <v>820</v>
      </c>
      <c r="D569" t="s">
        <v>821</v>
      </c>
      <c r="E569">
        <v>0</v>
      </c>
      <c r="F569">
        <v>0</v>
      </c>
      <c r="G569">
        <v>0</v>
      </c>
      <c r="H569">
        <v>0</v>
      </c>
      <c r="I569">
        <v>0</v>
      </c>
      <c r="J569" t="str">
        <f>IFERROR(VLOOKUP(A569&amp;"",'BEA Buyer Groups'!$A$4:$C$500,3,FALSE),"Not used")</f>
        <v>Not used</v>
      </c>
      <c r="K569" t="str">
        <f t="shared" si="8"/>
        <v>Direct</v>
      </c>
    </row>
    <row r="570" spans="1:11" x14ac:dyDescent="0.25">
      <c r="A570" s="130" t="s">
        <v>1286</v>
      </c>
      <c r="B570" t="s">
        <v>1287</v>
      </c>
      <c r="C570" s="130" t="s">
        <v>822</v>
      </c>
      <c r="D570" t="s">
        <v>823</v>
      </c>
      <c r="E570">
        <v>0</v>
      </c>
      <c r="F570">
        <v>0</v>
      </c>
      <c r="G570">
        <v>0</v>
      </c>
      <c r="H570">
        <v>0</v>
      </c>
      <c r="I570">
        <v>0</v>
      </c>
      <c r="J570" t="str">
        <f>IFERROR(VLOOKUP(A570&amp;"",'BEA Buyer Groups'!$A$4:$C$500,3,FALSE),"Not used")</f>
        <v>Not used</v>
      </c>
      <c r="K570" t="str">
        <f t="shared" si="8"/>
        <v>Direct</v>
      </c>
    </row>
    <row r="571" spans="1:11" x14ac:dyDescent="0.25">
      <c r="A571" s="130" t="s">
        <v>1286</v>
      </c>
      <c r="B571" t="s">
        <v>1287</v>
      </c>
      <c r="C571" s="130" t="s">
        <v>810</v>
      </c>
      <c r="D571" t="s">
        <v>811</v>
      </c>
      <c r="E571">
        <v>0</v>
      </c>
      <c r="F571">
        <v>0</v>
      </c>
      <c r="G571">
        <v>0</v>
      </c>
      <c r="H571">
        <v>0</v>
      </c>
      <c r="I571">
        <v>0</v>
      </c>
      <c r="J571" t="str">
        <f>IFERROR(VLOOKUP(A571&amp;"",'BEA Buyer Groups'!$A$4:$C$500,3,FALSE),"Not used")</f>
        <v>Not used</v>
      </c>
      <c r="K571" t="str">
        <f t="shared" si="8"/>
        <v>Direct</v>
      </c>
    </row>
    <row r="572" spans="1:11" x14ac:dyDescent="0.25">
      <c r="A572" s="130" t="s">
        <v>1288</v>
      </c>
      <c r="B572" t="s">
        <v>1289</v>
      </c>
      <c r="C572" s="130" t="s">
        <v>820</v>
      </c>
      <c r="D572" t="s">
        <v>821</v>
      </c>
      <c r="E572">
        <v>0</v>
      </c>
      <c r="F572">
        <v>0</v>
      </c>
      <c r="G572">
        <v>0</v>
      </c>
      <c r="H572">
        <v>0</v>
      </c>
      <c r="I572">
        <v>0</v>
      </c>
      <c r="J572" t="str">
        <f>IFERROR(VLOOKUP(A572&amp;"",'BEA Buyer Groups'!$A$4:$C$500,3,FALSE),"Not used")</f>
        <v>Not used</v>
      </c>
      <c r="K572" t="str">
        <f t="shared" si="8"/>
        <v>Direct</v>
      </c>
    </row>
    <row r="573" spans="1:11" x14ac:dyDescent="0.25">
      <c r="A573" s="130" t="s">
        <v>1288</v>
      </c>
      <c r="B573" t="s">
        <v>1289</v>
      </c>
      <c r="C573" s="130" t="s">
        <v>822</v>
      </c>
      <c r="D573" t="s">
        <v>823</v>
      </c>
      <c r="E573">
        <v>1</v>
      </c>
      <c r="F573">
        <v>0</v>
      </c>
      <c r="G573">
        <v>0</v>
      </c>
      <c r="H573">
        <v>0</v>
      </c>
      <c r="I573">
        <v>1</v>
      </c>
      <c r="J573" t="str">
        <f>IFERROR(VLOOKUP(A573&amp;"",'BEA Buyer Groups'!$A$4:$C$500,3,FALSE),"Not used")</f>
        <v>Not used</v>
      </c>
      <c r="K573" t="str">
        <f t="shared" si="8"/>
        <v>Direct</v>
      </c>
    </row>
    <row r="574" spans="1:11" x14ac:dyDescent="0.25">
      <c r="A574" s="130" t="s">
        <v>1290</v>
      </c>
      <c r="B574" t="s">
        <v>1291</v>
      </c>
      <c r="C574" s="130" t="s">
        <v>820</v>
      </c>
      <c r="D574" t="s">
        <v>821</v>
      </c>
      <c r="E574">
        <v>0</v>
      </c>
      <c r="F574">
        <v>0</v>
      </c>
      <c r="G574">
        <v>0</v>
      </c>
      <c r="H574">
        <v>0</v>
      </c>
      <c r="I574">
        <v>0</v>
      </c>
      <c r="J574" t="str">
        <f>IFERROR(VLOOKUP(A574&amp;"",'BEA Buyer Groups'!$A$4:$C$500,3,FALSE),"Not used")</f>
        <v>Not used</v>
      </c>
      <c r="K574" t="str">
        <f t="shared" si="8"/>
        <v>Direct</v>
      </c>
    </row>
    <row r="575" spans="1:11" x14ac:dyDescent="0.25">
      <c r="A575" s="130" t="s">
        <v>1292</v>
      </c>
      <c r="B575" t="s">
        <v>1293</v>
      </c>
      <c r="C575" s="130" t="s">
        <v>820</v>
      </c>
      <c r="D575" t="s">
        <v>821</v>
      </c>
      <c r="E575">
        <v>0</v>
      </c>
      <c r="F575">
        <v>0</v>
      </c>
      <c r="G575">
        <v>0</v>
      </c>
      <c r="H575">
        <v>0</v>
      </c>
      <c r="I575">
        <v>0</v>
      </c>
      <c r="J575" t="str">
        <f>IFERROR(VLOOKUP(A575&amp;"",'BEA Buyer Groups'!$A$4:$C$500,3,FALSE),"Not used")</f>
        <v>Not used</v>
      </c>
      <c r="K575" t="str">
        <f t="shared" si="8"/>
        <v>Direct</v>
      </c>
    </row>
    <row r="576" spans="1:11" x14ac:dyDescent="0.25">
      <c r="A576" s="130" t="s">
        <v>1292</v>
      </c>
      <c r="B576" t="s">
        <v>1293</v>
      </c>
      <c r="C576" s="130" t="s">
        <v>822</v>
      </c>
      <c r="D576" t="s">
        <v>823</v>
      </c>
      <c r="E576">
        <v>3</v>
      </c>
      <c r="F576">
        <v>0</v>
      </c>
      <c r="G576">
        <v>2</v>
      </c>
      <c r="H576">
        <v>0</v>
      </c>
      <c r="I576">
        <v>5</v>
      </c>
      <c r="J576" t="str">
        <f>IFERROR(VLOOKUP(A576&amp;"",'BEA Buyer Groups'!$A$4:$C$500,3,FALSE),"Not used")</f>
        <v>Not used</v>
      </c>
      <c r="K576" t="str">
        <f t="shared" si="8"/>
        <v>Direct</v>
      </c>
    </row>
    <row r="577" spans="1:11" x14ac:dyDescent="0.25">
      <c r="A577" s="130" t="s">
        <v>1294</v>
      </c>
      <c r="B577" t="s">
        <v>1295</v>
      </c>
      <c r="C577" s="130" t="s">
        <v>820</v>
      </c>
      <c r="D577" t="s">
        <v>821</v>
      </c>
      <c r="E577">
        <v>0</v>
      </c>
      <c r="F577">
        <v>0</v>
      </c>
      <c r="G577">
        <v>0</v>
      </c>
      <c r="H577">
        <v>0</v>
      </c>
      <c r="I577">
        <v>1</v>
      </c>
      <c r="J577" t="str">
        <f>IFERROR(VLOOKUP(A577&amp;"",'BEA Buyer Groups'!$A$4:$C$500,3,FALSE),"Not used")</f>
        <v>Not used</v>
      </c>
      <c r="K577" t="str">
        <f t="shared" si="8"/>
        <v>Direct</v>
      </c>
    </row>
    <row r="578" spans="1:11" x14ac:dyDescent="0.25">
      <c r="A578" s="130" t="s">
        <v>1294</v>
      </c>
      <c r="B578" t="s">
        <v>1295</v>
      </c>
      <c r="C578" s="130" t="s">
        <v>822</v>
      </c>
      <c r="D578" t="s">
        <v>823</v>
      </c>
      <c r="E578">
        <v>10</v>
      </c>
      <c r="F578">
        <v>0</v>
      </c>
      <c r="G578">
        <v>4</v>
      </c>
      <c r="H578">
        <v>0</v>
      </c>
      <c r="I578">
        <v>14</v>
      </c>
      <c r="J578" t="str">
        <f>IFERROR(VLOOKUP(A578&amp;"",'BEA Buyer Groups'!$A$4:$C$500,3,FALSE),"Not used")</f>
        <v>Not used</v>
      </c>
      <c r="K578" t="str">
        <f t="shared" si="8"/>
        <v>Direct</v>
      </c>
    </row>
    <row r="579" spans="1:11" x14ac:dyDescent="0.25">
      <c r="A579" s="130" t="s">
        <v>1294</v>
      </c>
      <c r="B579" t="s">
        <v>1295</v>
      </c>
      <c r="C579" s="130" t="s">
        <v>816</v>
      </c>
      <c r="D579" t="s">
        <v>817</v>
      </c>
      <c r="E579">
        <v>26</v>
      </c>
      <c r="F579">
        <v>3</v>
      </c>
      <c r="G579">
        <v>8</v>
      </c>
      <c r="H579">
        <v>0</v>
      </c>
      <c r="I579">
        <v>37</v>
      </c>
      <c r="J579" t="str">
        <f>IFERROR(VLOOKUP(A579&amp;"",'BEA Buyer Groups'!$A$4:$C$500,3,FALSE),"Not used")</f>
        <v>Not used</v>
      </c>
      <c r="K579" t="str">
        <f t="shared" si="8"/>
        <v>Direct</v>
      </c>
    </row>
    <row r="580" spans="1:11" x14ac:dyDescent="0.25">
      <c r="A580" s="130" t="s">
        <v>1296</v>
      </c>
      <c r="B580" t="s">
        <v>1297</v>
      </c>
      <c r="C580" s="130" t="s">
        <v>820</v>
      </c>
      <c r="D580" t="s">
        <v>821</v>
      </c>
      <c r="E580">
        <v>0</v>
      </c>
      <c r="F580">
        <v>0</v>
      </c>
      <c r="G580">
        <v>0</v>
      </c>
      <c r="H580">
        <v>0</v>
      </c>
      <c r="I580">
        <v>1</v>
      </c>
      <c r="J580" t="str">
        <f>IFERROR(VLOOKUP(A580&amp;"",'BEA Buyer Groups'!$A$4:$C$500,3,FALSE),"Not used")</f>
        <v>Not used</v>
      </c>
      <c r="K580" t="str">
        <f t="shared" si="8"/>
        <v>Direct</v>
      </c>
    </row>
    <row r="581" spans="1:11" x14ac:dyDescent="0.25">
      <c r="A581" s="130" t="s">
        <v>1298</v>
      </c>
      <c r="B581" t="s">
        <v>1299</v>
      </c>
      <c r="C581" s="130" t="s">
        <v>820</v>
      </c>
      <c r="D581" t="s">
        <v>821</v>
      </c>
      <c r="E581">
        <v>4</v>
      </c>
      <c r="F581">
        <v>0</v>
      </c>
      <c r="G581">
        <v>2</v>
      </c>
      <c r="H581">
        <v>0</v>
      </c>
      <c r="I581">
        <v>6</v>
      </c>
      <c r="J581" t="str">
        <f>IFERROR(VLOOKUP(A581&amp;"",'BEA Buyer Groups'!$A$4:$C$500,3,FALSE),"Not used")</f>
        <v>Not used</v>
      </c>
      <c r="K581" t="str">
        <f t="shared" si="8"/>
        <v>Direct</v>
      </c>
    </row>
    <row r="582" spans="1:11" x14ac:dyDescent="0.25">
      <c r="A582" s="130" t="s">
        <v>1298</v>
      </c>
      <c r="B582" t="s">
        <v>1299</v>
      </c>
      <c r="C582" s="130" t="s">
        <v>822</v>
      </c>
      <c r="D582" t="s">
        <v>823</v>
      </c>
      <c r="E582">
        <v>28</v>
      </c>
      <c r="F582">
        <v>1</v>
      </c>
      <c r="G582">
        <v>13</v>
      </c>
      <c r="H582">
        <v>0</v>
      </c>
      <c r="I582">
        <v>41</v>
      </c>
      <c r="J582" t="str">
        <f>IFERROR(VLOOKUP(A582&amp;"",'BEA Buyer Groups'!$A$4:$C$500,3,FALSE),"Not used")</f>
        <v>Not used</v>
      </c>
      <c r="K582" t="str">
        <f t="shared" si="8"/>
        <v>Direct</v>
      </c>
    </row>
    <row r="583" spans="1:11" x14ac:dyDescent="0.25">
      <c r="A583" s="130" t="s">
        <v>1298</v>
      </c>
      <c r="B583" t="s">
        <v>1299</v>
      </c>
      <c r="C583" s="130" t="s">
        <v>810</v>
      </c>
      <c r="D583" t="s">
        <v>811</v>
      </c>
      <c r="E583">
        <v>2</v>
      </c>
      <c r="F583">
        <v>0</v>
      </c>
      <c r="G583">
        <v>1</v>
      </c>
      <c r="H583">
        <v>0</v>
      </c>
      <c r="I583">
        <v>2</v>
      </c>
      <c r="J583" t="str">
        <f>IFERROR(VLOOKUP(A583&amp;"",'BEA Buyer Groups'!$A$4:$C$500,3,FALSE),"Not used")</f>
        <v>Not used</v>
      </c>
      <c r="K583" t="str">
        <f t="shared" ref="K583:K646" si="9">IF(LEFT(A583,2)="23","Contractor","Direct")</f>
        <v>Direct</v>
      </c>
    </row>
    <row r="584" spans="1:11" x14ac:dyDescent="0.25">
      <c r="A584" s="130" t="s">
        <v>1300</v>
      </c>
      <c r="B584" t="s">
        <v>1301</v>
      </c>
      <c r="C584" s="130" t="s">
        <v>820</v>
      </c>
      <c r="D584" t="s">
        <v>821</v>
      </c>
      <c r="E584">
        <v>2</v>
      </c>
      <c r="F584">
        <v>0</v>
      </c>
      <c r="G584">
        <v>1</v>
      </c>
      <c r="H584">
        <v>0</v>
      </c>
      <c r="I584">
        <v>4</v>
      </c>
      <c r="J584" t="str">
        <f>IFERROR(VLOOKUP(A584&amp;"",'BEA Buyer Groups'!$A$4:$C$500,3,FALSE),"Not used")</f>
        <v>Not used</v>
      </c>
      <c r="K584" t="str">
        <f t="shared" si="9"/>
        <v>Direct</v>
      </c>
    </row>
    <row r="585" spans="1:11" x14ac:dyDescent="0.25">
      <c r="A585" s="130" t="s">
        <v>1300</v>
      </c>
      <c r="B585" t="s">
        <v>1301</v>
      </c>
      <c r="C585" s="130" t="s">
        <v>822</v>
      </c>
      <c r="D585" t="s">
        <v>823</v>
      </c>
      <c r="E585">
        <v>15</v>
      </c>
      <c r="F585">
        <v>0</v>
      </c>
      <c r="G585">
        <v>6</v>
      </c>
      <c r="H585">
        <v>0</v>
      </c>
      <c r="I585">
        <v>21</v>
      </c>
      <c r="J585" t="str">
        <f>IFERROR(VLOOKUP(A585&amp;"",'BEA Buyer Groups'!$A$4:$C$500,3,FALSE),"Not used")</f>
        <v>Not used</v>
      </c>
      <c r="K585" t="str">
        <f t="shared" si="9"/>
        <v>Direct</v>
      </c>
    </row>
    <row r="586" spans="1:11" x14ac:dyDescent="0.25">
      <c r="A586" s="130" t="s">
        <v>1300</v>
      </c>
      <c r="B586" t="s">
        <v>1301</v>
      </c>
      <c r="C586" s="130" t="s">
        <v>810</v>
      </c>
      <c r="D586" t="s">
        <v>811</v>
      </c>
      <c r="E586">
        <v>0</v>
      </c>
      <c r="F586">
        <v>0</v>
      </c>
      <c r="G586">
        <v>0</v>
      </c>
      <c r="H586">
        <v>0</v>
      </c>
      <c r="I586">
        <v>0</v>
      </c>
      <c r="J586" t="str">
        <f>IFERROR(VLOOKUP(A586&amp;"",'BEA Buyer Groups'!$A$4:$C$500,3,FALSE),"Not used")</f>
        <v>Not used</v>
      </c>
      <c r="K586" t="str">
        <f t="shared" si="9"/>
        <v>Direct</v>
      </c>
    </row>
    <row r="587" spans="1:11" x14ac:dyDescent="0.25">
      <c r="A587" s="130" t="s">
        <v>1300</v>
      </c>
      <c r="B587" t="s">
        <v>1301</v>
      </c>
      <c r="C587" s="130" t="s">
        <v>816</v>
      </c>
      <c r="D587" t="s">
        <v>817</v>
      </c>
      <c r="E587">
        <v>4</v>
      </c>
      <c r="F587">
        <v>0</v>
      </c>
      <c r="G587">
        <v>1</v>
      </c>
      <c r="H587">
        <v>0</v>
      </c>
      <c r="I587">
        <v>6</v>
      </c>
      <c r="J587" t="str">
        <f>IFERROR(VLOOKUP(A587&amp;"",'BEA Buyer Groups'!$A$4:$C$500,3,FALSE),"Not used")</f>
        <v>Not used</v>
      </c>
      <c r="K587" t="str">
        <f t="shared" si="9"/>
        <v>Direct</v>
      </c>
    </row>
    <row r="588" spans="1:11" x14ac:dyDescent="0.25">
      <c r="A588" s="130" t="s">
        <v>1302</v>
      </c>
      <c r="B588" t="s">
        <v>1303</v>
      </c>
      <c r="C588" s="130" t="s">
        <v>820</v>
      </c>
      <c r="D588" t="s">
        <v>821</v>
      </c>
      <c r="E588">
        <v>0</v>
      </c>
      <c r="F588">
        <v>0</v>
      </c>
      <c r="G588">
        <v>0</v>
      </c>
      <c r="H588">
        <v>0</v>
      </c>
      <c r="I588">
        <v>0</v>
      </c>
      <c r="J588" t="str">
        <f>IFERROR(VLOOKUP(A588&amp;"",'BEA Buyer Groups'!$A$4:$C$500,3,FALSE),"Not used")</f>
        <v>Not used</v>
      </c>
      <c r="K588" t="str">
        <f t="shared" si="9"/>
        <v>Direct</v>
      </c>
    </row>
    <row r="589" spans="1:11" x14ac:dyDescent="0.25">
      <c r="A589" s="130" t="s">
        <v>1304</v>
      </c>
      <c r="B589" t="s">
        <v>1305</v>
      </c>
      <c r="C589" s="130" t="s">
        <v>820</v>
      </c>
      <c r="D589" t="s">
        <v>821</v>
      </c>
      <c r="E589">
        <v>0</v>
      </c>
      <c r="F589">
        <v>0</v>
      </c>
      <c r="G589">
        <v>0</v>
      </c>
      <c r="H589">
        <v>0</v>
      </c>
      <c r="I589">
        <v>1</v>
      </c>
      <c r="J589" t="str">
        <f>IFERROR(VLOOKUP(A589&amp;"",'BEA Buyer Groups'!$A$4:$C$500,3,FALSE),"Not used")</f>
        <v>Not used</v>
      </c>
      <c r="K589" t="str">
        <f t="shared" si="9"/>
        <v>Direct</v>
      </c>
    </row>
    <row r="590" spans="1:11" x14ac:dyDescent="0.25">
      <c r="A590" s="130" t="s">
        <v>1306</v>
      </c>
      <c r="B590" t="s">
        <v>1307</v>
      </c>
      <c r="C590" s="130" t="s">
        <v>820</v>
      </c>
      <c r="D590" t="s">
        <v>821</v>
      </c>
      <c r="E590">
        <v>0</v>
      </c>
      <c r="F590">
        <v>0</v>
      </c>
      <c r="G590">
        <v>0</v>
      </c>
      <c r="H590">
        <v>0</v>
      </c>
      <c r="I590">
        <v>0</v>
      </c>
      <c r="J590" t="str">
        <f>IFERROR(VLOOKUP(A590&amp;"",'BEA Buyer Groups'!$A$4:$C$500,3,FALSE),"Not used")</f>
        <v>Not used</v>
      </c>
      <c r="K590" t="str">
        <f t="shared" si="9"/>
        <v>Direct</v>
      </c>
    </row>
    <row r="591" spans="1:11" x14ac:dyDescent="0.25">
      <c r="A591" s="130" t="s">
        <v>1308</v>
      </c>
      <c r="B591" t="s">
        <v>1309</v>
      </c>
      <c r="C591" s="130" t="s">
        <v>820</v>
      </c>
      <c r="D591" t="s">
        <v>821</v>
      </c>
      <c r="E591">
        <v>0</v>
      </c>
      <c r="F591">
        <v>0</v>
      </c>
      <c r="G591">
        <v>0</v>
      </c>
      <c r="H591">
        <v>0</v>
      </c>
      <c r="I591">
        <v>0</v>
      </c>
      <c r="J591" t="str">
        <f>IFERROR(VLOOKUP(A591&amp;"",'BEA Buyer Groups'!$A$4:$C$500,3,FALSE),"Not used")</f>
        <v>Not used</v>
      </c>
      <c r="K591" t="str">
        <f t="shared" si="9"/>
        <v>Direct</v>
      </c>
    </row>
    <row r="592" spans="1:11" x14ac:dyDescent="0.25">
      <c r="A592" s="130" t="s">
        <v>1310</v>
      </c>
      <c r="B592" t="s">
        <v>1311</v>
      </c>
      <c r="C592" s="130" t="s">
        <v>820</v>
      </c>
      <c r="D592" t="s">
        <v>821</v>
      </c>
      <c r="E592">
        <v>0</v>
      </c>
      <c r="F592">
        <v>0</v>
      </c>
      <c r="G592">
        <v>0</v>
      </c>
      <c r="H592">
        <v>0</v>
      </c>
      <c r="I592">
        <v>0</v>
      </c>
      <c r="J592" t="str">
        <f>IFERROR(VLOOKUP(A592&amp;"",'BEA Buyer Groups'!$A$4:$C$500,3,FALSE),"Not used")</f>
        <v>Not used</v>
      </c>
      <c r="K592" t="str">
        <f t="shared" si="9"/>
        <v>Direct</v>
      </c>
    </row>
    <row r="593" spans="1:11" x14ac:dyDescent="0.25">
      <c r="A593" s="130" t="s">
        <v>1310</v>
      </c>
      <c r="B593" t="s">
        <v>1311</v>
      </c>
      <c r="C593" s="130" t="s">
        <v>822</v>
      </c>
      <c r="D593" t="s">
        <v>823</v>
      </c>
      <c r="E593">
        <v>3</v>
      </c>
      <c r="F593">
        <v>0</v>
      </c>
      <c r="G593">
        <v>1</v>
      </c>
      <c r="H593">
        <v>0</v>
      </c>
      <c r="I593">
        <v>4</v>
      </c>
      <c r="J593" t="str">
        <f>IFERROR(VLOOKUP(A593&amp;"",'BEA Buyer Groups'!$A$4:$C$500,3,FALSE),"Not used")</f>
        <v>Not used</v>
      </c>
      <c r="K593" t="str">
        <f t="shared" si="9"/>
        <v>Direct</v>
      </c>
    </row>
    <row r="594" spans="1:11" x14ac:dyDescent="0.25">
      <c r="A594" s="130" t="s">
        <v>1312</v>
      </c>
      <c r="B594" t="s">
        <v>1313</v>
      </c>
      <c r="C594" s="130" t="s">
        <v>820</v>
      </c>
      <c r="D594" t="s">
        <v>821</v>
      </c>
      <c r="E594">
        <v>0</v>
      </c>
      <c r="F594">
        <v>0</v>
      </c>
      <c r="G594">
        <v>0</v>
      </c>
      <c r="H594">
        <v>0</v>
      </c>
      <c r="I594">
        <v>0</v>
      </c>
      <c r="J594" t="str">
        <f>IFERROR(VLOOKUP(A594&amp;"",'BEA Buyer Groups'!$A$4:$C$500,3,FALSE),"Not used")</f>
        <v>Not used</v>
      </c>
      <c r="K594" t="str">
        <f t="shared" si="9"/>
        <v>Direct</v>
      </c>
    </row>
    <row r="595" spans="1:11" x14ac:dyDescent="0.25">
      <c r="A595" s="130" t="s">
        <v>1312</v>
      </c>
      <c r="B595" t="s">
        <v>1313</v>
      </c>
      <c r="C595" s="130" t="s">
        <v>822</v>
      </c>
      <c r="D595" t="s">
        <v>823</v>
      </c>
      <c r="E595">
        <v>2</v>
      </c>
      <c r="F595">
        <v>0</v>
      </c>
      <c r="G595">
        <v>1</v>
      </c>
      <c r="H595">
        <v>0</v>
      </c>
      <c r="I595">
        <v>4</v>
      </c>
      <c r="J595" t="str">
        <f>IFERROR(VLOOKUP(A595&amp;"",'BEA Buyer Groups'!$A$4:$C$500,3,FALSE),"Not used")</f>
        <v>Not used</v>
      </c>
      <c r="K595" t="str">
        <f t="shared" si="9"/>
        <v>Direct</v>
      </c>
    </row>
    <row r="596" spans="1:11" x14ac:dyDescent="0.25">
      <c r="A596" s="130" t="s">
        <v>1314</v>
      </c>
      <c r="B596" t="s">
        <v>1315</v>
      </c>
      <c r="C596" s="130" t="s">
        <v>820</v>
      </c>
      <c r="D596" t="s">
        <v>821</v>
      </c>
      <c r="E596">
        <v>0</v>
      </c>
      <c r="F596">
        <v>0</v>
      </c>
      <c r="G596">
        <v>0</v>
      </c>
      <c r="H596">
        <v>0</v>
      </c>
      <c r="I596">
        <v>0</v>
      </c>
      <c r="J596" t="str">
        <f>IFERROR(VLOOKUP(A596&amp;"",'BEA Buyer Groups'!$A$4:$C$500,3,FALSE),"Not used")</f>
        <v>Not used</v>
      </c>
      <c r="K596" t="str">
        <f t="shared" si="9"/>
        <v>Direct</v>
      </c>
    </row>
    <row r="597" spans="1:11" x14ac:dyDescent="0.25">
      <c r="A597" s="130" t="s">
        <v>1316</v>
      </c>
      <c r="B597" t="s">
        <v>1317</v>
      </c>
      <c r="C597" s="130" t="s">
        <v>820</v>
      </c>
      <c r="D597" t="s">
        <v>821</v>
      </c>
      <c r="E597">
        <v>5</v>
      </c>
      <c r="F597">
        <v>0</v>
      </c>
      <c r="G597">
        <v>3</v>
      </c>
      <c r="H597">
        <v>0</v>
      </c>
      <c r="I597">
        <v>8</v>
      </c>
      <c r="J597" t="str">
        <f>IFERROR(VLOOKUP(A597&amp;"",'BEA Buyer Groups'!$A$4:$C$500,3,FALSE),"Not used")</f>
        <v>Not used</v>
      </c>
      <c r="K597" t="str">
        <f t="shared" si="9"/>
        <v>Direct</v>
      </c>
    </row>
    <row r="598" spans="1:11" x14ac:dyDescent="0.25">
      <c r="A598" s="130" t="s">
        <v>1316</v>
      </c>
      <c r="B598" t="s">
        <v>1317</v>
      </c>
      <c r="C598" s="130" t="s">
        <v>822</v>
      </c>
      <c r="D598" t="s">
        <v>823</v>
      </c>
      <c r="E598">
        <v>38</v>
      </c>
      <c r="F598">
        <v>1</v>
      </c>
      <c r="G598">
        <v>17</v>
      </c>
      <c r="H598">
        <v>0</v>
      </c>
      <c r="I598">
        <v>56</v>
      </c>
      <c r="J598" t="str">
        <f>IFERROR(VLOOKUP(A598&amp;"",'BEA Buyer Groups'!$A$4:$C$500,3,FALSE),"Not used")</f>
        <v>Not used</v>
      </c>
      <c r="K598" t="str">
        <f t="shared" si="9"/>
        <v>Direct</v>
      </c>
    </row>
    <row r="599" spans="1:11" x14ac:dyDescent="0.25">
      <c r="A599" s="130" t="s">
        <v>1316</v>
      </c>
      <c r="B599" t="s">
        <v>1317</v>
      </c>
      <c r="C599" s="130" t="s">
        <v>810</v>
      </c>
      <c r="D599" t="s">
        <v>811</v>
      </c>
      <c r="E599">
        <v>1</v>
      </c>
      <c r="F599">
        <v>0</v>
      </c>
      <c r="G599">
        <v>0</v>
      </c>
      <c r="H599">
        <v>0</v>
      </c>
      <c r="I599">
        <v>1</v>
      </c>
      <c r="J599" t="str">
        <f>IFERROR(VLOOKUP(A599&amp;"",'BEA Buyer Groups'!$A$4:$C$500,3,FALSE),"Not used")</f>
        <v>Not used</v>
      </c>
      <c r="K599" t="str">
        <f t="shared" si="9"/>
        <v>Direct</v>
      </c>
    </row>
    <row r="600" spans="1:11" x14ac:dyDescent="0.25">
      <c r="A600" s="130" t="s">
        <v>1318</v>
      </c>
      <c r="B600" t="s">
        <v>1319</v>
      </c>
      <c r="C600" s="130" t="s">
        <v>820</v>
      </c>
      <c r="D600" t="s">
        <v>821</v>
      </c>
      <c r="E600">
        <v>4</v>
      </c>
      <c r="F600">
        <v>0</v>
      </c>
      <c r="G600">
        <v>2</v>
      </c>
      <c r="H600">
        <v>0</v>
      </c>
      <c r="I600">
        <v>6</v>
      </c>
      <c r="J600" t="str">
        <f>IFERROR(VLOOKUP(A600&amp;"",'BEA Buyer Groups'!$A$4:$C$500,3,FALSE),"Not used")</f>
        <v>Not used</v>
      </c>
      <c r="K600" t="str">
        <f t="shared" si="9"/>
        <v>Direct</v>
      </c>
    </row>
    <row r="601" spans="1:11" x14ac:dyDescent="0.25">
      <c r="A601" s="130" t="s">
        <v>1318</v>
      </c>
      <c r="B601" t="s">
        <v>1319</v>
      </c>
      <c r="C601" s="130" t="s">
        <v>822</v>
      </c>
      <c r="D601" t="s">
        <v>823</v>
      </c>
      <c r="E601">
        <v>14</v>
      </c>
      <c r="F601">
        <v>0</v>
      </c>
      <c r="G601">
        <v>6</v>
      </c>
      <c r="H601">
        <v>0</v>
      </c>
      <c r="I601">
        <v>21</v>
      </c>
      <c r="J601" t="str">
        <f>IFERROR(VLOOKUP(A601&amp;"",'BEA Buyer Groups'!$A$4:$C$500,3,FALSE),"Not used")</f>
        <v>Not used</v>
      </c>
      <c r="K601" t="str">
        <f t="shared" si="9"/>
        <v>Direct</v>
      </c>
    </row>
    <row r="602" spans="1:11" x14ac:dyDescent="0.25">
      <c r="A602" s="130" t="s">
        <v>1318</v>
      </c>
      <c r="B602" t="s">
        <v>1319</v>
      </c>
      <c r="C602" s="130" t="s">
        <v>810</v>
      </c>
      <c r="D602" t="s">
        <v>811</v>
      </c>
      <c r="E602">
        <v>1</v>
      </c>
      <c r="F602">
        <v>0</v>
      </c>
      <c r="G602">
        <v>0</v>
      </c>
      <c r="H602">
        <v>0</v>
      </c>
      <c r="I602">
        <v>1</v>
      </c>
      <c r="J602" t="str">
        <f>IFERROR(VLOOKUP(A602&amp;"",'BEA Buyer Groups'!$A$4:$C$500,3,FALSE),"Not used")</f>
        <v>Not used</v>
      </c>
      <c r="K602" t="str">
        <f t="shared" si="9"/>
        <v>Direct</v>
      </c>
    </row>
    <row r="603" spans="1:11" x14ac:dyDescent="0.25">
      <c r="A603" s="130" t="s">
        <v>1318</v>
      </c>
      <c r="B603" t="s">
        <v>1319</v>
      </c>
      <c r="C603" s="130" t="s">
        <v>816</v>
      </c>
      <c r="D603" t="s">
        <v>817</v>
      </c>
      <c r="E603">
        <v>0</v>
      </c>
      <c r="F603">
        <v>0</v>
      </c>
      <c r="G603">
        <v>0</v>
      </c>
      <c r="H603">
        <v>0</v>
      </c>
      <c r="I603">
        <v>1</v>
      </c>
      <c r="J603" t="str">
        <f>IFERROR(VLOOKUP(A603&amp;"",'BEA Buyer Groups'!$A$4:$C$500,3,FALSE),"Not used")</f>
        <v>Not used</v>
      </c>
      <c r="K603" t="str">
        <f t="shared" si="9"/>
        <v>Direct</v>
      </c>
    </row>
    <row r="604" spans="1:11" x14ac:dyDescent="0.25">
      <c r="A604" s="130" t="s">
        <v>1320</v>
      </c>
      <c r="B604" t="s">
        <v>1321</v>
      </c>
      <c r="C604" s="130" t="s">
        <v>822</v>
      </c>
      <c r="D604" t="s">
        <v>823</v>
      </c>
      <c r="E604">
        <v>5</v>
      </c>
      <c r="F604">
        <v>0</v>
      </c>
      <c r="G604">
        <v>2</v>
      </c>
      <c r="H604">
        <v>0</v>
      </c>
      <c r="I604">
        <v>7</v>
      </c>
      <c r="J604" t="str">
        <f>IFERROR(VLOOKUP(A604&amp;"",'BEA Buyer Groups'!$A$4:$C$500,3,FALSE),"Not used")</f>
        <v>Commercial</v>
      </c>
      <c r="K604" t="str">
        <f t="shared" si="9"/>
        <v>Direct</v>
      </c>
    </row>
    <row r="605" spans="1:11" x14ac:dyDescent="0.25">
      <c r="A605" s="130" t="s">
        <v>1320</v>
      </c>
      <c r="B605" t="s">
        <v>1321</v>
      </c>
      <c r="C605" s="130" t="s">
        <v>860</v>
      </c>
      <c r="D605" t="s">
        <v>861</v>
      </c>
      <c r="E605">
        <v>1</v>
      </c>
      <c r="F605">
        <v>0</v>
      </c>
      <c r="G605">
        <v>0</v>
      </c>
      <c r="H605">
        <v>0</v>
      </c>
      <c r="I605">
        <v>2</v>
      </c>
      <c r="J605" t="str">
        <f>IFERROR(VLOOKUP(A605&amp;"",'BEA Buyer Groups'!$A$4:$C$500,3,FALSE),"Not used")</f>
        <v>Commercial</v>
      </c>
      <c r="K605" t="str">
        <f t="shared" si="9"/>
        <v>Direct</v>
      </c>
    </row>
    <row r="606" spans="1:11" x14ac:dyDescent="0.25">
      <c r="A606" s="130" t="s">
        <v>1320</v>
      </c>
      <c r="B606" t="s">
        <v>1321</v>
      </c>
      <c r="C606" s="130" t="s">
        <v>810</v>
      </c>
      <c r="D606" t="s">
        <v>811</v>
      </c>
      <c r="E606">
        <v>1</v>
      </c>
      <c r="F606">
        <v>0</v>
      </c>
      <c r="G606">
        <v>0</v>
      </c>
      <c r="H606">
        <v>0</v>
      </c>
      <c r="I606">
        <v>1</v>
      </c>
      <c r="J606" t="str">
        <f>IFERROR(VLOOKUP(A606&amp;"",'BEA Buyer Groups'!$A$4:$C$500,3,FALSE),"Not used")</f>
        <v>Commercial</v>
      </c>
      <c r="K606" t="str">
        <f t="shared" si="9"/>
        <v>Direct</v>
      </c>
    </row>
    <row r="607" spans="1:11" x14ac:dyDescent="0.25">
      <c r="A607" s="130" t="s">
        <v>1320</v>
      </c>
      <c r="B607" t="s">
        <v>1321</v>
      </c>
      <c r="C607" s="130" t="s">
        <v>816</v>
      </c>
      <c r="D607" t="s">
        <v>817</v>
      </c>
      <c r="E607">
        <v>2</v>
      </c>
      <c r="F607">
        <v>0</v>
      </c>
      <c r="G607">
        <v>1</v>
      </c>
      <c r="H607">
        <v>0</v>
      </c>
      <c r="I607">
        <v>2</v>
      </c>
      <c r="J607" t="str">
        <f>IFERROR(VLOOKUP(A607&amp;"",'BEA Buyer Groups'!$A$4:$C$500,3,FALSE),"Not used")</f>
        <v>Commercial</v>
      </c>
      <c r="K607" t="str">
        <f t="shared" si="9"/>
        <v>Direct</v>
      </c>
    </row>
    <row r="608" spans="1:11" x14ac:dyDescent="0.25">
      <c r="A608" s="130" t="s">
        <v>1322</v>
      </c>
      <c r="B608" t="s">
        <v>1323</v>
      </c>
      <c r="C608" s="130" t="s">
        <v>822</v>
      </c>
      <c r="D608" t="s">
        <v>823</v>
      </c>
      <c r="E608">
        <v>82</v>
      </c>
      <c r="F608">
        <v>2</v>
      </c>
      <c r="G608">
        <v>6</v>
      </c>
      <c r="H608">
        <v>2</v>
      </c>
      <c r="I608">
        <v>92</v>
      </c>
      <c r="J608" t="str">
        <f>IFERROR(VLOOKUP(A608&amp;"",'BEA Buyer Groups'!$A$4:$C$500,3,FALSE),"Not used")</f>
        <v>Commercial</v>
      </c>
      <c r="K608" t="str">
        <f t="shared" si="9"/>
        <v>Direct</v>
      </c>
    </row>
    <row r="609" spans="1:11" x14ac:dyDescent="0.25">
      <c r="A609" s="130" t="s">
        <v>1322</v>
      </c>
      <c r="B609" t="s">
        <v>1323</v>
      </c>
      <c r="C609" s="130" t="s">
        <v>810</v>
      </c>
      <c r="D609" t="s">
        <v>811</v>
      </c>
      <c r="E609">
        <v>0</v>
      </c>
      <c r="F609">
        <v>0</v>
      </c>
      <c r="G609">
        <v>0</v>
      </c>
      <c r="H609">
        <v>0</v>
      </c>
      <c r="I609">
        <v>0</v>
      </c>
      <c r="J609" t="str">
        <f>IFERROR(VLOOKUP(A609&amp;"",'BEA Buyer Groups'!$A$4:$C$500,3,FALSE),"Not used")</f>
        <v>Commercial</v>
      </c>
      <c r="K609" t="str">
        <f t="shared" si="9"/>
        <v>Direct</v>
      </c>
    </row>
    <row r="610" spans="1:11" x14ac:dyDescent="0.25">
      <c r="A610" s="130" t="s">
        <v>1322</v>
      </c>
      <c r="B610" t="s">
        <v>1323</v>
      </c>
      <c r="C610" s="130" t="s">
        <v>816</v>
      </c>
      <c r="D610" t="s">
        <v>817</v>
      </c>
      <c r="E610">
        <v>7</v>
      </c>
      <c r="F610">
        <v>1</v>
      </c>
      <c r="G610">
        <v>2</v>
      </c>
      <c r="H610">
        <v>0</v>
      </c>
      <c r="I610">
        <v>10</v>
      </c>
      <c r="J610" t="str">
        <f>IFERROR(VLOOKUP(A610&amp;"",'BEA Buyer Groups'!$A$4:$C$500,3,FALSE),"Not used")</f>
        <v>Commercial</v>
      </c>
      <c r="K610" t="str">
        <f t="shared" si="9"/>
        <v>Direct</v>
      </c>
    </row>
    <row r="611" spans="1:11" x14ac:dyDescent="0.25">
      <c r="A611" s="130" t="s">
        <v>1324</v>
      </c>
      <c r="B611" t="s">
        <v>1325</v>
      </c>
      <c r="C611" s="130" t="s">
        <v>822</v>
      </c>
      <c r="D611" t="s">
        <v>823</v>
      </c>
      <c r="E611">
        <v>111</v>
      </c>
      <c r="F611">
        <v>3</v>
      </c>
      <c r="G611">
        <v>4</v>
      </c>
      <c r="H611">
        <v>0</v>
      </c>
      <c r="I611">
        <v>119</v>
      </c>
      <c r="J611" t="str">
        <f>IFERROR(VLOOKUP(A611&amp;"",'BEA Buyer Groups'!$A$4:$C$500,3,FALSE),"Not used")</f>
        <v>Commercial</v>
      </c>
      <c r="K611" t="str">
        <f t="shared" si="9"/>
        <v>Direct</v>
      </c>
    </row>
    <row r="612" spans="1:11" x14ac:dyDescent="0.25">
      <c r="A612" s="130" t="s">
        <v>1324</v>
      </c>
      <c r="B612" t="s">
        <v>1325</v>
      </c>
      <c r="C612" s="130" t="s">
        <v>860</v>
      </c>
      <c r="D612" t="s">
        <v>861</v>
      </c>
      <c r="E612">
        <v>0</v>
      </c>
      <c r="F612">
        <v>0</v>
      </c>
      <c r="G612">
        <v>0</v>
      </c>
      <c r="H612">
        <v>0</v>
      </c>
      <c r="I612">
        <v>0</v>
      </c>
      <c r="J612" t="str">
        <f>IFERROR(VLOOKUP(A612&amp;"",'BEA Buyer Groups'!$A$4:$C$500,3,FALSE),"Not used")</f>
        <v>Commercial</v>
      </c>
      <c r="K612" t="str">
        <f t="shared" si="9"/>
        <v>Direct</v>
      </c>
    </row>
    <row r="613" spans="1:11" x14ac:dyDescent="0.25">
      <c r="A613" s="130" t="s">
        <v>1324</v>
      </c>
      <c r="B613" t="s">
        <v>1325</v>
      </c>
      <c r="C613" s="130" t="s">
        <v>816</v>
      </c>
      <c r="D613" t="s">
        <v>817</v>
      </c>
      <c r="E613">
        <v>3</v>
      </c>
      <c r="F613">
        <v>0</v>
      </c>
      <c r="G613">
        <v>1</v>
      </c>
      <c r="H613">
        <v>0</v>
      </c>
      <c r="I613">
        <v>4</v>
      </c>
      <c r="J613" t="str">
        <f>IFERROR(VLOOKUP(A613&amp;"",'BEA Buyer Groups'!$A$4:$C$500,3,FALSE),"Not used")</f>
        <v>Commercial</v>
      </c>
      <c r="K613" t="str">
        <f t="shared" si="9"/>
        <v>Direct</v>
      </c>
    </row>
    <row r="614" spans="1:11" x14ac:dyDescent="0.25">
      <c r="A614" s="130" t="s">
        <v>1326</v>
      </c>
      <c r="B614" t="s">
        <v>1327</v>
      </c>
      <c r="C614" s="130" t="s">
        <v>822</v>
      </c>
      <c r="D614" t="s">
        <v>823</v>
      </c>
      <c r="E614">
        <v>151</v>
      </c>
      <c r="F614">
        <v>4</v>
      </c>
      <c r="G614">
        <v>14</v>
      </c>
      <c r="H614">
        <v>0</v>
      </c>
      <c r="I614">
        <v>170</v>
      </c>
      <c r="J614" t="str">
        <f>IFERROR(VLOOKUP(A614&amp;"",'BEA Buyer Groups'!$A$4:$C$500,3,FALSE),"Not used")</f>
        <v>Commercial</v>
      </c>
      <c r="K614" t="str">
        <f t="shared" si="9"/>
        <v>Direct</v>
      </c>
    </row>
    <row r="615" spans="1:11" x14ac:dyDescent="0.25">
      <c r="A615" s="130" t="s">
        <v>1326</v>
      </c>
      <c r="B615" t="s">
        <v>1327</v>
      </c>
      <c r="C615" s="130" t="s">
        <v>810</v>
      </c>
      <c r="D615" t="s">
        <v>811</v>
      </c>
      <c r="E615">
        <v>2</v>
      </c>
      <c r="F615">
        <v>0</v>
      </c>
      <c r="G615">
        <v>1</v>
      </c>
      <c r="H615">
        <v>0</v>
      </c>
      <c r="I615">
        <v>3</v>
      </c>
      <c r="J615" t="str">
        <f>IFERROR(VLOOKUP(A615&amp;"",'BEA Buyer Groups'!$A$4:$C$500,3,FALSE),"Not used")</f>
        <v>Commercial</v>
      </c>
      <c r="K615" t="str">
        <f t="shared" si="9"/>
        <v>Direct</v>
      </c>
    </row>
    <row r="616" spans="1:11" x14ac:dyDescent="0.25">
      <c r="A616" s="130" t="s">
        <v>1326</v>
      </c>
      <c r="B616" t="s">
        <v>1327</v>
      </c>
      <c r="C616" s="130" t="s">
        <v>816</v>
      </c>
      <c r="D616" t="s">
        <v>817</v>
      </c>
      <c r="E616">
        <v>3</v>
      </c>
      <c r="F616">
        <v>0</v>
      </c>
      <c r="G616">
        <v>1</v>
      </c>
      <c r="H616">
        <v>0</v>
      </c>
      <c r="I616">
        <v>5</v>
      </c>
      <c r="J616" t="str">
        <f>IFERROR(VLOOKUP(A616&amp;"",'BEA Buyer Groups'!$A$4:$C$500,3,FALSE),"Not used")</f>
        <v>Commercial</v>
      </c>
      <c r="K616" t="str">
        <f t="shared" si="9"/>
        <v>Direct</v>
      </c>
    </row>
    <row r="617" spans="1:11" x14ac:dyDescent="0.25">
      <c r="A617" s="130" t="s">
        <v>1328</v>
      </c>
      <c r="B617" t="s">
        <v>1329</v>
      </c>
      <c r="C617" s="130" t="s">
        <v>822</v>
      </c>
      <c r="D617" t="s">
        <v>823</v>
      </c>
      <c r="E617">
        <v>135</v>
      </c>
      <c r="F617">
        <v>4</v>
      </c>
      <c r="G617">
        <v>8</v>
      </c>
      <c r="H617">
        <v>41</v>
      </c>
      <c r="I617">
        <v>188</v>
      </c>
      <c r="J617" t="str">
        <f>IFERROR(VLOOKUP(A617&amp;"",'BEA Buyer Groups'!$A$4:$C$500,3,FALSE),"Not used")</f>
        <v>Commercial</v>
      </c>
      <c r="K617" t="str">
        <f t="shared" si="9"/>
        <v>Direct</v>
      </c>
    </row>
    <row r="618" spans="1:11" x14ac:dyDescent="0.25">
      <c r="A618" s="130" t="s">
        <v>1328</v>
      </c>
      <c r="B618" t="s">
        <v>1329</v>
      </c>
      <c r="C618" s="130" t="s">
        <v>860</v>
      </c>
      <c r="D618" t="s">
        <v>861</v>
      </c>
      <c r="E618">
        <v>1</v>
      </c>
      <c r="F618">
        <v>0</v>
      </c>
      <c r="G618">
        <v>0</v>
      </c>
      <c r="H618">
        <v>0</v>
      </c>
      <c r="I618">
        <v>1</v>
      </c>
      <c r="J618" t="str">
        <f>IFERROR(VLOOKUP(A618&amp;"",'BEA Buyer Groups'!$A$4:$C$500,3,FALSE),"Not used")</f>
        <v>Commercial</v>
      </c>
      <c r="K618" t="str">
        <f t="shared" si="9"/>
        <v>Direct</v>
      </c>
    </row>
    <row r="619" spans="1:11" x14ac:dyDescent="0.25">
      <c r="A619" s="130" t="s">
        <v>1328</v>
      </c>
      <c r="B619" t="s">
        <v>1329</v>
      </c>
      <c r="C619" s="130" t="s">
        <v>810</v>
      </c>
      <c r="D619" t="s">
        <v>811</v>
      </c>
      <c r="E619">
        <v>31</v>
      </c>
      <c r="F619">
        <v>0</v>
      </c>
      <c r="G619">
        <v>10</v>
      </c>
      <c r="H619">
        <v>0</v>
      </c>
      <c r="I619">
        <v>40</v>
      </c>
      <c r="J619" t="str">
        <f>IFERROR(VLOOKUP(A619&amp;"",'BEA Buyer Groups'!$A$4:$C$500,3,FALSE),"Not used")</f>
        <v>Commercial</v>
      </c>
      <c r="K619" t="str">
        <f t="shared" si="9"/>
        <v>Direct</v>
      </c>
    </row>
    <row r="620" spans="1:11" x14ac:dyDescent="0.25">
      <c r="A620" s="130" t="s">
        <v>1328</v>
      </c>
      <c r="B620" t="s">
        <v>1329</v>
      </c>
      <c r="C620" s="130" t="s">
        <v>816</v>
      </c>
      <c r="D620" t="s">
        <v>817</v>
      </c>
      <c r="E620">
        <v>2</v>
      </c>
      <c r="F620">
        <v>0</v>
      </c>
      <c r="G620">
        <v>1</v>
      </c>
      <c r="H620">
        <v>0</v>
      </c>
      <c r="I620">
        <v>3</v>
      </c>
      <c r="J620" t="str">
        <f>IFERROR(VLOOKUP(A620&amp;"",'BEA Buyer Groups'!$A$4:$C$500,3,FALSE),"Not used")</f>
        <v>Commercial</v>
      </c>
      <c r="K620" t="str">
        <f t="shared" si="9"/>
        <v>Direct</v>
      </c>
    </row>
    <row r="621" spans="1:11" x14ac:dyDescent="0.25">
      <c r="A621" s="130" t="s">
        <v>1330</v>
      </c>
      <c r="B621" t="s">
        <v>1331</v>
      </c>
      <c r="C621" s="130" t="s">
        <v>822</v>
      </c>
      <c r="D621" t="s">
        <v>823</v>
      </c>
      <c r="E621">
        <v>9</v>
      </c>
      <c r="F621">
        <v>0</v>
      </c>
      <c r="G621">
        <v>0</v>
      </c>
      <c r="H621">
        <v>0</v>
      </c>
      <c r="I621">
        <v>9</v>
      </c>
      <c r="J621" t="str">
        <f>IFERROR(VLOOKUP(A621&amp;"",'BEA Buyer Groups'!$A$4:$C$500,3,FALSE),"Not used")</f>
        <v>Commercial</v>
      </c>
      <c r="K621" t="str">
        <f t="shared" si="9"/>
        <v>Direct</v>
      </c>
    </row>
    <row r="622" spans="1:11" x14ac:dyDescent="0.25">
      <c r="A622" s="130" t="s">
        <v>1332</v>
      </c>
      <c r="B622" t="s">
        <v>1333</v>
      </c>
      <c r="C622" s="130" t="s">
        <v>820</v>
      </c>
      <c r="D622" t="s">
        <v>821</v>
      </c>
      <c r="E622">
        <v>2</v>
      </c>
      <c r="F622">
        <v>0</v>
      </c>
      <c r="G622">
        <v>1</v>
      </c>
      <c r="H622">
        <v>0</v>
      </c>
      <c r="I622">
        <v>3</v>
      </c>
      <c r="J622" t="str">
        <f>IFERROR(VLOOKUP(A622&amp;"",'BEA Buyer Groups'!$A$4:$C$500,3,FALSE),"Not used")</f>
        <v>Commercial</v>
      </c>
      <c r="K622" t="str">
        <f t="shared" si="9"/>
        <v>Direct</v>
      </c>
    </row>
    <row r="623" spans="1:11" x14ac:dyDescent="0.25">
      <c r="A623" s="130" t="s">
        <v>1332</v>
      </c>
      <c r="B623" t="s">
        <v>1333</v>
      </c>
      <c r="C623" s="130" t="s">
        <v>822</v>
      </c>
      <c r="D623" t="s">
        <v>823</v>
      </c>
      <c r="E623">
        <v>146</v>
      </c>
      <c r="F623">
        <v>4</v>
      </c>
      <c r="G623">
        <v>20</v>
      </c>
      <c r="H623">
        <v>0</v>
      </c>
      <c r="I623">
        <v>170</v>
      </c>
      <c r="J623" t="str">
        <f>IFERROR(VLOOKUP(A623&amp;"",'BEA Buyer Groups'!$A$4:$C$500,3,FALSE),"Not used")</f>
        <v>Commercial</v>
      </c>
      <c r="K623" t="str">
        <f t="shared" si="9"/>
        <v>Direct</v>
      </c>
    </row>
    <row r="624" spans="1:11" x14ac:dyDescent="0.25">
      <c r="A624" s="130" t="s">
        <v>1332</v>
      </c>
      <c r="B624" t="s">
        <v>1333</v>
      </c>
      <c r="C624" s="130" t="s">
        <v>860</v>
      </c>
      <c r="D624" t="s">
        <v>861</v>
      </c>
      <c r="E624">
        <v>2</v>
      </c>
      <c r="F624">
        <v>0</v>
      </c>
      <c r="G624">
        <v>1</v>
      </c>
      <c r="H624">
        <v>0</v>
      </c>
      <c r="I624">
        <v>2</v>
      </c>
      <c r="J624" t="str">
        <f>IFERROR(VLOOKUP(A624&amp;"",'BEA Buyer Groups'!$A$4:$C$500,3,FALSE),"Not used")</f>
        <v>Commercial</v>
      </c>
      <c r="K624" t="str">
        <f t="shared" si="9"/>
        <v>Direct</v>
      </c>
    </row>
    <row r="625" spans="1:11" x14ac:dyDescent="0.25">
      <c r="A625" s="130" t="s">
        <v>1332</v>
      </c>
      <c r="B625" t="s">
        <v>1333</v>
      </c>
      <c r="C625" s="130" t="s">
        <v>810</v>
      </c>
      <c r="D625" t="s">
        <v>811</v>
      </c>
      <c r="E625">
        <v>4</v>
      </c>
      <c r="F625">
        <v>0</v>
      </c>
      <c r="G625">
        <v>1</v>
      </c>
      <c r="H625">
        <v>0</v>
      </c>
      <c r="I625">
        <v>5</v>
      </c>
      <c r="J625" t="str">
        <f>IFERROR(VLOOKUP(A625&amp;"",'BEA Buyer Groups'!$A$4:$C$500,3,FALSE),"Not used")</f>
        <v>Commercial</v>
      </c>
      <c r="K625" t="str">
        <f t="shared" si="9"/>
        <v>Direct</v>
      </c>
    </row>
    <row r="626" spans="1:11" x14ac:dyDescent="0.25">
      <c r="A626" s="130" t="s">
        <v>1332</v>
      </c>
      <c r="B626" t="s">
        <v>1333</v>
      </c>
      <c r="C626" s="130" t="s">
        <v>816</v>
      </c>
      <c r="D626" t="s">
        <v>817</v>
      </c>
      <c r="E626">
        <v>8</v>
      </c>
      <c r="F626">
        <v>1</v>
      </c>
      <c r="G626">
        <v>3</v>
      </c>
      <c r="H626">
        <v>0</v>
      </c>
      <c r="I626">
        <v>12</v>
      </c>
      <c r="J626" t="str">
        <f>IFERROR(VLOOKUP(A626&amp;"",'BEA Buyer Groups'!$A$4:$C$500,3,FALSE),"Not used")</f>
        <v>Commercial</v>
      </c>
      <c r="K626" t="str">
        <f t="shared" si="9"/>
        <v>Direct</v>
      </c>
    </row>
    <row r="627" spans="1:11" x14ac:dyDescent="0.25">
      <c r="A627" s="130" t="s">
        <v>1334</v>
      </c>
      <c r="B627" t="s">
        <v>1335</v>
      </c>
      <c r="C627" s="130" t="s">
        <v>822</v>
      </c>
      <c r="D627" t="s">
        <v>823</v>
      </c>
      <c r="E627">
        <v>33</v>
      </c>
      <c r="F627">
        <v>1</v>
      </c>
      <c r="G627">
        <v>0</v>
      </c>
      <c r="H627">
        <v>0</v>
      </c>
      <c r="I627">
        <v>34</v>
      </c>
      <c r="J627" t="str">
        <f>IFERROR(VLOOKUP(A627&amp;"",'BEA Buyer Groups'!$A$4:$C$500,3,FALSE),"Not used")</f>
        <v>Commercial</v>
      </c>
      <c r="K627" t="str">
        <f t="shared" si="9"/>
        <v>Direct</v>
      </c>
    </row>
    <row r="628" spans="1:11" x14ac:dyDescent="0.25">
      <c r="A628" s="130" t="s">
        <v>1334</v>
      </c>
      <c r="B628" t="s">
        <v>1335</v>
      </c>
      <c r="C628" s="130" t="s">
        <v>860</v>
      </c>
      <c r="D628" t="s">
        <v>861</v>
      </c>
      <c r="E628">
        <v>0</v>
      </c>
      <c r="F628">
        <v>0</v>
      </c>
      <c r="G628">
        <v>0</v>
      </c>
      <c r="H628">
        <v>0</v>
      </c>
      <c r="I628">
        <v>1</v>
      </c>
      <c r="J628" t="str">
        <f>IFERROR(VLOOKUP(A628&amp;"",'BEA Buyer Groups'!$A$4:$C$500,3,FALSE),"Not used")</f>
        <v>Commercial</v>
      </c>
      <c r="K628" t="str">
        <f t="shared" si="9"/>
        <v>Direct</v>
      </c>
    </row>
    <row r="629" spans="1:11" x14ac:dyDescent="0.25">
      <c r="A629" s="130" t="s">
        <v>1334</v>
      </c>
      <c r="B629" t="s">
        <v>1335</v>
      </c>
      <c r="C629" s="130" t="s">
        <v>816</v>
      </c>
      <c r="D629" t="s">
        <v>817</v>
      </c>
      <c r="E629">
        <v>8</v>
      </c>
      <c r="F629">
        <v>1</v>
      </c>
      <c r="G629">
        <v>2</v>
      </c>
      <c r="H629">
        <v>0</v>
      </c>
      <c r="I629">
        <v>11</v>
      </c>
      <c r="J629" t="str">
        <f>IFERROR(VLOOKUP(A629&amp;"",'BEA Buyer Groups'!$A$4:$C$500,3,FALSE),"Not used")</f>
        <v>Commercial</v>
      </c>
      <c r="K629" t="str">
        <f t="shared" si="9"/>
        <v>Direct</v>
      </c>
    </row>
    <row r="630" spans="1:11" x14ac:dyDescent="0.25">
      <c r="A630" s="130" t="s">
        <v>1336</v>
      </c>
      <c r="B630" t="s">
        <v>1337</v>
      </c>
      <c r="C630" s="130" t="s">
        <v>822</v>
      </c>
      <c r="D630" t="s">
        <v>823</v>
      </c>
      <c r="E630">
        <v>147</v>
      </c>
      <c r="F630">
        <v>4</v>
      </c>
      <c r="G630">
        <v>13</v>
      </c>
      <c r="H630">
        <v>0</v>
      </c>
      <c r="I630">
        <v>165</v>
      </c>
      <c r="J630" t="str">
        <f>IFERROR(VLOOKUP(A630&amp;"",'BEA Buyer Groups'!$A$4:$C$500,3,FALSE),"Not used")</f>
        <v>Commercial</v>
      </c>
      <c r="K630" t="str">
        <f t="shared" si="9"/>
        <v>Direct</v>
      </c>
    </row>
    <row r="631" spans="1:11" x14ac:dyDescent="0.25">
      <c r="A631" s="130" t="s">
        <v>1336</v>
      </c>
      <c r="B631" t="s">
        <v>1337</v>
      </c>
      <c r="C631" s="130" t="s">
        <v>810</v>
      </c>
      <c r="D631" t="s">
        <v>811</v>
      </c>
      <c r="E631">
        <v>0</v>
      </c>
      <c r="F631">
        <v>0</v>
      </c>
      <c r="G631">
        <v>0</v>
      </c>
      <c r="H631">
        <v>0</v>
      </c>
      <c r="I631">
        <v>0</v>
      </c>
      <c r="J631" t="str">
        <f>IFERROR(VLOOKUP(A631&amp;"",'BEA Buyer Groups'!$A$4:$C$500,3,FALSE),"Not used")</f>
        <v>Commercial</v>
      </c>
      <c r="K631" t="str">
        <f t="shared" si="9"/>
        <v>Direct</v>
      </c>
    </row>
    <row r="632" spans="1:11" x14ac:dyDescent="0.25">
      <c r="A632" s="130" t="s">
        <v>1336</v>
      </c>
      <c r="B632" t="s">
        <v>1337</v>
      </c>
      <c r="C632" s="130" t="s">
        <v>816</v>
      </c>
      <c r="D632" t="s">
        <v>817</v>
      </c>
      <c r="E632">
        <v>7</v>
      </c>
      <c r="F632">
        <v>1</v>
      </c>
      <c r="G632">
        <v>2</v>
      </c>
      <c r="H632">
        <v>0</v>
      </c>
      <c r="I632">
        <v>11</v>
      </c>
      <c r="J632" t="str">
        <f>IFERROR(VLOOKUP(A632&amp;"",'BEA Buyer Groups'!$A$4:$C$500,3,FALSE),"Not used")</f>
        <v>Commercial</v>
      </c>
      <c r="K632" t="str">
        <f t="shared" si="9"/>
        <v>Direct</v>
      </c>
    </row>
    <row r="633" spans="1:11" x14ac:dyDescent="0.25">
      <c r="A633" s="130" t="s">
        <v>1338</v>
      </c>
      <c r="B633" t="s">
        <v>1339</v>
      </c>
      <c r="C633" s="130" t="s">
        <v>822</v>
      </c>
      <c r="D633" t="s">
        <v>823</v>
      </c>
      <c r="E633">
        <v>9</v>
      </c>
      <c r="F633">
        <v>0</v>
      </c>
      <c r="G633">
        <v>1</v>
      </c>
      <c r="H633">
        <v>0</v>
      </c>
      <c r="I633">
        <v>11</v>
      </c>
      <c r="J633" t="str">
        <f>IFERROR(VLOOKUP(A633&amp;"",'BEA Buyer Groups'!$A$4:$C$500,3,FALSE),"Not used")</f>
        <v>Commercial</v>
      </c>
      <c r="K633" t="str">
        <f t="shared" si="9"/>
        <v>Direct</v>
      </c>
    </row>
    <row r="634" spans="1:11" x14ac:dyDescent="0.25">
      <c r="A634" s="130" t="s">
        <v>1338</v>
      </c>
      <c r="B634" t="s">
        <v>1339</v>
      </c>
      <c r="C634" s="130" t="s">
        <v>816</v>
      </c>
      <c r="D634" t="s">
        <v>817</v>
      </c>
      <c r="E634">
        <v>0</v>
      </c>
      <c r="F634">
        <v>0</v>
      </c>
      <c r="G634">
        <v>0</v>
      </c>
      <c r="H634">
        <v>0</v>
      </c>
      <c r="I634">
        <v>0</v>
      </c>
      <c r="J634" t="str">
        <f>IFERROR(VLOOKUP(A634&amp;"",'BEA Buyer Groups'!$A$4:$C$500,3,FALSE),"Not used")</f>
        <v>Commercial</v>
      </c>
      <c r="K634" t="str">
        <f t="shared" si="9"/>
        <v>Direct</v>
      </c>
    </row>
    <row r="635" spans="1:11" x14ac:dyDescent="0.25">
      <c r="A635" s="130" t="s">
        <v>1340</v>
      </c>
      <c r="B635" t="s">
        <v>1341</v>
      </c>
      <c r="C635" s="130" t="s">
        <v>820</v>
      </c>
      <c r="D635" t="s">
        <v>821</v>
      </c>
      <c r="E635">
        <v>7</v>
      </c>
      <c r="F635">
        <v>0</v>
      </c>
      <c r="G635">
        <v>3</v>
      </c>
      <c r="H635">
        <v>0</v>
      </c>
      <c r="I635">
        <v>10</v>
      </c>
      <c r="J635" t="str">
        <f>IFERROR(VLOOKUP(A635&amp;"",'BEA Buyer Groups'!$A$4:$C$500,3,FALSE),"Not used")</f>
        <v>Commercial</v>
      </c>
      <c r="K635" t="str">
        <f t="shared" si="9"/>
        <v>Direct</v>
      </c>
    </row>
    <row r="636" spans="1:11" x14ac:dyDescent="0.25">
      <c r="A636" s="130" t="s">
        <v>1340</v>
      </c>
      <c r="B636" t="s">
        <v>1341</v>
      </c>
      <c r="C636" s="130" t="s">
        <v>822</v>
      </c>
      <c r="D636" t="s">
        <v>823</v>
      </c>
      <c r="E636">
        <v>93</v>
      </c>
      <c r="F636">
        <v>3</v>
      </c>
      <c r="G636">
        <v>5</v>
      </c>
      <c r="H636">
        <v>0</v>
      </c>
      <c r="I636">
        <v>101</v>
      </c>
      <c r="J636" t="str">
        <f>IFERROR(VLOOKUP(A636&amp;"",'BEA Buyer Groups'!$A$4:$C$500,3,FALSE),"Not used")</f>
        <v>Commercial</v>
      </c>
      <c r="K636" t="str">
        <f t="shared" si="9"/>
        <v>Direct</v>
      </c>
    </row>
    <row r="637" spans="1:11" x14ac:dyDescent="0.25">
      <c r="A637" s="130" t="s">
        <v>1340</v>
      </c>
      <c r="B637" t="s">
        <v>1341</v>
      </c>
      <c r="C637" s="130" t="s">
        <v>860</v>
      </c>
      <c r="D637" t="s">
        <v>861</v>
      </c>
      <c r="E637">
        <v>104</v>
      </c>
      <c r="F637">
        <v>1</v>
      </c>
      <c r="G637">
        <v>36</v>
      </c>
      <c r="H637">
        <v>0</v>
      </c>
      <c r="I637">
        <v>142</v>
      </c>
      <c r="J637" t="str">
        <f>IFERROR(VLOOKUP(A637&amp;"",'BEA Buyer Groups'!$A$4:$C$500,3,FALSE),"Not used")</f>
        <v>Commercial</v>
      </c>
      <c r="K637" t="str">
        <f t="shared" si="9"/>
        <v>Direct</v>
      </c>
    </row>
    <row r="638" spans="1:11" x14ac:dyDescent="0.25">
      <c r="A638" s="130" t="s">
        <v>1340</v>
      </c>
      <c r="B638" t="s">
        <v>1341</v>
      </c>
      <c r="C638" s="130" t="s">
        <v>810</v>
      </c>
      <c r="D638" t="s">
        <v>811</v>
      </c>
      <c r="E638">
        <v>1</v>
      </c>
      <c r="F638">
        <v>0</v>
      </c>
      <c r="G638">
        <v>0</v>
      </c>
      <c r="H638">
        <v>0</v>
      </c>
      <c r="I638">
        <v>1</v>
      </c>
      <c r="J638" t="str">
        <f>IFERROR(VLOOKUP(A638&amp;"",'BEA Buyer Groups'!$A$4:$C$500,3,FALSE),"Not used")</f>
        <v>Commercial</v>
      </c>
      <c r="K638" t="str">
        <f t="shared" si="9"/>
        <v>Direct</v>
      </c>
    </row>
    <row r="639" spans="1:11" x14ac:dyDescent="0.25">
      <c r="A639" s="130" t="s">
        <v>1340</v>
      </c>
      <c r="B639" t="s">
        <v>1341</v>
      </c>
      <c r="C639" s="130" t="s">
        <v>816</v>
      </c>
      <c r="D639" t="s">
        <v>817</v>
      </c>
      <c r="E639">
        <v>6</v>
      </c>
      <c r="F639">
        <v>1</v>
      </c>
      <c r="G639">
        <v>2</v>
      </c>
      <c r="H639">
        <v>0</v>
      </c>
      <c r="I639">
        <v>8</v>
      </c>
      <c r="J639" t="str">
        <f>IFERROR(VLOOKUP(A639&amp;"",'BEA Buyer Groups'!$A$4:$C$500,3,FALSE),"Not used")</f>
        <v>Commercial</v>
      </c>
      <c r="K639" t="str">
        <f t="shared" si="9"/>
        <v>Direct</v>
      </c>
    </row>
    <row r="640" spans="1:11" x14ac:dyDescent="0.25">
      <c r="A640" s="130" t="s">
        <v>1340</v>
      </c>
      <c r="B640" t="s">
        <v>1341</v>
      </c>
      <c r="C640" s="130" t="s">
        <v>848</v>
      </c>
      <c r="D640" t="s">
        <v>849</v>
      </c>
      <c r="E640">
        <v>34</v>
      </c>
      <c r="F640">
        <v>1</v>
      </c>
      <c r="G640">
        <v>12</v>
      </c>
      <c r="H640">
        <v>0</v>
      </c>
      <c r="I640">
        <v>46</v>
      </c>
      <c r="J640" t="str">
        <f>IFERROR(VLOOKUP(A640&amp;"",'BEA Buyer Groups'!$A$4:$C$500,3,FALSE),"Not used")</f>
        <v>Commercial</v>
      </c>
      <c r="K640" t="str">
        <f t="shared" si="9"/>
        <v>Direct</v>
      </c>
    </row>
    <row r="641" spans="1:11" x14ac:dyDescent="0.25">
      <c r="A641" s="130" t="s">
        <v>1342</v>
      </c>
      <c r="B641" t="s">
        <v>1343</v>
      </c>
      <c r="C641" s="130" t="s">
        <v>820</v>
      </c>
      <c r="D641" t="s">
        <v>821</v>
      </c>
      <c r="E641">
        <v>3</v>
      </c>
      <c r="F641">
        <v>0</v>
      </c>
      <c r="G641">
        <v>2</v>
      </c>
      <c r="H641">
        <v>0</v>
      </c>
      <c r="I641">
        <v>5</v>
      </c>
      <c r="J641" t="str">
        <f>IFERROR(VLOOKUP(A641&amp;"",'BEA Buyer Groups'!$A$4:$C$500,3,FALSE),"Not used")</f>
        <v>Commercial</v>
      </c>
      <c r="K641" t="str">
        <f t="shared" si="9"/>
        <v>Direct</v>
      </c>
    </row>
    <row r="642" spans="1:11" x14ac:dyDescent="0.25">
      <c r="A642" s="130" t="s">
        <v>1342</v>
      </c>
      <c r="B642" t="s">
        <v>1343</v>
      </c>
      <c r="C642" s="130" t="s">
        <v>822</v>
      </c>
      <c r="D642" t="s">
        <v>823</v>
      </c>
      <c r="E642">
        <v>33</v>
      </c>
      <c r="F642">
        <v>1</v>
      </c>
      <c r="G642">
        <v>0</v>
      </c>
      <c r="H642">
        <v>8</v>
      </c>
      <c r="I642">
        <v>41</v>
      </c>
      <c r="J642" t="str">
        <f>IFERROR(VLOOKUP(A642&amp;"",'BEA Buyer Groups'!$A$4:$C$500,3,FALSE),"Not used")</f>
        <v>Commercial</v>
      </c>
      <c r="K642" t="str">
        <f t="shared" si="9"/>
        <v>Direct</v>
      </c>
    </row>
    <row r="643" spans="1:11" x14ac:dyDescent="0.25">
      <c r="A643" s="130" t="s">
        <v>1342</v>
      </c>
      <c r="B643" t="s">
        <v>1343</v>
      </c>
      <c r="C643" s="130" t="s">
        <v>860</v>
      </c>
      <c r="D643" t="s">
        <v>861</v>
      </c>
      <c r="E643">
        <v>19</v>
      </c>
      <c r="F643">
        <v>0</v>
      </c>
      <c r="G643">
        <v>6</v>
      </c>
      <c r="H643">
        <v>6</v>
      </c>
      <c r="I643">
        <v>31</v>
      </c>
      <c r="J643" t="str">
        <f>IFERROR(VLOOKUP(A643&amp;"",'BEA Buyer Groups'!$A$4:$C$500,3,FALSE),"Not used")</f>
        <v>Commercial</v>
      </c>
      <c r="K643" t="str">
        <f t="shared" si="9"/>
        <v>Direct</v>
      </c>
    </row>
    <row r="644" spans="1:11" x14ac:dyDescent="0.25">
      <c r="A644" s="130" t="s">
        <v>1342</v>
      </c>
      <c r="B644" t="s">
        <v>1343</v>
      </c>
      <c r="C644" s="130" t="s">
        <v>816</v>
      </c>
      <c r="D644" t="s">
        <v>817</v>
      </c>
      <c r="E644">
        <v>20</v>
      </c>
      <c r="F644">
        <v>2</v>
      </c>
      <c r="G644">
        <v>6</v>
      </c>
      <c r="H644">
        <v>0</v>
      </c>
      <c r="I644">
        <v>28</v>
      </c>
      <c r="J644" t="str">
        <f>IFERROR(VLOOKUP(A644&amp;"",'BEA Buyer Groups'!$A$4:$C$500,3,FALSE),"Not used")</f>
        <v>Commercial</v>
      </c>
      <c r="K644" t="str">
        <f t="shared" si="9"/>
        <v>Direct</v>
      </c>
    </row>
    <row r="645" spans="1:11" x14ac:dyDescent="0.25">
      <c r="A645" s="130" t="s">
        <v>1344</v>
      </c>
      <c r="B645" t="s">
        <v>1345</v>
      </c>
      <c r="C645" s="130" t="s">
        <v>820</v>
      </c>
      <c r="D645" t="s">
        <v>821</v>
      </c>
      <c r="E645">
        <v>7</v>
      </c>
      <c r="F645">
        <v>0</v>
      </c>
      <c r="G645">
        <v>1</v>
      </c>
      <c r="H645">
        <v>0</v>
      </c>
      <c r="I645">
        <v>8</v>
      </c>
      <c r="J645" t="str">
        <f>IFERROR(VLOOKUP(A645&amp;"",'BEA Buyer Groups'!$A$4:$C$500,3,FALSE),"Not used")</f>
        <v>Commercial</v>
      </c>
      <c r="K645" t="str">
        <f t="shared" si="9"/>
        <v>Direct</v>
      </c>
    </row>
    <row r="646" spans="1:11" x14ac:dyDescent="0.25">
      <c r="A646" s="130" t="s">
        <v>1344</v>
      </c>
      <c r="B646" t="s">
        <v>1345</v>
      </c>
      <c r="C646" s="130" t="s">
        <v>822</v>
      </c>
      <c r="D646" t="s">
        <v>823</v>
      </c>
      <c r="E646">
        <v>77</v>
      </c>
      <c r="F646">
        <v>2</v>
      </c>
      <c r="G646">
        <v>2</v>
      </c>
      <c r="H646">
        <v>0</v>
      </c>
      <c r="I646">
        <v>81</v>
      </c>
      <c r="J646" t="str">
        <f>IFERROR(VLOOKUP(A646&amp;"",'BEA Buyer Groups'!$A$4:$C$500,3,FALSE),"Not used")</f>
        <v>Commercial</v>
      </c>
      <c r="K646" t="str">
        <f t="shared" si="9"/>
        <v>Direct</v>
      </c>
    </row>
    <row r="647" spans="1:11" x14ac:dyDescent="0.25">
      <c r="A647" s="130" t="s">
        <v>1344</v>
      </c>
      <c r="B647" t="s">
        <v>1345</v>
      </c>
      <c r="C647" s="130" t="s">
        <v>860</v>
      </c>
      <c r="D647" t="s">
        <v>861</v>
      </c>
      <c r="E647">
        <v>45</v>
      </c>
      <c r="F647">
        <v>0</v>
      </c>
      <c r="G647">
        <v>16</v>
      </c>
      <c r="H647">
        <v>0</v>
      </c>
      <c r="I647">
        <v>61</v>
      </c>
      <c r="J647" t="str">
        <f>IFERROR(VLOOKUP(A647&amp;"",'BEA Buyer Groups'!$A$4:$C$500,3,FALSE),"Not used")</f>
        <v>Commercial</v>
      </c>
      <c r="K647" t="str">
        <f t="shared" ref="K647:K710" si="10">IF(LEFT(A647,2)="23","Contractor","Direct")</f>
        <v>Direct</v>
      </c>
    </row>
    <row r="648" spans="1:11" x14ac:dyDescent="0.25">
      <c r="A648" s="130" t="s">
        <v>1344</v>
      </c>
      <c r="B648" t="s">
        <v>1345</v>
      </c>
      <c r="C648" s="130" t="s">
        <v>810</v>
      </c>
      <c r="D648" t="s">
        <v>811</v>
      </c>
      <c r="E648">
        <v>0</v>
      </c>
      <c r="F648">
        <v>0</v>
      </c>
      <c r="G648">
        <v>0</v>
      </c>
      <c r="H648">
        <v>0</v>
      </c>
      <c r="I648">
        <v>0</v>
      </c>
      <c r="J648" t="str">
        <f>IFERROR(VLOOKUP(A648&amp;"",'BEA Buyer Groups'!$A$4:$C$500,3,FALSE),"Not used")</f>
        <v>Commercial</v>
      </c>
      <c r="K648" t="str">
        <f t="shared" si="10"/>
        <v>Direct</v>
      </c>
    </row>
    <row r="649" spans="1:11" x14ac:dyDescent="0.25">
      <c r="A649" s="130" t="s">
        <v>1344</v>
      </c>
      <c r="B649" t="s">
        <v>1345</v>
      </c>
      <c r="C649" s="130" t="s">
        <v>816</v>
      </c>
      <c r="D649" t="s">
        <v>817</v>
      </c>
      <c r="E649">
        <v>8</v>
      </c>
      <c r="F649">
        <v>1</v>
      </c>
      <c r="G649">
        <v>2</v>
      </c>
      <c r="H649">
        <v>0</v>
      </c>
      <c r="I649">
        <v>11</v>
      </c>
      <c r="J649" t="str">
        <f>IFERROR(VLOOKUP(A649&amp;"",'BEA Buyer Groups'!$A$4:$C$500,3,FALSE),"Not used")</f>
        <v>Commercial</v>
      </c>
      <c r="K649" t="str">
        <f t="shared" si="10"/>
        <v>Direct</v>
      </c>
    </row>
    <row r="650" spans="1:11" x14ac:dyDescent="0.25">
      <c r="A650" s="130" t="s">
        <v>1346</v>
      </c>
      <c r="B650" t="s">
        <v>1347</v>
      </c>
      <c r="C650" s="130" t="s">
        <v>820</v>
      </c>
      <c r="D650" t="s">
        <v>821</v>
      </c>
      <c r="E650">
        <v>0</v>
      </c>
      <c r="F650">
        <v>0</v>
      </c>
      <c r="G650">
        <v>0</v>
      </c>
      <c r="H650">
        <v>0</v>
      </c>
      <c r="I650">
        <v>0</v>
      </c>
      <c r="J650" t="str">
        <f>IFERROR(VLOOKUP(A650&amp;"",'BEA Buyer Groups'!$A$4:$C$500,3,FALSE),"Not used")</f>
        <v>Commercial</v>
      </c>
      <c r="K650" t="str">
        <f t="shared" si="10"/>
        <v>Direct</v>
      </c>
    </row>
    <row r="651" spans="1:11" x14ac:dyDescent="0.25">
      <c r="A651" s="130" t="s">
        <v>1346</v>
      </c>
      <c r="B651" t="s">
        <v>1347</v>
      </c>
      <c r="C651" s="130" t="s">
        <v>822</v>
      </c>
      <c r="D651" t="s">
        <v>823</v>
      </c>
      <c r="E651">
        <v>22</v>
      </c>
      <c r="F651">
        <v>1</v>
      </c>
      <c r="G651">
        <v>2</v>
      </c>
      <c r="H651">
        <v>0</v>
      </c>
      <c r="I651">
        <v>24</v>
      </c>
      <c r="J651" t="str">
        <f>IFERROR(VLOOKUP(A651&amp;"",'BEA Buyer Groups'!$A$4:$C$500,3,FALSE),"Not used")</f>
        <v>Commercial</v>
      </c>
      <c r="K651" t="str">
        <f t="shared" si="10"/>
        <v>Direct</v>
      </c>
    </row>
    <row r="652" spans="1:11" x14ac:dyDescent="0.25">
      <c r="A652" s="130" t="s">
        <v>1346</v>
      </c>
      <c r="B652" t="s">
        <v>1347</v>
      </c>
      <c r="C652" s="130" t="s">
        <v>860</v>
      </c>
      <c r="D652" t="s">
        <v>861</v>
      </c>
      <c r="E652">
        <v>30</v>
      </c>
      <c r="F652">
        <v>0</v>
      </c>
      <c r="G652">
        <v>10</v>
      </c>
      <c r="H652">
        <v>0</v>
      </c>
      <c r="I652">
        <v>41</v>
      </c>
      <c r="J652" t="str">
        <f>IFERROR(VLOOKUP(A652&amp;"",'BEA Buyer Groups'!$A$4:$C$500,3,FALSE),"Not used")</f>
        <v>Commercial</v>
      </c>
      <c r="K652" t="str">
        <f t="shared" si="10"/>
        <v>Direct</v>
      </c>
    </row>
    <row r="653" spans="1:11" x14ac:dyDescent="0.25">
      <c r="A653" s="130" t="s">
        <v>1346</v>
      </c>
      <c r="B653" t="s">
        <v>1347</v>
      </c>
      <c r="C653" s="130" t="s">
        <v>816</v>
      </c>
      <c r="D653" t="s">
        <v>817</v>
      </c>
      <c r="E653">
        <v>1</v>
      </c>
      <c r="F653">
        <v>0</v>
      </c>
      <c r="G653">
        <v>0</v>
      </c>
      <c r="H653">
        <v>0</v>
      </c>
      <c r="I653">
        <v>2</v>
      </c>
      <c r="J653" t="str">
        <f>IFERROR(VLOOKUP(A653&amp;"",'BEA Buyer Groups'!$A$4:$C$500,3,FALSE),"Not used")</f>
        <v>Commercial</v>
      </c>
      <c r="K653" t="str">
        <f t="shared" si="10"/>
        <v>Direct</v>
      </c>
    </row>
    <row r="654" spans="1:11" x14ac:dyDescent="0.25">
      <c r="A654" s="130" t="s">
        <v>1348</v>
      </c>
      <c r="B654" t="s">
        <v>1349</v>
      </c>
      <c r="C654" s="130" t="s">
        <v>820</v>
      </c>
      <c r="D654" t="s">
        <v>821</v>
      </c>
      <c r="E654">
        <v>9</v>
      </c>
      <c r="F654">
        <v>0</v>
      </c>
      <c r="G654">
        <v>2</v>
      </c>
      <c r="H654">
        <v>0</v>
      </c>
      <c r="I654">
        <v>11</v>
      </c>
      <c r="J654" t="str">
        <f>IFERROR(VLOOKUP(A654&amp;"",'BEA Buyer Groups'!$A$4:$C$500,3,FALSE),"Not used")</f>
        <v>Commercial</v>
      </c>
      <c r="K654" t="str">
        <f t="shared" si="10"/>
        <v>Direct</v>
      </c>
    </row>
    <row r="655" spans="1:11" x14ac:dyDescent="0.25">
      <c r="A655" s="130" t="s">
        <v>1348</v>
      </c>
      <c r="B655" t="s">
        <v>1349</v>
      </c>
      <c r="C655" s="130" t="s">
        <v>822</v>
      </c>
      <c r="D655" t="s">
        <v>823</v>
      </c>
      <c r="E655">
        <v>86</v>
      </c>
      <c r="F655">
        <v>2</v>
      </c>
      <c r="G655">
        <v>4</v>
      </c>
      <c r="H655">
        <v>0</v>
      </c>
      <c r="I655">
        <v>93</v>
      </c>
      <c r="J655" t="str">
        <f>IFERROR(VLOOKUP(A655&amp;"",'BEA Buyer Groups'!$A$4:$C$500,3,FALSE),"Not used")</f>
        <v>Commercial</v>
      </c>
      <c r="K655" t="str">
        <f t="shared" si="10"/>
        <v>Direct</v>
      </c>
    </row>
    <row r="656" spans="1:11" x14ac:dyDescent="0.25">
      <c r="A656" s="130" t="s">
        <v>1348</v>
      </c>
      <c r="B656" t="s">
        <v>1349</v>
      </c>
      <c r="C656" s="130" t="s">
        <v>860</v>
      </c>
      <c r="D656" t="s">
        <v>861</v>
      </c>
      <c r="E656">
        <v>49</v>
      </c>
      <c r="F656">
        <v>0</v>
      </c>
      <c r="G656">
        <v>17</v>
      </c>
      <c r="H656">
        <v>0</v>
      </c>
      <c r="I656">
        <v>66</v>
      </c>
      <c r="J656" t="str">
        <f>IFERROR(VLOOKUP(A656&amp;"",'BEA Buyer Groups'!$A$4:$C$500,3,FALSE),"Not used")</f>
        <v>Commercial</v>
      </c>
      <c r="K656" t="str">
        <f t="shared" si="10"/>
        <v>Direct</v>
      </c>
    </row>
    <row r="657" spans="1:11" x14ac:dyDescent="0.25">
      <c r="A657" s="130" t="s">
        <v>1348</v>
      </c>
      <c r="B657" t="s">
        <v>1349</v>
      </c>
      <c r="C657" s="130" t="s">
        <v>816</v>
      </c>
      <c r="D657" t="s">
        <v>817</v>
      </c>
      <c r="E657">
        <v>5</v>
      </c>
      <c r="F657">
        <v>1</v>
      </c>
      <c r="G657">
        <v>1</v>
      </c>
      <c r="H657">
        <v>0</v>
      </c>
      <c r="I657">
        <v>7</v>
      </c>
      <c r="J657" t="str">
        <f>IFERROR(VLOOKUP(A657&amp;"",'BEA Buyer Groups'!$A$4:$C$500,3,FALSE),"Not used")</f>
        <v>Commercial</v>
      </c>
      <c r="K657" t="str">
        <f t="shared" si="10"/>
        <v>Direct</v>
      </c>
    </row>
    <row r="658" spans="1:11" x14ac:dyDescent="0.25">
      <c r="A658" s="130" t="s">
        <v>1350</v>
      </c>
      <c r="B658" t="s">
        <v>1351</v>
      </c>
      <c r="C658" s="130" t="s">
        <v>802</v>
      </c>
      <c r="D658" t="s">
        <v>803</v>
      </c>
      <c r="E658">
        <v>0</v>
      </c>
      <c r="F658">
        <v>0</v>
      </c>
      <c r="G658">
        <v>0</v>
      </c>
      <c r="H658">
        <v>0</v>
      </c>
      <c r="I658">
        <v>0</v>
      </c>
      <c r="J658" t="str">
        <f>IFERROR(VLOOKUP(A658&amp;"",'BEA Buyer Groups'!$A$4:$C$500,3,FALSE),"Not used")</f>
        <v>Commercial</v>
      </c>
      <c r="K658" t="str">
        <f t="shared" si="10"/>
        <v>Direct</v>
      </c>
    </row>
    <row r="659" spans="1:11" x14ac:dyDescent="0.25">
      <c r="A659" s="130" t="s">
        <v>1350</v>
      </c>
      <c r="B659" t="s">
        <v>1351</v>
      </c>
      <c r="C659" s="130" t="s">
        <v>822</v>
      </c>
      <c r="D659" t="s">
        <v>823</v>
      </c>
      <c r="E659">
        <v>23</v>
      </c>
      <c r="F659">
        <v>1</v>
      </c>
      <c r="G659">
        <v>2</v>
      </c>
      <c r="H659">
        <v>0</v>
      </c>
      <c r="I659">
        <v>26</v>
      </c>
      <c r="J659" t="str">
        <f>IFERROR(VLOOKUP(A659&amp;"",'BEA Buyer Groups'!$A$4:$C$500,3,FALSE),"Not used")</f>
        <v>Commercial</v>
      </c>
      <c r="K659" t="str">
        <f t="shared" si="10"/>
        <v>Direct</v>
      </c>
    </row>
    <row r="660" spans="1:11" x14ac:dyDescent="0.25">
      <c r="A660" s="130" t="s">
        <v>1350</v>
      </c>
      <c r="B660" t="s">
        <v>1351</v>
      </c>
      <c r="C660" s="130" t="s">
        <v>860</v>
      </c>
      <c r="D660" t="s">
        <v>861</v>
      </c>
      <c r="E660">
        <v>0</v>
      </c>
      <c r="F660">
        <v>0</v>
      </c>
      <c r="G660">
        <v>0</v>
      </c>
      <c r="H660">
        <v>0</v>
      </c>
      <c r="I660">
        <v>1</v>
      </c>
      <c r="J660" t="str">
        <f>IFERROR(VLOOKUP(A660&amp;"",'BEA Buyer Groups'!$A$4:$C$500,3,FALSE),"Not used")</f>
        <v>Commercial</v>
      </c>
      <c r="K660" t="str">
        <f t="shared" si="10"/>
        <v>Direct</v>
      </c>
    </row>
    <row r="661" spans="1:11" x14ac:dyDescent="0.25">
      <c r="A661" s="130" t="s">
        <v>1350</v>
      </c>
      <c r="B661" t="s">
        <v>1351</v>
      </c>
      <c r="C661" s="130" t="s">
        <v>810</v>
      </c>
      <c r="D661" t="s">
        <v>811</v>
      </c>
      <c r="E661">
        <v>0</v>
      </c>
      <c r="F661">
        <v>0</v>
      </c>
      <c r="G661">
        <v>0</v>
      </c>
      <c r="H661">
        <v>0</v>
      </c>
      <c r="I661">
        <v>0</v>
      </c>
      <c r="J661" t="str">
        <f>IFERROR(VLOOKUP(A661&amp;"",'BEA Buyer Groups'!$A$4:$C$500,3,FALSE),"Not used")</f>
        <v>Commercial</v>
      </c>
      <c r="K661" t="str">
        <f t="shared" si="10"/>
        <v>Direct</v>
      </c>
    </row>
    <row r="662" spans="1:11" x14ac:dyDescent="0.25">
      <c r="A662" s="130" t="s">
        <v>1350</v>
      </c>
      <c r="B662" t="s">
        <v>1351</v>
      </c>
      <c r="C662" s="130" t="s">
        <v>816</v>
      </c>
      <c r="D662" t="s">
        <v>817</v>
      </c>
      <c r="E662">
        <v>14</v>
      </c>
      <c r="F662">
        <v>2</v>
      </c>
      <c r="G662">
        <v>4</v>
      </c>
      <c r="H662">
        <v>0</v>
      </c>
      <c r="I662">
        <v>20</v>
      </c>
      <c r="J662" t="str">
        <f>IFERROR(VLOOKUP(A662&amp;"",'BEA Buyer Groups'!$A$4:$C$500,3,FALSE),"Not used")</f>
        <v>Commercial</v>
      </c>
      <c r="K662" t="str">
        <f t="shared" si="10"/>
        <v>Direct</v>
      </c>
    </row>
    <row r="663" spans="1:11" x14ac:dyDescent="0.25">
      <c r="A663" s="130" t="s">
        <v>1350</v>
      </c>
      <c r="B663" t="s">
        <v>1351</v>
      </c>
      <c r="C663" s="130" t="s">
        <v>846</v>
      </c>
      <c r="D663" t="s">
        <v>847</v>
      </c>
      <c r="E663">
        <v>0</v>
      </c>
      <c r="F663">
        <v>0</v>
      </c>
      <c r="G663">
        <v>0</v>
      </c>
      <c r="H663">
        <v>0</v>
      </c>
      <c r="I663">
        <v>0</v>
      </c>
      <c r="J663" t="str">
        <f>IFERROR(VLOOKUP(A663&amp;"",'BEA Buyer Groups'!$A$4:$C$500,3,FALSE),"Not used")</f>
        <v>Commercial</v>
      </c>
      <c r="K663" t="str">
        <f t="shared" si="10"/>
        <v>Direct</v>
      </c>
    </row>
    <row r="664" spans="1:11" x14ac:dyDescent="0.25">
      <c r="A664" s="130" t="s">
        <v>1352</v>
      </c>
      <c r="B664" t="s">
        <v>1353</v>
      </c>
      <c r="C664" s="130" t="s">
        <v>820</v>
      </c>
      <c r="D664" t="s">
        <v>821</v>
      </c>
      <c r="E664">
        <v>14</v>
      </c>
      <c r="F664">
        <v>0</v>
      </c>
      <c r="G664">
        <v>3</v>
      </c>
      <c r="H664">
        <v>0</v>
      </c>
      <c r="I664">
        <v>17</v>
      </c>
      <c r="J664" t="str">
        <f>IFERROR(VLOOKUP(A664&amp;"",'BEA Buyer Groups'!$A$4:$C$500,3,FALSE),"Not used")</f>
        <v>Commercial</v>
      </c>
      <c r="K664" t="str">
        <f t="shared" si="10"/>
        <v>Direct</v>
      </c>
    </row>
    <row r="665" spans="1:11" x14ac:dyDescent="0.25">
      <c r="A665" s="130" t="s">
        <v>1352</v>
      </c>
      <c r="B665" t="s">
        <v>1353</v>
      </c>
      <c r="C665" s="130" t="s">
        <v>822</v>
      </c>
      <c r="D665" t="s">
        <v>823</v>
      </c>
      <c r="E665">
        <v>115</v>
      </c>
      <c r="F665">
        <v>3</v>
      </c>
      <c r="G665">
        <v>2</v>
      </c>
      <c r="H665">
        <v>0</v>
      </c>
      <c r="I665">
        <v>120</v>
      </c>
      <c r="J665" t="str">
        <f>IFERROR(VLOOKUP(A665&amp;"",'BEA Buyer Groups'!$A$4:$C$500,3,FALSE),"Not used")</f>
        <v>Commercial</v>
      </c>
      <c r="K665" t="str">
        <f t="shared" si="10"/>
        <v>Direct</v>
      </c>
    </row>
    <row r="666" spans="1:11" x14ac:dyDescent="0.25">
      <c r="A666" s="130" t="s">
        <v>1352</v>
      </c>
      <c r="B666" t="s">
        <v>1353</v>
      </c>
      <c r="C666" s="130" t="s">
        <v>860</v>
      </c>
      <c r="D666" t="s">
        <v>861</v>
      </c>
      <c r="E666">
        <v>1</v>
      </c>
      <c r="F666">
        <v>0</v>
      </c>
      <c r="G666">
        <v>0</v>
      </c>
      <c r="H666">
        <v>0</v>
      </c>
      <c r="I666">
        <v>2</v>
      </c>
      <c r="J666" t="str">
        <f>IFERROR(VLOOKUP(A666&amp;"",'BEA Buyer Groups'!$A$4:$C$500,3,FALSE),"Not used")</f>
        <v>Commercial</v>
      </c>
      <c r="K666" t="str">
        <f t="shared" si="10"/>
        <v>Direct</v>
      </c>
    </row>
    <row r="667" spans="1:11" x14ac:dyDescent="0.25">
      <c r="A667" s="130" t="s">
        <v>1352</v>
      </c>
      <c r="B667" t="s">
        <v>1353</v>
      </c>
      <c r="C667" s="130" t="s">
        <v>816</v>
      </c>
      <c r="D667" t="s">
        <v>817</v>
      </c>
      <c r="E667">
        <v>7</v>
      </c>
      <c r="F667">
        <v>1</v>
      </c>
      <c r="G667">
        <v>2</v>
      </c>
      <c r="H667">
        <v>0</v>
      </c>
      <c r="I667">
        <v>11</v>
      </c>
      <c r="J667" t="str">
        <f>IFERROR(VLOOKUP(A667&amp;"",'BEA Buyer Groups'!$A$4:$C$500,3,FALSE),"Not used")</f>
        <v>Commercial</v>
      </c>
      <c r="K667" t="str">
        <f t="shared" si="10"/>
        <v>Direct</v>
      </c>
    </row>
    <row r="668" spans="1:11" x14ac:dyDescent="0.25">
      <c r="A668" s="130" t="s">
        <v>1352</v>
      </c>
      <c r="B668" t="s">
        <v>1353</v>
      </c>
      <c r="C668" s="130" t="s">
        <v>846</v>
      </c>
      <c r="D668" t="s">
        <v>847</v>
      </c>
      <c r="E668">
        <v>265</v>
      </c>
      <c r="F668">
        <v>35</v>
      </c>
      <c r="G668">
        <v>92</v>
      </c>
      <c r="H668">
        <v>0</v>
      </c>
      <c r="I668">
        <v>391</v>
      </c>
      <c r="J668" t="str">
        <f>IFERROR(VLOOKUP(A668&amp;"",'BEA Buyer Groups'!$A$4:$C$500,3,FALSE),"Not used")</f>
        <v>Commercial</v>
      </c>
      <c r="K668" t="str">
        <f t="shared" si="10"/>
        <v>Direct</v>
      </c>
    </row>
    <row r="669" spans="1:11" x14ac:dyDescent="0.25">
      <c r="A669" s="130" t="s">
        <v>1352</v>
      </c>
      <c r="B669" t="s">
        <v>1353</v>
      </c>
      <c r="C669" s="130" t="s">
        <v>848</v>
      </c>
      <c r="D669" t="s">
        <v>849</v>
      </c>
      <c r="E669">
        <v>350</v>
      </c>
      <c r="F669">
        <v>5</v>
      </c>
      <c r="G669">
        <v>121</v>
      </c>
      <c r="H669">
        <v>0</v>
      </c>
      <c r="I669">
        <v>476</v>
      </c>
      <c r="J669" t="str">
        <f>IFERROR(VLOOKUP(A669&amp;"",'BEA Buyer Groups'!$A$4:$C$500,3,FALSE),"Not used")</f>
        <v>Commercial</v>
      </c>
      <c r="K669" t="str">
        <f t="shared" si="10"/>
        <v>Direct</v>
      </c>
    </row>
    <row r="670" spans="1:11" x14ac:dyDescent="0.25">
      <c r="A670" s="130" t="s">
        <v>1354</v>
      </c>
      <c r="B670" t="s">
        <v>1355</v>
      </c>
      <c r="C670" s="130" t="s">
        <v>822</v>
      </c>
      <c r="D670" t="s">
        <v>823</v>
      </c>
      <c r="E670">
        <v>47</v>
      </c>
      <c r="F670">
        <v>1</v>
      </c>
      <c r="G670">
        <v>4</v>
      </c>
      <c r="H670">
        <v>27</v>
      </c>
      <c r="I670">
        <v>79</v>
      </c>
      <c r="J670" t="str">
        <f>IFERROR(VLOOKUP(A670&amp;"",'BEA Buyer Groups'!$A$4:$C$500,3,FALSE),"Not used")</f>
        <v>Commercial</v>
      </c>
      <c r="K670" t="str">
        <f t="shared" si="10"/>
        <v>Direct</v>
      </c>
    </row>
    <row r="671" spans="1:11" x14ac:dyDescent="0.25">
      <c r="A671" s="130" t="s">
        <v>1354</v>
      </c>
      <c r="B671" t="s">
        <v>1355</v>
      </c>
      <c r="C671" s="130" t="s">
        <v>860</v>
      </c>
      <c r="D671" t="s">
        <v>861</v>
      </c>
      <c r="E671">
        <v>25</v>
      </c>
      <c r="F671">
        <v>0</v>
      </c>
      <c r="G671">
        <v>9</v>
      </c>
      <c r="H671">
        <v>0</v>
      </c>
      <c r="I671">
        <v>34</v>
      </c>
      <c r="J671" t="str">
        <f>IFERROR(VLOOKUP(A671&amp;"",'BEA Buyer Groups'!$A$4:$C$500,3,FALSE),"Not used")</f>
        <v>Commercial</v>
      </c>
      <c r="K671" t="str">
        <f t="shared" si="10"/>
        <v>Direct</v>
      </c>
    </row>
    <row r="672" spans="1:11" x14ac:dyDescent="0.25">
      <c r="A672" s="130" t="s">
        <v>1354</v>
      </c>
      <c r="B672" t="s">
        <v>1355</v>
      </c>
      <c r="C672" s="130" t="s">
        <v>810</v>
      </c>
      <c r="D672" t="s">
        <v>811</v>
      </c>
      <c r="E672">
        <v>1</v>
      </c>
      <c r="F672">
        <v>0</v>
      </c>
      <c r="G672">
        <v>0</v>
      </c>
      <c r="H672">
        <v>0</v>
      </c>
      <c r="I672">
        <v>1</v>
      </c>
      <c r="J672" t="str">
        <f>IFERROR(VLOOKUP(A672&amp;"",'BEA Buyer Groups'!$A$4:$C$500,3,FALSE),"Not used")</f>
        <v>Commercial</v>
      </c>
      <c r="K672" t="str">
        <f t="shared" si="10"/>
        <v>Direct</v>
      </c>
    </row>
    <row r="673" spans="1:11" x14ac:dyDescent="0.25">
      <c r="A673" s="130" t="s">
        <v>1354</v>
      </c>
      <c r="B673" t="s">
        <v>1355</v>
      </c>
      <c r="C673" s="130" t="s">
        <v>816</v>
      </c>
      <c r="D673" t="s">
        <v>817</v>
      </c>
      <c r="E673">
        <v>13</v>
      </c>
      <c r="F673">
        <v>2</v>
      </c>
      <c r="G673">
        <v>4</v>
      </c>
      <c r="H673">
        <v>0</v>
      </c>
      <c r="I673">
        <v>19</v>
      </c>
      <c r="J673" t="str">
        <f>IFERROR(VLOOKUP(A673&amp;"",'BEA Buyer Groups'!$A$4:$C$500,3,FALSE),"Not used")</f>
        <v>Commercial</v>
      </c>
      <c r="K673" t="str">
        <f t="shared" si="10"/>
        <v>Direct</v>
      </c>
    </row>
    <row r="674" spans="1:11" x14ac:dyDescent="0.25">
      <c r="A674" s="130" t="s">
        <v>1356</v>
      </c>
      <c r="B674" t="s">
        <v>1357</v>
      </c>
      <c r="C674" s="130" t="s">
        <v>816</v>
      </c>
      <c r="D674" t="s">
        <v>817</v>
      </c>
      <c r="E674">
        <v>8</v>
      </c>
      <c r="F674">
        <v>1</v>
      </c>
      <c r="G674">
        <v>3</v>
      </c>
      <c r="H674">
        <v>0</v>
      </c>
      <c r="I674">
        <v>12</v>
      </c>
      <c r="J674" t="str">
        <f>IFERROR(VLOOKUP(A674&amp;"",'BEA Buyer Groups'!$A$4:$C$500,3,FALSE),"Not used")</f>
        <v>Not used</v>
      </c>
      <c r="K674" t="str">
        <f t="shared" si="10"/>
        <v>Direct</v>
      </c>
    </row>
    <row r="675" spans="1:11" x14ac:dyDescent="0.25">
      <c r="A675" s="130" t="s">
        <v>1358</v>
      </c>
      <c r="B675" t="s">
        <v>1359</v>
      </c>
      <c r="C675" s="130" t="s">
        <v>820</v>
      </c>
      <c r="D675" t="s">
        <v>821</v>
      </c>
      <c r="E675">
        <v>16</v>
      </c>
      <c r="F675">
        <v>0</v>
      </c>
      <c r="G675">
        <v>5</v>
      </c>
      <c r="H675">
        <v>0</v>
      </c>
      <c r="I675">
        <v>21</v>
      </c>
      <c r="J675" t="str">
        <f>IFERROR(VLOOKUP(A675&amp;"",'BEA Buyer Groups'!$A$4:$C$500,3,FALSE),"Not used")</f>
        <v>Not used</v>
      </c>
      <c r="K675" t="str">
        <f t="shared" si="10"/>
        <v>Direct</v>
      </c>
    </row>
    <row r="676" spans="1:11" x14ac:dyDescent="0.25">
      <c r="A676" s="130" t="s">
        <v>1360</v>
      </c>
      <c r="B676" t="s">
        <v>1361</v>
      </c>
      <c r="C676" s="130" t="s">
        <v>820</v>
      </c>
      <c r="D676" t="s">
        <v>821</v>
      </c>
      <c r="E676">
        <v>18</v>
      </c>
      <c r="F676">
        <v>1</v>
      </c>
      <c r="G676">
        <v>5</v>
      </c>
      <c r="H676">
        <v>0</v>
      </c>
      <c r="I676">
        <v>23</v>
      </c>
      <c r="J676" t="str">
        <f>IFERROR(VLOOKUP(A676&amp;"",'BEA Buyer Groups'!$A$4:$C$500,3,FALSE),"Not used")</f>
        <v>Not used</v>
      </c>
      <c r="K676" t="str">
        <f t="shared" si="10"/>
        <v>Direct</v>
      </c>
    </row>
    <row r="677" spans="1:11" x14ac:dyDescent="0.25">
      <c r="A677" s="130" t="s">
        <v>1360</v>
      </c>
      <c r="B677" t="s">
        <v>1361</v>
      </c>
      <c r="C677" s="130" t="s">
        <v>822</v>
      </c>
      <c r="D677" t="s">
        <v>823</v>
      </c>
      <c r="E677">
        <v>2</v>
      </c>
      <c r="F677">
        <v>0</v>
      </c>
      <c r="G677">
        <v>0</v>
      </c>
      <c r="H677">
        <v>0</v>
      </c>
      <c r="I677">
        <v>2</v>
      </c>
      <c r="J677" t="str">
        <f>IFERROR(VLOOKUP(A677&amp;"",'BEA Buyer Groups'!$A$4:$C$500,3,FALSE),"Not used")</f>
        <v>Not used</v>
      </c>
      <c r="K677" t="str">
        <f t="shared" si="10"/>
        <v>Direct</v>
      </c>
    </row>
    <row r="678" spans="1:11" x14ac:dyDescent="0.25">
      <c r="A678" s="130" t="s">
        <v>1362</v>
      </c>
      <c r="B678" t="s">
        <v>1363</v>
      </c>
      <c r="C678" s="130" t="s">
        <v>822</v>
      </c>
      <c r="D678" t="s">
        <v>823</v>
      </c>
      <c r="E678">
        <v>40</v>
      </c>
      <c r="F678">
        <v>1</v>
      </c>
      <c r="G678">
        <v>17</v>
      </c>
      <c r="H678">
        <v>0</v>
      </c>
      <c r="I678">
        <v>58</v>
      </c>
      <c r="J678" t="str">
        <f>IFERROR(VLOOKUP(A678&amp;"",'BEA Buyer Groups'!$A$4:$C$500,3,FALSE),"Not used")</f>
        <v>Not used</v>
      </c>
      <c r="K678" t="str">
        <f t="shared" si="10"/>
        <v>Direct</v>
      </c>
    </row>
    <row r="679" spans="1:11" x14ac:dyDescent="0.25">
      <c r="A679" s="130" t="s">
        <v>1364</v>
      </c>
      <c r="B679" t="s">
        <v>1365</v>
      </c>
      <c r="C679" s="130" t="s">
        <v>820</v>
      </c>
      <c r="D679" t="s">
        <v>821</v>
      </c>
      <c r="E679">
        <v>2849</v>
      </c>
      <c r="F679">
        <v>84</v>
      </c>
      <c r="G679">
        <v>793</v>
      </c>
      <c r="H679">
        <v>0</v>
      </c>
      <c r="I679">
        <v>3726</v>
      </c>
      <c r="J679" t="str">
        <f>IFERROR(VLOOKUP(A679&amp;"",'BEA Buyer Groups'!$A$4:$C$500,3,FALSE),"Not used")</f>
        <v>Not used</v>
      </c>
      <c r="K679" t="str">
        <f t="shared" si="10"/>
        <v>Direct</v>
      </c>
    </row>
    <row r="680" spans="1:11" x14ac:dyDescent="0.25">
      <c r="A680" s="130" t="s">
        <v>1364</v>
      </c>
      <c r="B680" t="s">
        <v>1365</v>
      </c>
      <c r="C680" s="130" t="s">
        <v>822</v>
      </c>
      <c r="D680" t="s">
        <v>823</v>
      </c>
      <c r="E680">
        <v>6</v>
      </c>
      <c r="F680">
        <v>0</v>
      </c>
      <c r="G680">
        <v>0</v>
      </c>
      <c r="H680">
        <v>0</v>
      </c>
      <c r="I680">
        <v>6</v>
      </c>
      <c r="J680" t="str">
        <f>IFERROR(VLOOKUP(A680&amp;"",'BEA Buyer Groups'!$A$4:$C$500,3,FALSE),"Not used")</f>
        <v>Not used</v>
      </c>
      <c r="K680" t="str">
        <f t="shared" si="10"/>
        <v>Direct</v>
      </c>
    </row>
    <row r="681" spans="1:11" x14ac:dyDescent="0.25">
      <c r="A681" s="130" t="s">
        <v>1364</v>
      </c>
      <c r="B681" t="s">
        <v>1365</v>
      </c>
      <c r="C681" s="130" t="s">
        <v>860</v>
      </c>
      <c r="D681" t="s">
        <v>861</v>
      </c>
      <c r="E681">
        <v>16</v>
      </c>
      <c r="F681">
        <v>0</v>
      </c>
      <c r="G681">
        <v>5</v>
      </c>
      <c r="H681">
        <v>0</v>
      </c>
      <c r="I681">
        <v>21</v>
      </c>
      <c r="J681" t="str">
        <f>IFERROR(VLOOKUP(A681&amp;"",'BEA Buyer Groups'!$A$4:$C$500,3,FALSE),"Not used")</f>
        <v>Not used</v>
      </c>
      <c r="K681" t="str">
        <f t="shared" si="10"/>
        <v>Direct</v>
      </c>
    </row>
    <row r="682" spans="1:11" x14ac:dyDescent="0.25">
      <c r="A682" s="130" t="s">
        <v>1366</v>
      </c>
      <c r="B682" t="s">
        <v>1367</v>
      </c>
      <c r="C682" s="130" t="s">
        <v>820</v>
      </c>
      <c r="D682" t="s">
        <v>821</v>
      </c>
      <c r="E682">
        <v>51</v>
      </c>
      <c r="F682">
        <v>2</v>
      </c>
      <c r="G682">
        <v>12</v>
      </c>
      <c r="H682">
        <v>0</v>
      </c>
      <c r="I682">
        <v>64</v>
      </c>
      <c r="J682" t="str">
        <f>IFERROR(VLOOKUP(A682&amp;"",'BEA Buyer Groups'!$A$4:$C$500,3,FALSE),"Not used")</f>
        <v>Not used</v>
      </c>
      <c r="K682" t="str">
        <f t="shared" si="10"/>
        <v>Direct</v>
      </c>
    </row>
    <row r="683" spans="1:11" x14ac:dyDescent="0.25">
      <c r="A683" s="130" t="s">
        <v>1368</v>
      </c>
      <c r="B683" t="s">
        <v>1369</v>
      </c>
      <c r="C683" s="130" t="s">
        <v>820</v>
      </c>
      <c r="D683" t="s">
        <v>821</v>
      </c>
      <c r="E683">
        <v>0</v>
      </c>
      <c r="F683">
        <v>0</v>
      </c>
      <c r="G683">
        <v>0</v>
      </c>
      <c r="H683">
        <v>0</v>
      </c>
      <c r="I683">
        <v>0</v>
      </c>
      <c r="J683" t="str">
        <f>IFERROR(VLOOKUP(A683&amp;"",'BEA Buyer Groups'!$A$4:$C$500,3,FALSE),"Not used")</f>
        <v>Not used</v>
      </c>
      <c r="K683" t="str">
        <f t="shared" si="10"/>
        <v>Direct</v>
      </c>
    </row>
    <row r="684" spans="1:11" x14ac:dyDescent="0.25">
      <c r="A684" s="130" t="s">
        <v>1368</v>
      </c>
      <c r="B684" t="s">
        <v>1369</v>
      </c>
      <c r="C684" s="130" t="s">
        <v>822</v>
      </c>
      <c r="D684" t="s">
        <v>823</v>
      </c>
      <c r="E684">
        <v>0</v>
      </c>
      <c r="F684">
        <v>0</v>
      </c>
      <c r="G684">
        <v>0</v>
      </c>
      <c r="H684">
        <v>0</v>
      </c>
      <c r="I684">
        <v>0</v>
      </c>
      <c r="J684" t="str">
        <f>IFERROR(VLOOKUP(A684&amp;"",'BEA Buyer Groups'!$A$4:$C$500,3,FALSE),"Not used")</f>
        <v>Not used</v>
      </c>
      <c r="K684" t="str">
        <f t="shared" si="10"/>
        <v>Direct</v>
      </c>
    </row>
    <row r="685" spans="1:11" x14ac:dyDescent="0.25">
      <c r="A685" s="130" t="s">
        <v>1368</v>
      </c>
      <c r="B685" t="s">
        <v>1369</v>
      </c>
      <c r="C685" s="130" t="s">
        <v>810</v>
      </c>
      <c r="D685" t="s">
        <v>811</v>
      </c>
      <c r="E685">
        <v>0</v>
      </c>
      <c r="F685">
        <v>0</v>
      </c>
      <c r="G685">
        <v>0</v>
      </c>
      <c r="H685">
        <v>0</v>
      </c>
      <c r="I685">
        <v>0</v>
      </c>
      <c r="J685" t="str">
        <f>IFERROR(VLOOKUP(A685&amp;"",'BEA Buyer Groups'!$A$4:$C$500,3,FALSE),"Not used")</f>
        <v>Not used</v>
      </c>
      <c r="K685" t="str">
        <f t="shared" si="10"/>
        <v>Direct</v>
      </c>
    </row>
    <row r="686" spans="1:11" x14ac:dyDescent="0.25">
      <c r="A686" s="130" t="s">
        <v>1370</v>
      </c>
      <c r="B686" t="s">
        <v>1371</v>
      </c>
      <c r="C686" s="130" t="s">
        <v>820</v>
      </c>
      <c r="D686" t="s">
        <v>821</v>
      </c>
      <c r="E686">
        <v>57</v>
      </c>
      <c r="F686">
        <v>2</v>
      </c>
      <c r="G686">
        <v>16</v>
      </c>
      <c r="H686">
        <v>0</v>
      </c>
      <c r="I686">
        <v>75</v>
      </c>
      <c r="J686" t="str">
        <f>IFERROR(VLOOKUP(A686&amp;"",'BEA Buyer Groups'!$A$4:$C$500,3,FALSE),"Not used")</f>
        <v>Commercial</v>
      </c>
      <c r="K686" t="str">
        <f t="shared" si="10"/>
        <v>Direct</v>
      </c>
    </row>
    <row r="687" spans="1:11" x14ac:dyDescent="0.25">
      <c r="A687" s="130" t="s">
        <v>1370</v>
      </c>
      <c r="B687" t="s">
        <v>1371</v>
      </c>
      <c r="C687" s="130" t="s">
        <v>860</v>
      </c>
      <c r="D687" t="s">
        <v>861</v>
      </c>
      <c r="E687">
        <v>0</v>
      </c>
      <c r="F687">
        <v>0</v>
      </c>
      <c r="G687">
        <v>0</v>
      </c>
      <c r="H687">
        <v>0</v>
      </c>
      <c r="I687">
        <v>1</v>
      </c>
      <c r="J687" t="str">
        <f>IFERROR(VLOOKUP(A687&amp;"",'BEA Buyer Groups'!$A$4:$C$500,3,FALSE),"Not used")</f>
        <v>Commercial</v>
      </c>
      <c r="K687" t="str">
        <f t="shared" si="10"/>
        <v>Direct</v>
      </c>
    </row>
    <row r="688" spans="1:11" x14ac:dyDescent="0.25">
      <c r="A688" s="130" t="s">
        <v>1370</v>
      </c>
      <c r="B688" t="s">
        <v>1371</v>
      </c>
      <c r="C688" s="130" t="s">
        <v>810</v>
      </c>
      <c r="D688" t="s">
        <v>811</v>
      </c>
      <c r="E688">
        <v>19</v>
      </c>
      <c r="F688">
        <v>0</v>
      </c>
      <c r="G688">
        <v>6</v>
      </c>
      <c r="H688">
        <v>0</v>
      </c>
      <c r="I688">
        <v>25</v>
      </c>
      <c r="J688" t="str">
        <f>IFERROR(VLOOKUP(A688&amp;"",'BEA Buyer Groups'!$A$4:$C$500,3,FALSE),"Not used")</f>
        <v>Commercial</v>
      </c>
      <c r="K688" t="str">
        <f t="shared" si="10"/>
        <v>Direct</v>
      </c>
    </row>
    <row r="689" spans="1:11" x14ac:dyDescent="0.25">
      <c r="A689" s="130" t="s">
        <v>1372</v>
      </c>
      <c r="B689" t="s">
        <v>1373</v>
      </c>
      <c r="C689" s="130" t="s">
        <v>820</v>
      </c>
      <c r="D689" t="s">
        <v>821</v>
      </c>
      <c r="E689">
        <v>0</v>
      </c>
      <c r="F689">
        <v>0</v>
      </c>
      <c r="G689">
        <v>0</v>
      </c>
      <c r="H689">
        <v>0</v>
      </c>
      <c r="I689">
        <v>0</v>
      </c>
      <c r="J689" t="str">
        <f>IFERROR(VLOOKUP(A689&amp;"",'BEA Buyer Groups'!$A$4:$C$500,3,FALSE),"Not used")</f>
        <v>Not used</v>
      </c>
      <c r="K689" t="str">
        <f t="shared" si="10"/>
        <v>Direct</v>
      </c>
    </row>
    <row r="690" spans="1:11" x14ac:dyDescent="0.25">
      <c r="A690" s="130" t="s">
        <v>1372</v>
      </c>
      <c r="B690" t="s">
        <v>1373</v>
      </c>
      <c r="C690" s="130" t="s">
        <v>822</v>
      </c>
      <c r="D690" t="s">
        <v>823</v>
      </c>
      <c r="E690">
        <v>38</v>
      </c>
      <c r="F690">
        <v>1</v>
      </c>
      <c r="G690">
        <v>1</v>
      </c>
      <c r="H690">
        <v>8</v>
      </c>
      <c r="I690">
        <v>48</v>
      </c>
      <c r="J690" t="str">
        <f>IFERROR(VLOOKUP(A690&amp;"",'BEA Buyer Groups'!$A$4:$C$500,3,FALSE),"Not used")</f>
        <v>Not used</v>
      </c>
      <c r="K690" t="str">
        <f t="shared" si="10"/>
        <v>Direct</v>
      </c>
    </row>
    <row r="691" spans="1:11" x14ac:dyDescent="0.25">
      <c r="A691" s="130" t="s">
        <v>1372</v>
      </c>
      <c r="B691" t="s">
        <v>1373</v>
      </c>
      <c r="C691" s="130" t="s">
        <v>816</v>
      </c>
      <c r="D691" t="s">
        <v>817</v>
      </c>
      <c r="E691">
        <v>13</v>
      </c>
      <c r="F691">
        <v>2</v>
      </c>
      <c r="G691">
        <v>4</v>
      </c>
      <c r="H691">
        <v>0</v>
      </c>
      <c r="I691">
        <v>18</v>
      </c>
      <c r="J691" t="str">
        <f>IFERROR(VLOOKUP(A691&amp;"",'BEA Buyer Groups'!$A$4:$C$500,3,FALSE),"Not used")</f>
        <v>Not used</v>
      </c>
      <c r="K691" t="str">
        <f t="shared" si="10"/>
        <v>Direct</v>
      </c>
    </row>
    <row r="692" spans="1:11" x14ac:dyDescent="0.25">
      <c r="A692" s="130" t="s">
        <v>1372</v>
      </c>
      <c r="B692" t="s">
        <v>1373</v>
      </c>
      <c r="C692" s="130" t="s">
        <v>848</v>
      </c>
      <c r="D692" t="s">
        <v>849</v>
      </c>
      <c r="E692">
        <v>20</v>
      </c>
      <c r="F692">
        <v>0</v>
      </c>
      <c r="G692">
        <v>7</v>
      </c>
      <c r="H692">
        <v>0</v>
      </c>
      <c r="I692">
        <v>27</v>
      </c>
      <c r="J692" t="str">
        <f>IFERROR(VLOOKUP(A692&amp;"",'BEA Buyer Groups'!$A$4:$C$500,3,FALSE),"Not used")</f>
        <v>Not used</v>
      </c>
      <c r="K692" t="str">
        <f t="shared" si="10"/>
        <v>Direct</v>
      </c>
    </row>
    <row r="693" spans="1:11" x14ac:dyDescent="0.25">
      <c r="A693" s="130" t="s">
        <v>1374</v>
      </c>
      <c r="B693" t="s">
        <v>1375</v>
      </c>
      <c r="C693" s="130" t="s">
        <v>820</v>
      </c>
      <c r="D693" t="s">
        <v>821</v>
      </c>
      <c r="E693">
        <v>0</v>
      </c>
      <c r="F693">
        <v>0</v>
      </c>
      <c r="G693">
        <v>0</v>
      </c>
      <c r="H693">
        <v>0</v>
      </c>
      <c r="I693">
        <v>0</v>
      </c>
      <c r="J693" t="str">
        <f>IFERROR(VLOOKUP(A693&amp;"",'BEA Buyer Groups'!$A$4:$C$500,3,FALSE),"Not used")</f>
        <v>Commercial</v>
      </c>
      <c r="K693" t="str">
        <f t="shared" si="10"/>
        <v>Direct</v>
      </c>
    </row>
    <row r="694" spans="1:11" x14ac:dyDescent="0.25">
      <c r="A694" s="130" t="s">
        <v>1374</v>
      </c>
      <c r="B694" t="s">
        <v>1375</v>
      </c>
      <c r="C694" s="130" t="s">
        <v>822</v>
      </c>
      <c r="D694" t="s">
        <v>823</v>
      </c>
      <c r="E694">
        <v>2</v>
      </c>
      <c r="F694">
        <v>0</v>
      </c>
      <c r="G694">
        <v>0</v>
      </c>
      <c r="H694">
        <v>0</v>
      </c>
      <c r="I694">
        <v>2</v>
      </c>
      <c r="J694" t="str">
        <f>IFERROR(VLOOKUP(A694&amp;"",'BEA Buyer Groups'!$A$4:$C$500,3,FALSE),"Not used")</f>
        <v>Commercial</v>
      </c>
      <c r="K694" t="str">
        <f t="shared" si="10"/>
        <v>Direct</v>
      </c>
    </row>
    <row r="695" spans="1:11" x14ac:dyDescent="0.25">
      <c r="A695" s="130" t="s">
        <v>1376</v>
      </c>
      <c r="B695" t="s">
        <v>1377</v>
      </c>
      <c r="C695" s="130" t="s">
        <v>820</v>
      </c>
      <c r="D695" t="s">
        <v>821</v>
      </c>
      <c r="E695">
        <v>0</v>
      </c>
      <c r="F695">
        <v>0</v>
      </c>
      <c r="G695">
        <v>0</v>
      </c>
      <c r="H695">
        <v>0</v>
      </c>
      <c r="I695">
        <v>0</v>
      </c>
      <c r="J695" t="str">
        <f>IFERROR(VLOOKUP(A695&amp;"",'BEA Buyer Groups'!$A$4:$C$500,3,FALSE),"Not used")</f>
        <v>Commercial</v>
      </c>
      <c r="K695" t="str">
        <f t="shared" si="10"/>
        <v>Direct</v>
      </c>
    </row>
    <row r="696" spans="1:11" x14ac:dyDescent="0.25">
      <c r="A696" s="130" t="s">
        <v>1376</v>
      </c>
      <c r="B696" t="s">
        <v>1377</v>
      </c>
      <c r="C696" s="130" t="s">
        <v>822</v>
      </c>
      <c r="D696" t="s">
        <v>823</v>
      </c>
      <c r="E696">
        <v>1</v>
      </c>
      <c r="F696">
        <v>0</v>
      </c>
      <c r="G696">
        <v>0</v>
      </c>
      <c r="H696">
        <v>0</v>
      </c>
      <c r="I696">
        <v>1</v>
      </c>
      <c r="J696" t="str">
        <f>IFERROR(VLOOKUP(A696&amp;"",'BEA Buyer Groups'!$A$4:$C$500,3,FALSE),"Not used")</f>
        <v>Commercial</v>
      </c>
      <c r="K696" t="str">
        <f t="shared" si="10"/>
        <v>Direct</v>
      </c>
    </row>
    <row r="697" spans="1:11" x14ac:dyDescent="0.25">
      <c r="A697" s="130" t="s">
        <v>1378</v>
      </c>
      <c r="B697" t="s">
        <v>1379</v>
      </c>
      <c r="C697" s="130" t="s">
        <v>820</v>
      </c>
      <c r="D697" t="s">
        <v>821</v>
      </c>
      <c r="E697">
        <v>0</v>
      </c>
      <c r="F697">
        <v>0</v>
      </c>
      <c r="G697">
        <v>0</v>
      </c>
      <c r="H697">
        <v>0</v>
      </c>
      <c r="I697">
        <v>0</v>
      </c>
      <c r="J697" t="str">
        <f>IFERROR(VLOOKUP(A697&amp;"",'BEA Buyer Groups'!$A$4:$C$500,3,FALSE),"Not used")</f>
        <v>Commercial</v>
      </c>
      <c r="K697" t="str">
        <f t="shared" si="10"/>
        <v>Direct</v>
      </c>
    </row>
    <row r="698" spans="1:11" x14ac:dyDescent="0.25">
      <c r="A698" s="130" t="s">
        <v>1378</v>
      </c>
      <c r="B698" t="s">
        <v>1379</v>
      </c>
      <c r="C698" s="130" t="s">
        <v>822</v>
      </c>
      <c r="D698" t="s">
        <v>823</v>
      </c>
      <c r="E698">
        <v>3</v>
      </c>
      <c r="F698">
        <v>0</v>
      </c>
      <c r="G698">
        <v>0</v>
      </c>
      <c r="H698">
        <v>0</v>
      </c>
      <c r="I698">
        <v>3</v>
      </c>
      <c r="J698" t="str">
        <f>IFERROR(VLOOKUP(A698&amp;"",'BEA Buyer Groups'!$A$4:$C$500,3,FALSE),"Not used")</f>
        <v>Commercial</v>
      </c>
      <c r="K698" t="str">
        <f t="shared" si="10"/>
        <v>Direct</v>
      </c>
    </row>
    <row r="699" spans="1:11" x14ac:dyDescent="0.25">
      <c r="A699" s="130" t="s">
        <v>1380</v>
      </c>
      <c r="B699" t="s">
        <v>1381</v>
      </c>
      <c r="C699" s="130" t="s">
        <v>820</v>
      </c>
      <c r="D699" t="s">
        <v>821</v>
      </c>
      <c r="E699">
        <v>0</v>
      </c>
      <c r="F699">
        <v>0</v>
      </c>
      <c r="G699">
        <v>0</v>
      </c>
      <c r="H699">
        <v>0</v>
      </c>
      <c r="I699">
        <v>0</v>
      </c>
      <c r="J699" t="str">
        <f>IFERROR(VLOOKUP(A699&amp;"",'BEA Buyer Groups'!$A$4:$C$500,3,FALSE),"Not used")</f>
        <v>Commercial</v>
      </c>
      <c r="K699" t="str">
        <f t="shared" si="10"/>
        <v>Direct</v>
      </c>
    </row>
    <row r="700" spans="1:11" x14ac:dyDescent="0.25">
      <c r="A700" s="130" t="s">
        <v>1380</v>
      </c>
      <c r="B700" t="s">
        <v>1381</v>
      </c>
      <c r="C700" s="130" t="s">
        <v>822</v>
      </c>
      <c r="D700" t="s">
        <v>823</v>
      </c>
      <c r="E700">
        <v>0</v>
      </c>
      <c r="F700">
        <v>0</v>
      </c>
      <c r="G700">
        <v>0</v>
      </c>
      <c r="H700">
        <v>0</v>
      </c>
      <c r="I700">
        <v>0</v>
      </c>
      <c r="J700" t="str">
        <f>IFERROR(VLOOKUP(A700&amp;"",'BEA Buyer Groups'!$A$4:$C$500,3,FALSE),"Not used")</f>
        <v>Commercial</v>
      </c>
      <c r="K700" t="str">
        <f t="shared" si="10"/>
        <v>Direct</v>
      </c>
    </row>
    <row r="701" spans="1:11" x14ac:dyDescent="0.25">
      <c r="A701" s="130" t="s">
        <v>1380</v>
      </c>
      <c r="B701" t="s">
        <v>1381</v>
      </c>
      <c r="C701" s="130" t="s">
        <v>860</v>
      </c>
      <c r="D701" t="s">
        <v>861</v>
      </c>
      <c r="E701">
        <v>1</v>
      </c>
      <c r="F701">
        <v>0</v>
      </c>
      <c r="G701">
        <v>0</v>
      </c>
      <c r="H701">
        <v>0</v>
      </c>
      <c r="I701">
        <v>1</v>
      </c>
      <c r="J701" t="str">
        <f>IFERROR(VLOOKUP(A701&amp;"",'BEA Buyer Groups'!$A$4:$C$500,3,FALSE),"Not used")</f>
        <v>Commercial</v>
      </c>
      <c r="K701" t="str">
        <f t="shared" si="10"/>
        <v>Direct</v>
      </c>
    </row>
    <row r="702" spans="1:11" x14ac:dyDescent="0.25">
      <c r="A702" s="130" t="s">
        <v>1382</v>
      </c>
      <c r="B702" t="s">
        <v>1383</v>
      </c>
      <c r="C702" s="130" t="s">
        <v>820</v>
      </c>
      <c r="D702" t="s">
        <v>821</v>
      </c>
      <c r="E702">
        <v>0</v>
      </c>
      <c r="F702">
        <v>0</v>
      </c>
      <c r="G702">
        <v>0</v>
      </c>
      <c r="H702">
        <v>0</v>
      </c>
      <c r="I702">
        <v>0</v>
      </c>
      <c r="J702" t="str">
        <f>IFERROR(VLOOKUP(A702&amp;"",'BEA Buyer Groups'!$A$4:$C$500,3,FALSE),"Not used")</f>
        <v>Commercial</v>
      </c>
      <c r="K702" t="str">
        <f t="shared" si="10"/>
        <v>Direct</v>
      </c>
    </row>
    <row r="703" spans="1:11" x14ac:dyDescent="0.25">
      <c r="A703" s="130" t="s">
        <v>1382</v>
      </c>
      <c r="B703" t="s">
        <v>1383</v>
      </c>
      <c r="C703" s="130" t="s">
        <v>822</v>
      </c>
      <c r="D703" t="s">
        <v>823</v>
      </c>
      <c r="E703">
        <v>5</v>
      </c>
      <c r="F703">
        <v>0</v>
      </c>
      <c r="G703">
        <v>0</v>
      </c>
      <c r="H703">
        <v>0</v>
      </c>
      <c r="I703">
        <v>5</v>
      </c>
      <c r="J703" t="str">
        <f>IFERROR(VLOOKUP(A703&amp;"",'BEA Buyer Groups'!$A$4:$C$500,3,FALSE),"Not used")</f>
        <v>Commercial</v>
      </c>
      <c r="K703" t="str">
        <f t="shared" si="10"/>
        <v>Direct</v>
      </c>
    </row>
    <row r="704" spans="1:11" x14ac:dyDescent="0.25">
      <c r="A704" s="130" t="s">
        <v>1382</v>
      </c>
      <c r="B704" t="s">
        <v>1383</v>
      </c>
      <c r="C704" s="130" t="s">
        <v>860</v>
      </c>
      <c r="D704" t="s">
        <v>861</v>
      </c>
      <c r="E704">
        <v>11</v>
      </c>
      <c r="F704">
        <v>0</v>
      </c>
      <c r="G704">
        <v>4</v>
      </c>
      <c r="H704">
        <v>0</v>
      </c>
      <c r="I704">
        <v>15</v>
      </c>
      <c r="J704" t="str">
        <f>IFERROR(VLOOKUP(A704&amp;"",'BEA Buyer Groups'!$A$4:$C$500,3,FALSE),"Not used")</f>
        <v>Commercial</v>
      </c>
      <c r="K704" t="str">
        <f t="shared" si="10"/>
        <v>Direct</v>
      </c>
    </row>
    <row r="705" spans="1:11" x14ac:dyDescent="0.25">
      <c r="A705" s="130" t="s">
        <v>1384</v>
      </c>
      <c r="B705" t="s">
        <v>1385</v>
      </c>
      <c r="C705" s="130" t="s">
        <v>820</v>
      </c>
      <c r="D705" t="s">
        <v>821</v>
      </c>
      <c r="E705">
        <v>1</v>
      </c>
      <c r="F705">
        <v>0</v>
      </c>
      <c r="G705">
        <v>0</v>
      </c>
      <c r="H705">
        <v>0</v>
      </c>
      <c r="I705">
        <v>1</v>
      </c>
      <c r="J705" t="str">
        <f>IFERROR(VLOOKUP(A705&amp;"",'BEA Buyer Groups'!$A$4:$C$500,3,FALSE),"Not used")</f>
        <v>Commercial</v>
      </c>
      <c r="K705" t="str">
        <f t="shared" si="10"/>
        <v>Direct</v>
      </c>
    </row>
    <row r="706" spans="1:11" x14ac:dyDescent="0.25">
      <c r="A706" s="130" t="s">
        <v>1384</v>
      </c>
      <c r="B706" t="s">
        <v>1385</v>
      </c>
      <c r="C706" s="130" t="s">
        <v>822</v>
      </c>
      <c r="D706" t="s">
        <v>823</v>
      </c>
      <c r="E706">
        <v>10</v>
      </c>
      <c r="F706">
        <v>0</v>
      </c>
      <c r="G706">
        <v>0</v>
      </c>
      <c r="H706">
        <v>0</v>
      </c>
      <c r="I706">
        <v>11</v>
      </c>
      <c r="J706" t="str">
        <f>IFERROR(VLOOKUP(A706&amp;"",'BEA Buyer Groups'!$A$4:$C$500,3,FALSE),"Not used")</f>
        <v>Commercial</v>
      </c>
      <c r="K706" t="str">
        <f t="shared" si="10"/>
        <v>Direct</v>
      </c>
    </row>
    <row r="707" spans="1:11" x14ac:dyDescent="0.25">
      <c r="A707" s="130" t="s">
        <v>1386</v>
      </c>
      <c r="B707" t="s">
        <v>1387</v>
      </c>
      <c r="C707" s="130" t="s">
        <v>820</v>
      </c>
      <c r="D707" t="s">
        <v>821</v>
      </c>
      <c r="E707">
        <v>0</v>
      </c>
      <c r="F707">
        <v>0</v>
      </c>
      <c r="G707">
        <v>0</v>
      </c>
      <c r="H707">
        <v>0</v>
      </c>
      <c r="I707">
        <v>0</v>
      </c>
      <c r="J707" t="str">
        <f>IFERROR(VLOOKUP(A707&amp;"",'BEA Buyer Groups'!$A$4:$C$500,3,FALSE),"Not used")</f>
        <v>Commercial</v>
      </c>
      <c r="K707" t="str">
        <f t="shared" si="10"/>
        <v>Direct</v>
      </c>
    </row>
    <row r="708" spans="1:11" x14ac:dyDescent="0.25">
      <c r="A708" s="130" t="s">
        <v>1386</v>
      </c>
      <c r="B708" t="s">
        <v>1387</v>
      </c>
      <c r="C708" s="130" t="s">
        <v>822</v>
      </c>
      <c r="D708" t="s">
        <v>823</v>
      </c>
      <c r="E708">
        <v>0</v>
      </c>
      <c r="F708">
        <v>0</v>
      </c>
      <c r="G708">
        <v>0</v>
      </c>
      <c r="H708">
        <v>0</v>
      </c>
      <c r="I708">
        <v>0</v>
      </c>
      <c r="J708" t="str">
        <f>IFERROR(VLOOKUP(A708&amp;"",'BEA Buyer Groups'!$A$4:$C$500,3,FALSE),"Not used")</f>
        <v>Commercial</v>
      </c>
      <c r="K708" t="str">
        <f t="shared" si="10"/>
        <v>Direct</v>
      </c>
    </row>
    <row r="709" spans="1:11" x14ac:dyDescent="0.25">
      <c r="A709" s="130" t="s">
        <v>1388</v>
      </c>
      <c r="B709" t="s">
        <v>1389</v>
      </c>
      <c r="C709" s="130" t="s">
        <v>820</v>
      </c>
      <c r="D709" t="s">
        <v>821</v>
      </c>
      <c r="E709">
        <v>1</v>
      </c>
      <c r="F709">
        <v>0</v>
      </c>
      <c r="G709">
        <v>1</v>
      </c>
      <c r="H709">
        <v>0</v>
      </c>
      <c r="I709">
        <v>2</v>
      </c>
      <c r="J709" t="str">
        <f>IFERROR(VLOOKUP(A709&amp;"",'BEA Buyer Groups'!$A$4:$C$500,3,FALSE),"Not used")</f>
        <v>Commercial</v>
      </c>
      <c r="K709" t="str">
        <f t="shared" si="10"/>
        <v>Direct</v>
      </c>
    </row>
    <row r="710" spans="1:11" x14ac:dyDescent="0.25">
      <c r="A710" s="130" t="s">
        <v>1388</v>
      </c>
      <c r="B710" t="s">
        <v>1389</v>
      </c>
      <c r="C710" s="130" t="s">
        <v>822</v>
      </c>
      <c r="D710" t="s">
        <v>823</v>
      </c>
      <c r="E710">
        <v>0</v>
      </c>
      <c r="F710">
        <v>0</v>
      </c>
      <c r="G710">
        <v>0</v>
      </c>
      <c r="H710">
        <v>0</v>
      </c>
      <c r="I710">
        <v>0</v>
      </c>
      <c r="J710" t="str">
        <f>IFERROR(VLOOKUP(A710&amp;"",'BEA Buyer Groups'!$A$4:$C$500,3,FALSE),"Not used")</f>
        <v>Commercial</v>
      </c>
      <c r="K710" t="str">
        <f t="shared" si="10"/>
        <v>Direct</v>
      </c>
    </row>
    <row r="711" spans="1:11" x14ac:dyDescent="0.25">
      <c r="A711" s="130" t="s">
        <v>1390</v>
      </c>
      <c r="B711" t="s">
        <v>1391</v>
      </c>
      <c r="C711" s="130" t="s">
        <v>820</v>
      </c>
      <c r="D711" t="s">
        <v>821</v>
      </c>
      <c r="E711">
        <v>0</v>
      </c>
      <c r="F711">
        <v>0</v>
      </c>
      <c r="G711">
        <v>0</v>
      </c>
      <c r="H711">
        <v>0</v>
      </c>
      <c r="I711">
        <v>1</v>
      </c>
      <c r="J711" t="str">
        <f>IFERROR(VLOOKUP(A711&amp;"",'BEA Buyer Groups'!$A$4:$C$500,3,FALSE),"Not used")</f>
        <v>Commercial</v>
      </c>
      <c r="K711" t="str">
        <f t="shared" ref="K711:K774" si="11">IF(LEFT(A711,2)="23","Contractor","Direct")</f>
        <v>Direct</v>
      </c>
    </row>
    <row r="712" spans="1:11" x14ac:dyDescent="0.25">
      <c r="A712" s="130" t="s">
        <v>1390</v>
      </c>
      <c r="B712" t="s">
        <v>1391</v>
      </c>
      <c r="C712" s="130" t="s">
        <v>822</v>
      </c>
      <c r="D712" t="s">
        <v>823</v>
      </c>
      <c r="E712">
        <v>529</v>
      </c>
      <c r="F712">
        <v>15</v>
      </c>
      <c r="G712">
        <v>239</v>
      </c>
      <c r="H712">
        <v>0</v>
      </c>
      <c r="I712">
        <v>784</v>
      </c>
      <c r="J712" t="str">
        <f>IFERROR(VLOOKUP(A712&amp;"",'BEA Buyer Groups'!$A$4:$C$500,3,FALSE),"Not used")</f>
        <v>Commercial</v>
      </c>
      <c r="K712" t="str">
        <f t="shared" si="11"/>
        <v>Direct</v>
      </c>
    </row>
    <row r="713" spans="1:11" x14ac:dyDescent="0.25">
      <c r="A713" s="130" t="s">
        <v>1392</v>
      </c>
      <c r="B713" t="s">
        <v>1393</v>
      </c>
      <c r="C713" s="130" t="s">
        <v>820</v>
      </c>
      <c r="D713" t="s">
        <v>821</v>
      </c>
      <c r="E713">
        <v>29</v>
      </c>
      <c r="F713">
        <v>1</v>
      </c>
      <c r="G713">
        <v>8</v>
      </c>
      <c r="H713">
        <v>0</v>
      </c>
      <c r="I713">
        <v>38</v>
      </c>
      <c r="J713" t="str">
        <f>IFERROR(VLOOKUP(A713&amp;"",'BEA Buyer Groups'!$A$4:$C$500,3,FALSE),"Not used")</f>
        <v>Commercial</v>
      </c>
      <c r="K713" t="str">
        <f t="shared" si="11"/>
        <v>Direct</v>
      </c>
    </row>
    <row r="714" spans="1:11" x14ac:dyDescent="0.25">
      <c r="A714" s="130" t="s">
        <v>1392</v>
      </c>
      <c r="B714" t="s">
        <v>1393</v>
      </c>
      <c r="C714" s="130" t="s">
        <v>802</v>
      </c>
      <c r="D714" t="s">
        <v>803</v>
      </c>
      <c r="E714">
        <v>11</v>
      </c>
      <c r="F714">
        <v>0</v>
      </c>
      <c r="G714">
        <v>5</v>
      </c>
      <c r="H714">
        <v>0</v>
      </c>
      <c r="I714">
        <v>16</v>
      </c>
      <c r="J714" t="str">
        <f>IFERROR(VLOOKUP(A714&amp;"",'BEA Buyer Groups'!$A$4:$C$500,3,FALSE),"Not used")</f>
        <v>Commercial</v>
      </c>
      <c r="K714" t="str">
        <f t="shared" si="11"/>
        <v>Direct</v>
      </c>
    </row>
    <row r="715" spans="1:11" x14ac:dyDescent="0.25">
      <c r="A715" s="130" t="s">
        <v>1392</v>
      </c>
      <c r="B715" t="s">
        <v>1393</v>
      </c>
      <c r="C715" s="130" t="s">
        <v>822</v>
      </c>
      <c r="D715" t="s">
        <v>823</v>
      </c>
      <c r="E715">
        <v>30</v>
      </c>
      <c r="F715">
        <v>1</v>
      </c>
      <c r="G715">
        <v>13</v>
      </c>
      <c r="H715">
        <v>0</v>
      </c>
      <c r="I715">
        <v>44</v>
      </c>
      <c r="J715" t="str">
        <f>IFERROR(VLOOKUP(A715&amp;"",'BEA Buyer Groups'!$A$4:$C$500,3,FALSE),"Not used")</f>
        <v>Commercial</v>
      </c>
      <c r="K715" t="str">
        <f t="shared" si="11"/>
        <v>Direct</v>
      </c>
    </row>
    <row r="716" spans="1:11" x14ac:dyDescent="0.25">
      <c r="A716" s="130" t="s">
        <v>1392</v>
      </c>
      <c r="B716" t="s">
        <v>1393</v>
      </c>
      <c r="C716" s="130" t="s">
        <v>816</v>
      </c>
      <c r="D716" t="s">
        <v>817</v>
      </c>
      <c r="E716">
        <v>155</v>
      </c>
      <c r="F716">
        <v>20</v>
      </c>
      <c r="G716">
        <v>49</v>
      </c>
      <c r="H716">
        <v>0</v>
      </c>
      <c r="I716">
        <v>223</v>
      </c>
      <c r="J716" t="str">
        <f>IFERROR(VLOOKUP(A716&amp;"",'BEA Buyer Groups'!$A$4:$C$500,3,FALSE),"Not used")</f>
        <v>Commercial</v>
      </c>
      <c r="K716" t="str">
        <f t="shared" si="11"/>
        <v>Direct</v>
      </c>
    </row>
    <row r="717" spans="1:11" x14ac:dyDescent="0.25">
      <c r="A717" s="130" t="s">
        <v>1392</v>
      </c>
      <c r="B717" t="s">
        <v>1393</v>
      </c>
      <c r="C717" s="130" t="s">
        <v>846</v>
      </c>
      <c r="D717" t="s">
        <v>847</v>
      </c>
      <c r="E717">
        <v>11</v>
      </c>
      <c r="F717">
        <v>1</v>
      </c>
      <c r="G717">
        <v>4</v>
      </c>
      <c r="H717">
        <v>0</v>
      </c>
      <c r="I717">
        <v>17</v>
      </c>
      <c r="J717" t="str">
        <f>IFERROR(VLOOKUP(A717&amp;"",'BEA Buyer Groups'!$A$4:$C$500,3,FALSE),"Not used")</f>
        <v>Commercial</v>
      </c>
      <c r="K717" t="str">
        <f t="shared" si="11"/>
        <v>Direct</v>
      </c>
    </row>
    <row r="718" spans="1:11" x14ac:dyDescent="0.25">
      <c r="A718" s="130" t="s">
        <v>1394</v>
      </c>
      <c r="B718" t="s">
        <v>1395</v>
      </c>
      <c r="C718" s="130" t="s">
        <v>820</v>
      </c>
      <c r="D718" t="s">
        <v>821</v>
      </c>
      <c r="E718">
        <v>175</v>
      </c>
      <c r="F718">
        <v>5</v>
      </c>
      <c r="G718">
        <v>49</v>
      </c>
      <c r="H718">
        <v>0</v>
      </c>
      <c r="I718">
        <v>228</v>
      </c>
      <c r="J718" t="str">
        <f>IFERROR(VLOOKUP(A718&amp;"",'BEA Buyer Groups'!$A$4:$C$500,3,FALSE),"Not used")</f>
        <v>Commercial</v>
      </c>
      <c r="K718" t="str">
        <f t="shared" si="11"/>
        <v>Direct</v>
      </c>
    </row>
    <row r="719" spans="1:11" x14ac:dyDescent="0.25">
      <c r="A719" s="130" t="s">
        <v>1394</v>
      </c>
      <c r="B719" t="s">
        <v>1395</v>
      </c>
      <c r="C719" s="130" t="s">
        <v>802</v>
      </c>
      <c r="D719" t="s">
        <v>803</v>
      </c>
      <c r="E719">
        <v>76</v>
      </c>
      <c r="F719">
        <v>2</v>
      </c>
      <c r="G719">
        <v>34</v>
      </c>
      <c r="H719">
        <v>0</v>
      </c>
      <c r="I719">
        <v>112</v>
      </c>
      <c r="J719" t="str">
        <f>IFERROR(VLOOKUP(A719&amp;"",'BEA Buyer Groups'!$A$4:$C$500,3,FALSE),"Not used")</f>
        <v>Commercial</v>
      </c>
      <c r="K719" t="str">
        <f t="shared" si="11"/>
        <v>Direct</v>
      </c>
    </row>
    <row r="720" spans="1:11" x14ac:dyDescent="0.25">
      <c r="A720" s="130" t="s">
        <v>1394</v>
      </c>
      <c r="B720" t="s">
        <v>1395</v>
      </c>
      <c r="C720" s="130" t="s">
        <v>822</v>
      </c>
      <c r="D720" t="s">
        <v>823</v>
      </c>
      <c r="E720">
        <v>48</v>
      </c>
      <c r="F720">
        <v>1</v>
      </c>
      <c r="G720">
        <v>22</v>
      </c>
      <c r="H720">
        <v>0</v>
      </c>
      <c r="I720">
        <v>72</v>
      </c>
      <c r="J720" t="str">
        <f>IFERROR(VLOOKUP(A720&amp;"",'BEA Buyer Groups'!$A$4:$C$500,3,FALSE),"Not used")</f>
        <v>Commercial</v>
      </c>
      <c r="K720" t="str">
        <f t="shared" si="11"/>
        <v>Direct</v>
      </c>
    </row>
    <row r="721" spans="1:11" x14ac:dyDescent="0.25">
      <c r="A721" s="130" t="s">
        <v>1394</v>
      </c>
      <c r="B721" t="s">
        <v>1395</v>
      </c>
      <c r="C721" s="130" t="s">
        <v>810</v>
      </c>
      <c r="D721" t="s">
        <v>811</v>
      </c>
      <c r="E721">
        <v>0</v>
      </c>
      <c r="F721">
        <v>0</v>
      </c>
      <c r="G721">
        <v>0</v>
      </c>
      <c r="H721">
        <v>0</v>
      </c>
      <c r="I721">
        <v>0</v>
      </c>
      <c r="J721" t="str">
        <f>IFERROR(VLOOKUP(A721&amp;"",'BEA Buyer Groups'!$A$4:$C$500,3,FALSE),"Not used")</f>
        <v>Commercial</v>
      </c>
      <c r="K721" t="str">
        <f t="shared" si="11"/>
        <v>Direct</v>
      </c>
    </row>
    <row r="722" spans="1:11" x14ac:dyDescent="0.25">
      <c r="A722" s="130" t="s">
        <v>1394</v>
      </c>
      <c r="B722" t="s">
        <v>1395</v>
      </c>
      <c r="C722" s="130" t="s">
        <v>816</v>
      </c>
      <c r="D722" t="s">
        <v>817</v>
      </c>
      <c r="E722">
        <v>48</v>
      </c>
      <c r="F722">
        <v>6</v>
      </c>
      <c r="G722">
        <v>15</v>
      </c>
      <c r="H722">
        <v>0</v>
      </c>
      <c r="I722">
        <v>69</v>
      </c>
      <c r="J722" t="str">
        <f>IFERROR(VLOOKUP(A722&amp;"",'BEA Buyer Groups'!$A$4:$C$500,3,FALSE),"Not used")</f>
        <v>Commercial</v>
      </c>
      <c r="K722" t="str">
        <f t="shared" si="11"/>
        <v>Direct</v>
      </c>
    </row>
    <row r="723" spans="1:11" x14ac:dyDescent="0.25">
      <c r="A723" s="130" t="s">
        <v>1394</v>
      </c>
      <c r="B723" t="s">
        <v>1395</v>
      </c>
      <c r="C723" s="130" t="s">
        <v>846</v>
      </c>
      <c r="D723" t="s">
        <v>847</v>
      </c>
      <c r="E723">
        <v>72</v>
      </c>
      <c r="F723">
        <v>9</v>
      </c>
      <c r="G723">
        <v>25</v>
      </c>
      <c r="H723">
        <v>0</v>
      </c>
      <c r="I723">
        <v>107</v>
      </c>
      <c r="J723" t="str">
        <f>IFERROR(VLOOKUP(A723&amp;"",'BEA Buyer Groups'!$A$4:$C$500,3,FALSE),"Not used")</f>
        <v>Commercial</v>
      </c>
      <c r="K723" t="str">
        <f t="shared" si="11"/>
        <v>Direct</v>
      </c>
    </row>
    <row r="724" spans="1:11" x14ac:dyDescent="0.25">
      <c r="A724" s="130" t="s">
        <v>1396</v>
      </c>
      <c r="B724" t="s">
        <v>1397</v>
      </c>
      <c r="C724" s="130" t="s">
        <v>820</v>
      </c>
      <c r="D724" t="s">
        <v>821</v>
      </c>
      <c r="E724">
        <v>7</v>
      </c>
      <c r="F724">
        <v>0</v>
      </c>
      <c r="G724">
        <v>2</v>
      </c>
      <c r="H724">
        <v>0</v>
      </c>
      <c r="I724">
        <v>9</v>
      </c>
      <c r="J724" t="str">
        <f>IFERROR(VLOOKUP(A724&amp;"",'BEA Buyer Groups'!$A$4:$C$500,3,FALSE),"Not used")</f>
        <v>Commercial</v>
      </c>
      <c r="K724" t="str">
        <f t="shared" si="11"/>
        <v>Direct</v>
      </c>
    </row>
    <row r="725" spans="1:11" x14ac:dyDescent="0.25">
      <c r="A725" s="130" t="s">
        <v>1396</v>
      </c>
      <c r="B725" t="s">
        <v>1397</v>
      </c>
      <c r="C725" s="130" t="s">
        <v>816</v>
      </c>
      <c r="D725" t="s">
        <v>817</v>
      </c>
      <c r="E725">
        <v>15</v>
      </c>
      <c r="F725">
        <v>2</v>
      </c>
      <c r="G725">
        <v>5</v>
      </c>
      <c r="H725">
        <v>0</v>
      </c>
      <c r="I725">
        <v>22</v>
      </c>
      <c r="J725" t="str">
        <f>IFERROR(VLOOKUP(A725&amp;"",'BEA Buyer Groups'!$A$4:$C$500,3,FALSE),"Not used")</f>
        <v>Commercial</v>
      </c>
      <c r="K725" t="str">
        <f t="shared" si="11"/>
        <v>Direct</v>
      </c>
    </row>
    <row r="726" spans="1:11" x14ac:dyDescent="0.25">
      <c r="A726" s="130" t="s">
        <v>1396</v>
      </c>
      <c r="B726" t="s">
        <v>1397</v>
      </c>
      <c r="C726" s="130" t="s">
        <v>846</v>
      </c>
      <c r="D726" t="s">
        <v>847</v>
      </c>
      <c r="E726">
        <v>3</v>
      </c>
      <c r="F726">
        <v>0</v>
      </c>
      <c r="G726">
        <v>1</v>
      </c>
      <c r="H726">
        <v>0</v>
      </c>
      <c r="I726">
        <v>4</v>
      </c>
      <c r="J726" t="str">
        <f>IFERROR(VLOOKUP(A726&amp;"",'BEA Buyer Groups'!$A$4:$C$500,3,FALSE),"Not used")</f>
        <v>Commercial</v>
      </c>
      <c r="K726" t="str">
        <f t="shared" si="11"/>
        <v>Direct</v>
      </c>
    </row>
    <row r="727" spans="1:11" x14ac:dyDescent="0.25">
      <c r="A727" s="130" t="s">
        <v>1398</v>
      </c>
      <c r="B727" t="s">
        <v>1399</v>
      </c>
      <c r="C727" s="130" t="s">
        <v>820</v>
      </c>
      <c r="D727" t="s">
        <v>821</v>
      </c>
      <c r="E727">
        <v>0</v>
      </c>
      <c r="F727">
        <v>0</v>
      </c>
      <c r="G727">
        <v>0</v>
      </c>
      <c r="H727">
        <v>0</v>
      </c>
      <c r="I727">
        <v>1</v>
      </c>
      <c r="J727" t="str">
        <f>IFERROR(VLOOKUP(A727&amp;"",'BEA Buyer Groups'!$A$4:$C$500,3,FALSE),"Not used")</f>
        <v>Commercial</v>
      </c>
      <c r="K727" t="str">
        <f t="shared" si="11"/>
        <v>Direct</v>
      </c>
    </row>
    <row r="728" spans="1:11" x14ac:dyDescent="0.25">
      <c r="A728" s="130" t="s">
        <v>1398</v>
      </c>
      <c r="B728" t="s">
        <v>1399</v>
      </c>
      <c r="C728" s="130" t="s">
        <v>802</v>
      </c>
      <c r="D728" t="s">
        <v>803</v>
      </c>
      <c r="E728">
        <v>6</v>
      </c>
      <c r="F728">
        <v>0</v>
      </c>
      <c r="G728">
        <v>3</v>
      </c>
      <c r="H728">
        <v>0</v>
      </c>
      <c r="I728">
        <v>9</v>
      </c>
      <c r="J728" t="str">
        <f>IFERROR(VLOOKUP(A728&amp;"",'BEA Buyer Groups'!$A$4:$C$500,3,FALSE),"Not used")</f>
        <v>Commercial</v>
      </c>
      <c r="K728" t="str">
        <f t="shared" si="11"/>
        <v>Direct</v>
      </c>
    </row>
    <row r="729" spans="1:11" x14ac:dyDescent="0.25">
      <c r="A729" s="130" t="s">
        <v>1398</v>
      </c>
      <c r="B729" t="s">
        <v>1399</v>
      </c>
      <c r="C729" s="130" t="s">
        <v>822</v>
      </c>
      <c r="D729" t="s">
        <v>823</v>
      </c>
      <c r="E729">
        <v>134</v>
      </c>
      <c r="F729">
        <v>4</v>
      </c>
      <c r="G729">
        <v>60</v>
      </c>
      <c r="H729">
        <v>0</v>
      </c>
      <c r="I729">
        <v>198</v>
      </c>
      <c r="J729" t="str">
        <f>IFERROR(VLOOKUP(A729&amp;"",'BEA Buyer Groups'!$A$4:$C$500,3,FALSE),"Not used")</f>
        <v>Commercial</v>
      </c>
      <c r="K729" t="str">
        <f t="shared" si="11"/>
        <v>Direct</v>
      </c>
    </row>
    <row r="730" spans="1:11" x14ac:dyDescent="0.25">
      <c r="A730" s="130" t="s">
        <v>1398</v>
      </c>
      <c r="B730" t="s">
        <v>1399</v>
      </c>
      <c r="C730" s="130" t="s">
        <v>860</v>
      </c>
      <c r="D730" t="s">
        <v>861</v>
      </c>
      <c r="E730">
        <v>2</v>
      </c>
      <c r="F730">
        <v>0</v>
      </c>
      <c r="G730">
        <v>1</v>
      </c>
      <c r="H730">
        <v>0</v>
      </c>
      <c r="I730">
        <v>3</v>
      </c>
      <c r="J730" t="str">
        <f>IFERROR(VLOOKUP(A730&amp;"",'BEA Buyer Groups'!$A$4:$C$500,3,FALSE),"Not used")</f>
        <v>Commercial</v>
      </c>
      <c r="K730" t="str">
        <f t="shared" si="11"/>
        <v>Direct</v>
      </c>
    </row>
    <row r="731" spans="1:11" x14ac:dyDescent="0.25">
      <c r="A731" s="130" t="s">
        <v>1398</v>
      </c>
      <c r="B731" t="s">
        <v>1399</v>
      </c>
      <c r="C731" s="130" t="s">
        <v>816</v>
      </c>
      <c r="D731" t="s">
        <v>817</v>
      </c>
      <c r="E731">
        <v>15</v>
      </c>
      <c r="F731">
        <v>2</v>
      </c>
      <c r="G731">
        <v>5</v>
      </c>
      <c r="H731">
        <v>0</v>
      </c>
      <c r="I731">
        <v>22</v>
      </c>
      <c r="J731" t="str">
        <f>IFERROR(VLOOKUP(A731&amp;"",'BEA Buyer Groups'!$A$4:$C$500,3,FALSE),"Not used")</f>
        <v>Commercial</v>
      </c>
      <c r="K731" t="str">
        <f t="shared" si="11"/>
        <v>Direct</v>
      </c>
    </row>
    <row r="732" spans="1:11" x14ac:dyDescent="0.25">
      <c r="A732" s="130" t="s">
        <v>1398</v>
      </c>
      <c r="B732" t="s">
        <v>1399</v>
      </c>
      <c r="C732" s="130" t="s">
        <v>846</v>
      </c>
      <c r="D732" t="s">
        <v>847</v>
      </c>
      <c r="E732">
        <v>17</v>
      </c>
      <c r="F732">
        <v>2</v>
      </c>
      <c r="G732">
        <v>6</v>
      </c>
      <c r="H732">
        <v>0</v>
      </c>
      <c r="I732">
        <v>25</v>
      </c>
      <c r="J732" t="str">
        <f>IFERROR(VLOOKUP(A732&amp;"",'BEA Buyer Groups'!$A$4:$C$500,3,FALSE),"Not used")</f>
        <v>Commercial</v>
      </c>
      <c r="K732" t="str">
        <f t="shared" si="11"/>
        <v>Direct</v>
      </c>
    </row>
    <row r="733" spans="1:11" x14ac:dyDescent="0.25">
      <c r="A733" s="130" t="s">
        <v>1400</v>
      </c>
      <c r="B733" t="s">
        <v>1401</v>
      </c>
      <c r="C733" s="130" t="s">
        <v>820</v>
      </c>
      <c r="D733" t="s">
        <v>821</v>
      </c>
      <c r="E733">
        <v>1</v>
      </c>
      <c r="F733">
        <v>0</v>
      </c>
      <c r="G733">
        <v>0</v>
      </c>
      <c r="H733">
        <v>0</v>
      </c>
      <c r="I733">
        <v>1</v>
      </c>
      <c r="J733" t="str">
        <f>IFERROR(VLOOKUP(A733&amp;"",'BEA Buyer Groups'!$A$4:$C$500,3,FALSE),"Not used")</f>
        <v>Commercial</v>
      </c>
      <c r="K733" t="str">
        <f t="shared" si="11"/>
        <v>Direct</v>
      </c>
    </row>
    <row r="734" spans="1:11" x14ac:dyDescent="0.25">
      <c r="A734" s="130" t="s">
        <v>1402</v>
      </c>
      <c r="B734" t="s">
        <v>1403</v>
      </c>
      <c r="C734" s="130" t="s">
        <v>820</v>
      </c>
      <c r="D734" t="s">
        <v>821</v>
      </c>
      <c r="E734">
        <v>0</v>
      </c>
      <c r="F734">
        <v>0</v>
      </c>
      <c r="G734">
        <v>0</v>
      </c>
      <c r="H734">
        <v>0</v>
      </c>
      <c r="I734">
        <v>0</v>
      </c>
      <c r="J734" t="str">
        <f>IFERROR(VLOOKUP(A734&amp;"",'BEA Buyer Groups'!$A$4:$C$500,3,FALSE),"Not used")</f>
        <v>Commercial</v>
      </c>
      <c r="K734" t="str">
        <f t="shared" si="11"/>
        <v>Direct</v>
      </c>
    </row>
    <row r="735" spans="1:11" x14ac:dyDescent="0.25">
      <c r="A735" s="130" t="s">
        <v>1404</v>
      </c>
      <c r="B735" t="s">
        <v>1405</v>
      </c>
      <c r="C735" s="130" t="s">
        <v>802</v>
      </c>
      <c r="D735" t="s">
        <v>803</v>
      </c>
      <c r="E735">
        <v>0</v>
      </c>
      <c r="F735">
        <v>0</v>
      </c>
      <c r="G735">
        <v>0</v>
      </c>
      <c r="H735">
        <v>0</v>
      </c>
      <c r="I735">
        <v>0</v>
      </c>
      <c r="J735" t="str">
        <f>IFERROR(VLOOKUP(A735&amp;"",'BEA Buyer Groups'!$A$4:$C$500,3,FALSE),"Not used")</f>
        <v>Commercial</v>
      </c>
      <c r="K735" t="str">
        <f t="shared" si="11"/>
        <v>Direct</v>
      </c>
    </row>
    <row r="736" spans="1:11" x14ac:dyDescent="0.25">
      <c r="A736" s="130" t="s">
        <v>1404</v>
      </c>
      <c r="B736" t="s">
        <v>1405</v>
      </c>
      <c r="C736" s="130" t="s">
        <v>816</v>
      </c>
      <c r="D736" t="s">
        <v>817</v>
      </c>
      <c r="E736">
        <v>59</v>
      </c>
      <c r="F736">
        <v>7</v>
      </c>
      <c r="G736">
        <v>19</v>
      </c>
      <c r="H736">
        <v>0</v>
      </c>
      <c r="I736">
        <v>85</v>
      </c>
      <c r="J736" t="str">
        <f>IFERROR(VLOOKUP(A736&amp;"",'BEA Buyer Groups'!$A$4:$C$500,3,FALSE),"Not used")</f>
        <v>Commercial</v>
      </c>
      <c r="K736" t="str">
        <f t="shared" si="11"/>
        <v>Direct</v>
      </c>
    </row>
    <row r="737" spans="1:11" x14ac:dyDescent="0.25">
      <c r="A737" s="130" t="s">
        <v>1406</v>
      </c>
      <c r="B737" t="s">
        <v>1407</v>
      </c>
      <c r="C737" s="130" t="s">
        <v>802</v>
      </c>
      <c r="D737" t="s">
        <v>803</v>
      </c>
      <c r="E737">
        <v>0</v>
      </c>
      <c r="F737">
        <v>0</v>
      </c>
      <c r="G737">
        <v>0</v>
      </c>
      <c r="H737">
        <v>0</v>
      </c>
      <c r="I737">
        <v>0</v>
      </c>
      <c r="J737" t="str">
        <f>IFERROR(VLOOKUP(A737&amp;"",'BEA Buyer Groups'!$A$4:$C$500,3,FALSE),"Not used")</f>
        <v>Commercial</v>
      </c>
      <c r="K737" t="str">
        <f t="shared" si="11"/>
        <v>Direct</v>
      </c>
    </row>
    <row r="738" spans="1:11" x14ac:dyDescent="0.25">
      <c r="A738" s="130" t="s">
        <v>1406</v>
      </c>
      <c r="B738" t="s">
        <v>1407</v>
      </c>
      <c r="C738" s="130" t="s">
        <v>822</v>
      </c>
      <c r="D738" t="s">
        <v>823</v>
      </c>
      <c r="E738">
        <v>44</v>
      </c>
      <c r="F738">
        <v>1</v>
      </c>
      <c r="G738">
        <v>0</v>
      </c>
      <c r="H738">
        <v>0</v>
      </c>
      <c r="I738">
        <v>45</v>
      </c>
      <c r="J738" t="str">
        <f>IFERROR(VLOOKUP(A738&amp;"",'BEA Buyer Groups'!$A$4:$C$500,3,FALSE),"Not used")</f>
        <v>Commercial</v>
      </c>
      <c r="K738" t="str">
        <f t="shared" si="11"/>
        <v>Direct</v>
      </c>
    </row>
    <row r="739" spans="1:11" x14ac:dyDescent="0.25">
      <c r="A739" s="130" t="s">
        <v>1406</v>
      </c>
      <c r="B739" t="s">
        <v>1407</v>
      </c>
      <c r="C739" s="130" t="s">
        <v>816</v>
      </c>
      <c r="D739" t="s">
        <v>817</v>
      </c>
      <c r="E739">
        <v>12</v>
      </c>
      <c r="F739">
        <v>2</v>
      </c>
      <c r="G739">
        <v>4</v>
      </c>
      <c r="H739">
        <v>0</v>
      </c>
      <c r="I739">
        <v>18</v>
      </c>
      <c r="J739" t="str">
        <f>IFERROR(VLOOKUP(A739&amp;"",'BEA Buyer Groups'!$A$4:$C$500,3,FALSE),"Not used")</f>
        <v>Commercial</v>
      </c>
      <c r="K739" t="str">
        <f t="shared" si="11"/>
        <v>Direct</v>
      </c>
    </row>
    <row r="740" spans="1:11" x14ac:dyDescent="0.25">
      <c r="A740" s="130" t="s">
        <v>1408</v>
      </c>
      <c r="B740" t="s">
        <v>1409</v>
      </c>
      <c r="C740" s="130" t="s">
        <v>802</v>
      </c>
      <c r="D740" t="s">
        <v>803</v>
      </c>
      <c r="E740">
        <v>0</v>
      </c>
      <c r="F740">
        <v>0</v>
      </c>
      <c r="G740">
        <v>0</v>
      </c>
      <c r="H740">
        <v>0</v>
      </c>
      <c r="I740">
        <v>0</v>
      </c>
      <c r="J740" t="str">
        <f>IFERROR(VLOOKUP(A740&amp;"",'BEA Buyer Groups'!$A$4:$C$500,3,FALSE),"Not used")</f>
        <v>Commercial</v>
      </c>
      <c r="K740" t="str">
        <f t="shared" si="11"/>
        <v>Direct</v>
      </c>
    </row>
    <row r="741" spans="1:11" x14ac:dyDescent="0.25">
      <c r="A741" s="130" t="s">
        <v>1408</v>
      </c>
      <c r="B741" t="s">
        <v>1409</v>
      </c>
      <c r="C741" s="130" t="s">
        <v>816</v>
      </c>
      <c r="D741" t="s">
        <v>817</v>
      </c>
      <c r="E741">
        <v>7</v>
      </c>
      <c r="F741">
        <v>1</v>
      </c>
      <c r="G741">
        <v>2</v>
      </c>
      <c r="H741">
        <v>0</v>
      </c>
      <c r="I741">
        <v>9</v>
      </c>
      <c r="J741" t="str">
        <f>IFERROR(VLOOKUP(A741&amp;"",'BEA Buyer Groups'!$A$4:$C$500,3,FALSE),"Not used")</f>
        <v>Commercial</v>
      </c>
      <c r="K741" t="str">
        <f t="shared" si="11"/>
        <v>Direct</v>
      </c>
    </row>
    <row r="742" spans="1:11" x14ac:dyDescent="0.25">
      <c r="A742" s="130" t="s">
        <v>1410</v>
      </c>
      <c r="B742" t="s">
        <v>1411</v>
      </c>
      <c r="C742" s="130" t="s">
        <v>820</v>
      </c>
      <c r="D742" t="s">
        <v>821</v>
      </c>
      <c r="E742">
        <v>479</v>
      </c>
      <c r="F742">
        <v>14</v>
      </c>
      <c r="G742">
        <v>133</v>
      </c>
      <c r="H742">
        <v>0</v>
      </c>
      <c r="I742">
        <v>627</v>
      </c>
      <c r="J742" t="str">
        <f>IFERROR(VLOOKUP(A742&amp;"",'BEA Buyer Groups'!$A$4:$C$500,3,FALSE),"Not used")</f>
        <v>Commercial</v>
      </c>
      <c r="K742" t="str">
        <f t="shared" si="11"/>
        <v>Direct</v>
      </c>
    </row>
    <row r="743" spans="1:11" x14ac:dyDescent="0.25">
      <c r="A743" s="130" t="s">
        <v>1412</v>
      </c>
      <c r="B743" t="s">
        <v>1413</v>
      </c>
      <c r="C743" s="130" t="s">
        <v>810</v>
      </c>
      <c r="D743" t="s">
        <v>811</v>
      </c>
      <c r="E743">
        <v>1</v>
      </c>
      <c r="F743">
        <v>0</v>
      </c>
      <c r="G743">
        <v>0</v>
      </c>
      <c r="H743">
        <v>0</v>
      </c>
      <c r="I743">
        <v>1</v>
      </c>
      <c r="J743" t="str">
        <f>IFERROR(VLOOKUP(A743&amp;"",'BEA Buyer Groups'!$A$4:$C$500,3,FALSE),"Not used")</f>
        <v>Commercial</v>
      </c>
      <c r="K743" t="str">
        <f t="shared" si="11"/>
        <v>Direct</v>
      </c>
    </row>
    <row r="744" spans="1:11" x14ac:dyDescent="0.25">
      <c r="A744" s="130" t="s">
        <v>1414</v>
      </c>
      <c r="B744" t="s">
        <v>1415</v>
      </c>
      <c r="C744" s="130" t="s">
        <v>802</v>
      </c>
      <c r="D744" t="s">
        <v>803</v>
      </c>
      <c r="E744">
        <v>0</v>
      </c>
      <c r="F744">
        <v>0</v>
      </c>
      <c r="G744">
        <v>0</v>
      </c>
      <c r="H744">
        <v>0</v>
      </c>
      <c r="I744">
        <v>0</v>
      </c>
      <c r="J744" t="str">
        <f>IFERROR(VLOOKUP(A744&amp;"",'BEA Buyer Groups'!$A$4:$C$500,3,FALSE),"Not used")</f>
        <v>Commercial</v>
      </c>
      <c r="K744" t="str">
        <f t="shared" si="11"/>
        <v>Direct</v>
      </c>
    </row>
    <row r="745" spans="1:11" x14ac:dyDescent="0.25">
      <c r="A745" s="130" t="s">
        <v>1414</v>
      </c>
      <c r="B745" t="s">
        <v>1415</v>
      </c>
      <c r="C745" s="130" t="s">
        <v>822</v>
      </c>
      <c r="D745" t="s">
        <v>823</v>
      </c>
      <c r="E745">
        <v>6</v>
      </c>
      <c r="F745">
        <v>0</v>
      </c>
      <c r="G745">
        <v>0</v>
      </c>
      <c r="H745">
        <v>0</v>
      </c>
      <c r="I745">
        <v>6</v>
      </c>
      <c r="J745" t="str">
        <f>IFERROR(VLOOKUP(A745&amp;"",'BEA Buyer Groups'!$A$4:$C$500,3,FALSE),"Not used")</f>
        <v>Commercial</v>
      </c>
      <c r="K745" t="str">
        <f t="shared" si="11"/>
        <v>Direct</v>
      </c>
    </row>
    <row r="746" spans="1:11" x14ac:dyDescent="0.25">
      <c r="A746" s="130" t="s">
        <v>1414</v>
      </c>
      <c r="B746" t="s">
        <v>1415</v>
      </c>
      <c r="C746" s="130" t="s">
        <v>860</v>
      </c>
      <c r="D746" t="s">
        <v>861</v>
      </c>
      <c r="E746">
        <v>6</v>
      </c>
      <c r="F746">
        <v>0</v>
      </c>
      <c r="G746">
        <v>2</v>
      </c>
      <c r="H746">
        <v>0</v>
      </c>
      <c r="I746">
        <v>8</v>
      </c>
      <c r="J746" t="str">
        <f>IFERROR(VLOOKUP(A746&amp;"",'BEA Buyer Groups'!$A$4:$C$500,3,FALSE),"Not used")</f>
        <v>Commercial</v>
      </c>
      <c r="K746" t="str">
        <f t="shared" si="11"/>
        <v>Direct</v>
      </c>
    </row>
    <row r="747" spans="1:11" x14ac:dyDescent="0.25">
      <c r="A747" s="130" t="s">
        <v>1414</v>
      </c>
      <c r="B747" t="s">
        <v>1415</v>
      </c>
      <c r="C747" s="130" t="s">
        <v>810</v>
      </c>
      <c r="D747" t="s">
        <v>811</v>
      </c>
      <c r="E747">
        <v>1</v>
      </c>
      <c r="F747">
        <v>0</v>
      </c>
      <c r="G747">
        <v>0</v>
      </c>
      <c r="H747">
        <v>0</v>
      </c>
      <c r="I747">
        <v>1</v>
      </c>
      <c r="J747" t="str">
        <f>IFERROR(VLOOKUP(A747&amp;"",'BEA Buyer Groups'!$A$4:$C$500,3,FALSE),"Not used")</f>
        <v>Commercial</v>
      </c>
      <c r="K747" t="str">
        <f t="shared" si="11"/>
        <v>Direct</v>
      </c>
    </row>
    <row r="748" spans="1:11" x14ac:dyDescent="0.25">
      <c r="A748" s="130" t="s">
        <v>1414</v>
      </c>
      <c r="B748" t="s">
        <v>1415</v>
      </c>
      <c r="C748" s="130" t="s">
        <v>816</v>
      </c>
      <c r="D748" t="s">
        <v>817</v>
      </c>
      <c r="E748">
        <v>58</v>
      </c>
      <c r="F748">
        <v>7</v>
      </c>
      <c r="G748">
        <v>18</v>
      </c>
      <c r="H748">
        <v>0</v>
      </c>
      <c r="I748">
        <v>84</v>
      </c>
      <c r="J748" t="str">
        <f>IFERROR(VLOOKUP(A748&amp;"",'BEA Buyer Groups'!$A$4:$C$500,3,FALSE),"Not used")</f>
        <v>Commercial</v>
      </c>
      <c r="K748" t="str">
        <f t="shared" si="11"/>
        <v>Direct</v>
      </c>
    </row>
    <row r="749" spans="1:11" x14ac:dyDescent="0.25">
      <c r="A749" s="130" t="s">
        <v>1416</v>
      </c>
      <c r="B749" t="s">
        <v>1417</v>
      </c>
      <c r="C749" s="130" t="s">
        <v>802</v>
      </c>
      <c r="D749" t="s">
        <v>803</v>
      </c>
      <c r="E749">
        <v>0</v>
      </c>
      <c r="F749">
        <v>0</v>
      </c>
      <c r="G749">
        <v>0</v>
      </c>
      <c r="H749">
        <v>0</v>
      </c>
      <c r="I749">
        <v>0</v>
      </c>
      <c r="J749" t="str">
        <f>IFERROR(VLOOKUP(A749&amp;"",'BEA Buyer Groups'!$A$4:$C$500,3,FALSE),"Not used")</f>
        <v>Residential</v>
      </c>
      <c r="K749" t="str">
        <f t="shared" si="11"/>
        <v>Direct</v>
      </c>
    </row>
    <row r="750" spans="1:11" x14ac:dyDescent="0.25">
      <c r="A750" s="130" t="s">
        <v>1416</v>
      </c>
      <c r="B750" t="s">
        <v>1417</v>
      </c>
      <c r="C750" s="130" t="s">
        <v>822</v>
      </c>
      <c r="D750" t="s">
        <v>823</v>
      </c>
      <c r="E750">
        <v>4</v>
      </c>
      <c r="F750">
        <v>0</v>
      </c>
      <c r="G750">
        <v>1</v>
      </c>
      <c r="H750">
        <v>0</v>
      </c>
      <c r="I750">
        <v>6</v>
      </c>
      <c r="J750" t="str">
        <f>IFERROR(VLOOKUP(A750&amp;"",'BEA Buyer Groups'!$A$4:$C$500,3,FALSE),"Not used")</f>
        <v>Residential</v>
      </c>
      <c r="K750" t="str">
        <f t="shared" si="11"/>
        <v>Direct</v>
      </c>
    </row>
    <row r="751" spans="1:11" x14ac:dyDescent="0.25">
      <c r="A751" s="130" t="s">
        <v>1416</v>
      </c>
      <c r="B751" t="s">
        <v>1417</v>
      </c>
      <c r="C751" s="130" t="s">
        <v>816</v>
      </c>
      <c r="D751" t="s">
        <v>817</v>
      </c>
      <c r="E751">
        <v>1</v>
      </c>
      <c r="F751">
        <v>0</v>
      </c>
      <c r="G751">
        <v>0</v>
      </c>
      <c r="H751">
        <v>0</v>
      </c>
      <c r="I751">
        <v>1</v>
      </c>
      <c r="J751" t="str">
        <f>IFERROR(VLOOKUP(A751&amp;"",'BEA Buyer Groups'!$A$4:$C$500,3,FALSE),"Not used")</f>
        <v>Residential</v>
      </c>
      <c r="K751" t="str">
        <f t="shared" si="11"/>
        <v>Direct</v>
      </c>
    </row>
    <row r="752" spans="1:11" x14ac:dyDescent="0.25">
      <c r="A752" s="130" t="s">
        <v>1418</v>
      </c>
      <c r="B752" t="s">
        <v>1419</v>
      </c>
      <c r="C752" s="130" t="s">
        <v>802</v>
      </c>
      <c r="D752" t="s">
        <v>803</v>
      </c>
      <c r="E752">
        <v>0</v>
      </c>
      <c r="F752">
        <v>0</v>
      </c>
      <c r="G752">
        <v>0</v>
      </c>
      <c r="H752">
        <v>0</v>
      </c>
      <c r="I752">
        <v>0</v>
      </c>
      <c r="J752" t="str">
        <f>IFERROR(VLOOKUP(A752&amp;"",'BEA Buyer Groups'!$A$4:$C$500,3,FALSE),"Not used")</f>
        <v>Residential</v>
      </c>
      <c r="K752" t="str">
        <f t="shared" si="11"/>
        <v>Direct</v>
      </c>
    </row>
    <row r="753" spans="1:11" x14ac:dyDescent="0.25">
      <c r="A753" s="130" t="s">
        <v>1418</v>
      </c>
      <c r="B753" t="s">
        <v>1419</v>
      </c>
      <c r="C753" s="130" t="s">
        <v>822</v>
      </c>
      <c r="D753" t="s">
        <v>823</v>
      </c>
      <c r="E753">
        <v>0</v>
      </c>
      <c r="F753">
        <v>0</v>
      </c>
      <c r="G753">
        <v>0</v>
      </c>
      <c r="H753">
        <v>0</v>
      </c>
      <c r="I753">
        <v>0</v>
      </c>
      <c r="J753" t="str">
        <f>IFERROR(VLOOKUP(A753&amp;"",'BEA Buyer Groups'!$A$4:$C$500,3,FALSE),"Not used")</f>
        <v>Residential</v>
      </c>
      <c r="K753" t="str">
        <f t="shared" si="11"/>
        <v>Direct</v>
      </c>
    </row>
    <row r="754" spans="1:11" x14ac:dyDescent="0.25">
      <c r="A754" s="130" t="s">
        <v>1418</v>
      </c>
      <c r="B754" t="s">
        <v>1419</v>
      </c>
      <c r="C754" s="130" t="s">
        <v>816</v>
      </c>
      <c r="D754" t="s">
        <v>817</v>
      </c>
      <c r="E754">
        <v>0</v>
      </c>
      <c r="F754">
        <v>0</v>
      </c>
      <c r="G754">
        <v>0</v>
      </c>
      <c r="H754">
        <v>0</v>
      </c>
      <c r="I754">
        <v>0</v>
      </c>
      <c r="J754" t="str">
        <f>IFERROR(VLOOKUP(A754&amp;"",'BEA Buyer Groups'!$A$4:$C$500,3,FALSE),"Not used")</f>
        <v>Residential</v>
      </c>
      <c r="K754" t="str">
        <f t="shared" si="11"/>
        <v>Direct</v>
      </c>
    </row>
    <row r="755" spans="1:11" x14ac:dyDescent="0.25">
      <c r="A755" s="130" t="s">
        <v>1418</v>
      </c>
      <c r="B755" t="s">
        <v>1419</v>
      </c>
      <c r="C755" s="130" t="s">
        <v>848</v>
      </c>
      <c r="D755" t="s">
        <v>849</v>
      </c>
      <c r="E755">
        <v>1</v>
      </c>
      <c r="F755">
        <v>0</v>
      </c>
      <c r="G755">
        <v>0</v>
      </c>
      <c r="H755">
        <v>0</v>
      </c>
      <c r="I755">
        <v>1</v>
      </c>
      <c r="J755" t="str">
        <f>IFERROR(VLOOKUP(A755&amp;"",'BEA Buyer Groups'!$A$4:$C$500,3,FALSE),"Not used")</f>
        <v>Residential</v>
      </c>
      <c r="K755" t="str">
        <f t="shared" si="11"/>
        <v>Direct</v>
      </c>
    </row>
    <row r="756" spans="1:11" x14ac:dyDescent="0.25">
      <c r="A756" s="130" t="s">
        <v>1420</v>
      </c>
      <c r="B756" t="s">
        <v>1421</v>
      </c>
      <c r="C756" s="130" t="s">
        <v>820</v>
      </c>
      <c r="D756" t="s">
        <v>821</v>
      </c>
      <c r="E756">
        <v>46</v>
      </c>
      <c r="F756">
        <v>1</v>
      </c>
      <c r="G756">
        <v>23</v>
      </c>
      <c r="H756">
        <v>0</v>
      </c>
      <c r="I756">
        <v>70</v>
      </c>
      <c r="J756" t="str">
        <f>IFERROR(VLOOKUP(A756&amp;"",'BEA Buyer Groups'!$A$4:$C$500,3,FALSE),"Not used")</f>
        <v>Commercial</v>
      </c>
      <c r="K756" t="str">
        <f t="shared" si="11"/>
        <v>Direct</v>
      </c>
    </row>
    <row r="757" spans="1:11" x14ac:dyDescent="0.25">
      <c r="A757" s="130" t="s">
        <v>1420</v>
      </c>
      <c r="B757" t="s">
        <v>1421</v>
      </c>
      <c r="C757" s="130" t="s">
        <v>802</v>
      </c>
      <c r="D757" t="s">
        <v>803</v>
      </c>
      <c r="E757">
        <v>1</v>
      </c>
      <c r="F757">
        <v>0</v>
      </c>
      <c r="G757">
        <v>0</v>
      </c>
      <c r="H757">
        <v>0</v>
      </c>
      <c r="I757">
        <v>1</v>
      </c>
      <c r="J757" t="str">
        <f>IFERROR(VLOOKUP(A757&amp;"",'BEA Buyer Groups'!$A$4:$C$500,3,FALSE),"Not used")</f>
        <v>Commercial</v>
      </c>
      <c r="K757" t="str">
        <f t="shared" si="11"/>
        <v>Direct</v>
      </c>
    </row>
    <row r="758" spans="1:11" x14ac:dyDescent="0.25">
      <c r="A758" s="130" t="s">
        <v>1420</v>
      </c>
      <c r="B758" t="s">
        <v>1421</v>
      </c>
      <c r="C758" s="130" t="s">
        <v>822</v>
      </c>
      <c r="D758" t="s">
        <v>823</v>
      </c>
      <c r="E758">
        <v>61</v>
      </c>
      <c r="F758">
        <v>2</v>
      </c>
      <c r="G758">
        <v>0</v>
      </c>
      <c r="H758">
        <v>0</v>
      </c>
      <c r="I758">
        <v>63</v>
      </c>
      <c r="J758" t="str">
        <f>IFERROR(VLOOKUP(A758&amp;"",'BEA Buyer Groups'!$A$4:$C$500,3,FALSE),"Not used")</f>
        <v>Commercial</v>
      </c>
      <c r="K758" t="str">
        <f t="shared" si="11"/>
        <v>Direct</v>
      </c>
    </row>
    <row r="759" spans="1:11" x14ac:dyDescent="0.25">
      <c r="A759" s="130" t="s">
        <v>1420</v>
      </c>
      <c r="B759" t="s">
        <v>1421</v>
      </c>
      <c r="C759" s="130" t="s">
        <v>860</v>
      </c>
      <c r="D759" t="s">
        <v>861</v>
      </c>
      <c r="E759">
        <v>1</v>
      </c>
      <c r="F759">
        <v>0</v>
      </c>
      <c r="G759">
        <v>0</v>
      </c>
      <c r="H759">
        <v>0</v>
      </c>
      <c r="I759">
        <v>1</v>
      </c>
      <c r="J759" t="str">
        <f>IFERROR(VLOOKUP(A759&amp;"",'BEA Buyer Groups'!$A$4:$C$500,3,FALSE),"Not used")</f>
        <v>Commercial</v>
      </c>
      <c r="K759" t="str">
        <f t="shared" si="11"/>
        <v>Direct</v>
      </c>
    </row>
    <row r="760" spans="1:11" x14ac:dyDescent="0.25">
      <c r="A760" s="130" t="s">
        <v>1420</v>
      </c>
      <c r="B760" t="s">
        <v>1421</v>
      </c>
      <c r="C760" s="130" t="s">
        <v>810</v>
      </c>
      <c r="D760" t="s">
        <v>811</v>
      </c>
      <c r="E760">
        <v>5</v>
      </c>
      <c r="F760">
        <v>0</v>
      </c>
      <c r="G760">
        <v>2</v>
      </c>
      <c r="H760">
        <v>1</v>
      </c>
      <c r="I760">
        <v>8</v>
      </c>
      <c r="J760" t="str">
        <f>IFERROR(VLOOKUP(A760&amp;"",'BEA Buyer Groups'!$A$4:$C$500,3,FALSE),"Not used")</f>
        <v>Commercial</v>
      </c>
      <c r="K760" t="str">
        <f t="shared" si="11"/>
        <v>Direct</v>
      </c>
    </row>
    <row r="761" spans="1:11" x14ac:dyDescent="0.25">
      <c r="A761" s="130" t="s">
        <v>1420</v>
      </c>
      <c r="B761" t="s">
        <v>1421</v>
      </c>
      <c r="C761" s="130" t="s">
        <v>816</v>
      </c>
      <c r="D761" t="s">
        <v>817</v>
      </c>
      <c r="E761">
        <v>1450</v>
      </c>
      <c r="F761">
        <v>183</v>
      </c>
      <c r="G761">
        <v>455</v>
      </c>
      <c r="H761">
        <v>0</v>
      </c>
      <c r="I761">
        <v>2088</v>
      </c>
      <c r="J761" t="str">
        <f>IFERROR(VLOOKUP(A761&amp;"",'BEA Buyer Groups'!$A$4:$C$500,3,FALSE),"Not used")</f>
        <v>Commercial</v>
      </c>
      <c r="K761" t="str">
        <f t="shared" si="11"/>
        <v>Direct</v>
      </c>
    </row>
    <row r="762" spans="1:11" x14ac:dyDescent="0.25">
      <c r="A762" s="130" t="s">
        <v>1420</v>
      </c>
      <c r="B762" t="s">
        <v>1421</v>
      </c>
      <c r="C762" s="130" t="s">
        <v>846</v>
      </c>
      <c r="D762" t="s">
        <v>847</v>
      </c>
      <c r="E762">
        <v>8</v>
      </c>
      <c r="F762">
        <v>1</v>
      </c>
      <c r="G762">
        <v>3</v>
      </c>
      <c r="H762">
        <v>0</v>
      </c>
      <c r="I762">
        <v>12</v>
      </c>
      <c r="J762" t="str">
        <f>IFERROR(VLOOKUP(A762&amp;"",'BEA Buyer Groups'!$A$4:$C$500,3,FALSE),"Not used")</f>
        <v>Commercial</v>
      </c>
      <c r="K762" t="str">
        <f t="shared" si="11"/>
        <v>Direct</v>
      </c>
    </row>
    <row r="763" spans="1:11" x14ac:dyDescent="0.25">
      <c r="A763" s="130" t="s">
        <v>1422</v>
      </c>
      <c r="B763" t="s">
        <v>1423</v>
      </c>
      <c r="C763" s="130" t="s">
        <v>822</v>
      </c>
      <c r="D763" t="s">
        <v>823</v>
      </c>
      <c r="E763">
        <v>100</v>
      </c>
      <c r="F763">
        <v>3</v>
      </c>
      <c r="G763">
        <v>45</v>
      </c>
      <c r="H763">
        <v>0</v>
      </c>
      <c r="I763">
        <v>148</v>
      </c>
      <c r="J763" t="str">
        <f>IFERROR(VLOOKUP(A763&amp;"",'BEA Buyer Groups'!$A$4:$C$500,3,FALSE),"Not used")</f>
        <v>Commercial</v>
      </c>
      <c r="K763" t="str">
        <f t="shared" si="11"/>
        <v>Direct</v>
      </c>
    </row>
    <row r="764" spans="1:11" x14ac:dyDescent="0.25">
      <c r="A764" s="130" t="s">
        <v>1422</v>
      </c>
      <c r="B764" t="s">
        <v>1423</v>
      </c>
      <c r="C764" s="130" t="s">
        <v>860</v>
      </c>
      <c r="D764" t="s">
        <v>861</v>
      </c>
      <c r="E764">
        <v>0</v>
      </c>
      <c r="F764">
        <v>0</v>
      </c>
      <c r="G764">
        <v>0</v>
      </c>
      <c r="H764">
        <v>0</v>
      </c>
      <c r="I764">
        <v>1</v>
      </c>
      <c r="J764" t="str">
        <f>IFERROR(VLOOKUP(A764&amp;"",'BEA Buyer Groups'!$A$4:$C$500,3,FALSE),"Not used")</f>
        <v>Commercial</v>
      </c>
      <c r="K764" t="str">
        <f t="shared" si="11"/>
        <v>Direct</v>
      </c>
    </row>
    <row r="765" spans="1:11" x14ac:dyDescent="0.25">
      <c r="A765" s="130" t="s">
        <v>1422</v>
      </c>
      <c r="B765" t="s">
        <v>1423</v>
      </c>
      <c r="C765" s="130" t="s">
        <v>816</v>
      </c>
      <c r="D765" t="s">
        <v>817</v>
      </c>
      <c r="E765">
        <v>10</v>
      </c>
      <c r="F765">
        <v>1</v>
      </c>
      <c r="G765">
        <v>3</v>
      </c>
      <c r="H765">
        <v>0</v>
      </c>
      <c r="I765">
        <v>14</v>
      </c>
      <c r="J765" t="str">
        <f>IFERROR(VLOOKUP(A765&amp;"",'BEA Buyer Groups'!$A$4:$C$500,3,FALSE),"Not used")</f>
        <v>Commercial</v>
      </c>
      <c r="K765" t="str">
        <f t="shared" si="11"/>
        <v>Direct</v>
      </c>
    </row>
    <row r="766" spans="1:11" x14ac:dyDescent="0.25">
      <c r="A766" s="130" t="s">
        <v>1424</v>
      </c>
      <c r="B766" t="s">
        <v>1425</v>
      </c>
      <c r="C766" s="130" t="s">
        <v>820</v>
      </c>
      <c r="D766" t="s">
        <v>821</v>
      </c>
      <c r="E766">
        <v>0</v>
      </c>
      <c r="F766">
        <v>0</v>
      </c>
      <c r="G766">
        <v>0</v>
      </c>
      <c r="H766">
        <v>0</v>
      </c>
      <c r="I766">
        <v>0</v>
      </c>
      <c r="J766" t="str">
        <f>IFERROR(VLOOKUP(A766&amp;"",'BEA Buyer Groups'!$A$4:$C$500,3,FALSE),"Not used")</f>
        <v>Commercial</v>
      </c>
      <c r="K766" t="str">
        <f t="shared" si="11"/>
        <v>Direct</v>
      </c>
    </row>
    <row r="767" spans="1:11" x14ac:dyDescent="0.25">
      <c r="A767" s="130" t="s">
        <v>1426</v>
      </c>
      <c r="B767" t="s">
        <v>1427</v>
      </c>
      <c r="C767" s="130" t="s">
        <v>822</v>
      </c>
      <c r="D767" t="s">
        <v>823</v>
      </c>
      <c r="E767">
        <v>28</v>
      </c>
      <c r="F767">
        <v>1</v>
      </c>
      <c r="G767">
        <v>0</v>
      </c>
      <c r="H767">
        <v>0</v>
      </c>
      <c r="I767">
        <v>29</v>
      </c>
      <c r="J767" t="str">
        <f>IFERROR(VLOOKUP(A767&amp;"",'BEA Buyer Groups'!$A$4:$C$500,3,FALSE),"Not used")</f>
        <v>Commercial</v>
      </c>
      <c r="K767" t="str">
        <f t="shared" si="11"/>
        <v>Direct</v>
      </c>
    </row>
    <row r="768" spans="1:11" x14ac:dyDescent="0.25">
      <c r="A768" s="130" t="s">
        <v>1426</v>
      </c>
      <c r="B768" t="s">
        <v>1427</v>
      </c>
      <c r="C768" s="130" t="s">
        <v>860</v>
      </c>
      <c r="D768" t="s">
        <v>861</v>
      </c>
      <c r="E768">
        <v>1</v>
      </c>
      <c r="F768">
        <v>0</v>
      </c>
      <c r="G768">
        <v>0</v>
      </c>
      <c r="H768">
        <v>0</v>
      </c>
      <c r="I768">
        <v>2</v>
      </c>
      <c r="J768" t="str">
        <f>IFERROR(VLOOKUP(A768&amp;"",'BEA Buyer Groups'!$A$4:$C$500,3,FALSE),"Not used")</f>
        <v>Commercial</v>
      </c>
      <c r="K768" t="str">
        <f t="shared" si="11"/>
        <v>Direct</v>
      </c>
    </row>
    <row r="769" spans="1:11" x14ac:dyDescent="0.25">
      <c r="A769" s="130" t="s">
        <v>1426</v>
      </c>
      <c r="B769" t="s">
        <v>1427</v>
      </c>
      <c r="C769" s="130" t="s">
        <v>810</v>
      </c>
      <c r="D769" t="s">
        <v>811</v>
      </c>
      <c r="E769">
        <v>0</v>
      </c>
      <c r="F769">
        <v>0</v>
      </c>
      <c r="G769">
        <v>0</v>
      </c>
      <c r="H769">
        <v>0</v>
      </c>
      <c r="I769">
        <v>1</v>
      </c>
      <c r="J769" t="str">
        <f>IFERROR(VLOOKUP(A769&amp;"",'BEA Buyer Groups'!$A$4:$C$500,3,FALSE),"Not used")</f>
        <v>Commercial</v>
      </c>
      <c r="K769" t="str">
        <f t="shared" si="11"/>
        <v>Direct</v>
      </c>
    </row>
    <row r="770" spans="1:11" x14ac:dyDescent="0.25">
      <c r="A770" s="130" t="s">
        <v>1428</v>
      </c>
      <c r="B770" t="s">
        <v>1429</v>
      </c>
      <c r="C770" s="130" t="s">
        <v>820</v>
      </c>
      <c r="D770" t="s">
        <v>821</v>
      </c>
      <c r="E770">
        <v>62</v>
      </c>
      <c r="F770">
        <v>2</v>
      </c>
      <c r="G770">
        <v>17</v>
      </c>
      <c r="H770">
        <v>0</v>
      </c>
      <c r="I770">
        <v>81</v>
      </c>
      <c r="J770" t="str">
        <f>IFERROR(VLOOKUP(A770&amp;"",'BEA Buyer Groups'!$A$4:$C$500,3,FALSE),"Not used")</f>
        <v>Commercial</v>
      </c>
      <c r="K770" t="str">
        <f t="shared" si="11"/>
        <v>Direct</v>
      </c>
    </row>
    <row r="771" spans="1:11" x14ac:dyDescent="0.25">
      <c r="A771" s="130" t="s">
        <v>1428</v>
      </c>
      <c r="B771" t="s">
        <v>1429</v>
      </c>
      <c r="C771" s="130" t="s">
        <v>822</v>
      </c>
      <c r="D771" t="s">
        <v>823</v>
      </c>
      <c r="E771">
        <v>29</v>
      </c>
      <c r="F771">
        <v>1</v>
      </c>
      <c r="G771">
        <v>7</v>
      </c>
      <c r="H771">
        <v>0</v>
      </c>
      <c r="I771">
        <v>37</v>
      </c>
      <c r="J771" t="str">
        <f>IFERROR(VLOOKUP(A771&amp;"",'BEA Buyer Groups'!$A$4:$C$500,3,FALSE),"Not used")</f>
        <v>Commercial</v>
      </c>
      <c r="K771" t="str">
        <f t="shared" si="11"/>
        <v>Direct</v>
      </c>
    </row>
    <row r="772" spans="1:11" x14ac:dyDescent="0.25">
      <c r="A772" s="130" t="s">
        <v>1428</v>
      </c>
      <c r="B772" t="s">
        <v>1429</v>
      </c>
      <c r="C772" s="130" t="s">
        <v>810</v>
      </c>
      <c r="D772" t="s">
        <v>811</v>
      </c>
      <c r="E772">
        <v>0</v>
      </c>
      <c r="F772">
        <v>0</v>
      </c>
      <c r="G772">
        <v>0</v>
      </c>
      <c r="H772">
        <v>0</v>
      </c>
      <c r="I772">
        <v>0</v>
      </c>
      <c r="J772" t="str">
        <f>IFERROR(VLOOKUP(A772&amp;"",'BEA Buyer Groups'!$A$4:$C$500,3,FALSE),"Not used")</f>
        <v>Commercial</v>
      </c>
      <c r="K772" t="str">
        <f t="shared" si="11"/>
        <v>Direct</v>
      </c>
    </row>
    <row r="773" spans="1:11" x14ac:dyDescent="0.25">
      <c r="A773" s="130" t="s">
        <v>1428</v>
      </c>
      <c r="B773" t="s">
        <v>1429</v>
      </c>
      <c r="C773" s="130" t="s">
        <v>816</v>
      </c>
      <c r="D773" t="s">
        <v>817</v>
      </c>
      <c r="E773">
        <v>43</v>
      </c>
      <c r="F773">
        <v>5</v>
      </c>
      <c r="G773">
        <v>13</v>
      </c>
      <c r="H773">
        <v>0</v>
      </c>
      <c r="I773">
        <v>62</v>
      </c>
      <c r="J773" t="str">
        <f>IFERROR(VLOOKUP(A773&amp;"",'BEA Buyer Groups'!$A$4:$C$500,3,FALSE),"Not used")</f>
        <v>Commercial</v>
      </c>
      <c r="K773" t="str">
        <f t="shared" si="11"/>
        <v>Direct</v>
      </c>
    </row>
    <row r="774" spans="1:11" x14ac:dyDescent="0.25">
      <c r="A774" s="130" t="s">
        <v>1430</v>
      </c>
      <c r="B774" t="s">
        <v>1431</v>
      </c>
      <c r="C774" s="130" t="s">
        <v>802</v>
      </c>
      <c r="D774" t="s">
        <v>803</v>
      </c>
      <c r="E774">
        <v>103</v>
      </c>
      <c r="F774">
        <v>3</v>
      </c>
      <c r="G774">
        <v>46</v>
      </c>
      <c r="H774">
        <v>0</v>
      </c>
      <c r="I774">
        <v>152</v>
      </c>
      <c r="J774" t="str">
        <f>IFERROR(VLOOKUP(A774&amp;"",'BEA Buyer Groups'!$A$4:$C$500,3,FALSE),"Not used")</f>
        <v>Commercial</v>
      </c>
      <c r="K774" t="str">
        <f t="shared" si="11"/>
        <v>Direct</v>
      </c>
    </row>
    <row r="775" spans="1:11" x14ac:dyDescent="0.25">
      <c r="A775" s="130" t="s">
        <v>1430</v>
      </c>
      <c r="B775" t="s">
        <v>1431</v>
      </c>
      <c r="C775" s="130" t="s">
        <v>822</v>
      </c>
      <c r="D775" t="s">
        <v>823</v>
      </c>
      <c r="E775">
        <v>27</v>
      </c>
      <c r="F775">
        <v>1</v>
      </c>
      <c r="G775">
        <v>6</v>
      </c>
      <c r="H775">
        <v>0</v>
      </c>
      <c r="I775">
        <v>34</v>
      </c>
      <c r="J775" t="str">
        <f>IFERROR(VLOOKUP(A775&amp;"",'BEA Buyer Groups'!$A$4:$C$500,3,FALSE),"Not used")</f>
        <v>Commercial</v>
      </c>
      <c r="K775" t="str">
        <f t="shared" ref="K775:K838" si="12">IF(LEFT(A775,2)="23","Contractor","Direct")</f>
        <v>Direct</v>
      </c>
    </row>
    <row r="776" spans="1:11" x14ac:dyDescent="0.25">
      <c r="A776" s="130" t="s">
        <v>1430</v>
      </c>
      <c r="B776" t="s">
        <v>1431</v>
      </c>
      <c r="C776" s="130" t="s">
        <v>860</v>
      </c>
      <c r="D776" t="s">
        <v>861</v>
      </c>
      <c r="E776">
        <v>1</v>
      </c>
      <c r="F776">
        <v>0</v>
      </c>
      <c r="G776">
        <v>0</v>
      </c>
      <c r="H776">
        <v>0</v>
      </c>
      <c r="I776">
        <v>1</v>
      </c>
      <c r="J776" t="str">
        <f>IFERROR(VLOOKUP(A776&amp;"",'BEA Buyer Groups'!$A$4:$C$500,3,FALSE),"Not used")</f>
        <v>Commercial</v>
      </c>
      <c r="K776" t="str">
        <f t="shared" si="12"/>
        <v>Direct</v>
      </c>
    </row>
    <row r="777" spans="1:11" x14ac:dyDescent="0.25">
      <c r="A777" s="130" t="s">
        <v>1430</v>
      </c>
      <c r="B777" t="s">
        <v>1431</v>
      </c>
      <c r="C777" s="130" t="s">
        <v>810</v>
      </c>
      <c r="D777" t="s">
        <v>811</v>
      </c>
      <c r="E777">
        <v>2</v>
      </c>
      <c r="F777">
        <v>0</v>
      </c>
      <c r="G777">
        <v>1</v>
      </c>
      <c r="H777">
        <v>0</v>
      </c>
      <c r="I777">
        <v>3</v>
      </c>
      <c r="J777" t="str">
        <f>IFERROR(VLOOKUP(A777&amp;"",'BEA Buyer Groups'!$A$4:$C$500,3,FALSE),"Not used")</f>
        <v>Commercial</v>
      </c>
      <c r="K777" t="str">
        <f t="shared" si="12"/>
        <v>Direct</v>
      </c>
    </row>
    <row r="778" spans="1:11" x14ac:dyDescent="0.25">
      <c r="A778" s="130" t="s">
        <v>1430</v>
      </c>
      <c r="B778" t="s">
        <v>1431</v>
      </c>
      <c r="C778" s="130" t="s">
        <v>816</v>
      </c>
      <c r="D778" t="s">
        <v>817</v>
      </c>
      <c r="E778">
        <v>240</v>
      </c>
      <c r="F778">
        <v>30</v>
      </c>
      <c r="G778">
        <v>75</v>
      </c>
      <c r="H778">
        <v>0</v>
      </c>
      <c r="I778">
        <v>346</v>
      </c>
      <c r="J778" t="str">
        <f>IFERROR(VLOOKUP(A778&amp;"",'BEA Buyer Groups'!$A$4:$C$500,3,FALSE),"Not used")</f>
        <v>Commercial</v>
      </c>
      <c r="K778" t="str">
        <f t="shared" si="12"/>
        <v>Direct</v>
      </c>
    </row>
    <row r="779" spans="1:11" x14ac:dyDescent="0.25">
      <c r="A779" s="130" t="s">
        <v>1432</v>
      </c>
      <c r="B779" t="s">
        <v>1433</v>
      </c>
      <c r="C779" s="130" t="s">
        <v>822</v>
      </c>
      <c r="D779" t="s">
        <v>823</v>
      </c>
      <c r="E779">
        <v>6</v>
      </c>
      <c r="F779">
        <v>0</v>
      </c>
      <c r="G779">
        <v>2</v>
      </c>
      <c r="H779">
        <v>0</v>
      </c>
      <c r="I779">
        <v>9</v>
      </c>
      <c r="J779" t="str">
        <f>IFERROR(VLOOKUP(A779&amp;"",'BEA Buyer Groups'!$A$4:$C$500,3,FALSE),"Not used")</f>
        <v>Commercial</v>
      </c>
      <c r="K779" t="str">
        <f t="shared" si="12"/>
        <v>Direct</v>
      </c>
    </row>
    <row r="780" spans="1:11" x14ac:dyDescent="0.25">
      <c r="A780" s="130" t="s">
        <v>1432</v>
      </c>
      <c r="B780" t="s">
        <v>1433</v>
      </c>
      <c r="C780" s="130" t="s">
        <v>816</v>
      </c>
      <c r="D780" t="s">
        <v>817</v>
      </c>
      <c r="E780">
        <v>105</v>
      </c>
      <c r="F780">
        <v>13</v>
      </c>
      <c r="G780">
        <v>33</v>
      </c>
      <c r="H780">
        <v>0</v>
      </c>
      <c r="I780">
        <v>151</v>
      </c>
      <c r="J780" t="str">
        <f>IFERROR(VLOOKUP(A780&amp;"",'BEA Buyer Groups'!$A$4:$C$500,3,FALSE),"Not used")</f>
        <v>Commercial</v>
      </c>
      <c r="K780" t="str">
        <f t="shared" si="12"/>
        <v>Direct</v>
      </c>
    </row>
    <row r="781" spans="1:11" x14ac:dyDescent="0.25">
      <c r="A781" s="130" t="s">
        <v>1434</v>
      </c>
      <c r="B781" t="s">
        <v>1435</v>
      </c>
      <c r="C781" s="130" t="s">
        <v>822</v>
      </c>
      <c r="D781" t="s">
        <v>823</v>
      </c>
      <c r="E781">
        <v>3</v>
      </c>
      <c r="F781">
        <v>0</v>
      </c>
      <c r="G781">
        <v>0</v>
      </c>
      <c r="H781">
        <v>0</v>
      </c>
      <c r="I781">
        <v>3</v>
      </c>
      <c r="J781" t="str">
        <f>IFERROR(VLOOKUP(A781&amp;"",'BEA Buyer Groups'!$A$4:$C$500,3,FALSE),"Not used")</f>
        <v>Commercial</v>
      </c>
      <c r="K781" t="str">
        <f t="shared" si="12"/>
        <v>Direct</v>
      </c>
    </row>
    <row r="782" spans="1:11" x14ac:dyDescent="0.25">
      <c r="A782" s="130" t="s">
        <v>1434</v>
      </c>
      <c r="B782" t="s">
        <v>1435</v>
      </c>
      <c r="C782" s="130" t="s">
        <v>806</v>
      </c>
      <c r="D782" t="s">
        <v>807</v>
      </c>
      <c r="E782">
        <v>2</v>
      </c>
      <c r="F782">
        <v>0</v>
      </c>
      <c r="G782">
        <v>0</v>
      </c>
      <c r="H782">
        <v>0</v>
      </c>
      <c r="I782">
        <v>2</v>
      </c>
      <c r="J782" t="str">
        <f>IFERROR(VLOOKUP(A782&amp;"",'BEA Buyer Groups'!$A$4:$C$500,3,FALSE),"Not used")</f>
        <v>Commercial</v>
      </c>
      <c r="K782" t="str">
        <f t="shared" si="12"/>
        <v>Direct</v>
      </c>
    </row>
    <row r="783" spans="1:11" x14ac:dyDescent="0.25">
      <c r="A783" s="130" t="s">
        <v>1434</v>
      </c>
      <c r="B783" t="s">
        <v>1435</v>
      </c>
      <c r="C783" s="130" t="s">
        <v>860</v>
      </c>
      <c r="D783" t="s">
        <v>861</v>
      </c>
      <c r="E783">
        <v>1</v>
      </c>
      <c r="F783">
        <v>0</v>
      </c>
      <c r="G783">
        <v>0</v>
      </c>
      <c r="H783">
        <v>0</v>
      </c>
      <c r="I783">
        <v>1</v>
      </c>
      <c r="J783" t="str">
        <f>IFERROR(VLOOKUP(A783&amp;"",'BEA Buyer Groups'!$A$4:$C$500,3,FALSE),"Not used")</f>
        <v>Commercial</v>
      </c>
      <c r="K783" t="str">
        <f t="shared" si="12"/>
        <v>Direct</v>
      </c>
    </row>
    <row r="784" spans="1:11" x14ac:dyDescent="0.25">
      <c r="A784" s="130" t="s">
        <v>1436</v>
      </c>
      <c r="B784" t="s">
        <v>1437</v>
      </c>
      <c r="C784" s="130" t="s">
        <v>822</v>
      </c>
      <c r="D784" t="s">
        <v>823</v>
      </c>
      <c r="E784">
        <v>372</v>
      </c>
      <c r="F784">
        <v>11</v>
      </c>
      <c r="G784">
        <v>168</v>
      </c>
      <c r="H784">
        <v>0</v>
      </c>
      <c r="I784">
        <v>551</v>
      </c>
      <c r="J784" t="str">
        <f>IFERROR(VLOOKUP(A784&amp;"",'BEA Buyer Groups'!$A$4:$C$500,3,FALSE),"Not used")</f>
        <v>Commercial</v>
      </c>
      <c r="K784" t="str">
        <f t="shared" si="12"/>
        <v>Direct</v>
      </c>
    </row>
    <row r="785" spans="1:11" x14ac:dyDescent="0.25">
      <c r="A785" s="130" t="s">
        <v>1436</v>
      </c>
      <c r="B785" t="s">
        <v>1437</v>
      </c>
      <c r="C785" s="130" t="s">
        <v>806</v>
      </c>
      <c r="D785" t="s">
        <v>807</v>
      </c>
      <c r="E785">
        <v>2</v>
      </c>
      <c r="F785">
        <v>0</v>
      </c>
      <c r="G785">
        <v>0</v>
      </c>
      <c r="H785">
        <v>0</v>
      </c>
      <c r="I785">
        <v>2</v>
      </c>
      <c r="J785" t="str">
        <f>IFERROR(VLOOKUP(A785&amp;"",'BEA Buyer Groups'!$A$4:$C$500,3,FALSE),"Not used")</f>
        <v>Commercial</v>
      </c>
      <c r="K785" t="str">
        <f t="shared" si="12"/>
        <v>Direct</v>
      </c>
    </row>
    <row r="786" spans="1:11" x14ac:dyDescent="0.25">
      <c r="A786" s="130" t="s">
        <v>1436</v>
      </c>
      <c r="B786" t="s">
        <v>1437</v>
      </c>
      <c r="C786" s="130" t="s">
        <v>816</v>
      </c>
      <c r="D786" t="s">
        <v>817</v>
      </c>
      <c r="E786">
        <v>161</v>
      </c>
      <c r="F786">
        <v>20</v>
      </c>
      <c r="G786">
        <v>50</v>
      </c>
      <c r="H786">
        <v>0</v>
      </c>
      <c r="I786">
        <v>231</v>
      </c>
      <c r="J786" t="str">
        <f>IFERROR(VLOOKUP(A786&amp;"",'BEA Buyer Groups'!$A$4:$C$500,3,FALSE),"Not used")</f>
        <v>Commercial</v>
      </c>
      <c r="K786" t="str">
        <f t="shared" si="12"/>
        <v>Direct</v>
      </c>
    </row>
    <row r="787" spans="1:11" x14ac:dyDescent="0.25">
      <c r="A787" s="130" t="s">
        <v>1438</v>
      </c>
      <c r="B787" t="s">
        <v>1439</v>
      </c>
      <c r="C787" s="130" t="s">
        <v>822</v>
      </c>
      <c r="D787" t="s">
        <v>823</v>
      </c>
      <c r="E787">
        <v>8</v>
      </c>
      <c r="F787">
        <v>0</v>
      </c>
      <c r="G787">
        <v>0</v>
      </c>
      <c r="H787">
        <v>0</v>
      </c>
      <c r="I787">
        <v>8</v>
      </c>
      <c r="J787" t="str">
        <f>IFERROR(VLOOKUP(A787&amp;"",'BEA Buyer Groups'!$A$4:$C$500,3,FALSE),"Not used")</f>
        <v>Commercial</v>
      </c>
      <c r="K787" t="str">
        <f t="shared" si="12"/>
        <v>Direct</v>
      </c>
    </row>
    <row r="788" spans="1:11" x14ac:dyDescent="0.25">
      <c r="A788" s="130" t="s">
        <v>1438</v>
      </c>
      <c r="B788" t="s">
        <v>1439</v>
      </c>
      <c r="C788" s="130" t="s">
        <v>806</v>
      </c>
      <c r="D788" t="s">
        <v>807</v>
      </c>
      <c r="E788">
        <v>2</v>
      </c>
      <c r="F788">
        <v>0</v>
      </c>
      <c r="G788">
        <v>0</v>
      </c>
      <c r="H788">
        <v>0</v>
      </c>
      <c r="I788">
        <v>2</v>
      </c>
      <c r="J788" t="str">
        <f>IFERROR(VLOOKUP(A788&amp;"",'BEA Buyer Groups'!$A$4:$C$500,3,FALSE),"Not used")</f>
        <v>Commercial</v>
      </c>
      <c r="K788" t="str">
        <f t="shared" si="12"/>
        <v>Direct</v>
      </c>
    </row>
    <row r="789" spans="1:11" x14ac:dyDescent="0.25">
      <c r="A789" s="130" t="s">
        <v>1438</v>
      </c>
      <c r="B789" t="s">
        <v>1439</v>
      </c>
      <c r="C789" s="130" t="s">
        <v>860</v>
      </c>
      <c r="D789" t="s">
        <v>861</v>
      </c>
      <c r="E789">
        <v>2</v>
      </c>
      <c r="F789">
        <v>0</v>
      </c>
      <c r="G789">
        <v>1</v>
      </c>
      <c r="H789">
        <v>0</v>
      </c>
      <c r="I789">
        <v>2</v>
      </c>
      <c r="J789" t="str">
        <f>IFERROR(VLOOKUP(A789&amp;"",'BEA Buyer Groups'!$A$4:$C$500,3,FALSE),"Not used")</f>
        <v>Commercial</v>
      </c>
      <c r="K789" t="str">
        <f t="shared" si="12"/>
        <v>Direct</v>
      </c>
    </row>
    <row r="790" spans="1:11" x14ac:dyDescent="0.25">
      <c r="A790" s="130" t="s">
        <v>1440</v>
      </c>
      <c r="B790" t="s">
        <v>1441</v>
      </c>
      <c r="C790" s="130" t="s">
        <v>822</v>
      </c>
      <c r="D790" t="s">
        <v>823</v>
      </c>
      <c r="E790">
        <v>97</v>
      </c>
      <c r="F790">
        <v>3</v>
      </c>
      <c r="G790">
        <v>39</v>
      </c>
      <c r="H790">
        <v>0</v>
      </c>
      <c r="I790">
        <v>139</v>
      </c>
      <c r="J790" t="str">
        <f>IFERROR(VLOOKUP(A790&amp;"",'BEA Buyer Groups'!$A$4:$C$500,3,FALSE),"Not used")</f>
        <v>Commercial</v>
      </c>
      <c r="K790" t="str">
        <f t="shared" si="12"/>
        <v>Direct</v>
      </c>
    </row>
    <row r="791" spans="1:11" x14ac:dyDescent="0.25">
      <c r="A791" s="130" t="s">
        <v>1440</v>
      </c>
      <c r="B791" t="s">
        <v>1441</v>
      </c>
      <c r="C791" s="130" t="s">
        <v>860</v>
      </c>
      <c r="D791" t="s">
        <v>861</v>
      </c>
      <c r="E791">
        <v>36</v>
      </c>
      <c r="F791">
        <v>0</v>
      </c>
      <c r="G791">
        <v>12</v>
      </c>
      <c r="H791">
        <v>0</v>
      </c>
      <c r="I791">
        <v>48</v>
      </c>
      <c r="J791" t="str">
        <f>IFERROR(VLOOKUP(A791&amp;"",'BEA Buyer Groups'!$A$4:$C$500,3,FALSE),"Not used")</f>
        <v>Commercial</v>
      </c>
      <c r="K791" t="str">
        <f t="shared" si="12"/>
        <v>Direct</v>
      </c>
    </row>
    <row r="792" spans="1:11" x14ac:dyDescent="0.25">
      <c r="A792" s="130" t="s">
        <v>1440</v>
      </c>
      <c r="B792" t="s">
        <v>1441</v>
      </c>
      <c r="C792" s="130" t="s">
        <v>810</v>
      </c>
      <c r="D792" t="s">
        <v>811</v>
      </c>
      <c r="E792">
        <v>8</v>
      </c>
      <c r="F792">
        <v>0</v>
      </c>
      <c r="G792">
        <v>2</v>
      </c>
      <c r="H792">
        <v>3</v>
      </c>
      <c r="I792">
        <v>14</v>
      </c>
      <c r="J792" t="str">
        <f>IFERROR(VLOOKUP(A792&amp;"",'BEA Buyer Groups'!$A$4:$C$500,3,FALSE),"Not used")</f>
        <v>Commercial</v>
      </c>
      <c r="K792" t="str">
        <f t="shared" si="12"/>
        <v>Direct</v>
      </c>
    </row>
    <row r="793" spans="1:11" x14ac:dyDescent="0.25">
      <c r="A793" s="130" t="s">
        <v>1440</v>
      </c>
      <c r="B793" t="s">
        <v>1441</v>
      </c>
      <c r="C793" s="130" t="s">
        <v>816</v>
      </c>
      <c r="D793" t="s">
        <v>817</v>
      </c>
      <c r="E793">
        <v>12</v>
      </c>
      <c r="F793">
        <v>1</v>
      </c>
      <c r="G793">
        <v>4</v>
      </c>
      <c r="H793">
        <v>0</v>
      </c>
      <c r="I793">
        <v>17</v>
      </c>
      <c r="J793" t="str">
        <f>IFERROR(VLOOKUP(A793&amp;"",'BEA Buyer Groups'!$A$4:$C$500,3,FALSE),"Not used")</f>
        <v>Commercial</v>
      </c>
      <c r="K793" t="str">
        <f t="shared" si="12"/>
        <v>Direct</v>
      </c>
    </row>
    <row r="794" spans="1:11" x14ac:dyDescent="0.25">
      <c r="A794" s="130" t="s">
        <v>1442</v>
      </c>
      <c r="B794" t="s">
        <v>1443</v>
      </c>
      <c r="C794" s="130" t="s">
        <v>822</v>
      </c>
      <c r="D794" t="s">
        <v>823</v>
      </c>
      <c r="E794">
        <v>10</v>
      </c>
      <c r="F794">
        <v>0</v>
      </c>
      <c r="G794">
        <v>0</v>
      </c>
      <c r="H794">
        <v>0</v>
      </c>
      <c r="I794">
        <v>10</v>
      </c>
      <c r="J794" t="str">
        <f>IFERROR(VLOOKUP(A794&amp;"",'BEA Buyer Groups'!$A$4:$C$500,3,FALSE),"Not used")</f>
        <v>Commercial</v>
      </c>
      <c r="K794" t="str">
        <f t="shared" si="12"/>
        <v>Direct</v>
      </c>
    </row>
    <row r="795" spans="1:11" x14ac:dyDescent="0.25">
      <c r="A795" s="130" t="s">
        <v>1444</v>
      </c>
      <c r="B795" t="s">
        <v>1445</v>
      </c>
      <c r="C795" s="130" t="s">
        <v>820</v>
      </c>
      <c r="D795" t="s">
        <v>821</v>
      </c>
      <c r="E795">
        <v>6</v>
      </c>
      <c r="F795">
        <v>0</v>
      </c>
      <c r="G795">
        <v>2</v>
      </c>
      <c r="H795">
        <v>0</v>
      </c>
      <c r="I795">
        <v>8</v>
      </c>
      <c r="J795" t="str">
        <f>IFERROR(VLOOKUP(A795&amp;"",'BEA Buyer Groups'!$A$4:$C$500,3,FALSE),"Not used")</f>
        <v>Commercial</v>
      </c>
      <c r="K795" t="str">
        <f t="shared" si="12"/>
        <v>Direct</v>
      </c>
    </row>
    <row r="796" spans="1:11" x14ac:dyDescent="0.25">
      <c r="A796" s="130" t="s">
        <v>1444</v>
      </c>
      <c r="B796" t="s">
        <v>1445</v>
      </c>
      <c r="C796" s="130" t="s">
        <v>802</v>
      </c>
      <c r="D796" t="s">
        <v>803</v>
      </c>
      <c r="E796">
        <v>22</v>
      </c>
      <c r="F796">
        <v>1</v>
      </c>
      <c r="G796">
        <v>10</v>
      </c>
      <c r="H796">
        <v>0</v>
      </c>
      <c r="I796">
        <v>33</v>
      </c>
      <c r="J796" t="str">
        <f>IFERROR(VLOOKUP(A796&amp;"",'BEA Buyer Groups'!$A$4:$C$500,3,FALSE),"Not used")</f>
        <v>Commercial</v>
      </c>
      <c r="K796" t="str">
        <f t="shared" si="12"/>
        <v>Direct</v>
      </c>
    </row>
    <row r="797" spans="1:11" x14ac:dyDescent="0.25">
      <c r="A797" s="130" t="s">
        <v>1444</v>
      </c>
      <c r="B797" t="s">
        <v>1445</v>
      </c>
      <c r="C797" s="130" t="s">
        <v>822</v>
      </c>
      <c r="D797" t="s">
        <v>823</v>
      </c>
      <c r="E797">
        <v>25</v>
      </c>
      <c r="F797">
        <v>1</v>
      </c>
      <c r="G797">
        <v>11</v>
      </c>
      <c r="H797">
        <v>0</v>
      </c>
      <c r="I797">
        <v>37</v>
      </c>
      <c r="J797" t="str">
        <f>IFERROR(VLOOKUP(A797&amp;"",'BEA Buyer Groups'!$A$4:$C$500,3,FALSE),"Not used")</f>
        <v>Commercial</v>
      </c>
      <c r="K797" t="str">
        <f t="shared" si="12"/>
        <v>Direct</v>
      </c>
    </row>
    <row r="798" spans="1:11" x14ac:dyDescent="0.25">
      <c r="A798" s="130" t="s">
        <v>1444</v>
      </c>
      <c r="B798" t="s">
        <v>1445</v>
      </c>
      <c r="C798" s="130" t="s">
        <v>860</v>
      </c>
      <c r="D798" t="s">
        <v>861</v>
      </c>
      <c r="E798">
        <v>2</v>
      </c>
      <c r="F798">
        <v>0</v>
      </c>
      <c r="G798">
        <v>1</v>
      </c>
      <c r="H798">
        <v>0</v>
      </c>
      <c r="I798">
        <v>3</v>
      </c>
      <c r="J798" t="str">
        <f>IFERROR(VLOOKUP(A798&amp;"",'BEA Buyer Groups'!$A$4:$C$500,3,FALSE),"Not used")</f>
        <v>Commercial</v>
      </c>
      <c r="K798" t="str">
        <f t="shared" si="12"/>
        <v>Direct</v>
      </c>
    </row>
    <row r="799" spans="1:11" x14ac:dyDescent="0.25">
      <c r="A799" s="130" t="s">
        <v>1444</v>
      </c>
      <c r="B799" t="s">
        <v>1445</v>
      </c>
      <c r="C799" s="130" t="s">
        <v>810</v>
      </c>
      <c r="D799" t="s">
        <v>811</v>
      </c>
      <c r="E799">
        <v>2</v>
      </c>
      <c r="F799">
        <v>0</v>
      </c>
      <c r="G799">
        <v>1</v>
      </c>
      <c r="H799">
        <v>0</v>
      </c>
      <c r="I799">
        <v>3</v>
      </c>
      <c r="J799" t="str">
        <f>IFERROR(VLOOKUP(A799&amp;"",'BEA Buyer Groups'!$A$4:$C$500,3,FALSE),"Not used")</f>
        <v>Commercial</v>
      </c>
      <c r="K799" t="str">
        <f t="shared" si="12"/>
        <v>Direct</v>
      </c>
    </row>
    <row r="800" spans="1:11" x14ac:dyDescent="0.25">
      <c r="A800" s="130" t="s">
        <v>1444</v>
      </c>
      <c r="B800" t="s">
        <v>1445</v>
      </c>
      <c r="C800" s="130" t="s">
        <v>816</v>
      </c>
      <c r="D800" t="s">
        <v>817</v>
      </c>
      <c r="E800">
        <v>188</v>
      </c>
      <c r="F800">
        <v>24</v>
      </c>
      <c r="G800">
        <v>59</v>
      </c>
      <c r="H800">
        <v>0</v>
      </c>
      <c r="I800">
        <v>271</v>
      </c>
      <c r="J800" t="str">
        <f>IFERROR(VLOOKUP(A800&amp;"",'BEA Buyer Groups'!$A$4:$C$500,3,FALSE),"Not used")</f>
        <v>Commercial</v>
      </c>
      <c r="K800" t="str">
        <f t="shared" si="12"/>
        <v>Direct</v>
      </c>
    </row>
    <row r="801" spans="1:11" x14ac:dyDescent="0.25">
      <c r="A801" s="130" t="s">
        <v>1446</v>
      </c>
      <c r="B801" t="s">
        <v>1447</v>
      </c>
      <c r="C801" s="130" t="s">
        <v>820</v>
      </c>
      <c r="D801" t="s">
        <v>821</v>
      </c>
      <c r="E801">
        <v>1</v>
      </c>
      <c r="F801">
        <v>0</v>
      </c>
      <c r="G801">
        <v>0</v>
      </c>
      <c r="H801">
        <v>0</v>
      </c>
      <c r="I801">
        <v>2</v>
      </c>
      <c r="J801" t="str">
        <f>IFERROR(VLOOKUP(A801&amp;"",'BEA Buyer Groups'!$A$4:$C$500,3,FALSE),"Not used")</f>
        <v>Commercial</v>
      </c>
      <c r="K801" t="str">
        <f t="shared" si="12"/>
        <v>Direct</v>
      </c>
    </row>
    <row r="802" spans="1:11" x14ac:dyDescent="0.25">
      <c r="A802" s="130" t="s">
        <v>1446</v>
      </c>
      <c r="B802" t="s">
        <v>1447</v>
      </c>
      <c r="C802" s="130" t="s">
        <v>822</v>
      </c>
      <c r="D802" t="s">
        <v>823</v>
      </c>
      <c r="E802">
        <v>32</v>
      </c>
      <c r="F802">
        <v>1</v>
      </c>
      <c r="G802">
        <v>10</v>
      </c>
      <c r="H802">
        <v>0</v>
      </c>
      <c r="I802">
        <v>43</v>
      </c>
      <c r="J802" t="str">
        <f>IFERROR(VLOOKUP(A802&amp;"",'BEA Buyer Groups'!$A$4:$C$500,3,FALSE),"Not used")</f>
        <v>Commercial</v>
      </c>
      <c r="K802" t="str">
        <f t="shared" si="12"/>
        <v>Direct</v>
      </c>
    </row>
    <row r="803" spans="1:11" x14ac:dyDescent="0.25">
      <c r="A803" s="130" t="s">
        <v>1446</v>
      </c>
      <c r="B803" t="s">
        <v>1447</v>
      </c>
      <c r="C803" s="130" t="s">
        <v>860</v>
      </c>
      <c r="D803" t="s">
        <v>861</v>
      </c>
      <c r="E803">
        <v>3</v>
      </c>
      <c r="F803">
        <v>0</v>
      </c>
      <c r="G803">
        <v>1</v>
      </c>
      <c r="H803">
        <v>0</v>
      </c>
      <c r="I803">
        <v>4</v>
      </c>
      <c r="J803" t="str">
        <f>IFERROR(VLOOKUP(A803&amp;"",'BEA Buyer Groups'!$A$4:$C$500,3,FALSE),"Not used")</f>
        <v>Commercial</v>
      </c>
      <c r="K803" t="str">
        <f t="shared" si="12"/>
        <v>Direct</v>
      </c>
    </row>
    <row r="804" spans="1:11" x14ac:dyDescent="0.25">
      <c r="A804" s="130" t="s">
        <v>1446</v>
      </c>
      <c r="B804" t="s">
        <v>1447</v>
      </c>
      <c r="C804" s="130" t="s">
        <v>810</v>
      </c>
      <c r="D804" t="s">
        <v>811</v>
      </c>
      <c r="E804">
        <v>1</v>
      </c>
      <c r="F804">
        <v>0</v>
      </c>
      <c r="G804">
        <v>0</v>
      </c>
      <c r="H804">
        <v>1</v>
      </c>
      <c r="I804">
        <v>2</v>
      </c>
      <c r="J804" t="str">
        <f>IFERROR(VLOOKUP(A804&amp;"",'BEA Buyer Groups'!$A$4:$C$500,3,FALSE),"Not used")</f>
        <v>Commercial</v>
      </c>
      <c r="K804" t="str">
        <f t="shared" si="12"/>
        <v>Direct</v>
      </c>
    </row>
    <row r="805" spans="1:11" x14ac:dyDescent="0.25">
      <c r="A805" s="130" t="s">
        <v>1448</v>
      </c>
      <c r="B805" t="s">
        <v>1449</v>
      </c>
      <c r="C805" s="130" t="s">
        <v>822</v>
      </c>
      <c r="D805" t="s">
        <v>823</v>
      </c>
      <c r="E805">
        <v>4</v>
      </c>
      <c r="F805">
        <v>0</v>
      </c>
      <c r="G805">
        <v>0</v>
      </c>
      <c r="H805">
        <v>0</v>
      </c>
      <c r="I805">
        <v>4</v>
      </c>
      <c r="J805" t="str">
        <f>IFERROR(VLOOKUP(A805&amp;"",'BEA Buyer Groups'!$A$4:$C$500,3,FALSE),"Not used")</f>
        <v>Commercial</v>
      </c>
      <c r="K805" t="str">
        <f t="shared" si="12"/>
        <v>Direct</v>
      </c>
    </row>
    <row r="806" spans="1:11" x14ac:dyDescent="0.25">
      <c r="A806" s="130" t="s">
        <v>1450</v>
      </c>
      <c r="B806" t="s">
        <v>1451</v>
      </c>
      <c r="C806" s="130" t="s">
        <v>820</v>
      </c>
      <c r="D806" t="s">
        <v>821</v>
      </c>
      <c r="E806">
        <v>1</v>
      </c>
      <c r="F806">
        <v>0</v>
      </c>
      <c r="G806">
        <v>0</v>
      </c>
      <c r="H806">
        <v>1</v>
      </c>
      <c r="I806">
        <v>2</v>
      </c>
      <c r="J806" t="str">
        <f>IFERROR(VLOOKUP(A806&amp;"",'BEA Buyer Groups'!$A$4:$C$500,3,FALSE),"Not used")</f>
        <v>Commercial</v>
      </c>
      <c r="K806" t="str">
        <f t="shared" si="12"/>
        <v>Direct</v>
      </c>
    </row>
    <row r="807" spans="1:11" x14ac:dyDescent="0.25">
      <c r="A807" s="130" t="s">
        <v>1450</v>
      </c>
      <c r="B807" t="s">
        <v>1451</v>
      </c>
      <c r="C807" s="130" t="s">
        <v>822</v>
      </c>
      <c r="D807" t="s">
        <v>823</v>
      </c>
      <c r="E807">
        <v>9</v>
      </c>
      <c r="F807">
        <v>0</v>
      </c>
      <c r="G807">
        <v>0</v>
      </c>
      <c r="H807">
        <v>0</v>
      </c>
      <c r="I807">
        <v>9</v>
      </c>
      <c r="J807" t="str">
        <f>IFERROR(VLOOKUP(A807&amp;"",'BEA Buyer Groups'!$A$4:$C$500,3,FALSE),"Not used")</f>
        <v>Commercial</v>
      </c>
      <c r="K807" t="str">
        <f t="shared" si="12"/>
        <v>Direct</v>
      </c>
    </row>
    <row r="808" spans="1:11" x14ac:dyDescent="0.25">
      <c r="A808" s="130" t="s">
        <v>1450</v>
      </c>
      <c r="B808" t="s">
        <v>1451</v>
      </c>
      <c r="C808" s="130" t="s">
        <v>860</v>
      </c>
      <c r="D808" t="s">
        <v>861</v>
      </c>
      <c r="E808">
        <v>2</v>
      </c>
      <c r="F808">
        <v>0</v>
      </c>
      <c r="G808">
        <v>1</v>
      </c>
      <c r="H808">
        <v>0</v>
      </c>
      <c r="I808">
        <v>3</v>
      </c>
      <c r="J808" t="str">
        <f>IFERROR(VLOOKUP(A808&amp;"",'BEA Buyer Groups'!$A$4:$C$500,3,FALSE),"Not used")</f>
        <v>Commercial</v>
      </c>
      <c r="K808" t="str">
        <f t="shared" si="12"/>
        <v>Direct</v>
      </c>
    </row>
    <row r="809" spans="1:11" x14ac:dyDescent="0.25">
      <c r="A809" s="130" t="s">
        <v>1450</v>
      </c>
      <c r="B809" t="s">
        <v>1451</v>
      </c>
      <c r="C809" s="130" t="s">
        <v>810</v>
      </c>
      <c r="D809" t="s">
        <v>811</v>
      </c>
      <c r="E809">
        <v>1</v>
      </c>
      <c r="F809">
        <v>0</v>
      </c>
      <c r="G809">
        <v>0</v>
      </c>
      <c r="H809">
        <v>0</v>
      </c>
      <c r="I809">
        <v>2</v>
      </c>
      <c r="J809" t="str">
        <f>IFERROR(VLOOKUP(A809&amp;"",'BEA Buyer Groups'!$A$4:$C$500,3,FALSE),"Not used")</f>
        <v>Commercial</v>
      </c>
      <c r="K809" t="str">
        <f t="shared" si="12"/>
        <v>Direct</v>
      </c>
    </row>
    <row r="810" spans="1:11" x14ac:dyDescent="0.25">
      <c r="A810" s="130" t="s">
        <v>1450</v>
      </c>
      <c r="B810" t="s">
        <v>1451</v>
      </c>
      <c r="C810" s="130" t="s">
        <v>816</v>
      </c>
      <c r="D810" t="s">
        <v>817</v>
      </c>
      <c r="E810">
        <v>320</v>
      </c>
      <c r="F810">
        <v>40</v>
      </c>
      <c r="G810">
        <v>100</v>
      </c>
      <c r="H810">
        <v>0</v>
      </c>
      <c r="I810">
        <v>460</v>
      </c>
      <c r="J810" t="str">
        <f>IFERROR(VLOOKUP(A810&amp;"",'BEA Buyer Groups'!$A$4:$C$500,3,FALSE),"Not used")</f>
        <v>Commercial</v>
      </c>
      <c r="K810" t="str">
        <f t="shared" si="12"/>
        <v>Direct</v>
      </c>
    </row>
    <row r="811" spans="1:11" x14ac:dyDescent="0.25">
      <c r="A811" s="130" t="s">
        <v>1452</v>
      </c>
      <c r="B811" t="s">
        <v>1453</v>
      </c>
      <c r="C811" s="130" t="s">
        <v>820</v>
      </c>
      <c r="D811" t="s">
        <v>821</v>
      </c>
      <c r="E811">
        <v>150</v>
      </c>
      <c r="F811">
        <v>4</v>
      </c>
      <c r="G811">
        <v>42</v>
      </c>
      <c r="H811">
        <v>0</v>
      </c>
      <c r="I811">
        <v>196</v>
      </c>
      <c r="J811" t="str">
        <f>IFERROR(VLOOKUP(A811&amp;"",'BEA Buyer Groups'!$A$4:$C$500,3,FALSE),"Not used")</f>
        <v>Commercial</v>
      </c>
      <c r="K811" t="str">
        <f t="shared" si="12"/>
        <v>Direct</v>
      </c>
    </row>
    <row r="812" spans="1:11" x14ac:dyDescent="0.25">
      <c r="A812" s="130" t="s">
        <v>1452</v>
      </c>
      <c r="B812" t="s">
        <v>1453</v>
      </c>
      <c r="C812" s="130" t="s">
        <v>802</v>
      </c>
      <c r="D812" t="s">
        <v>803</v>
      </c>
      <c r="E812">
        <v>2</v>
      </c>
      <c r="F812">
        <v>0</v>
      </c>
      <c r="G812">
        <v>1</v>
      </c>
      <c r="H812">
        <v>0</v>
      </c>
      <c r="I812">
        <v>3</v>
      </c>
      <c r="J812" t="str">
        <f>IFERROR(VLOOKUP(A812&amp;"",'BEA Buyer Groups'!$A$4:$C$500,3,FALSE),"Not used")</f>
        <v>Commercial</v>
      </c>
      <c r="K812" t="str">
        <f t="shared" si="12"/>
        <v>Direct</v>
      </c>
    </row>
    <row r="813" spans="1:11" x14ac:dyDescent="0.25">
      <c r="A813" s="130" t="s">
        <v>1452</v>
      </c>
      <c r="B813" t="s">
        <v>1453</v>
      </c>
      <c r="C813" s="130" t="s">
        <v>822</v>
      </c>
      <c r="D813" t="s">
        <v>823</v>
      </c>
      <c r="E813">
        <v>15</v>
      </c>
      <c r="F813">
        <v>0</v>
      </c>
      <c r="G813">
        <v>5</v>
      </c>
      <c r="H813">
        <v>0</v>
      </c>
      <c r="I813">
        <v>21</v>
      </c>
      <c r="J813" t="str">
        <f>IFERROR(VLOOKUP(A813&amp;"",'BEA Buyer Groups'!$A$4:$C$500,3,FALSE),"Not used")</f>
        <v>Commercial</v>
      </c>
      <c r="K813" t="str">
        <f t="shared" si="12"/>
        <v>Direct</v>
      </c>
    </row>
    <row r="814" spans="1:11" x14ac:dyDescent="0.25">
      <c r="A814" s="130" t="s">
        <v>1452</v>
      </c>
      <c r="B814" t="s">
        <v>1453</v>
      </c>
      <c r="C814" s="130" t="s">
        <v>806</v>
      </c>
      <c r="D814" t="s">
        <v>807</v>
      </c>
      <c r="E814">
        <v>101</v>
      </c>
      <c r="F814">
        <v>1</v>
      </c>
      <c r="G814">
        <v>28</v>
      </c>
      <c r="H814">
        <v>0</v>
      </c>
      <c r="I814">
        <v>131</v>
      </c>
      <c r="J814" t="str">
        <f>IFERROR(VLOOKUP(A814&amp;"",'BEA Buyer Groups'!$A$4:$C$500,3,FALSE),"Not used")</f>
        <v>Commercial</v>
      </c>
      <c r="K814" t="str">
        <f t="shared" si="12"/>
        <v>Direct</v>
      </c>
    </row>
    <row r="815" spans="1:11" x14ac:dyDescent="0.25">
      <c r="A815" s="130" t="s">
        <v>1452</v>
      </c>
      <c r="B815" t="s">
        <v>1453</v>
      </c>
      <c r="C815" s="130" t="s">
        <v>860</v>
      </c>
      <c r="D815" t="s">
        <v>861</v>
      </c>
      <c r="E815">
        <v>9</v>
      </c>
      <c r="F815">
        <v>0</v>
      </c>
      <c r="G815">
        <v>3</v>
      </c>
      <c r="H815">
        <v>0</v>
      </c>
      <c r="I815">
        <v>13</v>
      </c>
      <c r="J815" t="str">
        <f>IFERROR(VLOOKUP(A815&amp;"",'BEA Buyer Groups'!$A$4:$C$500,3,FALSE),"Not used")</f>
        <v>Commercial</v>
      </c>
      <c r="K815" t="str">
        <f t="shared" si="12"/>
        <v>Direct</v>
      </c>
    </row>
    <row r="816" spans="1:11" x14ac:dyDescent="0.25">
      <c r="A816" s="130" t="s">
        <v>1452</v>
      </c>
      <c r="B816" t="s">
        <v>1453</v>
      </c>
      <c r="C816" s="130" t="s">
        <v>810</v>
      </c>
      <c r="D816" t="s">
        <v>811</v>
      </c>
      <c r="E816">
        <v>7</v>
      </c>
      <c r="F816">
        <v>0</v>
      </c>
      <c r="G816">
        <v>2</v>
      </c>
      <c r="H816">
        <v>0</v>
      </c>
      <c r="I816">
        <v>9</v>
      </c>
      <c r="J816" t="str">
        <f>IFERROR(VLOOKUP(A816&amp;"",'BEA Buyer Groups'!$A$4:$C$500,3,FALSE),"Not used")</f>
        <v>Commercial</v>
      </c>
      <c r="K816" t="str">
        <f t="shared" si="12"/>
        <v>Direct</v>
      </c>
    </row>
    <row r="817" spans="1:11" x14ac:dyDescent="0.25">
      <c r="A817" s="130" t="s">
        <v>1452</v>
      </c>
      <c r="B817" t="s">
        <v>1453</v>
      </c>
      <c r="C817" s="130" t="s">
        <v>816</v>
      </c>
      <c r="D817" t="s">
        <v>817</v>
      </c>
      <c r="E817">
        <v>40</v>
      </c>
      <c r="F817">
        <v>5</v>
      </c>
      <c r="G817">
        <v>13</v>
      </c>
      <c r="H817">
        <v>0</v>
      </c>
      <c r="I817">
        <v>58</v>
      </c>
      <c r="J817" t="str">
        <f>IFERROR(VLOOKUP(A817&amp;"",'BEA Buyer Groups'!$A$4:$C$500,3,FALSE),"Not used")</f>
        <v>Commercial</v>
      </c>
      <c r="K817" t="str">
        <f t="shared" si="12"/>
        <v>Direct</v>
      </c>
    </row>
    <row r="818" spans="1:11" x14ac:dyDescent="0.25">
      <c r="A818" s="130" t="s">
        <v>1454</v>
      </c>
      <c r="B818" t="s">
        <v>1455</v>
      </c>
      <c r="C818" s="130" t="s">
        <v>822</v>
      </c>
      <c r="D818" t="s">
        <v>823</v>
      </c>
      <c r="E818">
        <v>4</v>
      </c>
      <c r="F818">
        <v>0</v>
      </c>
      <c r="G818">
        <v>0</v>
      </c>
      <c r="H818">
        <v>0</v>
      </c>
      <c r="I818">
        <v>4</v>
      </c>
      <c r="J818" t="str">
        <f>IFERROR(VLOOKUP(A818&amp;"",'BEA Buyer Groups'!$A$4:$C$500,3,FALSE),"Not used")</f>
        <v>Commercial</v>
      </c>
      <c r="K818" t="str">
        <f t="shared" si="12"/>
        <v>Direct</v>
      </c>
    </row>
    <row r="819" spans="1:11" x14ac:dyDescent="0.25">
      <c r="A819" s="130" t="s">
        <v>1454</v>
      </c>
      <c r="B819" t="s">
        <v>1455</v>
      </c>
      <c r="C819" s="130" t="s">
        <v>860</v>
      </c>
      <c r="D819" t="s">
        <v>861</v>
      </c>
      <c r="E819">
        <v>4</v>
      </c>
      <c r="F819">
        <v>0</v>
      </c>
      <c r="G819">
        <v>2</v>
      </c>
      <c r="H819">
        <v>0</v>
      </c>
      <c r="I819">
        <v>6</v>
      </c>
      <c r="J819" t="str">
        <f>IFERROR(VLOOKUP(A819&amp;"",'BEA Buyer Groups'!$A$4:$C$500,3,FALSE),"Not used")</f>
        <v>Commercial</v>
      </c>
      <c r="K819" t="str">
        <f t="shared" si="12"/>
        <v>Direct</v>
      </c>
    </row>
    <row r="820" spans="1:11" x14ac:dyDescent="0.25">
      <c r="A820" s="130" t="s">
        <v>1454</v>
      </c>
      <c r="B820" t="s">
        <v>1455</v>
      </c>
      <c r="C820" s="130" t="s">
        <v>810</v>
      </c>
      <c r="D820" t="s">
        <v>811</v>
      </c>
      <c r="E820">
        <v>1</v>
      </c>
      <c r="F820">
        <v>0</v>
      </c>
      <c r="G820">
        <v>0</v>
      </c>
      <c r="H820">
        <v>0</v>
      </c>
      <c r="I820">
        <v>1</v>
      </c>
      <c r="J820" t="str">
        <f>IFERROR(VLOOKUP(A820&amp;"",'BEA Buyer Groups'!$A$4:$C$500,3,FALSE),"Not used")</f>
        <v>Commercial</v>
      </c>
      <c r="K820" t="str">
        <f t="shared" si="12"/>
        <v>Direct</v>
      </c>
    </row>
    <row r="821" spans="1:11" x14ac:dyDescent="0.25">
      <c r="A821" s="130" t="s">
        <v>1454</v>
      </c>
      <c r="B821" t="s">
        <v>1455</v>
      </c>
      <c r="C821" s="130" t="s">
        <v>816</v>
      </c>
      <c r="D821" t="s">
        <v>817</v>
      </c>
      <c r="E821">
        <v>34</v>
      </c>
      <c r="F821">
        <v>4</v>
      </c>
      <c r="G821">
        <v>11</v>
      </c>
      <c r="H821">
        <v>0</v>
      </c>
      <c r="I821">
        <v>49</v>
      </c>
      <c r="J821" t="str">
        <f>IFERROR(VLOOKUP(A821&amp;"",'BEA Buyer Groups'!$A$4:$C$500,3,FALSE),"Not used")</f>
        <v>Commercial</v>
      </c>
      <c r="K821" t="str">
        <f t="shared" si="12"/>
        <v>Direct</v>
      </c>
    </row>
    <row r="822" spans="1:11" x14ac:dyDescent="0.25">
      <c r="A822" s="130" t="s">
        <v>1456</v>
      </c>
      <c r="B822" t="s">
        <v>1457</v>
      </c>
      <c r="C822" s="130" t="s">
        <v>822</v>
      </c>
      <c r="D822" t="s">
        <v>823</v>
      </c>
      <c r="E822">
        <v>4</v>
      </c>
      <c r="F822">
        <v>0</v>
      </c>
      <c r="G822">
        <v>0</v>
      </c>
      <c r="H822">
        <v>0</v>
      </c>
      <c r="I822">
        <v>4</v>
      </c>
      <c r="J822" t="str">
        <f>IFERROR(VLOOKUP(A822&amp;"",'BEA Buyer Groups'!$A$4:$C$500,3,FALSE),"Not used")</f>
        <v>Commercial</v>
      </c>
      <c r="K822" t="str">
        <f t="shared" si="12"/>
        <v>Direct</v>
      </c>
    </row>
    <row r="823" spans="1:11" x14ac:dyDescent="0.25">
      <c r="A823" s="130" t="s">
        <v>1456</v>
      </c>
      <c r="B823" t="s">
        <v>1457</v>
      </c>
      <c r="C823" s="130" t="s">
        <v>860</v>
      </c>
      <c r="D823" t="s">
        <v>861</v>
      </c>
      <c r="E823">
        <v>1</v>
      </c>
      <c r="F823">
        <v>0</v>
      </c>
      <c r="G823">
        <v>0</v>
      </c>
      <c r="H823">
        <v>0</v>
      </c>
      <c r="I823">
        <v>1</v>
      </c>
      <c r="J823" t="str">
        <f>IFERROR(VLOOKUP(A823&amp;"",'BEA Buyer Groups'!$A$4:$C$500,3,FALSE),"Not used")</f>
        <v>Commercial</v>
      </c>
      <c r="K823" t="str">
        <f t="shared" si="12"/>
        <v>Direct</v>
      </c>
    </row>
    <row r="824" spans="1:11" x14ac:dyDescent="0.25">
      <c r="A824" s="130" t="s">
        <v>1456</v>
      </c>
      <c r="B824" t="s">
        <v>1457</v>
      </c>
      <c r="C824" s="130" t="s">
        <v>810</v>
      </c>
      <c r="D824" t="s">
        <v>811</v>
      </c>
      <c r="E824">
        <v>0</v>
      </c>
      <c r="F824">
        <v>0</v>
      </c>
      <c r="G824">
        <v>0</v>
      </c>
      <c r="H824">
        <v>0</v>
      </c>
      <c r="I824">
        <v>1</v>
      </c>
      <c r="J824" t="str">
        <f>IFERROR(VLOOKUP(A824&amp;"",'BEA Buyer Groups'!$A$4:$C$500,3,FALSE),"Not used")</f>
        <v>Commercial</v>
      </c>
      <c r="K824" t="str">
        <f t="shared" si="12"/>
        <v>Direct</v>
      </c>
    </row>
    <row r="825" spans="1:11" x14ac:dyDescent="0.25">
      <c r="A825" s="130" t="s">
        <v>1456</v>
      </c>
      <c r="B825" t="s">
        <v>1457</v>
      </c>
      <c r="C825" s="130" t="s">
        <v>816</v>
      </c>
      <c r="D825" t="s">
        <v>817</v>
      </c>
      <c r="E825">
        <v>76</v>
      </c>
      <c r="F825">
        <v>10</v>
      </c>
      <c r="G825">
        <v>24</v>
      </c>
      <c r="H825">
        <v>0</v>
      </c>
      <c r="I825">
        <v>110</v>
      </c>
      <c r="J825" t="str">
        <f>IFERROR(VLOOKUP(A825&amp;"",'BEA Buyer Groups'!$A$4:$C$500,3,FALSE),"Not used")</f>
        <v>Commercial</v>
      </c>
      <c r="K825" t="str">
        <f t="shared" si="12"/>
        <v>Direct</v>
      </c>
    </row>
    <row r="826" spans="1:11" x14ac:dyDescent="0.25">
      <c r="A826" s="130" t="s">
        <v>1458</v>
      </c>
      <c r="B826" t="s">
        <v>1459</v>
      </c>
      <c r="C826" s="130" t="s">
        <v>820</v>
      </c>
      <c r="D826" t="s">
        <v>821</v>
      </c>
      <c r="E826">
        <v>0</v>
      </c>
      <c r="F826">
        <v>0</v>
      </c>
      <c r="G826">
        <v>0</v>
      </c>
      <c r="H826">
        <v>0</v>
      </c>
      <c r="I826">
        <v>0</v>
      </c>
      <c r="J826" t="str">
        <f>IFERROR(VLOOKUP(A826&amp;"",'BEA Buyer Groups'!$A$4:$C$500,3,FALSE),"Not used")</f>
        <v>Commercial</v>
      </c>
      <c r="K826" t="str">
        <f t="shared" si="12"/>
        <v>Direct</v>
      </c>
    </row>
    <row r="827" spans="1:11" x14ac:dyDescent="0.25">
      <c r="A827" s="130" t="s">
        <v>1458</v>
      </c>
      <c r="B827" t="s">
        <v>1459</v>
      </c>
      <c r="C827" s="130" t="s">
        <v>822</v>
      </c>
      <c r="D827" t="s">
        <v>823</v>
      </c>
      <c r="E827">
        <v>63</v>
      </c>
      <c r="F827">
        <v>2</v>
      </c>
      <c r="G827">
        <v>0</v>
      </c>
      <c r="H827">
        <v>0</v>
      </c>
      <c r="I827">
        <v>65</v>
      </c>
      <c r="J827" t="str">
        <f>IFERROR(VLOOKUP(A827&amp;"",'BEA Buyer Groups'!$A$4:$C$500,3,FALSE),"Not used")</f>
        <v>Commercial</v>
      </c>
      <c r="K827" t="str">
        <f t="shared" si="12"/>
        <v>Direct</v>
      </c>
    </row>
    <row r="828" spans="1:11" x14ac:dyDescent="0.25">
      <c r="A828" s="130" t="s">
        <v>1458</v>
      </c>
      <c r="B828" t="s">
        <v>1459</v>
      </c>
      <c r="C828" s="130" t="s">
        <v>816</v>
      </c>
      <c r="D828" t="s">
        <v>817</v>
      </c>
      <c r="E828">
        <v>8</v>
      </c>
      <c r="F828">
        <v>1</v>
      </c>
      <c r="G828">
        <v>3</v>
      </c>
      <c r="H828">
        <v>0</v>
      </c>
      <c r="I828">
        <v>12</v>
      </c>
      <c r="J828" t="str">
        <f>IFERROR(VLOOKUP(A828&amp;"",'BEA Buyer Groups'!$A$4:$C$500,3,FALSE),"Not used")</f>
        <v>Commercial</v>
      </c>
      <c r="K828" t="str">
        <f t="shared" si="12"/>
        <v>Direct</v>
      </c>
    </row>
    <row r="829" spans="1:11" x14ac:dyDescent="0.25">
      <c r="A829" s="130" t="s">
        <v>1460</v>
      </c>
      <c r="B829" t="s">
        <v>1461</v>
      </c>
      <c r="C829" s="130" t="s">
        <v>822</v>
      </c>
      <c r="D829" t="s">
        <v>823</v>
      </c>
      <c r="E829">
        <v>6</v>
      </c>
      <c r="F829">
        <v>0</v>
      </c>
      <c r="G829">
        <v>0</v>
      </c>
      <c r="H829">
        <v>0</v>
      </c>
      <c r="I829">
        <v>7</v>
      </c>
      <c r="J829" t="str">
        <f>IFERROR(VLOOKUP(A829&amp;"",'BEA Buyer Groups'!$A$4:$C$500,3,FALSE),"Not used")</f>
        <v>Commercial</v>
      </c>
      <c r="K829" t="str">
        <f t="shared" si="12"/>
        <v>Direct</v>
      </c>
    </row>
    <row r="830" spans="1:11" x14ac:dyDescent="0.25">
      <c r="A830" s="130" t="s">
        <v>1460</v>
      </c>
      <c r="B830" t="s">
        <v>1461</v>
      </c>
      <c r="C830" s="130" t="s">
        <v>860</v>
      </c>
      <c r="D830" t="s">
        <v>861</v>
      </c>
      <c r="E830">
        <v>4</v>
      </c>
      <c r="F830">
        <v>0</v>
      </c>
      <c r="G830">
        <v>1</v>
      </c>
      <c r="H830">
        <v>0</v>
      </c>
      <c r="I830">
        <v>6</v>
      </c>
      <c r="J830" t="str">
        <f>IFERROR(VLOOKUP(A830&amp;"",'BEA Buyer Groups'!$A$4:$C$500,3,FALSE),"Not used")</f>
        <v>Commercial</v>
      </c>
      <c r="K830" t="str">
        <f t="shared" si="12"/>
        <v>Direct</v>
      </c>
    </row>
    <row r="831" spans="1:11" x14ac:dyDescent="0.25">
      <c r="A831" s="130" t="s">
        <v>1460</v>
      </c>
      <c r="B831" t="s">
        <v>1461</v>
      </c>
      <c r="C831" s="130" t="s">
        <v>810</v>
      </c>
      <c r="D831" t="s">
        <v>811</v>
      </c>
      <c r="E831">
        <v>1</v>
      </c>
      <c r="F831">
        <v>0</v>
      </c>
      <c r="G831">
        <v>0</v>
      </c>
      <c r="H831">
        <v>0</v>
      </c>
      <c r="I831">
        <v>1</v>
      </c>
      <c r="J831" t="str">
        <f>IFERROR(VLOOKUP(A831&amp;"",'BEA Buyer Groups'!$A$4:$C$500,3,FALSE),"Not used")</f>
        <v>Commercial</v>
      </c>
      <c r="K831" t="str">
        <f t="shared" si="12"/>
        <v>Direct</v>
      </c>
    </row>
    <row r="832" spans="1:11" x14ac:dyDescent="0.25">
      <c r="A832" s="130" t="s">
        <v>1460</v>
      </c>
      <c r="B832" t="s">
        <v>1461</v>
      </c>
      <c r="C832" s="130" t="s">
        <v>816</v>
      </c>
      <c r="D832" t="s">
        <v>817</v>
      </c>
      <c r="E832">
        <v>43</v>
      </c>
      <c r="F832">
        <v>5</v>
      </c>
      <c r="G832">
        <v>13</v>
      </c>
      <c r="H832">
        <v>0</v>
      </c>
      <c r="I832">
        <v>62</v>
      </c>
      <c r="J832" t="str">
        <f>IFERROR(VLOOKUP(A832&amp;"",'BEA Buyer Groups'!$A$4:$C$500,3,FALSE),"Not used")</f>
        <v>Commercial</v>
      </c>
      <c r="K832" t="str">
        <f t="shared" si="12"/>
        <v>Direct</v>
      </c>
    </row>
    <row r="833" spans="1:11" x14ac:dyDescent="0.25">
      <c r="A833" s="130" t="s">
        <v>1462</v>
      </c>
      <c r="B833" t="s">
        <v>1463</v>
      </c>
      <c r="C833" s="130" t="s">
        <v>820</v>
      </c>
      <c r="D833" t="s">
        <v>821</v>
      </c>
      <c r="E833">
        <v>351</v>
      </c>
      <c r="F833">
        <v>10</v>
      </c>
      <c r="G833">
        <v>98</v>
      </c>
      <c r="H833">
        <v>0</v>
      </c>
      <c r="I833">
        <v>459</v>
      </c>
      <c r="J833" t="str">
        <f>IFERROR(VLOOKUP(A833&amp;"",'BEA Buyer Groups'!$A$4:$C$500,3,FALSE),"Not used")</f>
        <v>Commercial</v>
      </c>
      <c r="K833" t="str">
        <f t="shared" si="12"/>
        <v>Direct</v>
      </c>
    </row>
    <row r="834" spans="1:11" x14ac:dyDescent="0.25">
      <c r="A834" s="130" t="s">
        <v>1462</v>
      </c>
      <c r="B834" t="s">
        <v>1463</v>
      </c>
      <c r="C834" s="130" t="s">
        <v>822</v>
      </c>
      <c r="D834" t="s">
        <v>823</v>
      </c>
      <c r="E834">
        <v>8</v>
      </c>
      <c r="F834">
        <v>0</v>
      </c>
      <c r="G834">
        <v>0</v>
      </c>
      <c r="H834">
        <v>0</v>
      </c>
      <c r="I834">
        <v>9</v>
      </c>
      <c r="J834" t="str">
        <f>IFERROR(VLOOKUP(A834&amp;"",'BEA Buyer Groups'!$A$4:$C$500,3,FALSE),"Not used")</f>
        <v>Commercial</v>
      </c>
      <c r="K834" t="str">
        <f t="shared" si="12"/>
        <v>Direct</v>
      </c>
    </row>
    <row r="835" spans="1:11" x14ac:dyDescent="0.25">
      <c r="A835" s="130" t="s">
        <v>1462</v>
      </c>
      <c r="B835" t="s">
        <v>1463</v>
      </c>
      <c r="C835" s="130" t="s">
        <v>860</v>
      </c>
      <c r="D835" t="s">
        <v>861</v>
      </c>
      <c r="E835">
        <v>0</v>
      </c>
      <c r="F835">
        <v>0</v>
      </c>
      <c r="G835">
        <v>0</v>
      </c>
      <c r="H835">
        <v>0</v>
      </c>
      <c r="I835">
        <v>1</v>
      </c>
      <c r="J835" t="str">
        <f>IFERROR(VLOOKUP(A835&amp;"",'BEA Buyer Groups'!$A$4:$C$500,3,FALSE),"Not used")</f>
        <v>Commercial</v>
      </c>
      <c r="K835" t="str">
        <f t="shared" si="12"/>
        <v>Direct</v>
      </c>
    </row>
    <row r="836" spans="1:11" x14ac:dyDescent="0.25">
      <c r="A836" s="130" t="s">
        <v>1464</v>
      </c>
      <c r="B836" t="s">
        <v>1465</v>
      </c>
      <c r="C836" s="130" t="s">
        <v>822</v>
      </c>
      <c r="D836" t="s">
        <v>823</v>
      </c>
      <c r="E836">
        <v>3</v>
      </c>
      <c r="F836">
        <v>0</v>
      </c>
      <c r="G836">
        <v>0</v>
      </c>
      <c r="H836">
        <v>0</v>
      </c>
      <c r="I836">
        <v>3</v>
      </c>
      <c r="J836" t="str">
        <f>IFERROR(VLOOKUP(A836&amp;"",'BEA Buyer Groups'!$A$4:$C$500,3,FALSE),"Not used")</f>
        <v>Commercial</v>
      </c>
      <c r="K836" t="str">
        <f t="shared" si="12"/>
        <v>Direct</v>
      </c>
    </row>
    <row r="837" spans="1:11" x14ac:dyDescent="0.25">
      <c r="A837" s="130" t="s">
        <v>1464</v>
      </c>
      <c r="B837" t="s">
        <v>1465</v>
      </c>
      <c r="C837" s="130" t="s">
        <v>816</v>
      </c>
      <c r="D837" t="s">
        <v>817</v>
      </c>
      <c r="E837">
        <v>22</v>
      </c>
      <c r="F837">
        <v>3</v>
      </c>
      <c r="G837">
        <v>7</v>
      </c>
      <c r="H837">
        <v>0</v>
      </c>
      <c r="I837">
        <v>32</v>
      </c>
      <c r="J837" t="str">
        <f>IFERROR(VLOOKUP(A837&amp;"",'BEA Buyer Groups'!$A$4:$C$500,3,FALSE),"Not used")</f>
        <v>Commercial</v>
      </c>
      <c r="K837" t="str">
        <f t="shared" si="12"/>
        <v>Direct</v>
      </c>
    </row>
    <row r="838" spans="1:11" x14ac:dyDescent="0.25">
      <c r="A838" s="130" t="s">
        <v>1466</v>
      </c>
      <c r="B838" t="s">
        <v>1467</v>
      </c>
      <c r="C838" s="130" t="s">
        <v>820</v>
      </c>
      <c r="D838" t="s">
        <v>821</v>
      </c>
      <c r="E838">
        <v>38</v>
      </c>
      <c r="F838">
        <v>1</v>
      </c>
      <c r="G838">
        <v>19</v>
      </c>
      <c r="H838">
        <v>0</v>
      </c>
      <c r="I838">
        <v>59</v>
      </c>
      <c r="J838" t="str">
        <f>IFERROR(VLOOKUP(A838&amp;"",'BEA Buyer Groups'!$A$4:$C$500,3,FALSE),"Not used")</f>
        <v>Commercial</v>
      </c>
      <c r="K838" t="str">
        <f t="shared" si="12"/>
        <v>Direct</v>
      </c>
    </row>
    <row r="839" spans="1:11" x14ac:dyDescent="0.25">
      <c r="A839" s="130" t="s">
        <v>1466</v>
      </c>
      <c r="B839" t="s">
        <v>1467</v>
      </c>
      <c r="C839" s="130" t="s">
        <v>802</v>
      </c>
      <c r="D839" t="s">
        <v>803</v>
      </c>
      <c r="E839">
        <v>6</v>
      </c>
      <c r="F839">
        <v>0</v>
      </c>
      <c r="G839">
        <v>3</v>
      </c>
      <c r="H839">
        <v>0</v>
      </c>
      <c r="I839">
        <v>9</v>
      </c>
      <c r="J839" t="str">
        <f>IFERROR(VLOOKUP(A839&amp;"",'BEA Buyer Groups'!$A$4:$C$500,3,FALSE),"Not used")</f>
        <v>Commercial</v>
      </c>
      <c r="K839" t="str">
        <f t="shared" ref="K839:K902" si="13">IF(LEFT(A839,2)="23","Contractor","Direct")</f>
        <v>Direct</v>
      </c>
    </row>
    <row r="840" spans="1:11" x14ac:dyDescent="0.25">
      <c r="A840" s="130" t="s">
        <v>1466</v>
      </c>
      <c r="B840" t="s">
        <v>1467</v>
      </c>
      <c r="C840" s="130" t="s">
        <v>822</v>
      </c>
      <c r="D840" t="s">
        <v>823</v>
      </c>
      <c r="E840">
        <v>1552</v>
      </c>
      <c r="F840">
        <v>45</v>
      </c>
      <c r="G840">
        <v>696</v>
      </c>
      <c r="H840">
        <v>0</v>
      </c>
      <c r="I840">
        <v>2293</v>
      </c>
      <c r="J840" t="str">
        <f>IFERROR(VLOOKUP(A840&amp;"",'BEA Buyer Groups'!$A$4:$C$500,3,FALSE),"Not used")</f>
        <v>Commercial</v>
      </c>
      <c r="K840" t="str">
        <f t="shared" si="13"/>
        <v>Direct</v>
      </c>
    </row>
    <row r="841" spans="1:11" x14ac:dyDescent="0.25">
      <c r="A841" s="130" t="s">
        <v>1466</v>
      </c>
      <c r="B841" t="s">
        <v>1467</v>
      </c>
      <c r="C841" s="130" t="s">
        <v>860</v>
      </c>
      <c r="D841" t="s">
        <v>861</v>
      </c>
      <c r="E841">
        <v>32</v>
      </c>
      <c r="F841">
        <v>0</v>
      </c>
      <c r="G841">
        <v>11</v>
      </c>
      <c r="H841">
        <v>0</v>
      </c>
      <c r="I841">
        <v>44</v>
      </c>
      <c r="J841" t="str">
        <f>IFERROR(VLOOKUP(A841&amp;"",'BEA Buyer Groups'!$A$4:$C$500,3,FALSE),"Not used")</f>
        <v>Commercial</v>
      </c>
      <c r="K841" t="str">
        <f t="shared" si="13"/>
        <v>Direct</v>
      </c>
    </row>
    <row r="842" spans="1:11" x14ac:dyDescent="0.25">
      <c r="A842" s="130" t="s">
        <v>1466</v>
      </c>
      <c r="B842" t="s">
        <v>1467</v>
      </c>
      <c r="C842" s="130" t="s">
        <v>810</v>
      </c>
      <c r="D842" t="s">
        <v>811</v>
      </c>
      <c r="E842">
        <v>102</v>
      </c>
      <c r="F842">
        <v>1</v>
      </c>
      <c r="G842">
        <v>32</v>
      </c>
      <c r="H842">
        <v>153</v>
      </c>
      <c r="I842">
        <v>288</v>
      </c>
      <c r="J842" t="str">
        <f>IFERROR(VLOOKUP(A842&amp;"",'BEA Buyer Groups'!$A$4:$C$500,3,FALSE),"Not used")</f>
        <v>Commercial</v>
      </c>
      <c r="K842" t="str">
        <f t="shared" si="13"/>
        <v>Direct</v>
      </c>
    </row>
    <row r="843" spans="1:11" x14ac:dyDescent="0.25">
      <c r="A843" s="130" t="s">
        <v>1466</v>
      </c>
      <c r="B843" t="s">
        <v>1467</v>
      </c>
      <c r="C843" s="130" t="s">
        <v>816</v>
      </c>
      <c r="D843" t="s">
        <v>817</v>
      </c>
      <c r="E843">
        <v>302</v>
      </c>
      <c r="F843">
        <v>38</v>
      </c>
      <c r="G843">
        <v>95</v>
      </c>
      <c r="H843">
        <v>0</v>
      </c>
      <c r="I843">
        <v>435</v>
      </c>
      <c r="J843" t="str">
        <f>IFERROR(VLOOKUP(A843&amp;"",'BEA Buyer Groups'!$A$4:$C$500,3,FALSE),"Not used")</f>
        <v>Commercial</v>
      </c>
      <c r="K843" t="str">
        <f t="shared" si="13"/>
        <v>Direct</v>
      </c>
    </row>
    <row r="844" spans="1:11" x14ac:dyDescent="0.25">
      <c r="A844" s="130" t="s">
        <v>1468</v>
      </c>
      <c r="B844" t="s">
        <v>1469</v>
      </c>
      <c r="C844" s="130" t="s">
        <v>822</v>
      </c>
      <c r="D844" t="s">
        <v>823</v>
      </c>
      <c r="E844">
        <v>7</v>
      </c>
      <c r="F844">
        <v>0</v>
      </c>
      <c r="G844">
        <v>0</v>
      </c>
      <c r="H844">
        <v>0</v>
      </c>
      <c r="I844">
        <v>7</v>
      </c>
      <c r="J844" t="str">
        <f>IFERROR(VLOOKUP(A844&amp;"",'BEA Buyer Groups'!$A$4:$C$500,3,FALSE),"Not used")</f>
        <v>Commercial</v>
      </c>
      <c r="K844" t="str">
        <f t="shared" si="13"/>
        <v>Direct</v>
      </c>
    </row>
    <row r="845" spans="1:11" x14ac:dyDescent="0.25">
      <c r="A845" s="130" t="s">
        <v>1468</v>
      </c>
      <c r="B845" t="s">
        <v>1469</v>
      </c>
      <c r="C845" s="130" t="s">
        <v>860</v>
      </c>
      <c r="D845" t="s">
        <v>861</v>
      </c>
      <c r="E845">
        <v>1</v>
      </c>
      <c r="F845">
        <v>0</v>
      </c>
      <c r="G845">
        <v>0</v>
      </c>
      <c r="H845">
        <v>0</v>
      </c>
      <c r="I845">
        <v>2</v>
      </c>
      <c r="J845" t="str">
        <f>IFERROR(VLOOKUP(A845&amp;"",'BEA Buyer Groups'!$A$4:$C$500,3,FALSE),"Not used")</f>
        <v>Commercial</v>
      </c>
      <c r="K845" t="str">
        <f t="shared" si="13"/>
        <v>Direct</v>
      </c>
    </row>
    <row r="846" spans="1:11" x14ac:dyDescent="0.25">
      <c r="A846" s="130" t="s">
        <v>1468</v>
      </c>
      <c r="B846" t="s">
        <v>1469</v>
      </c>
      <c r="C846" s="130" t="s">
        <v>816</v>
      </c>
      <c r="D846" t="s">
        <v>817</v>
      </c>
      <c r="E846">
        <v>44</v>
      </c>
      <c r="F846">
        <v>6</v>
      </c>
      <c r="G846">
        <v>14</v>
      </c>
      <c r="H846">
        <v>0</v>
      </c>
      <c r="I846">
        <v>64</v>
      </c>
      <c r="J846" t="str">
        <f>IFERROR(VLOOKUP(A846&amp;"",'BEA Buyer Groups'!$A$4:$C$500,3,FALSE),"Not used")</f>
        <v>Commercial</v>
      </c>
      <c r="K846" t="str">
        <f t="shared" si="13"/>
        <v>Direct</v>
      </c>
    </row>
    <row r="847" spans="1:11" x14ac:dyDescent="0.25">
      <c r="A847" s="130" t="s">
        <v>1470</v>
      </c>
      <c r="B847" t="s">
        <v>1471</v>
      </c>
      <c r="C847" s="130" t="s">
        <v>802</v>
      </c>
      <c r="D847" t="s">
        <v>803</v>
      </c>
      <c r="E847">
        <v>135</v>
      </c>
      <c r="F847">
        <v>4</v>
      </c>
      <c r="G847">
        <v>61</v>
      </c>
      <c r="H847">
        <v>0</v>
      </c>
      <c r="I847">
        <v>199</v>
      </c>
      <c r="J847" t="str">
        <f>IFERROR(VLOOKUP(A847&amp;"",'BEA Buyer Groups'!$A$4:$C$500,3,FALSE),"Not used")</f>
        <v>Commercial</v>
      </c>
      <c r="K847" t="str">
        <f t="shared" si="13"/>
        <v>Direct</v>
      </c>
    </row>
    <row r="848" spans="1:11" x14ac:dyDescent="0.25">
      <c r="A848" s="130" t="s">
        <v>1470</v>
      </c>
      <c r="B848" t="s">
        <v>1471</v>
      </c>
      <c r="C848" s="130" t="s">
        <v>822</v>
      </c>
      <c r="D848" t="s">
        <v>823</v>
      </c>
      <c r="E848">
        <v>426</v>
      </c>
      <c r="F848">
        <v>12</v>
      </c>
      <c r="G848">
        <v>149</v>
      </c>
      <c r="H848">
        <v>0</v>
      </c>
      <c r="I848">
        <v>587</v>
      </c>
      <c r="J848" t="str">
        <f>IFERROR(VLOOKUP(A848&amp;"",'BEA Buyer Groups'!$A$4:$C$500,3,FALSE),"Not used")</f>
        <v>Commercial</v>
      </c>
      <c r="K848" t="str">
        <f t="shared" si="13"/>
        <v>Direct</v>
      </c>
    </row>
    <row r="849" spans="1:11" x14ac:dyDescent="0.25">
      <c r="A849" s="130" t="s">
        <v>1470</v>
      </c>
      <c r="B849" t="s">
        <v>1471</v>
      </c>
      <c r="C849" s="130" t="s">
        <v>816</v>
      </c>
      <c r="D849" t="s">
        <v>817</v>
      </c>
      <c r="E849">
        <v>480</v>
      </c>
      <c r="F849">
        <v>61</v>
      </c>
      <c r="G849">
        <v>151</v>
      </c>
      <c r="H849">
        <v>0</v>
      </c>
      <c r="I849">
        <v>692</v>
      </c>
      <c r="J849" t="str">
        <f>IFERROR(VLOOKUP(A849&amp;"",'BEA Buyer Groups'!$A$4:$C$500,3,FALSE),"Not used")</f>
        <v>Commercial</v>
      </c>
      <c r="K849" t="str">
        <f t="shared" si="13"/>
        <v>Direct</v>
      </c>
    </row>
    <row r="850" spans="1:11" x14ac:dyDescent="0.25">
      <c r="A850" s="130" t="s">
        <v>1472</v>
      </c>
      <c r="B850" t="s">
        <v>1473</v>
      </c>
      <c r="C850" s="130" t="s">
        <v>820</v>
      </c>
      <c r="D850" t="s">
        <v>821</v>
      </c>
      <c r="E850">
        <v>827</v>
      </c>
      <c r="F850">
        <v>25</v>
      </c>
      <c r="G850">
        <v>203</v>
      </c>
      <c r="H850">
        <v>0</v>
      </c>
      <c r="I850">
        <v>1056</v>
      </c>
      <c r="J850" t="str">
        <f>IFERROR(VLOOKUP(A850&amp;"",'BEA Buyer Groups'!$A$4:$C$500,3,FALSE),"Not used")</f>
        <v>Commercial</v>
      </c>
      <c r="K850" t="str">
        <f t="shared" si="13"/>
        <v>Direct</v>
      </c>
    </row>
    <row r="851" spans="1:11" x14ac:dyDescent="0.25">
      <c r="A851" s="130" t="s">
        <v>1472</v>
      </c>
      <c r="B851" t="s">
        <v>1473</v>
      </c>
      <c r="C851" s="130" t="s">
        <v>802</v>
      </c>
      <c r="D851" t="s">
        <v>803</v>
      </c>
      <c r="E851">
        <v>84</v>
      </c>
      <c r="F851">
        <v>3</v>
      </c>
      <c r="G851">
        <v>38</v>
      </c>
      <c r="H851">
        <v>0</v>
      </c>
      <c r="I851">
        <v>124</v>
      </c>
      <c r="J851" t="str">
        <f>IFERROR(VLOOKUP(A851&amp;"",'BEA Buyer Groups'!$A$4:$C$500,3,FALSE),"Not used")</f>
        <v>Commercial</v>
      </c>
      <c r="K851" t="str">
        <f t="shared" si="13"/>
        <v>Direct</v>
      </c>
    </row>
    <row r="852" spans="1:11" x14ac:dyDescent="0.25">
      <c r="A852" s="130" t="s">
        <v>1472</v>
      </c>
      <c r="B852" t="s">
        <v>1473</v>
      </c>
      <c r="C852" s="130" t="s">
        <v>822</v>
      </c>
      <c r="D852" t="s">
        <v>823</v>
      </c>
      <c r="E852">
        <v>3</v>
      </c>
      <c r="F852">
        <v>0</v>
      </c>
      <c r="G852">
        <v>1</v>
      </c>
      <c r="H852">
        <v>0</v>
      </c>
      <c r="I852">
        <v>4</v>
      </c>
      <c r="J852" t="str">
        <f>IFERROR(VLOOKUP(A852&amp;"",'BEA Buyer Groups'!$A$4:$C$500,3,FALSE),"Not used")</f>
        <v>Commercial</v>
      </c>
      <c r="K852" t="str">
        <f t="shared" si="13"/>
        <v>Direct</v>
      </c>
    </row>
    <row r="853" spans="1:11" x14ac:dyDescent="0.25">
      <c r="A853" s="130" t="s">
        <v>1472</v>
      </c>
      <c r="B853" t="s">
        <v>1473</v>
      </c>
      <c r="C853" s="130" t="s">
        <v>860</v>
      </c>
      <c r="D853" t="s">
        <v>861</v>
      </c>
      <c r="E853">
        <v>2</v>
      </c>
      <c r="F853">
        <v>0</v>
      </c>
      <c r="G853">
        <v>1</v>
      </c>
      <c r="H853">
        <v>0</v>
      </c>
      <c r="I853">
        <v>2</v>
      </c>
      <c r="J853" t="str">
        <f>IFERROR(VLOOKUP(A853&amp;"",'BEA Buyer Groups'!$A$4:$C$500,3,FALSE),"Not used")</f>
        <v>Commercial</v>
      </c>
      <c r="K853" t="str">
        <f t="shared" si="13"/>
        <v>Direct</v>
      </c>
    </row>
    <row r="854" spans="1:11" x14ac:dyDescent="0.25">
      <c r="A854" s="130" t="s">
        <v>1472</v>
      </c>
      <c r="B854" t="s">
        <v>1473</v>
      </c>
      <c r="C854" s="130" t="s">
        <v>810</v>
      </c>
      <c r="D854" t="s">
        <v>811</v>
      </c>
      <c r="E854">
        <v>15</v>
      </c>
      <c r="F854">
        <v>0</v>
      </c>
      <c r="G854">
        <v>5</v>
      </c>
      <c r="H854">
        <v>0</v>
      </c>
      <c r="I854">
        <v>19</v>
      </c>
      <c r="J854" t="str">
        <f>IFERROR(VLOOKUP(A854&amp;"",'BEA Buyer Groups'!$A$4:$C$500,3,FALSE),"Not used")</f>
        <v>Commercial</v>
      </c>
      <c r="K854" t="str">
        <f t="shared" si="13"/>
        <v>Direct</v>
      </c>
    </row>
    <row r="855" spans="1:11" x14ac:dyDescent="0.25">
      <c r="A855" s="130" t="s">
        <v>1472</v>
      </c>
      <c r="B855" t="s">
        <v>1473</v>
      </c>
      <c r="C855" s="130" t="s">
        <v>816</v>
      </c>
      <c r="D855" t="s">
        <v>817</v>
      </c>
      <c r="E855">
        <v>87</v>
      </c>
      <c r="F855">
        <v>11</v>
      </c>
      <c r="G855">
        <v>27</v>
      </c>
      <c r="H855">
        <v>0</v>
      </c>
      <c r="I855">
        <v>125</v>
      </c>
      <c r="J855" t="str">
        <f>IFERROR(VLOOKUP(A855&amp;"",'BEA Buyer Groups'!$A$4:$C$500,3,FALSE),"Not used")</f>
        <v>Commercial</v>
      </c>
      <c r="K855" t="str">
        <f t="shared" si="13"/>
        <v>Direct</v>
      </c>
    </row>
    <row r="856" spans="1:11" x14ac:dyDescent="0.25">
      <c r="A856" s="130" t="s">
        <v>1472</v>
      </c>
      <c r="B856" t="s">
        <v>1473</v>
      </c>
      <c r="C856" s="130" t="s">
        <v>846</v>
      </c>
      <c r="D856" t="s">
        <v>847</v>
      </c>
      <c r="E856">
        <v>57</v>
      </c>
      <c r="F856">
        <v>7</v>
      </c>
      <c r="G856">
        <v>20</v>
      </c>
      <c r="H856">
        <v>0</v>
      </c>
      <c r="I856">
        <v>84</v>
      </c>
      <c r="J856" t="str">
        <f>IFERROR(VLOOKUP(A856&amp;"",'BEA Buyer Groups'!$A$4:$C$500,3,FALSE),"Not used")</f>
        <v>Commercial</v>
      </c>
      <c r="K856" t="str">
        <f t="shared" si="13"/>
        <v>Direct</v>
      </c>
    </row>
    <row r="857" spans="1:11" x14ac:dyDescent="0.25">
      <c r="A857" s="130" t="s">
        <v>1474</v>
      </c>
      <c r="B857" t="s">
        <v>1475</v>
      </c>
      <c r="C857" s="130" t="s">
        <v>802</v>
      </c>
      <c r="D857" t="s">
        <v>803</v>
      </c>
      <c r="E857">
        <v>143</v>
      </c>
      <c r="F857">
        <v>4</v>
      </c>
      <c r="G857">
        <v>65</v>
      </c>
      <c r="H857">
        <v>0</v>
      </c>
      <c r="I857">
        <v>212</v>
      </c>
      <c r="J857" t="str">
        <f>IFERROR(VLOOKUP(A857&amp;"",'BEA Buyer Groups'!$A$4:$C$500,3,FALSE),"Not used")</f>
        <v>Commercial</v>
      </c>
      <c r="K857" t="str">
        <f t="shared" si="13"/>
        <v>Direct</v>
      </c>
    </row>
    <row r="858" spans="1:11" x14ac:dyDescent="0.25">
      <c r="A858" s="130" t="s">
        <v>1474</v>
      </c>
      <c r="B858" t="s">
        <v>1475</v>
      </c>
      <c r="C858" s="130" t="s">
        <v>822</v>
      </c>
      <c r="D858" t="s">
        <v>823</v>
      </c>
      <c r="E858">
        <v>101</v>
      </c>
      <c r="F858">
        <v>3</v>
      </c>
      <c r="G858">
        <v>21</v>
      </c>
      <c r="H858">
        <v>0</v>
      </c>
      <c r="I858">
        <v>126</v>
      </c>
      <c r="J858" t="str">
        <f>IFERROR(VLOOKUP(A858&amp;"",'BEA Buyer Groups'!$A$4:$C$500,3,FALSE),"Not used")</f>
        <v>Commercial</v>
      </c>
      <c r="K858" t="str">
        <f t="shared" si="13"/>
        <v>Direct</v>
      </c>
    </row>
    <row r="859" spans="1:11" x14ac:dyDescent="0.25">
      <c r="A859" s="130" t="s">
        <v>1474</v>
      </c>
      <c r="B859" t="s">
        <v>1475</v>
      </c>
      <c r="C859" s="130" t="s">
        <v>810</v>
      </c>
      <c r="D859" t="s">
        <v>811</v>
      </c>
      <c r="E859">
        <v>2</v>
      </c>
      <c r="F859">
        <v>0</v>
      </c>
      <c r="G859">
        <v>1</v>
      </c>
      <c r="H859">
        <v>0</v>
      </c>
      <c r="I859">
        <v>3</v>
      </c>
      <c r="J859" t="str">
        <f>IFERROR(VLOOKUP(A859&amp;"",'BEA Buyer Groups'!$A$4:$C$500,3,FALSE),"Not used")</f>
        <v>Commercial</v>
      </c>
      <c r="K859" t="str">
        <f t="shared" si="13"/>
        <v>Direct</v>
      </c>
    </row>
    <row r="860" spans="1:11" x14ac:dyDescent="0.25">
      <c r="A860" s="130" t="s">
        <v>1474</v>
      </c>
      <c r="B860" t="s">
        <v>1475</v>
      </c>
      <c r="C860" s="130" t="s">
        <v>816</v>
      </c>
      <c r="D860" t="s">
        <v>817</v>
      </c>
      <c r="E860">
        <v>60</v>
      </c>
      <c r="F860">
        <v>8</v>
      </c>
      <c r="G860">
        <v>19</v>
      </c>
      <c r="H860">
        <v>0</v>
      </c>
      <c r="I860">
        <v>87</v>
      </c>
      <c r="J860" t="str">
        <f>IFERROR(VLOOKUP(A860&amp;"",'BEA Buyer Groups'!$A$4:$C$500,3,FALSE),"Not used")</f>
        <v>Commercial</v>
      </c>
      <c r="K860" t="str">
        <f t="shared" si="13"/>
        <v>Direct</v>
      </c>
    </row>
    <row r="861" spans="1:11" x14ac:dyDescent="0.25">
      <c r="A861" s="130" t="s">
        <v>1474</v>
      </c>
      <c r="B861" t="s">
        <v>1475</v>
      </c>
      <c r="C861" s="130" t="s">
        <v>846</v>
      </c>
      <c r="D861" t="s">
        <v>847</v>
      </c>
      <c r="E861">
        <v>1</v>
      </c>
      <c r="F861">
        <v>0</v>
      </c>
      <c r="G861">
        <v>0</v>
      </c>
      <c r="H861">
        <v>0</v>
      </c>
      <c r="I861">
        <v>1</v>
      </c>
      <c r="J861" t="str">
        <f>IFERROR(VLOOKUP(A861&amp;"",'BEA Buyer Groups'!$A$4:$C$500,3,FALSE),"Not used")</f>
        <v>Commercial</v>
      </c>
      <c r="K861" t="str">
        <f t="shared" si="13"/>
        <v>Direct</v>
      </c>
    </row>
    <row r="862" spans="1:11" x14ac:dyDescent="0.25">
      <c r="A862" s="130" t="s">
        <v>1474</v>
      </c>
      <c r="B862" t="s">
        <v>1475</v>
      </c>
      <c r="C862" s="130" t="s">
        <v>848</v>
      </c>
      <c r="D862" t="s">
        <v>849</v>
      </c>
      <c r="E862">
        <v>0</v>
      </c>
      <c r="F862">
        <v>0</v>
      </c>
      <c r="G862">
        <v>0</v>
      </c>
      <c r="H862">
        <v>0</v>
      </c>
      <c r="I862">
        <v>0</v>
      </c>
      <c r="J862" t="str">
        <f>IFERROR(VLOOKUP(A862&amp;"",'BEA Buyer Groups'!$A$4:$C$500,3,FALSE),"Not used")</f>
        <v>Commercial</v>
      </c>
      <c r="K862" t="str">
        <f t="shared" si="13"/>
        <v>Direct</v>
      </c>
    </row>
    <row r="863" spans="1:11" x14ac:dyDescent="0.25">
      <c r="A863" s="130" t="s">
        <v>1476</v>
      </c>
      <c r="B863" t="s">
        <v>1477</v>
      </c>
      <c r="C863" s="130" t="s">
        <v>820</v>
      </c>
      <c r="D863" t="s">
        <v>821</v>
      </c>
      <c r="E863">
        <v>91</v>
      </c>
      <c r="F863">
        <v>3</v>
      </c>
      <c r="G863">
        <v>20</v>
      </c>
      <c r="H863">
        <v>0</v>
      </c>
      <c r="I863">
        <v>114</v>
      </c>
      <c r="J863" t="str">
        <f>IFERROR(VLOOKUP(A863&amp;"",'BEA Buyer Groups'!$A$4:$C$500,3,FALSE),"Not used")</f>
        <v>Commercial</v>
      </c>
      <c r="K863" t="str">
        <f t="shared" si="13"/>
        <v>Direct</v>
      </c>
    </row>
    <row r="864" spans="1:11" x14ac:dyDescent="0.25">
      <c r="A864" s="130" t="s">
        <v>1476</v>
      </c>
      <c r="B864" t="s">
        <v>1477</v>
      </c>
      <c r="C864" s="130" t="s">
        <v>822</v>
      </c>
      <c r="D864" t="s">
        <v>823</v>
      </c>
      <c r="E864">
        <v>6</v>
      </c>
      <c r="F864">
        <v>0</v>
      </c>
      <c r="G864">
        <v>0</v>
      </c>
      <c r="H864">
        <v>0</v>
      </c>
      <c r="I864">
        <v>7</v>
      </c>
      <c r="J864" t="str">
        <f>IFERROR(VLOOKUP(A864&amp;"",'BEA Buyer Groups'!$A$4:$C$500,3,FALSE),"Not used")</f>
        <v>Commercial</v>
      </c>
      <c r="K864" t="str">
        <f t="shared" si="13"/>
        <v>Direct</v>
      </c>
    </row>
    <row r="865" spans="1:11" x14ac:dyDescent="0.25">
      <c r="A865" s="130" t="s">
        <v>1476</v>
      </c>
      <c r="B865" t="s">
        <v>1477</v>
      </c>
      <c r="C865" s="130" t="s">
        <v>806</v>
      </c>
      <c r="D865" t="s">
        <v>807</v>
      </c>
      <c r="E865">
        <v>41</v>
      </c>
      <c r="F865">
        <v>0</v>
      </c>
      <c r="G865">
        <v>3</v>
      </c>
      <c r="H865">
        <v>0</v>
      </c>
      <c r="I865">
        <v>44</v>
      </c>
      <c r="J865" t="str">
        <f>IFERROR(VLOOKUP(A865&amp;"",'BEA Buyer Groups'!$A$4:$C$500,3,FALSE),"Not used")</f>
        <v>Commercial</v>
      </c>
      <c r="K865" t="str">
        <f t="shared" si="13"/>
        <v>Direct</v>
      </c>
    </row>
    <row r="866" spans="1:11" x14ac:dyDescent="0.25">
      <c r="A866" s="130" t="s">
        <v>1476</v>
      </c>
      <c r="B866" t="s">
        <v>1477</v>
      </c>
      <c r="C866" s="130" t="s">
        <v>860</v>
      </c>
      <c r="D866" t="s">
        <v>861</v>
      </c>
      <c r="E866">
        <v>58</v>
      </c>
      <c r="F866">
        <v>0</v>
      </c>
      <c r="G866">
        <v>0</v>
      </c>
      <c r="H866">
        <v>0</v>
      </c>
      <c r="I866">
        <v>58</v>
      </c>
      <c r="J866" t="str">
        <f>IFERROR(VLOOKUP(A866&amp;"",'BEA Buyer Groups'!$A$4:$C$500,3,FALSE),"Not used")</f>
        <v>Commercial</v>
      </c>
      <c r="K866" t="str">
        <f t="shared" si="13"/>
        <v>Direct</v>
      </c>
    </row>
    <row r="867" spans="1:11" x14ac:dyDescent="0.25">
      <c r="A867" s="130" t="s">
        <v>1476</v>
      </c>
      <c r="B867" t="s">
        <v>1477</v>
      </c>
      <c r="C867" s="130" t="s">
        <v>846</v>
      </c>
      <c r="D867" t="s">
        <v>847</v>
      </c>
      <c r="E867">
        <v>93</v>
      </c>
      <c r="F867">
        <v>12</v>
      </c>
      <c r="G867">
        <v>32</v>
      </c>
      <c r="H867">
        <v>126</v>
      </c>
      <c r="I867">
        <v>264</v>
      </c>
      <c r="J867" t="str">
        <f>IFERROR(VLOOKUP(A867&amp;"",'BEA Buyer Groups'!$A$4:$C$500,3,FALSE),"Not used")</f>
        <v>Commercial</v>
      </c>
      <c r="K867" t="str">
        <f t="shared" si="13"/>
        <v>Direct</v>
      </c>
    </row>
    <row r="868" spans="1:11" x14ac:dyDescent="0.25">
      <c r="A868" s="130" t="s">
        <v>1478</v>
      </c>
      <c r="B868" t="s">
        <v>1479</v>
      </c>
      <c r="C868" s="130" t="s">
        <v>820</v>
      </c>
      <c r="D868" t="s">
        <v>821</v>
      </c>
      <c r="E868">
        <v>2</v>
      </c>
      <c r="F868">
        <v>0</v>
      </c>
      <c r="G868">
        <v>1</v>
      </c>
      <c r="H868">
        <v>0</v>
      </c>
      <c r="I868">
        <v>3</v>
      </c>
      <c r="J868" t="str">
        <f>IFERROR(VLOOKUP(A868&amp;"",'BEA Buyer Groups'!$A$4:$C$500,3,FALSE),"Not used")</f>
        <v>Commercial</v>
      </c>
      <c r="K868" t="str">
        <f t="shared" si="13"/>
        <v>Direct</v>
      </c>
    </row>
    <row r="869" spans="1:11" x14ac:dyDescent="0.25">
      <c r="A869" s="130" t="s">
        <v>1478</v>
      </c>
      <c r="B869" t="s">
        <v>1479</v>
      </c>
      <c r="C869" s="130" t="s">
        <v>802</v>
      </c>
      <c r="D869" t="s">
        <v>803</v>
      </c>
      <c r="E869">
        <v>17</v>
      </c>
      <c r="F869">
        <v>1</v>
      </c>
      <c r="G869">
        <v>8</v>
      </c>
      <c r="H869">
        <v>0</v>
      </c>
      <c r="I869">
        <v>25</v>
      </c>
      <c r="J869" t="str">
        <f>IFERROR(VLOOKUP(A869&amp;"",'BEA Buyer Groups'!$A$4:$C$500,3,FALSE),"Not used")</f>
        <v>Commercial</v>
      </c>
      <c r="K869" t="str">
        <f t="shared" si="13"/>
        <v>Direct</v>
      </c>
    </row>
    <row r="870" spans="1:11" x14ac:dyDescent="0.25">
      <c r="A870" s="130" t="s">
        <v>1478</v>
      </c>
      <c r="B870" t="s">
        <v>1479</v>
      </c>
      <c r="C870" s="130" t="s">
        <v>822</v>
      </c>
      <c r="D870" t="s">
        <v>823</v>
      </c>
      <c r="E870">
        <v>128</v>
      </c>
      <c r="F870">
        <v>4</v>
      </c>
      <c r="G870">
        <v>23</v>
      </c>
      <c r="H870">
        <v>0</v>
      </c>
      <c r="I870">
        <v>154</v>
      </c>
      <c r="J870" t="str">
        <f>IFERROR(VLOOKUP(A870&amp;"",'BEA Buyer Groups'!$A$4:$C$500,3,FALSE),"Not used")</f>
        <v>Commercial</v>
      </c>
      <c r="K870" t="str">
        <f t="shared" si="13"/>
        <v>Direct</v>
      </c>
    </row>
    <row r="871" spans="1:11" x14ac:dyDescent="0.25">
      <c r="A871" s="130" t="s">
        <v>1478</v>
      </c>
      <c r="B871" t="s">
        <v>1479</v>
      </c>
      <c r="C871" s="130" t="s">
        <v>860</v>
      </c>
      <c r="D871" t="s">
        <v>861</v>
      </c>
      <c r="E871">
        <v>1</v>
      </c>
      <c r="F871">
        <v>0</v>
      </c>
      <c r="G871">
        <v>0</v>
      </c>
      <c r="H871">
        <v>0</v>
      </c>
      <c r="I871">
        <v>2</v>
      </c>
      <c r="J871" t="str">
        <f>IFERROR(VLOOKUP(A871&amp;"",'BEA Buyer Groups'!$A$4:$C$500,3,FALSE),"Not used")</f>
        <v>Commercial</v>
      </c>
      <c r="K871" t="str">
        <f t="shared" si="13"/>
        <v>Direct</v>
      </c>
    </row>
    <row r="872" spans="1:11" x14ac:dyDescent="0.25">
      <c r="A872" s="130" t="s">
        <v>1478</v>
      </c>
      <c r="B872" t="s">
        <v>1479</v>
      </c>
      <c r="C872" s="130" t="s">
        <v>810</v>
      </c>
      <c r="D872" t="s">
        <v>811</v>
      </c>
      <c r="E872">
        <v>3</v>
      </c>
      <c r="F872">
        <v>0</v>
      </c>
      <c r="G872">
        <v>1</v>
      </c>
      <c r="H872">
        <v>0</v>
      </c>
      <c r="I872">
        <v>4</v>
      </c>
      <c r="J872" t="str">
        <f>IFERROR(VLOOKUP(A872&amp;"",'BEA Buyer Groups'!$A$4:$C$500,3,FALSE),"Not used")</f>
        <v>Commercial</v>
      </c>
      <c r="K872" t="str">
        <f t="shared" si="13"/>
        <v>Direct</v>
      </c>
    </row>
    <row r="873" spans="1:11" x14ac:dyDescent="0.25">
      <c r="A873" s="130" t="s">
        <v>1478</v>
      </c>
      <c r="B873" t="s">
        <v>1479</v>
      </c>
      <c r="C873" s="130" t="s">
        <v>816</v>
      </c>
      <c r="D873" t="s">
        <v>817</v>
      </c>
      <c r="E873">
        <v>2</v>
      </c>
      <c r="F873">
        <v>0</v>
      </c>
      <c r="G873">
        <v>1</v>
      </c>
      <c r="H873">
        <v>0</v>
      </c>
      <c r="I873">
        <v>3</v>
      </c>
      <c r="J873" t="str">
        <f>IFERROR(VLOOKUP(A873&amp;"",'BEA Buyer Groups'!$A$4:$C$500,3,FALSE),"Not used")</f>
        <v>Commercial</v>
      </c>
      <c r="K873" t="str">
        <f t="shared" si="13"/>
        <v>Direct</v>
      </c>
    </row>
    <row r="874" spans="1:11" x14ac:dyDescent="0.25">
      <c r="A874" s="130" t="s">
        <v>1480</v>
      </c>
      <c r="B874" t="s">
        <v>1481</v>
      </c>
      <c r="C874" s="130" t="s">
        <v>822</v>
      </c>
      <c r="D874" t="s">
        <v>823</v>
      </c>
      <c r="E874">
        <v>13</v>
      </c>
      <c r="F874">
        <v>0</v>
      </c>
      <c r="G874">
        <v>0</v>
      </c>
      <c r="H874">
        <v>0</v>
      </c>
      <c r="I874">
        <v>13</v>
      </c>
      <c r="J874" t="str">
        <f>IFERROR(VLOOKUP(A874&amp;"",'BEA Buyer Groups'!$A$4:$C$500,3,FALSE),"Not used")</f>
        <v>Commercial</v>
      </c>
      <c r="K874" t="str">
        <f t="shared" si="13"/>
        <v>Direct</v>
      </c>
    </row>
    <row r="875" spans="1:11" x14ac:dyDescent="0.25">
      <c r="A875" s="130" t="s">
        <v>1480</v>
      </c>
      <c r="B875" t="s">
        <v>1481</v>
      </c>
      <c r="C875" s="130" t="s">
        <v>816</v>
      </c>
      <c r="D875" t="s">
        <v>817</v>
      </c>
      <c r="E875">
        <v>2</v>
      </c>
      <c r="F875">
        <v>0</v>
      </c>
      <c r="G875">
        <v>1</v>
      </c>
      <c r="H875">
        <v>0</v>
      </c>
      <c r="I875">
        <v>3</v>
      </c>
      <c r="J875" t="str">
        <f>IFERROR(VLOOKUP(A875&amp;"",'BEA Buyer Groups'!$A$4:$C$500,3,FALSE),"Not used")</f>
        <v>Commercial</v>
      </c>
      <c r="K875" t="str">
        <f t="shared" si="13"/>
        <v>Direct</v>
      </c>
    </row>
    <row r="876" spans="1:11" x14ac:dyDescent="0.25">
      <c r="A876" s="130" t="s">
        <v>1482</v>
      </c>
      <c r="B876" t="s">
        <v>1483</v>
      </c>
      <c r="C876" s="130" t="s">
        <v>822</v>
      </c>
      <c r="D876" t="s">
        <v>823</v>
      </c>
      <c r="E876">
        <v>10</v>
      </c>
      <c r="F876">
        <v>0</v>
      </c>
      <c r="G876">
        <v>0</v>
      </c>
      <c r="H876">
        <v>0</v>
      </c>
      <c r="I876">
        <v>10</v>
      </c>
      <c r="J876" t="str">
        <f>IFERROR(VLOOKUP(A876&amp;"",'BEA Buyer Groups'!$A$4:$C$500,3,FALSE),"Not used")</f>
        <v>Commercial</v>
      </c>
      <c r="K876" t="str">
        <f t="shared" si="13"/>
        <v>Direct</v>
      </c>
    </row>
    <row r="877" spans="1:11" x14ac:dyDescent="0.25">
      <c r="A877" s="130" t="s">
        <v>1484</v>
      </c>
      <c r="B877" t="s">
        <v>1485</v>
      </c>
      <c r="C877" s="130" t="s">
        <v>822</v>
      </c>
      <c r="D877" t="s">
        <v>823</v>
      </c>
      <c r="E877">
        <v>70</v>
      </c>
      <c r="F877">
        <v>2</v>
      </c>
      <c r="G877">
        <v>25</v>
      </c>
      <c r="H877">
        <v>0</v>
      </c>
      <c r="I877">
        <v>97</v>
      </c>
      <c r="J877" t="str">
        <f>IFERROR(VLOOKUP(A877&amp;"",'BEA Buyer Groups'!$A$4:$C$500,3,FALSE),"Not used")</f>
        <v>Commercial</v>
      </c>
      <c r="K877" t="str">
        <f t="shared" si="13"/>
        <v>Direct</v>
      </c>
    </row>
    <row r="878" spans="1:11" x14ac:dyDescent="0.25">
      <c r="A878" s="130" t="s">
        <v>1486</v>
      </c>
      <c r="B878" t="s">
        <v>1487</v>
      </c>
      <c r="C878" s="130" t="s">
        <v>822</v>
      </c>
      <c r="D878" t="s">
        <v>823</v>
      </c>
      <c r="E878">
        <v>2</v>
      </c>
      <c r="F878">
        <v>0</v>
      </c>
      <c r="G878">
        <v>0</v>
      </c>
      <c r="H878">
        <v>0</v>
      </c>
      <c r="I878">
        <v>2</v>
      </c>
      <c r="J878" t="str">
        <f>IFERROR(VLOOKUP(A878&amp;"",'BEA Buyer Groups'!$A$4:$C$500,3,FALSE),"Not used")</f>
        <v>Commercial</v>
      </c>
      <c r="K878" t="str">
        <f t="shared" si="13"/>
        <v>Direct</v>
      </c>
    </row>
    <row r="879" spans="1:11" x14ac:dyDescent="0.25">
      <c r="A879" s="130" t="s">
        <v>1488</v>
      </c>
      <c r="B879" t="s">
        <v>1489</v>
      </c>
      <c r="C879" s="130" t="s">
        <v>822</v>
      </c>
      <c r="D879" t="s">
        <v>823</v>
      </c>
      <c r="E879">
        <v>8</v>
      </c>
      <c r="F879">
        <v>0</v>
      </c>
      <c r="G879">
        <v>0</v>
      </c>
      <c r="H879">
        <v>0</v>
      </c>
      <c r="I879">
        <v>8</v>
      </c>
      <c r="J879" t="str">
        <f>IFERROR(VLOOKUP(A879&amp;"",'BEA Buyer Groups'!$A$4:$C$500,3,FALSE),"Not used")</f>
        <v>Commercial</v>
      </c>
      <c r="K879" t="str">
        <f t="shared" si="13"/>
        <v>Direct</v>
      </c>
    </row>
    <row r="880" spans="1:11" x14ac:dyDescent="0.25">
      <c r="A880" s="130" t="s">
        <v>1490</v>
      </c>
      <c r="B880" t="s">
        <v>1491</v>
      </c>
      <c r="C880" s="130" t="s">
        <v>822</v>
      </c>
      <c r="D880" t="s">
        <v>823</v>
      </c>
      <c r="E880">
        <v>27</v>
      </c>
      <c r="F880">
        <v>1</v>
      </c>
      <c r="G880">
        <v>10</v>
      </c>
      <c r="H880">
        <v>0</v>
      </c>
      <c r="I880">
        <v>38</v>
      </c>
      <c r="J880" t="str">
        <f>IFERROR(VLOOKUP(A880&amp;"",'BEA Buyer Groups'!$A$4:$C$500,3,FALSE),"Not used")</f>
        <v>Commercial</v>
      </c>
      <c r="K880" t="str">
        <f t="shared" si="13"/>
        <v>Direct</v>
      </c>
    </row>
    <row r="881" spans="1:11" x14ac:dyDescent="0.25">
      <c r="A881" s="130" t="s">
        <v>1490</v>
      </c>
      <c r="B881" t="s">
        <v>1491</v>
      </c>
      <c r="C881" s="130" t="s">
        <v>810</v>
      </c>
      <c r="D881" t="s">
        <v>811</v>
      </c>
      <c r="E881">
        <v>0</v>
      </c>
      <c r="F881">
        <v>0</v>
      </c>
      <c r="G881">
        <v>0</v>
      </c>
      <c r="H881">
        <v>0</v>
      </c>
      <c r="I881">
        <v>1</v>
      </c>
      <c r="J881" t="str">
        <f>IFERROR(VLOOKUP(A881&amp;"",'BEA Buyer Groups'!$A$4:$C$500,3,FALSE),"Not used")</f>
        <v>Commercial</v>
      </c>
      <c r="K881" t="str">
        <f t="shared" si="13"/>
        <v>Direct</v>
      </c>
    </row>
    <row r="882" spans="1:11" x14ac:dyDescent="0.25">
      <c r="A882" s="130" t="s">
        <v>1492</v>
      </c>
      <c r="B882" t="s">
        <v>1493</v>
      </c>
      <c r="C882" s="130" t="s">
        <v>820</v>
      </c>
      <c r="D882" t="s">
        <v>821</v>
      </c>
      <c r="E882">
        <v>5</v>
      </c>
      <c r="F882">
        <v>0</v>
      </c>
      <c r="G882">
        <v>2</v>
      </c>
      <c r="H882">
        <v>0</v>
      </c>
      <c r="I882">
        <v>7</v>
      </c>
      <c r="J882" t="str">
        <f>IFERROR(VLOOKUP(A882&amp;"",'BEA Buyer Groups'!$A$4:$C$500,3,FALSE),"Not used")</f>
        <v>Commercial</v>
      </c>
      <c r="K882" t="str">
        <f t="shared" si="13"/>
        <v>Direct</v>
      </c>
    </row>
    <row r="883" spans="1:11" x14ac:dyDescent="0.25">
      <c r="A883" s="130" t="s">
        <v>1492</v>
      </c>
      <c r="B883" t="s">
        <v>1493</v>
      </c>
      <c r="C883" s="130" t="s">
        <v>802</v>
      </c>
      <c r="D883" t="s">
        <v>803</v>
      </c>
      <c r="E883">
        <v>15</v>
      </c>
      <c r="F883">
        <v>0</v>
      </c>
      <c r="G883">
        <v>7</v>
      </c>
      <c r="H883">
        <v>0</v>
      </c>
      <c r="I883">
        <v>22</v>
      </c>
      <c r="J883" t="str">
        <f>IFERROR(VLOOKUP(A883&amp;"",'BEA Buyer Groups'!$A$4:$C$500,3,FALSE),"Not used")</f>
        <v>Commercial</v>
      </c>
      <c r="K883" t="str">
        <f t="shared" si="13"/>
        <v>Direct</v>
      </c>
    </row>
    <row r="884" spans="1:11" x14ac:dyDescent="0.25">
      <c r="A884" s="130" t="s">
        <v>1492</v>
      </c>
      <c r="B884" t="s">
        <v>1493</v>
      </c>
      <c r="C884" s="130" t="s">
        <v>822</v>
      </c>
      <c r="D884" t="s">
        <v>823</v>
      </c>
      <c r="E884">
        <v>544</v>
      </c>
      <c r="F884">
        <v>16</v>
      </c>
      <c r="G884">
        <v>30</v>
      </c>
      <c r="H884">
        <v>0</v>
      </c>
      <c r="I884">
        <v>590</v>
      </c>
      <c r="J884" t="str">
        <f>IFERROR(VLOOKUP(A884&amp;"",'BEA Buyer Groups'!$A$4:$C$500,3,FALSE),"Not used")</f>
        <v>Commercial</v>
      </c>
      <c r="K884" t="str">
        <f t="shared" si="13"/>
        <v>Direct</v>
      </c>
    </row>
    <row r="885" spans="1:11" x14ac:dyDescent="0.25">
      <c r="A885" s="130" t="s">
        <v>1492</v>
      </c>
      <c r="B885" t="s">
        <v>1493</v>
      </c>
      <c r="C885" s="130" t="s">
        <v>810</v>
      </c>
      <c r="D885" t="s">
        <v>811</v>
      </c>
      <c r="E885">
        <v>12</v>
      </c>
      <c r="F885">
        <v>0</v>
      </c>
      <c r="G885">
        <v>4</v>
      </c>
      <c r="H885">
        <v>0</v>
      </c>
      <c r="I885">
        <v>16</v>
      </c>
      <c r="J885" t="str">
        <f>IFERROR(VLOOKUP(A885&amp;"",'BEA Buyer Groups'!$A$4:$C$500,3,FALSE),"Not used")</f>
        <v>Commercial</v>
      </c>
      <c r="K885" t="str">
        <f t="shared" si="13"/>
        <v>Direct</v>
      </c>
    </row>
    <row r="886" spans="1:11" x14ac:dyDescent="0.25">
      <c r="A886" s="130" t="s">
        <v>1492</v>
      </c>
      <c r="B886" t="s">
        <v>1493</v>
      </c>
      <c r="C886" s="130" t="s">
        <v>816</v>
      </c>
      <c r="D886" t="s">
        <v>817</v>
      </c>
      <c r="E886">
        <v>548</v>
      </c>
      <c r="F886">
        <v>69</v>
      </c>
      <c r="G886">
        <v>172</v>
      </c>
      <c r="H886">
        <v>0</v>
      </c>
      <c r="I886">
        <v>789</v>
      </c>
      <c r="J886" t="str">
        <f>IFERROR(VLOOKUP(A886&amp;"",'BEA Buyer Groups'!$A$4:$C$500,3,FALSE),"Not used")</f>
        <v>Commercial</v>
      </c>
      <c r="K886" t="str">
        <f t="shared" si="13"/>
        <v>Direct</v>
      </c>
    </row>
    <row r="887" spans="1:11" x14ac:dyDescent="0.25">
      <c r="A887" s="130" t="s">
        <v>1492</v>
      </c>
      <c r="B887" t="s">
        <v>1493</v>
      </c>
      <c r="C887" s="130" t="s">
        <v>846</v>
      </c>
      <c r="D887" t="s">
        <v>847</v>
      </c>
      <c r="E887">
        <v>4</v>
      </c>
      <c r="F887">
        <v>1</v>
      </c>
      <c r="G887">
        <v>2</v>
      </c>
      <c r="H887">
        <v>0</v>
      </c>
      <c r="I887">
        <v>7</v>
      </c>
      <c r="J887" t="str">
        <f>IFERROR(VLOOKUP(A887&amp;"",'BEA Buyer Groups'!$A$4:$C$500,3,FALSE),"Not used")</f>
        <v>Commercial</v>
      </c>
      <c r="K887" t="str">
        <f t="shared" si="13"/>
        <v>Direct</v>
      </c>
    </row>
    <row r="888" spans="1:11" x14ac:dyDescent="0.25">
      <c r="A888" s="130" t="s">
        <v>1494</v>
      </c>
      <c r="B888" t="s">
        <v>1495</v>
      </c>
      <c r="C888" s="130" t="s">
        <v>822</v>
      </c>
      <c r="D888" t="s">
        <v>823</v>
      </c>
      <c r="E888">
        <v>81</v>
      </c>
      <c r="F888">
        <v>2</v>
      </c>
      <c r="G888">
        <v>4</v>
      </c>
      <c r="H888">
        <v>0</v>
      </c>
      <c r="I888">
        <v>87</v>
      </c>
      <c r="J888" t="str">
        <f>IFERROR(VLOOKUP(A888&amp;"",'BEA Buyer Groups'!$A$4:$C$500,3,FALSE),"Not used")</f>
        <v>Commercial</v>
      </c>
      <c r="K888" t="str">
        <f t="shared" si="13"/>
        <v>Direct</v>
      </c>
    </row>
    <row r="889" spans="1:11" x14ac:dyDescent="0.25">
      <c r="A889" s="130" t="s">
        <v>1494</v>
      </c>
      <c r="B889" t="s">
        <v>1495</v>
      </c>
      <c r="C889" s="130" t="s">
        <v>860</v>
      </c>
      <c r="D889" t="s">
        <v>861</v>
      </c>
      <c r="E889">
        <v>1</v>
      </c>
      <c r="F889">
        <v>0</v>
      </c>
      <c r="G889">
        <v>0</v>
      </c>
      <c r="H889">
        <v>0</v>
      </c>
      <c r="I889">
        <v>2</v>
      </c>
      <c r="J889" t="str">
        <f>IFERROR(VLOOKUP(A889&amp;"",'BEA Buyer Groups'!$A$4:$C$500,3,FALSE),"Not used")</f>
        <v>Commercial</v>
      </c>
      <c r="K889" t="str">
        <f t="shared" si="13"/>
        <v>Direct</v>
      </c>
    </row>
    <row r="890" spans="1:11" x14ac:dyDescent="0.25">
      <c r="A890" s="130" t="s">
        <v>1494</v>
      </c>
      <c r="B890" t="s">
        <v>1495</v>
      </c>
      <c r="C890" s="130" t="s">
        <v>810</v>
      </c>
      <c r="D890" t="s">
        <v>811</v>
      </c>
      <c r="E890">
        <v>1</v>
      </c>
      <c r="F890">
        <v>0</v>
      </c>
      <c r="G890">
        <v>0</v>
      </c>
      <c r="H890">
        <v>0</v>
      </c>
      <c r="I890">
        <v>2</v>
      </c>
      <c r="J890" t="str">
        <f>IFERROR(VLOOKUP(A890&amp;"",'BEA Buyer Groups'!$A$4:$C$500,3,FALSE),"Not used")</f>
        <v>Commercial</v>
      </c>
      <c r="K890" t="str">
        <f t="shared" si="13"/>
        <v>Direct</v>
      </c>
    </row>
    <row r="891" spans="1:11" x14ac:dyDescent="0.25">
      <c r="A891" s="130" t="s">
        <v>1494</v>
      </c>
      <c r="B891" t="s">
        <v>1495</v>
      </c>
      <c r="C891" s="130" t="s">
        <v>816</v>
      </c>
      <c r="D891" t="s">
        <v>817</v>
      </c>
      <c r="E891">
        <v>698</v>
      </c>
      <c r="F891">
        <v>88</v>
      </c>
      <c r="G891">
        <v>219</v>
      </c>
      <c r="H891">
        <v>0</v>
      </c>
      <c r="I891">
        <v>1005</v>
      </c>
      <c r="J891" t="str">
        <f>IFERROR(VLOOKUP(A891&amp;"",'BEA Buyer Groups'!$A$4:$C$500,3,FALSE),"Not used")</f>
        <v>Commercial</v>
      </c>
      <c r="K891" t="str">
        <f t="shared" si="13"/>
        <v>Direct</v>
      </c>
    </row>
    <row r="892" spans="1:11" x14ac:dyDescent="0.25">
      <c r="A892" s="130" t="s">
        <v>1496</v>
      </c>
      <c r="B892" t="s">
        <v>1497</v>
      </c>
      <c r="C892" s="130" t="s">
        <v>822</v>
      </c>
      <c r="D892" t="s">
        <v>823</v>
      </c>
      <c r="E892">
        <v>88</v>
      </c>
      <c r="F892">
        <v>3</v>
      </c>
      <c r="G892">
        <v>1</v>
      </c>
      <c r="H892">
        <v>0</v>
      </c>
      <c r="I892">
        <v>91</v>
      </c>
      <c r="J892" t="str">
        <f>IFERROR(VLOOKUP(A892&amp;"",'BEA Buyer Groups'!$A$4:$C$500,3,FALSE),"Not used")</f>
        <v>Commercial</v>
      </c>
      <c r="K892" t="str">
        <f t="shared" si="13"/>
        <v>Direct</v>
      </c>
    </row>
    <row r="893" spans="1:11" x14ac:dyDescent="0.25">
      <c r="A893" s="130" t="s">
        <v>1496</v>
      </c>
      <c r="B893" t="s">
        <v>1497</v>
      </c>
      <c r="C893" s="130" t="s">
        <v>816</v>
      </c>
      <c r="D893" t="s">
        <v>817</v>
      </c>
      <c r="E893">
        <v>2</v>
      </c>
      <c r="F893">
        <v>0</v>
      </c>
      <c r="G893">
        <v>1</v>
      </c>
      <c r="H893">
        <v>0</v>
      </c>
      <c r="I893">
        <v>3</v>
      </c>
      <c r="J893" t="str">
        <f>IFERROR(VLOOKUP(A893&amp;"",'BEA Buyer Groups'!$A$4:$C$500,3,FALSE),"Not used")</f>
        <v>Commercial</v>
      </c>
      <c r="K893" t="str">
        <f t="shared" si="13"/>
        <v>Direct</v>
      </c>
    </row>
    <row r="894" spans="1:11" x14ac:dyDescent="0.25">
      <c r="A894" s="130" t="s">
        <v>1498</v>
      </c>
      <c r="B894" t="s">
        <v>1499</v>
      </c>
      <c r="C894" s="130" t="s">
        <v>820</v>
      </c>
      <c r="D894" t="s">
        <v>821</v>
      </c>
      <c r="E894">
        <v>1</v>
      </c>
      <c r="F894">
        <v>0</v>
      </c>
      <c r="G894">
        <v>0</v>
      </c>
      <c r="H894">
        <v>0</v>
      </c>
      <c r="I894">
        <v>1</v>
      </c>
      <c r="J894" t="str">
        <f>IFERROR(VLOOKUP(A894&amp;"",'BEA Buyer Groups'!$A$4:$C$500,3,FALSE),"Not used")</f>
        <v>Commercial</v>
      </c>
      <c r="K894" t="str">
        <f t="shared" si="13"/>
        <v>Direct</v>
      </c>
    </row>
    <row r="895" spans="1:11" x14ac:dyDescent="0.25">
      <c r="A895" s="130" t="s">
        <v>1498</v>
      </c>
      <c r="B895" t="s">
        <v>1499</v>
      </c>
      <c r="C895" s="130" t="s">
        <v>802</v>
      </c>
      <c r="D895" t="s">
        <v>803</v>
      </c>
      <c r="E895">
        <v>1</v>
      </c>
      <c r="F895">
        <v>0</v>
      </c>
      <c r="G895">
        <v>0</v>
      </c>
      <c r="H895">
        <v>0</v>
      </c>
      <c r="I895">
        <v>1</v>
      </c>
      <c r="J895" t="str">
        <f>IFERROR(VLOOKUP(A895&amp;"",'BEA Buyer Groups'!$A$4:$C$500,3,FALSE),"Not used")</f>
        <v>Commercial</v>
      </c>
      <c r="K895" t="str">
        <f t="shared" si="13"/>
        <v>Direct</v>
      </c>
    </row>
    <row r="896" spans="1:11" x14ac:dyDescent="0.25">
      <c r="A896" s="130" t="s">
        <v>1498</v>
      </c>
      <c r="B896" t="s">
        <v>1499</v>
      </c>
      <c r="C896" s="130" t="s">
        <v>822</v>
      </c>
      <c r="D896" t="s">
        <v>823</v>
      </c>
      <c r="E896">
        <v>49</v>
      </c>
      <c r="F896">
        <v>1</v>
      </c>
      <c r="G896">
        <v>8</v>
      </c>
      <c r="H896">
        <v>0</v>
      </c>
      <c r="I896">
        <v>58</v>
      </c>
      <c r="J896" t="str">
        <f>IFERROR(VLOOKUP(A896&amp;"",'BEA Buyer Groups'!$A$4:$C$500,3,FALSE),"Not used")</f>
        <v>Commercial</v>
      </c>
      <c r="K896" t="str">
        <f t="shared" si="13"/>
        <v>Direct</v>
      </c>
    </row>
    <row r="897" spans="1:11" x14ac:dyDescent="0.25">
      <c r="A897" s="130" t="s">
        <v>1498</v>
      </c>
      <c r="B897" t="s">
        <v>1499</v>
      </c>
      <c r="C897" s="130" t="s">
        <v>816</v>
      </c>
      <c r="D897" t="s">
        <v>817</v>
      </c>
      <c r="E897">
        <v>2</v>
      </c>
      <c r="F897">
        <v>0</v>
      </c>
      <c r="G897">
        <v>1</v>
      </c>
      <c r="H897">
        <v>0</v>
      </c>
      <c r="I897">
        <v>3</v>
      </c>
      <c r="J897" t="str">
        <f>IFERROR(VLOOKUP(A897&amp;"",'BEA Buyer Groups'!$A$4:$C$500,3,FALSE),"Not used")</f>
        <v>Commercial</v>
      </c>
      <c r="K897" t="str">
        <f t="shared" si="13"/>
        <v>Direct</v>
      </c>
    </row>
    <row r="898" spans="1:11" x14ac:dyDescent="0.25">
      <c r="A898" s="130" t="s">
        <v>1498</v>
      </c>
      <c r="B898" t="s">
        <v>1499</v>
      </c>
      <c r="C898" s="130" t="s">
        <v>846</v>
      </c>
      <c r="D898" t="s">
        <v>847</v>
      </c>
      <c r="E898">
        <v>1</v>
      </c>
      <c r="F898">
        <v>0</v>
      </c>
      <c r="G898">
        <v>0</v>
      </c>
      <c r="H898">
        <v>0</v>
      </c>
      <c r="I898">
        <v>2</v>
      </c>
      <c r="J898" t="str">
        <f>IFERROR(VLOOKUP(A898&amp;"",'BEA Buyer Groups'!$A$4:$C$500,3,FALSE),"Not used")</f>
        <v>Commercial</v>
      </c>
      <c r="K898" t="str">
        <f t="shared" si="13"/>
        <v>Direct</v>
      </c>
    </row>
    <row r="899" spans="1:11" x14ac:dyDescent="0.25">
      <c r="A899" s="130" t="s">
        <v>1500</v>
      </c>
      <c r="B899" t="s">
        <v>1501</v>
      </c>
      <c r="C899" s="130" t="s">
        <v>802</v>
      </c>
      <c r="D899" t="s">
        <v>803</v>
      </c>
      <c r="E899">
        <v>0</v>
      </c>
      <c r="F899">
        <v>0</v>
      </c>
      <c r="G899">
        <v>0</v>
      </c>
      <c r="H899">
        <v>0</v>
      </c>
      <c r="I899">
        <v>0</v>
      </c>
      <c r="J899" t="str">
        <f>IFERROR(VLOOKUP(A899&amp;"",'BEA Buyer Groups'!$A$4:$C$500,3,FALSE),"Not used")</f>
        <v>Commercial</v>
      </c>
      <c r="K899" t="str">
        <f t="shared" si="13"/>
        <v>Direct</v>
      </c>
    </row>
    <row r="900" spans="1:11" x14ac:dyDescent="0.25">
      <c r="A900" s="130" t="s">
        <v>1500</v>
      </c>
      <c r="B900" t="s">
        <v>1501</v>
      </c>
      <c r="C900" s="130" t="s">
        <v>822</v>
      </c>
      <c r="D900" t="s">
        <v>823</v>
      </c>
      <c r="E900">
        <v>34</v>
      </c>
      <c r="F900">
        <v>1</v>
      </c>
      <c r="G900">
        <v>5</v>
      </c>
      <c r="H900">
        <v>0</v>
      </c>
      <c r="I900">
        <v>40</v>
      </c>
      <c r="J900" t="str">
        <f>IFERROR(VLOOKUP(A900&amp;"",'BEA Buyer Groups'!$A$4:$C$500,3,FALSE),"Not used")</f>
        <v>Commercial</v>
      </c>
      <c r="K900" t="str">
        <f t="shared" si="13"/>
        <v>Direct</v>
      </c>
    </row>
    <row r="901" spans="1:11" x14ac:dyDescent="0.25">
      <c r="A901" s="130" t="s">
        <v>1500</v>
      </c>
      <c r="B901" t="s">
        <v>1501</v>
      </c>
      <c r="C901" s="130" t="s">
        <v>810</v>
      </c>
      <c r="D901" t="s">
        <v>811</v>
      </c>
      <c r="E901">
        <v>0</v>
      </c>
      <c r="F901">
        <v>0</v>
      </c>
      <c r="G901">
        <v>0</v>
      </c>
      <c r="H901">
        <v>0</v>
      </c>
      <c r="I901">
        <v>1</v>
      </c>
      <c r="J901" t="str">
        <f>IFERROR(VLOOKUP(A901&amp;"",'BEA Buyer Groups'!$A$4:$C$500,3,FALSE),"Not used")</f>
        <v>Commercial</v>
      </c>
      <c r="K901" t="str">
        <f t="shared" si="13"/>
        <v>Direct</v>
      </c>
    </row>
    <row r="902" spans="1:11" x14ac:dyDescent="0.25">
      <c r="A902" s="130" t="s">
        <v>1500</v>
      </c>
      <c r="B902" t="s">
        <v>1501</v>
      </c>
      <c r="C902" s="130" t="s">
        <v>816</v>
      </c>
      <c r="D902" t="s">
        <v>817</v>
      </c>
      <c r="E902">
        <v>12</v>
      </c>
      <c r="F902">
        <v>2</v>
      </c>
      <c r="G902">
        <v>4</v>
      </c>
      <c r="H902">
        <v>0</v>
      </c>
      <c r="I902">
        <v>18</v>
      </c>
      <c r="J902" t="str">
        <f>IFERROR(VLOOKUP(A902&amp;"",'BEA Buyer Groups'!$A$4:$C$500,3,FALSE),"Not used")</f>
        <v>Commercial</v>
      </c>
      <c r="K902" t="str">
        <f t="shared" si="13"/>
        <v>Direct</v>
      </c>
    </row>
    <row r="903" spans="1:11" x14ac:dyDescent="0.25">
      <c r="A903" s="130" t="s">
        <v>1500</v>
      </c>
      <c r="B903" t="s">
        <v>1501</v>
      </c>
      <c r="C903" s="130" t="s">
        <v>846</v>
      </c>
      <c r="D903" t="s">
        <v>847</v>
      </c>
      <c r="E903">
        <v>4</v>
      </c>
      <c r="F903">
        <v>0</v>
      </c>
      <c r="G903">
        <v>1</v>
      </c>
      <c r="H903">
        <v>0</v>
      </c>
      <c r="I903">
        <v>5</v>
      </c>
      <c r="J903" t="str">
        <f>IFERROR(VLOOKUP(A903&amp;"",'BEA Buyer Groups'!$A$4:$C$500,3,FALSE),"Not used")</f>
        <v>Commercial</v>
      </c>
      <c r="K903" t="str">
        <f t="shared" ref="K903:K966" si="14">IF(LEFT(A903,2)="23","Contractor","Direct")</f>
        <v>Direct</v>
      </c>
    </row>
    <row r="904" spans="1:11" x14ac:dyDescent="0.25">
      <c r="A904" s="130" t="s">
        <v>1502</v>
      </c>
      <c r="B904" t="s">
        <v>1503</v>
      </c>
      <c r="C904" s="130" t="s">
        <v>802</v>
      </c>
      <c r="D904" t="s">
        <v>803</v>
      </c>
      <c r="E904">
        <v>2</v>
      </c>
      <c r="F904">
        <v>0</v>
      </c>
      <c r="G904">
        <v>1</v>
      </c>
      <c r="H904">
        <v>0</v>
      </c>
      <c r="I904">
        <v>3</v>
      </c>
      <c r="J904" t="str">
        <f>IFERROR(VLOOKUP(A904&amp;"",'BEA Buyer Groups'!$A$4:$C$500,3,FALSE),"Not used")</f>
        <v>Commercial</v>
      </c>
      <c r="K904" t="str">
        <f t="shared" si="14"/>
        <v>Direct</v>
      </c>
    </row>
    <row r="905" spans="1:11" x14ac:dyDescent="0.25">
      <c r="A905" s="130" t="s">
        <v>1502</v>
      </c>
      <c r="B905" t="s">
        <v>1503</v>
      </c>
      <c r="C905" s="130" t="s">
        <v>822</v>
      </c>
      <c r="D905" t="s">
        <v>823</v>
      </c>
      <c r="E905">
        <v>43</v>
      </c>
      <c r="F905">
        <v>1</v>
      </c>
      <c r="G905">
        <v>11</v>
      </c>
      <c r="H905">
        <v>0</v>
      </c>
      <c r="I905">
        <v>55</v>
      </c>
      <c r="J905" t="str">
        <f>IFERROR(VLOOKUP(A905&amp;"",'BEA Buyer Groups'!$A$4:$C$500,3,FALSE),"Not used")</f>
        <v>Commercial</v>
      </c>
      <c r="K905" t="str">
        <f t="shared" si="14"/>
        <v>Direct</v>
      </c>
    </row>
    <row r="906" spans="1:11" x14ac:dyDescent="0.25">
      <c r="A906" s="130" t="s">
        <v>1502</v>
      </c>
      <c r="B906" t="s">
        <v>1503</v>
      </c>
      <c r="C906" s="130" t="s">
        <v>810</v>
      </c>
      <c r="D906" t="s">
        <v>811</v>
      </c>
      <c r="E906">
        <v>1</v>
      </c>
      <c r="F906">
        <v>0</v>
      </c>
      <c r="G906">
        <v>0</v>
      </c>
      <c r="H906">
        <v>0</v>
      </c>
      <c r="I906">
        <v>1</v>
      </c>
      <c r="J906" t="str">
        <f>IFERROR(VLOOKUP(A906&amp;"",'BEA Buyer Groups'!$A$4:$C$500,3,FALSE),"Not used")</f>
        <v>Commercial</v>
      </c>
      <c r="K906" t="str">
        <f t="shared" si="14"/>
        <v>Direct</v>
      </c>
    </row>
    <row r="907" spans="1:11" x14ac:dyDescent="0.25">
      <c r="A907" s="130" t="s">
        <v>1502</v>
      </c>
      <c r="B907" t="s">
        <v>1503</v>
      </c>
      <c r="C907" s="130" t="s">
        <v>816</v>
      </c>
      <c r="D907" t="s">
        <v>817</v>
      </c>
      <c r="E907">
        <v>2</v>
      </c>
      <c r="F907">
        <v>0</v>
      </c>
      <c r="G907">
        <v>1</v>
      </c>
      <c r="H907">
        <v>0</v>
      </c>
      <c r="I907">
        <v>3</v>
      </c>
      <c r="J907" t="str">
        <f>IFERROR(VLOOKUP(A907&amp;"",'BEA Buyer Groups'!$A$4:$C$500,3,FALSE),"Not used")</f>
        <v>Commercial</v>
      </c>
      <c r="K907" t="str">
        <f t="shared" si="14"/>
        <v>Direct</v>
      </c>
    </row>
    <row r="908" spans="1:11" x14ac:dyDescent="0.25">
      <c r="A908" s="130" t="s">
        <v>1504</v>
      </c>
      <c r="B908" t="s">
        <v>1505</v>
      </c>
      <c r="C908" s="130" t="s">
        <v>802</v>
      </c>
      <c r="D908" t="s">
        <v>803</v>
      </c>
      <c r="E908">
        <v>0</v>
      </c>
      <c r="F908">
        <v>0</v>
      </c>
      <c r="G908">
        <v>0</v>
      </c>
      <c r="H908">
        <v>0</v>
      </c>
      <c r="I908">
        <v>0</v>
      </c>
      <c r="J908" t="str">
        <f>IFERROR(VLOOKUP(A908&amp;"",'BEA Buyer Groups'!$A$4:$C$500,3,FALSE),"Not used")</f>
        <v>Commercial</v>
      </c>
      <c r="K908" t="str">
        <f t="shared" si="14"/>
        <v>Direct</v>
      </c>
    </row>
    <row r="909" spans="1:11" x14ac:dyDescent="0.25">
      <c r="A909" s="130" t="s">
        <v>1504</v>
      </c>
      <c r="B909" t="s">
        <v>1505</v>
      </c>
      <c r="C909" s="130" t="s">
        <v>822</v>
      </c>
      <c r="D909" t="s">
        <v>823</v>
      </c>
      <c r="E909">
        <v>2</v>
      </c>
      <c r="F909">
        <v>0</v>
      </c>
      <c r="G909">
        <v>1</v>
      </c>
      <c r="H909">
        <v>0</v>
      </c>
      <c r="I909">
        <v>3</v>
      </c>
      <c r="J909" t="str">
        <f>IFERROR(VLOOKUP(A909&amp;"",'BEA Buyer Groups'!$A$4:$C$500,3,FALSE),"Not used")</f>
        <v>Commercial</v>
      </c>
      <c r="K909" t="str">
        <f t="shared" si="14"/>
        <v>Direct</v>
      </c>
    </row>
    <row r="910" spans="1:11" x14ac:dyDescent="0.25">
      <c r="A910" s="130" t="s">
        <v>1504</v>
      </c>
      <c r="B910" t="s">
        <v>1505</v>
      </c>
      <c r="C910" s="130" t="s">
        <v>816</v>
      </c>
      <c r="D910" t="s">
        <v>817</v>
      </c>
      <c r="E910">
        <v>39</v>
      </c>
      <c r="F910">
        <v>5</v>
      </c>
      <c r="G910">
        <v>12</v>
      </c>
      <c r="H910">
        <v>0</v>
      </c>
      <c r="I910">
        <v>56</v>
      </c>
      <c r="J910" t="str">
        <f>IFERROR(VLOOKUP(A910&amp;"",'BEA Buyer Groups'!$A$4:$C$500,3,FALSE),"Not used")</f>
        <v>Commercial</v>
      </c>
      <c r="K910" t="str">
        <f t="shared" si="14"/>
        <v>Direct</v>
      </c>
    </row>
    <row r="911" spans="1:11" x14ac:dyDescent="0.25">
      <c r="A911" s="130" t="s">
        <v>1506</v>
      </c>
      <c r="B911" t="s">
        <v>1507</v>
      </c>
      <c r="C911" s="130" t="s">
        <v>822</v>
      </c>
      <c r="D911" t="s">
        <v>823</v>
      </c>
      <c r="E911">
        <v>5</v>
      </c>
      <c r="F911">
        <v>0</v>
      </c>
      <c r="G911">
        <v>0</v>
      </c>
      <c r="H911">
        <v>0</v>
      </c>
      <c r="I911">
        <v>5</v>
      </c>
      <c r="J911" t="str">
        <f>IFERROR(VLOOKUP(A911&amp;"",'BEA Buyer Groups'!$A$4:$C$500,3,FALSE),"Not used")</f>
        <v>Commercial</v>
      </c>
      <c r="K911" t="str">
        <f t="shared" si="14"/>
        <v>Direct</v>
      </c>
    </row>
    <row r="912" spans="1:11" x14ac:dyDescent="0.25">
      <c r="A912" s="130" t="s">
        <v>1506</v>
      </c>
      <c r="B912" t="s">
        <v>1507</v>
      </c>
      <c r="C912" s="130" t="s">
        <v>810</v>
      </c>
      <c r="D912" t="s">
        <v>811</v>
      </c>
      <c r="E912">
        <v>0</v>
      </c>
      <c r="F912">
        <v>0</v>
      </c>
      <c r="G912">
        <v>0</v>
      </c>
      <c r="H912">
        <v>0</v>
      </c>
      <c r="I912">
        <v>0</v>
      </c>
      <c r="J912" t="str">
        <f>IFERROR(VLOOKUP(A912&amp;"",'BEA Buyer Groups'!$A$4:$C$500,3,FALSE),"Not used")</f>
        <v>Commercial</v>
      </c>
      <c r="K912" t="str">
        <f t="shared" si="14"/>
        <v>Direct</v>
      </c>
    </row>
    <row r="913" spans="1:11" x14ac:dyDescent="0.25">
      <c r="A913" s="130" t="s">
        <v>1508</v>
      </c>
      <c r="B913" t="s">
        <v>1509</v>
      </c>
      <c r="C913" s="130" t="s">
        <v>822</v>
      </c>
      <c r="D913" t="s">
        <v>823</v>
      </c>
      <c r="E913">
        <v>2</v>
      </c>
      <c r="F913">
        <v>0</v>
      </c>
      <c r="G913">
        <v>0</v>
      </c>
      <c r="H913">
        <v>0</v>
      </c>
      <c r="I913">
        <v>2</v>
      </c>
      <c r="J913" t="str">
        <f>IFERROR(VLOOKUP(A913&amp;"",'BEA Buyer Groups'!$A$4:$C$500,3,FALSE),"Not used")</f>
        <v>Commercial</v>
      </c>
      <c r="K913" t="str">
        <f t="shared" si="14"/>
        <v>Direct</v>
      </c>
    </row>
    <row r="914" spans="1:11" x14ac:dyDescent="0.25">
      <c r="A914" s="130" t="s">
        <v>1510</v>
      </c>
      <c r="B914" t="s">
        <v>1511</v>
      </c>
      <c r="C914" s="130" t="s">
        <v>822</v>
      </c>
      <c r="D914" t="s">
        <v>823</v>
      </c>
      <c r="E914">
        <v>3</v>
      </c>
      <c r="F914">
        <v>0</v>
      </c>
      <c r="G914">
        <v>0</v>
      </c>
      <c r="H914">
        <v>0</v>
      </c>
      <c r="I914">
        <v>3</v>
      </c>
      <c r="J914" t="str">
        <f>IFERROR(VLOOKUP(A914&amp;"",'BEA Buyer Groups'!$A$4:$C$500,3,FALSE),"Not used")</f>
        <v>Commercial</v>
      </c>
      <c r="K914" t="str">
        <f t="shared" si="14"/>
        <v>Direct</v>
      </c>
    </row>
    <row r="915" spans="1:11" x14ac:dyDescent="0.25">
      <c r="A915" s="130" t="s">
        <v>1512</v>
      </c>
      <c r="B915" t="s">
        <v>1513</v>
      </c>
      <c r="C915" s="130" t="s">
        <v>822</v>
      </c>
      <c r="D915" t="s">
        <v>823</v>
      </c>
      <c r="E915">
        <v>5</v>
      </c>
      <c r="F915">
        <v>0</v>
      </c>
      <c r="G915">
        <v>0</v>
      </c>
      <c r="H915">
        <v>0</v>
      </c>
      <c r="I915">
        <v>5</v>
      </c>
      <c r="J915" t="str">
        <f>IFERROR(VLOOKUP(A915&amp;"",'BEA Buyer Groups'!$A$4:$C$500,3,FALSE),"Not used")</f>
        <v>Commercial</v>
      </c>
      <c r="K915" t="str">
        <f t="shared" si="14"/>
        <v>Direct</v>
      </c>
    </row>
    <row r="916" spans="1:11" x14ac:dyDescent="0.25">
      <c r="A916" s="130" t="s">
        <v>1512</v>
      </c>
      <c r="B916" t="s">
        <v>1513</v>
      </c>
      <c r="C916" s="130" t="s">
        <v>816</v>
      </c>
      <c r="D916" t="s">
        <v>817</v>
      </c>
      <c r="E916">
        <v>6</v>
      </c>
      <c r="F916">
        <v>1</v>
      </c>
      <c r="G916">
        <v>2</v>
      </c>
      <c r="H916">
        <v>0</v>
      </c>
      <c r="I916">
        <v>8</v>
      </c>
      <c r="J916" t="str">
        <f>IFERROR(VLOOKUP(A916&amp;"",'BEA Buyer Groups'!$A$4:$C$500,3,FALSE),"Not used")</f>
        <v>Commercial</v>
      </c>
      <c r="K916" t="str">
        <f t="shared" si="14"/>
        <v>Direct</v>
      </c>
    </row>
    <row r="917" spans="1:11" x14ac:dyDescent="0.25">
      <c r="A917" s="130" t="s">
        <v>1514</v>
      </c>
      <c r="B917" t="s">
        <v>1515</v>
      </c>
      <c r="C917" s="130" t="s">
        <v>822</v>
      </c>
      <c r="D917" t="s">
        <v>823</v>
      </c>
      <c r="E917">
        <v>24</v>
      </c>
      <c r="F917">
        <v>1</v>
      </c>
      <c r="G917">
        <v>0</v>
      </c>
      <c r="H917">
        <v>0</v>
      </c>
      <c r="I917">
        <v>25</v>
      </c>
      <c r="J917" t="str">
        <f>IFERROR(VLOOKUP(A917&amp;"",'BEA Buyer Groups'!$A$4:$C$500,3,FALSE),"Not used")</f>
        <v>Commercial</v>
      </c>
      <c r="K917" t="str">
        <f t="shared" si="14"/>
        <v>Direct</v>
      </c>
    </row>
    <row r="918" spans="1:11" x14ac:dyDescent="0.25">
      <c r="A918" s="130" t="s">
        <v>1514</v>
      </c>
      <c r="B918" t="s">
        <v>1515</v>
      </c>
      <c r="C918" s="130" t="s">
        <v>816</v>
      </c>
      <c r="D918" t="s">
        <v>817</v>
      </c>
      <c r="E918">
        <v>172</v>
      </c>
      <c r="F918">
        <v>22</v>
      </c>
      <c r="G918">
        <v>54</v>
      </c>
      <c r="H918">
        <v>0</v>
      </c>
      <c r="I918">
        <v>248</v>
      </c>
      <c r="J918" t="str">
        <f>IFERROR(VLOOKUP(A918&amp;"",'BEA Buyer Groups'!$A$4:$C$500,3,FALSE),"Not used")</f>
        <v>Commercial</v>
      </c>
      <c r="K918" t="str">
        <f t="shared" si="14"/>
        <v>Direct</v>
      </c>
    </row>
    <row r="919" spans="1:11" x14ac:dyDescent="0.25">
      <c r="A919" s="130" t="s">
        <v>1516</v>
      </c>
      <c r="B919" t="s">
        <v>1517</v>
      </c>
      <c r="C919" s="130" t="s">
        <v>802</v>
      </c>
      <c r="D919" t="s">
        <v>803</v>
      </c>
      <c r="E919">
        <v>1</v>
      </c>
      <c r="F919">
        <v>0</v>
      </c>
      <c r="G919">
        <v>1</v>
      </c>
      <c r="H919">
        <v>0</v>
      </c>
      <c r="I919">
        <v>2</v>
      </c>
      <c r="J919" t="str">
        <f>IFERROR(VLOOKUP(A919&amp;"",'BEA Buyer Groups'!$A$4:$C$500,3,FALSE),"Not used")</f>
        <v>Commercial</v>
      </c>
      <c r="K919" t="str">
        <f t="shared" si="14"/>
        <v>Direct</v>
      </c>
    </row>
    <row r="920" spans="1:11" x14ac:dyDescent="0.25">
      <c r="A920" s="130" t="s">
        <v>1516</v>
      </c>
      <c r="B920" t="s">
        <v>1517</v>
      </c>
      <c r="C920" s="130" t="s">
        <v>822</v>
      </c>
      <c r="D920" t="s">
        <v>823</v>
      </c>
      <c r="E920">
        <v>41</v>
      </c>
      <c r="F920">
        <v>1</v>
      </c>
      <c r="G920">
        <v>9</v>
      </c>
      <c r="H920">
        <v>0</v>
      </c>
      <c r="I920">
        <v>52</v>
      </c>
      <c r="J920" t="str">
        <f>IFERROR(VLOOKUP(A920&amp;"",'BEA Buyer Groups'!$A$4:$C$500,3,FALSE),"Not used")</f>
        <v>Commercial</v>
      </c>
      <c r="K920" t="str">
        <f t="shared" si="14"/>
        <v>Direct</v>
      </c>
    </row>
    <row r="921" spans="1:11" x14ac:dyDescent="0.25">
      <c r="A921" s="130" t="s">
        <v>1516</v>
      </c>
      <c r="B921" t="s">
        <v>1517</v>
      </c>
      <c r="C921" s="130" t="s">
        <v>810</v>
      </c>
      <c r="D921" t="s">
        <v>811</v>
      </c>
      <c r="E921">
        <v>1</v>
      </c>
      <c r="F921">
        <v>0</v>
      </c>
      <c r="G921">
        <v>0</v>
      </c>
      <c r="H921">
        <v>0</v>
      </c>
      <c r="I921">
        <v>1</v>
      </c>
      <c r="J921" t="str">
        <f>IFERROR(VLOOKUP(A921&amp;"",'BEA Buyer Groups'!$A$4:$C$500,3,FALSE),"Not used")</f>
        <v>Commercial</v>
      </c>
      <c r="K921" t="str">
        <f t="shared" si="14"/>
        <v>Direct</v>
      </c>
    </row>
    <row r="922" spans="1:11" x14ac:dyDescent="0.25">
      <c r="A922" s="130" t="s">
        <v>1516</v>
      </c>
      <c r="B922" t="s">
        <v>1517</v>
      </c>
      <c r="C922" s="130" t="s">
        <v>816</v>
      </c>
      <c r="D922" t="s">
        <v>817</v>
      </c>
      <c r="E922">
        <v>40</v>
      </c>
      <c r="F922">
        <v>5</v>
      </c>
      <c r="G922">
        <v>12</v>
      </c>
      <c r="H922">
        <v>0</v>
      </c>
      <c r="I922">
        <v>57</v>
      </c>
      <c r="J922" t="str">
        <f>IFERROR(VLOOKUP(A922&amp;"",'BEA Buyer Groups'!$A$4:$C$500,3,FALSE),"Not used")</f>
        <v>Commercial</v>
      </c>
      <c r="K922" t="str">
        <f t="shared" si="14"/>
        <v>Direct</v>
      </c>
    </row>
    <row r="923" spans="1:11" x14ac:dyDescent="0.25">
      <c r="A923" s="130" t="s">
        <v>1516</v>
      </c>
      <c r="B923" t="s">
        <v>1517</v>
      </c>
      <c r="C923" s="130" t="s">
        <v>846</v>
      </c>
      <c r="D923" t="s">
        <v>847</v>
      </c>
      <c r="E923">
        <v>3</v>
      </c>
      <c r="F923">
        <v>0</v>
      </c>
      <c r="G923">
        <v>1</v>
      </c>
      <c r="H923">
        <v>0</v>
      </c>
      <c r="I923">
        <v>5</v>
      </c>
      <c r="J923" t="str">
        <f>IFERROR(VLOOKUP(A923&amp;"",'BEA Buyer Groups'!$A$4:$C$500,3,FALSE),"Not used")</f>
        <v>Commercial</v>
      </c>
      <c r="K923" t="str">
        <f t="shared" si="14"/>
        <v>Direct</v>
      </c>
    </row>
    <row r="924" spans="1:11" x14ac:dyDescent="0.25">
      <c r="A924" s="130" t="s">
        <v>1518</v>
      </c>
      <c r="B924" t="s">
        <v>1519</v>
      </c>
      <c r="C924" s="130" t="s">
        <v>820</v>
      </c>
      <c r="D924" t="s">
        <v>821</v>
      </c>
      <c r="E924">
        <v>0</v>
      </c>
      <c r="F924">
        <v>0</v>
      </c>
      <c r="G924">
        <v>0</v>
      </c>
      <c r="H924">
        <v>0</v>
      </c>
      <c r="I924">
        <v>0</v>
      </c>
      <c r="J924" t="str">
        <f>IFERROR(VLOOKUP(A924&amp;"",'BEA Buyer Groups'!$A$4:$C$500,3,FALSE),"Not used")</f>
        <v>Commercial</v>
      </c>
      <c r="K924" t="str">
        <f t="shared" si="14"/>
        <v>Direct</v>
      </c>
    </row>
    <row r="925" spans="1:11" x14ac:dyDescent="0.25">
      <c r="A925" s="130" t="s">
        <v>1518</v>
      </c>
      <c r="B925" t="s">
        <v>1519</v>
      </c>
      <c r="C925" s="130" t="s">
        <v>802</v>
      </c>
      <c r="D925" t="s">
        <v>803</v>
      </c>
      <c r="E925">
        <v>1</v>
      </c>
      <c r="F925">
        <v>0</v>
      </c>
      <c r="G925">
        <v>1</v>
      </c>
      <c r="H925">
        <v>0</v>
      </c>
      <c r="I925">
        <v>2</v>
      </c>
      <c r="J925" t="str">
        <f>IFERROR(VLOOKUP(A925&amp;"",'BEA Buyer Groups'!$A$4:$C$500,3,FALSE),"Not used")</f>
        <v>Commercial</v>
      </c>
      <c r="K925" t="str">
        <f t="shared" si="14"/>
        <v>Direct</v>
      </c>
    </row>
    <row r="926" spans="1:11" x14ac:dyDescent="0.25">
      <c r="A926" s="130" t="s">
        <v>1518</v>
      </c>
      <c r="B926" t="s">
        <v>1519</v>
      </c>
      <c r="C926" s="130" t="s">
        <v>822</v>
      </c>
      <c r="D926" t="s">
        <v>823</v>
      </c>
      <c r="E926">
        <v>63</v>
      </c>
      <c r="F926">
        <v>2</v>
      </c>
      <c r="G926">
        <v>12</v>
      </c>
      <c r="H926">
        <v>20</v>
      </c>
      <c r="I926">
        <v>97</v>
      </c>
      <c r="J926" t="str">
        <f>IFERROR(VLOOKUP(A926&amp;"",'BEA Buyer Groups'!$A$4:$C$500,3,FALSE),"Not used")</f>
        <v>Commercial</v>
      </c>
      <c r="K926" t="str">
        <f t="shared" si="14"/>
        <v>Direct</v>
      </c>
    </row>
    <row r="927" spans="1:11" x14ac:dyDescent="0.25">
      <c r="A927" s="130" t="s">
        <v>1518</v>
      </c>
      <c r="B927" t="s">
        <v>1519</v>
      </c>
      <c r="C927" s="130" t="s">
        <v>860</v>
      </c>
      <c r="D927" t="s">
        <v>861</v>
      </c>
      <c r="E927">
        <v>1</v>
      </c>
      <c r="F927">
        <v>0</v>
      </c>
      <c r="G927">
        <v>0</v>
      </c>
      <c r="H927">
        <v>0</v>
      </c>
      <c r="I927">
        <v>1</v>
      </c>
      <c r="J927" t="str">
        <f>IFERROR(VLOOKUP(A927&amp;"",'BEA Buyer Groups'!$A$4:$C$500,3,FALSE),"Not used")</f>
        <v>Commercial</v>
      </c>
      <c r="K927" t="str">
        <f t="shared" si="14"/>
        <v>Direct</v>
      </c>
    </row>
    <row r="928" spans="1:11" x14ac:dyDescent="0.25">
      <c r="A928" s="130" t="s">
        <v>1518</v>
      </c>
      <c r="B928" t="s">
        <v>1519</v>
      </c>
      <c r="C928" s="130" t="s">
        <v>810</v>
      </c>
      <c r="D928" t="s">
        <v>811</v>
      </c>
      <c r="E928">
        <v>1</v>
      </c>
      <c r="F928">
        <v>0</v>
      </c>
      <c r="G928">
        <v>0</v>
      </c>
      <c r="H928">
        <v>2</v>
      </c>
      <c r="I928">
        <v>3</v>
      </c>
      <c r="J928" t="str">
        <f>IFERROR(VLOOKUP(A928&amp;"",'BEA Buyer Groups'!$A$4:$C$500,3,FALSE),"Not used")</f>
        <v>Commercial</v>
      </c>
      <c r="K928" t="str">
        <f t="shared" si="14"/>
        <v>Direct</v>
      </c>
    </row>
    <row r="929" spans="1:11" x14ac:dyDescent="0.25">
      <c r="A929" s="130" t="s">
        <v>1518</v>
      </c>
      <c r="B929" t="s">
        <v>1519</v>
      </c>
      <c r="C929" s="130" t="s">
        <v>816</v>
      </c>
      <c r="D929" t="s">
        <v>817</v>
      </c>
      <c r="E929">
        <v>826</v>
      </c>
      <c r="F929">
        <v>104</v>
      </c>
      <c r="G929">
        <v>259</v>
      </c>
      <c r="H929">
        <v>0</v>
      </c>
      <c r="I929">
        <v>1189</v>
      </c>
      <c r="J929" t="str">
        <f>IFERROR(VLOOKUP(A929&amp;"",'BEA Buyer Groups'!$A$4:$C$500,3,FALSE),"Not used")</f>
        <v>Commercial</v>
      </c>
      <c r="K929" t="str">
        <f t="shared" si="14"/>
        <v>Direct</v>
      </c>
    </row>
    <row r="930" spans="1:11" x14ac:dyDescent="0.25">
      <c r="A930" s="130" t="s">
        <v>1518</v>
      </c>
      <c r="B930" t="s">
        <v>1519</v>
      </c>
      <c r="C930" s="130" t="s">
        <v>846</v>
      </c>
      <c r="D930" t="s">
        <v>847</v>
      </c>
      <c r="E930">
        <v>3</v>
      </c>
      <c r="F930">
        <v>0</v>
      </c>
      <c r="G930">
        <v>1</v>
      </c>
      <c r="H930">
        <v>0</v>
      </c>
      <c r="I930">
        <v>4</v>
      </c>
      <c r="J930" t="str">
        <f>IFERROR(VLOOKUP(A930&amp;"",'BEA Buyer Groups'!$A$4:$C$500,3,FALSE),"Not used")</f>
        <v>Commercial</v>
      </c>
      <c r="K930" t="str">
        <f t="shared" si="14"/>
        <v>Direct</v>
      </c>
    </row>
    <row r="931" spans="1:11" x14ac:dyDescent="0.25">
      <c r="A931" s="130" t="s">
        <v>1518</v>
      </c>
      <c r="B931" t="s">
        <v>1519</v>
      </c>
      <c r="C931" s="130" t="s">
        <v>848</v>
      </c>
      <c r="D931" t="s">
        <v>849</v>
      </c>
      <c r="E931">
        <v>3</v>
      </c>
      <c r="F931">
        <v>0</v>
      </c>
      <c r="G931">
        <v>1</v>
      </c>
      <c r="H931">
        <v>0</v>
      </c>
      <c r="I931">
        <v>4</v>
      </c>
      <c r="J931" t="str">
        <f>IFERROR(VLOOKUP(A931&amp;"",'BEA Buyer Groups'!$A$4:$C$500,3,FALSE),"Not used")</f>
        <v>Commercial</v>
      </c>
      <c r="K931" t="str">
        <f t="shared" si="14"/>
        <v>Direct</v>
      </c>
    </row>
    <row r="932" spans="1:11" x14ac:dyDescent="0.25">
      <c r="A932" s="130" t="s">
        <v>1520</v>
      </c>
      <c r="B932" t="s">
        <v>1521</v>
      </c>
      <c r="C932" s="130" t="s">
        <v>820</v>
      </c>
      <c r="D932" t="s">
        <v>821</v>
      </c>
      <c r="E932">
        <v>0</v>
      </c>
      <c r="F932">
        <v>0</v>
      </c>
      <c r="G932">
        <v>0</v>
      </c>
      <c r="H932">
        <v>0</v>
      </c>
      <c r="I932">
        <v>0</v>
      </c>
      <c r="J932" t="str">
        <f>IFERROR(VLOOKUP(A932&amp;"",'BEA Buyer Groups'!$A$4:$C$500,3,FALSE),"Not used")</f>
        <v>Commercial</v>
      </c>
      <c r="K932" t="str">
        <f t="shared" si="14"/>
        <v>Direct</v>
      </c>
    </row>
    <row r="933" spans="1:11" x14ac:dyDescent="0.25">
      <c r="A933" s="130" t="s">
        <v>1520</v>
      </c>
      <c r="B933" t="s">
        <v>1521</v>
      </c>
      <c r="C933" s="130" t="s">
        <v>802</v>
      </c>
      <c r="D933" t="s">
        <v>803</v>
      </c>
      <c r="E933">
        <v>0</v>
      </c>
      <c r="F933">
        <v>0</v>
      </c>
      <c r="G933">
        <v>0</v>
      </c>
      <c r="H933">
        <v>0</v>
      </c>
      <c r="I933">
        <v>0</v>
      </c>
      <c r="J933" t="str">
        <f>IFERROR(VLOOKUP(A933&amp;"",'BEA Buyer Groups'!$A$4:$C$500,3,FALSE),"Not used")</f>
        <v>Commercial</v>
      </c>
      <c r="K933" t="str">
        <f t="shared" si="14"/>
        <v>Direct</v>
      </c>
    </row>
    <row r="934" spans="1:11" x14ac:dyDescent="0.25">
      <c r="A934" s="130" t="s">
        <v>1520</v>
      </c>
      <c r="B934" t="s">
        <v>1521</v>
      </c>
      <c r="C934" s="130" t="s">
        <v>822</v>
      </c>
      <c r="D934" t="s">
        <v>823</v>
      </c>
      <c r="E934">
        <v>183</v>
      </c>
      <c r="F934">
        <v>5</v>
      </c>
      <c r="G934">
        <v>31</v>
      </c>
      <c r="H934">
        <v>3</v>
      </c>
      <c r="I934">
        <v>222</v>
      </c>
      <c r="J934" t="str">
        <f>IFERROR(VLOOKUP(A934&amp;"",'BEA Buyer Groups'!$A$4:$C$500,3,FALSE),"Not used")</f>
        <v>Commercial</v>
      </c>
      <c r="K934" t="str">
        <f t="shared" si="14"/>
        <v>Direct</v>
      </c>
    </row>
    <row r="935" spans="1:11" x14ac:dyDescent="0.25">
      <c r="A935" s="130" t="s">
        <v>1520</v>
      </c>
      <c r="B935" t="s">
        <v>1521</v>
      </c>
      <c r="C935" s="130" t="s">
        <v>860</v>
      </c>
      <c r="D935" t="s">
        <v>861</v>
      </c>
      <c r="E935">
        <v>1</v>
      </c>
      <c r="F935">
        <v>0</v>
      </c>
      <c r="G935">
        <v>0</v>
      </c>
      <c r="H935">
        <v>0</v>
      </c>
      <c r="I935">
        <v>2</v>
      </c>
      <c r="J935" t="str">
        <f>IFERROR(VLOOKUP(A935&amp;"",'BEA Buyer Groups'!$A$4:$C$500,3,FALSE),"Not used")</f>
        <v>Commercial</v>
      </c>
      <c r="K935" t="str">
        <f t="shared" si="14"/>
        <v>Direct</v>
      </c>
    </row>
    <row r="936" spans="1:11" x14ac:dyDescent="0.25">
      <c r="A936" s="130" t="s">
        <v>1520</v>
      </c>
      <c r="B936" t="s">
        <v>1521</v>
      </c>
      <c r="C936" s="130" t="s">
        <v>816</v>
      </c>
      <c r="D936" t="s">
        <v>817</v>
      </c>
      <c r="E936">
        <v>7</v>
      </c>
      <c r="F936">
        <v>1</v>
      </c>
      <c r="G936">
        <v>2</v>
      </c>
      <c r="H936">
        <v>0</v>
      </c>
      <c r="I936">
        <v>11</v>
      </c>
      <c r="J936" t="str">
        <f>IFERROR(VLOOKUP(A936&amp;"",'BEA Buyer Groups'!$A$4:$C$500,3,FALSE),"Not used")</f>
        <v>Commercial</v>
      </c>
      <c r="K936" t="str">
        <f t="shared" si="14"/>
        <v>Direct</v>
      </c>
    </row>
    <row r="937" spans="1:11" x14ac:dyDescent="0.25">
      <c r="A937" s="130" t="s">
        <v>1520</v>
      </c>
      <c r="B937" t="s">
        <v>1521</v>
      </c>
      <c r="C937" s="130" t="s">
        <v>846</v>
      </c>
      <c r="D937" t="s">
        <v>847</v>
      </c>
      <c r="E937">
        <v>4</v>
      </c>
      <c r="F937">
        <v>1</v>
      </c>
      <c r="G937">
        <v>1</v>
      </c>
      <c r="H937">
        <v>0</v>
      </c>
      <c r="I937">
        <v>6</v>
      </c>
      <c r="J937" t="str">
        <f>IFERROR(VLOOKUP(A937&amp;"",'BEA Buyer Groups'!$A$4:$C$500,3,FALSE),"Not used")</f>
        <v>Commercial</v>
      </c>
      <c r="K937" t="str">
        <f t="shared" si="14"/>
        <v>Direct</v>
      </c>
    </row>
    <row r="938" spans="1:11" x14ac:dyDescent="0.25">
      <c r="A938" s="130" t="s">
        <v>1522</v>
      </c>
      <c r="B938" t="s">
        <v>1523</v>
      </c>
      <c r="C938" s="130" t="s">
        <v>820</v>
      </c>
      <c r="D938" t="s">
        <v>821</v>
      </c>
      <c r="E938">
        <v>0</v>
      </c>
      <c r="F938">
        <v>0</v>
      </c>
      <c r="G938">
        <v>0</v>
      </c>
      <c r="H938">
        <v>0</v>
      </c>
      <c r="I938">
        <v>0</v>
      </c>
      <c r="J938" t="str">
        <f>IFERROR(VLOOKUP(A938&amp;"",'BEA Buyer Groups'!$A$4:$C$500,3,FALSE),"Not used")</f>
        <v>Commercial</v>
      </c>
      <c r="K938" t="str">
        <f t="shared" si="14"/>
        <v>Direct</v>
      </c>
    </row>
    <row r="939" spans="1:11" x14ac:dyDescent="0.25">
      <c r="A939" s="130" t="s">
        <v>1522</v>
      </c>
      <c r="B939" t="s">
        <v>1523</v>
      </c>
      <c r="C939" s="130" t="s">
        <v>802</v>
      </c>
      <c r="D939" t="s">
        <v>803</v>
      </c>
      <c r="E939">
        <v>9</v>
      </c>
      <c r="F939">
        <v>0</v>
      </c>
      <c r="G939">
        <v>4</v>
      </c>
      <c r="H939">
        <v>0</v>
      </c>
      <c r="I939">
        <v>13</v>
      </c>
      <c r="J939" t="str">
        <f>IFERROR(VLOOKUP(A939&amp;"",'BEA Buyer Groups'!$A$4:$C$500,3,FALSE),"Not used")</f>
        <v>Commercial</v>
      </c>
      <c r="K939" t="str">
        <f t="shared" si="14"/>
        <v>Direct</v>
      </c>
    </row>
    <row r="940" spans="1:11" x14ac:dyDescent="0.25">
      <c r="A940" s="130" t="s">
        <v>1522</v>
      </c>
      <c r="B940" t="s">
        <v>1523</v>
      </c>
      <c r="C940" s="130" t="s">
        <v>822</v>
      </c>
      <c r="D940" t="s">
        <v>823</v>
      </c>
      <c r="E940">
        <v>198</v>
      </c>
      <c r="F940">
        <v>6</v>
      </c>
      <c r="G940">
        <v>28</v>
      </c>
      <c r="H940">
        <v>4</v>
      </c>
      <c r="I940">
        <v>236</v>
      </c>
      <c r="J940" t="str">
        <f>IFERROR(VLOOKUP(A940&amp;"",'BEA Buyer Groups'!$A$4:$C$500,3,FALSE),"Not used")</f>
        <v>Commercial</v>
      </c>
      <c r="K940" t="str">
        <f t="shared" si="14"/>
        <v>Direct</v>
      </c>
    </row>
    <row r="941" spans="1:11" x14ac:dyDescent="0.25">
      <c r="A941" s="130" t="s">
        <v>1522</v>
      </c>
      <c r="B941" t="s">
        <v>1523</v>
      </c>
      <c r="C941" s="130" t="s">
        <v>860</v>
      </c>
      <c r="D941" t="s">
        <v>861</v>
      </c>
      <c r="E941">
        <v>3</v>
      </c>
      <c r="F941">
        <v>0</v>
      </c>
      <c r="G941">
        <v>1</v>
      </c>
      <c r="H941">
        <v>0</v>
      </c>
      <c r="I941">
        <v>4</v>
      </c>
      <c r="J941" t="str">
        <f>IFERROR(VLOOKUP(A941&amp;"",'BEA Buyer Groups'!$A$4:$C$500,3,FALSE),"Not used")</f>
        <v>Commercial</v>
      </c>
      <c r="K941" t="str">
        <f t="shared" si="14"/>
        <v>Direct</v>
      </c>
    </row>
    <row r="942" spans="1:11" x14ac:dyDescent="0.25">
      <c r="A942" s="130" t="s">
        <v>1522</v>
      </c>
      <c r="B942" t="s">
        <v>1523</v>
      </c>
      <c r="C942" s="130" t="s">
        <v>810</v>
      </c>
      <c r="D942" t="s">
        <v>811</v>
      </c>
      <c r="E942">
        <v>2</v>
      </c>
      <c r="F942">
        <v>0</v>
      </c>
      <c r="G942">
        <v>1</v>
      </c>
      <c r="H942">
        <v>0</v>
      </c>
      <c r="I942">
        <v>3</v>
      </c>
      <c r="J942" t="str">
        <f>IFERROR(VLOOKUP(A942&amp;"",'BEA Buyer Groups'!$A$4:$C$500,3,FALSE),"Not used")</f>
        <v>Commercial</v>
      </c>
      <c r="K942" t="str">
        <f t="shared" si="14"/>
        <v>Direct</v>
      </c>
    </row>
    <row r="943" spans="1:11" x14ac:dyDescent="0.25">
      <c r="A943" s="130" t="s">
        <v>1522</v>
      </c>
      <c r="B943" t="s">
        <v>1523</v>
      </c>
      <c r="C943" s="130" t="s">
        <v>816</v>
      </c>
      <c r="D943" t="s">
        <v>817</v>
      </c>
      <c r="E943">
        <v>27</v>
      </c>
      <c r="F943">
        <v>3</v>
      </c>
      <c r="G943">
        <v>9</v>
      </c>
      <c r="H943">
        <v>0</v>
      </c>
      <c r="I943">
        <v>39</v>
      </c>
      <c r="J943" t="str">
        <f>IFERROR(VLOOKUP(A943&amp;"",'BEA Buyer Groups'!$A$4:$C$500,3,FALSE),"Not used")</f>
        <v>Commercial</v>
      </c>
      <c r="K943" t="str">
        <f t="shared" si="14"/>
        <v>Direct</v>
      </c>
    </row>
    <row r="944" spans="1:11" x14ac:dyDescent="0.25">
      <c r="A944" s="130" t="s">
        <v>1524</v>
      </c>
      <c r="B944" t="s">
        <v>1525</v>
      </c>
      <c r="C944" s="130" t="s">
        <v>820</v>
      </c>
      <c r="D944" t="s">
        <v>821</v>
      </c>
      <c r="E944">
        <v>0</v>
      </c>
      <c r="F944">
        <v>0</v>
      </c>
      <c r="G944">
        <v>0</v>
      </c>
      <c r="H944">
        <v>0</v>
      </c>
      <c r="I944">
        <v>0</v>
      </c>
      <c r="J944" t="str">
        <f>IFERROR(VLOOKUP(A944&amp;"",'BEA Buyer Groups'!$A$4:$C$500,3,FALSE),"Not used")</f>
        <v>Commercial</v>
      </c>
      <c r="K944" t="str">
        <f t="shared" si="14"/>
        <v>Direct</v>
      </c>
    </row>
    <row r="945" spans="1:11" x14ac:dyDescent="0.25">
      <c r="A945" s="130" t="s">
        <v>1524</v>
      </c>
      <c r="B945" t="s">
        <v>1525</v>
      </c>
      <c r="C945" s="130" t="s">
        <v>802</v>
      </c>
      <c r="D945" t="s">
        <v>803</v>
      </c>
      <c r="E945">
        <v>3</v>
      </c>
      <c r="F945">
        <v>0</v>
      </c>
      <c r="G945">
        <v>1</v>
      </c>
      <c r="H945">
        <v>0</v>
      </c>
      <c r="I945">
        <v>5</v>
      </c>
      <c r="J945" t="str">
        <f>IFERROR(VLOOKUP(A945&amp;"",'BEA Buyer Groups'!$A$4:$C$500,3,FALSE),"Not used")</f>
        <v>Commercial</v>
      </c>
      <c r="K945" t="str">
        <f t="shared" si="14"/>
        <v>Direct</v>
      </c>
    </row>
    <row r="946" spans="1:11" x14ac:dyDescent="0.25">
      <c r="A946" s="130" t="s">
        <v>1524</v>
      </c>
      <c r="B946" t="s">
        <v>1525</v>
      </c>
      <c r="C946" s="130" t="s">
        <v>822</v>
      </c>
      <c r="D946" t="s">
        <v>823</v>
      </c>
      <c r="E946">
        <v>12</v>
      </c>
      <c r="F946">
        <v>0</v>
      </c>
      <c r="G946">
        <v>5</v>
      </c>
      <c r="H946">
        <v>1</v>
      </c>
      <c r="I946">
        <v>18</v>
      </c>
      <c r="J946" t="str">
        <f>IFERROR(VLOOKUP(A946&amp;"",'BEA Buyer Groups'!$A$4:$C$500,3,FALSE),"Not used")</f>
        <v>Commercial</v>
      </c>
      <c r="K946" t="str">
        <f t="shared" si="14"/>
        <v>Direct</v>
      </c>
    </row>
    <row r="947" spans="1:11" x14ac:dyDescent="0.25">
      <c r="A947" s="130" t="s">
        <v>1524</v>
      </c>
      <c r="B947" t="s">
        <v>1525</v>
      </c>
      <c r="C947" s="130" t="s">
        <v>816</v>
      </c>
      <c r="D947" t="s">
        <v>817</v>
      </c>
      <c r="E947">
        <v>1</v>
      </c>
      <c r="F947">
        <v>0</v>
      </c>
      <c r="G947">
        <v>0</v>
      </c>
      <c r="H947">
        <v>0</v>
      </c>
      <c r="I947">
        <v>1</v>
      </c>
      <c r="J947" t="str">
        <f>IFERROR(VLOOKUP(A947&amp;"",'BEA Buyer Groups'!$A$4:$C$500,3,FALSE),"Not used")</f>
        <v>Commercial</v>
      </c>
      <c r="K947" t="str">
        <f t="shared" si="14"/>
        <v>Direct</v>
      </c>
    </row>
    <row r="948" spans="1:11" x14ac:dyDescent="0.25">
      <c r="A948" s="130" t="s">
        <v>1526</v>
      </c>
      <c r="B948" t="s">
        <v>1527</v>
      </c>
      <c r="C948" s="130" t="s">
        <v>820</v>
      </c>
      <c r="D948" t="s">
        <v>821</v>
      </c>
      <c r="E948">
        <v>13</v>
      </c>
      <c r="F948">
        <v>0</v>
      </c>
      <c r="G948">
        <v>7</v>
      </c>
      <c r="H948">
        <v>0</v>
      </c>
      <c r="I948">
        <v>20</v>
      </c>
      <c r="J948" t="str">
        <f>IFERROR(VLOOKUP(A948&amp;"",'BEA Buyer Groups'!$A$4:$C$500,3,FALSE),"Not used")</f>
        <v>Commercial</v>
      </c>
      <c r="K948" t="str">
        <f t="shared" si="14"/>
        <v>Direct</v>
      </c>
    </row>
    <row r="949" spans="1:11" x14ac:dyDescent="0.25">
      <c r="A949" s="130" t="s">
        <v>1526</v>
      </c>
      <c r="B949" t="s">
        <v>1527</v>
      </c>
      <c r="C949" s="130" t="s">
        <v>822</v>
      </c>
      <c r="D949" t="s">
        <v>823</v>
      </c>
      <c r="E949">
        <v>13</v>
      </c>
      <c r="F949">
        <v>0</v>
      </c>
      <c r="G949">
        <v>4</v>
      </c>
      <c r="H949">
        <v>0</v>
      </c>
      <c r="I949">
        <v>18</v>
      </c>
      <c r="J949" t="str">
        <f>IFERROR(VLOOKUP(A949&amp;"",'BEA Buyer Groups'!$A$4:$C$500,3,FALSE),"Not used")</f>
        <v>Commercial</v>
      </c>
      <c r="K949" t="str">
        <f t="shared" si="14"/>
        <v>Direct</v>
      </c>
    </row>
    <row r="950" spans="1:11" x14ac:dyDescent="0.25">
      <c r="A950" s="130" t="s">
        <v>1526</v>
      </c>
      <c r="B950" t="s">
        <v>1527</v>
      </c>
      <c r="C950" s="130" t="s">
        <v>860</v>
      </c>
      <c r="D950" t="s">
        <v>861</v>
      </c>
      <c r="E950">
        <v>0</v>
      </c>
      <c r="F950">
        <v>0</v>
      </c>
      <c r="G950">
        <v>0</v>
      </c>
      <c r="H950">
        <v>0</v>
      </c>
      <c r="I950">
        <v>1</v>
      </c>
      <c r="J950" t="str">
        <f>IFERROR(VLOOKUP(A950&amp;"",'BEA Buyer Groups'!$A$4:$C$500,3,FALSE),"Not used")</f>
        <v>Commercial</v>
      </c>
      <c r="K950" t="str">
        <f t="shared" si="14"/>
        <v>Direct</v>
      </c>
    </row>
    <row r="951" spans="1:11" x14ac:dyDescent="0.25">
      <c r="A951" s="130" t="s">
        <v>1526</v>
      </c>
      <c r="B951" t="s">
        <v>1527</v>
      </c>
      <c r="C951" s="130" t="s">
        <v>810</v>
      </c>
      <c r="D951" t="s">
        <v>811</v>
      </c>
      <c r="E951">
        <v>3</v>
      </c>
      <c r="F951">
        <v>0</v>
      </c>
      <c r="G951">
        <v>1</v>
      </c>
      <c r="H951">
        <v>1</v>
      </c>
      <c r="I951">
        <v>4</v>
      </c>
      <c r="J951" t="str">
        <f>IFERROR(VLOOKUP(A951&amp;"",'BEA Buyer Groups'!$A$4:$C$500,3,FALSE),"Not used")</f>
        <v>Commercial</v>
      </c>
      <c r="K951" t="str">
        <f t="shared" si="14"/>
        <v>Direct</v>
      </c>
    </row>
    <row r="952" spans="1:11" x14ac:dyDescent="0.25">
      <c r="A952" s="130" t="s">
        <v>1528</v>
      </c>
      <c r="B952" t="s">
        <v>1529</v>
      </c>
      <c r="C952" s="130" t="s">
        <v>822</v>
      </c>
      <c r="D952" t="s">
        <v>823</v>
      </c>
      <c r="E952">
        <v>2</v>
      </c>
      <c r="F952">
        <v>0</v>
      </c>
      <c r="G952">
        <v>0</v>
      </c>
      <c r="H952">
        <v>0</v>
      </c>
      <c r="I952">
        <v>2</v>
      </c>
      <c r="J952" t="str">
        <f>IFERROR(VLOOKUP(A952&amp;"",'BEA Buyer Groups'!$A$4:$C$500,3,FALSE),"Not used")</f>
        <v>Commercial</v>
      </c>
      <c r="K952" t="str">
        <f t="shared" si="14"/>
        <v>Direct</v>
      </c>
    </row>
    <row r="953" spans="1:11" x14ac:dyDescent="0.25">
      <c r="A953" s="130" t="s">
        <v>1528</v>
      </c>
      <c r="B953" t="s">
        <v>1529</v>
      </c>
      <c r="C953" s="130" t="s">
        <v>860</v>
      </c>
      <c r="D953" t="s">
        <v>861</v>
      </c>
      <c r="E953">
        <v>7</v>
      </c>
      <c r="F953">
        <v>0</v>
      </c>
      <c r="G953">
        <v>2</v>
      </c>
      <c r="H953">
        <v>0</v>
      </c>
      <c r="I953">
        <v>10</v>
      </c>
      <c r="J953" t="str">
        <f>IFERROR(VLOOKUP(A953&amp;"",'BEA Buyer Groups'!$A$4:$C$500,3,FALSE),"Not used")</f>
        <v>Commercial</v>
      </c>
      <c r="K953" t="str">
        <f t="shared" si="14"/>
        <v>Direct</v>
      </c>
    </row>
    <row r="954" spans="1:11" x14ac:dyDescent="0.25">
      <c r="A954" s="130" t="s">
        <v>1530</v>
      </c>
      <c r="B954" t="s">
        <v>1531</v>
      </c>
      <c r="C954" s="130" t="s">
        <v>820</v>
      </c>
      <c r="D954" t="s">
        <v>821</v>
      </c>
      <c r="E954">
        <v>498</v>
      </c>
      <c r="F954">
        <v>16</v>
      </c>
      <c r="G954">
        <v>109</v>
      </c>
      <c r="H954">
        <v>0</v>
      </c>
      <c r="I954">
        <v>623</v>
      </c>
      <c r="J954" t="str">
        <f>IFERROR(VLOOKUP(A954&amp;"",'BEA Buyer Groups'!$A$4:$C$500,3,FALSE),"Not used")</f>
        <v>Commercial</v>
      </c>
      <c r="K954" t="str">
        <f t="shared" si="14"/>
        <v>Direct</v>
      </c>
    </row>
    <row r="955" spans="1:11" x14ac:dyDescent="0.25">
      <c r="A955" s="130" t="s">
        <v>1530</v>
      </c>
      <c r="B955" t="s">
        <v>1531</v>
      </c>
      <c r="C955" s="130" t="s">
        <v>822</v>
      </c>
      <c r="D955" t="s">
        <v>823</v>
      </c>
      <c r="E955">
        <v>394</v>
      </c>
      <c r="F955">
        <v>11</v>
      </c>
      <c r="G955">
        <v>186</v>
      </c>
      <c r="H955">
        <v>0</v>
      </c>
      <c r="I955">
        <v>592</v>
      </c>
      <c r="J955" t="str">
        <f>IFERROR(VLOOKUP(A955&amp;"",'BEA Buyer Groups'!$A$4:$C$500,3,FALSE),"Not used")</f>
        <v>Commercial</v>
      </c>
      <c r="K955" t="str">
        <f t="shared" si="14"/>
        <v>Direct</v>
      </c>
    </row>
    <row r="956" spans="1:11" x14ac:dyDescent="0.25">
      <c r="A956" s="130" t="s">
        <v>1532</v>
      </c>
      <c r="B956" t="s">
        <v>1533</v>
      </c>
      <c r="C956" s="130" t="s">
        <v>846</v>
      </c>
      <c r="D956" t="s">
        <v>847</v>
      </c>
      <c r="E956">
        <v>10</v>
      </c>
      <c r="F956">
        <v>1</v>
      </c>
      <c r="G956">
        <v>3</v>
      </c>
      <c r="H956">
        <v>0</v>
      </c>
      <c r="I956">
        <v>15</v>
      </c>
      <c r="J956" t="str">
        <f>IFERROR(VLOOKUP(A956&amp;"",'BEA Buyer Groups'!$A$4:$C$500,3,FALSE),"Not used")</f>
        <v>Commercial</v>
      </c>
      <c r="K956" t="str">
        <f t="shared" si="14"/>
        <v>Direct</v>
      </c>
    </row>
    <row r="957" spans="1:11" x14ac:dyDescent="0.25">
      <c r="A957" s="130" t="s">
        <v>1532</v>
      </c>
      <c r="B957" t="s">
        <v>1533</v>
      </c>
      <c r="C957" s="130" t="s">
        <v>848</v>
      </c>
      <c r="D957" t="s">
        <v>849</v>
      </c>
      <c r="E957">
        <v>1009</v>
      </c>
      <c r="F957">
        <v>15</v>
      </c>
      <c r="G957">
        <v>349</v>
      </c>
      <c r="H957">
        <v>0</v>
      </c>
      <c r="I957">
        <v>1373</v>
      </c>
      <c r="J957" t="str">
        <f>IFERROR(VLOOKUP(A957&amp;"",'BEA Buyer Groups'!$A$4:$C$500,3,FALSE),"Not used")</f>
        <v>Commercial</v>
      </c>
      <c r="K957" t="str">
        <f t="shared" si="14"/>
        <v>Direct</v>
      </c>
    </row>
    <row r="958" spans="1:11" x14ac:dyDescent="0.25">
      <c r="A958" s="130" t="s">
        <v>1534</v>
      </c>
      <c r="B958" t="s">
        <v>1535</v>
      </c>
      <c r="C958" s="130" t="s">
        <v>822</v>
      </c>
      <c r="D958" t="s">
        <v>823</v>
      </c>
      <c r="E958">
        <v>16</v>
      </c>
      <c r="F958">
        <v>0</v>
      </c>
      <c r="G958">
        <v>0</v>
      </c>
      <c r="H958">
        <v>0</v>
      </c>
      <c r="I958">
        <v>16</v>
      </c>
      <c r="J958" t="str">
        <f>IFERROR(VLOOKUP(A958&amp;"",'BEA Buyer Groups'!$A$4:$C$500,3,FALSE),"Not used")</f>
        <v>Commercial</v>
      </c>
      <c r="K958" t="str">
        <f t="shared" si="14"/>
        <v>Direct</v>
      </c>
    </row>
    <row r="959" spans="1:11" x14ac:dyDescent="0.25">
      <c r="A959" s="130" t="s">
        <v>1534</v>
      </c>
      <c r="B959" t="s">
        <v>1535</v>
      </c>
      <c r="C959" s="130" t="s">
        <v>846</v>
      </c>
      <c r="D959" t="s">
        <v>847</v>
      </c>
      <c r="E959">
        <v>3</v>
      </c>
      <c r="F959">
        <v>0</v>
      </c>
      <c r="G959">
        <v>1</v>
      </c>
      <c r="H959">
        <v>4</v>
      </c>
      <c r="I959">
        <v>8</v>
      </c>
      <c r="J959" t="str">
        <f>IFERROR(VLOOKUP(A959&amp;"",'BEA Buyer Groups'!$A$4:$C$500,3,FALSE),"Not used")</f>
        <v>Commercial</v>
      </c>
      <c r="K959" t="str">
        <f t="shared" si="14"/>
        <v>Direct</v>
      </c>
    </row>
    <row r="960" spans="1:11" x14ac:dyDescent="0.25">
      <c r="A960" s="130" t="s">
        <v>1536</v>
      </c>
      <c r="B960" t="s">
        <v>1537</v>
      </c>
      <c r="C960" s="130" t="s">
        <v>822</v>
      </c>
      <c r="D960" t="s">
        <v>823</v>
      </c>
      <c r="E960">
        <v>0</v>
      </c>
      <c r="F960">
        <v>0</v>
      </c>
      <c r="G960">
        <v>0</v>
      </c>
      <c r="H960">
        <v>0</v>
      </c>
      <c r="I960">
        <v>0</v>
      </c>
      <c r="J960" t="str">
        <f>IFERROR(VLOOKUP(A960&amp;"",'BEA Buyer Groups'!$A$4:$C$500,3,FALSE),"Not used")</f>
        <v>Commercial</v>
      </c>
      <c r="K960" t="str">
        <f t="shared" si="14"/>
        <v>Direct</v>
      </c>
    </row>
    <row r="961" spans="1:11" x14ac:dyDescent="0.25">
      <c r="A961" s="130" t="s">
        <v>1538</v>
      </c>
      <c r="B961" t="s">
        <v>1539</v>
      </c>
      <c r="C961" s="130" t="s">
        <v>820</v>
      </c>
      <c r="D961" t="s">
        <v>821</v>
      </c>
      <c r="E961">
        <v>65</v>
      </c>
      <c r="F961">
        <v>2</v>
      </c>
      <c r="G961">
        <v>32</v>
      </c>
      <c r="H961">
        <v>0</v>
      </c>
      <c r="I961">
        <v>100</v>
      </c>
      <c r="J961" t="str">
        <f>IFERROR(VLOOKUP(A961&amp;"",'BEA Buyer Groups'!$A$4:$C$500,3,FALSE),"Not used")</f>
        <v>Commercial</v>
      </c>
      <c r="K961" t="str">
        <f t="shared" si="14"/>
        <v>Direct</v>
      </c>
    </row>
    <row r="962" spans="1:11" x14ac:dyDescent="0.25">
      <c r="A962" s="130" t="s">
        <v>1538</v>
      </c>
      <c r="B962" t="s">
        <v>1539</v>
      </c>
      <c r="C962" s="130" t="s">
        <v>822</v>
      </c>
      <c r="D962" t="s">
        <v>823</v>
      </c>
      <c r="E962">
        <v>5</v>
      </c>
      <c r="F962">
        <v>0</v>
      </c>
      <c r="G962">
        <v>0</v>
      </c>
      <c r="H962">
        <v>0</v>
      </c>
      <c r="I962">
        <v>5</v>
      </c>
      <c r="J962" t="str">
        <f>IFERROR(VLOOKUP(A962&amp;"",'BEA Buyer Groups'!$A$4:$C$500,3,FALSE),"Not used")</f>
        <v>Commercial</v>
      </c>
      <c r="K962" t="str">
        <f t="shared" si="14"/>
        <v>Direct</v>
      </c>
    </row>
    <row r="963" spans="1:11" x14ac:dyDescent="0.25">
      <c r="A963" s="130" t="s">
        <v>1538</v>
      </c>
      <c r="B963" t="s">
        <v>1539</v>
      </c>
      <c r="C963" s="130" t="s">
        <v>848</v>
      </c>
      <c r="D963" t="s">
        <v>849</v>
      </c>
      <c r="E963">
        <v>1612</v>
      </c>
      <c r="F963">
        <v>22</v>
      </c>
      <c r="G963">
        <v>558</v>
      </c>
      <c r="H963">
        <v>0</v>
      </c>
      <c r="I963">
        <v>2192</v>
      </c>
      <c r="J963" t="str">
        <f>IFERROR(VLOOKUP(A963&amp;"",'BEA Buyer Groups'!$A$4:$C$500,3,FALSE),"Not used")</f>
        <v>Commercial</v>
      </c>
      <c r="K963" t="str">
        <f t="shared" si="14"/>
        <v>Direct</v>
      </c>
    </row>
    <row r="964" spans="1:11" x14ac:dyDescent="0.25">
      <c r="A964" s="130" t="s">
        <v>1540</v>
      </c>
      <c r="B964" t="s">
        <v>1541</v>
      </c>
      <c r="C964" s="130" t="s">
        <v>820</v>
      </c>
      <c r="D964" t="s">
        <v>821</v>
      </c>
      <c r="E964">
        <v>162</v>
      </c>
      <c r="F964">
        <v>5</v>
      </c>
      <c r="G964">
        <v>35</v>
      </c>
      <c r="H964">
        <v>0</v>
      </c>
      <c r="I964">
        <v>203</v>
      </c>
      <c r="J964" t="str">
        <f>IFERROR(VLOOKUP(A964&amp;"",'BEA Buyer Groups'!$A$4:$C$500,3,FALSE),"Not used")</f>
        <v>Commercial</v>
      </c>
      <c r="K964" t="str">
        <f t="shared" si="14"/>
        <v>Direct</v>
      </c>
    </row>
    <row r="965" spans="1:11" x14ac:dyDescent="0.25">
      <c r="A965" s="130" t="s">
        <v>1540</v>
      </c>
      <c r="B965" t="s">
        <v>1541</v>
      </c>
      <c r="C965" s="130" t="s">
        <v>822</v>
      </c>
      <c r="D965" t="s">
        <v>823</v>
      </c>
      <c r="E965">
        <v>5</v>
      </c>
      <c r="F965">
        <v>0</v>
      </c>
      <c r="G965">
        <v>0</v>
      </c>
      <c r="H965">
        <v>0</v>
      </c>
      <c r="I965">
        <v>5</v>
      </c>
      <c r="J965" t="str">
        <f>IFERROR(VLOOKUP(A965&amp;"",'BEA Buyer Groups'!$A$4:$C$500,3,FALSE),"Not used")</f>
        <v>Commercial</v>
      </c>
      <c r="K965" t="str">
        <f t="shared" si="14"/>
        <v>Direct</v>
      </c>
    </row>
    <row r="966" spans="1:11" x14ac:dyDescent="0.25">
      <c r="A966" s="130" t="s">
        <v>1542</v>
      </c>
      <c r="B966" t="s">
        <v>1543</v>
      </c>
      <c r="C966" s="130" t="s">
        <v>802</v>
      </c>
      <c r="D966" t="s">
        <v>803</v>
      </c>
      <c r="E966">
        <v>0</v>
      </c>
      <c r="F966">
        <v>0</v>
      </c>
      <c r="G966">
        <v>0</v>
      </c>
      <c r="H966">
        <v>0</v>
      </c>
      <c r="I966">
        <v>0</v>
      </c>
      <c r="J966" t="str">
        <f>IFERROR(VLOOKUP(A966&amp;"",'BEA Buyer Groups'!$A$4:$C$500,3,FALSE),"Not used")</f>
        <v>Commercial</v>
      </c>
      <c r="K966" t="str">
        <f t="shared" si="14"/>
        <v>Direct</v>
      </c>
    </row>
    <row r="967" spans="1:11" x14ac:dyDescent="0.25">
      <c r="A967" s="130" t="s">
        <v>1542</v>
      </c>
      <c r="B967" t="s">
        <v>1543</v>
      </c>
      <c r="C967" s="130" t="s">
        <v>822</v>
      </c>
      <c r="D967" t="s">
        <v>823</v>
      </c>
      <c r="E967">
        <v>4</v>
      </c>
      <c r="F967">
        <v>0</v>
      </c>
      <c r="G967">
        <v>0</v>
      </c>
      <c r="H967">
        <v>0</v>
      </c>
      <c r="I967">
        <v>4</v>
      </c>
      <c r="J967" t="str">
        <f>IFERROR(VLOOKUP(A967&amp;"",'BEA Buyer Groups'!$A$4:$C$500,3,FALSE),"Not used")</f>
        <v>Commercial</v>
      </c>
      <c r="K967" t="str">
        <f t="shared" ref="K967:K1030" si="15">IF(LEFT(A967,2)="23","Contractor","Direct")</f>
        <v>Direct</v>
      </c>
    </row>
    <row r="968" spans="1:11" x14ac:dyDescent="0.25">
      <c r="A968" s="130" t="s">
        <v>1542</v>
      </c>
      <c r="B968" t="s">
        <v>1543</v>
      </c>
      <c r="C968" s="130" t="s">
        <v>810</v>
      </c>
      <c r="D968" t="s">
        <v>811</v>
      </c>
      <c r="E968">
        <v>0</v>
      </c>
      <c r="F968">
        <v>0</v>
      </c>
      <c r="G968">
        <v>0</v>
      </c>
      <c r="H968">
        <v>0</v>
      </c>
      <c r="I968">
        <v>0</v>
      </c>
      <c r="J968" t="str">
        <f>IFERROR(VLOOKUP(A968&amp;"",'BEA Buyer Groups'!$A$4:$C$500,3,FALSE),"Not used")</f>
        <v>Commercial</v>
      </c>
      <c r="K968" t="str">
        <f t="shared" si="15"/>
        <v>Direct</v>
      </c>
    </row>
    <row r="969" spans="1:11" x14ac:dyDescent="0.25">
      <c r="A969" s="130" t="s">
        <v>1544</v>
      </c>
      <c r="B969" t="s">
        <v>1545</v>
      </c>
      <c r="C969" s="130" t="s">
        <v>822</v>
      </c>
      <c r="D969" t="s">
        <v>823</v>
      </c>
      <c r="E969">
        <v>1</v>
      </c>
      <c r="F969">
        <v>0</v>
      </c>
      <c r="G969">
        <v>0</v>
      </c>
      <c r="H969">
        <v>0</v>
      </c>
      <c r="I969">
        <v>1</v>
      </c>
      <c r="J969" t="str">
        <f>IFERROR(VLOOKUP(A969&amp;"",'BEA Buyer Groups'!$A$4:$C$500,3,FALSE),"Not used")</f>
        <v>Commercial</v>
      </c>
      <c r="K969" t="str">
        <f t="shared" si="15"/>
        <v>Direct</v>
      </c>
    </row>
    <row r="970" spans="1:11" x14ac:dyDescent="0.25">
      <c r="A970" s="130" t="s">
        <v>1546</v>
      </c>
      <c r="B970" t="s">
        <v>1547</v>
      </c>
      <c r="C970" s="130" t="s">
        <v>822</v>
      </c>
      <c r="D970" t="s">
        <v>823</v>
      </c>
      <c r="E970">
        <v>204</v>
      </c>
      <c r="F970">
        <v>6</v>
      </c>
      <c r="G970">
        <v>91</v>
      </c>
      <c r="H970">
        <v>0</v>
      </c>
      <c r="I970">
        <v>300</v>
      </c>
      <c r="J970" t="str">
        <f>IFERROR(VLOOKUP(A970&amp;"",'BEA Buyer Groups'!$A$4:$C$500,3,FALSE),"Not used")</f>
        <v>Commercial</v>
      </c>
      <c r="K970" t="str">
        <f t="shared" si="15"/>
        <v>Direct</v>
      </c>
    </row>
    <row r="971" spans="1:11" x14ac:dyDescent="0.25">
      <c r="A971" s="130" t="s">
        <v>1546</v>
      </c>
      <c r="B971" t="s">
        <v>1547</v>
      </c>
      <c r="C971" s="130" t="s">
        <v>860</v>
      </c>
      <c r="D971" t="s">
        <v>861</v>
      </c>
      <c r="E971">
        <v>2</v>
      </c>
      <c r="F971">
        <v>0</v>
      </c>
      <c r="G971">
        <v>1</v>
      </c>
      <c r="H971">
        <v>0</v>
      </c>
      <c r="I971">
        <v>3</v>
      </c>
      <c r="J971" t="str">
        <f>IFERROR(VLOOKUP(A971&amp;"",'BEA Buyer Groups'!$A$4:$C$500,3,FALSE),"Not used")</f>
        <v>Commercial</v>
      </c>
      <c r="K971" t="str">
        <f t="shared" si="15"/>
        <v>Direct</v>
      </c>
    </row>
    <row r="972" spans="1:11" x14ac:dyDescent="0.25">
      <c r="A972" s="130" t="s">
        <v>1546</v>
      </c>
      <c r="B972" t="s">
        <v>1547</v>
      </c>
      <c r="C972" s="130" t="s">
        <v>810</v>
      </c>
      <c r="D972" t="s">
        <v>811</v>
      </c>
      <c r="E972">
        <v>2</v>
      </c>
      <c r="F972">
        <v>0</v>
      </c>
      <c r="G972">
        <v>1</v>
      </c>
      <c r="H972">
        <v>0</v>
      </c>
      <c r="I972">
        <v>2</v>
      </c>
      <c r="J972" t="str">
        <f>IFERROR(VLOOKUP(A972&amp;"",'BEA Buyer Groups'!$A$4:$C$500,3,FALSE),"Not used")</f>
        <v>Commercial</v>
      </c>
      <c r="K972" t="str">
        <f t="shared" si="15"/>
        <v>Direct</v>
      </c>
    </row>
    <row r="973" spans="1:11" x14ac:dyDescent="0.25">
      <c r="A973" s="130" t="s">
        <v>1546</v>
      </c>
      <c r="B973" t="s">
        <v>1547</v>
      </c>
      <c r="C973" s="130" t="s">
        <v>816</v>
      </c>
      <c r="D973" t="s">
        <v>817</v>
      </c>
      <c r="E973">
        <v>11</v>
      </c>
      <c r="F973">
        <v>1</v>
      </c>
      <c r="G973">
        <v>3</v>
      </c>
      <c r="H973">
        <v>0</v>
      </c>
      <c r="I973">
        <v>15</v>
      </c>
      <c r="J973" t="str">
        <f>IFERROR(VLOOKUP(A973&amp;"",'BEA Buyer Groups'!$A$4:$C$500,3,FALSE),"Not used")</f>
        <v>Commercial</v>
      </c>
      <c r="K973" t="str">
        <f t="shared" si="15"/>
        <v>Direct</v>
      </c>
    </row>
    <row r="974" spans="1:11" x14ac:dyDescent="0.25">
      <c r="A974" s="130" t="s">
        <v>1546</v>
      </c>
      <c r="B974" t="s">
        <v>1547</v>
      </c>
      <c r="C974" s="130" t="s">
        <v>846</v>
      </c>
      <c r="D974" t="s">
        <v>847</v>
      </c>
      <c r="E974">
        <v>9</v>
      </c>
      <c r="F974">
        <v>1</v>
      </c>
      <c r="G974">
        <v>3</v>
      </c>
      <c r="H974">
        <v>0</v>
      </c>
      <c r="I974">
        <v>13</v>
      </c>
      <c r="J974" t="str">
        <f>IFERROR(VLOOKUP(A974&amp;"",'BEA Buyer Groups'!$A$4:$C$500,3,FALSE),"Not used")</f>
        <v>Commercial</v>
      </c>
      <c r="K974" t="str">
        <f t="shared" si="15"/>
        <v>Direct</v>
      </c>
    </row>
    <row r="975" spans="1:11" x14ac:dyDescent="0.25">
      <c r="A975" s="130" t="s">
        <v>1548</v>
      </c>
      <c r="B975" t="s">
        <v>1549</v>
      </c>
      <c r="C975" s="130" t="s">
        <v>820</v>
      </c>
      <c r="D975" t="s">
        <v>821</v>
      </c>
      <c r="E975">
        <v>263</v>
      </c>
      <c r="F975">
        <v>8</v>
      </c>
      <c r="G975">
        <v>69</v>
      </c>
      <c r="H975">
        <v>6</v>
      </c>
      <c r="I975">
        <v>346</v>
      </c>
      <c r="J975" t="str">
        <f>IFERROR(VLOOKUP(A975&amp;"",'BEA Buyer Groups'!$A$4:$C$500,3,FALSE),"Not used")</f>
        <v>Residential</v>
      </c>
      <c r="K975" t="str">
        <f t="shared" si="15"/>
        <v>Direct</v>
      </c>
    </row>
    <row r="976" spans="1:11" x14ac:dyDescent="0.25">
      <c r="A976" s="130" t="s">
        <v>1548</v>
      </c>
      <c r="B976" t="s">
        <v>1549</v>
      </c>
      <c r="C976" s="130" t="s">
        <v>802</v>
      </c>
      <c r="D976" t="s">
        <v>803</v>
      </c>
      <c r="E976">
        <v>1237</v>
      </c>
      <c r="F976">
        <v>37</v>
      </c>
      <c r="G976">
        <v>559</v>
      </c>
      <c r="H976">
        <v>694</v>
      </c>
      <c r="I976">
        <v>2528</v>
      </c>
      <c r="J976" t="str">
        <f>IFERROR(VLOOKUP(A976&amp;"",'BEA Buyer Groups'!$A$4:$C$500,3,FALSE),"Not used")</f>
        <v>Residential</v>
      </c>
      <c r="K976" t="str">
        <f t="shared" si="15"/>
        <v>Direct</v>
      </c>
    </row>
    <row r="977" spans="1:11" x14ac:dyDescent="0.25">
      <c r="A977" s="130" t="s">
        <v>1548</v>
      </c>
      <c r="B977" t="s">
        <v>1549</v>
      </c>
      <c r="C977" s="130" t="s">
        <v>822</v>
      </c>
      <c r="D977" t="s">
        <v>823</v>
      </c>
      <c r="E977">
        <v>2760</v>
      </c>
      <c r="F977">
        <v>80</v>
      </c>
      <c r="G977">
        <v>1247</v>
      </c>
      <c r="H977">
        <v>1548</v>
      </c>
      <c r="I977">
        <v>5636</v>
      </c>
      <c r="J977" t="str">
        <f>IFERROR(VLOOKUP(A977&amp;"",'BEA Buyer Groups'!$A$4:$C$500,3,FALSE),"Not used")</f>
        <v>Residential</v>
      </c>
      <c r="K977" t="str">
        <f t="shared" si="15"/>
        <v>Direct</v>
      </c>
    </row>
    <row r="978" spans="1:11" x14ac:dyDescent="0.25">
      <c r="A978" s="130" t="s">
        <v>1548</v>
      </c>
      <c r="B978" t="s">
        <v>1549</v>
      </c>
      <c r="C978" s="130" t="s">
        <v>806</v>
      </c>
      <c r="D978" t="s">
        <v>807</v>
      </c>
      <c r="E978">
        <v>20604</v>
      </c>
      <c r="F978">
        <v>203</v>
      </c>
      <c r="G978">
        <v>5738</v>
      </c>
      <c r="H978">
        <v>7563</v>
      </c>
      <c r="I978">
        <v>34107</v>
      </c>
      <c r="J978" t="str">
        <f>IFERROR(VLOOKUP(A978&amp;"",'BEA Buyer Groups'!$A$4:$C$500,3,FALSE),"Not used")</f>
        <v>Residential</v>
      </c>
      <c r="K978" t="str">
        <f t="shared" si="15"/>
        <v>Direct</v>
      </c>
    </row>
    <row r="979" spans="1:11" x14ac:dyDescent="0.25">
      <c r="A979" s="130" t="s">
        <v>1548</v>
      </c>
      <c r="B979" t="s">
        <v>1549</v>
      </c>
      <c r="C979" s="130" t="s">
        <v>860</v>
      </c>
      <c r="D979" t="s">
        <v>861</v>
      </c>
      <c r="E979">
        <v>20568</v>
      </c>
      <c r="F979">
        <v>194</v>
      </c>
      <c r="G979">
        <v>7116</v>
      </c>
      <c r="H979">
        <v>17458</v>
      </c>
      <c r="I979">
        <v>45335</v>
      </c>
      <c r="J979" t="str">
        <f>IFERROR(VLOOKUP(A979&amp;"",'BEA Buyer Groups'!$A$4:$C$500,3,FALSE),"Not used")</f>
        <v>Residential</v>
      </c>
      <c r="K979" t="str">
        <f t="shared" si="15"/>
        <v>Direct</v>
      </c>
    </row>
    <row r="980" spans="1:11" x14ac:dyDescent="0.25">
      <c r="A980" s="130" t="s">
        <v>1548</v>
      </c>
      <c r="B980" t="s">
        <v>1549</v>
      </c>
      <c r="C980" s="130" t="s">
        <v>810</v>
      </c>
      <c r="D980" t="s">
        <v>811</v>
      </c>
      <c r="E980">
        <v>633</v>
      </c>
      <c r="F980">
        <v>6</v>
      </c>
      <c r="G980">
        <v>199</v>
      </c>
      <c r="H980">
        <v>1980</v>
      </c>
      <c r="I980">
        <v>2817</v>
      </c>
      <c r="J980" t="str">
        <f>IFERROR(VLOOKUP(A980&amp;"",'BEA Buyer Groups'!$A$4:$C$500,3,FALSE),"Not used")</f>
        <v>Residential</v>
      </c>
      <c r="K980" t="str">
        <f t="shared" si="15"/>
        <v>Direct</v>
      </c>
    </row>
    <row r="981" spans="1:11" x14ac:dyDescent="0.25">
      <c r="A981" s="130" t="s">
        <v>1548</v>
      </c>
      <c r="B981" t="s">
        <v>1549</v>
      </c>
      <c r="C981" s="130" t="s">
        <v>816</v>
      </c>
      <c r="D981" t="s">
        <v>817</v>
      </c>
      <c r="E981">
        <v>2029</v>
      </c>
      <c r="F981">
        <v>256</v>
      </c>
      <c r="G981">
        <v>637</v>
      </c>
      <c r="H981">
        <v>2902</v>
      </c>
      <c r="I981">
        <v>5824</v>
      </c>
      <c r="J981" t="str">
        <f>IFERROR(VLOOKUP(A981&amp;"",'BEA Buyer Groups'!$A$4:$C$500,3,FALSE),"Not used")</f>
        <v>Residential</v>
      </c>
      <c r="K981" t="str">
        <f t="shared" si="15"/>
        <v>Direct</v>
      </c>
    </row>
    <row r="982" spans="1:11" x14ac:dyDescent="0.25">
      <c r="A982" s="130" t="s">
        <v>1548</v>
      </c>
      <c r="B982" t="s">
        <v>1549</v>
      </c>
      <c r="C982" s="130" t="s">
        <v>846</v>
      </c>
      <c r="D982" t="s">
        <v>847</v>
      </c>
      <c r="E982">
        <v>10580</v>
      </c>
      <c r="F982">
        <v>1386</v>
      </c>
      <c r="G982">
        <v>3665</v>
      </c>
      <c r="H982">
        <v>4313</v>
      </c>
      <c r="I982">
        <v>19944</v>
      </c>
      <c r="J982" t="str">
        <f>IFERROR(VLOOKUP(A982&amp;"",'BEA Buyer Groups'!$A$4:$C$500,3,FALSE),"Not used")</f>
        <v>Residential</v>
      </c>
      <c r="K982" t="str">
        <f t="shared" si="15"/>
        <v>Direct</v>
      </c>
    </row>
    <row r="983" spans="1:11" x14ac:dyDescent="0.25">
      <c r="A983" s="130" t="s">
        <v>1548</v>
      </c>
      <c r="B983" t="s">
        <v>1549</v>
      </c>
      <c r="C983" s="130" t="s">
        <v>848</v>
      </c>
      <c r="D983" t="s">
        <v>849</v>
      </c>
      <c r="E983">
        <v>20303</v>
      </c>
      <c r="F983">
        <v>289</v>
      </c>
      <c r="G983">
        <v>7033</v>
      </c>
      <c r="H983">
        <v>11385</v>
      </c>
      <c r="I983">
        <v>39010</v>
      </c>
      <c r="J983" t="str">
        <f>IFERROR(VLOOKUP(A983&amp;"",'BEA Buyer Groups'!$A$4:$C$500,3,FALSE),"Not used")</f>
        <v>Residential</v>
      </c>
      <c r="K983" t="str">
        <f t="shared" si="15"/>
        <v>Direct</v>
      </c>
    </row>
    <row r="984" spans="1:11" x14ac:dyDescent="0.25">
      <c r="A984" s="130" t="s">
        <v>1550</v>
      </c>
      <c r="B984" t="s">
        <v>1551</v>
      </c>
      <c r="C984" s="130" t="s">
        <v>820</v>
      </c>
      <c r="D984" t="s">
        <v>821</v>
      </c>
      <c r="E984">
        <v>12430</v>
      </c>
      <c r="F984">
        <v>391</v>
      </c>
      <c r="G984">
        <v>4709</v>
      </c>
      <c r="H984">
        <v>1743</v>
      </c>
      <c r="I984">
        <v>19273</v>
      </c>
      <c r="J984" t="str">
        <f>IFERROR(VLOOKUP(A984&amp;"",'BEA Buyer Groups'!$A$4:$C$500,3,FALSE),"Not used")</f>
        <v>Commercial</v>
      </c>
      <c r="K984" t="str">
        <f t="shared" si="15"/>
        <v>Direct</v>
      </c>
    </row>
    <row r="985" spans="1:11" x14ac:dyDescent="0.25">
      <c r="A985" s="130" t="s">
        <v>1550</v>
      </c>
      <c r="B985" t="s">
        <v>1551</v>
      </c>
      <c r="C985" s="130" t="s">
        <v>802</v>
      </c>
      <c r="D985" t="s">
        <v>803</v>
      </c>
      <c r="E985">
        <v>70</v>
      </c>
      <c r="F985">
        <v>2</v>
      </c>
      <c r="G985">
        <v>31</v>
      </c>
      <c r="H985">
        <v>0</v>
      </c>
      <c r="I985">
        <v>103</v>
      </c>
      <c r="J985" t="str">
        <f>IFERROR(VLOOKUP(A985&amp;"",'BEA Buyer Groups'!$A$4:$C$500,3,FALSE),"Not used")</f>
        <v>Commercial</v>
      </c>
      <c r="K985" t="str">
        <f t="shared" si="15"/>
        <v>Direct</v>
      </c>
    </row>
    <row r="986" spans="1:11" x14ac:dyDescent="0.25">
      <c r="A986" s="130" t="s">
        <v>1550</v>
      </c>
      <c r="B986" t="s">
        <v>1551</v>
      </c>
      <c r="C986" s="130" t="s">
        <v>822</v>
      </c>
      <c r="D986" t="s">
        <v>823</v>
      </c>
      <c r="E986">
        <v>9558</v>
      </c>
      <c r="F986">
        <v>277</v>
      </c>
      <c r="G986">
        <v>4581</v>
      </c>
      <c r="H986">
        <v>0</v>
      </c>
      <c r="I986">
        <v>14415</v>
      </c>
      <c r="J986" t="str">
        <f>IFERROR(VLOOKUP(A986&amp;"",'BEA Buyer Groups'!$A$4:$C$500,3,FALSE),"Not used")</f>
        <v>Commercial</v>
      </c>
      <c r="K986" t="str">
        <f t="shared" si="15"/>
        <v>Direct</v>
      </c>
    </row>
    <row r="987" spans="1:11" x14ac:dyDescent="0.25">
      <c r="A987" s="130" t="s">
        <v>1550</v>
      </c>
      <c r="B987" t="s">
        <v>1551</v>
      </c>
      <c r="C987" s="130" t="s">
        <v>806</v>
      </c>
      <c r="D987" t="s">
        <v>807</v>
      </c>
      <c r="E987">
        <v>31369</v>
      </c>
      <c r="F987">
        <v>309</v>
      </c>
      <c r="G987">
        <v>8736</v>
      </c>
      <c r="H987">
        <v>6649</v>
      </c>
      <c r="I987">
        <v>47063</v>
      </c>
      <c r="J987" t="str">
        <f>IFERROR(VLOOKUP(A987&amp;"",'BEA Buyer Groups'!$A$4:$C$500,3,FALSE),"Not used")</f>
        <v>Commercial</v>
      </c>
      <c r="K987" t="str">
        <f t="shared" si="15"/>
        <v>Direct</v>
      </c>
    </row>
    <row r="988" spans="1:11" x14ac:dyDescent="0.25">
      <c r="A988" s="130" t="s">
        <v>1550</v>
      </c>
      <c r="B988" t="s">
        <v>1551</v>
      </c>
      <c r="C988" s="130" t="s">
        <v>860</v>
      </c>
      <c r="D988" t="s">
        <v>861</v>
      </c>
      <c r="E988">
        <v>3940</v>
      </c>
      <c r="F988">
        <v>37</v>
      </c>
      <c r="G988">
        <v>1365</v>
      </c>
      <c r="H988">
        <v>1294</v>
      </c>
      <c r="I988">
        <v>6636</v>
      </c>
      <c r="J988" t="str">
        <f>IFERROR(VLOOKUP(A988&amp;"",'BEA Buyer Groups'!$A$4:$C$500,3,FALSE),"Not used")</f>
        <v>Commercial</v>
      </c>
      <c r="K988" t="str">
        <f t="shared" si="15"/>
        <v>Direct</v>
      </c>
    </row>
    <row r="989" spans="1:11" x14ac:dyDescent="0.25">
      <c r="A989" s="130" t="s">
        <v>1550</v>
      </c>
      <c r="B989" t="s">
        <v>1551</v>
      </c>
      <c r="C989" s="130" t="s">
        <v>816</v>
      </c>
      <c r="D989" t="s">
        <v>817</v>
      </c>
      <c r="E989">
        <v>1693</v>
      </c>
      <c r="F989">
        <v>214</v>
      </c>
      <c r="G989">
        <v>531</v>
      </c>
      <c r="H989">
        <v>0</v>
      </c>
      <c r="I989">
        <v>2439</v>
      </c>
      <c r="J989" t="str">
        <f>IFERROR(VLOOKUP(A989&amp;"",'BEA Buyer Groups'!$A$4:$C$500,3,FALSE),"Not used")</f>
        <v>Commercial</v>
      </c>
      <c r="K989" t="str">
        <f t="shared" si="15"/>
        <v>Direct</v>
      </c>
    </row>
    <row r="990" spans="1:11" x14ac:dyDescent="0.25">
      <c r="A990" s="130" t="s">
        <v>1550</v>
      </c>
      <c r="B990" t="s">
        <v>1551</v>
      </c>
      <c r="C990" s="130" t="s">
        <v>846</v>
      </c>
      <c r="D990" t="s">
        <v>847</v>
      </c>
      <c r="E990">
        <v>292</v>
      </c>
      <c r="F990">
        <v>38</v>
      </c>
      <c r="G990">
        <v>101</v>
      </c>
      <c r="H990">
        <v>0</v>
      </c>
      <c r="I990">
        <v>432</v>
      </c>
      <c r="J990" t="str">
        <f>IFERROR(VLOOKUP(A990&amp;"",'BEA Buyer Groups'!$A$4:$C$500,3,FALSE),"Not used")</f>
        <v>Commercial</v>
      </c>
      <c r="K990" t="str">
        <f t="shared" si="15"/>
        <v>Direct</v>
      </c>
    </row>
    <row r="991" spans="1:11" x14ac:dyDescent="0.25">
      <c r="A991" s="130" t="s">
        <v>1550</v>
      </c>
      <c r="B991" t="s">
        <v>1551</v>
      </c>
      <c r="C991" s="130" t="s">
        <v>848</v>
      </c>
      <c r="D991" t="s">
        <v>849</v>
      </c>
      <c r="E991">
        <v>384</v>
      </c>
      <c r="F991">
        <v>5</v>
      </c>
      <c r="G991">
        <v>133</v>
      </c>
      <c r="H991">
        <v>0</v>
      </c>
      <c r="I991">
        <v>522</v>
      </c>
      <c r="J991" t="str">
        <f>IFERROR(VLOOKUP(A991&amp;"",'BEA Buyer Groups'!$A$4:$C$500,3,FALSE),"Not used")</f>
        <v>Commercial</v>
      </c>
      <c r="K991" t="str">
        <f t="shared" si="15"/>
        <v>Direct</v>
      </c>
    </row>
    <row r="992" spans="1:11" x14ac:dyDescent="0.25">
      <c r="A992" s="130" t="s">
        <v>1552</v>
      </c>
      <c r="B992" t="s">
        <v>1553</v>
      </c>
      <c r="C992" s="130" t="s">
        <v>860</v>
      </c>
      <c r="D992" t="s">
        <v>861</v>
      </c>
      <c r="E992">
        <v>197</v>
      </c>
      <c r="F992">
        <v>2</v>
      </c>
      <c r="G992">
        <v>68</v>
      </c>
      <c r="H992">
        <v>87</v>
      </c>
      <c r="I992">
        <v>354</v>
      </c>
      <c r="J992" t="str">
        <f>IFERROR(VLOOKUP(A992&amp;"",'BEA Buyer Groups'!$A$4:$C$500,3,FALSE),"Not used")</f>
        <v>Residential</v>
      </c>
      <c r="K992" t="str">
        <f t="shared" si="15"/>
        <v>Direct</v>
      </c>
    </row>
    <row r="993" spans="1:11" x14ac:dyDescent="0.25">
      <c r="A993" s="130" t="s">
        <v>1552</v>
      </c>
      <c r="B993" t="s">
        <v>1553</v>
      </c>
      <c r="C993" s="130" t="s">
        <v>846</v>
      </c>
      <c r="D993" t="s">
        <v>847</v>
      </c>
      <c r="E993">
        <v>29</v>
      </c>
      <c r="F993">
        <v>4</v>
      </c>
      <c r="G993">
        <v>10</v>
      </c>
      <c r="H993">
        <v>10</v>
      </c>
      <c r="I993">
        <v>53</v>
      </c>
      <c r="J993" t="str">
        <f>IFERROR(VLOOKUP(A993&amp;"",'BEA Buyer Groups'!$A$4:$C$500,3,FALSE),"Not used")</f>
        <v>Residential</v>
      </c>
      <c r="K993" t="str">
        <f t="shared" si="15"/>
        <v>Direct</v>
      </c>
    </row>
    <row r="994" spans="1:11" x14ac:dyDescent="0.25">
      <c r="A994" s="130" t="s">
        <v>1552</v>
      </c>
      <c r="B994" t="s">
        <v>1553</v>
      </c>
      <c r="C994" s="130" t="s">
        <v>848</v>
      </c>
      <c r="D994" t="s">
        <v>849</v>
      </c>
      <c r="E994">
        <v>6634</v>
      </c>
      <c r="F994">
        <v>95</v>
      </c>
      <c r="G994">
        <v>2298</v>
      </c>
      <c r="H994">
        <v>2238</v>
      </c>
      <c r="I994">
        <v>11265</v>
      </c>
      <c r="J994" t="str">
        <f>IFERROR(VLOOKUP(A994&amp;"",'BEA Buyer Groups'!$A$4:$C$500,3,FALSE),"Not used")</f>
        <v>Residential</v>
      </c>
      <c r="K994" t="str">
        <f t="shared" si="15"/>
        <v>Direct</v>
      </c>
    </row>
    <row r="995" spans="1:11" x14ac:dyDescent="0.25">
      <c r="A995" s="130" t="s">
        <v>1554</v>
      </c>
      <c r="B995" t="s">
        <v>1555</v>
      </c>
      <c r="C995" s="130" t="s">
        <v>820</v>
      </c>
      <c r="D995" t="s">
        <v>821</v>
      </c>
      <c r="E995">
        <v>408</v>
      </c>
      <c r="F995">
        <v>11</v>
      </c>
      <c r="G995">
        <v>143</v>
      </c>
      <c r="H995">
        <v>0</v>
      </c>
      <c r="I995">
        <v>562</v>
      </c>
      <c r="J995" t="str">
        <f>IFERROR(VLOOKUP(A995&amp;"",'BEA Buyer Groups'!$A$4:$C$500,3,FALSE),"Not used")</f>
        <v>Not used</v>
      </c>
      <c r="K995" t="str">
        <f t="shared" si="15"/>
        <v>Direct</v>
      </c>
    </row>
    <row r="996" spans="1:11" x14ac:dyDescent="0.25">
      <c r="A996" s="130" t="s">
        <v>1554</v>
      </c>
      <c r="B996" t="s">
        <v>1555</v>
      </c>
      <c r="C996" s="130" t="s">
        <v>802</v>
      </c>
      <c r="D996" t="s">
        <v>803</v>
      </c>
      <c r="E996">
        <v>37</v>
      </c>
      <c r="F996">
        <v>2</v>
      </c>
      <c r="G996">
        <v>25</v>
      </c>
      <c r="H996">
        <v>0</v>
      </c>
      <c r="I996">
        <v>64</v>
      </c>
      <c r="J996" t="str">
        <f>IFERROR(VLOOKUP(A996&amp;"",'BEA Buyer Groups'!$A$4:$C$500,3,FALSE),"Not used")</f>
        <v>Not used</v>
      </c>
      <c r="K996" t="str">
        <f t="shared" si="15"/>
        <v>Direct</v>
      </c>
    </row>
    <row r="997" spans="1:11" x14ac:dyDescent="0.25">
      <c r="A997" s="130" t="s">
        <v>1554</v>
      </c>
      <c r="B997" t="s">
        <v>1555</v>
      </c>
      <c r="C997" s="130" t="s">
        <v>822</v>
      </c>
      <c r="D997" t="s">
        <v>823</v>
      </c>
      <c r="E997">
        <v>528</v>
      </c>
      <c r="F997">
        <v>15</v>
      </c>
      <c r="G997">
        <v>227</v>
      </c>
      <c r="H997">
        <v>0</v>
      </c>
      <c r="I997">
        <v>770</v>
      </c>
      <c r="J997" t="str">
        <f>IFERROR(VLOOKUP(A997&amp;"",'BEA Buyer Groups'!$A$4:$C$500,3,FALSE),"Not used")</f>
        <v>Not used</v>
      </c>
      <c r="K997" t="str">
        <f t="shared" si="15"/>
        <v>Direct</v>
      </c>
    </row>
    <row r="998" spans="1:11" x14ac:dyDescent="0.25">
      <c r="A998" s="130" t="s">
        <v>1554</v>
      </c>
      <c r="B998" t="s">
        <v>1555</v>
      </c>
      <c r="C998" s="130" t="s">
        <v>806</v>
      </c>
      <c r="D998" t="s">
        <v>807</v>
      </c>
      <c r="E998">
        <v>294</v>
      </c>
      <c r="F998">
        <v>1</v>
      </c>
      <c r="G998">
        <v>39</v>
      </c>
      <c r="H998">
        <v>0</v>
      </c>
      <c r="I998">
        <v>334</v>
      </c>
      <c r="J998" t="str">
        <f>IFERROR(VLOOKUP(A998&amp;"",'BEA Buyer Groups'!$A$4:$C$500,3,FALSE),"Not used")</f>
        <v>Not used</v>
      </c>
      <c r="K998" t="str">
        <f t="shared" si="15"/>
        <v>Direct</v>
      </c>
    </row>
    <row r="999" spans="1:11" x14ac:dyDescent="0.25">
      <c r="A999" s="130" t="s">
        <v>1554</v>
      </c>
      <c r="B999" t="s">
        <v>1555</v>
      </c>
      <c r="C999" s="130" t="s">
        <v>860</v>
      </c>
      <c r="D999" t="s">
        <v>861</v>
      </c>
      <c r="E999">
        <v>-127</v>
      </c>
      <c r="F999">
        <v>-1</v>
      </c>
      <c r="G999">
        <v>-46</v>
      </c>
      <c r="H999">
        <v>0</v>
      </c>
      <c r="I999">
        <v>-175</v>
      </c>
      <c r="J999" t="str">
        <f>IFERROR(VLOOKUP(A999&amp;"",'BEA Buyer Groups'!$A$4:$C$500,3,FALSE),"Not used")</f>
        <v>Not used</v>
      </c>
      <c r="K999" t="str">
        <f t="shared" si="15"/>
        <v>Direct</v>
      </c>
    </row>
    <row r="1000" spans="1:11" x14ac:dyDescent="0.25">
      <c r="A1000" s="130" t="s">
        <v>1554</v>
      </c>
      <c r="B1000" t="s">
        <v>1555</v>
      </c>
      <c r="C1000" s="130" t="s">
        <v>810</v>
      </c>
      <c r="D1000" t="s">
        <v>811</v>
      </c>
      <c r="E1000">
        <v>15</v>
      </c>
      <c r="F1000">
        <v>0</v>
      </c>
      <c r="G1000">
        <v>4</v>
      </c>
      <c r="H1000">
        <v>0</v>
      </c>
      <c r="I1000">
        <v>20</v>
      </c>
      <c r="J1000" t="str">
        <f>IFERROR(VLOOKUP(A1000&amp;"",'BEA Buyer Groups'!$A$4:$C$500,3,FALSE),"Not used")</f>
        <v>Not used</v>
      </c>
      <c r="K1000" t="str">
        <f t="shared" si="15"/>
        <v>Direct</v>
      </c>
    </row>
    <row r="1001" spans="1:11" x14ac:dyDescent="0.25">
      <c r="A1001" s="130" t="s">
        <v>1554</v>
      </c>
      <c r="B1001" t="s">
        <v>1555</v>
      </c>
      <c r="C1001" s="130" t="s">
        <v>816</v>
      </c>
      <c r="D1001" t="s">
        <v>817</v>
      </c>
      <c r="E1001">
        <v>164</v>
      </c>
      <c r="F1001">
        <v>18</v>
      </c>
      <c r="G1001">
        <v>44</v>
      </c>
      <c r="H1001">
        <v>0</v>
      </c>
      <c r="I1001">
        <v>226</v>
      </c>
      <c r="J1001" t="str">
        <f>IFERROR(VLOOKUP(A1001&amp;"",'BEA Buyer Groups'!$A$4:$C$500,3,FALSE),"Not used")</f>
        <v>Not used</v>
      </c>
      <c r="K1001" t="str">
        <f t="shared" si="15"/>
        <v>Direct</v>
      </c>
    </row>
    <row r="1002" spans="1:11" x14ac:dyDescent="0.25">
      <c r="A1002" s="130" t="s">
        <v>1554</v>
      </c>
      <c r="B1002" t="s">
        <v>1555</v>
      </c>
      <c r="C1002" s="130" t="s">
        <v>846</v>
      </c>
      <c r="D1002" t="s">
        <v>847</v>
      </c>
      <c r="E1002">
        <v>77</v>
      </c>
      <c r="F1002">
        <v>11</v>
      </c>
      <c r="G1002">
        <v>30</v>
      </c>
      <c r="H1002">
        <v>0</v>
      </c>
      <c r="I1002">
        <v>119</v>
      </c>
      <c r="J1002" t="str">
        <f>IFERROR(VLOOKUP(A1002&amp;"",'BEA Buyer Groups'!$A$4:$C$500,3,FALSE),"Not used")</f>
        <v>Not used</v>
      </c>
      <c r="K1002" t="str">
        <f t="shared" si="15"/>
        <v>Direct</v>
      </c>
    </row>
    <row r="1003" spans="1:11" x14ac:dyDescent="0.25">
      <c r="A1003" s="130" t="s">
        <v>1554</v>
      </c>
      <c r="B1003" t="s">
        <v>1555</v>
      </c>
      <c r="C1003" s="130" t="s">
        <v>848</v>
      </c>
      <c r="D1003" t="s">
        <v>849</v>
      </c>
      <c r="E1003">
        <v>392</v>
      </c>
      <c r="F1003">
        <v>3</v>
      </c>
      <c r="G1003">
        <v>75</v>
      </c>
      <c r="H1003">
        <v>0</v>
      </c>
      <c r="I1003">
        <v>471</v>
      </c>
      <c r="J1003" t="str">
        <f>IFERROR(VLOOKUP(A1003&amp;"",'BEA Buyer Groups'!$A$4:$C$500,3,FALSE),"Not used")</f>
        <v>Not used</v>
      </c>
      <c r="K1003" t="str">
        <f t="shared" si="15"/>
        <v>Direct</v>
      </c>
    </row>
    <row r="1004" spans="1:11" x14ac:dyDescent="0.25">
      <c r="A1004" s="130" t="s">
        <v>1556</v>
      </c>
      <c r="B1004" t="s">
        <v>1557</v>
      </c>
      <c r="C1004" s="130" t="s">
        <v>820</v>
      </c>
      <c r="D1004" t="s">
        <v>821</v>
      </c>
      <c r="E1004">
        <v>1700</v>
      </c>
      <c r="F1004">
        <v>43</v>
      </c>
      <c r="G1004">
        <v>454</v>
      </c>
      <c r="H1004">
        <v>0</v>
      </c>
      <c r="I1004">
        <v>2197</v>
      </c>
      <c r="J1004" t="str">
        <f>IFERROR(VLOOKUP(A1004&amp;"",'BEA Buyer Groups'!$A$4:$C$500,3,FALSE),"Not used")</f>
        <v>Not used</v>
      </c>
      <c r="K1004" t="str">
        <f t="shared" si="15"/>
        <v>Direct</v>
      </c>
    </row>
    <row r="1005" spans="1:11" x14ac:dyDescent="0.25">
      <c r="A1005" s="130" t="s">
        <v>1556</v>
      </c>
      <c r="B1005" t="s">
        <v>1557</v>
      </c>
      <c r="C1005" s="130" t="s">
        <v>802</v>
      </c>
      <c r="D1005" t="s">
        <v>803</v>
      </c>
      <c r="E1005">
        <v>309</v>
      </c>
      <c r="F1005">
        <v>9</v>
      </c>
      <c r="G1005">
        <v>125</v>
      </c>
      <c r="H1005">
        <v>0</v>
      </c>
      <c r="I1005">
        <v>444</v>
      </c>
      <c r="J1005" t="str">
        <f>IFERROR(VLOOKUP(A1005&amp;"",'BEA Buyer Groups'!$A$4:$C$500,3,FALSE),"Not used")</f>
        <v>Not used</v>
      </c>
      <c r="K1005" t="str">
        <f t="shared" si="15"/>
        <v>Direct</v>
      </c>
    </row>
    <row r="1006" spans="1:11" x14ac:dyDescent="0.25">
      <c r="A1006" s="130" t="s">
        <v>1556</v>
      </c>
      <c r="B1006" t="s">
        <v>1557</v>
      </c>
      <c r="C1006" s="130" t="s">
        <v>822</v>
      </c>
      <c r="D1006" t="s">
        <v>823</v>
      </c>
      <c r="E1006">
        <v>4016</v>
      </c>
      <c r="F1006">
        <v>109</v>
      </c>
      <c r="G1006">
        <v>1501</v>
      </c>
      <c r="H1006">
        <v>0</v>
      </c>
      <c r="I1006">
        <v>5626</v>
      </c>
      <c r="J1006" t="str">
        <f>IFERROR(VLOOKUP(A1006&amp;"",'BEA Buyer Groups'!$A$4:$C$500,3,FALSE),"Not used")</f>
        <v>Not used</v>
      </c>
      <c r="K1006" t="str">
        <f t="shared" si="15"/>
        <v>Direct</v>
      </c>
    </row>
    <row r="1007" spans="1:11" x14ac:dyDescent="0.25">
      <c r="A1007" s="130" t="s">
        <v>1556</v>
      </c>
      <c r="B1007" t="s">
        <v>1557</v>
      </c>
      <c r="C1007" s="130" t="s">
        <v>806</v>
      </c>
      <c r="D1007" t="s">
        <v>807</v>
      </c>
      <c r="E1007">
        <v>5423</v>
      </c>
      <c r="F1007">
        <v>53</v>
      </c>
      <c r="G1007">
        <v>1661</v>
      </c>
      <c r="H1007">
        <v>0</v>
      </c>
      <c r="I1007">
        <v>7137</v>
      </c>
      <c r="J1007" t="str">
        <f>IFERROR(VLOOKUP(A1007&amp;"",'BEA Buyer Groups'!$A$4:$C$500,3,FALSE),"Not used")</f>
        <v>Not used</v>
      </c>
      <c r="K1007" t="str">
        <f t="shared" si="15"/>
        <v>Direct</v>
      </c>
    </row>
    <row r="1008" spans="1:11" x14ac:dyDescent="0.25">
      <c r="A1008" s="130" t="s">
        <v>1556</v>
      </c>
      <c r="B1008" t="s">
        <v>1557</v>
      </c>
      <c r="C1008" s="130" t="s">
        <v>860</v>
      </c>
      <c r="D1008" t="s">
        <v>861</v>
      </c>
      <c r="E1008">
        <v>2399</v>
      </c>
      <c r="F1008">
        <v>22</v>
      </c>
      <c r="G1008">
        <v>788</v>
      </c>
      <c r="H1008">
        <v>0</v>
      </c>
      <c r="I1008">
        <v>3209</v>
      </c>
      <c r="J1008" t="str">
        <f>IFERROR(VLOOKUP(A1008&amp;"",'BEA Buyer Groups'!$A$4:$C$500,3,FALSE),"Not used")</f>
        <v>Not used</v>
      </c>
      <c r="K1008" t="str">
        <f t="shared" si="15"/>
        <v>Direct</v>
      </c>
    </row>
    <row r="1009" spans="1:11" x14ac:dyDescent="0.25">
      <c r="A1009" s="130" t="s">
        <v>1556</v>
      </c>
      <c r="B1009" t="s">
        <v>1557</v>
      </c>
      <c r="C1009" s="130" t="s">
        <v>810</v>
      </c>
      <c r="D1009" t="s">
        <v>811</v>
      </c>
      <c r="E1009">
        <v>288</v>
      </c>
      <c r="F1009">
        <v>3</v>
      </c>
      <c r="G1009">
        <v>88</v>
      </c>
      <c r="H1009">
        <v>0</v>
      </c>
      <c r="I1009">
        <v>379</v>
      </c>
      <c r="J1009" t="str">
        <f>IFERROR(VLOOKUP(A1009&amp;"",'BEA Buyer Groups'!$A$4:$C$500,3,FALSE),"Not used")</f>
        <v>Not used</v>
      </c>
      <c r="K1009" t="str">
        <f t="shared" si="15"/>
        <v>Direct</v>
      </c>
    </row>
    <row r="1010" spans="1:11" x14ac:dyDescent="0.25">
      <c r="A1010" s="130" t="s">
        <v>1556</v>
      </c>
      <c r="B1010" t="s">
        <v>1557</v>
      </c>
      <c r="C1010" s="130" t="s">
        <v>816</v>
      </c>
      <c r="D1010" t="s">
        <v>817</v>
      </c>
      <c r="E1010">
        <v>1022</v>
      </c>
      <c r="F1010">
        <v>125</v>
      </c>
      <c r="G1010">
        <v>308</v>
      </c>
      <c r="H1010">
        <v>0</v>
      </c>
      <c r="I1010">
        <v>1455</v>
      </c>
      <c r="J1010" t="str">
        <f>IFERROR(VLOOKUP(A1010&amp;"",'BEA Buyer Groups'!$A$4:$C$500,3,FALSE),"Not used")</f>
        <v>Not used</v>
      </c>
      <c r="K1010" t="str">
        <f t="shared" si="15"/>
        <v>Direct</v>
      </c>
    </row>
    <row r="1011" spans="1:11" x14ac:dyDescent="0.25">
      <c r="A1011" s="130" t="s">
        <v>1556</v>
      </c>
      <c r="B1011" t="s">
        <v>1557</v>
      </c>
      <c r="C1011" s="130" t="s">
        <v>846</v>
      </c>
      <c r="D1011" t="s">
        <v>847</v>
      </c>
      <c r="E1011">
        <v>753</v>
      </c>
      <c r="F1011">
        <v>96</v>
      </c>
      <c r="G1011">
        <v>253</v>
      </c>
      <c r="H1011">
        <v>0</v>
      </c>
      <c r="I1011">
        <v>1102</v>
      </c>
      <c r="J1011" t="str">
        <f>IFERROR(VLOOKUP(A1011&amp;"",'BEA Buyer Groups'!$A$4:$C$500,3,FALSE),"Not used")</f>
        <v>Not used</v>
      </c>
      <c r="K1011" t="str">
        <f t="shared" si="15"/>
        <v>Direct</v>
      </c>
    </row>
    <row r="1012" spans="1:11" x14ac:dyDescent="0.25">
      <c r="A1012" s="130" t="s">
        <v>1556</v>
      </c>
      <c r="B1012" t="s">
        <v>1557</v>
      </c>
      <c r="C1012" s="130" t="s">
        <v>848</v>
      </c>
      <c r="D1012" t="s">
        <v>849</v>
      </c>
      <c r="E1012">
        <v>2001</v>
      </c>
      <c r="F1012">
        <v>28</v>
      </c>
      <c r="G1012">
        <v>661</v>
      </c>
      <c r="H1012">
        <v>0</v>
      </c>
      <c r="I1012">
        <v>2690</v>
      </c>
      <c r="J1012" t="str">
        <f>IFERROR(VLOOKUP(A1012&amp;"",'BEA Buyer Groups'!$A$4:$C$500,3,FALSE),"Not used")</f>
        <v>Not used</v>
      </c>
      <c r="K1012" t="str">
        <f t="shared" si="15"/>
        <v>Direct</v>
      </c>
    </row>
    <row r="1013" spans="1:11" x14ac:dyDescent="0.25">
      <c r="A1013" s="130" t="s">
        <v>1558</v>
      </c>
      <c r="B1013" t="s">
        <v>1559</v>
      </c>
      <c r="C1013" s="130" t="s">
        <v>820</v>
      </c>
      <c r="D1013" t="s">
        <v>821</v>
      </c>
      <c r="E1013">
        <v>-7519</v>
      </c>
      <c r="F1013">
        <v>0</v>
      </c>
      <c r="G1013">
        <v>0</v>
      </c>
      <c r="H1013">
        <v>0</v>
      </c>
      <c r="I1013">
        <v>-7519</v>
      </c>
      <c r="J1013" t="str">
        <f>IFERROR(VLOOKUP(A1013&amp;"",'BEA Buyer Groups'!$A$4:$C$500,3,FALSE),"Not used")</f>
        <v>Not used</v>
      </c>
      <c r="K1013" t="str">
        <f t="shared" si="15"/>
        <v>Direct</v>
      </c>
    </row>
    <row r="1014" spans="1:11" x14ac:dyDescent="0.25">
      <c r="A1014" s="130" t="s">
        <v>1558</v>
      </c>
      <c r="B1014" t="s">
        <v>1559</v>
      </c>
      <c r="C1014" s="130" t="s">
        <v>802</v>
      </c>
      <c r="D1014" t="s">
        <v>803</v>
      </c>
      <c r="E1014">
        <v>-1084</v>
      </c>
      <c r="F1014">
        <v>0</v>
      </c>
      <c r="G1014">
        <v>0</v>
      </c>
      <c r="H1014">
        <v>0</v>
      </c>
      <c r="I1014">
        <v>-1084</v>
      </c>
      <c r="J1014" t="str">
        <f>IFERROR(VLOOKUP(A1014&amp;"",'BEA Buyer Groups'!$A$4:$C$500,3,FALSE),"Not used")</f>
        <v>Not used</v>
      </c>
      <c r="K1014" t="str">
        <f t="shared" si="15"/>
        <v>Direct</v>
      </c>
    </row>
    <row r="1015" spans="1:11" x14ac:dyDescent="0.25">
      <c r="A1015" s="130" t="s">
        <v>1558</v>
      </c>
      <c r="B1015" t="s">
        <v>1559</v>
      </c>
      <c r="C1015" s="130" t="s">
        <v>822</v>
      </c>
      <c r="D1015" t="s">
        <v>823</v>
      </c>
      <c r="E1015">
        <v>-11971</v>
      </c>
      <c r="F1015">
        <v>0</v>
      </c>
      <c r="G1015">
        <v>0</v>
      </c>
      <c r="H1015">
        <v>0</v>
      </c>
      <c r="I1015">
        <v>-11971</v>
      </c>
      <c r="J1015" t="str">
        <f>IFERROR(VLOOKUP(A1015&amp;"",'BEA Buyer Groups'!$A$4:$C$500,3,FALSE),"Not used")</f>
        <v>Not used</v>
      </c>
      <c r="K1015" t="str">
        <f t="shared" si="15"/>
        <v>Direct</v>
      </c>
    </row>
    <row r="1016" spans="1:11" x14ac:dyDescent="0.25">
      <c r="A1016" s="130" t="s">
        <v>1558</v>
      </c>
      <c r="B1016" t="s">
        <v>1559</v>
      </c>
      <c r="C1016" s="130" t="s">
        <v>806</v>
      </c>
      <c r="D1016" t="s">
        <v>807</v>
      </c>
      <c r="E1016">
        <v>-57773</v>
      </c>
      <c r="F1016">
        <v>0</v>
      </c>
      <c r="G1016">
        <v>0</v>
      </c>
      <c r="H1016">
        <v>0</v>
      </c>
      <c r="I1016">
        <v>-57773</v>
      </c>
      <c r="J1016" t="str">
        <f>IFERROR(VLOOKUP(A1016&amp;"",'BEA Buyer Groups'!$A$4:$C$500,3,FALSE),"Not used")</f>
        <v>Not used</v>
      </c>
      <c r="K1016" t="str">
        <f t="shared" si="15"/>
        <v>Direct</v>
      </c>
    </row>
    <row r="1017" spans="1:11" x14ac:dyDescent="0.25">
      <c r="A1017" s="130" t="s">
        <v>1558</v>
      </c>
      <c r="B1017" t="s">
        <v>1559</v>
      </c>
      <c r="C1017" s="130" t="s">
        <v>860</v>
      </c>
      <c r="D1017" t="s">
        <v>861</v>
      </c>
      <c r="E1017">
        <v>-29196</v>
      </c>
      <c r="F1017">
        <v>0</v>
      </c>
      <c r="G1017">
        <v>0</v>
      </c>
      <c r="H1017">
        <v>0</v>
      </c>
      <c r="I1017">
        <v>-29196</v>
      </c>
      <c r="J1017" t="str">
        <f>IFERROR(VLOOKUP(A1017&amp;"",'BEA Buyer Groups'!$A$4:$C$500,3,FALSE),"Not used")</f>
        <v>Not used</v>
      </c>
      <c r="K1017" t="str">
        <f t="shared" si="15"/>
        <v>Direct</v>
      </c>
    </row>
    <row r="1018" spans="1:11" x14ac:dyDescent="0.25">
      <c r="A1018" s="130" t="s">
        <v>1558</v>
      </c>
      <c r="B1018" t="s">
        <v>1559</v>
      </c>
      <c r="C1018" s="130" t="s">
        <v>810</v>
      </c>
      <c r="D1018" t="s">
        <v>811</v>
      </c>
      <c r="E1018">
        <v>-1283</v>
      </c>
      <c r="F1018">
        <v>0</v>
      </c>
      <c r="G1018">
        <v>0</v>
      </c>
      <c r="H1018">
        <v>0</v>
      </c>
      <c r="I1018">
        <v>-1283</v>
      </c>
      <c r="J1018" t="str">
        <f>IFERROR(VLOOKUP(A1018&amp;"",'BEA Buyer Groups'!$A$4:$C$500,3,FALSE),"Not used")</f>
        <v>Not used</v>
      </c>
      <c r="K1018" t="str">
        <f t="shared" si="15"/>
        <v>Direct</v>
      </c>
    </row>
    <row r="1019" spans="1:11" x14ac:dyDescent="0.25">
      <c r="A1019" s="130" t="s">
        <v>1558</v>
      </c>
      <c r="B1019" t="s">
        <v>1559</v>
      </c>
      <c r="C1019" s="130" t="s">
        <v>816</v>
      </c>
      <c r="D1019" t="s">
        <v>817</v>
      </c>
      <c r="E1019">
        <v>-14644</v>
      </c>
      <c r="F1019">
        <v>0</v>
      </c>
      <c r="G1019">
        <v>0</v>
      </c>
      <c r="H1019">
        <v>0</v>
      </c>
      <c r="I1019">
        <v>-14644</v>
      </c>
      <c r="J1019" t="str">
        <f>IFERROR(VLOOKUP(A1019&amp;"",'BEA Buyer Groups'!$A$4:$C$500,3,FALSE),"Not used")</f>
        <v>Not used</v>
      </c>
      <c r="K1019" t="str">
        <f t="shared" si="15"/>
        <v>Direct</v>
      </c>
    </row>
    <row r="1020" spans="1:11" x14ac:dyDescent="0.25">
      <c r="A1020" s="130" t="s">
        <v>1558</v>
      </c>
      <c r="B1020" t="s">
        <v>1559</v>
      </c>
      <c r="C1020" s="130" t="s">
        <v>846</v>
      </c>
      <c r="D1020" t="s">
        <v>847</v>
      </c>
      <c r="E1020">
        <v>-12085</v>
      </c>
      <c r="F1020">
        <v>0</v>
      </c>
      <c r="G1020">
        <v>0</v>
      </c>
      <c r="H1020">
        <v>0</v>
      </c>
      <c r="I1020">
        <v>-12085</v>
      </c>
      <c r="J1020" t="str">
        <f>IFERROR(VLOOKUP(A1020&amp;"",'BEA Buyer Groups'!$A$4:$C$500,3,FALSE),"Not used")</f>
        <v>Not used</v>
      </c>
      <c r="K1020" t="str">
        <f t="shared" si="15"/>
        <v>Direct</v>
      </c>
    </row>
    <row r="1021" spans="1:11" x14ac:dyDescent="0.25">
      <c r="A1021" s="130" t="s">
        <v>1558</v>
      </c>
      <c r="B1021" t="s">
        <v>1559</v>
      </c>
      <c r="C1021" s="130" t="s">
        <v>848</v>
      </c>
      <c r="D1021" t="s">
        <v>849</v>
      </c>
      <c r="E1021">
        <v>-16879</v>
      </c>
      <c r="F1021">
        <v>0</v>
      </c>
      <c r="G1021">
        <v>0</v>
      </c>
      <c r="H1021">
        <v>0</v>
      </c>
      <c r="I1021">
        <v>-16879</v>
      </c>
      <c r="J1021" t="str">
        <f>IFERROR(VLOOKUP(A1021&amp;"",'BEA Buyer Groups'!$A$4:$C$500,3,FALSE),"Not used")</f>
        <v>Not used</v>
      </c>
      <c r="K1021" t="str">
        <f t="shared" si="15"/>
        <v>Direct</v>
      </c>
    </row>
    <row r="1022" spans="1:11" x14ac:dyDescent="0.25">
      <c r="A1022" s="130" t="s">
        <v>1560</v>
      </c>
      <c r="B1022" t="s">
        <v>1561</v>
      </c>
      <c r="C1022" s="130" t="s">
        <v>820</v>
      </c>
      <c r="D1022" t="s">
        <v>821</v>
      </c>
      <c r="E1022">
        <v>251</v>
      </c>
      <c r="F1022">
        <v>8</v>
      </c>
      <c r="G1022">
        <v>118</v>
      </c>
      <c r="H1022">
        <v>0</v>
      </c>
      <c r="I1022">
        <v>377</v>
      </c>
      <c r="J1022" t="str">
        <f>IFERROR(VLOOKUP(A1022&amp;"",'BEA Buyer Groups'!$A$4:$C$500,3,FALSE),"Not used")</f>
        <v>Commercial</v>
      </c>
      <c r="K1022" t="str">
        <f t="shared" si="15"/>
        <v>Direct</v>
      </c>
    </row>
    <row r="1023" spans="1:11" x14ac:dyDescent="0.25">
      <c r="A1023" s="130" t="s">
        <v>1560</v>
      </c>
      <c r="B1023" t="s">
        <v>1561</v>
      </c>
      <c r="C1023" s="130" t="s">
        <v>822</v>
      </c>
      <c r="D1023" t="s">
        <v>823</v>
      </c>
      <c r="E1023">
        <v>115</v>
      </c>
      <c r="F1023">
        <v>3</v>
      </c>
      <c r="G1023">
        <v>47</v>
      </c>
      <c r="H1023">
        <v>0</v>
      </c>
      <c r="I1023">
        <v>165</v>
      </c>
      <c r="J1023" t="str">
        <f>IFERROR(VLOOKUP(A1023&amp;"",'BEA Buyer Groups'!$A$4:$C$500,3,FALSE),"Not used")</f>
        <v>Commercial</v>
      </c>
      <c r="K1023" t="str">
        <f t="shared" si="15"/>
        <v>Direct</v>
      </c>
    </row>
    <row r="1024" spans="1:11" x14ac:dyDescent="0.25">
      <c r="A1024" s="130" t="s">
        <v>1560</v>
      </c>
      <c r="B1024" t="s">
        <v>1561</v>
      </c>
      <c r="C1024" s="130" t="s">
        <v>806</v>
      </c>
      <c r="D1024" t="s">
        <v>807</v>
      </c>
      <c r="E1024">
        <v>1501</v>
      </c>
      <c r="F1024">
        <v>15</v>
      </c>
      <c r="G1024">
        <v>402</v>
      </c>
      <c r="H1024">
        <v>0</v>
      </c>
      <c r="I1024">
        <v>1918</v>
      </c>
      <c r="J1024" t="str">
        <f>IFERROR(VLOOKUP(A1024&amp;"",'BEA Buyer Groups'!$A$4:$C$500,3,FALSE),"Not used")</f>
        <v>Commercial</v>
      </c>
      <c r="K1024" t="str">
        <f t="shared" si="15"/>
        <v>Direct</v>
      </c>
    </row>
    <row r="1025" spans="1:11" x14ac:dyDescent="0.25">
      <c r="A1025" s="130" t="s">
        <v>1560</v>
      </c>
      <c r="B1025" t="s">
        <v>1561</v>
      </c>
      <c r="C1025" s="130" t="s">
        <v>846</v>
      </c>
      <c r="D1025" t="s">
        <v>847</v>
      </c>
      <c r="E1025">
        <v>2</v>
      </c>
      <c r="F1025">
        <v>0</v>
      </c>
      <c r="G1025">
        <v>1</v>
      </c>
      <c r="H1025">
        <v>0</v>
      </c>
      <c r="I1025">
        <v>3</v>
      </c>
      <c r="J1025" t="str">
        <f>IFERROR(VLOOKUP(A1025&amp;"",'BEA Buyer Groups'!$A$4:$C$500,3,FALSE),"Not used")</f>
        <v>Commercial</v>
      </c>
      <c r="K1025" t="str">
        <f t="shared" si="15"/>
        <v>Direct</v>
      </c>
    </row>
    <row r="1026" spans="1:11" x14ac:dyDescent="0.25">
      <c r="A1026" s="130" t="s">
        <v>1560</v>
      </c>
      <c r="B1026" t="s">
        <v>1561</v>
      </c>
      <c r="C1026" s="130" t="s">
        <v>848</v>
      </c>
      <c r="D1026" t="s">
        <v>849</v>
      </c>
      <c r="E1026">
        <v>2</v>
      </c>
      <c r="F1026">
        <v>0</v>
      </c>
      <c r="G1026">
        <v>1</v>
      </c>
      <c r="H1026">
        <v>0</v>
      </c>
      <c r="I1026">
        <v>3</v>
      </c>
      <c r="J1026" t="str">
        <f>IFERROR(VLOOKUP(A1026&amp;"",'BEA Buyer Groups'!$A$4:$C$500,3,FALSE),"Not used")</f>
        <v>Commercial</v>
      </c>
      <c r="K1026" t="str">
        <f t="shared" si="15"/>
        <v>Direct</v>
      </c>
    </row>
    <row r="1027" spans="1:11" x14ac:dyDescent="0.25">
      <c r="A1027" s="130" t="s">
        <v>1562</v>
      </c>
      <c r="B1027" t="s">
        <v>1563</v>
      </c>
      <c r="C1027" s="130" t="s">
        <v>820</v>
      </c>
      <c r="D1027" t="s">
        <v>821</v>
      </c>
      <c r="E1027">
        <v>16</v>
      </c>
      <c r="F1027">
        <v>0</v>
      </c>
      <c r="G1027">
        <v>5</v>
      </c>
      <c r="H1027">
        <v>0</v>
      </c>
      <c r="I1027">
        <v>21</v>
      </c>
      <c r="J1027" t="str">
        <f>IFERROR(VLOOKUP(A1027&amp;"",'BEA Buyer Groups'!$A$4:$C$500,3,FALSE),"Not used")</f>
        <v>Commercial</v>
      </c>
      <c r="K1027" t="str">
        <f t="shared" si="15"/>
        <v>Direct</v>
      </c>
    </row>
    <row r="1028" spans="1:11" x14ac:dyDescent="0.25">
      <c r="A1028" s="130" t="s">
        <v>1562</v>
      </c>
      <c r="B1028" t="s">
        <v>1563</v>
      </c>
      <c r="C1028" s="130" t="s">
        <v>806</v>
      </c>
      <c r="D1028" t="s">
        <v>807</v>
      </c>
      <c r="E1028">
        <v>1349</v>
      </c>
      <c r="F1028">
        <v>13</v>
      </c>
      <c r="G1028">
        <v>361</v>
      </c>
      <c r="H1028">
        <v>0</v>
      </c>
      <c r="I1028">
        <v>1724</v>
      </c>
      <c r="J1028" t="str">
        <f>IFERROR(VLOOKUP(A1028&amp;"",'BEA Buyer Groups'!$A$4:$C$500,3,FALSE),"Not used")</f>
        <v>Commercial</v>
      </c>
      <c r="K1028" t="str">
        <f t="shared" si="15"/>
        <v>Direct</v>
      </c>
    </row>
    <row r="1029" spans="1:11" x14ac:dyDescent="0.25">
      <c r="A1029" s="130" t="s">
        <v>1562</v>
      </c>
      <c r="B1029" t="s">
        <v>1563</v>
      </c>
      <c r="C1029" s="130" t="s">
        <v>846</v>
      </c>
      <c r="D1029" t="s">
        <v>847</v>
      </c>
      <c r="E1029">
        <v>11</v>
      </c>
      <c r="F1029">
        <v>1</v>
      </c>
      <c r="G1029">
        <v>4</v>
      </c>
      <c r="H1029">
        <v>0</v>
      </c>
      <c r="I1029">
        <v>16</v>
      </c>
      <c r="J1029" t="str">
        <f>IFERROR(VLOOKUP(A1029&amp;"",'BEA Buyer Groups'!$A$4:$C$500,3,FALSE),"Not used")</f>
        <v>Commercial</v>
      </c>
      <c r="K1029" t="str">
        <f t="shared" si="15"/>
        <v>Direct</v>
      </c>
    </row>
    <row r="1030" spans="1:11" x14ac:dyDescent="0.25">
      <c r="A1030" s="130" t="s">
        <v>1564</v>
      </c>
      <c r="B1030" t="s">
        <v>1565</v>
      </c>
      <c r="C1030" s="130" t="s">
        <v>820</v>
      </c>
      <c r="D1030" t="s">
        <v>821</v>
      </c>
      <c r="E1030">
        <v>636</v>
      </c>
      <c r="F1030">
        <v>20</v>
      </c>
      <c r="G1030">
        <v>216</v>
      </c>
      <c r="H1030">
        <v>0</v>
      </c>
      <c r="I1030">
        <v>871</v>
      </c>
      <c r="J1030" t="str">
        <f>IFERROR(VLOOKUP(A1030&amp;"",'BEA Buyer Groups'!$A$4:$C$500,3,FALSE),"Not used")</f>
        <v>Commercial</v>
      </c>
      <c r="K1030" t="str">
        <f t="shared" si="15"/>
        <v>Direct</v>
      </c>
    </row>
    <row r="1031" spans="1:11" x14ac:dyDescent="0.25">
      <c r="A1031" s="130" t="s">
        <v>1564</v>
      </c>
      <c r="B1031" t="s">
        <v>1565</v>
      </c>
      <c r="C1031" s="130" t="s">
        <v>802</v>
      </c>
      <c r="D1031" t="s">
        <v>803</v>
      </c>
      <c r="E1031">
        <v>0</v>
      </c>
      <c r="F1031">
        <v>0</v>
      </c>
      <c r="G1031">
        <v>0</v>
      </c>
      <c r="H1031">
        <v>0</v>
      </c>
      <c r="I1031">
        <v>0</v>
      </c>
      <c r="J1031" t="str">
        <f>IFERROR(VLOOKUP(A1031&amp;"",'BEA Buyer Groups'!$A$4:$C$500,3,FALSE),"Not used")</f>
        <v>Commercial</v>
      </c>
      <c r="K1031" t="str">
        <f t="shared" ref="K1031:K1074" si="16">IF(LEFT(A1031,2)="23","Contractor","Direct")</f>
        <v>Direct</v>
      </c>
    </row>
    <row r="1032" spans="1:11" x14ac:dyDescent="0.25">
      <c r="A1032" s="130" t="s">
        <v>1564</v>
      </c>
      <c r="B1032" t="s">
        <v>1565</v>
      </c>
      <c r="C1032" s="130" t="s">
        <v>822</v>
      </c>
      <c r="D1032" t="s">
        <v>823</v>
      </c>
      <c r="E1032">
        <v>243</v>
      </c>
      <c r="F1032">
        <v>7</v>
      </c>
      <c r="G1032">
        <v>99</v>
      </c>
      <c r="H1032">
        <v>0</v>
      </c>
      <c r="I1032">
        <v>350</v>
      </c>
      <c r="J1032" t="str">
        <f>IFERROR(VLOOKUP(A1032&amp;"",'BEA Buyer Groups'!$A$4:$C$500,3,FALSE),"Not used")</f>
        <v>Commercial</v>
      </c>
      <c r="K1032" t="str">
        <f t="shared" si="16"/>
        <v>Direct</v>
      </c>
    </row>
    <row r="1033" spans="1:11" x14ac:dyDescent="0.25">
      <c r="A1033" s="130" t="s">
        <v>1564</v>
      </c>
      <c r="B1033" t="s">
        <v>1565</v>
      </c>
      <c r="C1033" s="130" t="s">
        <v>806</v>
      </c>
      <c r="D1033" t="s">
        <v>807</v>
      </c>
      <c r="E1033">
        <v>4065</v>
      </c>
      <c r="F1033">
        <v>40</v>
      </c>
      <c r="G1033">
        <v>1089</v>
      </c>
      <c r="H1033">
        <v>0</v>
      </c>
      <c r="I1033">
        <v>5194</v>
      </c>
      <c r="J1033" t="str">
        <f>IFERROR(VLOOKUP(A1033&amp;"",'BEA Buyer Groups'!$A$4:$C$500,3,FALSE),"Not used")</f>
        <v>Commercial</v>
      </c>
      <c r="K1033" t="str">
        <f t="shared" si="16"/>
        <v>Direct</v>
      </c>
    </row>
    <row r="1034" spans="1:11" x14ac:dyDescent="0.25">
      <c r="A1034" s="130" t="s">
        <v>1564</v>
      </c>
      <c r="B1034" t="s">
        <v>1565</v>
      </c>
      <c r="C1034" s="130" t="s">
        <v>860</v>
      </c>
      <c r="D1034" t="s">
        <v>861</v>
      </c>
      <c r="E1034">
        <v>2527</v>
      </c>
      <c r="F1034">
        <v>24</v>
      </c>
      <c r="G1034">
        <v>844</v>
      </c>
      <c r="H1034">
        <v>0</v>
      </c>
      <c r="I1034">
        <v>3394</v>
      </c>
      <c r="J1034" t="str">
        <f>IFERROR(VLOOKUP(A1034&amp;"",'BEA Buyer Groups'!$A$4:$C$500,3,FALSE),"Not used")</f>
        <v>Commercial</v>
      </c>
      <c r="K1034" t="str">
        <f t="shared" si="16"/>
        <v>Direct</v>
      </c>
    </row>
    <row r="1035" spans="1:11" x14ac:dyDescent="0.25">
      <c r="A1035" s="130" t="s">
        <v>1564</v>
      </c>
      <c r="B1035" t="s">
        <v>1565</v>
      </c>
      <c r="C1035" s="130" t="s">
        <v>816</v>
      </c>
      <c r="D1035" t="s">
        <v>817</v>
      </c>
      <c r="E1035">
        <v>46</v>
      </c>
      <c r="F1035">
        <v>6</v>
      </c>
      <c r="G1035">
        <v>14</v>
      </c>
      <c r="H1035">
        <v>0</v>
      </c>
      <c r="I1035">
        <v>66</v>
      </c>
      <c r="J1035" t="str">
        <f>IFERROR(VLOOKUP(A1035&amp;"",'BEA Buyer Groups'!$A$4:$C$500,3,FALSE),"Not used")</f>
        <v>Commercial</v>
      </c>
      <c r="K1035" t="str">
        <f t="shared" si="16"/>
        <v>Direct</v>
      </c>
    </row>
    <row r="1036" spans="1:11" x14ac:dyDescent="0.25">
      <c r="A1036" s="130" t="s">
        <v>1564</v>
      </c>
      <c r="B1036" t="s">
        <v>1565</v>
      </c>
      <c r="C1036" s="130" t="s">
        <v>846</v>
      </c>
      <c r="D1036" t="s">
        <v>847</v>
      </c>
      <c r="E1036">
        <v>198</v>
      </c>
      <c r="F1036">
        <v>26</v>
      </c>
      <c r="G1036">
        <v>66</v>
      </c>
      <c r="H1036">
        <v>0</v>
      </c>
      <c r="I1036">
        <v>290</v>
      </c>
      <c r="J1036" t="str">
        <f>IFERROR(VLOOKUP(A1036&amp;"",'BEA Buyer Groups'!$A$4:$C$500,3,FALSE),"Not used")</f>
        <v>Commercial</v>
      </c>
      <c r="K1036" t="str">
        <f t="shared" si="16"/>
        <v>Direct</v>
      </c>
    </row>
    <row r="1037" spans="1:11" x14ac:dyDescent="0.25">
      <c r="A1037" s="130" t="s">
        <v>1564</v>
      </c>
      <c r="B1037" t="s">
        <v>1565</v>
      </c>
      <c r="C1037" s="130" t="s">
        <v>848</v>
      </c>
      <c r="D1037" t="s">
        <v>849</v>
      </c>
      <c r="E1037">
        <v>484</v>
      </c>
      <c r="F1037">
        <v>7</v>
      </c>
      <c r="G1037">
        <v>161</v>
      </c>
      <c r="H1037">
        <v>0</v>
      </c>
      <c r="I1037">
        <v>652</v>
      </c>
      <c r="J1037" t="str">
        <f>IFERROR(VLOOKUP(A1037&amp;"",'BEA Buyer Groups'!$A$4:$C$500,3,FALSE),"Not used")</f>
        <v>Commercial</v>
      </c>
      <c r="K1037" t="str">
        <f t="shared" si="16"/>
        <v>Direct</v>
      </c>
    </row>
    <row r="1038" spans="1:11" x14ac:dyDescent="0.25">
      <c r="A1038" s="130" t="s">
        <v>1566</v>
      </c>
      <c r="B1038" t="s">
        <v>1567</v>
      </c>
      <c r="C1038" s="130" t="s">
        <v>820</v>
      </c>
      <c r="D1038" t="s">
        <v>821</v>
      </c>
      <c r="E1038">
        <v>511</v>
      </c>
      <c r="F1038">
        <v>16</v>
      </c>
      <c r="G1038">
        <v>229</v>
      </c>
      <c r="H1038">
        <v>0</v>
      </c>
      <c r="I1038">
        <v>756</v>
      </c>
      <c r="J1038" t="str">
        <f>IFERROR(VLOOKUP(A1038&amp;"",'BEA Buyer Groups'!$A$4:$C$500,3,FALSE),"Not used")</f>
        <v>Commercial</v>
      </c>
      <c r="K1038" t="str">
        <f t="shared" si="16"/>
        <v>Direct</v>
      </c>
    </row>
    <row r="1039" spans="1:11" x14ac:dyDescent="0.25">
      <c r="A1039" s="130" t="s">
        <v>1566</v>
      </c>
      <c r="B1039" t="s">
        <v>1567</v>
      </c>
      <c r="C1039" s="130" t="s">
        <v>822</v>
      </c>
      <c r="D1039" t="s">
        <v>823</v>
      </c>
      <c r="E1039">
        <v>343</v>
      </c>
      <c r="F1039">
        <v>10</v>
      </c>
      <c r="G1039">
        <v>147</v>
      </c>
      <c r="H1039">
        <v>8</v>
      </c>
      <c r="I1039">
        <v>508</v>
      </c>
      <c r="J1039" t="str">
        <f>IFERROR(VLOOKUP(A1039&amp;"",'BEA Buyer Groups'!$A$4:$C$500,3,FALSE),"Not used")</f>
        <v>Commercial</v>
      </c>
      <c r="K1039" t="str">
        <f t="shared" si="16"/>
        <v>Direct</v>
      </c>
    </row>
    <row r="1040" spans="1:11" x14ac:dyDescent="0.25">
      <c r="A1040" s="130" t="s">
        <v>1566</v>
      </c>
      <c r="B1040" t="s">
        <v>1567</v>
      </c>
      <c r="C1040" s="130" t="s">
        <v>860</v>
      </c>
      <c r="D1040" t="s">
        <v>861</v>
      </c>
      <c r="E1040">
        <v>19</v>
      </c>
      <c r="F1040">
        <v>0</v>
      </c>
      <c r="G1040">
        <v>6</v>
      </c>
      <c r="H1040">
        <v>0</v>
      </c>
      <c r="I1040">
        <v>25</v>
      </c>
      <c r="J1040" t="str">
        <f>IFERROR(VLOOKUP(A1040&amp;"",'BEA Buyer Groups'!$A$4:$C$500,3,FALSE),"Not used")</f>
        <v>Commercial</v>
      </c>
      <c r="K1040" t="str">
        <f t="shared" si="16"/>
        <v>Direct</v>
      </c>
    </row>
    <row r="1041" spans="1:11" x14ac:dyDescent="0.25">
      <c r="A1041" s="130" t="s">
        <v>1566</v>
      </c>
      <c r="B1041" t="s">
        <v>1567</v>
      </c>
      <c r="C1041" s="130" t="s">
        <v>810</v>
      </c>
      <c r="D1041" t="s">
        <v>811</v>
      </c>
      <c r="E1041">
        <v>112</v>
      </c>
      <c r="F1041">
        <v>1</v>
      </c>
      <c r="G1041">
        <v>35</v>
      </c>
      <c r="H1041">
        <v>0</v>
      </c>
      <c r="I1041">
        <v>149</v>
      </c>
      <c r="J1041" t="str">
        <f>IFERROR(VLOOKUP(A1041&amp;"",'BEA Buyer Groups'!$A$4:$C$500,3,FALSE),"Not used")</f>
        <v>Commercial</v>
      </c>
      <c r="K1041" t="str">
        <f t="shared" si="16"/>
        <v>Direct</v>
      </c>
    </row>
    <row r="1042" spans="1:11" x14ac:dyDescent="0.25">
      <c r="A1042" s="130" t="s">
        <v>1566</v>
      </c>
      <c r="B1042" t="s">
        <v>1567</v>
      </c>
      <c r="C1042" s="130" t="s">
        <v>816</v>
      </c>
      <c r="D1042" t="s">
        <v>817</v>
      </c>
      <c r="E1042">
        <v>76</v>
      </c>
      <c r="F1042">
        <v>10</v>
      </c>
      <c r="G1042">
        <v>24</v>
      </c>
      <c r="H1042">
        <v>0</v>
      </c>
      <c r="I1042">
        <v>110</v>
      </c>
      <c r="J1042" t="str">
        <f>IFERROR(VLOOKUP(A1042&amp;"",'BEA Buyer Groups'!$A$4:$C$500,3,FALSE),"Not used")</f>
        <v>Commercial</v>
      </c>
      <c r="K1042" t="str">
        <f t="shared" si="16"/>
        <v>Direct</v>
      </c>
    </row>
    <row r="1043" spans="1:11" x14ac:dyDescent="0.25">
      <c r="A1043" s="130" t="s">
        <v>1568</v>
      </c>
      <c r="B1043" t="s">
        <v>1569</v>
      </c>
      <c r="C1043" s="130" t="s">
        <v>820</v>
      </c>
      <c r="D1043" t="s">
        <v>821</v>
      </c>
      <c r="E1043">
        <v>95</v>
      </c>
      <c r="F1043">
        <v>3</v>
      </c>
      <c r="G1043">
        <v>46</v>
      </c>
      <c r="H1043">
        <v>0</v>
      </c>
      <c r="I1043">
        <v>144</v>
      </c>
      <c r="J1043" t="str">
        <f>IFERROR(VLOOKUP(A1043&amp;"",'BEA Buyer Groups'!$A$4:$C$500,3,FALSE),"Not used")</f>
        <v>Commercial</v>
      </c>
      <c r="K1043" t="str">
        <f t="shared" si="16"/>
        <v>Direct</v>
      </c>
    </row>
    <row r="1044" spans="1:11" x14ac:dyDescent="0.25">
      <c r="A1044" s="130" t="s">
        <v>1568</v>
      </c>
      <c r="B1044" t="s">
        <v>1569</v>
      </c>
      <c r="C1044" s="130" t="s">
        <v>822</v>
      </c>
      <c r="D1044" t="s">
        <v>823</v>
      </c>
      <c r="E1044">
        <v>542</v>
      </c>
      <c r="F1044">
        <v>16</v>
      </c>
      <c r="G1044">
        <v>245</v>
      </c>
      <c r="H1044">
        <v>0</v>
      </c>
      <c r="I1044">
        <v>803</v>
      </c>
      <c r="J1044" t="str">
        <f>IFERROR(VLOOKUP(A1044&amp;"",'BEA Buyer Groups'!$A$4:$C$500,3,FALSE),"Not used")</f>
        <v>Commercial</v>
      </c>
      <c r="K1044" t="str">
        <f t="shared" si="16"/>
        <v>Direct</v>
      </c>
    </row>
    <row r="1045" spans="1:11" x14ac:dyDescent="0.25">
      <c r="A1045" s="130" t="s">
        <v>1568</v>
      </c>
      <c r="B1045" t="s">
        <v>1569</v>
      </c>
      <c r="C1045" s="130" t="s">
        <v>860</v>
      </c>
      <c r="D1045" t="s">
        <v>861</v>
      </c>
      <c r="E1045">
        <v>0</v>
      </c>
      <c r="F1045">
        <v>0</v>
      </c>
      <c r="G1045">
        <v>0</v>
      </c>
      <c r="H1045">
        <v>0</v>
      </c>
      <c r="I1045">
        <v>1</v>
      </c>
      <c r="J1045" t="str">
        <f>IFERROR(VLOOKUP(A1045&amp;"",'BEA Buyer Groups'!$A$4:$C$500,3,FALSE),"Not used")</f>
        <v>Commercial</v>
      </c>
      <c r="K1045" t="str">
        <f t="shared" si="16"/>
        <v>Direct</v>
      </c>
    </row>
    <row r="1046" spans="1:11" x14ac:dyDescent="0.25">
      <c r="A1046" s="130" t="s">
        <v>1568</v>
      </c>
      <c r="B1046" t="s">
        <v>1569</v>
      </c>
      <c r="C1046" s="130" t="s">
        <v>810</v>
      </c>
      <c r="D1046" t="s">
        <v>811</v>
      </c>
      <c r="E1046">
        <v>73</v>
      </c>
      <c r="F1046">
        <v>1</v>
      </c>
      <c r="G1046">
        <v>23</v>
      </c>
      <c r="H1046">
        <v>0</v>
      </c>
      <c r="I1046">
        <v>97</v>
      </c>
      <c r="J1046" t="str">
        <f>IFERROR(VLOOKUP(A1046&amp;"",'BEA Buyer Groups'!$A$4:$C$500,3,FALSE),"Not used")</f>
        <v>Commercial</v>
      </c>
      <c r="K1046" t="str">
        <f t="shared" si="16"/>
        <v>Direct</v>
      </c>
    </row>
    <row r="1047" spans="1:11" x14ac:dyDescent="0.25">
      <c r="A1047" s="130" t="s">
        <v>1568</v>
      </c>
      <c r="B1047" t="s">
        <v>1569</v>
      </c>
      <c r="C1047" s="130" t="s">
        <v>816</v>
      </c>
      <c r="D1047" t="s">
        <v>817</v>
      </c>
      <c r="E1047">
        <v>128</v>
      </c>
      <c r="F1047">
        <v>16</v>
      </c>
      <c r="G1047">
        <v>40</v>
      </c>
      <c r="H1047">
        <v>0</v>
      </c>
      <c r="I1047">
        <v>184</v>
      </c>
      <c r="J1047" t="str">
        <f>IFERROR(VLOOKUP(A1047&amp;"",'BEA Buyer Groups'!$A$4:$C$500,3,FALSE),"Not used")</f>
        <v>Commercial</v>
      </c>
      <c r="K1047" t="str">
        <f t="shared" si="16"/>
        <v>Direct</v>
      </c>
    </row>
    <row r="1048" spans="1:11" x14ac:dyDescent="0.25">
      <c r="A1048" s="130" t="s">
        <v>1570</v>
      </c>
      <c r="B1048" t="s">
        <v>1571</v>
      </c>
      <c r="C1048" s="130" t="s">
        <v>820</v>
      </c>
      <c r="D1048" t="s">
        <v>821</v>
      </c>
      <c r="E1048">
        <v>42</v>
      </c>
      <c r="F1048">
        <v>1</v>
      </c>
      <c r="G1048">
        <v>20</v>
      </c>
      <c r="H1048">
        <v>0</v>
      </c>
      <c r="I1048">
        <v>64</v>
      </c>
      <c r="J1048" t="str">
        <f>IFERROR(VLOOKUP(A1048&amp;"",'BEA Buyer Groups'!$A$4:$C$500,3,FALSE),"Not used")</f>
        <v>Commercial</v>
      </c>
      <c r="K1048" t="str">
        <f t="shared" si="16"/>
        <v>Direct</v>
      </c>
    </row>
    <row r="1049" spans="1:11" x14ac:dyDescent="0.25">
      <c r="A1049" s="130" t="s">
        <v>1570</v>
      </c>
      <c r="B1049" t="s">
        <v>1571</v>
      </c>
      <c r="C1049" s="130" t="s">
        <v>802</v>
      </c>
      <c r="D1049" t="s">
        <v>803</v>
      </c>
      <c r="E1049">
        <v>87</v>
      </c>
      <c r="F1049">
        <v>3</v>
      </c>
      <c r="G1049">
        <v>39</v>
      </c>
      <c r="H1049">
        <v>0</v>
      </c>
      <c r="I1049">
        <v>129</v>
      </c>
      <c r="J1049" t="str">
        <f>IFERROR(VLOOKUP(A1049&amp;"",'BEA Buyer Groups'!$A$4:$C$500,3,FALSE),"Not used")</f>
        <v>Commercial</v>
      </c>
      <c r="K1049" t="str">
        <f t="shared" si="16"/>
        <v>Direct</v>
      </c>
    </row>
    <row r="1050" spans="1:11" x14ac:dyDescent="0.25">
      <c r="A1050" s="130" t="s">
        <v>1570</v>
      </c>
      <c r="B1050" t="s">
        <v>1571</v>
      </c>
      <c r="C1050" s="130" t="s">
        <v>822</v>
      </c>
      <c r="D1050" t="s">
        <v>823</v>
      </c>
      <c r="E1050">
        <v>383</v>
      </c>
      <c r="F1050">
        <v>11</v>
      </c>
      <c r="G1050">
        <v>173</v>
      </c>
      <c r="H1050">
        <v>0</v>
      </c>
      <c r="I1050">
        <v>567</v>
      </c>
      <c r="J1050" t="str">
        <f>IFERROR(VLOOKUP(A1050&amp;"",'BEA Buyer Groups'!$A$4:$C$500,3,FALSE),"Not used")</f>
        <v>Commercial</v>
      </c>
      <c r="K1050" t="str">
        <f t="shared" si="16"/>
        <v>Direct</v>
      </c>
    </row>
    <row r="1051" spans="1:11" x14ac:dyDescent="0.25">
      <c r="A1051" s="130" t="s">
        <v>1570</v>
      </c>
      <c r="B1051" t="s">
        <v>1571</v>
      </c>
      <c r="C1051" s="130" t="s">
        <v>860</v>
      </c>
      <c r="D1051" t="s">
        <v>861</v>
      </c>
      <c r="E1051">
        <v>9</v>
      </c>
      <c r="F1051">
        <v>0</v>
      </c>
      <c r="G1051">
        <v>3</v>
      </c>
      <c r="H1051">
        <v>0</v>
      </c>
      <c r="I1051">
        <v>12</v>
      </c>
      <c r="J1051" t="str">
        <f>IFERROR(VLOOKUP(A1051&amp;"",'BEA Buyer Groups'!$A$4:$C$500,3,FALSE),"Not used")</f>
        <v>Commercial</v>
      </c>
      <c r="K1051" t="str">
        <f t="shared" si="16"/>
        <v>Direct</v>
      </c>
    </row>
    <row r="1052" spans="1:11" x14ac:dyDescent="0.25">
      <c r="A1052" s="130" t="s">
        <v>1570</v>
      </c>
      <c r="B1052" t="s">
        <v>1571</v>
      </c>
      <c r="C1052" s="130" t="s">
        <v>810</v>
      </c>
      <c r="D1052" t="s">
        <v>811</v>
      </c>
      <c r="E1052">
        <v>144</v>
      </c>
      <c r="F1052">
        <v>1</v>
      </c>
      <c r="G1052">
        <v>45</v>
      </c>
      <c r="H1052">
        <v>0</v>
      </c>
      <c r="I1052">
        <v>190</v>
      </c>
      <c r="J1052" t="str">
        <f>IFERROR(VLOOKUP(A1052&amp;"",'BEA Buyer Groups'!$A$4:$C$500,3,FALSE),"Not used")</f>
        <v>Commercial</v>
      </c>
      <c r="K1052" t="str">
        <f t="shared" si="16"/>
        <v>Direct</v>
      </c>
    </row>
    <row r="1053" spans="1:11" x14ac:dyDescent="0.25">
      <c r="A1053" s="130" t="s">
        <v>1570</v>
      </c>
      <c r="B1053" t="s">
        <v>1571</v>
      </c>
      <c r="C1053" s="130" t="s">
        <v>816</v>
      </c>
      <c r="D1053" t="s">
        <v>817</v>
      </c>
      <c r="E1053">
        <v>398</v>
      </c>
      <c r="F1053">
        <v>50</v>
      </c>
      <c r="G1053">
        <v>125</v>
      </c>
      <c r="H1053">
        <v>0</v>
      </c>
      <c r="I1053">
        <v>573</v>
      </c>
      <c r="J1053" t="str">
        <f>IFERROR(VLOOKUP(A1053&amp;"",'BEA Buyer Groups'!$A$4:$C$500,3,FALSE),"Not used")</f>
        <v>Commercial</v>
      </c>
      <c r="K1053" t="str">
        <f t="shared" si="16"/>
        <v>Direct</v>
      </c>
    </row>
    <row r="1054" spans="1:11" x14ac:dyDescent="0.25">
      <c r="A1054" s="130" t="s">
        <v>1572</v>
      </c>
      <c r="B1054" t="s">
        <v>1573</v>
      </c>
      <c r="C1054" s="130" t="s">
        <v>820</v>
      </c>
      <c r="D1054" t="s">
        <v>821</v>
      </c>
      <c r="E1054">
        <v>1</v>
      </c>
      <c r="F1054">
        <v>0</v>
      </c>
      <c r="G1054">
        <v>1</v>
      </c>
      <c r="H1054">
        <v>0</v>
      </c>
      <c r="I1054">
        <v>2</v>
      </c>
      <c r="J1054" t="str">
        <f>IFERROR(VLOOKUP(A1054&amp;"",'BEA Buyer Groups'!$A$4:$C$500,3,FALSE),"Not used")</f>
        <v>Commercial</v>
      </c>
      <c r="K1054" t="str">
        <f t="shared" si="16"/>
        <v>Direct</v>
      </c>
    </row>
    <row r="1055" spans="1:11" x14ac:dyDescent="0.25">
      <c r="A1055" s="130" t="s">
        <v>1574</v>
      </c>
      <c r="B1055" t="s">
        <v>1575</v>
      </c>
      <c r="C1055" s="130" t="s">
        <v>820</v>
      </c>
      <c r="D1055" t="s">
        <v>821</v>
      </c>
      <c r="E1055">
        <v>1</v>
      </c>
      <c r="F1055">
        <v>0</v>
      </c>
      <c r="G1055">
        <v>0</v>
      </c>
      <c r="H1055">
        <v>0</v>
      </c>
      <c r="I1055">
        <v>1</v>
      </c>
      <c r="J1055" t="str">
        <f>IFERROR(VLOOKUP(A1055&amp;"",'BEA Buyer Groups'!$A$4:$C$500,3,FALSE),"Not used")</f>
        <v>Commercial</v>
      </c>
      <c r="K1055" t="str">
        <f t="shared" si="16"/>
        <v>Direct</v>
      </c>
    </row>
    <row r="1056" spans="1:11" x14ac:dyDescent="0.25">
      <c r="A1056" s="130" t="s">
        <v>1576</v>
      </c>
      <c r="B1056" t="s">
        <v>1577</v>
      </c>
      <c r="C1056" s="130" t="s">
        <v>820</v>
      </c>
      <c r="D1056" t="s">
        <v>821</v>
      </c>
      <c r="E1056">
        <v>13</v>
      </c>
      <c r="F1056">
        <v>0</v>
      </c>
      <c r="G1056">
        <v>3</v>
      </c>
      <c r="H1056">
        <v>0</v>
      </c>
      <c r="I1056">
        <v>16</v>
      </c>
      <c r="J1056" t="str">
        <f>IFERROR(VLOOKUP(A1056&amp;"",'BEA Buyer Groups'!$A$4:$C$500,3,FALSE),"Not used")</f>
        <v>Commercial</v>
      </c>
      <c r="K1056" t="str">
        <f t="shared" si="16"/>
        <v>Direct</v>
      </c>
    </row>
    <row r="1057" spans="1:11" x14ac:dyDescent="0.25">
      <c r="A1057" s="130" t="s">
        <v>1576</v>
      </c>
      <c r="B1057" t="s">
        <v>1577</v>
      </c>
      <c r="C1057" s="130" t="s">
        <v>822</v>
      </c>
      <c r="D1057" t="s">
        <v>823</v>
      </c>
      <c r="E1057">
        <v>2</v>
      </c>
      <c r="F1057">
        <v>0</v>
      </c>
      <c r="G1057">
        <v>1</v>
      </c>
      <c r="H1057">
        <v>0</v>
      </c>
      <c r="I1057">
        <v>4</v>
      </c>
      <c r="J1057" t="str">
        <f>IFERROR(VLOOKUP(A1057&amp;"",'BEA Buyer Groups'!$A$4:$C$500,3,FALSE),"Not used")</f>
        <v>Commercial</v>
      </c>
      <c r="K1057" t="str">
        <f t="shared" si="16"/>
        <v>Direct</v>
      </c>
    </row>
    <row r="1058" spans="1:11" x14ac:dyDescent="0.25">
      <c r="A1058" s="130" t="s">
        <v>1576</v>
      </c>
      <c r="B1058" t="s">
        <v>1577</v>
      </c>
      <c r="C1058" s="130" t="s">
        <v>816</v>
      </c>
      <c r="D1058" t="s">
        <v>817</v>
      </c>
      <c r="E1058">
        <v>8</v>
      </c>
      <c r="F1058">
        <v>1</v>
      </c>
      <c r="G1058">
        <v>2</v>
      </c>
      <c r="H1058">
        <v>0</v>
      </c>
      <c r="I1058">
        <v>11</v>
      </c>
      <c r="J1058" t="str">
        <f>IFERROR(VLOOKUP(A1058&amp;"",'BEA Buyer Groups'!$A$4:$C$500,3,FALSE),"Not used")</f>
        <v>Commercial</v>
      </c>
      <c r="K1058" t="str">
        <f t="shared" si="16"/>
        <v>Direct</v>
      </c>
    </row>
    <row r="1059" spans="1:11" x14ac:dyDescent="0.25">
      <c r="A1059" s="130" t="s">
        <v>1578</v>
      </c>
      <c r="B1059" t="s">
        <v>1579</v>
      </c>
      <c r="C1059" s="130" t="s">
        <v>820</v>
      </c>
      <c r="D1059" t="s">
        <v>821</v>
      </c>
      <c r="E1059">
        <v>3</v>
      </c>
      <c r="F1059">
        <v>0</v>
      </c>
      <c r="G1059">
        <v>1</v>
      </c>
      <c r="H1059">
        <v>0</v>
      </c>
      <c r="I1059">
        <v>4</v>
      </c>
      <c r="J1059" t="str">
        <f>IFERROR(VLOOKUP(A1059&amp;"",'BEA Buyer Groups'!$A$4:$C$500,3,FALSE),"Not used")</f>
        <v>Commercial</v>
      </c>
      <c r="K1059" t="str">
        <f t="shared" si="16"/>
        <v>Direct</v>
      </c>
    </row>
    <row r="1060" spans="1:11" x14ac:dyDescent="0.25">
      <c r="A1060" s="130" t="s">
        <v>1578</v>
      </c>
      <c r="B1060" t="s">
        <v>1579</v>
      </c>
      <c r="C1060" s="130" t="s">
        <v>816</v>
      </c>
      <c r="D1060" t="s">
        <v>817</v>
      </c>
      <c r="E1060">
        <v>37</v>
      </c>
      <c r="F1060">
        <v>5</v>
      </c>
      <c r="G1060">
        <v>12</v>
      </c>
      <c r="H1060">
        <v>0</v>
      </c>
      <c r="I1060">
        <v>54</v>
      </c>
      <c r="J1060" t="str">
        <f>IFERROR(VLOOKUP(A1060&amp;"",'BEA Buyer Groups'!$A$4:$C$500,3,FALSE),"Not used")</f>
        <v>Commercial</v>
      </c>
      <c r="K1060" t="str">
        <f t="shared" si="16"/>
        <v>Direct</v>
      </c>
    </row>
    <row r="1061" spans="1:11" x14ac:dyDescent="0.25">
      <c r="A1061" s="130" t="s">
        <v>1580</v>
      </c>
      <c r="B1061" t="s">
        <v>1581</v>
      </c>
      <c r="C1061" s="130" t="s">
        <v>820</v>
      </c>
      <c r="D1061" t="s">
        <v>821</v>
      </c>
      <c r="E1061">
        <v>1</v>
      </c>
      <c r="F1061">
        <v>0</v>
      </c>
      <c r="G1061">
        <v>0</v>
      </c>
      <c r="H1061">
        <v>0</v>
      </c>
      <c r="I1061">
        <v>1</v>
      </c>
      <c r="J1061" t="str">
        <f>IFERROR(VLOOKUP(A1061&amp;"",'BEA Buyer Groups'!$A$4:$C$500,3,FALSE),"Not used")</f>
        <v>Commercial</v>
      </c>
      <c r="K1061" t="str">
        <f t="shared" si="16"/>
        <v>Direct</v>
      </c>
    </row>
    <row r="1062" spans="1:11" x14ac:dyDescent="0.25">
      <c r="A1062" s="130" t="s">
        <v>1580</v>
      </c>
      <c r="B1062" t="s">
        <v>1581</v>
      </c>
      <c r="C1062" s="130" t="s">
        <v>802</v>
      </c>
      <c r="D1062" t="s">
        <v>803</v>
      </c>
      <c r="E1062">
        <v>7</v>
      </c>
      <c r="F1062">
        <v>0</v>
      </c>
      <c r="G1062">
        <v>3</v>
      </c>
      <c r="H1062">
        <v>0</v>
      </c>
      <c r="I1062">
        <v>11</v>
      </c>
      <c r="J1062" t="str">
        <f>IFERROR(VLOOKUP(A1062&amp;"",'BEA Buyer Groups'!$A$4:$C$500,3,FALSE),"Not used")</f>
        <v>Commercial</v>
      </c>
      <c r="K1062" t="str">
        <f t="shared" si="16"/>
        <v>Direct</v>
      </c>
    </row>
    <row r="1063" spans="1:11" x14ac:dyDescent="0.25">
      <c r="A1063" s="130" t="s">
        <v>1580</v>
      </c>
      <c r="B1063" t="s">
        <v>1581</v>
      </c>
      <c r="C1063" s="130" t="s">
        <v>822</v>
      </c>
      <c r="D1063" t="s">
        <v>823</v>
      </c>
      <c r="E1063">
        <v>78</v>
      </c>
      <c r="F1063">
        <v>2</v>
      </c>
      <c r="G1063">
        <v>35</v>
      </c>
      <c r="H1063">
        <v>0</v>
      </c>
      <c r="I1063">
        <v>115</v>
      </c>
      <c r="J1063" t="str">
        <f>IFERROR(VLOOKUP(A1063&amp;"",'BEA Buyer Groups'!$A$4:$C$500,3,FALSE),"Not used")</f>
        <v>Commercial</v>
      </c>
      <c r="K1063" t="str">
        <f t="shared" si="16"/>
        <v>Direct</v>
      </c>
    </row>
    <row r="1064" spans="1:11" x14ac:dyDescent="0.25">
      <c r="A1064" s="130" t="s">
        <v>1580</v>
      </c>
      <c r="B1064" t="s">
        <v>1581</v>
      </c>
      <c r="C1064" s="130" t="s">
        <v>816</v>
      </c>
      <c r="D1064" t="s">
        <v>817</v>
      </c>
      <c r="E1064">
        <v>1021</v>
      </c>
      <c r="F1064">
        <v>129</v>
      </c>
      <c r="G1064">
        <v>320</v>
      </c>
      <c r="H1064">
        <v>0</v>
      </c>
      <c r="I1064">
        <v>1471</v>
      </c>
      <c r="J1064" t="str">
        <f>IFERROR(VLOOKUP(A1064&amp;"",'BEA Buyer Groups'!$A$4:$C$500,3,FALSE),"Not used")</f>
        <v>Commercial</v>
      </c>
      <c r="K1064" t="str">
        <f t="shared" si="16"/>
        <v>Direct</v>
      </c>
    </row>
    <row r="1065" spans="1:11" x14ac:dyDescent="0.25">
      <c r="A1065" s="130" t="s">
        <v>1580</v>
      </c>
      <c r="B1065" t="s">
        <v>1581</v>
      </c>
      <c r="C1065" s="130" t="s">
        <v>848</v>
      </c>
      <c r="D1065" t="s">
        <v>849</v>
      </c>
      <c r="E1065">
        <v>180</v>
      </c>
      <c r="F1065">
        <v>2</v>
      </c>
      <c r="G1065">
        <v>63</v>
      </c>
      <c r="H1065">
        <v>0</v>
      </c>
      <c r="I1065">
        <v>245</v>
      </c>
      <c r="J1065" t="str">
        <f>IFERROR(VLOOKUP(A1065&amp;"",'BEA Buyer Groups'!$A$4:$C$500,3,FALSE),"Not used")</f>
        <v>Commercial</v>
      </c>
      <c r="K1065" t="str">
        <f t="shared" si="16"/>
        <v>Direct</v>
      </c>
    </row>
    <row r="1066" spans="1:11" x14ac:dyDescent="0.25">
      <c r="A1066" s="130" t="s">
        <v>1582</v>
      </c>
      <c r="B1066" t="s">
        <v>1583</v>
      </c>
      <c r="C1066" s="130" t="s">
        <v>820</v>
      </c>
      <c r="D1066" t="s">
        <v>821</v>
      </c>
      <c r="E1066">
        <v>0</v>
      </c>
      <c r="F1066">
        <v>0</v>
      </c>
      <c r="G1066">
        <v>0</v>
      </c>
      <c r="H1066">
        <v>0</v>
      </c>
      <c r="I1066">
        <v>0</v>
      </c>
      <c r="J1066" t="str">
        <f>IFERROR(VLOOKUP(A1066&amp;"",'BEA Buyer Groups'!$A$4:$C$500,3,FALSE),"Not used")</f>
        <v>Commercial</v>
      </c>
      <c r="K1066" t="str">
        <f t="shared" si="16"/>
        <v>Direct</v>
      </c>
    </row>
    <row r="1067" spans="1:11" x14ac:dyDescent="0.25">
      <c r="A1067" s="130" t="s">
        <v>1582</v>
      </c>
      <c r="B1067" t="s">
        <v>1583</v>
      </c>
      <c r="C1067" s="130" t="s">
        <v>802</v>
      </c>
      <c r="D1067" t="s">
        <v>803</v>
      </c>
      <c r="E1067">
        <v>1</v>
      </c>
      <c r="F1067">
        <v>0</v>
      </c>
      <c r="G1067">
        <v>0</v>
      </c>
      <c r="H1067">
        <v>0</v>
      </c>
      <c r="I1067">
        <v>1</v>
      </c>
      <c r="J1067" t="str">
        <f>IFERROR(VLOOKUP(A1067&amp;"",'BEA Buyer Groups'!$A$4:$C$500,3,FALSE),"Not used")</f>
        <v>Commercial</v>
      </c>
      <c r="K1067" t="str">
        <f t="shared" si="16"/>
        <v>Direct</v>
      </c>
    </row>
    <row r="1068" spans="1:11" x14ac:dyDescent="0.25">
      <c r="A1068" s="130" t="s">
        <v>1582</v>
      </c>
      <c r="B1068" t="s">
        <v>1583</v>
      </c>
      <c r="C1068" s="130" t="s">
        <v>822</v>
      </c>
      <c r="D1068" t="s">
        <v>823</v>
      </c>
      <c r="E1068">
        <v>68</v>
      </c>
      <c r="F1068">
        <v>2</v>
      </c>
      <c r="G1068">
        <v>31</v>
      </c>
      <c r="H1068">
        <v>0</v>
      </c>
      <c r="I1068">
        <v>100</v>
      </c>
      <c r="J1068" t="str">
        <f>IFERROR(VLOOKUP(A1068&amp;"",'BEA Buyer Groups'!$A$4:$C$500,3,FALSE),"Not used")</f>
        <v>Commercial</v>
      </c>
      <c r="K1068" t="str">
        <f t="shared" si="16"/>
        <v>Direct</v>
      </c>
    </row>
    <row r="1069" spans="1:11" x14ac:dyDescent="0.25">
      <c r="A1069" s="130" t="s">
        <v>1582</v>
      </c>
      <c r="B1069" t="s">
        <v>1583</v>
      </c>
      <c r="C1069" s="130" t="s">
        <v>848</v>
      </c>
      <c r="D1069" t="s">
        <v>849</v>
      </c>
      <c r="E1069">
        <v>15</v>
      </c>
      <c r="F1069">
        <v>0</v>
      </c>
      <c r="G1069">
        <v>5</v>
      </c>
      <c r="H1069">
        <v>0</v>
      </c>
      <c r="I1069">
        <v>21</v>
      </c>
      <c r="J1069" t="str">
        <f>IFERROR(VLOOKUP(A1069&amp;"",'BEA Buyer Groups'!$A$4:$C$500,3,FALSE),"Not used")</f>
        <v>Commercial</v>
      </c>
      <c r="K1069" t="str">
        <f t="shared" si="16"/>
        <v>Direct</v>
      </c>
    </row>
    <row r="1070" spans="1:11" x14ac:dyDescent="0.25">
      <c r="A1070" s="130" t="s">
        <v>1584</v>
      </c>
      <c r="B1070" t="s">
        <v>1585</v>
      </c>
      <c r="C1070" s="130" t="s">
        <v>820</v>
      </c>
      <c r="D1070" t="s">
        <v>821</v>
      </c>
      <c r="E1070">
        <v>3</v>
      </c>
      <c r="F1070">
        <v>0</v>
      </c>
      <c r="G1070">
        <v>1</v>
      </c>
      <c r="H1070">
        <v>0</v>
      </c>
      <c r="I1070">
        <v>5</v>
      </c>
      <c r="J1070" t="str">
        <f>IFERROR(VLOOKUP(A1070&amp;"",'BEA Buyer Groups'!$A$4:$C$500,3,FALSE),"Not used")</f>
        <v>Commercial</v>
      </c>
      <c r="K1070" t="str">
        <f t="shared" si="16"/>
        <v>Direct</v>
      </c>
    </row>
    <row r="1071" spans="1:11" x14ac:dyDescent="0.25">
      <c r="A1071" s="130" t="s">
        <v>1584</v>
      </c>
      <c r="B1071" t="s">
        <v>1585</v>
      </c>
      <c r="C1071" s="130" t="s">
        <v>802</v>
      </c>
      <c r="D1071" t="s">
        <v>803</v>
      </c>
      <c r="E1071">
        <v>1</v>
      </c>
      <c r="F1071">
        <v>0</v>
      </c>
      <c r="G1071">
        <v>0</v>
      </c>
      <c r="H1071">
        <v>0</v>
      </c>
      <c r="I1071">
        <v>1</v>
      </c>
      <c r="J1071" t="str">
        <f>IFERROR(VLOOKUP(A1071&amp;"",'BEA Buyer Groups'!$A$4:$C$500,3,FALSE),"Not used")</f>
        <v>Commercial</v>
      </c>
      <c r="K1071" t="str">
        <f t="shared" si="16"/>
        <v>Direct</v>
      </c>
    </row>
    <row r="1072" spans="1:11" x14ac:dyDescent="0.25">
      <c r="A1072" s="130" t="s">
        <v>1584</v>
      </c>
      <c r="B1072" t="s">
        <v>1585</v>
      </c>
      <c r="C1072" s="130" t="s">
        <v>822</v>
      </c>
      <c r="D1072" t="s">
        <v>823</v>
      </c>
      <c r="E1072">
        <v>109</v>
      </c>
      <c r="F1072">
        <v>3</v>
      </c>
      <c r="G1072">
        <v>49</v>
      </c>
      <c r="H1072">
        <v>0</v>
      </c>
      <c r="I1072">
        <v>161</v>
      </c>
      <c r="J1072" t="str">
        <f>IFERROR(VLOOKUP(A1072&amp;"",'BEA Buyer Groups'!$A$4:$C$500,3,FALSE),"Not used")</f>
        <v>Commercial</v>
      </c>
      <c r="K1072" t="str">
        <f t="shared" si="16"/>
        <v>Direct</v>
      </c>
    </row>
    <row r="1073" spans="1:11" x14ac:dyDescent="0.25">
      <c r="A1073" s="130" t="s">
        <v>1584</v>
      </c>
      <c r="B1073" t="s">
        <v>1585</v>
      </c>
      <c r="C1073" s="130" t="s">
        <v>860</v>
      </c>
      <c r="D1073" t="s">
        <v>861</v>
      </c>
      <c r="E1073">
        <v>239</v>
      </c>
      <c r="F1073">
        <v>2</v>
      </c>
      <c r="G1073">
        <v>83</v>
      </c>
      <c r="H1073">
        <v>0</v>
      </c>
      <c r="I1073">
        <v>325</v>
      </c>
      <c r="J1073" t="str">
        <f>IFERROR(VLOOKUP(A1073&amp;"",'BEA Buyer Groups'!$A$4:$C$500,3,FALSE),"Not used")</f>
        <v>Commercial</v>
      </c>
      <c r="K1073" t="str">
        <f t="shared" si="16"/>
        <v>Direct</v>
      </c>
    </row>
    <row r="1074" spans="1:11" x14ac:dyDescent="0.25">
      <c r="A1074" s="130" t="s">
        <v>1584</v>
      </c>
      <c r="B1074" t="s">
        <v>1585</v>
      </c>
      <c r="C1074" s="130" t="s">
        <v>810</v>
      </c>
      <c r="D1074" t="s">
        <v>811</v>
      </c>
      <c r="E1074">
        <v>250</v>
      </c>
      <c r="F1074">
        <v>2</v>
      </c>
      <c r="G1074">
        <v>78</v>
      </c>
      <c r="H1074">
        <v>0</v>
      </c>
      <c r="I1074">
        <v>330</v>
      </c>
      <c r="J1074" t="str">
        <f>IFERROR(VLOOKUP(A1074&amp;"",'BEA Buyer Groups'!$A$4:$C$500,3,FALSE),"Not used")</f>
        <v>Commercial</v>
      </c>
      <c r="K1074" t="str">
        <f t="shared" si="16"/>
        <v>Direct</v>
      </c>
    </row>
    <row r="1076" spans="1:11" x14ac:dyDescent="0.25">
      <c r="A1076" s="130" t="s">
        <v>1588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181C-639B-43C6-926F-BE19CB64975D}">
  <dimension ref="A1:D396"/>
  <sheetViews>
    <sheetView workbookViewId="0"/>
  </sheetViews>
  <sheetFormatPr defaultRowHeight="15" x14ac:dyDescent="0.25"/>
  <cols>
    <col min="1" max="1" width="9.140625" style="130"/>
    <col min="2" max="2" width="50.7109375" customWidth="1"/>
    <col min="4" max="4" width="90.7109375" customWidth="1"/>
  </cols>
  <sheetData>
    <row r="1" spans="1:4" x14ac:dyDescent="0.25">
      <c r="A1" s="131" t="s">
        <v>1589</v>
      </c>
    </row>
    <row r="3" spans="1:4" x14ac:dyDescent="0.25">
      <c r="A3" s="131" t="s">
        <v>1590</v>
      </c>
      <c r="B3" s="2" t="s">
        <v>1591</v>
      </c>
      <c r="C3" s="2" t="s">
        <v>1592</v>
      </c>
      <c r="D3" s="2" t="s">
        <v>1593</v>
      </c>
    </row>
    <row r="4" spans="1:4" x14ac:dyDescent="0.25">
      <c r="A4" s="130" t="s">
        <v>844</v>
      </c>
      <c r="B4" t="s">
        <v>845</v>
      </c>
      <c r="C4" t="s">
        <v>279</v>
      </c>
      <c r="D4" t="s">
        <v>1594</v>
      </c>
    </row>
    <row r="5" spans="1:4" x14ac:dyDescent="0.25">
      <c r="A5" s="130" t="s">
        <v>852</v>
      </c>
      <c r="B5" t="s">
        <v>853</v>
      </c>
      <c r="C5" t="s">
        <v>279</v>
      </c>
      <c r="D5" t="s">
        <v>1594</v>
      </c>
    </row>
    <row r="6" spans="1:4" x14ac:dyDescent="0.25">
      <c r="A6" s="130" t="s">
        <v>858</v>
      </c>
      <c r="B6" t="s">
        <v>859</v>
      </c>
      <c r="C6" t="s">
        <v>279</v>
      </c>
      <c r="D6" t="s">
        <v>1594</v>
      </c>
    </row>
    <row r="7" spans="1:4" x14ac:dyDescent="0.25">
      <c r="A7" s="130" t="s">
        <v>862</v>
      </c>
      <c r="B7" t="s">
        <v>863</v>
      </c>
      <c r="C7" t="s">
        <v>279</v>
      </c>
      <c r="D7" t="s">
        <v>1594</v>
      </c>
    </row>
    <row r="8" spans="1:4" x14ac:dyDescent="0.25">
      <c r="A8" s="130" t="s">
        <v>866</v>
      </c>
      <c r="B8" t="s">
        <v>867</v>
      </c>
      <c r="C8" t="s">
        <v>279</v>
      </c>
      <c r="D8" t="s">
        <v>1594</v>
      </c>
    </row>
    <row r="9" spans="1:4" x14ac:dyDescent="0.25">
      <c r="A9" s="130" t="s">
        <v>1320</v>
      </c>
      <c r="B9" t="s">
        <v>1321</v>
      </c>
      <c r="C9" t="s">
        <v>279</v>
      </c>
      <c r="D9" t="s">
        <v>1594</v>
      </c>
    </row>
    <row r="10" spans="1:4" x14ac:dyDescent="0.25">
      <c r="A10" s="130" t="s">
        <v>1322</v>
      </c>
      <c r="B10" t="s">
        <v>1323</v>
      </c>
      <c r="C10" t="s">
        <v>279</v>
      </c>
      <c r="D10" t="s">
        <v>1594</v>
      </c>
    </row>
    <row r="11" spans="1:4" x14ac:dyDescent="0.25">
      <c r="A11" s="130" t="s">
        <v>1324</v>
      </c>
      <c r="B11" t="s">
        <v>1325</v>
      </c>
      <c r="C11" t="s">
        <v>279</v>
      </c>
      <c r="D11" t="s">
        <v>1594</v>
      </c>
    </row>
    <row r="12" spans="1:4" x14ac:dyDescent="0.25">
      <c r="A12" s="130" t="s">
        <v>1326</v>
      </c>
      <c r="B12" t="s">
        <v>1327</v>
      </c>
      <c r="C12" t="s">
        <v>279</v>
      </c>
      <c r="D12" t="s">
        <v>1594</v>
      </c>
    </row>
    <row r="13" spans="1:4" x14ac:dyDescent="0.25">
      <c r="A13" s="130" t="s">
        <v>1328</v>
      </c>
      <c r="B13" t="s">
        <v>1329</v>
      </c>
      <c r="C13" t="s">
        <v>279</v>
      </c>
      <c r="D13" t="s">
        <v>1594</v>
      </c>
    </row>
    <row r="14" spans="1:4" x14ac:dyDescent="0.25">
      <c r="A14" s="130" t="s">
        <v>1330</v>
      </c>
      <c r="B14" t="s">
        <v>1331</v>
      </c>
      <c r="C14" t="s">
        <v>279</v>
      </c>
      <c r="D14" t="s">
        <v>1594</v>
      </c>
    </row>
    <row r="15" spans="1:4" x14ac:dyDescent="0.25">
      <c r="A15" s="130" t="s">
        <v>1332</v>
      </c>
      <c r="B15" t="s">
        <v>1333</v>
      </c>
      <c r="C15" t="s">
        <v>279</v>
      </c>
      <c r="D15" t="s">
        <v>1594</v>
      </c>
    </row>
    <row r="16" spans="1:4" x14ac:dyDescent="0.25">
      <c r="A16" s="130" t="s">
        <v>1334</v>
      </c>
      <c r="B16" t="s">
        <v>1335</v>
      </c>
      <c r="C16" t="s">
        <v>279</v>
      </c>
      <c r="D16" t="s">
        <v>1594</v>
      </c>
    </row>
    <row r="17" spans="1:4" x14ac:dyDescent="0.25">
      <c r="A17" s="130" t="s">
        <v>1336</v>
      </c>
      <c r="B17" t="s">
        <v>1337</v>
      </c>
      <c r="C17" t="s">
        <v>279</v>
      </c>
      <c r="D17" t="s">
        <v>1594</v>
      </c>
    </row>
    <row r="18" spans="1:4" x14ac:dyDescent="0.25">
      <c r="A18" s="130" t="s">
        <v>1338</v>
      </c>
      <c r="B18" t="s">
        <v>1339</v>
      </c>
      <c r="C18" t="s">
        <v>279</v>
      </c>
      <c r="D18" t="s">
        <v>1594</v>
      </c>
    </row>
    <row r="19" spans="1:4" x14ac:dyDescent="0.25">
      <c r="A19" s="130" t="s">
        <v>1340</v>
      </c>
      <c r="B19" t="s">
        <v>1341</v>
      </c>
      <c r="C19" t="s">
        <v>279</v>
      </c>
      <c r="D19" t="s">
        <v>1594</v>
      </c>
    </row>
    <row r="20" spans="1:4" x14ac:dyDescent="0.25">
      <c r="A20" s="130" t="s">
        <v>1342</v>
      </c>
      <c r="B20" t="s">
        <v>1343</v>
      </c>
      <c r="C20" t="s">
        <v>279</v>
      </c>
      <c r="D20" t="s">
        <v>1594</v>
      </c>
    </row>
    <row r="21" spans="1:4" x14ac:dyDescent="0.25">
      <c r="A21" s="130" t="s">
        <v>1344</v>
      </c>
      <c r="B21" t="s">
        <v>1345</v>
      </c>
      <c r="C21" t="s">
        <v>279</v>
      </c>
      <c r="D21" t="s">
        <v>1594</v>
      </c>
    </row>
    <row r="22" spans="1:4" x14ac:dyDescent="0.25">
      <c r="A22" s="130" t="s">
        <v>1346</v>
      </c>
      <c r="B22" t="s">
        <v>1347</v>
      </c>
      <c r="C22" t="s">
        <v>279</v>
      </c>
      <c r="D22" t="s">
        <v>1594</v>
      </c>
    </row>
    <row r="23" spans="1:4" x14ac:dyDescent="0.25">
      <c r="A23" s="130" t="s">
        <v>1348</v>
      </c>
      <c r="B23" t="s">
        <v>1349</v>
      </c>
      <c r="C23" t="s">
        <v>279</v>
      </c>
      <c r="D23" t="s">
        <v>1594</v>
      </c>
    </row>
    <row r="24" spans="1:4" x14ac:dyDescent="0.25">
      <c r="A24" s="130" t="s">
        <v>1350</v>
      </c>
      <c r="B24" t="s">
        <v>1351</v>
      </c>
      <c r="C24" t="s">
        <v>279</v>
      </c>
      <c r="D24" t="s">
        <v>1594</v>
      </c>
    </row>
    <row r="25" spans="1:4" x14ac:dyDescent="0.25">
      <c r="A25" s="130" t="s">
        <v>1352</v>
      </c>
      <c r="B25" t="s">
        <v>1353</v>
      </c>
      <c r="C25" t="s">
        <v>279</v>
      </c>
      <c r="D25" t="s">
        <v>1594</v>
      </c>
    </row>
    <row r="26" spans="1:4" x14ac:dyDescent="0.25">
      <c r="A26" s="130" t="s">
        <v>1354</v>
      </c>
      <c r="B26" t="s">
        <v>1355</v>
      </c>
      <c r="C26" t="s">
        <v>279</v>
      </c>
      <c r="D26" t="s">
        <v>1594</v>
      </c>
    </row>
    <row r="27" spans="1:4" x14ac:dyDescent="0.25">
      <c r="A27" s="130" t="s">
        <v>1370</v>
      </c>
      <c r="B27" t="s">
        <v>1371</v>
      </c>
      <c r="C27" t="s">
        <v>279</v>
      </c>
      <c r="D27" t="s">
        <v>1594</v>
      </c>
    </row>
    <row r="28" spans="1:4" x14ac:dyDescent="0.25">
      <c r="A28" s="130" t="s">
        <v>1374</v>
      </c>
      <c r="B28" t="s">
        <v>1375</v>
      </c>
      <c r="C28" t="s">
        <v>279</v>
      </c>
      <c r="D28" t="s">
        <v>1594</v>
      </c>
    </row>
    <row r="29" spans="1:4" x14ac:dyDescent="0.25">
      <c r="A29" s="130" t="s">
        <v>1376</v>
      </c>
      <c r="B29" t="s">
        <v>1377</v>
      </c>
      <c r="C29" t="s">
        <v>279</v>
      </c>
      <c r="D29" t="s">
        <v>1594</v>
      </c>
    </row>
    <row r="30" spans="1:4" x14ac:dyDescent="0.25">
      <c r="A30" s="130" t="s">
        <v>1378</v>
      </c>
      <c r="B30" t="s">
        <v>1379</v>
      </c>
      <c r="C30" t="s">
        <v>279</v>
      </c>
      <c r="D30" t="s">
        <v>1594</v>
      </c>
    </row>
    <row r="31" spans="1:4" x14ac:dyDescent="0.25">
      <c r="A31" s="130" t="s">
        <v>1380</v>
      </c>
      <c r="B31" t="s">
        <v>1381</v>
      </c>
      <c r="C31" t="s">
        <v>279</v>
      </c>
      <c r="D31" t="s">
        <v>1594</v>
      </c>
    </row>
    <row r="32" spans="1:4" x14ac:dyDescent="0.25">
      <c r="A32" s="130" t="s">
        <v>1382</v>
      </c>
      <c r="B32" t="s">
        <v>1383</v>
      </c>
      <c r="C32" t="s">
        <v>279</v>
      </c>
      <c r="D32" t="s">
        <v>1594</v>
      </c>
    </row>
    <row r="33" spans="1:4" x14ac:dyDescent="0.25">
      <c r="A33" s="130" t="s">
        <v>1384</v>
      </c>
      <c r="B33" t="s">
        <v>1385</v>
      </c>
      <c r="C33" t="s">
        <v>279</v>
      </c>
      <c r="D33" t="s">
        <v>1594</v>
      </c>
    </row>
    <row r="34" spans="1:4" x14ac:dyDescent="0.25">
      <c r="A34" s="130" t="s">
        <v>1386</v>
      </c>
      <c r="B34" t="s">
        <v>1387</v>
      </c>
      <c r="C34" t="s">
        <v>279</v>
      </c>
      <c r="D34" t="s">
        <v>1594</v>
      </c>
    </row>
    <row r="35" spans="1:4" x14ac:dyDescent="0.25">
      <c r="A35" s="130" t="s">
        <v>1388</v>
      </c>
      <c r="B35" t="s">
        <v>1389</v>
      </c>
      <c r="C35" t="s">
        <v>279</v>
      </c>
      <c r="D35" t="s">
        <v>1594</v>
      </c>
    </row>
    <row r="36" spans="1:4" x14ac:dyDescent="0.25">
      <c r="A36" s="130" t="s">
        <v>1390</v>
      </c>
      <c r="B36" t="s">
        <v>1391</v>
      </c>
      <c r="C36" t="s">
        <v>279</v>
      </c>
      <c r="D36" t="s">
        <v>1594</v>
      </c>
    </row>
    <row r="37" spans="1:4" x14ac:dyDescent="0.25">
      <c r="A37" s="130" t="s">
        <v>1392</v>
      </c>
      <c r="B37" t="s">
        <v>1393</v>
      </c>
      <c r="C37" t="s">
        <v>279</v>
      </c>
      <c r="D37" t="s">
        <v>1594</v>
      </c>
    </row>
    <row r="38" spans="1:4" x14ac:dyDescent="0.25">
      <c r="A38" s="130" t="s">
        <v>1394</v>
      </c>
      <c r="B38" t="s">
        <v>1395</v>
      </c>
      <c r="C38" t="s">
        <v>279</v>
      </c>
      <c r="D38" t="s">
        <v>1594</v>
      </c>
    </row>
    <row r="39" spans="1:4" x14ac:dyDescent="0.25">
      <c r="A39" s="130" t="s">
        <v>1396</v>
      </c>
      <c r="B39" t="s">
        <v>1397</v>
      </c>
      <c r="C39" t="s">
        <v>279</v>
      </c>
      <c r="D39" t="s">
        <v>1594</v>
      </c>
    </row>
    <row r="40" spans="1:4" x14ac:dyDescent="0.25">
      <c r="A40" s="130" t="s">
        <v>1398</v>
      </c>
      <c r="B40" t="s">
        <v>1399</v>
      </c>
      <c r="C40" t="s">
        <v>279</v>
      </c>
      <c r="D40" t="s">
        <v>1594</v>
      </c>
    </row>
    <row r="41" spans="1:4" x14ac:dyDescent="0.25">
      <c r="A41" s="130" t="s">
        <v>1400</v>
      </c>
      <c r="B41" t="s">
        <v>1401</v>
      </c>
      <c r="C41" t="s">
        <v>279</v>
      </c>
      <c r="D41" t="s">
        <v>1594</v>
      </c>
    </row>
    <row r="42" spans="1:4" x14ac:dyDescent="0.25">
      <c r="A42" s="130" t="s">
        <v>1402</v>
      </c>
      <c r="B42" t="s">
        <v>1403</v>
      </c>
      <c r="C42" t="s">
        <v>279</v>
      </c>
      <c r="D42" t="s">
        <v>1594</v>
      </c>
    </row>
    <row r="43" spans="1:4" x14ac:dyDescent="0.25">
      <c r="A43" s="130" t="s">
        <v>1404</v>
      </c>
      <c r="B43" t="s">
        <v>1405</v>
      </c>
      <c r="C43" t="s">
        <v>279</v>
      </c>
      <c r="D43" t="s">
        <v>1594</v>
      </c>
    </row>
    <row r="44" spans="1:4" x14ac:dyDescent="0.25">
      <c r="A44" s="130" t="s">
        <v>1406</v>
      </c>
      <c r="B44" t="s">
        <v>1407</v>
      </c>
      <c r="C44" t="s">
        <v>279</v>
      </c>
      <c r="D44" t="s">
        <v>1594</v>
      </c>
    </row>
    <row r="45" spans="1:4" x14ac:dyDescent="0.25">
      <c r="A45" s="130" t="s">
        <v>1408</v>
      </c>
      <c r="B45" t="s">
        <v>1409</v>
      </c>
      <c r="C45" t="s">
        <v>279</v>
      </c>
      <c r="D45" t="s">
        <v>1594</v>
      </c>
    </row>
    <row r="46" spans="1:4" x14ac:dyDescent="0.25">
      <c r="A46" s="130" t="s">
        <v>1410</v>
      </c>
      <c r="B46" t="s">
        <v>1411</v>
      </c>
      <c r="C46" t="s">
        <v>279</v>
      </c>
      <c r="D46" t="s">
        <v>1594</v>
      </c>
    </row>
    <row r="47" spans="1:4" x14ac:dyDescent="0.25">
      <c r="A47" s="130" t="s">
        <v>1412</v>
      </c>
      <c r="B47" t="s">
        <v>1413</v>
      </c>
      <c r="C47" t="s">
        <v>279</v>
      </c>
      <c r="D47" t="s">
        <v>1594</v>
      </c>
    </row>
    <row r="48" spans="1:4" x14ac:dyDescent="0.25">
      <c r="A48" s="130" t="s">
        <v>1414</v>
      </c>
      <c r="B48" t="s">
        <v>1415</v>
      </c>
      <c r="C48" t="s">
        <v>279</v>
      </c>
      <c r="D48" t="s">
        <v>1594</v>
      </c>
    </row>
    <row r="49" spans="1:4" x14ac:dyDescent="0.25">
      <c r="A49" s="130" t="s">
        <v>1420</v>
      </c>
      <c r="B49" t="s">
        <v>1421</v>
      </c>
      <c r="C49" t="s">
        <v>279</v>
      </c>
      <c r="D49" t="s">
        <v>1594</v>
      </c>
    </row>
    <row r="50" spans="1:4" x14ac:dyDescent="0.25">
      <c r="A50" s="130" t="s">
        <v>1422</v>
      </c>
      <c r="B50" t="s">
        <v>1423</v>
      </c>
      <c r="C50" t="s">
        <v>279</v>
      </c>
      <c r="D50" t="s">
        <v>1594</v>
      </c>
    </row>
    <row r="51" spans="1:4" x14ac:dyDescent="0.25">
      <c r="A51" s="130" t="s">
        <v>1424</v>
      </c>
      <c r="B51" t="s">
        <v>1425</v>
      </c>
      <c r="C51" t="s">
        <v>279</v>
      </c>
      <c r="D51" t="s">
        <v>1594</v>
      </c>
    </row>
    <row r="52" spans="1:4" x14ac:dyDescent="0.25">
      <c r="A52" s="130" t="s">
        <v>1426</v>
      </c>
      <c r="B52" t="s">
        <v>1427</v>
      </c>
      <c r="C52" t="s">
        <v>279</v>
      </c>
      <c r="D52" t="s">
        <v>1594</v>
      </c>
    </row>
    <row r="53" spans="1:4" x14ac:dyDescent="0.25">
      <c r="A53" s="130" t="s">
        <v>1428</v>
      </c>
      <c r="B53" t="s">
        <v>1429</v>
      </c>
      <c r="C53" t="s">
        <v>279</v>
      </c>
      <c r="D53" t="s">
        <v>1594</v>
      </c>
    </row>
    <row r="54" spans="1:4" x14ac:dyDescent="0.25">
      <c r="A54" s="130" t="s">
        <v>1430</v>
      </c>
      <c r="B54" t="s">
        <v>1431</v>
      </c>
      <c r="C54" t="s">
        <v>279</v>
      </c>
      <c r="D54" t="s">
        <v>1594</v>
      </c>
    </row>
    <row r="55" spans="1:4" x14ac:dyDescent="0.25">
      <c r="A55" s="130" t="s">
        <v>1432</v>
      </c>
      <c r="B55" t="s">
        <v>1433</v>
      </c>
      <c r="C55" t="s">
        <v>279</v>
      </c>
      <c r="D55" t="s">
        <v>1594</v>
      </c>
    </row>
    <row r="56" spans="1:4" x14ac:dyDescent="0.25">
      <c r="A56" s="130" t="s">
        <v>1434</v>
      </c>
      <c r="B56" t="s">
        <v>1435</v>
      </c>
      <c r="C56" t="s">
        <v>279</v>
      </c>
      <c r="D56" t="s">
        <v>1594</v>
      </c>
    </row>
    <row r="57" spans="1:4" x14ac:dyDescent="0.25">
      <c r="A57" s="130" t="s">
        <v>1436</v>
      </c>
      <c r="B57" t="s">
        <v>1437</v>
      </c>
      <c r="C57" t="s">
        <v>279</v>
      </c>
      <c r="D57" t="s">
        <v>1594</v>
      </c>
    </row>
    <row r="58" spans="1:4" x14ac:dyDescent="0.25">
      <c r="A58" s="130" t="s">
        <v>1438</v>
      </c>
      <c r="B58" t="s">
        <v>1439</v>
      </c>
      <c r="C58" t="s">
        <v>279</v>
      </c>
      <c r="D58" t="s">
        <v>1594</v>
      </c>
    </row>
    <row r="59" spans="1:4" x14ac:dyDescent="0.25">
      <c r="A59" s="130" t="s">
        <v>1440</v>
      </c>
      <c r="B59" t="s">
        <v>1441</v>
      </c>
      <c r="C59" t="s">
        <v>279</v>
      </c>
      <c r="D59" t="s">
        <v>1594</v>
      </c>
    </row>
    <row r="60" spans="1:4" x14ac:dyDescent="0.25">
      <c r="A60" s="130" t="s">
        <v>1442</v>
      </c>
      <c r="B60" t="s">
        <v>1443</v>
      </c>
      <c r="C60" t="s">
        <v>279</v>
      </c>
      <c r="D60" t="s">
        <v>1594</v>
      </c>
    </row>
    <row r="61" spans="1:4" x14ac:dyDescent="0.25">
      <c r="A61" s="130" t="s">
        <v>1444</v>
      </c>
      <c r="B61" t="s">
        <v>1445</v>
      </c>
      <c r="C61" t="s">
        <v>279</v>
      </c>
      <c r="D61" t="s">
        <v>1594</v>
      </c>
    </row>
    <row r="62" spans="1:4" x14ac:dyDescent="0.25">
      <c r="A62" s="130" t="s">
        <v>1446</v>
      </c>
      <c r="B62" t="s">
        <v>1447</v>
      </c>
      <c r="C62" t="s">
        <v>279</v>
      </c>
      <c r="D62" t="s">
        <v>1594</v>
      </c>
    </row>
    <row r="63" spans="1:4" x14ac:dyDescent="0.25">
      <c r="A63" s="130" t="s">
        <v>1448</v>
      </c>
      <c r="B63" t="s">
        <v>1449</v>
      </c>
      <c r="C63" t="s">
        <v>279</v>
      </c>
      <c r="D63" t="s">
        <v>1594</v>
      </c>
    </row>
    <row r="64" spans="1:4" x14ac:dyDescent="0.25">
      <c r="A64" s="130" t="s">
        <v>1450</v>
      </c>
      <c r="B64" t="s">
        <v>1451</v>
      </c>
      <c r="C64" t="s">
        <v>279</v>
      </c>
      <c r="D64" t="s">
        <v>1594</v>
      </c>
    </row>
    <row r="65" spans="1:4" x14ac:dyDescent="0.25">
      <c r="A65" s="130" t="s">
        <v>1452</v>
      </c>
      <c r="B65" t="s">
        <v>1453</v>
      </c>
      <c r="C65" t="s">
        <v>279</v>
      </c>
      <c r="D65" t="s">
        <v>1594</v>
      </c>
    </row>
    <row r="66" spans="1:4" x14ac:dyDescent="0.25">
      <c r="A66" s="130" t="s">
        <v>1454</v>
      </c>
      <c r="B66" t="s">
        <v>1455</v>
      </c>
      <c r="C66" t="s">
        <v>279</v>
      </c>
      <c r="D66" t="s">
        <v>1594</v>
      </c>
    </row>
    <row r="67" spans="1:4" x14ac:dyDescent="0.25">
      <c r="A67" s="130" t="s">
        <v>1456</v>
      </c>
      <c r="B67" t="s">
        <v>1457</v>
      </c>
      <c r="C67" t="s">
        <v>279</v>
      </c>
      <c r="D67" t="s">
        <v>1594</v>
      </c>
    </row>
    <row r="68" spans="1:4" x14ac:dyDescent="0.25">
      <c r="A68" s="130" t="s">
        <v>1458</v>
      </c>
      <c r="B68" t="s">
        <v>1459</v>
      </c>
      <c r="C68" t="s">
        <v>279</v>
      </c>
      <c r="D68" t="s">
        <v>1594</v>
      </c>
    </row>
    <row r="69" spans="1:4" x14ac:dyDescent="0.25">
      <c r="A69" s="130" t="s">
        <v>1460</v>
      </c>
      <c r="B69" t="s">
        <v>1461</v>
      </c>
      <c r="C69" t="s">
        <v>279</v>
      </c>
      <c r="D69" t="s">
        <v>1594</v>
      </c>
    </row>
    <row r="70" spans="1:4" x14ac:dyDescent="0.25">
      <c r="A70" s="130" t="s">
        <v>1462</v>
      </c>
      <c r="B70" t="s">
        <v>1463</v>
      </c>
      <c r="C70" t="s">
        <v>279</v>
      </c>
      <c r="D70" t="s">
        <v>1594</v>
      </c>
    </row>
    <row r="71" spans="1:4" x14ac:dyDescent="0.25">
      <c r="A71" s="130" t="s">
        <v>1464</v>
      </c>
      <c r="B71" t="s">
        <v>1465</v>
      </c>
      <c r="C71" t="s">
        <v>279</v>
      </c>
      <c r="D71" t="s">
        <v>1594</v>
      </c>
    </row>
    <row r="72" spans="1:4" x14ac:dyDescent="0.25">
      <c r="A72" s="130" t="s">
        <v>1466</v>
      </c>
      <c r="B72" t="s">
        <v>1467</v>
      </c>
      <c r="C72" t="s">
        <v>279</v>
      </c>
      <c r="D72" t="s">
        <v>1594</v>
      </c>
    </row>
    <row r="73" spans="1:4" x14ac:dyDescent="0.25">
      <c r="A73" s="130" t="s">
        <v>1468</v>
      </c>
      <c r="B73" t="s">
        <v>1469</v>
      </c>
      <c r="C73" t="s">
        <v>279</v>
      </c>
      <c r="D73" t="s">
        <v>1594</v>
      </c>
    </row>
    <row r="74" spans="1:4" x14ac:dyDescent="0.25">
      <c r="A74" s="130" t="s">
        <v>1470</v>
      </c>
      <c r="B74" t="s">
        <v>1471</v>
      </c>
      <c r="C74" t="s">
        <v>279</v>
      </c>
      <c r="D74" t="s">
        <v>1594</v>
      </c>
    </row>
    <row r="75" spans="1:4" x14ac:dyDescent="0.25">
      <c r="A75" s="130" t="s">
        <v>1472</v>
      </c>
      <c r="B75" t="s">
        <v>1473</v>
      </c>
      <c r="C75" t="s">
        <v>279</v>
      </c>
      <c r="D75" t="s">
        <v>1594</v>
      </c>
    </row>
    <row r="76" spans="1:4" x14ac:dyDescent="0.25">
      <c r="A76" s="130" t="s">
        <v>1474</v>
      </c>
      <c r="B76" t="s">
        <v>1475</v>
      </c>
      <c r="C76" t="s">
        <v>279</v>
      </c>
      <c r="D76" t="s">
        <v>1594</v>
      </c>
    </row>
    <row r="77" spans="1:4" x14ac:dyDescent="0.25">
      <c r="A77" s="130" t="s">
        <v>1476</v>
      </c>
      <c r="B77" t="s">
        <v>1477</v>
      </c>
      <c r="C77" t="s">
        <v>279</v>
      </c>
      <c r="D77" t="s">
        <v>1594</v>
      </c>
    </row>
    <row r="78" spans="1:4" x14ac:dyDescent="0.25">
      <c r="A78" s="130" t="s">
        <v>1478</v>
      </c>
      <c r="B78" t="s">
        <v>1479</v>
      </c>
      <c r="C78" t="s">
        <v>279</v>
      </c>
      <c r="D78" t="s">
        <v>1594</v>
      </c>
    </row>
    <row r="79" spans="1:4" x14ac:dyDescent="0.25">
      <c r="A79" s="130" t="s">
        <v>1480</v>
      </c>
      <c r="B79" t="s">
        <v>1481</v>
      </c>
      <c r="C79" t="s">
        <v>279</v>
      </c>
      <c r="D79" t="s">
        <v>1594</v>
      </c>
    </row>
    <row r="80" spans="1:4" x14ac:dyDescent="0.25">
      <c r="A80" s="130" t="s">
        <v>1482</v>
      </c>
      <c r="B80" t="s">
        <v>1483</v>
      </c>
      <c r="C80" t="s">
        <v>279</v>
      </c>
      <c r="D80" t="s">
        <v>1594</v>
      </c>
    </row>
    <row r="81" spans="1:4" x14ac:dyDescent="0.25">
      <c r="A81" s="130" t="s">
        <v>1484</v>
      </c>
      <c r="B81" t="s">
        <v>1485</v>
      </c>
      <c r="C81" t="s">
        <v>279</v>
      </c>
      <c r="D81" t="s">
        <v>1594</v>
      </c>
    </row>
    <row r="82" spans="1:4" x14ac:dyDescent="0.25">
      <c r="A82" s="130" t="s">
        <v>1486</v>
      </c>
      <c r="B82" t="s">
        <v>1487</v>
      </c>
      <c r="C82" t="s">
        <v>279</v>
      </c>
      <c r="D82" t="s">
        <v>1594</v>
      </c>
    </row>
    <row r="83" spans="1:4" x14ac:dyDescent="0.25">
      <c r="A83" s="130" t="s">
        <v>1488</v>
      </c>
      <c r="B83" t="s">
        <v>1489</v>
      </c>
      <c r="C83" t="s">
        <v>279</v>
      </c>
      <c r="D83" t="s">
        <v>1594</v>
      </c>
    </row>
    <row r="84" spans="1:4" x14ac:dyDescent="0.25">
      <c r="A84" s="130" t="s">
        <v>1490</v>
      </c>
      <c r="B84" t="s">
        <v>1491</v>
      </c>
      <c r="C84" t="s">
        <v>279</v>
      </c>
      <c r="D84" t="s">
        <v>1594</v>
      </c>
    </row>
    <row r="85" spans="1:4" x14ac:dyDescent="0.25">
      <c r="A85" s="130" t="s">
        <v>1492</v>
      </c>
      <c r="B85" t="s">
        <v>1493</v>
      </c>
      <c r="C85" t="s">
        <v>279</v>
      </c>
      <c r="D85" t="s">
        <v>1594</v>
      </c>
    </row>
    <row r="86" spans="1:4" x14ac:dyDescent="0.25">
      <c r="A86" s="130" t="s">
        <v>1494</v>
      </c>
      <c r="B86" t="s">
        <v>1495</v>
      </c>
      <c r="C86" t="s">
        <v>279</v>
      </c>
      <c r="D86" t="s">
        <v>1594</v>
      </c>
    </row>
    <row r="87" spans="1:4" x14ac:dyDescent="0.25">
      <c r="A87" s="130" t="s">
        <v>1496</v>
      </c>
      <c r="B87" t="s">
        <v>1497</v>
      </c>
      <c r="C87" t="s">
        <v>279</v>
      </c>
      <c r="D87" t="s">
        <v>1594</v>
      </c>
    </row>
    <row r="88" spans="1:4" x14ac:dyDescent="0.25">
      <c r="A88" s="130" t="s">
        <v>1498</v>
      </c>
      <c r="B88" t="s">
        <v>1499</v>
      </c>
      <c r="C88" t="s">
        <v>279</v>
      </c>
      <c r="D88" t="s">
        <v>1594</v>
      </c>
    </row>
    <row r="89" spans="1:4" x14ac:dyDescent="0.25">
      <c r="A89" s="130" t="s">
        <v>1500</v>
      </c>
      <c r="B89" t="s">
        <v>1501</v>
      </c>
      <c r="C89" t="s">
        <v>279</v>
      </c>
      <c r="D89" t="s">
        <v>1594</v>
      </c>
    </row>
    <row r="90" spans="1:4" x14ac:dyDescent="0.25">
      <c r="A90" s="130" t="s">
        <v>1502</v>
      </c>
      <c r="B90" t="s">
        <v>1503</v>
      </c>
      <c r="C90" t="s">
        <v>279</v>
      </c>
      <c r="D90" t="s">
        <v>1594</v>
      </c>
    </row>
    <row r="91" spans="1:4" x14ac:dyDescent="0.25">
      <c r="A91" s="130" t="s">
        <v>1504</v>
      </c>
      <c r="B91" t="s">
        <v>1505</v>
      </c>
      <c r="C91" t="s">
        <v>279</v>
      </c>
      <c r="D91" t="s">
        <v>1594</v>
      </c>
    </row>
    <row r="92" spans="1:4" x14ac:dyDescent="0.25">
      <c r="A92" s="130" t="s">
        <v>1506</v>
      </c>
      <c r="B92" t="s">
        <v>1507</v>
      </c>
      <c r="C92" t="s">
        <v>279</v>
      </c>
      <c r="D92" t="s">
        <v>1594</v>
      </c>
    </row>
    <row r="93" spans="1:4" x14ac:dyDescent="0.25">
      <c r="A93" s="130" t="s">
        <v>1508</v>
      </c>
      <c r="B93" t="s">
        <v>1509</v>
      </c>
      <c r="C93" t="s">
        <v>279</v>
      </c>
      <c r="D93" t="s">
        <v>1594</v>
      </c>
    </row>
    <row r="94" spans="1:4" x14ac:dyDescent="0.25">
      <c r="A94" s="130" t="s">
        <v>1510</v>
      </c>
      <c r="B94" t="s">
        <v>1511</v>
      </c>
      <c r="C94" t="s">
        <v>279</v>
      </c>
      <c r="D94" t="s">
        <v>1594</v>
      </c>
    </row>
    <row r="95" spans="1:4" x14ac:dyDescent="0.25">
      <c r="A95" s="130" t="s">
        <v>1512</v>
      </c>
      <c r="B95" t="s">
        <v>1513</v>
      </c>
      <c r="C95" t="s">
        <v>279</v>
      </c>
      <c r="D95" t="s">
        <v>1594</v>
      </c>
    </row>
    <row r="96" spans="1:4" x14ac:dyDescent="0.25">
      <c r="A96" s="130" t="s">
        <v>1514</v>
      </c>
      <c r="B96" t="s">
        <v>1515</v>
      </c>
      <c r="C96" t="s">
        <v>279</v>
      </c>
      <c r="D96" t="s">
        <v>1594</v>
      </c>
    </row>
    <row r="97" spans="1:4" x14ac:dyDescent="0.25">
      <c r="A97" s="130" t="s">
        <v>1516</v>
      </c>
      <c r="B97" t="s">
        <v>1517</v>
      </c>
      <c r="C97" t="s">
        <v>279</v>
      </c>
      <c r="D97" t="s">
        <v>1594</v>
      </c>
    </row>
    <row r="98" spans="1:4" x14ac:dyDescent="0.25">
      <c r="A98" s="130" t="s">
        <v>1518</v>
      </c>
      <c r="B98" t="s">
        <v>1519</v>
      </c>
      <c r="C98" t="s">
        <v>279</v>
      </c>
      <c r="D98" t="s">
        <v>1594</v>
      </c>
    </row>
    <row r="99" spans="1:4" x14ac:dyDescent="0.25">
      <c r="A99" s="130" t="s">
        <v>1520</v>
      </c>
      <c r="B99" t="s">
        <v>1521</v>
      </c>
      <c r="C99" t="s">
        <v>279</v>
      </c>
      <c r="D99" t="s">
        <v>1594</v>
      </c>
    </row>
    <row r="100" spans="1:4" x14ac:dyDescent="0.25">
      <c r="A100" s="130" t="s">
        <v>1522</v>
      </c>
      <c r="B100" t="s">
        <v>1523</v>
      </c>
      <c r="C100" t="s">
        <v>279</v>
      </c>
      <c r="D100" t="s">
        <v>1594</v>
      </c>
    </row>
    <row r="101" spans="1:4" x14ac:dyDescent="0.25">
      <c r="A101" s="130" t="s">
        <v>1524</v>
      </c>
      <c r="B101" t="s">
        <v>1525</v>
      </c>
      <c r="C101" t="s">
        <v>279</v>
      </c>
      <c r="D101" t="s">
        <v>1594</v>
      </c>
    </row>
    <row r="102" spans="1:4" x14ac:dyDescent="0.25">
      <c r="A102" s="130" t="s">
        <v>1526</v>
      </c>
      <c r="B102" t="s">
        <v>1527</v>
      </c>
      <c r="C102" t="s">
        <v>279</v>
      </c>
      <c r="D102" t="s">
        <v>1594</v>
      </c>
    </row>
    <row r="103" spans="1:4" x14ac:dyDescent="0.25">
      <c r="A103" s="130" t="s">
        <v>1528</v>
      </c>
      <c r="B103" t="s">
        <v>1529</v>
      </c>
      <c r="C103" t="s">
        <v>279</v>
      </c>
      <c r="D103" t="s">
        <v>1594</v>
      </c>
    </row>
    <row r="104" spans="1:4" x14ac:dyDescent="0.25">
      <c r="A104" s="130" t="s">
        <v>1530</v>
      </c>
      <c r="B104" t="s">
        <v>1531</v>
      </c>
      <c r="C104" t="s">
        <v>279</v>
      </c>
      <c r="D104" t="s">
        <v>1594</v>
      </c>
    </row>
    <row r="105" spans="1:4" x14ac:dyDescent="0.25">
      <c r="A105" s="130" t="s">
        <v>1532</v>
      </c>
      <c r="B105" t="s">
        <v>1533</v>
      </c>
      <c r="C105" t="s">
        <v>279</v>
      </c>
      <c r="D105" t="s">
        <v>1594</v>
      </c>
    </row>
    <row r="106" spans="1:4" x14ac:dyDescent="0.25">
      <c r="A106" s="130" t="s">
        <v>1534</v>
      </c>
      <c r="B106" t="s">
        <v>1535</v>
      </c>
      <c r="C106" t="s">
        <v>279</v>
      </c>
      <c r="D106" t="s">
        <v>1594</v>
      </c>
    </row>
    <row r="107" spans="1:4" x14ac:dyDescent="0.25">
      <c r="A107" s="130" t="s">
        <v>1536</v>
      </c>
      <c r="B107" t="s">
        <v>1537</v>
      </c>
      <c r="C107" t="s">
        <v>279</v>
      </c>
      <c r="D107" t="s">
        <v>1594</v>
      </c>
    </row>
    <row r="108" spans="1:4" x14ac:dyDescent="0.25">
      <c r="A108" s="130" t="s">
        <v>1538</v>
      </c>
      <c r="B108" t="s">
        <v>1539</v>
      </c>
      <c r="C108" t="s">
        <v>279</v>
      </c>
      <c r="D108" t="s">
        <v>1594</v>
      </c>
    </row>
    <row r="109" spans="1:4" x14ac:dyDescent="0.25">
      <c r="A109" s="130" t="s">
        <v>1540</v>
      </c>
      <c r="B109" t="s">
        <v>1541</v>
      </c>
      <c r="C109" t="s">
        <v>279</v>
      </c>
      <c r="D109" t="s">
        <v>1594</v>
      </c>
    </row>
    <row r="110" spans="1:4" x14ac:dyDescent="0.25">
      <c r="A110" s="130" t="s">
        <v>1542</v>
      </c>
      <c r="B110" t="s">
        <v>1543</v>
      </c>
      <c r="C110" t="s">
        <v>279</v>
      </c>
      <c r="D110" t="s">
        <v>1594</v>
      </c>
    </row>
    <row r="111" spans="1:4" x14ac:dyDescent="0.25">
      <c r="A111" s="130" t="s">
        <v>1544</v>
      </c>
      <c r="B111" t="s">
        <v>1545</v>
      </c>
      <c r="C111" t="s">
        <v>279</v>
      </c>
      <c r="D111" t="s">
        <v>1594</v>
      </c>
    </row>
    <row r="112" spans="1:4" x14ac:dyDescent="0.25">
      <c r="A112" s="130" t="s">
        <v>1546</v>
      </c>
      <c r="B112" t="s">
        <v>1547</v>
      </c>
      <c r="C112" t="s">
        <v>279</v>
      </c>
      <c r="D112" t="s">
        <v>1594</v>
      </c>
    </row>
    <row r="113" spans="1:4" x14ac:dyDescent="0.25">
      <c r="A113" s="130" t="s">
        <v>1550</v>
      </c>
      <c r="B113" t="s">
        <v>1551</v>
      </c>
      <c r="C113" t="s">
        <v>279</v>
      </c>
      <c r="D113" t="s">
        <v>1594</v>
      </c>
    </row>
    <row r="114" spans="1:4" x14ac:dyDescent="0.25">
      <c r="A114" s="130" t="s">
        <v>1560</v>
      </c>
      <c r="B114" t="s">
        <v>1561</v>
      </c>
      <c r="C114" t="s">
        <v>279</v>
      </c>
      <c r="D114" t="s">
        <v>1594</v>
      </c>
    </row>
    <row r="115" spans="1:4" x14ac:dyDescent="0.25">
      <c r="A115" s="130" t="s">
        <v>1562</v>
      </c>
      <c r="B115" t="s">
        <v>1563</v>
      </c>
      <c r="C115" t="s">
        <v>279</v>
      </c>
      <c r="D115" t="s">
        <v>1594</v>
      </c>
    </row>
    <row r="116" spans="1:4" x14ac:dyDescent="0.25">
      <c r="A116" s="130" t="s">
        <v>1564</v>
      </c>
      <c r="B116" t="s">
        <v>1565</v>
      </c>
      <c r="C116" t="s">
        <v>279</v>
      </c>
      <c r="D116" t="s">
        <v>1594</v>
      </c>
    </row>
    <row r="117" spans="1:4" x14ac:dyDescent="0.25">
      <c r="A117" s="130" t="s">
        <v>1566</v>
      </c>
      <c r="B117" t="s">
        <v>1567</v>
      </c>
      <c r="C117" t="s">
        <v>279</v>
      </c>
      <c r="D117" t="s">
        <v>1594</v>
      </c>
    </row>
    <row r="118" spans="1:4" x14ac:dyDescent="0.25">
      <c r="A118" s="130" t="s">
        <v>1568</v>
      </c>
      <c r="B118" t="s">
        <v>1569</v>
      </c>
      <c r="C118" t="s">
        <v>279</v>
      </c>
      <c r="D118" t="s">
        <v>1594</v>
      </c>
    </row>
    <row r="119" spans="1:4" x14ac:dyDescent="0.25">
      <c r="A119" s="130" t="s">
        <v>1570</v>
      </c>
      <c r="B119" t="s">
        <v>1571</v>
      </c>
      <c r="C119" t="s">
        <v>279</v>
      </c>
      <c r="D119" t="s">
        <v>1594</v>
      </c>
    </row>
    <row r="120" spans="1:4" x14ac:dyDescent="0.25">
      <c r="A120" s="130" t="s">
        <v>1572</v>
      </c>
      <c r="B120" t="s">
        <v>1573</v>
      </c>
      <c r="C120" t="s">
        <v>279</v>
      </c>
      <c r="D120" t="s">
        <v>1594</v>
      </c>
    </row>
    <row r="121" spans="1:4" x14ac:dyDescent="0.25">
      <c r="A121" s="130" t="s">
        <v>1574</v>
      </c>
      <c r="B121" t="s">
        <v>1575</v>
      </c>
      <c r="C121" t="s">
        <v>279</v>
      </c>
      <c r="D121" t="s">
        <v>1594</v>
      </c>
    </row>
    <row r="122" spans="1:4" x14ac:dyDescent="0.25">
      <c r="A122" s="130" t="s">
        <v>1576</v>
      </c>
      <c r="B122" t="s">
        <v>1577</v>
      </c>
      <c r="C122" t="s">
        <v>279</v>
      </c>
      <c r="D122" t="s">
        <v>1594</v>
      </c>
    </row>
    <row r="123" spans="1:4" x14ac:dyDescent="0.25">
      <c r="A123" s="130" t="s">
        <v>1578</v>
      </c>
      <c r="B123" t="s">
        <v>1579</v>
      </c>
      <c r="C123" t="s">
        <v>279</v>
      </c>
      <c r="D123" t="s">
        <v>1594</v>
      </c>
    </row>
    <row r="124" spans="1:4" x14ac:dyDescent="0.25">
      <c r="A124" s="130" t="s">
        <v>1580</v>
      </c>
      <c r="B124" t="s">
        <v>1581</v>
      </c>
      <c r="C124" t="s">
        <v>279</v>
      </c>
      <c r="D124" t="s">
        <v>1594</v>
      </c>
    </row>
    <row r="125" spans="1:4" x14ac:dyDescent="0.25">
      <c r="A125" s="130" t="s">
        <v>1582</v>
      </c>
      <c r="B125" t="s">
        <v>1583</v>
      </c>
      <c r="C125" t="s">
        <v>279</v>
      </c>
      <c r="D125" t="s">
        <v>1594</v>
      </c>
    </row>
    <row r="126" spans="1:4" x14ac:dyDescent="0.25">
      <c r="A126" s="130" t="s">
        <v>1584</v>
      </c>
      <c r="B126" t="s">
        <v>1585</v>
      </c>
      <c r="C126" t="s">
        <v>279</v>
      </c>
      <c r="D126" t="s">
        <v>1594</v>
      </c>
    </row>
    <row r="127" spans="1:4" x14ac:dyDescent="0.25">
      <c r="A127" s="130" t="s">
        <v>800</v>
      </c>
      <c r="B127" t="s">
        <v>801</v>
      </c>
      <c r="C127" t="s">
        <v>1595</v>
      </c>
      <c r="D127" t="s">
        <v>1596</v>
      </c>
    </row>
    <row r="128" spans="1:4" x14ac:dyDescent="0.25">
      <c r="A128" s="130" t="s">
        <v>804</v>
      </c>
      <c r="B128" t="s">
        <v>805</v>
      </c>
      <c r="C128" t="s">
        <v>1595</v>
      </c>
      <c r="D128" t="s">
        <v>1596</v>
      </c>
    </row>
    <row r="129" spans="1:4" x14ac:dyDescent="0.25">
      <c r="A129" s="130" t="s">
        <v>808</v>
      </c>
      <c r="B129" t="s">
        <v>809</v>
      </c>
      <c r="C129" t="s">
        <v>1595</v>
      </c>
      <c r="D129" t="s">
        <v>1596</v>
      </c>
    </row>
    <row r="130" spans="1:4" x14ac:dyDescent="0.25">
      <c r="A130" s="130" t="s">
        <v>812</v>
      </c>
      <c r="B130" t="s">
        <v>813</v>
      </c>
      <c r="C130" t="s">
        <v>1595</v>
      </c>
      <c r="D130" t="s">
        <v>1596</v>
      </c>
    </row>
    <row r="131" spans="1:4" x14ac:dyDescent="0.25">
      <c r="A131" s="130" t="s">
        <v>814</v>
      </c>
      <c r="B131" t="s">
        <v>815</v>
      </c>
      <c r="C131" t="s">
        <v>1595</v>
      </c>
      <c r="D131" t="s">
        <v>1596</v>
      </c>
    </row>
    <row r="132" spans="1:4" x14ac:dyDescent="0.25">
      <c r="A132" s="130" t="s">
        <v>818</v>
      </c>
      <c r="B132" t="s">
        <v>819</v>
      </c>
      <c r="C132" t="s">
        <v>1595</v>
      </c>
      <c r="D132" t="s">
        <v>1596</v>
      </c>
    </row>
    <row r="133" spans="1:4" x14ac:dyDescent="0.25">
      <c r="A133" s="130" t="s">
        <v>824</v>
      </c>
      <c r="B133" t="s">
        <v>825</v>
      </c>
      <c r="C133" t="s">
        <v>1595</v>
      </c>
      <c r="D133" t="s">
        <v>1596</v>
      </c>
    </row>
    <row r="134" spans="1:4" x14ac:dyDescent="0.25">
      <c r="A134" s="130" t="s">
        <v>826</v>
      </c>
      <c r="B134" t="s">
        <v>827</v>
      </c>
      <c r="C134" t="s">
        <v>1595</v>
      </c>
      <c r="D134" t="s">
        <v>1596</v>
      </c>
    </row>
    <row r="135" spans="1:4" x14ac:dyDescent="0.25">
      <c r="A135" s="130" t="s">
        <v>828</v>
      </c>
      <c r="B135" t="s">
        <v>829</v>
      </c>
      <c r="C135" t="s">
        <v>1595</v>
      </c>
      <c r="D135" t="s">
        <v>1596</v>
      </c>
    </row>
    <row r="136" spans="1:4" x14ac:dyDescent="0.25">
      <c r="A136" s="130" t="s">
        <v>830</v>
      </c>
      <c r="B136" t="s">
        <v>831</v>
      </c>
      <c r="C136" t="s">
        <v>1595</v>
      </c>
      <c r="D136" t="s">
        <v>1596</v>
      </c>
    </row>
    <row r="137" spans="1:4" x14ac:dyDescent="0.25">
      <c r="A137" s="130" t="s">
        <v>832</v>
      </c>
      <c r="B137" t="s">
        <v>833</v>
      </c>
      <c r="C137" t="s">
        <v>1595</v>
      </c>
      <c r="D137" t="s">
        <v>1596</v>
      </c>
    </row>
    <row r="138" spans="1:4" x14ac:dyDescent="0.25">
      <c r="A138" s="130" t="s">
        <v>834</v>
      </c>
      <c r="B138" t="s">
        <v>835</v>
      </c>
      <c r="C138" t="s">
        <v>1595</v>
      </c>
      <c r="D138" t="s">
        <v>1596</v>
      </c>
    </row>
    <row r="139" spans="1:4" x14ac:dyDescent="0.25">
      <c r="A139" s="130" t="s">
        <v>836</v>
      </c>
      <c r="B139" t="s">
        <v>837</v>
      </c>
      <c r="C139" t="s">
        <v>1595</v>
      </c>
      <c r="D139" t="s">
        <v>1596</v>
      </c>
    </row>
    <row r="140" spans="1:4" x14ac:dyDescent="0.25">
      <c r="A140" s="130" t="s">
        <v>838</v>
      </c>
      <c r="B140" t="s">
        <v>839</v>
      </c>
      <c r="C140" t="s">
        <v>1595</v>
      </c>
      <c r="D140" t="s">
        <v>1596</v>
      </c>
    </row>
    <row r="141" spans="1:4" x14ac:dyDescent="0.25">
      <c r="A141" s="130" t="s">
        <v>840</v>
      </c>
      <c r="B141" t="s">
        <v>841</v>
      </c>
      <c r="C141" t="s">
        <v>1595</v>
      </c>
      <c r="D141" t="s">
        <v>1596</v>
      </c>
    </row>
    <row r="142" spans="1:4" x14ac:dyDescent="0.25">
      <c r="A142" s="130" t="s">
        <v>842</v>
      </c>
      <c r="B142" t="s">
        <v>843</v>
      </c>
      <c r="C142" t="s">
        <v>1595</v>
      </c>
      <c r="D142" t="s">
        <v>1596</v>
      </c>
    </row>
    <row r="143" spans="1:4" x14ac:dyDescent="0.25">
      <c r="A143" s="130" t="s">
        <v>854</v>
      </c>
      <c r="B143" t="s">
        <v>855</v>
      </c>
      <c r="C143" t="s">
        <v>1595</v>
      </c>
      <c r="D143" t="s">
        <v>1596</v>
      </c>
    </row>
    <row r="144" spans="1:4" x14ac:dyDescent="0.25">
      <c r="A144" s="130" t="s">
        <v>856</v>
      </c>
      <c r="B144" t="s">
        <v>857</v>
      </c>
      <c r="C144" t="s">
        <v>1595</v>
      </c>
      <c r="D144" t="s">
        <v>1596</v>
      </c>
    </row>
    <row r="145" spans="1:4" x14ac:dyDescent="0.25">
      <c r="A145" s="130" t="s">
        <v>864</v>
      </c>
      <c r="B145" t="s">
        <v>865</v>
      </c>
      <c r="C145" t="s">
        <v>1595</v>
      </c>
      <c r="D145" t="s">
        <v>1596</v>
      </c>
    </row>
    <row r="146" spans="1:4" x14ac:dyDescent="0.25">
      <c r="A146" s="130" t="s">
        <v>874</v>
      </c>
      <c r="B146" t="s">
        <v>875</v>
      </c>
      <c r="C146" t="s">
        <v>1595</v>
      </c>
      <c r="D146" t="s">
        <v>1596</v>
      </c>
    </row>
    <row r="147" spans="1:4" x14ac:dyDescent="0.25">
      <c r="A147" s="130" t="s">
        <v>876</v>
      </c>
      <c r="B147" t="s">
        <v>877</v>
      </c>
      <c r="C147" t="s">
        <v>1595</v>
      </c>
      <c r="D147" t="s">
        <v>1596</v>
      </c>
    </row>
    <row r="148" spans="1:4" x14ac:dyDescent="0.25">
      <c r="A148" s="130" t="s">
        <v>878</v>
      </c>
      <c r="B148" t="s">
        <v>879</v>
      </c>
      <c r="C148" t="s">
        <v>1595</v>
      </c>
      <c r="D148" t="s">
        <v>1596</v>
      </c>
    </row>
    <row r="149" spans="1:4" x14ac:dyDescent="0.25">
      <c r="A149" s="130" t="s">
        <v>880</v>
      </c>
      <c r="B149" t="s">
        <v>881</v>
      </c>
      <c r="C149" t="s">
        <v>1595</v>
      </c>
      <c r="D149" t="s">
        <v>1596</v>
      </c>
    </row>
    <row r="150" spans="1:4" x14ac:dyDescent="0.25">
      <c r="A150" s="130" t="s">
        <v>882</v>
      </c>
      <c r="B150" t="s">
        <v>883</v>
      </c>
      <c r="C150" t="s">
        <v>1595</v>
      </c>
      <c r="D150" t="s">
        <v>1596</v>
      </c>
    </row>
    <row r="151" spans="1:4" x14ac:dyDescent="0.25">
      <c r="A151" s="130" t="s">
        <v>884</v>
      </c>
      <c r="B151" t="s">
        <v>885</v>
      </c>
      <c r="C151" t="s">
        <v>1595</v>
      </c>
      <c r="D151" t="s">
        <v>1596</v>
      </c>
    </row>
    <row r="152" spans="1:4" x14ac:dyDescent="0.25">
      <c r="A152" s="130" t="s">
        <v>886</v>
      </c>
      <c r="B152" t="s">
        <v>887</v>
      </c>
      <c r="C152" t="s">
        <v>1595</v>
      </c>
      <c r="D152" t="s">
        <v>1596</v>
      </c>
    </row>
    <row r="153" spans="1:4" x14ac:dyDescent="0.25">
      <c r="A153" s="130" t="s">
        <v>888</v>
      </c>
      <c r="B153" t="s">
        <v>889</v>
      </c>
      <c r="C153" t="s">
        <v>1595</v>
      </c>
      <c r="D153" t="s">
        <v>1596</v>
      </c>
    </row>
    <row r="154" spans="1:4" x14ac:dyDescent="0.25">
      <c r="A154" s="130" t="s">
        <v>890</v>
      </c>
      <c r="B154" t="s">
        <v>891</v>
      </c>
      <c r="C154" t="s">
        <v>1595</v>
      </c>
      <c r="D154" t="s">
        <v>1596</v>
      </c>
    </row>
    <row r="155" spans="1:4" x14ac:dyDescent="0.25">
      <c r="A155" s="130" t="s">
        <v>892</v>
      </c>
      <c r="B155" t="s">
        <v>893</v>
      </c>
      <c r="C155" t="s">
        <v>1595</v>
      </c>
      <c r="D155" t="s">
        <v>1596</v>
      </c>
    </row>
    <row r="156" spans="1:4" x14ac:dyDescent="0.25">
      <c r="A156" s="130" t="s">
        <v>894</v>
      </c>
      <c r="B156" t="s">
        <v>895</v>
      </c>
      <c r="C156" t="s">
        <v>1595</v>
      </c>
      <c r="D156" t="s">
        <v>1596</v>
      </c>
    </row>
    <row r="157" spans="1:4" x14ac:dyDescent="0.25">
      <c r="A157" s="130" t="s">
        <v>896</v>
      </c>
      <c r="B157" t="s">
        <v>897</v>
      </c>
      <c r="C157" t="s">
        <v>1595</v>
      </c>
      <c r="D157" t="s">
        <v>1596</v>
      </c>
    </row>
    <row r="158" spans="1:4" x14ac:dyDescent="0.25">
      <c r="A158" s="130" t="s">
        <v>898</v>
      </c>
      <c r="B158" t="s">
        <v>899</v>
      </c>
      <c r="C158" t="s">
        <v>1595</v>
      </c>
      <c r="D158" t="s">
        <v>1596</v>
      </c>
    </row>
    <row r="159" spans="1:4" x14ac:dyDescent="0.25">
      <c r="A159" s="130" t="s">
        <v>900</v>
      </c>
      <c r="B159" t="s">
        <v>901</v>
      </c>
      <c r="C159" t="s">
        <v>1595</v>
      </c>
      <c r="D159" t="s">
        <v>1596</v>
      </c>
    </row>
    <row r="160" spans="1:4" x14ac:dyDescent="0.25">
      <c r="A160" s="130" t="s">
        <v>902</v>
      </c>
      <c r="B160" t="s">
        <v>903</v>
      </c>
      <c r="C160" t="s">
        <v>1595</v>
      </c>
      <c r="D160" t="s">
        <v>1596</v>
      </c>
    </row>
    <row r="161" spans="1:4" x14ac:dyDescent="0.25">
      <c r="A161" s="130" t="s">
        <v>904</v>
      </c>
      <c r="B161" t="s">
        <v>905</v>
      </c>
      <c r="C161" t="s">
        <v>1595</v>
      </c>
      <c r="D161" t="s">
        <v>1596</v>
      </c>
    </row>
    <row r="162" spans="1:4" x14ac:dyDescent="0.25">
      <c r="A162" s="130" t="s">
        <v>906</v>
      </c>
      <c r="B162" t="s">
        <v>907</v>
      </c>
      <c r="C162" t="s">
        <v>1595</v>
      </c>
      <c r="D162" t="s">
        <v>1596</v>
      </c>
    </row>
    <row r="163" spans="1:4" x14ac:dyDescent="0.25">
      <c r="A163" s="130" t="s">
        <v>908</v>
      </c>
      <c r="B163" t="s">
        <v>909</v>
      </c>
      <c r="C163" t="s">
        <v>1595</v>
      </c>
      <c r="D163" t="s">
        <v>1596</v>
      </c>
    </row>
    <row r="164" spans="1:4" x14ac:dyDescent="0.25">
      <c r="A164" s="130" t="s">
        <v>910</v>
      </c>
      <c r="B164" t="s">
        <v>911</v>
      </c>
      <c r="C164" t="s">
        <v>1595</v>
      </c>
      <c r="D164" t="s">
        <v>1596</v>
      </c>
    </row>
    <row r="165" spans="1:4" x14ac:dyDescent="0.25">
      <c r="A165" s="130" t="s">
        <v>912</v>
      </c>
      <c r="B165" t="s">
        <v>913</v>
      </c>
      <c r="C165" t="s">
        <v>1595</v>
      </c>
      <c r="D165" t="s">
        <v>1596</v>
      </c>
    </row>
    <row r="166" spans="1:4" x14ac:dyDescent="0.25">
      <c r="A166" s="130" t="s">
        <v>914</v>
      </c>
      <c r="B166" t="s">
        <v>915</v>
      </c>
      <c r="C166" t="s">
        <v>1595</v>
      </c>
      <c r="D166" t="s">
        <v>1596</v>
      </c>
    </row>
    <row r="167" spans="1:4" x14ac:dyDescent="0.25">
      <c r="A167" s="130" t="s">
        <v>916</v>
      </c>
      <c r="B167" t="s">
        <v>917</v>
      </c>
      <c r="C167" t="s">
        <v>1595</v>
      </c>
      <c r="D167" t="s">
        <v>1596</v>
      </c>
    </row>
    <row r="168" spans="1:4" x14ac:dyDescent="0.25">
      <c r="A168" s="130" t="s">
        <v>918</v>
      </c>
      <c r="B168" t="s">
        <v>919</v>
      </c>
      <c r="C168" t="s">
        <v>1595</v>
      </c>
      <c r="D168" t="s">
        <v>1596</v>
      </c>
    </row>
    <row r="169" spans="1:4" x14ac:dyDescent="0.25">
      <c r="A169" s="130" t="s">
        <v>920</v>
      </c>
      <c r="B169" t="s">
        <v>921</v>
      </c>
      <c r="C169" t="s">
        <v>1595</v>
      </c>
      <c r="D169" t="s">
        <v>1596</v>
      </c>
    </row>
    <row r="170" spans="1:4" x14ac:dyDescent="0.25">
      <c r="A170" s="130" t="s">
        <v>922</v>
      </c>
      <c r="B170" t="s">
        <v>923</v>
      </c>
      <c r="C170" t="s">
        <v>1595</v>
      </c>
      <c r="D170" t="s">
        <v>1596</v>
      </c>
    </row>
    <row r="171" spans="1:4" x14ac:dyDescent="0.25">
      <c r="A171" s="130" t="s">
        <v>924</v>
      </c>
      <c r="B171" t="s">
        <v>925</v>
      </c>
      <c r="C171" t="s">
        <v>1595</v>
      </c>
      <c r="D171" t="s">
        <v>1596</v>
      </c>
    </row>
    <row r="172" spans="1:4" x14ac:dyDescent="0.25">
      <c r="A172" s="130" t="s">
        <v>926</v>
      </c>
      <c r="B172" t="s">
        <v>927</v>
      </c>
      <c r="C172" t="s">
        <v>1595</v>
      </c>
      <c r="D172" t="s">
        <v>1596</v>
      </c>
    </row>
    <row r="173" spans="1:4" x14ac:dyDescent="0.25">
      <c r="A173" s="130" t="s">
        <v>928</v>
      </c>
      <c r="B173" t="s">
        <v>929</v>
      </c>
      <c r="C173" t="s">
        <v>1595</v>
      </c>
      <c r="D173" t="s">
        <v>1596</v>
      </c>
    </row>
    <row r="174" spans="1:4" x14ac:dyDescent="0.25">
      <c r="A174" s="130" t="s">
        <v>930</v>
      </c>
      <c r="B174" t="s">
        <v>931</v>
      </c>
      <c r="C174" t="s">
        <v>1595</v>
      </c>
      <c r="D174" t="s">
        <v>1596</v>
      </c>
    </row>
    <row r="175" spans="1:4" x14ac:dyDescent="0.25">
      <c r="A175" s="130" t="s">
        <v>932</v>
      </c>
      <c r="B175" t="s">
        <v>933</v>
      </c>
      <c r="C175" t="s">
        <v>1595</v>
      </c>
      <c r="D175" t="s">
        <v>1596</v>
      </c>
    </row>
    <row r="176" spans="1:4" x14ac:dyDescent="0.25">
      <c r="A176" s="130" t="s">
        <v>934</v>
      </c>
      <c r="B176" t="s">
        <v>935</v>
      </c>
      <c r="C176" t="s">
        <v>1595</v>
      </c>
      <c r="D176" t="s">
        <v>1596</v>
      </c>
    </row>
    <row r="177" spans="1:4" x14ac:dyDescent="0.25">
      <c r="A177" s="130" t="s">
        <v>936</v>
      </c>
      <c r="B177" t="s">
        <v>937</v>
      </c>
      <c r="C177" t="s">
        <v>1595</v>
      </c>
      <c r="D177" t="s">
        <v>1596</v>
      </c>
    </row>
    <row r="178" spans="1:4" x14ac:dyDescent="0.25">
      <c r="A178" s="130" t="s">
        <v>938</v>
      </c>
      <c r="B178" t="s">
        <v>939</v>
      </c>
      <c r="C178" t="s">
        <v>1595</v>
      </c>
      <c r="D178" t="s">
        <v>1596</v>
      </c>
    </row>
    <row r="179" spans="1:4" x14ac:dyDescent="0.25">
      <c r="A179" s="130" t="s">
        <v>940</v>
      </c>
      <c r="B179" t="s">
        <v>941</v>
      </c>
      <c r="C179" t="s">
        <v>1595</v>
      </c>
      <c r="D179" t="s">
        <v>1596</v>
      </c>
    </row>
    <row r="180" spans="1:4" x14ac:dyDescent="0.25">
      <c r="A180" s="130" t="s">
        <v>942</v>
      </c>
      <c r="B180" t="s">
        <v>943</v>
      </c>
      <c r="C180" t="s">
        <v>1595</v>
      </c>
      <c r="D180" t="s">
        <v>1596</v>
      </c>
    </row>
    <row r="181" spans="1:4" x14ac:dyDescent="0.25">
      <c r="A181" s="130" t="s">
        <v>944</v>
      </c>
      <c r="B181" t="s">
        <v>945</v>
      </c>
      <c r="C181" t="s">
        <v>1595</v>
      </c>
      <c r="D181" t="s">
        <v>1596</v>
      </c>
    </row>
    <row r="182" spans="1:4" x14ac:dyDescent="0.25">
      <c r="A182" s="130" t="s">
        <v>946</v>
      </c>
      <c r="B182" t="s">
        <v>947</v>
      </c>
      <c r="C182" t="s">
        <v>1595</v>
      </c>
      <c r="D182" t="s">
        <v>1596</v>
      </c>
    </row>
    <row r="183" spans="1:4" x14ac:dyDescent="0.25">
      <c r="A183" s="130" t="s">
        <v>948</v>
      </c>
      <c r="B183" t="s">
        <v>949</v>
      </c>
      <c r="C183" t="s">
        <v>1595</v>
      </c>
      <c r="D183" t="s">
        <v>1596</v>
      </c>
    </row>
    <row r="184" spans="1:4" x14ac:dyDescent="0.25">
      <c r="A184" s="130" t="s">
        <v>950</v>
      </c>
      <c r="B184" t="s">
        <v>951</v>
      </c>
      <c r="C184" t="s">
        <v>1595</v>
      </c>
      <c r="D184" t="s">
        <v>1596</v>
      </c>
    </row>
    <row r="185" spans="1:4" x14ac:dyDescent="0.25">
      <c r="A185" s="130" t="s">
        <v>952</v>
      </c>
      <c r="B185" t="s">
        <v>953</v>
      </c>
      <c r="C185" t="s">
        <v>1595</v>
      </c>
      <c r="D185" t="s">
        <v>1596</v>
      </c>
    </row>
    <row r="186" spans="1:4" x14ac:dyDescent="0.25">
      <c r="A186" s="130" t="s">
        <v>954</v>
      </c>
      <c r="B186" t="s">
        <v>955</v>
      </c>
      <c r="C186" t="s">
        <v>1595</v>
      </c>
      <c r="D186" t="s">
        <v>1596</v>
      </c>
    </row>
    <row r="187" spans="1:4" x14ac:dyDescent="0.25">
      <c r="A187" s="130" t="s">
        <v>956</v>
      </c>
      <c r="B187" t="s">
        <v>957</v>
      </c>
      <c r="C187" t="s">
        <v>1595</v>
      </c>
      <c r="D187" t="s">
        <v>1596</v>
      </c>
    </row>
    <row r="188" spans="1:4" x14ac:dyDescent="0.25">
      <c r="A188" s="130" t="s">
        <v>958</v>
      </c>
      <c r="B188" t="s">
        <v>959</v>
      </c>
      <c r="C188" t="s">
        <v>1595</v>
      </c>
      <c r="D188" t="s">
        <v>1596</v>
      </c>
    </row>
    <row r="189" spans="1:4" x14ac:dyDescent="0.25">
      <c r="A189" s="130" t="s">
        <v>960</v>
      </c>
      <c r="B189" t="s">
        <v>961</v>
      </c>
      <c r="C189" t="s">
        <v>1595</v>
      </c>
      <c r="D189" t="s">
        <v>1596</v>
      </c>
    </row>
    <row r="190" spans="1:4" x14ac:dyDescent="0.25">
      <c r="A190" s="130" t="s">
        <v>962</v>
      </c>
      <c r="B190" t="s">
        <v>963</v>
      </c>
      <c r="C190" t="s">
        <v>1595</v>
      </c>
      <c r="D190" t="s">
        <v>1596</v>
      </c>
    </row>
    <row r="191" spans="1:4" x14ac:dyDescent="0.25">
      <c r="A191" s="130" t="s">
        <v>964</v>
      </c>
      <c r="B191" t="s">
        <v>965</v>
      </c>
      <c r="C191" t="s">
        <v>1595</v>
      </c>
      <c r="D191" t="s">
        <v>1596</v>
      </c>
    </row>
    <row r="192" spans="1:4" x14ac:dyDescent="0.25">
      <c r="A192" s="130" t="s">
        <v>966</v>
      </c>
      <c r="B192" t="s">
        <v>967</v>
      </c>
      <c r="C192" t="s">
        <v>1595</v>
      </c>
      <c r="D192" t="s">
        <v>1596</v>
      </c>
    </row>
    <row r="193" spans="1:4" x14ac:dyDescent="0.25">
      <c r="A193" s="130" t="s">
        <v>968</v>
      </c>
      <c r="B193" t="s">
        <v>969</v>
      </c>
      <c r="C193" t="s">
        <v>1595</v>
      </c>
      <c r="D193" t="s">
        <v>1596</v>
      </c>
    </row>
    <row r="194" spans="1:4" x14ac:dyDescent="0.25">
      <c r="A194" s="130" t="s">
        <v>970</v>
      </c>
      <c r="B194" t="s">
        <v>971</v>
      </c>
      <c r="C194" t="s">
        <v>1595</v>
      </c>
      <c r="D194" t="s">
        <v>1596</v>
      </c>
    </row>
    <row r="195" spans="1:4" x14ac:dyDescent="0.25">
      <c r="A195" s="130" t="s">
        <v>972</v>
      </c>
      <c r="B195" t="s">
        <v>973</v>
      </c>
      <c r="C195" t="s">
        <v>1595</v>
      </c>
      <c r="D195" t="s">
        <v>1596</v>
      </c>
    </row>
    <row r="196" spans="1:4" x14ac:dyDescent="0.25">
      <c r="A196" s="130" t="s">
        <v>974</v>
      </c>
      <c r="B196" t="s">
        <v>975</v>
      </c>
      <c r="C196" t="s">
        <v>1595</v>
      </c>
      <c r="D196" t="s">
        <v>1596</v>
      </c>
    </row>
    <row r="197" spans="1:4" x14ac:dyDescent="0.25">
      <c r="A197" s="130" t="s">
        <v>976</v>
      </c>
      <c r="B197" t="s">
        <v>977</v>
      </c>
      <c r="C197" t="s">
        <v>1595</v>
      </c>
      <c r="D197" t="s">
        <v>1596</v>
      </c>
    </row>
    <row r="198" spans="1:4" x14ac:dyDescent="0.25">
      <c r="A198" s="130" t="s">
        <v>978</v>
      </c>
      <c r="B198" t="s">
        <v>979</v>
      </c>
      <c r="C198" t="s">
        <v>1595</v>
      </c>
      <c r="D198" t="s">
        <v>1596</v>
      </c>
    </row>
    <row r="199" spans="1:4" x14ac:dyDescent="0.25">
      <c r="A199" s="130" t="s">
        <v>980</v>
      </c>
      <c r="B199" t="s">
        <v>981</v>
      </c>
      <c r="C199" t="s">
        <v>1595</v>
      </c>
      <c r="D199" t="s">
        <v>1596</v>
      </c>
    </row>
    <row r="200" spans="1:4" x14ac:dyDescent="0.25">
      <c r="A200" s="130" t="s">
        <v>982</v>
      </c>
      <c r="B200" t="s">
        <v>983</v>
      </c>
      <c r="C200" t="s">
        <v>1595</v>
      </c>
      <c r="D200" t="s">
        <v>1596</v>
      </c>
    </row>
    <row r="201" spans="1:4" x14ac:dyDescent="0.25">
      <c r="A201" s="130" t="s">
        <v>984</v>
      </c>
      <c r="B201" t="s">
        <v>985</v>
      </c>
      <c r="C201" t="s">
        <v>1595</v>
      </c>
      <c r="D201" t="s">
        <v>1596</v>
      </c>
    </row>
    <row r="202" spans="1:4" x14ac:dyDescent="0.25">
      <c r="A202" s="130" t="s">
        <v>986</v>
      </c>
      <c r="B202" t="s">
        <v>987</v>
      </c>
      <c r="C202" t="s">
        <v>1595</v>
      </c>
      <c r="D202" t="s">
        <v>1596</v>
      </c>
    </row>
    <row r="203" spans="1:4" x14ac:dyDescent="0.25">
      <c r="A203" s="130" t="s">
        <v>988</v>
      </c>
      <c r="B203" t="s">
        <v>989</v>
      </c>
      <c r="C203" t="s">
        <v>1595</v>
      </c>
      <c r="D203" t="s">
        <v>1596</v>
      </c>
    </row>
    <row r="204" spans="1:4" x14ac:dyDescent="0.25">
      <c r="A204" s="130" t="s">
        <v>990</v>
      </c>
      <c r="B204" t="s">
        <v>991</v>
      </c>
      <c r="C204" t="s">
        <v>1595</v>
      </c>
      <c r="D204" t="s">
        <v>1596</v>
      </c>
    </row>
    <row r="205" spans="1:4" x14ac:dyDescent="0.25">
      <c r="A205" s="130" t="s">
        <v>992</v>
      </c>
      <c r="B205" t="s">
        <v>993</v>
      </c>
      <c r="C205" t="s">
        <v>1595</v>
      </c>
      <c r="D205" t="s">
        <v>1596</v>
      </c>
    </row>
    <row r="206" spans="1:4" x14ac:dyDescent="0.25">
      <c r="A206" s="130" t="s">
        <v>994</v>
      </c>
      <c r="B206" t="s">
        <v>995</v>
      </c>
      <c r="C206" t="s">
        <v>1595</v>
      </c>
      <c r="D206" t="s">
        <v>1596</v>
      </c>
    </row>
    <row r="207" spans="1:4" x14ac:dyDescent="0.25">
      <c r="A207" s="130" t="s">
        <v>996</v>
      </c>
      <c r="B207" t="s">
        <v>997</v>
      </c>
      <c r="C207" t="s">
        <v>1595</v>
      </c>
      <c r="D207" t="s">
        <v>1596</v>
      </c>
    </row>
    <row r="208" spans="1:4" x14ac:dyDescent="0.25">
      <c r="A208" s="130" t="s">
        <v>998</v>
      </c>
      <c r="B208" t="s">
        <v>999</v>
      </c>
      <c r="C208" t="s">
        <v>1595</v>
      </c>
      <c r="D208" t="s">
        <v>1596</v>
      </c>
    </row>
    <row r="209" spans="1:4" x14ac:dyDescent="0.25">
      <c r="A209" s="130" t="s">
        <v>1000</v>
      </c>
      <c r="B209" t="s">
        <v>1001</v>
      </c>
      <c r="C209" t="s">
        <v>1595</v>
      </c>
      <c r="D209" t="s">
        <v>1596</v>
      </c>
    </row>
    <row r="210" spans="1:4" x14ac:dyDescent="0.25">
      <c r="A210" s="130" t="s">
        <v>1002</v>
      </c>
      <c r="B210" t="s">
        <v>1003</v>
      </c>
      <c r="C210" t="s">
        <v>1595</v>
      </c>
      <c r="D210" t="s">
        <v>1596</v>
      </c>
    </row>
    <row r="211" spans="1:4" x14ac:dyDescent="0.25">
      <c r="A211" s="130" t="s">
        <v>1004</v>
      </c>
      <c r="B211" t="s">
        <v>1005</v>
      </c>
      <c r="C211" t="s">
        <v>1595</v>
      </c>
      <c r="D211" t="s">
        <v>1596</v>
      </c>
    </row>
    <row r="212" spans="1:4" x14ac:dyDescent="0.25">
      <c r="A212" s="130" t="s">
        <v>1006</v>
      </c>
      <c r="B212" t="s">
        <v>1007</v>
      </c>
      <c r="C212" t="s">
        <v>1595</v>
      </c>
      <c r="D212" t="s">
        <v>1596</v>
      </c>
    </row>
    <row r="213" spans="1:4" x14ac:dyDescent="0.25">
      <c r="A213" s="130" t="s">
        <v>1008</v>
      </c>
      <c r="B213" t="s">
        <v>1009</v>
      </c>
      <c r="C213" t="s">
        <v>1595</v>
      </c>
      <c r="D213" t="s">
        <v>1596</v>
      </c>
    </row>
    <row r="214" spans="1:4" x14ac:dyDescent="0.25">
      <c r="A214" s="130" t="s">
        <v>1010</v>
      </c>
      <c r="B214" t="s">
        <v>1011</v>
      </c>
      <c r="C214" t="s">
        <v>1595</v>
      </c>
      <c r="D214" t="s">
        <v>1596</v>
      </c>
    </row>
    <row r="215" spans="1:4" x14ac:dyDescent="0.25">
      <c r="A215" s="130" t="s">
        <v>1012</v>
      </c>
      <c r="B215" t="s">
        <v>1013</v>
      </c>
      <c r="C215" t="s">
        <v>1595</v>
      </c>
      <c r="D215" t="s">
        <v>1596</v>
      </c>
    </row>
    <row r="216" spans="1:4" x14ac:dyDescent="0.25">
      <c r="A216" s="130" t="s">
        <v>1014</v>
      </c>
      <c r="B216" t="s">
        <v>1015</v>
      </c>
      <c r="C216" t="s">
        <v>1595</v>
      </c>
      <c r="D216" t="s">
        <v>1596</v>
      </c>
    </row>
    <row r="217" spans="1:4" x14ac:dyDescent="0.25">
      <c r="A217" s="130" t="s">
        <v>1016</v>
      </c>
      <c r="B217" t="s">
        <v>1017</v>
      </c>
      <c r="C217" t="s">
        <v>1595</v>
      </c>
      <c r="D217" t="s">
        <v>1596</v>
      </c>
    </row>
    <row r="218" spans="1:4" x14ac:dyDescent="0.25">
      <c r="A218" s="130" t="s">
        <v>1018</v>
      </c>
      <c r="B218" t="s">
        <v>1019</v>
      </c>
      <c r="C218" t="s">
        <v>1595</v>
      </c>
      <c r="D218" t="s">
        <v>1596</v>
      </c>
    </row>
    <row r="219" spans="1:4" x14ac:dyDescent="0.25">
      <c r="A219" s="130" t="s">
        <v>1020</v>
      </c>
      <c r="B219" t="s">
        <v>1021</v>
      </c>
      <c r="C219" t="s">
        <v>1595</v>
      </c>
      <c r="D219" t="s">
        <v>1596</v>
      </c>
    </row>
    <row r="220" spans="1:4" x14ac:dyDescent="0.25">
      <c r="A220" s="130" t="s">
        <v>1022</v>
      </c>
      <c r="B220" t="s">
        <v>1023</v>
      </c>
      <c r="C220" t="s">
        <v>1595</v>
      </c>
      <c r="D220" t="s">
        <v>1596</v>
      </c>
    </row>
    <row r="221" spans="1:4" x14ac:dyDescent="0.25">
      <c r="A221" s="130" t="s">
        <v>1024</v>
      </c>
      <c r="B221" t="s">
        <v>1025</v>
      </c>
      <c r="C221" t="s">
        <v>1595</v>
      </c>
      <c r="D221" t="s">
        <v>1596</v>
      </c>
    </row>
    <row r="222" spans="1:4" x14ac:dyDescent="0.25">
      <c r="A222" s="130" t="s">
        <v>1026</v>
      </c>
      <c r="B222" t="s">
        <v>1027</v>
      </c>
      <c r="C222" t="s">
        <v>1595</v>
      </c>
      <c r="D222" t="s">
        <v>1596</v>
      </c>
    </row>
    <row r="223" spans="1:4" x14ac:dyDescent="0.25">
      <c r="A223" s="130" t="s">
        <v>1028</v>
      </c>
      <c r="B223" t="s">
        <v>1029</v>
      </c>
      <c r="C223" t="s">
        <v>1595</v>
      </c>
      <c r="D223" t="s">
        <v>1596</v>
      </c>
    </row>
    <row r="224" spans="1:4" x14ac:dyDescent="0.25">
      <c r="A224" s="130" t="s">
        <v>1030</v>
      </c>
      <c r="B224" t="s">
        <v>1031</v>
      </c>
      <c r="C224" t="s">
        <v>1595</v>
      </c>
      <c r="D224" t="s">
        <v>1596</v>
      </c>
    </row>
    <row r="225" spans="1:4" x14ac:dyDescent="0.25">
      <c r="A225" s="130" t="s">
        <v>1032</v>
      </c>
      <c r="B225" t="s">
        <v>1033</v>
      </c>
      <c r="C225" t="s">
        <v>1595</v>
      </c>
      <c r="D225" t="s">
        <v>1596</v>
      </c>
    </row>
    <row r="226" spans="1:4" x14ac:dyDescent="0.25">
      <c r="A226" s="130" t="s">
        <v>1034</v>
      </c>
      <c r="B226" t="s">
        <v>1035</v>
      </c>
      <c r="C226" t="s">
        <v>1595</v>
      </c>
      <c r="D226" t="s">
        <v>1596</v>
      </c>
    </row>
    <row r="227" spans="1:4" x14ac:dyDescent="0.25">
      <c r="A227" s="130" t="s">
        <v>1036</v>
      </c>
      <c r="B227" t="s">
        <v>1037</v>
      </c>
      <c r="C227" t="s">
        <v>1595</v>
      </c>
      <c r="D227" t="s">
        <v>1596</v>
      </c>
    </row>
    <row r="228" spans="1:4" x14ac:dyDescent="0.25">
      <c r="A228" s="130" t="s">
        <v>1038</v>
      </c>
      <c r="B228" t="s">
        <v>1039</v>
      </c>
      <c r="C228" t="s">
        <v>1595</v>
      </c>
      <c r="D228" t="s">
        <v>1596</v>
      </c>
    </row>
    <row r="229" spans="1:4" x14ac:dyDescent="0.25">
      <c r="A229" s="130" t="s">
        <v>1040</v>
      </c>
      <c r="B229" t="s">
        <v>1041</v>
      </c>
      <c r="C229" t="s">
        <v>1595</v>
      </c>
      <c r="D229" t="s">
        <v>1596</v>
      </c>
    </row>
    <row r="230" spans="1:4" x14ac:dyDescent="0.25">
      <c r="A230" s="130" t="s">
        <v>1042</v>
      </c>
      <c r="B230" t="s">
        <v>1043</v>
      </c>
      <c r="C230" t="s">
        <v>1595</v>
      </c>
      <c r="D230" t="s">
        <v>1596</v>
      </c>
    </row>
    <row r="231" spans="1:4" x14ac:dyDescent="0.25">
      <c r="A231" s="130" t="s">
        <v>1044</v>
      </c>
      <c r="B231" t="s">
        <v>1045</v>
      </c>
      <c r="C231" t="s">
        <v>1595</v>
      </c>
      <c r="D231" t="s">
        <v>1596</v>
      </c>
    </row>
    <row r="232" spans="1:4" x14ac:dyDescent="0.25">
      <c r="A232" s="130" t="s">
        <v>1046</v>
      </c>
      <c r="B232" t="s">
        <v>1047</v>
      </c>
      <c r="C232" t="s">
        <v>1595</v>
      </c>
      <c r="D232" t="s">
        <v>1596</v>
      </c>
    </row>
    <row r="233" spans="1:4" x14ac:dyDescent="0.25">
      <c r="A233" s="130" t="s">
        <v>1048</v>
      </c>
      <c r="B233" t="s">
        <v>1049</v>
      </c>
      <c r="C233" t="s">
        <v>1595</v>
      </c>
      <c r="D233" t="s">
        <v>1596</v>
      </c>
    </row>
    <row r="234" spans="1:4" x14ac:dyDescent="0.25">
      <c r="A234" s="130" t="s">
        <v>1050</v>
      </c>
      <c r="B234" t="s">
        <v>1051</v>
      </c>
      <c r="C234" t="s">
        <v>1595</v>
      </c>
      <c r="D234" t="s">
        <v>1596</v>
      </c>
    </row>
    <row r="235" spans="1:4" x14ac:dyDescent="0.25">
      <c r="A235" s="130" t="s">
        <v>1052</v>
      </c>
      <c r="B235" t="s">
        <v>1053</v>
      </c>
      <c r="C235" t="s">
        <v>1595</v>
      </c>
      <c r="D235" t="s">
        <v>1596</v>
      </c>
    </row>
    <row r="236" spans="1:4" x14ac:dyDescent="0.25">
      <c r="A236" s="130" t="s">
        <v>1054</v>
      </c>
      <c r="B236" t="s">
        <v>1055</v>
      </c>
      <c r="C236" t="s">
        <v>1595</v>
      </c>
      <c r="D236" t="s">
        <v>1596</v>
      </c>
    </row>
    <row r="237" spans="1:4" x14ac:dyDescent="0.25">
      <c r="A237" s="130" t="s">
        <v>1056</v>
      </c>
      <c r="B237" t="s">
        <v>1057</v>
      </c>
      <c r="C237" t="s">
        <v>1595</v>
      </c>
      <c r="D237" t="s">
        <v>1596</v>
      </c>
    </row>
    <row r="238" spans="1:4" x14ac:dyDescent="0.25">
      <c r="A238" s="130" t="s">
        <v>1058</v>
      </c>
      <c r="B238" t="s">
        <v>1059</v>
      </c>
      <c r="C238" t="s">
        <v>1595</v>
      </c>
      <c r="D238" t="s">
        <v>1596</v>
      </c>
    </row>
    <row r="239" spans="1:4" x14ac:dyDescent="0.25">
      <c r="A239" s="130" t="s">
        <v>1060</v>
      </c>
      <c r="B239" t="s">
        <v>1061</v>
      </c>
      <c r="C239" t="s">
        <v>1595</v>
      </c>
      <c r="D239" t="s">
        <v>1596</v>
      </c>
    </row>
    <row r="240" spans="1:4" x14ac:dyDescent="0.25">
      <c r="A240" s="130" t="s">
        <v>1062</v>
      </c>
      <c r="B240" t="s">
        <v>1063</v>
      </c>
      <c r="C240" t="s">
        <v>1595</v>
      </c>
      <c r="D240" t="s">
        <v>1596</v>
      </c>
    </row>
    <row r="241" spans="1:4" x14ac:dyDescent="0.25">
      <c r="A241" s="130" t="s">
        <v>1064</v>
      </c>
      <c r="B241" t="s">
        <v>1065</v>
      </c>
      <c r="C241" t="s">
        <v>1595</v>
      </c>
      <c r="D241" t="s">
        <v>1596</v>
      </c>
    </row>
    <row r="242" spans="1:4" x14ac:dyDescent="0.25">
      <c r="A242" s="130" t="s">
        <v>1066</v>
      </c>
      <c r="B242" t="s">
        <v>1067</v>
      </c>
      <c r="C242" t="s">
        <v>1595</v>
      </c>
      <c r="D242" t="s">
        <v>1596</v>
      </c>
    </row>
    <row r="243" spans="1:4" x14ac:dyDescent="0.25">
      <c r="A243" s="130" t="s">
        <v>1068</v>
      </c>
      <c r="B243" t="s">
        <v>1069</v>
      </c>
      <c r="C243" t="s">
        <v>1595</v>
      </c>
      <c r="D243" t="s">
        <v>1596</v>
      </c>
    </row>
    <row r="244" spans="1:4" x14ac:dyDescent="0.25">
      <c r="A244" s="130" t="s">
        <v>1070</v>
      </c>
      <c r="B244" t="s">
        <v>1071</v>
      </c>
      <c r="C244" t="s">
        <v>1595</v>
      </c>
      <c r="D244" t="s">
        <v>1596</v>
      </c>
    </row>
    <row r="245" spans="1:4" x14ac:dyDescent="0.25">
      <c r="A245" s="130" t="s">
        <v>1072</v>
      </c>
      <c r="B245" t="s">
        <v>1073</v>
      </c>
      <c r="C245" t="s">
        <v>1595</v>
      </c>
      <c r="D245" t="s">
        <v>1596</v>
      </c>
    </row>
    <row r="246" spans="1:4" x14ac:dyDescent="0.25">
      <c r="A246" s="130" t="s">
        <v>1074</v>
      </c>
      <c r="B246" t="s">
        <v>1075</v>
      </c>
      <c r="C246" t="s">
        <v>1595</v>
      </c>
      <c r="D246" t="s">
        <v>1596</v>
      </c>
    </row>
    <row r="247" spans="1:4" x14ac:dyDescent="0.25">
      <c r="A247" s="130" t="s">
        <v>1076</v>
      </c>
      <c r="B247" t="s">
        <v>1077</v>
      </c>
      <c r="C247" t="s">
        <v>1595</v>
      </c>
      <c r="D247" t="s">
        <v>1596</v>
      </c>
    </row>
    <row r="248" spans="1:4" x14ac:dyDescent="0.25">
      <c r="A248" s="130" t="s">
        <v>1078</v>
      </c>
      <c r="B248" t="s">
        <v>1079</v>
      </c>
      <c r="C248" t="s">
        <v>1595</v>
      </c>
      <c r="D248" t="s">
        <v>1596</v>
      </c>
    </row>
    <row r="249" spans="1:4" x14ac:dyDescent="0.25">
      <c r="A249" s="130" t="s">
        <v>1080</v>
      </c>
      <c r="B249" t="s">
        <v>1081</v>
      </c>
      <c r="C249" t="s">
        <v>1595</v>
      </c>
      <c r="D249" t="s">
        <v>1596</v>
      </c>
    </row>
    <row r="250" spans="1:4" x14ac:dyDescent="0.25">
      <c r="A250" s="130" t="s">
        <v>1082</v>
      </c>
      <c r="B250" t="s">
        <v>1083</v>
      </c>
      <c r="C250" t="s">
        <v>1595</v>
      </c>
      <c r="D250" t="s">
        <v>1596</v>
      </c>
    </row>
    <row r="251" spans="1:4" x14ac:dyDescent="0.25">
      <c r="A251" s="130" t="s">
        <v>1084</v>
      </c>
      <c r="B251" t="s">
        <v>1085</v>
      </c>
      <c r="C251" t="s">
        <v>1595</v>
      </c>
      <c r="D251" t="s">
        <v>1596</v>
      </c>
    </row>
    <row r="252" spans="1:4" x14ac:dyDescent="0.25">
      <c r="A252" s="130" t="s">
        <v>1086</v>
      </c>
      <c r="B252" t="s">
        <v>1087</v>
      </c>
      <c r="C252" t="s">
        <v>1595</v>
      </c>
      <c r="D252" t="s">
        <v>1596</v>
      </c>
    </row>
    <row r="253" spans="1:4" x14ac:dyDescent="0.25">
      <c r="A253" s="130" t="s">
        <v>1088</v>
      </c>
      <c r="B253" t="s">
        <v>1089</v>
      </c>
      <c r="C253" t="s">
        <v>1595</v>
      </c>
      <c r="D253" t="s">
        <v>1596</v>
      </c>
    </row>
    <row r="254" spans="1:4" x14ac:dyDescent="0.25">
      <c r="A254" s="130" t="s">
        <v>1090</v>
      </c>
      <c r="B254" t="s">
        <v>1091</v>
      </c>
      <c r="C254" t="s">
        <v>1595</v>
      </c>
      <c r="D254" t="s">
        <v>1596</v>
      </c>
    </row>
    <row r="255" spans="1:4" x14ac:dyDescent="0.25">
      <c r="A255" s="130" t="s">
        <v>1092</v>
      </c>
      <c r="B255" t="s">
        <v>1093</v>
      </c>
      <c r="C255" t="s">
        <v>1595</v>
      </c>
      <c r="D255" t="s">
        <v>1596</v>
      </c>
    </row>
    <row r="256" spans="1:4" x14ac:dyDescent="0.25">
      <c r="A256" s="130" t="s">
        <v>1094</v>
      </c>
      <c r="B256" t="s">
        <v>1095</v>
      </c>
      <c r="C256" t="s">
        <v>1595</v>
      </c>
      <c r="D256" t="s">
        <v>1596</v>
      </c>
    </row>
    <row r="257" spans="1:4" x14ac:dyDescent="0.25">
      <c r="A257" s="130" t="s">
        <v>1096</v>
      </c>
      <c r="B257" t="s">
        <v>1097</v>
      </c>
      <c r="C257" t="s">
        <v>1595</v>
      </c>
      <c r="D257" t="s">
        <v>1596</v>
      </c>
    </row>
    <row r="258" spans="1:4" x14ac:dyDescent="0.25">
      <c r="A258" s="130" t="s">
        <v>1098</v>
      </c>
      <c r="B258" t="s">
        <v>1099</v>
      </c>
      <c r="C258" t="s">
        <v>1595</v>
      </c>
      <c r="D258" t="s">
        <v>1596</v>
      </c>
    </row>
    <row r="259" spans="1:4" x14ac:dyDescent="0.25">
      <c r="A259" s="130" t="s">
        <v>1100</v>
      </c>
      <c r="B259" t="s">
        <v>1101</v>
      </c>
      <c r="C259" t="s">
        <v>1595</v>
      </c>
      <c r="D259" t="s">
        <v>1596</v>
      </c>
    </row>
    <row r="260" spans="1:4" x14ac:dyDescent="0.25">
      <c r="A260" s="130" t="s">
        <v>1102</v>
      </c>
      <c r="B260" t="s">
        <v>1103</v>
      </c>
      <c r="C260" t="s">
        <v>1595</v>
      </c>
      <c r="D260" t="s">
        <v>1596</v>
      </c>
    </row>
    <row r="261" spans="1:4" x14ac:dyDescent="0.25">
      <c r="A261" s="130" t="s">
        <v>1104</v>
      </c>
      <c r="B261" t="s">
        <v>1105</v>
      </c>
      <c r="C261" t="s">
        <v>1595</v>
      </c>
      <c r="D261" t="s">
        <v>1596</v>
      </c>
    </row>
    <row r="262" spans="1:4" x14ac:dyDescent="0.25">
      <c r="A262" s="130" t="s">
        <v>1106</v>
      </c>
      <c r="B262" t="s">
        <v>1107</v>
      </c>
      <c r="C262" t="s">
        <v>1595</v>
      </c>
      <c r="D262" t="s">
        <v>1596</v>
      </c>
    </row>
    <row r="263" spans="1:4" x14ac:dyDescent="0.25">
      <c r="A263" s="130" t="s">
        <v>1108</v>
      </c>
      <c r="B263" t="s">
        <v>1109</v>
      </c>
      <c r="C263" t="s">
        <v>1595</v>
      </c>
      <c r="D263" t="s">
        <v>1596</v>
      </c>
    </row>
    <row r="264" spans="1:4" x14ac:dyDescent="0.25">
      <c r="A264" s="130" t="s">
        <v>1110</v>
      </c>
      <c r="B264" t="s">
        <v>1111</v>
      </c>
      <c r="C264" t="s">
        <v>1595</v>
      </c>
      <c r="D264" t="s">
        <v>1596</v>
      </c>
    </row>
    <row r="265" spans="1:4" x14ac:dyDescent="0.25">
      <c r="A265" s="130" t="s">
        <v>1112</v>
      </c>
      <c r="B265" t="s">
        <v>1113</v>
      </c>
      <c r="C265" t="s">
        <v>1595</v>
      </c>
      <c r="D265" t="s">
        <v>1596</v>
      </c>
    </row>
    <row r="266" spans="1:4" x14ac:dyDescent="0.25">
      <c r="A266" s="130" t="s">
        <v>1114</v>
      </c>
      <c r="B266" t="s">
        <v>1115</v>
      </c>
      <c r="C266" t="s">
        <v>1595</v>
      </c>
      <c r="D266" t="s">
        <v>1596</v>
      </c>
    </row>
    <row r="267" spans="1:4" x14ac:dyDescent="0.25">
      <c r="A267" s="130" t="s">
        <v>1116</v>
      </c>
      <c r="B267" t="s">
        <v>1117</v>
      </c>
      <c r="C267" t="s">
        <v>1595</v>
      </c>
      <c r="D267" t="s">
        <v>1596</v>
      </c>
    </row>
    <row r="268" spans="1:4" x14ac:dyDescent="0.25">
      <c r="A268" s="130" t="s">
        <v>1118</v>
      </c>
      <c r="B268" t="s">
        <v>1119</v>
      </c>
      <c r="C268" t="s">
        <v>1595</v>
      </c>
      <c r="D268" t="s">
        <v>1596</v>
      </c>
    </row>
    <row r="269" spans="1:4" x14ac:dyDescent="0.25">
      <c r="A269" s="130" t="s">
        <v>1120</v>
      </c>
      <c r="B269" t="s">
        <v>1121</v>
      </c>
      <c r="C269" t="s">
        <v>1595</v>
      </c>
      <c r="D269" t="s">
        <v>1596</v>
      </c>
    </row>
    <row r="270" spans="1:4" x14ac:dyDescent="0.25">
      <c r="A270" s="130" t="s">
        <v>1122</v>
      </c>
      <c r="B270" t="s">
        <v>1123</v>
      </c>
      <c r="C270" t="s">
        <v>1595</v>
      </c>
      <c r="D270" t="s">
        <v>1596</v>
      </c>
    </row>
    <row r="271" spans="1:4" x14ac:dyDescent="0.25">
      <c r="A271" s="130" t="s">
        <v>1124</v>
      </c>
      <c r="B271" t="s">
        <v>1125</v>
      </c>
      <c r="C271" t="s">
        <v>1595</v>
      </c>
      <c r="D271" t="s">
        <v>1596</v>
      </c>
    </row>
    <row r="272" spans="1:4" x14ac:dyDescent="0.25">
      <c r="A272" s="130" t="s">
        <v>1126</v>
      </c>
      <c r="B272" t="s">
        <v>1127</v>
      </c>
      <c r="C272" t="s">
        <v>1595</v>
      </c>
      <c r="D272" t="s">
        <v>1596</v>
      </c>
    </row>
    <row r="273" spans="1:4" x14ac:dyDescent="0.25">
      <c r="A273" s="130" t="s">
        <v>1128</v>
      </c>
      <c r="B273" t="s">
        <v>1129</v>
      </c>
      <c r="C273" t="s">
        <v>1595</v>
      </c>
      <c r="D273" t="s">
        <v>1596</v>
      </c>
    </row>
    <row r="274" spans="1:4" x14ac:dyDescent="0.25">
      <c r="A274" s="130" t="s">
        <v>1130</v>
      </c>
      <c r="B274" t="s">
        <v>1131</v>
      </c>
      <c r="C274" t="s">
        <v>1595</v>
      </c>
      <c r="D274" t="s">
        <v>1596</v>
      </c>
    </row>
    <row r="275" spans="1:4" x14ac:dyDescent="0.25">
      <c r="A275" s="130" t="s">
        <v>1132</v>
      </c>
      <c r="B275" t="s">
        <v>1133</v>
      </c>
      <c r="C275" t="s">
        <v>1595</v>
      </c>
      <c r="D275" t="s">
        <v>1596</v>
      </c>
    </row>
    <row r="276" spans="1:4" x14ac:dyDescent="0.25">
      <c r="A276" s="130" t="s">
        <v>1134</v>
      </c>
      <c r="B276" t="s">
        <v>1135</v>
      </c>
      <c r="C276" t="s">
        <v>1595</v>
      </c>
      <c r="D276" t="s">
        <v>1596</v>
      </c>
    </row>
    <row r="277" spans="1:4" x14ac:dyDescent="0.25">
      <c r="A277" s="130" t="s">
        <v>1136</v>
      </c>
      <c r="B277" t="s">
        <v>1137</v>
      </c>
      <c r="C277" t="s">
        <v>1595</v>
      </c>
      <c r="D277" t="s">
        <v>1596</v>
      </c>
    </row>
    <row r="278" spans="1:4" x14ac:dyDescent="0.25">
      <c r="A278" s="130" t="s">
        <v>1138</v>
      </c>
      <c r="B278" t="s">
        <v>1139</v>
      </c>
      <c r="C278" t="s">
        <v>1595</v>
      </c>
      <c r="D278" t="s">
        <v>1596</v>
      </c>
    </row>
    <row r="279" spans="1:4" x14ac:dyDescent="0.25">
      <c r="A279" s="130" t="s">
        <v>1140</v>
      </c>
      <c r="B279" t="s">
        <v>1141</v>
      </c>
      <c r="C279" t="s">
        <v>1595</v>
      </c>
      <c r="D279" t="s">
        <v>1596</v>
      </c>
    </row>
    <row r="280" spans="1:4" x14ac:dyDescent="0.25">
      <c r="A280" s="130" t="s">
        <v>820</v>
      </c>
      <c r="B280" t="s">
        <v>821</v>
      </c>
      <c r="C280" t="s">
        <v>1595</v>
      </c>
      <c r="D280" t="s">
        <v>1596</v>
      </c>
    </row>
    <row r="281" spans="1:4" x14ac:dyDescent="0.25">
      <c r="A281" s="130" t="s">
        <v>1142</v>
      </c>
      <c r="B281" t="s">
        <v>1143</v>
      </c>
      <c r="C281" t="s">
        <v>1595</v>
      </c>
      <c r="D281" t="s">
        <v>1596</v>
      </c>
    </row>
    <row r="282" spans="1:4" x14ac:dyDescent="0.25">
      <c r="A282" s="130" t="s">
        <v>802</v>
      </c>
      <c r="B282" t="s">
        <v>803</v>
      </c>
      <c r="C282" t="s">
        <v>1595</v>
      </c>
      <c r="D282" t="s">
        <v>1596</v>
      </c>
    </row>
    <row r="283" spans="1:4" x14ac:dyDescent="0.25">
      <c r="A283" s="130" t="s">
        <v>822</v>
      </c>
      <c r="B283" t="s">
        <v>823</v>
      </c>
      <c r="C283" t="s">
        <v>1595</v>
      </c>
      <c r="D283" t="s">
        <v>1596</v>
      </c>
    </row>
    <row r="284" spans="1:4" x14ac:dyDescent="0.25">
      <c r="A284" s="130" t="s">
        <v>1144</v>
      </c>
      <c r="B284" t="s">
        <v>1145</v>
      </c>
      <c r="C284" t="s">
        <v>1595</v>
      </c>
      <c r="D284" t="s">
        <v>1596</v>
      </c>
    </row>
    <row r="285" spans="1:4" x14ac:dyDescent="0.25">
      <c r="A285" s="130" t="s">
        <v>1146</v>
      </c>
      <c r="B285" t="s">
        <v>1147</v>
      </c>
      <c r="C285" t="s">
        <v>1595</v>
      </c>
      <c r="D285" t="s">
        <v>1596</v>
      </c>
    </row>
    <row r="286" spans="1:4" x14ac:dyDescent="0.25">
      <c r="A286" s="130" t="s">
        <v>1148</v>
      </c>
      <c r="B286" t="s">
        <v>1149</v>
      </c>
      <c r="C286" t="s">
        <v>1595</v>
      </c>
      <c r="D286" t="s">
        <v>1596</v>
      </c>
    </row>
    <row r="287" spans="1:4" x14ac:dyDescent="0.25">
      <c r="A287" s="130" t="s">
        <v>1150</v>
      </c>
      <c r="B287" t="s">
        <v>1151</v>
      </c>
      <c r="C287" t="s">
        <v>1595</v>
      </c>
      <c r="D287" t="s">
        <v>1596</v>
      </c>
    </row>
    <row r="288" spans="1:4" x14ac:dyDescent="0.25">
      <c r="A288" s="130" t="s">
        <v>1152</v>
      </c>
      <c r="B288" t="s">
        <v>1153</v>
      </c>
      <c r="C288" t="s">
        <v>1595</v>
      </c>
      <c r="D288" t="s">
        <v>1596</v>
      </c>
    </row>
    <row r="289" spans="1:4" x14ac:dyDescent="0.25">
      <c r="A289" s="130" t="s">
        <v>1154</v>
      </c>
      <c r="B289" t="s">
        <v>1155</v>
      </c>
      <c r="C289" t="s">
        <v>1595</v>
      </c>
      <c r="D289" t="s">
        <v>1596</v>
      </c>
    </row>
    <row r="290" spans="1:4" x14ac:dyDescent="0.25">
      <c r="A290" s="130" t="s">
        <v>1156</v>
      </c>
      <c r="B290" t="s">
        <v>1157</v>
      </c>
      <c r="C290" t="s">
        <v>1595</v>
      </c>
      <c r="D290" t="s">
        <v>1596</v>
      </c>
    </row>
    <row r="291" spans="1:4" x14ac:dyDescent="0.25">
      <c r="A291" s="130" t="s">
        <v>1158</v>
      </c>
      <c r="B291" t="s">
        <v>1159</v>
      </c>
      <c r="C291" t="s">
        <v>1595</v>
      </c>
      <c r="D291" t="s">
        <v>1596</v>
      </c>
    </row>
    <row r="292" spans="1:4" x14ac:dyDescent="0.25">
      <c r="A292" s="130" t="s">
        <v>1160</v>
      </c>
      <c r="B292" t="s">
        <v>1161</v>
      </c>
      <c r="C292" t="s">
        <v>1595</v>
      </c>
      <c r="D292" t="s">
        <v>1596</v>
      </c>
    </row>
    <row r="293" spans="1:4" x14ac:dyDescent="0.25">
      <c r="A293" s="130" t="s">
        <v>1162</v>
      </c>
      <c r="B293" t="s">
        <v>1163</v>
      </c>
      <c r="C293" t="s">
        <v>1595</v>
      </c>
      <c r="D293" t="s">
        <v>1596</v>
      </c>
    </row>
    <row r="294" spans="1:4" x14ac:dyDescent="0.25">
      <c r="A294" s="130" t="s">
        <v>1164</v>
      </c>
      <c r="B294" t="s">
        <v>1165</v>
      </c>
      <c r="C294" t="s">
        <v>1595</v>
      </c>
      <c r="D294" t="s">
        <v>1596</v>
      </c>
    </row>
    <row r="295" spans="1:4" x14ac:dyDescent="0.25">
      <c r="A295" s="130" t="s">
        <v>1166</v>
      </c>
      <c r="B295" t="s">
        <v>1167</v>
      </c>
      <c r="C295" t="s">
        <v>1595</v>
      </c>
      <c r="D295" t="s">
        <v>1596</v>
      </c>
    </row>
    <row r="296" spans="1:4" x14ac:dyDescent="0.25">
      <c r="A296" s="130" t="s">
        <v>1168</v>
      </c>
      <c r="B296" t="s">
        <v>1169</v>
      </c>
      <c r="C296" t="s">
        <v>1595</v>
      </c>
      <c r="D296" t="s">
        <v>1596</v>
      </c>
    </row>
    <row r="297" spans="1:4" x14ac:dyDescent="0.25">
      <c r="A297" s="130" t="s">
        <v>1170</v>
      </c>
      <c r="B297" t="s">
        <v>1171</v>
      </c>
      <c r="C297" t="s">
        <v>1595</v>
      </c>
      <c r="D297" t="s">
        <v>1596</v>
      </c>
    </row>
    <row r="298" spans="1:4" x14ac:dyDescent="0.25">
      <c r="A298" s="130" t="s">
        <v>1172</v>
      </c>
      <c r="B298" t="s">
        <v>1173</v>
      </c>
      <c r="C298" t="s">
        <v>1595</v>
      </c>
      <c r="D298" t="s">
        <v>1596</v>
      </c>
    </row>
    <row r="299" spans="1:4" x14ac:dyDescent="0.25">
      <c r="A299" s="130" t="s">
        <v>1174</v>
      </c>
      <c r="B299" t="s">
        <v>1175</v>
      </c>
      <c r="C299" t="s">
        <v>1595</v>
      </c>
      <c r="D299" t="s">
        <v>1596</v>
      </c>
    </row>
    <row r="300" spans="1:4" x14ac:dyDescent="0.25">
      <c r="A300" s="130" t="s">
        <v>806</v>
      </c>
      <c r="B300" t="s">
        <v>807</v>
      </c>
      <c r="C300" t="s">
        <v>1595</v>
      </c>
      <c r="D300" t="s">
        <v>1596</v>
      </c>
    </row>
    <row r="301" spans="1:4" x14ac:dyDescent="0.25">
      <c r="A301" s="130" t="s">
        <v>1176</v>
      </c>
      <c r="B301" t="s">
        <v>1177</v>
      </c>
      <c r="C301" t="s">
        <v>1595</v>
      </c>
      <c r="D301" t="s">
        <v>1596</v>
      </c>
    </row>
    <row r="302" spans="1:4" x14ac:dyDescent="0.25">
      <c r="A302" s="130" t="s">
        <v>1178</v>
      </c>
      <c r="B302" t="s">
        <v>1179</v>
      </c>
      <c r="C302" t="s">
        <v>1595</v>
      </c>
      <c r="D302" t="s">
        <v>1596</v>
      </c>
    </row>
    <row r="303" spans="1:4" x14ac:dyDescent="0.25">
      <c r="A303" s="130" t="s">
        <v>1180</v>
      </c>
      <c r="B303" t="s">
        <v>1181</v>
      </c>
      <c r="C303" t="s">
        <v>1595</v>
      </c>
      <c r="D303" t="s">
        <v>1596</v>
      </c>
    </row>
    <row r="304" spans="1:4" x14ac:dyDescent="0.25">
      <c r="A304" s="130" t="s">
        <v>1182</v>
      </c>
      <c r="B304" t="s">
        <v>1183</v>
      </c>
      <c r="C304" t="s">
        <v>1595</v>
      </c>
      <c r="D304" t="s">
        <v>1596</v>
      </c>
    </row>
    <row r="305" spans="1:4" x14ac:dyDescent="0.25">
      <c r="A305" s="130" t="s">
        <v>1184</v>
      </c>
      <c r="B305" t="s">
        <v>1185</v>
      </c>
      <c r="C305" t="s">
        <v>1595</v>
      </c>
      <c r="D305" t="s">
        <v>1596</v>
      </c>
    </row>
    <row r="306" spans="1:4" x14ac:dyDescent="0.25">
      <c r="A306" s="130" t="s">
        <v>860</v>
      </c>
      <c r="B306" t="s">
        <v>861</v>
      </c>
      <c r="C306" t="s">
        <v>1595</v>
      </c>
      <c r="D306" t="s">
        <v>1596</v>
      </c>
    </row>
    <row r="307" spans="1:4" x14ac:dyDescent="0.25">
      <c r="A307" s="130" t="s">
        <v>1186</v>
      </c>
      <c r="B307" t="s">
        <v>1187</v>
      </c>
      <c r="C307" t="s">
        <v>1595</v>
      </c>
      <c r="D307" t="s">
        <v>1596</v>
      </c>
    </row>
    <row r="308" spans="1:4" x14ac:dyDescent="0.25">
      <c r="A308" s="130" t="s">
        <v>1188</v>
      </c>
      <c r="B308" t="s">
        <v>1189</v>
      </c>
      <c r="C308" t="s">
        <v>1595</v>
      </c>
      <c r="D308" t="s">
        <v>1596</v>
      </c>
    </row>
    <row r="309" spans="1:4" x14ac:dyDescent="0.25">
      <c r="A309" s="130" t="s">
        <v>1190</v>
      </c>
      <c r="B309" t="s">
        <v>1191</v>
      </c>
      <c r="C309" t="s">
        <v>1595</v>
      </c>
      <c r="D309" t="s">
        <v>1596</v>
      </c>
    </row>
    <row r="310" spans="1:4" x14ac:dyDescent="0.25">
      <c r="A310" s="130" t="s">
        <v>1192</v>
      </c>
      <c r="B310" t="s">
        <v>1193</v>
      </c>
      <c r="C310" t="s">
        <v>1595</v>
      </c>
      <c r="D310" t="s">
        <v>1596</v>
      </c>
    </row>
    <row r="311" spans="1:4" x14ac:dyDescent="0.25">
      <c r="A311" s="130" t="s">
        <v>1194</v>
      </c>
      <c r="B311" t="s">
        <v>1195</v>
      </c>
      <c r="C311" t="s">
        <v>1595</v>
      </c>
      <c r="D311" t="s">
        <v>1596</v>
      </c>
    </row>
    <row r="312" spans="1:4" x14ac:dyDescent="0.25">
      <c r="A312" s="130" t="s">
        <v>1196</v>
      </c>
      <c r="B312" t="s">
        <v>1197</v>
      </c>
      <c r="C312" t="s">
        <v>1595</v>
      </c>
      <c r="D312" t="s">
        <v>1596</v>
      </c>
    </row>
    <row r="313" spans="1:4" x14ac:dyDescent="0.25">
      <c r="A313" s="130" t="s">
        <v>1198</v>
      </c>
      <c r="B313" t="s">
        <v>1199</v>
      </c>
      <c r="C313" t="s">
        <v>1595</v>
      </c>
      <c r="D313" t="s">
        <v>1596</v>
      </c>
    </row>
    <row r="314" spans="1:4" x14ac:dyDescent="0.25">
      <c r="A314" s="130" t="s">
        <v>1200</v>
      </c>
      <c r="B314" t="s">
        <v>1201</v>
      </c>
      <c r="C314" t="s">
        <v>1595</v>
      </c>
      <c r="D314" t="s">
        <v>1596</v>
      </c>
    </row>
    <row r="315" spans="1:4" x14ac:dyDescent="0.25">
      <c r="A315" s="130" t="s">
        <v>1202</v>
      </c>
      <c r="B315" t="s">
        <v>1203</v>
      </c>
      <c r="C315" t="s">
        <v>1595</v>
      </c>
      <c r="D315" t="s">
        <v>1596</v>
      </c>
    </row>
    <row r="316" spans="1:4" x14ac:dyDescent="0.25">
      <c r="A316" s="130" t="s">
        <v>1204</v>
      </c>
      <c r="B316" t="s">
        <v>1205</v>
      </c>
      <c r="C316" t="s">
        <v>1595</v>
      </c>
      <c r="D316" t="s">
        <v>1596</v>
      </c>
    </row>
    <row r="317" spans="1:4" x14ac:dyDescent="0.25">
      <c r="A317" s="130" t="s">
        <v>1206</v>
      </c>
      <c r="B317" t="s">
        <v>1207</v>
      </c>
      <c r="C317" t="s">
        <v>1595</v>
      </c>
      <c r="D317" t="s">
        <v>1596</v>
      </c>
    </row>
    <row r="318" spans="1:4" x14ac:dyDescent="0.25">
      <c r="A318" s="130" t="s">
        <v>1208</v>
      </c>
      <c r="B318" t="s">
        <v>1209</v>
      </c>
      <c r="C318" t="s">
        <v>1595</v>
      </c>
      <c r="D318" t="s">
        <v>1596</v>
      </c>
    </row>
    <row r="319" spans="1:4" x14ac:dyDescent="0.25">
      <c r="A319" s="130" t="s">
        <v>1210</v>
      </c>
      <c r="B319" t="s">
        <v>1211</v>
      </c>
      <c r="C319" t="s">
        <v>1595</v>
      </c>
      <c r="D319" t="s">
        <v>1596</v>
      </c>
    </row>
    <row r="320" spans="1:4" x14ac:dyDescent="0.25">
      <c r="A320" s="130" t="s">
        <v>810</v>
      </c>
      <c r="B320" t="s">
        <v>811</v>
      </c>
      <c r="C320" t="s">
        <v>1595</v>
      </c>
      <c r="D320" t="s">
        <v>1596</v>
      </c>
    </row>
    <row r="321" spans="1:4" x14ac:dyDescent="0.25">
      <c r="A321" s="130" t="s">
        <v>816</v>
      </c>
      <c r="B321" t="s">
        <v>817</v>
      </c>
      <c r="C321" t="s">
        <v>1595</v>
      </c>
      <c r="D321" t="s">
        <v>1596</v>
      </c>
    </row>
    <row r="322" spans="1:4" x14ac:dyDescent="0.25">
      <c r="A322" s="130" t="s">
        <v>846</v>
      </c>
      <c r="B322" t="s">
        <v>847</v>
      </c>
      <c r="C322" t="s">
        <v>1595</v>
      </c>
      <c r="D322" t="s">
        <v>1596</v>
      </c>
    </row>
    <row r="323" spans="1:4" x14ac:dyDescent="0.25">
      <c r="A323" s="130" t="s">
        <v>848</v>
      </c>
      <c r="B323" t="s">
        <v>849</v>
      </c>
      <c r="C323" t="s">
        <v>1595</v>
      </c>
      <c r="D323" t="s">
        <v>1596</v>
      </c>
    </row>
    <row r="324" spans="1:4" x14ac:dyDescent="0.25">
      <c r="A324" s="130" t="s">
        <v>1212</v>
      </c>
      <c r="B324" t="s">
        <v>1213</v>
      </c>
      <c r="C324" t="s">
        <v>1595</v>
      </c>
      <c r="D324" t="s">
        <v>1596</v>
      </c>
    </row>
    <row r="325" spans="1:4" x14ac:dyDescent="0.25">
      <c r="A325" s="130" t="s">
        <v>1214</v>
      </c>
      <c r="B325" t="s">
        <v>1215</v>
      </c>
      <c r="C325" t="s">
        <v>1595</v>
      </c>
      <c r="D325" t="s">
        <v>1596</v>
      </c>
    </row>
    <row r="326" spans="1:4" x14ac:dyDescent="0.25">
      <c r="A326" s="130" t="s">
        <v>1216</v>
      </c>
      <c r="B326" t="s">
        <v>1217</v>
      </c>
      <c r="C326" t="s">
        <v>1595</v>
      </c>
      <c r="D326" t="s">
        <v>1596</v>
      </c>
    </row>
    <row r="327" spans="1:4" x14ac:dyDescent="0.25">
      <c r="A327" s="130" t="s">
        <v>1218</v>
      </c>
      <c r="B327" t="s">
        <v>1219</v>
      </c>
      <c r="C327" t="s">
        <v>1595</v>
      </c>
      <c r="D327" t="s">
        <v>1596</v>
      </c>
    </row>
    <row r="328" spans="1:4" x14ac:dyDescent="0.25">
      <c r="A328" s="130" t="s">
        <v>1220</v>
      </c>
      <c r="B328" t="s">
        <v>1221</v>
      </c>
      <c r="C328" t="s">
        <v>1595</v>
      </c>
      <c r="D328" t="s">
        <v>1596</v>
      </c>
    </row>
    <row r="329" spans="1:4" x14ac:dyDescent="0.25">
      <c r="A329" s="130" t="s">
        <v>1222</v>
      </c>
      <c r="B329" t="s">
        <v>1223</v>
      </c>
      <c r="C329" t="s">
        <v>1595</v>
      </c>
      <c r="D329" t="s">
        <v>1596</v>
      </c>
    </row>
    <row r="330" spans="1:4" x14ac:dyDescent="0.25">
      <c r="A330" s="130" t="s">
        <v>1224</v>
      </c>
      <c r="B330" t="s">
        <v>1225</v>
      </c>
      <c r="C330" t="s">
        <v>1595</v>
      </c>
      <c r="D330" t="s">
        <v>1596</v>
      </c>
    </row>
    <row r="331" spans="1:4" x14ac:dyDescent="0.25">
      <c r="A331" s="130" t="s">
        <v>1226</v>
      </c>
      <c r="B331" t="s">
        <v>1227</v>
      </c>
      <c r="C331" t="s">
        <v>1595</v>
      </c>
      <c r="D331" t="s">
        <v>1596</v>
      </c>
    </row>
    <row r="332" spans="1:4" x14ac:dyDescent="0.25">
      <c r="A332" s="130" t="s">
        <v>1228</v>
      </c>
      <c r="B332" t="s">
        <v>1229</v>
      </c>
      <c r="C332" t="s">
        <v>1595</v>
      </c>
      <c r="D332" t="s">
        <v>1596</v>
      </c>
    </row>
    <row r="333" spans="1:4" x14ac:dyDescent="0.25">
      <c r="A333" s="130" t="s">
        <v>1230</v>
      </c>
      <c r="B333" t="s">
        <v>1231</v>
      </c>
      <c r="C333" t="s">
        <v>1595</v>
      </c>
      <c r="D333" t="s">
        <v>1596</v>
      </c>
    </row>
    <row r="334" spans="1:4" x14ac:dyDescent="0.25">
      <c r="A334" s="130" t="s">
        <v>1232</v>
      </c>
      <c r="B334" t="s">
        <v>1233</v>
      </c>
      <c r="C334" t="s">
        <v>1595</v>
      </c>
      <c r="D334" t="s">
        <v>1596</v>
      </c>
    </row>
    <row r="335" spans="1:4" x14ac:dyDescent="0.25">
      <c r="A335" s="130" t="s">
        <v>1234</v>
      </c>
      <c r="B335" t="s">
        <v>1235</v>
      </c>
      <c r="C335" t="s">
        <v>1595</v>
      </c>
      <c r="D335" t="s">
        <v>1596</v>
      </c>
    </row>
    <row r="336" spans="1:4" x14ac:dyDescent="0.25">
      <c r="A336" s="130" t="s">
        <v>1236</v>
      </c>
      <c r="B336" t="s">
        <v>1237</v>
      </c>
      <c r="C336" t="s">
        <v>1595</v>
      </c>
      <c r="D336" t="s">
        <v>1596</v>
      </c>
    </row>
    <row r="337" spans="1:4" x14ac:dyDescent="0.25">
      <c r="A337" s="130" t="s">
        <v>1238</v>
      </c>
      <c r="B337" t="s">
        <v>1239</v>
      </c>
      <c r="C337" t="s">
        <v>1595</v>
      </c>
      <c r="D337" t="s">
        <v>1596</v>
      </c>
    </row>
    <row r="338" spans="1:4" x14ac:dyDescent="0.25">
      <c r="A338" s="130" t="s">
        <v>1240</v>
      </c>
      <c r="B338" t="s">
        <v>1241</v>
      </c>
      <c r="C338" t="s">
        <v>1595</v>
      </c>
      <c r="D338" t="s">
        <v>1596</v>
      </c>
    </row>
    <row r="339" spans="1:4" x14ac:dyDescent="0.25">
      <c r="A339" s="130" t="s">
        <v>1242</v>
      </c>
      <c r="B339" t="s">
        <v>1243</v>
      </c>
      <c r="C339" t="s">
        <v>1595</v>
      </c>
      <c r="D339" t="s">
        <v>1596</v>
      </c>
    </row>
    <row r="340" spans="1:4" x14ac:dyDescent="0.25">
      <c r="A340" s="130" t="s">
        <v>1244</v>
      </c>
      <c r="B340" t="s">
        <v>1245</v>
      </c>
      <c r="C340" t="s">
        <v>1595</v>
      </c>
      <c r="D340" t="s">
        <v>1596</v>
      </c>
    </row>
    <row r="341" spans="1:4" x14ac:dyDescent="0.25">
      <c r="A341" s="130" t="s">
        <v>1246</v>
      </c>
      <c r="B341" t="s">
        <v>1247</v>
      </c>
      <c r="C341" t="s">
        <v>1595</v>
      </c>
      <c r="D341" t="s">
        <v>1596</v>
      </c>
    </row>
    <row r="342" spans="1:4" x14ac:dyDescent="0.25">
      <c r="A342" s="130" t="s">
        <v>1248</v>
      </c>
      <c r="B342" t="s">
        <v>1249</v>
      </c>
      <c r="C342" t="s">
        <v>1595</v>
      </c>
      <c r="D342" t="s">
        <v>1596</v>
      </c>
    </row>
    <row r="343" spans="1:4" x14ac:dyDescent="0.25">
      <c r="A343" s="130" t="s">
        <v>1250</v>
      </c>
      <c r="B343" t="s">
        <v>1251</v>
      </c>
      <c r="C343" t="s">
        <v>1595</v>
      </c>
      <c r="D343" t="s">
        <v>1596</v>
      </c>
    </row>
    <row r="344" spans="1:4" x14ac:dyDescent="0.25">
      <c r="A344" s="130" t="s">
        <v>1252</v>
      </c>
      <c r="B344" t="s">
        <v>1253</v>
      </c>
      <c r="C344" t="s">
        <v>1595</v>
      </c>
      <c r="D344" t="s">
        <v>1596</v>
      </c>
    </row>
    <row r="345" spans="1:4" x14ac:dyDescent="0.25">
      <c r="A345" s="130" t="s">
        <v>1254</v>
      </c>
      <c r="B345" t="s">
        <v>1255</v>
      </c>
      <c r="C345" t="s">
        <v>1595</v>
      </c>
      <c r="D345" t="s">
        <v>1596</v>
      </c>
    </row>
    <row r="346" spans="1:4" x14ac:dyDescent="0.25">
      <c r="A346" s="130" t="s">
        <v>1256</v>
      </c>
      <c r="B346" t="s">
        <v>1257</v>
      </c>
      <c r="C346" t="s">
        <v>1595</v>
      </c>
      <c r="D346" t="s">
        <v>1596</v>
      </c>
    </row>
    <row r="347" spans="1:4" x14ac:dyDescent="0.25">
      <c r="A347" s="130" t="s">
        <v>1258</v>
      </c>
      <c r="B347" t="s">
        <v>1259</v>
      </c>
      <c r="C347" t="s">
        <v>1595</v>
      </c>
      <c r="D347" t="s">
        <v>1596</v>
      </c>
    </row>
    <row r="348" spans="1:4" x14ac:dyDescent="0.25">
      <c r="A348" s="130" t="s">
        <v>1260</v>
      </c>
      <c r="B348" t="s">
        <v>1261</v>
      </c>
      <c r="C348" t="s">
        <v>1595</v>
      </c>
      <c r="D348" t="s">
        <v>1596</v>
      </c>
    </row>
    <row r="349" spans="1:4" x14ac:dyDescent="0.25">
      <c r="A349" s="130" t="s">
        <v>1262</v>
      </c>
      <c r="B349" t="s">
        <v>1263</v>
      </c>
      <c r="C349" t="s">
        <v>1595</v>
      </c>
      <c r="D349" t="s">
        <v>1596</v>
      </c>
    </row>
    <row r="350" spans="1:4" x14ac:dyDescent="0.25">
      <c r="A350" s="130" t="s">
        <v>1264</v>
      </c>
      <c r="B350" t="s">
        <v>1265</v>
      </c>
      <c r="C350" t="s">
        <v>1595</v>
      </c>
      <c r="D350" t="s">
        <v>1596</v>
      </c>
    </row>
    <row r="351" spans="1:4" x14ac:dyDescent="0.25">
      <c r="A351" s="130" t="s">
        <v>1266</v>
      </c>
      <c r="B351" t="s">
        <v>1267</v>
      </c>
      <c r="C351" t="s">
        <v>1595</v>
      </c>
      <c r="D351" t="s">
        <v>1596</v>
      </c>
    </row>
    <row r="352" spans="1:4" x14ac:dyDescent="0.25">
      <c r="A352" s="130" t="s">
        <v>1268</v>
      </c>
      <c r="B352" t="s">
        <v>1269</v>
      </c>
      <c r="C352" t="s">
        <v>1595</v>
      </c>
      <c r="D352" t="s">
        <v>1596</v>
      </c>
    </row>
    <row r="353" spans="1:4" x14ac:dyDescent="0.25">
      <c r="A353" s="130" t="s">
        <v>1270</v>
      </c>
      <c r="B353" t="s">
        <v>1271</v>
      </c>
      <c r="C353" t="s">
        <v>1595</v>
      </c>
      <c r="D353" t="s">
        <v>1596</v>
      </c>
    </row>
    <row r="354" spans="1:4" x14ac:dyDescent="0.25">
      <c r="A354" s="130" t="s">
        <v>1272</v>
      </c>
      <c r="B354" t="s">
        <v>1273</v>
      </c>
      <c r="C354" t="s">
        <v>1595</v>
      </c>
      <c r="D354" t="s">
        <v>1596</v>
      </c>
    </row>
    <row r="355" spans="1:4" x14ac:dyDescent="0.25">
      <c r="A355" s="130" t="s">
        <v>1274</v>
      </c>
      <c r="B355" t="s">
        <v>1275</v>
      </c>
      <c r="C355" t="s">
        <v>1595</v>
      </c>
      <c r="D355" t="s">
        <v>1596</v>
      </c>
    </row>
    <row r="356" spans="1:4" x14ac:dyDescent="0.25">
      <c r="A356" s="130" t="s">
        <v>1276</v>
      </c>
      <c r="B356" t="s">
        <v>1277</v>
      </c>
      <c r="C356" t="s">
        <v>1595</v>
      </c>
      <c r="D356" t="s">
        <v>1596</v>
      </c>
    </row>
    <row r="357" spans="1:4" x14ac:dyDescent="0.25">
      <c r="A357" s="130" t="s">
        <v>1278</v>
      </c>
      <c r="B357" t="s">
        <v>1279</v>
      </c>
      <c r="C357" t="s">
        <v>1595</v>
      </c>
      <c r="D357" t="s">
        <v>1596</v>
      </c>
    </row>
    <row r="358" spans="1:4" x14ac:dyDescent="0.25">
      <c r="A358" s="130" t="s">
        <v>1280</v>
      </c>
      <c r="B358" t="s">
        <v>1281</v>
      </c>
      <c r="C358" t="s">
        <v>1595</v>
      </c>
      <c r="D358" t="s">
        <v>1596</v>
      </c>
    </row>
    <row r="359" spans="1:4" x14ac:dyDescent="0.25">
      <c r="A359" s="130" t="s">
        <v>1282</v>
      </c>
      <c r="B359" t="s">
        <v>1283</v>
      </c>
      <c r="C359" t="s">
        <v>1595</v>
      </c>
      <c r="D359" t="s">
        <v>1596</v>
      </c>
    </row>
    <row r="360" spans="1:4" x14ac:dyDescent="0.25">
      <c r="A360" s="130" t="s">
        <v>1284</v>
      </c>
      <c r="B360" t="s">
        <v>1285</v>
      </c>
      <c r="C360" t="s">
        <v>1595</v>
      </c>
      <c r="D360" t="s">
        <v>1596</v>
      </c>
    </row>
    <row r="361" spans="1:4" x14ac:dyDescent="0.25">
      <c r="A361" s="130" t="s">
        <v>1286</v>
      </c>
      <c r="B361" t="s">
        <v>1287</v>
      </c>
      <c r="C361" t="s">
        <v>1595</v>
      </c>
      <c r="D361" t="s">
        <v>1596</v>
      </c>
    </row>
    <row r="362" spans="1:4" x14ac:dyDescent="0.25">
      <c r="A362" s="130" t="s">
        <v>1288</v>
      </c>
      <c r="B362" t="s">
        <v>1289</v>
      </c>
      <c r="C362" t="s">
        <v>1595</v>
      </c>
      <c r="D362" t="s">
        <v>1596</v>
      </c>
    </row>
    <row r="363" spans="1:4" x14ac:dyDescent="0.25">
      <c r="A363" s="130" t="s">
        <v>1290</v>
      </c>
      <c r="B363" t="s">
        <v>1291</v>
      </c>
      <c r="C363" t="s">
        <v>1595</v>
      </c>
      <c r="D363" t="s">
        <v>1596</v>
      </c>
    </row>
    <row r="364" spans="1:4" x14ac:dyDescent="0.25">
      <c r="A364" s="130" t="s">
        <v>1292</v>
      </c>
      <c r="B364" t="s">
        <v>1293</v>
      </c>
      <c r="C364" t="s">
        <v>1595</v>
      </c>
      <c r="D364" t="s">
        <v>1596</v>
      </c>
    </row>
    <row r="365" spans="1:4" x14ac:dyDescent="0.25">
      <c r="A365" s="130" t="s">
        <v>1294</v>
      </c>
      <c r="B365" t="s">
        <v>1295</v>
      </c>
      <c r="C365" t="s">
        <v>1595</v>
      </c>
      <c r="D365" t="s">
        <v>1596</v>
      </c>
    </row>
    <row r="366" spans="1:4" x14ac:dyDescent="0.25">
      <c r="A366" s="130" t="s">
        <v>1296</v>
      </c>
      <c r="B366" t="s">
        <v>1297</v>
      </c>
      <c r="C366" t="s">
        <v>1595</v>
      </c>
      <c r="D366" t="s">
        <v>1596</v>
      </c>
    </row>
    <row r="367" spans="1:4" x14ac:dyDescent="0.25">
      <c r="A367" s="130" t="s">
        <v>1298</v>
      </c>
      <c r="B367" t="s">
        <v>1299</v>
      </c>
      <c r="C367" t="s">
        <v>1595</v>
      </c>
      <c r="D367" t="s">
        <v>1596</v>
      </c>
    </row>
    <row r="368" spans="1:4" x14ac:dyDescent="0.25">
      <c r="A368" s="130" t="s">
        <v>1300</v>
      </c>
      <c r="B368" t="s">
        <v>1301</v>
      </c>
      <c r="C368" t="s">
        <v>1595</v>
      </c>
      <c r="D368" t="s">
        <v>1596</v>
      </c>
    </row>
    <row r="369" spans="1:4" x14ac:dyDescent="0.25">
      <c r="A369" s="130" t="s">
        <v>1302</v>
      </c>
      <c r="B369" t="s">
        <v>1303</v>
      </c>
      <c r="C369" t="s">
        <v>1595</v>
      </c>
      <c r="D369" t="s">
        <v>1596</v>
      </c>
    </row>
    <row r="370" spans="1:4" x14ac:dyDescent="0.25">
      <c r="A370" s="130" t="s">
        <v>1304</v>
      </c>
      <c r="B370" t="s">
        <v>1305</v>
      </c>
      <c r="C370" t="s">
        <v>1595</v>
      </c>
      <c r="D370" t="s">
        <v>1596</v>
      </c>
    </row>
    <row r="371" spans="1:4" x14ac:dyDescent="0.25">
      <c r="A371" s="130" t="s">
        <v>1306</v>
      </c>
      <c r="B371" t="s">
        <v>1307</v>
      </c>
      <c r="C371" t="s">
        <v>1595</v>
      </c>
      <c r="D371" t="s">
        <v>1596</v>
      </c>
    </row>
    <row r="372" spans="1:4" x14ac:dyDescent="0.25">
      <c r="A372" s="130" t="s">
        <v>1308</v>
      </c>
      <c r="B372" t="s">
        <v>1309</v>
      </c>
      <c r="C372" t="s">
        <v>1595</v>
      </c>
      <c r="D372" t="s">
        <v>1596</v>
      </c>
    </row>
    <row r="373" spans="1:4" x14ac:dyDescent="0.25">
      <c r="A373" s="130" t="s">
        <v>1310</v>
      </c>
      <c r="B373" t="s">
        <v>1311</v>
      </c>
      <c r="C373" t="s">
        <v>1595</v>
      </c>
      <c r="D373" t="s">
        <v>1596</v>
      </c>
    </row>
    <row r="374" spans="1:4" x14ac:dyDescent="0.25">
      <c r="A374" s="130" t="s">
        <v>1312</v>
      </c>
      <c r="B374" t="s">
        <v>1313</v>
      </c>
      <c r="C374" t="s">
        <v>1595</v>
      </c>
      <c r="D374" t="s">
        <v>1596</v>
      </c>
    </row>
    <row r="375" spans="1:4" x14ac:dyDescent="0.25">
      <c r="A375" s="130" t="s">
        <v>1314</v>
      </c>
      <c r="B375" t="s">
        <v>1315</v>
      </c>
      <c r="C375" t="s">
        <v>1595</v>
      </c>
      <c r="D375" t="s">
        <v>1596</v>
      </c>
    </row>
    <row r="376" spans="1:4" x14ac:dyDescent="0.25">
      <c r="A376" s="130" t="s">
        <v>1316</v>
      </c>
      <c r="B376" t="s">
        <v>1317</v>
      </c>
      <c r="C376" t="s">
        <v>1595</v>
      </c>
      <c r="D376" t="s">
        <v>1596</v>
      </c>
    </row>
    <row r="377" spans="1:4" x14ac:dyDescent="0.25">
      <c r="A377" s="130" t="s">
        <v>1318</v>
      </c>
      <c r="B377" t="s">
        <v>1319</v>
      </c>
      <c r="C377" t="s">
        <v>1595</v>
      </c>
      <c r="D377" t="s">
        <v>1596</v>
      </c>
    </row>
    <row r="378" spans="1:4" x14ac:dyDescent="0.25">
      <c r="A378" s="130" t="s">
        <v>1356</v>
      </c>
      <c r="B378" t="s">
        <v>1357</v>
      </c>
      <c r="C378" t="s">
        <v>1595</v>
      </c>
      <c r="D378" t="s">
        <v>1596</v>
      </c>
    </row>
    <row r="379" spans="1:4" x14ac:dyDescent="0.25">
      <c r="A379" s="130" t="s">
        <v>1358</v>
      </c>
      <c r="B379" t="s">
        <v>1359</v>
      </c>
      <c r="C379" t="s">
        <v>1595</v>
      </c>
      <c r="D379" t="s">
        <v>1596</v>
      </c>
    </row>
    <row r="380" spans="1:4" x14ac:dyDescent="0.25">
      <c r="A380" s="130" t="s">
        <v>1360</v>
      </c>
      <c r="B380" t="s">
        <v>1361</v>
      </c>
      <c r="C380" t="s">
        <v>1595</v>
      </c>
      <c r="D380" t="s">
        <v>1596</v>
      </c>
    </row>
    <row r="381" spans="1:4" x14ac:dyDescent="0.25">
      <c r="A381" s="130" t="s">
        <v>1362</v>
      </c>
      <c r="B381" t="s">
        <v>1363</v>
      </c>
      <c r="C381" t="s">
        <v>1595</v>
      </c>
      <c r="D381" t="s">
        <v>1596</v>
      </c>
    </row>
    <row r="382" spans="1:4" x14ac:dyDescent="0.25">
      <c r="A382" s="130" t="s">
        <v>1364</v>
      </c>
      <c r="B382" t="s">
        <v>1365</v>
      </c>
      <c r="C382" t="s">
        <v>1595</v>
      </c>
      <c r="D382" t="s">
        <v>1596</v>
      </c>
    </row>
    <row r="383" spans="1:4" x14ac:dyDescent="0.25">
      <c r="A383" s="130" t="s">
        <v>1366</v>
      </c>
      <c r="B383" t="s">
        <v>1367</v>
      </c>
      <c r="C383" t="s">
        <v>1595</v>
      </c>
      <c r="D383" t="s">
        <v>1596</v>
      </c>
    </row>
    <row r="384" spans="1:4" x14ac:dyDescent="0.25">
      <c r="A384" s="130" t="s">
        <v>1368</v>
      </c>
      <c r="B384" t="s">
        <v>1369</v>
      </c>
      <c r="C384" t="s">
        <v>1595</v>
      </c>
      <c r="D384" t="s">
        <v>1596</v>
      </c>
    </row>
    <row r="385" spans="1:4" x14ac:dyDescent="0.25">
      <c r="A385" s="130" t="s">
        <v>1372</v>
      </c>
      <c r="B385" t="s">
        <v>1373</v>
      </c>
      <c r="C385" t="s">
        <v>1595</v>
      </c>
      <c r="D385" t="s">
        <v>1596</v>
      </c>
    </row>
    <row r="386" spans="1:4" x14ac:dyDescent="0.25">
      <c r="A386" s="130" t="s">
        <v>1554</v>
      </c>
      <c r="B386" t="s">
        <v>1555</v>
      </c>
      <c r="C386" t="s">
        <v>1595</v>
      </c>
      <c r="D386" t="s">
        <v>1596</v>
      </c>
    </row>
    <row r="387" spans="1:4" x14ac:dyDescent="0.25">
      <c r="A387" s="130" t="s">
        <v>1556</v>
      </c>
      <c r="B387" t="s">
        <v>1557</v>
      </c>
      <c r="C387" t="s">
        <v>1595</v>
      </c>
      <c r="D387" t="s">
        <v>1596</v>
      </c>
    </row>
    <row r="388" spans="1:4" x14ac:dyDescent="0.25">
      <c r="A388" s="130" t="s">
        <v>1558</v>
      </c>
      <c r="B388" t="s">
        <v>1559</v>
      </c>
      <c r="C388" t="s">
        <v>1595</v>
      </c>
      <c r="D388" t="s">
        <v>1596</v>
      </c>
    </row>
    <row r="389" spans="1:4" x14ac:dyDescent="0.25">
      <c r="A389" s="130" t="s">
        <v>850</v>
      </c>
      <c r="B389" t="s">
        <v>851</v>
      </c>
      <c r="C389" t="s">
        <v>1597</v>
      </c>
      <c r="D389" t="s">
        <v>1598</v>
      </c>
    </row>
    <row r="390" spans="1:4" x14ac:dyDescent="0.25">
      <c r="A390" s="130" t="s">
        <v>868</v>
      </c>
      <c r="B390" t="s">
        <v>869</v>
      </c>
      <c r="C390" t="s">
        <v>1597</v>
      </c>
      <c r="D390" t="s">
        <v>1598</v>
      </c>
    </row>
    <row r="391" spans="1:4" x14ac:dyDescent="0.25">
      <c r="A391" s="130" t="s">
        <v>870</v>
      </c>
      <c r="B391" t="s">
        <v>871</v>
      </c>
      <c r="C391" t="s">
        <v>1597</v>
      </c>
      <c r="D391" t="s">
        <v>1598</v>
      </c>
    </row>
    <row r="392" spans="1:4" x14ac:dyDescent="0.25">
      <c r="A392" s="130" t="s">
        <v>872</v>
      </c>
      <c r="B392" t="s">
        <v>873</v>
      </c>
      <c r="C392" t="s">
        <v>1597</v>
      </c>
      <c r="D392" t="s">
        <v>1598</v>
      </c>
    </row>
    <row r="393" spans="1:4" x14ac:dyDescent="0.25">
      <c r="A393" s="130" t="s">
        <v>1416</v>
      </c>
      <c r="B393" t="s">
        <v>1417</v>
      </c>
      <c r="C393" t="s">
        <v>1597</v>
      </c>
      <c r="D393" t="s">
        <v>1598</v>
      </c>
    </row>
    <row r="394" spans="1:4" x14ac:dyDescent="0.25">
      <c r="A394" s="130" t="s">
        <v>1418</v>
      </c>
      <c r="B394" t="s">
        <v>1419</v>
      </c>
      <c r="C394" t="s">
        <v>1597</v>
      </c>
      <c r="D394" t="s">
        <v>1598</v>
      </c>
    </row>
    <row r="395" spans="1:4" x14ac:dyDescent="0.25">
      <c r="A395" s="130" t="s">
        <v>1548</v>
      </c>
      <c r="B395" t="s">
        <v>1549</v>
      </c>
      <c r="C395" t="s">
        <v>1597</v>
      </c>
      <c r="D395" t="s">
        <v>1598</v>
      </c>
    </row>
    <row r="396" spans="1:4" x14ac:dyDescent="0.25">
      <c r="A396" s="130" t="s">
        <v>1552</v>
      </c>
      <c r="B396" t="s">
        <v>1553</v>
      </c>
      <c r="C396" t="s">
        <v>1597</v>
      </c>
      <c r="D396" t="s">
        <v>1598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A940-21CE-4AA6-BF70-274AE0682486}">
  <dimension ref="A1:O16"/>
  <sheetViews>
    <sheetView tabSelected="1" workbookViewId="0"/>
  </sheetViews>
  <sheetFormatPr defaultRowHeight="15" x14ac:dyDescent="0.25"/>
  <cols>
    <col min="1" max="2" width="12.7109375" customWidth="1"/>
    <col min="3" max="15" width="14.7109375" customWidth="1"/>
  </cols>
  <sheetData>
    <row r="1" spans="1:15" x14ac:dyDescent="0.25">
      <c r="A1" s="2" t="s">
        <v>1599</v>
      </c>
    </row>
    <row r="2" spans="1:15" x14ac:dyDescent="0.25">
      <c r="A2" t="s">
        <v>1600</v>
      </c>
    </row>
    <row r="4" spans="1:15" ht="60" customHeight="1" x14ac:dyDescent="0.25">
      <c r="A4" s="46" t="s">
        <v>1601</v>
      </c>
      <c r="B4" s="46" t="s">
        <v>1602</v>
      </c>
      <c r="C4" s="46" t="s">
        <v>1603</v>
      </c>
      <c r="D4" s="46" t="s">
        <v>1604</v>
      </c>
      <c r="E4" s="46" t="s">
        <v>1605</v>
      </c>
      <c r="F4" s="46" t="s">
        <v>1606</v>
      </c>
      <c r="G4" s="46" t="s">
        <v>1607</v>
      </c>
      <c r="H4" s="46" t="s">
        <v>1608</v>
      </c>
      <c r="I4" s="46" t="s">
        <v>1609</v>
      </c>
      <c r="J4" s="46" t="s">
        <v>1610</v>
      </c>
      <c r="K4" s="46" t="s">
        <v>1611</v>
      </c>
      <c r="L4" s="46" t="s">
        <v>1612</v>
      </c>
      <c r="M4" s="46" t="s">
        <v>1613</v>
      </c>
      <c r="N4" s="46" t="s">
        <v>1614</v>
      </c>
      <c r="O4" s="46" t="s">
        <v>1615</v>
      </c>
    </row>
    <row r="5" spans="1:15" x14ac:dyDescent="0.25">
      <c r="A5" t="s">
        <v>67</v>
      </c>
      <c r="B5" t="s">
        <v>1597</v>
      </c>
      <c r="C5" s="130" t="s">
        <v>822</v>
      </c>
      <c r="D5" s="130" t="s">
        <v>802</v>
      </c>
      <c r="E5" s="130" t="s">
        <v>1616</v>
      </c>
      <c r="F5" s="132">
        <f>IF($C5="",0,SUMIFS('BEA 2017 Margins'!$E$7:$E$1074,'BEA 2017 Margins'!$C$7:$C$1074,$C5,'BEA 2017 Margins'!$J$7:$J$1074,$B5))+IF($D5="",0,SUMIFS('BEA 2017 Margins'!$E$7:$E$1074,'BEA 2017 Margins'!$C$7:$C$1074,$D5,'BEA 2017 Margins'!$J$7:$J$1074,$B5))+IF($E5="",0,SUMIFS('BEA 2017 Margins'!$E$7:$E$1074,'BEA 2017 Margins'!$C$7:$C$1074,$E5,'BEA 2017 Margins'!$J$7:$J$1074,$B5))</f>
        <v>8630</v>
      </c>
      <c r="G5" s="132">
        <f>IF($C5="",0,SUMIFS('BEA 2017 Margins'!$F$7:$F$1074,'BEA 2017 Margins'!$C$7:$C$1074,$C5,'BEA 2017 Margins'!$J$7:$J$1074,$B5))+IF($D5="",0,SUMIFS('BEA 2017 Margins'!$F$7:$F$1074,'BEA 2017 Margins'!$C$7:$C$1074,$D5,'BEA 2017 Margins'!$J$7:$J$1074,$B5))+IF($E5="",0,SUMIFS('BEA 2017 Margins'!$F$7:$F$1074,'BEA 2017 Margins'!$C$7:$C$1074,$E5,'BEA 2017 Margins'!$J$7:$J$1074,$B5))</f>
        <v>253</v>
      </c>
      <c r="H5" s="132">
        <f>IF($C5="",0,SUMIFS('BEA 2017 Margins'!$G$7:$G$1074,'BEA 2017 Margins'!$C$7:$C$1074,$C5,'BEA 2017 Margins'!$J$7:$J$1074,$B5))+IF($D5="",0,SUMIFS('BEA 2017 Margins'!$G$7:$G$1074,'BEA 2017 Margins'!$C$7:$C$1074,$D5,'BEA 2017 Margins'!$J$7:$J$1074,$B5))+IF($E5="",0,SUMIFS('BEA 2017 Margins'!$G$7:$G$1074,'BEA 2017 Margins'!$C$7:$C$1074,$E5,'BEA 2017 Margins'!$J$7:$J$1074,$B5))</f>
        <v>2992</v>
      </c>
      <c r="I5" s="132">
        <f>IF($C5="",0,SUMIFS('BEA 2017 Margins'!$H$7:$H$1074,'BEA 2017 Margins'!$C$7:$C$1074,$C5,'BEA 2017 Margins'!$J$7:$J$1074,$B5))+IF($D5="",0,SUMIFS('BEA 2017 Margins'!$H$7:$H$1074,'BEA 2017 Margins'!$C$7:$C$1074,$D5,'BEA 2017 Margins'!$J$7:$J$1074,$B5))+IF($E5="",0,SUMIFS('BEA 2017 Margins'!$H$7:$H$1074,'BEA 2017 Margins'!$C$7:$C$1074,$E5,'BEA 2017 Margins'!$J$7:$J$1074,$B5))</f>
        <v>6420</v>
      </c>
      <c r="J5" s="132">
        <f>IF($C5="",0,SUMIFS('BEA 2017 Margins'!$I$7:$I$1074,'BEA 2017 Margins'!$C$7:$C$1074,$C5,'BEA 2017 Margins'!$J$7:$J$1074,$B5,'BEA 2017 Margins'!$K$7:$K$1074,"Direct"))+IF($D5="",0,SUMIFS('BEA 2017 Margins'!$I$7:$I$1074,'BEA 2017 Margins'!$C$7:$C$1074,$D5,'BEA 2017 Margins'!$J$7:$J$1074,$B5,'BEA 2017 Margins'!$K$7:$K$1074,"Direct"))+IF($E5="",0,SUMIFS('BEA 2017 Margins'!$I$7:$I$1074,'BEA 2017 Margins'!$C$7:$C$1074,$E5,'BEA 2017 Margins'!$J$7:$J$1074,$B5,'BEA 2017 Margins'!$K$7:$K$1074,"Direct"))</f>
        <v>8170</v>
      </c>
      <c r="K5" s="132">
        <f>IF($C5="",0,SUMIFS('BEA 2017 Margins'!$I$7:$I$1074,'BEA 2017 Margins'!$C$7:$C$1074,$C5,'BEA 2017 Margins'!$J$7:$J$1074,$B5,'BEA 2017 Margins'!$K$7:$K$1074,"Contractor"))+IF($D5="",0,SUMIFS('BEA 2017 Margins'!$I$7:$I$1074,'BEA 2017 Margins'!$C$7:$C$1074,$D5,'BEA 2017 Margins'!$J$7:$J$1074,$B5,'BEA 2017 Margins'!$K$7:$K$1074,"Contractor"))+IF($E5="",0,SUMIFS('BEA 2017 Margins'!$I$7:$I$1074,'BEA 2017 Margins'!$C$7:$C$1074,$E5,'BEA 2017 Margins'!$J$7:$J$1074,$B5,'BEA 2017 Margins'!$K$7:$K$1074,"Contractor"))</f>
        <v>10126</v>
      </c>
      <c r="L5" s="133">
        <f>F5/SUM(F5:I5)</f>
        <v>0.47171358294616017</v>
      </c>
      <c r="M5" s="133">
        <f>G5/SUM(F5:I5)</f>
        <v>1.382891500409948E-2</v>
      </c>
      <c r="N5" s="133">
        <f>(H5+I5)/SUM(F5:I5)</f>
        <v>0.51445750204974039</v>
      </c>
      <c r="O5" s="133">
        <f>K5/(J5+K5)</f>
        <v>0.55345430695233933</v>
      </c>
    </row>
    <row r="6" spans="1:15" x14ac:dyDescent="0.25">
      <c r="A6" t="s">
        <v>67</v>
      </c>
      <c r="B6" t="s">
        <v>279</v>
      </c>
      <c r="C6" s="130" t="s">
        <v>822</v>
      </c>
      <c r="D6" s="130" t="s">
        <v>802</v>
      </c>
      <c r="E6" s="130" t="s">
        <v>1616</v>
      </c>
      <c r="F6" s="132">
        <f>IF($C6="",0,SUMIFS('BEA 2017 Margins'!$E$7:$E$1074,'BEA 2017 Margins'!$C$7:$C$1074,$C6,'BEA 2017 Margins'!$J$7:$J$1074,$B6))+IF($D6="",0,SUMIFS('BEA 2017 Margins'!$E$7:$E$1074,'BEA 2017 Margins'!$C$7:$C$1074,$D6,'BEA 2017 Margins'!$J$7:$J$1074,$B6))+IF($E6="",0,SUMIFS('BEA 2017 Margins'!$E$7:$E$1074,'BEA 2017 Margins'!$C$7:$C$1074,$E6,'BEA 2017 Margins'!$J$7:$J$1074,$B6))</f>
        <v>26941</v>
      </c>
      <c r="G6" s="132">
        <f>IF($C6="",0,SUMIFS('BEA 2017 Margins'!$F$7:$F$1074,'BEA 2017 Margins'!$C$7:$C$1074,$C6,'BEA 2017 Margins'!$J$7:$J$1074,$B6))+IF($D6="",0,SUMIFS('BEA 2017 Margins'!$F$7:$F$1074,'BEA 2017 Margins'!$C$7:$C$1074,$D6,'BEA 2017 Margins'!$J$7:$J$1074,$B6))+IF($E6="",0,SUMIFS('BEA 2017 Margins'!$F$7:$F$1074,'BEA 2017 Margins'!$C$7:$C$1074,$E6,'BEA 2017 Margins'!$J$7:$J$1074,$B6))</f>
        <v>773</v>
      </c>
      <c r="H6" s="132">
        <f>IF($C6="",0,SUMIFS('BEA 2017 Margins'!$G$7:$G$1074,'BEA 2017 Margins'!$C$7:$C$1074,$C6,'BEA 2017 Margins'!$J$7:$J$1074,$B6))+IF($D6="",0,SUMIFS('BEA 2017 Margins'!$G$7:$G$1074,'BEA 2017 Margins'!$C$7:$C$1074,$D6,'BEA 2017 Margins'!$J$7:$J$1074,$B6))+IF($E6="",0,SUMIFS('BEA 2017 Margins'!$G$7:$G$1074,'BEA 2017 Margins'!$C$7:$C$1074,$E6,'BEA 2017 Margins'!$J$7:$J$1074,$B6))</f>
        <v>9815</v>
      </c>
      <c r="I6" s="132">
        <f>IF($C6="",0,SUMIFS('BEA 2017 Margins'!$H$7:$H$1074,'BEA 2017 Margins'!$C$7:$C$1074,$C6,'BEA 2017 Margins'!$J$7:$J$1074,$B6))+IF($D6="",0,SUMIFS('BEA 2017 Margins'!$H$7:$H$1074,'BEA 2017 Margins'!$C$7:$C$1074,$D6,'BEA 2017 Margins'!$J$7:$J$1074,$B6))+IF($E6="",0,SUMIFS('BEA 2017 Margins'!$H$7:$H$1074,'BEA 2017 Margins'!$C$7:$C$1074,$E6,'BEA 2017 Margins'!$J$7:$J$1074,$B6))</f>
        <v>1972</v>
      </c>
      <c r="J6" s="132">
        <f>IF($C6="",0,SUMIFS('BEA 2017 Margins'!$I$7:$I$1074,'BEA 2017 Margins'!$C$7:$C$1074,$C6,'BEA 2017 Margins'!$J$7:$J$1074,$B6,'BEA 2017 Margins'!$K$7:$K$1074,"Direct"))+IF($D6="",0,SUMIFS('BEA 2017 Margins'!$I$7:$I$1074,'BEA 2017 Margins'!$C$7:$C$1074,$D6,'BEA 2017 Margins'!$J$7:$J$1074,$B6,'BEA 2017 Margins'!$K$7:$K$1074,"Direct"))+IF($E6="",0,SUMIFS('BEA 2017 Margins'!$I$7:$I$1074,'BEA 2017 Margins'!$C$7:$C$1074,$E6,'BEA 2017 Margins'!$J$7:$J$1074,$B6,'BEA 2017 Margins'!$K$7:$K$1074,"Direct"))</f>
        <v>28192</v>
      </c>
      <c r="K6" s="132">
        <f>IF($C6="",0,SUMIFS('BEA 2017 Margins'!$I$7:$I$1074,'BEA 2017 Margins'!$C$7:$C$1074,$C6,'BEA 2017 Margins'!$J$7:$J$1074,$B6,'BEA 2017 Margins'!$K$7:$K$1074,"Contractor"))+IF($D6="",0,SUMIFS('BEA 2017 Margins'!$I$7:$I$1074,'BEA 2017 Margins'!$C$7:$C$1074,$D6,'BEA 2017 Margins'!$J$7:$J$1074,$B6,'BEA 2017 Margins'!$K$7:$K$1074,"Contractor"))+IF($E6="",0,SUMIFS('BEA 2017 Margins'!$I$7:$I$1074,'BEA 2017 Margins'!$C$7:$C$1074,$E6,'BEA 2017 Margins'!$J$7:$J$1074,$B6,'BEA 2017 Margins'!$K$7:$K$1074,"Contractor"))</f>
        <v>11320</v>
      </c>
      <c r="L6" s="133">
        <f>F6/SUM(F6:I6)</f>
        <v>0.68203336624389255</v>
      </c>
      <c r="M6" s="133">
        <f>G6/SUM(F6:I6)</f>
        <v>1.9569124832282726E-2</v>
      </c>
      <c r="N6" s="133">
        <f>(H6+I6)/SUM(F6:I6)</f>
        <v>0.29839750892382472</v>
      </c>
      <c r="O6" s="133">
        <f>K6/(J6+K6)</f>
        <v>0.28649524195181209</v>
      </c>
    </row>
    <row r="7" spans="1:15" x14ac:dyDescent="0.25">
      <c r="A7" t="s">
        <v>65</v>
      </c>
      <c r="B7" t="s">
        <v>1597</v>
      </c>
      <c r="C7" s="130" t="s">
        <v>822</v>
      </c>
      <c r="D7" s="130" t="s">
        <v>1616</v>
      </c>
      <c r="E7" s="130" t="s">
        <v>1616</v>
      </c>
      <c r="F7" s="132">
        <f>IF($C7="",0,SUMIFS('BEA 2017 Margins'!$E$7:$E$1074,'BEA 2017 Margins'!$C$7:$C$1074,$C7,'BEA 2017 Margins'!$J$7:$J$1074,$B7))+IF($D7="",0,SUMIFS('BEA 2017 Margins'!$E$7:$E$1074,'BEA 2017 Margins'!$C$7:$C$1074,$D7,'BEA 2017 Margins'!$J$7:$J$1074,$B7))+IF($E7="",0,SUMIFS('BEA 2017 Margins'!$E$7:$E$1074,'BEA 2017 Margins'!$C$7:$C$1074,$E7,'BEA 2017 Margins'!$J$7:$J$1074,$B7))</f>
        <v>6470</v>
      </c>
      <c r="G7" s="132">
        <f>IF($C7="",0,SUMIFS('BEA 2017 Margins'!$F$7:$F$1074,'BEA 2017 Margins'!$C$7:$C$1074,$C7,'BEA 2017 Margins'!$J$7:$J$1074,$B7))+IF($D7="",0,SUMIFS('BEA 2017 Margins'!$F$7:$F$1074,'BEA 2017 Margins'!$C$7:$C$1074,$D7,'BEA 2017 Margins'!$J$7:$J$1074,$B7))+IF($E7="",0,SUMIFS('BEA 2017 Margins'!$F$7:$F$1074,'BEA 2017 Margins'!$C$7:$C$1074,$E7,'BEA 2017 Margins'!$J$7:$J$1074,$B7))</f>
        <v>188</v>
      </c>
      <c r="H7" s="132">
        <f>IF($C7="",0,SUMIFS('BEA 2017 Margins'!$G$7:$G$1074,'BEA 2017 Margins'!$C$7:$C$1074,$C7,'BEA 2017 Margins'!$J$7:$J$1074,$B7))+IF($D7="",0,SUMIFS('BEA 2017 Margins'!$G$7:$G$1074,'BEA 2017 Margins'!$C$7:$C$1074,$D7,'BEA 2017 Margins'!$J$7:$J$1074,$B7))+IF($E7="",0,SUMIFS('BEA 2017 Margins'!$G$7:$G$1074,'BEA 2017 Margins'!$C$7:$C$1074,$E7,'BEA 2017 Margins'!$J$7:$J$1074,$B7))</f>
        <v>2016</v>
      </c>
      <c r="I7" s="132">
        <f>IF($C7="",0,SUMIFS('BEA 2017 Margins'!$H$7:$H$1074,'BEA 2017 Margins'!$C$7:$C$1074,$C7,'BEA 2017 Margins'!$J$7:$J$1074,$B7))+IF($D7="",0,SUMIFS('BEA 2017 Margins'!$H$7:$H$1074,'BEA 2017 Margins'!$C$7:$C$1074,$D7,'BEA 2017 Margins'!$J$7:$J$1074,$B7))+IF($E7="",0,SUMIFS('BEA 2017 Margins'!$H$7:$H$1074,'BEA 2017 Margins'!$C$7:$C$1074,$E7,'BEA 2017 Margins'!$J$7:$J$1074,$B7))</f>
        <v>5046</v>
      </c>
      <c r="J7" s="132">
        <f>IF($C7="",0,SUMIFS('BEA 2017 Margins'!$I$7:$I$1074,'BEA 2017 Margins'!$C$7:$C$1074,$C7,'BEA 2017 Margins'!$J$7:$J$1074,$B7,'BEA 2017 Margins'!$K$7:$K$1074,"Direct"))+IF($D7="",0,SUMIFS('BEA 2017 Margins'!$I$7:$I$1074,'BEA 2017 Margins'!$C$7:$C$1074,$D7,'BEA 2017 Margins'!$J$7:$J$1074,$B7,'BEA 2017 Margins'!$K$7:$K$1074,"Direct"))+IF($E7="",0,SUMIFS('BEA 2017 Margins'!$I$7:$I$1074,'BEA 2017 Margins'!$C$7:$C$1074,$E7,'BEA 2017 Margins'!$J$7:$J$1074,$B7,'BEA 2017 Margins'!$K$7:$K$1074,"Direct"))</f>
        <v>5642</v>
      </c>
      <c r="K7" s="132">
        <f>IF($C7="",0,SUMIFS('BEA 2017 Margins'!$I$7:$I$1074,'BEA 2017 Margins'!$C$7:$C$1074,$C7,'BEA 2017 Margins'!$J$7:$J$1074,$B7,'BEA 2017 Margins'!$K$7:$K$1074,"Contractor"))+IF($D7="",0,SUMIFS('BEA 2017 Margins'!$I$7:$I$1074,'BEA 2017 Margins'!$C$7:$C$1074,$D7,'BEA 2017 Margins'!$J$7:$J$1074,$B7,'BEA 2017 Margins'!$K$7:$K$1074,"Contractor"))+IF($E7="",0,SUMIFS('BEA 2017 Margins'!$I$7:$I$1074,'BEA 2017 Margins'!$C$7:$C$1074,$E7,'BEA 2017 Margins'!$J$7:$J$1074,$B7,'BEA 2017 Margins'!$K$7:$K$1074,"Contractor"))</f>
        <v>8081</v>
      </c>
      <c r="L7" s="133">
        <f>F7/SUM(F7:I7)</f>
        <v>0.4715743440233236</v>
      </c>
      <c r="M7" s="133">
        <f>G7/SUM(F7:I7)</f>
        <v>1.3702623906705539E-2</v>
      </c>
      <c r="N7" s="133">
        <f>(H7+I7)/SUM(F7:I7)</f>
        <v>0.51472303206997083</v>
      </c>
      <c r="O7" s="133">
        <f>K7/(J7+K7)</f>
        <v>0.58886540843838808</v>
      </c>
    </row>
    <row r="8" spans="1:15" x14ac:dyDescent="0.25">
      <c r="A8" t="s">
        <v>65</v>
      </c>
      <c r="B8" t="s">
        <v>279</v>
      </c>
      <c r="C8" s="130" t="s">
        <v>822</v>
      </c>
      <c r="D8" s="130" t="s">
        <v>1616</v>
      </c>
      <c r="E8" s="130" t="s">
        <v>1616</v>
      </c>
      <c r="F8" s="132">
        <f>IF($C8="",0,SUMIFS('BEA 2017 Margins'!$E$7:$E$1074,'BEA 2017 Margins'!$C$7:$C$1074,$C8,'BEA 2017 Margins'!$J$7:$J$1074,$B8))+IF($D8="",0,SUMIFS('BEA 2017 Margins'!$E$7:$E$1074,'BEA 2017 Margins'!$C$7:$C$1074,$D8,'BEA 2017 Margins'!$J$7:$J$1074,$B8))+IF($E8="",0,SUMIFS('BEA 2017 Margins'!$E$7:$E$1074,'BEA 2017 Margins'!$C$7:$C$1074,$E8,'BEA 2017 Margins'!$J$7:$J$1074,$B8))</f>
        <v>24838</v>
      </c>
      <c r="G8" s="132">
        <f>IF($C8="",0,SUMIFS('BEA 2017 Margins'!$F$7:$F$1074,'BEA 2017 Margins'!$C$7:$C$1074,$C8,'BEA 2017 Margins'!$J$7:$J$1074,$B8))+IF($D8="",0,SUMIFS('BEA 2017 Margins'!$F$7:$F$1074,'BEA 2017 Margins'!$C$7:$C$1074,$D8,'BEA 2017 Margins'!$J$7:$J$1074,$B8))+IF($E8="",0,SUMIFS('BEA 2017 Margins'!$F$7:$F$1074,'BEA 2017 Margins'!$C$7:$C$1074,$E8,'BEA 2017 Margins'!$J$7:$J$1074,$B8))</f>
        <v>711</v>
      </c>
      <c r="H8" s="132">
        <f>IF($C8="",0,SUMIFS('BEA 2017 Margins'!$G$7:$G$1074,'BEA 2017 Margins'!$C$7:$C$1074,$C8,'BEA 2017 Margins'!$J$7:$J$1074,$B8))+IF($D8="",0,SUMIFS('BEA 2017 Margins'!$G$7:$G$1074,'BEA 2017 Margins'!$C$7:$C$1074,$D8,'BEA 2017 Margins'!$J$7:$J$1074,$B8))+IF($E8="",0,SUMIFS('BEA 2017 Margins'!$G$7:$G$1074,'BEA 2017 Margins'!$C$7:$C$1074,$E8,'BEA 2017 Margins'!$J$7:$J$1074,$B8))</f>
        <v>8866</v>
      </c>
      <c r="I8" s="132">
        <f>IF($C8="",0,SUMIFS('BEA 2017 Margins'!$H$7:$H$1074,'BEA 2017 Margins'!$C$7:$C$1074,$C8,'BEA 2017 Margins'!$J$7:$J$1074,$B8))+IF($D8="",0,SUMIFS('BEA 2017 Margins'!$H$7:$H$1074,'BEA 2017 Margins'!$C$7:$C$1074,$D8,'BEA 2017 Margins'!$J$7:$J$1074,$B8))+IF($E8="",0,SUMIFS('BEA 2017 Margins'!$H$7:$H$1074,'BEA 2017 Margins'!$C$7:$C$1074,$E8,'BEA 2017 Margins'!$J$7:$J$1074,$B8))</f>
        <v>1749</v>
      </c>
      <c r="J8" s="132">
        <f>IF($C8="",0,SUMIFS('BEA 2017 Margins'!$I$7:$I$1074,'BEA 2017 Margins'!$C$7:$C$1074,$C8,'BEA 2017 Margins'!$J$7:$J$1074,$B8,'BEA 2017 Margins'!$K$7:$K$1074,"Direct"))+IF($D8="",0,SUMIFS('BEA 2017 Margins'!$I$7:$I$1074,'BEA 2017 Margins'!$C$7:$C$1074,$D8,'BEA 2017 Margins'!$J$7:$J$1074,$B8,'BEA 2017 Margins'!$K$7:$K$1074,"Direct"))+IF($E8="",0,SUMIFS('BEA 2017 Margins'!$I$7:$I$1074,'BEA 2017 Margins'!$C$7:$C$1074,$E8,'BEA 2017 Margins'!$J$7:$J$1074,$B8,'BEA 2017 Margins'!$K$7:$K$1074,"Direct"))</f>
        <v>27004</v>
      </c>
      <c r="K8" s="132">
        <f>IF($C8="",0,SUMIFS('BEA 2017 Margins'!$I$7:$I$1074,'BEA 2017 Margins'!$C$7:$C$1074,$C8,'BEA 2017 Margins'!$J$7:$J$1074,$B8,'BEA 2017 Margins'!$K$7:$K$1074,"Contractor"))+IF($D8="",0,SUMIFS('BEA 2017 Margins'!$I$7:$I$1074,'BEA 2017 Margins'!$C$7:$C$1074,$D8,'BEA 2017 Margins'!$J$7:$J$1074,$B8,'BEA 2017 Margins'!$K$7:$K$1074,"Contractor"))+IF($E8="",0,SUMIFS('BEA 2017 Margins'!$I$7:$I$1074,'BEA 2017 Margins'!$C$7:$C$1074,$E8,'BEA 2017 Margins'!$J$7:$J$1074,$B8,'BEA 2017 Margins'!$K$7:$K$1074,"Contractor"))</f>
        <v>9172</v>
      </c>
      <c r="L8" s="133">
        <f>F8/SUM(F8:I8)</f>
        <v>0.68681561774140032</v>
      </c>
      <c r="M8" s="133">
        <f>G8/SUM(F8:I8)</f>
        <v>1.9660435792500829E-2</v>
      </c>
      <c r="N8" s="133">
        <f>(H8+I8)/SUM(F8:I8)</f>
        <v>0.29352394646609886</v>
      </c>
      <c r="O8" s="133">
        <f>K8/(J8+K8)</f>
        <v>0.25353825740822644</v>
      </c>
    </row>
    <row r="9" spans="1:15" x14ac:dyDescent="0.25">
      <c r="A9" t="s">
        <v>68</v>
      </c>
      <c r="B9" t="s">
        <v>1597</v>
      </c>
      <c r="C9" s="130" t="s">
        <v>810</v>
      </c>
      <c r="D9" s="130" t="s">
        <v>816</v>
      </c>
      <c r="E9" s="130" t="s">
        <v>1616</v>
      </c>
      <c r="F9" s="132">
        <f>IF($C9="",0,SUMIFS('BEA 2017 Margins'!$E$7:$E$1074,'BEA 2017 Margins'!$C$7:$C$1074,$C9,'BEA 2017 Margins'!$J$7:$J$1074,$B9))+IF($D9="",0,SUMIFS('BEA 2017 Margins'!$E$7:$E$1074,'BEA 2017 Margins'!$C$7:$C$1074,$D9,'BEA 2017 Margins'!$J$7:$J$1074,$B9))+IF($E9="",0,SUMIFS('BEA 2017 Margins'!$E$7:$E$1074,'BEA 2017 Margins'!$C$7:$C$1074,$E9,'BEA 2017 Margins'!$J$7:$J$1074,$B9))</f>
        <v>5373</v>
      </c>
      <c r="G9" s="132">
        <f>IF($C9="",0,SUMIFS('BEA 2017 Margins'!$F$7:$F$1074,'BEA 2017 Margins'!$C$7:$C$1074,$C9,'BEA 2017 Margins'!$J$7:$J$1074,$B9))+IF($D9="",0,SUMIFS('BEA 2017 Margins'!$F$7:$F$1074,'BEA 2017 Margins'!$C$7:$C$1074,$D9,'BEA 2017 Margins'!$J$7:$J$1074,$B9))+IF($E9="",0,SUMIFS('BEA 2017 Margins'!$F$7:$F$1074,'BEA 2017 Margins'!$C$7:$C$1074,$E9,'BEA 2017 Margins'!$J$7:$J$1074,$B9))</f>
        <v>604</v>
      </c>
      <c r="H9" s="132">
        <f>IF($C9="",0,SUMIFS('BEA 2017 Margins'!$G$7:$G$1074,'BEA 2017 Margins'!$C$7:$C$1074,$C9,'BEA 2017 Margins'!$J$7:$J$1074,$B9))+IF($D9="",0,SUMIFS('BEA 2017 Margins'!$G$7:$G$1074,'BEA 2017 Margins'!$C$7:$C$1074,$D9,'BEA 2017 Margins'!$J$7:$J$1074,$B9))+IF($E9="",0,SUMIFS('BEA 2017 Margins'!$G$7:$G$1074,'BEA 2017 Margins'!$C$7:$C$1074,$E9,'BEA 2017 Margins'!$J$7:$J$1074,$B9))</f>
        <v>1687</v>
      </c>
      <c r="I9" s="132">
        <f>IF($C9="",0,SUMIFS('BEA 2017 Margins'!$H$7:$H$1074,'BEA 2017 Margins'!$C$7:$C$1074,$C9,'BEA 2017 Margins'!$J$7:$J$1074,$B9))+IF($D9="",0,SUMIFS('BEA 2017 Margins'!$H$7:$H$1074,'BEA 2017 Margins'!$C$7:$C$1074,$D9,'BEA 2017 Margins'!$J$7:$J$1074,$B9))+IF($E9="",0,SUMIFS('BEA 2017 Margins'!$H$7:$H$1074,'BEA 2017 Margins'!$C$7:$C$1074,$E9,'BEA 2017 Margins'!$J$7:$J$1074,$B9))</f>
        <v>5769</v>
      </c>
      <c r="J9" s="132">
        <f>IF($C9="",0,SUMIFS('BEA 2017 Margins'!$I$7:$I$1074,'BEA 2017 Margins'!$C$7:$C$1074,$C9,'BEA 2017 Margins'!$J$7:$J$1074,$B9,'BEA 2017 Margins'!$K$7:$K$1074,"Direct"))+IF($D9="",0,SUMIFS('BEA 2017 Margins'!$I$7:$I$1074,'BEA 2017 Margins'!$C$7:$C$1074,$D9,'BEA 2017 Margins'!$J$7:$J$1074,$B9,'BEA 2017 Margins'!$K$7:$K$1074,"Direct"))+IF($E9="",0,SUMIFS('BEA 2017 Margins'!$I$7:$I$1074,'BEA 2017 Margins'!$C$7:$C$1074,$E9,'BEA 2017 Margins'!$J$7:$J$1074,$B9,'BEA 2017 Margins'!$K$7:$K$1074,"Direct"))</f>
        <v>8642</v>
      </c>
      <c r="K9" s="132">
        <f>IF($C9="",0,SUMIFS('BEA 2017 Margins'!$I$7:$I$1074,'BEA 2017 Margins'!$C$7:$C$1074,$C9,'BEA 2017 Margins'!$J$7:$J$1074,$B9,'BEA 2017 Margins'!$K$7:$K$1074,"Contractor"))+IF($D9="",0,SUMIFS('BEA 2017 Margins'!$I$7:$I$1074,'BEA 2017 Margins'!$C$7:$C$1074,$D9,'BEA 2017 Margins'!$J$7:$J$1074,$B9,'BEA 2017 Margins'!$K$7:$K$1074,"Contractor"))+IF($E9="",0,SUMIFS('BEA 2017 Margins'!$I$7:$I$1074,'BEA 2017 Margins'!$C$7:$C$1074,$E9,'BEA 2017 Margins'!$J$7:$J$1074,$B9,'BEA 2017 Margins'!$K$7:$K$1074,"Contractor"))</f>
        <v>4790</v>
      </c>
      <c r="L9" s="133">
        <f>F9/SUM(F9:I9)</f>
        <v>0.39998511129308417</v>
      </c>
      <c r="M9" s="133">
        <f>G9/SUM(F9:I9)</f>
        <v>4.4963894885729175E-2</v>
      </c>
      <c r="N9" s="133">
        <f>(H9+I9)/SUM(F9:I9)</f>
        <v>0.55505099382118661</v>
      </c>
      <c r="O9" s="133">
        <f>K9/(J9+K9)</f>
        <v>0.35661107802263253</v>
      </c>
    </row>
    <row r="10" spans="1:15" x14ac:dyDescent="0.25">
      <c r="A10" t="s">
        <v>68</v>
      </c>
      <c r="B10" t="s">
        <v>279</v>
      </c>
      <c r="C10" s="130" t="s">
        <v>810</v>
      </c>
      <c r="D10" s="130" t="s">
        <v>816</v>
      </c>
      <c r="E10" s="130" t="s">
        <v>1616</v>
      </c>
      <c r="F10" s="132">
        <f>IF($C10="",0,SUMIFS('BEA 2017 Margins'!$E$7:$E$1074,'BEA 2017 Margins'!$C$7:$C$1074,$C10,'BEA 2017 Margins'!$J$7:$J$1074,$B10))+IF($D10="",0,SUMIFS('BEA 2017 Margins'!$E$7:$E$1074,'BEA 2017 Margins'!$C$7:$C$1074,$D10,'BEA 2017 Margins'!$J$7:$J$1074,$B10))+IF($E10="",0,SUMIFS('BEA 2017 Margins'!$E$7:$E$1074,'BEA 2017 Margins'!$C$7:$C$1074,$E10,'BEA 2017 Margins'!$J$7:$J$1074,$B10))</f>
        <v>17243</v>
      </c>
      <c r="G10" s="132">
        <f>IF($C10="",0,SUMIFS('BEA 2017 Margins'!$F$7:$F$1074,'BEA 2017 Margins'!$C$7:$C$1074,$C10,'BEA 2017 Margins'!$J$7:$J$1074,$B10))+IF($D10="",0,SUMIFS('BEA 2017 Margins'!$F$7:$F$1074,'BEA 2017 Margins'!$C$7:$C$1074,$D10,'BEA 2017 Margins'!$J$7:$J$1074,$B10))+IF($E10="",0,SUMIFS('BEA 2017 Margins'!$F$7:$F$1074,'BEA 2017 Margins'!$C$7:$C$1074,$E10,'BEA 2017 Margins'!$J$7:$J$1074,$B10))</f>
        <v>2078</v>
      </c>
      <c r="H10" s="132">
        <f>IF($C10="",0,SUMIFS('BEA 2017 Margins'!$G$7:$G$1074,'BEA 2017 Margins'!$C$7:$C$1074,$C10,'BEA 2017 Margins'!$J$7:$J$1074,$B10))+IF($D10="",0,SUMIFS('BEA 2017 Margins'!$G$7:$G$1074,'BEA 2017 Margins'!$C$7:$C$1074,$D10,'BEA 2017 Margins'!$J$7:$J$1074,$B10))+IF($E10="",0,SUMIFS('BEA 2017 Margins'!$G$7:$G$1074,'BEA 2017 Margins'!$C$7:$C$1074,$E10,'BEA 2017 Margins'!$J$7:$J$1074,$B10))</f>
        <v>5408</v>
      </c>
      <c r="I10" s="132">
        <f>IF($C10="",0,SUMIFS('BEA 2017 Margins'!$H$7:$H$1074,'BEA 2017 Margins'!$C$7:$C$1074,$C10,'BEA 2017 Margins'!$J$7:$J$1074,$B10))+IF($D10="",0,SUMIFS('BEA 2017 Margins'!$H$7:$H$1074,'BEA 2017 Margins'!$C$7:$C$1074,$D10,'BEA 2017 Margins'!$J$7:$J$1074,$B10))+IF($E10="",0,SUMIFS('BEA 2017 Margins'!$H$7:$H$1074,'BEA 2017 Margins'!$C$7:$C$1074,$E10,'BEA 2017 Margins'!$J$7:$J$1074,$B10))</f>
        <v>164</v>
      </c>
      <c r="J10" s="132">
        <f>IF($C10="",0,SUMIFS('BEA 2017 Margins'!$I$7:$I$1074,'BEA 2017 Margins'!$C$7:$C$1074,$C10,'BEA 2017 Margins'!$J$7:$J$1074,$B10,'BEA 2017 Margins'!$K$7:$K$1074,"Direct"))+IF($D10="",0,SUMIFS('BEA 2017 Margins'!$I$7:$I$1074,'BEA 2017 Margins'!$C$7:$C$1074,$D10,'BEA 2017 Margins'!$J$7:$J$1074,$B10,'BEA 2017 Margins'!$K$7:$K$1074,"Direct"))+IF($E10="",0,SUMIFS('BEA 2017 Margins'!$I$7:$I$1074,'BEA 2017 Margins'!$C$7:$C$1074,$E10,'BEA 2017 Margins'!$J$7:$J$1074,$B10,'BEA 2017 Margins'!$K$7:$K$1074,"Direct"))</f>
        <v>15658</v>
      </c>
      <c r="K10" s="132">
        <f>IF($C10="",0,SUMIFS('BEA 2017 Margins'!$I$7:$I$1074,'BEA 2017 Margins'!$C$7:$C$1074,$C10,'BEA 2017 Margins'!$J$7:$J$1074,$B10,'BEA 2017 Margins'!$K$7:$K$1074,"Contractor"))+IF($D10="",0,SUMIFS('BEA 2017 Margins'!$I$7:$I$1074,'BEA 2017 Margins'!$C$7:$C$1074,$D10,'BEA 2017 Margins'!$J$7:$J$1074,$B10,'BEA 2017 Margins'!$K$7:$K$1074,"Contractor"))+IF($E10="",0,SUMIFS('BEA 2017 Margins'!$I$7:$I$1074,'BEA 2017 Margins'!$C$7:$C$1074,$E10,'BEA 2017 Margins'!$J$7:$J$1074,$B10,'BEA 2017 Margins'!$K$7:$K$1074,"Contractor"))</f>
        <v>9244</v>
      </c>
      <c r="L10" s="133">
        <f>F10/SUM(F10:I10)</f>
        <v>0.69268469047523396</v>
      </c>
      <c r="M10" s="133">
        <f>G10/SUM(F10:I10)</f>
        <v>8.3477282770256706E-2</v>
      </c>
      <c r="N10" s="133">
        <f>(H10+I10)/SUM(F10:I10)</f>
        <v>0.22383802675450931</v>
      </c>
      <c r="O10" s="133">
        <f>K10/(J10+K10)</f>
        <v>0.3712151634406875</v>
      </c>
    </row>
    <row r="11" spans="1:15" x14ac:dyDescent="0.25">
      <c r="A11" t="s">
        <v>40</v>
      </c>
      <c r="B11" t="s">
        <v>1597</v>
      </c>
      <c r="C11" s="130" t="s">
        <v>848</v>
      </c>
      <c r="D11" s="130" t="s">
        <v>1616</v>
      </c>
      <c r="E11" s="130" t="s">
        <v>1616</v>
      </c>
      <c r="F11" s="132">
        <f>IF($C11="",0,SUMIFS('BEA 2017 Margins'!$E$7:$E$1074,'BEA 2017 Margins'!$C$7:$C$1074,$C11,'BEA 2017 Margins'!$J$7:$J$1074,$B11))+IF($D11="",0,SUMIFS('BEA 2017 Margins'!$E$7:$E$1074,'BEA 2017 Margins'!$C$7:$C$1074,$D11,'BEA 2017 Margins'!$J$7:$J$1074,$B11))+IF($E11="",0,SUMIFS('BEA 2017 Margins'!$E$7:$E$1074,'BEA 2017 Margins'!$C$7:$C$1074,$E11,'BEA 2017 Margins'!$J$7:$J$1074,$B11))</f>
        <v>30079</v>
      </c>
      <c r="G11" s="132">
        <f>IF($C11="",0,SUMIFS('BEA 2017 Margins'!$F$7:$F$1074,'BEA 2017 Margins'!$C$7:$C$1074,$C11,'BEA 2017 Margins'!$J$7:$J$1074,$B11))+IF($D11="",0,SUMIFS('BEA 2017 Margins'!$F$7:$F$1074,'BEA 2017 Margins'!$C$7:$C$1074,$D11,'BEA 2017 Margins'!$J$7:$J$1074,$B11))+IF($E11="",0,SUMIFS('BEA 2017 Margins'!$F$7:$F$1074,'BEA 2017 Margins'!$C$7:$C$1074,$E11,'BEA 2017 Margins'!$J$7:$J$1074,$B11))</f>
        <v>430</v>
      </c>
      <c r="H11" s="132">
        <f>IF($C11="",0,SUMIFS('BEA 2017 Margins'!$G$7:$G$1074,'BEA 2017 Margins'!$C$7:$C$1074,$C11,'BEA 2017 Margins'!$J$7:$J$1074,$B11))+IF($D11="",0,SUMIFS('BEA 2017 Margins'!$G$7:$G$1074,'BEA 2017 Margins'!$C$7:$C$1074,$D11,'BEA 2017 Margins'!$J$7:$J$1074,$B11))+IF($E11="",0,SUMIFS('BEA 2017 Margins'!$G$7:$G$1074,'BEA 2017 Margins'!$C$7:$C$1074,$E11,'BEA 2017 Margins'!$J$7:$J$1074,$B11))</f>
        <v>10419</v>
      </c>
      <c r="I11" s="132">
        <f>IF($C11="",0,SUMIFS('BEA 2017 Margins'!$H$7:$H$1074,'BEA 2017 Margins'!$C$7:$C$1074,$C11,'BEA 2017 Margins'!$J$7:$J$1074,$B11))+IF($D11="",0,SUMIFS('BEA 2017 Margins'!$H$7:$H$1074,'BEA 2017 Margins'!$C$7:$C$1074,$D11,'BEA 2017 Margins'!$J$7:$J$1074,$B11))+IF($E11="",0,SUMIFS('BEA 2017 Margins'!$H$7:$H$1074,'BEA 2017 Margins'!$C$7:$C$1074,$E11,'BEA 2017 Margins'!$J$7:$J$1074,$B11))</f>
        <v>13623</v>
      </c>
      <c r="J11" s="132">
        <f>IF($C11="",0,SUMIFS('BEA 2017 Margins'!$I$7:$I$1074,'BEA 2017 Margins'!$C$7:$C$1074,$C11,'BEA 2017 Margins'!$J$7:$J$1074,$B11,'BEA 2017 Margins'!$K$7:$K$1074,"Direct"))+IF($D11="",0,SUMIFS('BEA 2017 Margins'!$I$7:$I$1074,'BEA 2017 Margins'!$C$7:$C$1074,$D11,'BEA 2017 Margins'!$J$7:$J$1074,$B11,'BEA 2017 Margins'!$K$7:$K$1074,"Direct"))+IF($E11="",0,SUMIFS('BEA 2017 Margins'!$I$7:$I$1074,'BEA 2017 Margins'!$C$7:$C$1074,$E11,'BEA 2017 Margins'!$J$7:$J$1074,$B11,'BEA 2017 Margins'!$K$7:$K$1074,"Direct"))</f>
        <v>50276</v>
      </c>
      <c r="K11" s="132">
        <f>IF($C11="",0,SUMIFS('BEA 2017 Margins'!$I$7:$I$1074,'BEA 2017 Margins'!$C$7:$C$1074,$C11,'BEA 2017 Margins'!$J$7:$J$1074,$B11,'BEA 2017 Margins'!$K$7:$K$1074,"Contractor"))+IF($D11="",0,SUMIFS('BEA 2017 Margins'!$I$7:$I$1074,'BEA 2017 Margins'!$C$7:$C$1074,$D11,'BEA 2017 Margins'!$J$7:$J$1074,$B11,'BEA 2017 Margins'!$K$7:$K$1074,"Contractor"))+IF($E11="",0,SUMIFS('BEA 2017 Margins'!$I$7:$I$1074,'BEA 2017 Margins'!$C$7:$C$1074,$E11,'BEA 2017 Margins'!$J$7:$J$1074,$B11,'BEA 2017 Margins'!$K$7:$K$1074,"Contractor"))</f>
        <v>4273</v>
      </c>
      <c r="L11" s="133">
        <f>F11/SUM(F11:I11)</f>
        <v>0.55139227511869626</v>
      </c>
      <c r="M11" s="133">
        <f>G11/SUM(F11:I11)</f>
        <v>7.8825319425858374E-3</v>
      </c>
      <c r="N11" s="133">
        <f>(H11+I11)/SUM(F11:I11)</f>
        <v>0.44072519293871792</v>
      </c>
      <c r="O11" s="133">
        <f>K11/(J11+K11)</f>
        <v>7.8333241672624607E-2</v>
      </c>
    </row>
    <row r="12" spans="1:15" x14ac:dyDescent="0.25">
      <c r="A12" t="s">
        <v>40</v>
      </c>
      <c r="B12" t="s">
        <v>279</v>
      </c>
      <c r="C12" s="130" t="s">
        <v>848</v>
      </c>
      <c r="D12" s="130" t="s">
        <v>820</v>
      </c>
      <c r="E12" s="130" t="s">
        <v>1616</v>
      </c>
      <c r="F12" s="132">
        <f>IF($C12="",0,SUMIFS('BEA 2017 Margins'!$E$7:$E$1074,'BEA 2017 Margins'!$C$7:$C$1074,$C12,'BEA 2017 Margins'!$J$7:$J$1074,$B12))+IF($D12="",0,SUMIFS('BEA 2017 Margins'!$E$7:$E$1074,'BEA 2017 Margins'!$C$7:$C$1074,$D12,'BEA 2017 Margins'!$J$7:$J$1074,$B12))+IF($E12="",0,SUMIFS('BEA 2017 Margins'!$E$7:$E$1074,'BEA 2017 Margins'!$C$7:$C$1074,$E12,'BEA 2017 Margins'!$J$7:$J$1074,$B12))</f>
        <v>23982</v>
      </c>
      <c r="G12" s="132">
        <f>IF($C12="",0,SUMIFS('BEA 2017 Margins'!$F$7:$F$1074,'BEA 2017 Margins'!$C$7:$C$1074,$C12,'BEA 2017 Margins'!$J$7:$J$1074,$B12))+IF($D12="",0,SUMIFS('BEA 2017 Margins'!$F$7:$F$1074,'BEA 2017 Margins'!$C$7:$C$1074,$D12,'BEA 2017 Margins'!$J$7:$J$1074,$B12))+IF($E12="",0,SUMIFS('BEA 2017 Margins'!$F$7:$F$1074,'BEA 2017 Margins'!$C$7:$C$1074,$E12,'BEA 2017 Margins'!$J$7:$J$1074,$B12))</f>
        <v>663</v>
      </c>
      <c r="H12" s="132">
        <f>IF($C12="",0,SUMIFS('BEA 2017 Margins'!$G$7:$G$1074,'BEA 2017 Margins'!$C$7:$C$1074,$C12,'BEA 2017 Margins'!$J$7:$J$1074,$B12))+IF($D12="",0,SUMIFS('BEA 2017 Margins'!$G$7:$G$1074,'BEA 2017 Margins'!$C$7:$C$1074,$D12,'BEA 2017 Margins'!$J$7:$J$1074,$B12))+IF($E12="",0,SUMIFS('BEA 2017 Margins'!$G$7:$G$1074,'BEA 2017 Margins'!$C$7:$C$1074,$E12,'BEA 2017 Margins'!$J$7:$J$1074,$B12))</f>
        <v>8869</v>
      </c>
      <c r="I12" s="132">
        <f>IF($C12="",0,SUMIFS('BEA 2017 Margins'!$H$7:$H$1074,'BEA 2017 Margins'!$C$7:$C$1074,$C12,'BEA 2017 Margins'!$J$7:$J$1074,$B12))+IF($D12="",0,SUMIFS('BEA 2017 Margins'!$H$7:$H$1074,'BEA 2017 Margins'!$C$7:$C$1074,$D12,'BEA 2017 Margins'!$J$7:$J$1074,$B12))+IF($E12="",0,SUMIFS('BEA 2017 Margins'!$H$7:$H$1074,'BEA 2017 Margins'!$C$7:$C$1074,$E12,'BEA 2017 Margins'!$J$7:$J$1074,$B12))</f>
        <v>1744</v>
      </c>
      <c r="J12" s="132">
        <f>IF($C12="",0,SUMIFS('BEA 2017 Margins'!$I$7:$I$1074,'BEA 2017 Margins'!$C$7:$C$1074,$C12,'BEA 2017 Margins'!$J$7:$J$1074,$B12,'BEA 2017 Margins'!$K$7:$K$1074,"Direct"))+IF($D12="",0,SUMIFS('BEA 2017 Margins'!$I$7:$I$1074,'BEA 2017 Margins'!$C$7:$C$1074,$D12,'BEA 2017 Margins'!$J$7:$J$1074,$B12,'BEA 2017 Margins'!$K$7:$K$1074,"Direct"))+IF($E12="",0,SUMIFS('BEA 2017 Margins'!$I$7:$I$1074,'BEA 2017 Margins'!$C$7:$C$1074,$E12,'BEA 2017 Margins'!$J$7:$J$1074,$B12,'BEA 2017 Margins'!$K$7:$K$1074,"Direct"))</f>
        <v>31110</v>
      </c>
      <c r="K12" s="132">
        <f>IF($C12="",0,SUMIFS('BEA 2017 Margins'!$I$7:$I$1074,'BEA 2017 Margins'!$C$7:$C$1074,$C12,'BEA 2017 Margins'!$J$7:$J$1074,$B12,'BEA 2017 Margins'!$K$7:$K$1074,"Contractor"))+IF($D12="",0,SUMIFS('BEA 2017 Margins'!$I$7:$I$1074,'BEA 2017 Margins'!$C$7:$C$1074,$D12,'BEA 2017 Margins'!$J$7:$J$1074,$B12,'BEA 2017 Margins'!$K$7:$K$1074,"Contractor"))+IF($E12="",0,SUMIFS('BEA 2017 Margins'!$I$7:$I$1074,'BEA 2017 Margins'!$C$7:$C$1074,$E12,'BEA 2017 Margins'!$J$7:$J$1074,$B12,'BEA 2017 Margins'!$K$7:$K$1074,"Contractor"))</f>
        <v>4157</v>
      </c>
      <c r="L12" s="133">
        <f>F12/SUM(F12:I12)</f>
        <v>0.6801860570650633</v>
      </c>
      <c r="M12" s="133">
        <f>G12/SUM(F12:I12)</f>
        <v>1.8804243008678882E-2</v>
      </c>
      <c r="N12" s="133">
        <f>(H12+I12)/SUM(F12:I12)</f>
        <v>0.30100969992625787</v>
      </c>
      <c r="O12" s="133">
        <f>K12/(J12+K12)</f>
        <v>0.11787223183145717</v>
      </c>
    </row>
    <row r="13" spans="1:15" x14ac:dyDescent="0.25">
      <c r="A13" t="s">
        <v>69</v>
      </c>
      <c r="B13" t="s">
        <v>1597</v>
      </c>
      <c r="C13" s="130" t="s">
        <v>806</v>
      </c>
      <c r="D13" s="130" t="s">
        <v>860</v>
      </c>
      <c r="E13" s="130" t="s">
        <v>846</v>
      </c>
      <c r="F13" s="132">
        <f>IF($C13="",0,SUMIFS('BEA 2017 Margins'!$E$7:$E$1074,'BEA 2017 Margins'!$C$7:$C$1074,$C13,'BEA 2017 Margins'!$J$7:$J$1074,$B13))+IF($D13="",0,SUMIFS('BEA 2017 Margins'!$E$7:$E$1074,'BEA 2017 Margins'!$C$7:$C$1074,$D13,'BEA 2017 Margins'!$J$7:$J$1074,$B13))+IF($E13="",0,SUMIFS('BEA 2017 Margins'!$E$7:$E$1074,'BEA 2017 Margins'!$C$7:$C$1074,$E13,'BEA 2017 Margins'!$J$7:$J$1074,$B13))</f>
        <v>53093</v>
      </c>
      <c r="G13" s="132">
        <f>IF($C13="",0,SUMIFS('BEA 2017 Margins'!$F$7:$F$1074,'BEA 2017 Margins'!$C$7:$C$1074,$C13,'BEA 2017 Margins'!$J$7:$J$1074,$B13))+IF($D13="",0,SUMIFS('BEA 2017 Margins'!$F$7:$F$1074,'BEA 2017 Margins'!$C$7:$C$1074,$D13,'BEA 2017 Margins'!$J$7:$J$1074,$B13))+IF($E13="",0,SUMIFS('BEA 2017 Margins'!$F$7:$F$1074,'BEA 2017 Margins'!$C$7:$C$1074,$E13,'BEA 2017 Margins'!$J$7:$J$1074,$B13))</f>
        <v>1935</v>
      </c>
      <c r="H13" s="132">
        <f>IF($C13="",0,SUMIFS('BEA 2017 Margins'!$G$7:$G$1074,'BEA 2017 Margins'!$C$7:$C$1074,$C13,'BEA 2017 Margins'!$J$7:$J$1074,$B13))+IF($D13="",0,SUMIFS('BEA 2017 Margins'!$G$7:$G$1074,'BEA 2017 Margins'!$C$7:$C$1074,$D13,'BEA 2017 Margins'!$J$7:$J$1074,$B13))+IF($E13="",0,SUMIFS('BEA 2017 Margins'!$G$7:$G$1074,'BEA 2017 Margins'!$C$7:$C$1074,$E13,'BEA 2017 Margins'!$J$7:$J$1074,$B13))</f>
        <v>16984</v>
      </c>
      <c r="I13" s="132">
        <f>IF($C13="",0,SUMIFS('BEA 2017 Margins'!$H$7:$H$1074,'BEA 2017 Margins'!$C$7:$C$1074,$C13,'BEA 2017 Margins'!$J$7:$J$1074,$B13))+IF($D13="",0,SUMIFS('BEA 2017 Margins'!$H$7:$H$1074,'BEA 2017 Margins'!$C$7:$C$1074,$D13,'BEA 2017 Margins'!$J$7:$J$1074,$B13))+IF($E13="",0,SUMIFS('BEA 2017 Margins'!$H$7:$H$1074,'BEA 2017 Margins'!$C$7:$C$1074,$E13,'BEA 2017 Margins'!$J$7:$J$1074,$B13))</f>
        <v>29537</v>
      </c>
      <c r="J13" s="132">
        <f>IF($C13="",0,SUMIFS('BEA 2017 Margins'!$I$7:$I$1074,'BEA 2017 Margins'!$C$7:$C$1074,$C13,'BEA 2017 Margins'!$J$7:$J$1074,$B13,'BEA 2017 Margins'!$K$7:$K$1074,"Direct"))+IF($D13="",0,SUMIFS('BEA 2017 Margins'!$I$7:$I$1074,'BEA 2017 Margins'!$C$7:$C$1074,$D13,'BEA 2017 Margins'!$J$7:$J$1074,$B13,'BEA 2017 Margins'!$K$7:$K$1074,"Direct"))+IF($E13="",0,SUMIFS('BEA 2017 Margins'!$I$7:$I$1074,'BEA 2017 Margins'!$C$7:$C$1074,$E13,'BEA 2017 Margins'!$J$7:$J$1074,$B13,'BEA 2017 Margins'!$K$7:$K$1074,"Direct"))</f>
        <v>99793</v>
      </c>
      <c r="K13" s="132">
        <f>IF($C13="",0,SUMIFS('BEA 2017 Margins'!$I$7:$I$1074,'BEA 2017 Margins'!$C$7:$C$1074,$C13,'BEA 2017 Margins'!$J$7:$J$1074,$B13,'BEA 2017 Margins'!$K$7:$K$1074,"Contractor"))+IF($D13="",0,SUMIFS('BEA 2017 Margins'!$I$7:$I$1074,'BEA 2017 Margins'!$C$7:$C$1074,$D13,'BEA 2017 Margins'!$J$7:$J$1074,$B13,'BEA 2017 Margins'!$K$7:$K$1074,"Contractor"))+IF($E13="",0,SUMIFS('BEA 2017 Margins'!$I$7:$I$1074,'BEA 2017 Margins'!$C$7:$C$1074,$E13,'BEA 2017 Margins'!$J$7:$J$1074,$B13,'BEA 2017 Margins'!$K$7:$K$1074,"Contractor"))</f>
        <v>1752</v>
      </c>
      <c r="L13" s="133">
        <f>F13/SUM(F13:I13)</f>
        <v>0.52283134250460372</v>
      </c>
      <c r="M13" s="133">
        <f>G13/SUM(F13:I13)</f>
        <v>1.9054840520339934E-2</v>
      </c>
      <c r="N13" s="133">
        <f>(H13+I13)/SUM(F13:I13)</f>
        <v>0.45811381697505638</v>
      </c>
      <c r="O13" s="133">
        <f>K13/(J13+K13)</f>
        <v>1.725343443793392E-2</v>
      </c>
    </row>
    <row r="14" spans="1:15" x14ac:dyDescent="0.25">
      <c r="A14" t="s">
        <v>69</v>
      </c>
      <c r="B14" t="s">
        <v>279</v>
      </c>
      <c r="C14" s="130" t="s">
        <v>806</v>
      </c>
      <c r="D14" s="130" t="s">
        <v>860</v>
      </c>
      <c r="E14" s="130" t="s">
        <v>846</v>
      </c>
      <c r="F14" s="132">
        <f>IF($C14="",0,SUMIFS('BEA 2017 Margins'!$E$7:$E$1074,'BEA 2017 Margins'!$C$7:$C$1074,$C14,'BEA 2017 Margins'!$J$7:$J$1074,$B14))+IF($D14="",0,SUMIFS('BEA 2017 Margins'!$E$7:$E$1074,'BEA 2017 Margins'!$C$7:$C$1074,$D14,'BEA 2017 Margins'!$J$7:$J$1074,$B14))+IF($E14="",0,SUMIFS('BEA 2017 Margins'!$E$7:$E$1074,'BEA 2017 Margins'!$C$7:$C$1074,$E14,'BEA 2017 Margins'!$J$7:$J$1074,$B14))</f>
        <v>48113</v>
      </c>
      <c r="G14" s="132">
        <f>IF($C14="",0,SUMIFS('BEA 2017 Margins'!$F$7:$F$1074,'BEA 2017 Margins'!$C$7:$C$1074,$C14,'BEA 2017 Margins'!$J$7:$J$1074,$B14))+IF($D14="",0,SUMIFS('BEA 2017 Margins'!$F$7:$F$1074,'BEA 2017 Margins'!$C$7:$C$1074,$D14,'BEA 2017 Margins'!$J$7:$J$1074,$B14))+IF($E14="",0,SUMIFS('BEA 2017 Margins'!$F$7:$F$1074,'BEA 2017 Margins'!$C$7:$C$1074,$E14,'BEA 2017 Margins'!$J$7:$J$1074,$B14))</f>
        <v>759</v>
      </c>
      <c r="H14" s="132">
        <f>IF($C14="",0,SUMIFS('BEA 2017 Margins'!$G$7:$G$1074,'BEA 2017 Margins'!$C$7:$C$1074,$C14,'BEA 2017 Margins'!$J$7:$J$1074,$B14))+IF($D14="",0,SUMIFS('BEA 2017 Margins'!$G$7:$G$1074,'BEA 2017 Margins'!$C$7:$C$1074,$D14,'BEA 2017 Margins'!$J$7:$J$1074,$B14))+IF($E14="",0,SUMIFS('BEA 2017 Margins'!$G$7:$G$1074,'BEA 2017 Margins'!$C$7:$C$1074,$E14,'BEA 2017 Margins'!$J$7:$J$1074,$B14))</f>
        <v>13914</v>
      </c>
      <c r="I14" s="132">
        <f>IF($C14="",0,SUMIFS('BEA 2017 Margins'!$H$7:$H$1074,'BEA 2017 Margins'!$C$7:$C$1074,$C14,'BEA 2017 Margins'!$J$7:$J$1074,$B14))+IF($D14="",0,SUMIFS('BEA 2017 Margins'!$H$7:$H$1074,'BEA 2017 Margins'!$C$7:$C$1074,$D14,'BEA 2017 Margins'!$J$7:$J$1074,$B14))+IF($E14="",0,SUMIFS('BEA 2017 Margins'!$H$7:$H$1074,'BEA 2017 Margins'!$C$7:$C$1074,$E14,'BEA 2017 Margins'!$J$7:$J$1074,$B14))</f>
        <v>8185</v>
      </c>
      <c r="J14" s="132">
        <f>IF($C14="",0,SUMIFS('BEA 2017 Margins'!$I$7:$I$1074,'BEA 2017 Margins'!$C$7:$C$1074,$C14,'BEA 2017 Margins'!$J$7:$J$1074,$B14,'BEA 2017 Margins'!$K$7:$K$1074,"Direct"))+IF($D14="",0,SUMIFS('BEA 2017 Margins'!$I$7:$I$1074,'BEA 2017 Margins'!$C$7:$C$1074,$D14,'BEA 2017 Margins'!$J$7:$J$1074,$B14,'BEA 2017 Margins'!$K$7:$K$1074,"Direct"))+IF($E14="",0,SUMIFS('BEA 2017 Margins'!$I$7:$I$1074,'BEA 2017 Margins'!$C$7:$C$1074,$E14,'BEA 2017 Margins'!$J$7:$J$1074,$B14,'BEA 2017 Margins'!$K$7:$K$1074,"Direct"))</f>
        <v>68820</v>
      </c>
      <c r="K14" s="132">
        <f>IF($C14="",0,SUMIFS('BEA 2017 Margins'!$I$7:$I$1074,'BEA 2017 Margins'!$C$7:$C$1074,$C14,'BEA 2017 Margins'!$J$7:$J$1074,$B14,'BEA 2017 Margins'!$K$7:$K$1074,"Contractor"))+IF($D14="",0,SUMIFS('BEA 2017 Margins'!$I$7:$I$1074,'BEA 2017 Margins'!$C$7:$C$1074,$D14,'BEA 2017 Margins'!$J$7:$J$1074,$B14,'BEA 2017 Margins'!$K$7:$K$1074,"Contractor"))+IF($E14="",0,SUMIFS('BEA 2017 Margins'!$I$7:$I$1074,'BEA 2017 Margins'!$C$7:$C$1074,$E14,'BEA 2017 Margins'!$J$7:$J$1074,$B14,'BEA 2017 Margins'!$K$7:$K$1074,"Contractor"))</f>
        <v>2175</v>
      </c>
      <c r="L14" s="133">
        <f>F14/SUM(F14:I14)</f>
        <v>0.67792478618027086</v>
      </c>
      <c r="M14" s="133">
        <f>G14/SUM(F14:I14)</f>
        <v>1.0694509024812952E-2</v>
      </c>
      <c r="N14" s="133">
        <f>(H14+I14)/SUM(F14:I14)</f>
        <v>0.31138070479491625</v>
      </c>
      <c r="O14" s="133">
        <f>K14/(J14+K14)</f>
        <v>3.0635960278892881E-2</v>
      </c>
    </row>
    <row r="16" spans="1:15" x14ac:dyDescent="0.25">
      <c r="A16" t="s">
        <v>1617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41"/>
  <sheetViews>
    <sheetView workbookViewId="0"/>
  </sheetViews>
  <sheetFormatPr defaultRowHeight="15" x14ac:dyDescent="0.25"/>
  <cols>
    <col min="1" max="1" width="60" customWidth="1"/>
  </cols>
  <sheetData>
    <row r="1" spans="1:3" x14ac:dyDescent="0.25">
      <c r="A1" s="98" t="s">
        <v>674</v>
      </c>
    </row>
    <row r="3" spans="1:3" x14ac:dyDescent="0.25">
      <c r="A3" s="98" t="s">
        <v>675</v>
      </c>
    </row>
    <row r="4" spans="1:3" x14ac:dyDescent="0.25">
      <c r="A4" t="s">
        <v>676</v>
      </c>
      <c r="B4">
        <f>('Factors applied'!$E$3+'Factors applied'!$E$4+'Factors applied'!$E$5)</f>
        <v>1</v>
      </c>
      <c r="C4" s="98" t="str">
        <f t="shared" ref="C4:C35" si="0">IF(ABS(B4-1)&lt;0.000000001,"PASS","FAIL")</f>
        <v>PASS</v>
      </c>
    </row>
    <row r="5" spans="1:3" x14ac:dyDescent="0.25">
      <c r="A5" t="s">
        <v>677</v>
      </c>
      <c r="B5">
        <f>('Factors applied'!$E$6+'Factors applied'!$E$7)</f>
        <v>1</v>
      </c>
      <c r="C5" s="98" t="str">
        <f t="shared" si="0"/>
        <v>PASS</v>
      </c>
    </row>
    <row r="6" spans="1:3" x14ac:dyDescent="0.25">
      <c r="A6" t="s">
        <v>678</v>
      </c>
      <c r="B6">
        <f>('Factors applied'!$E$8+'Factors applied'!$E$9)</f>
        <v>1</v>
      </c>
      <c r="C6" s="98" t="str">
        <f t="shared" si="0"/>
        <v>PASS</v>
      </c>
    </row>
    <row r="7" spans="1:3" x14ac:dyDescent="0.25">
      <c r="A7" t="s">
        <v>679</v>
      </c>
      <c r="B7">
        <f>('Factors applied'!$E$10+'Factors applied'!$E$11+'Factors applied'!$E$12+'Factors applied'!$E$13+'Factors applied'!$E$14)</f>
        <v>0.99999999999999989</v>
      </c>
      <c r="C7" s="98" t="str">
        <f t="shared" si="0"/>
        <v>PASS</v>
      </c>
    </row>
    <row r="8" spans="1:3" x14ac:dyDescent="0.25">
      <c r="A8" t="s">
        <v>680</v>
      </c>
      <c r="B8">
        <f>('Factors applied'!$E$15+'Factors applied'!$E$16)</f>
        <v>1</v>
      </c>
      <c r="C8" s="98" t="str">
        <f t="shared" si="0"/>
        <v>PASS</v>
      </c>
    </row>
    <row r="9" spans="1:3" x14ac:dyDescent="0.25">
      <c r="A9" t="s">
        <v>681</v>
      </c>
      <c r="B9">
        <f>('Factors applied'!$E$17+'Factors applied'!$E$18)</f>
        <v>1</v>
      </c>
      <c r="C9" s="98" t="str">
        <f t="shared" si="0"/>
        <v>PASS</v>
      </c>
    </row>
    <row r="10" spans="1:3" x14ac:dyDescent="0.25">
      <c r="A10" t="s">
        <v>682</v>
      </c>
      <c r="B10">
        <f>('Factors applied'!$E$19+'Factors applied'!$E$20+'Factors applied'!$E$21)</f>
        <v>1</v>
      </c>
      <c r="C10" s="98" t="str">
        <f t="shared" si="0"/>
        <v>PASS</v>
      </c>
    </row>
    <row r="11" spans="1:3" x14ac:dyDescent="0.25">
      <c r="A11" t="s">
        <v>683</v>
      </c>
      <c r="B11">
        <f>('Factors applied'!$E$22+'Factors applied'!$E$23)</f>
        <v>1</v>
      </c>
      <c r="C11" s="98" t="str">
        <f t="shared" si="0"/>
        <v>PASS</v>
      </c>
    </row>
    <row r="12" spans="1:3" x14ac:dyDescent="0.25">
      <c r="A12" t="s">
        <v>684</v>
      </c>
      <c r="B12">
        <f>('Factors applied'!$E$24+'Factors applied'!$E$25)</f>
        <v>1</v>
      </c>
      <c r="C12" s="98" t="str">
        <f t="shared" si="0"/>
        <v>PASS</v>
      </c>
    </row>
    <row r="13" spans="1:3" x14ac:dyDescent="0.25">
      <c r="A13" t="s">
        <v>685</v>
      </c>
      <c r="B13">
        <f>('Factors applied'!$E$26+'Factors applied'!$E$27+'Factors applied'!$E$28+'Factors applied'!$E$29+'Factors applied'!$E$30)</f>
        <v>0.99999999999999989</v>
      </c>
      <c r="C13" s="98" t="str">
        <f t="shared" si="0"/>
        <v>PASS</v>
      </c>
    </row>
    <row r="14" spans="1:3" x14ac:dyDescent="0.25">
      <c r="A14" t="s">
        <v>686</v>
      </c>
      <c r="B14">
        <f>('Factors applied'!$E$31+'Factors applied'!$E$32)</f>
        <v>1</v>
      </c>
      <c r="C14" s="98" t="str">
        <f t="shared" si="0"/>
        <v>PASS</v>
      </c>
    </row>
    <row r="15" spans="1:3" x14ac:dyDescent="0.25">
      <c r="A15" t="s">
        <v>687</v>
      </c>
      <c r="B15">
        <f>('Factors applied'!$E$33+'Factors applied'!$E$34)</f>
        <v>1</v>
      </c>
      <c r="C15" s="98" t="str">
        <f t="shared" si="0"/>
        <v>PASS</v>
      </c>
    </row>
    <row r="16" spans="1:3" x14ac:dyDescent="0.25">
      <c r="A16" t="s">
        <v>688</v>
      </c>
      <c r="B16">
        <f>('Factors applied'!$E$35+'Factors applied'!$E$36+'Factors applied'!$E$37)</f>
        <v>1</v>
      </c>
      <c r="C16" s="98" t="str">
        <f t="shared" si="0"/>
        <v>PASS</v>
      </c>
    </row>
    <row r="17" spans="1:3" x14ac:dyDescent="0.25">
      <c r="A17" t="s">
        <v>689</v>
      </c>
      <c r="B17">
        <f>('Factors applied'!$E$38+'Factors applied'!$E$39)</f>
        <v>1</v>
      </c>
      <c r="C17" s="98" t="str">
        <f t="shared" si="0"/>
        <v>PASS</v>
      </c>
    </row>
    <row r="18" spans="1:3" x14ac:dyDescent="0.25">
      <c r="A18" t="s">
        <v>690</v>
      </c>
      <c r="B18">
        <f>('Factors applied'!$E$40+'Factors applied'!$E$41)</f>
        <v>1</v>
      </c>
      <c r="C18" s="98" t="str">
        <f t="shared" si="0"/>
        <v>PASS</v>
      </c>
    </row>
    <row r="19" spans="1:3" x14ac:dyDescent="0.25">
      <c r="A19" t="s">
        <v>691</v>
      </c>
      <c r="B19">
        <f>('Factors applied'!$E$42+'Factors applied'!$E$43+'Factors applied'!$E$44+'Factors applied'!$E$45+'Factors applied'!$E$46)</f>
        <v>0.99999999999999989</v>
      </c>
      <c r="C19" s="98" t="str">
        <f t="shared" si="0"/>
        <v>PASS</v>
      </c>
    </row>
    <row r="20" spans="1:3" x14ac:dyDescent="0.25">
      <c r="A20" t="s">
        <v>692</v>
      </c>
      <c r="B20">
        <f>('Factors applied'!$E$47+'Factors applied'!$E$48)</f>
        <v>1</v>
      </c>
      <c r="C20" s="98" t="str">
        <f t="shared" si="0"/>
        <v>PASS</v>
      </c>
    </row>
    <row r="21" spans="1:3" x14ac:dyDescent="0.25">
      <c r="A21" t="s">
        <v>693</v>
      </c>
      <c r="B21">
        <f>('Factors applied'!$E$49+'Factors applied'!$E$50)</f>
        <v>1</v>
      </c>
      <c r="C21" s="98" t="str">
        <f t="shared" si="0"/>
        <v>PASS</v>
      </c>
    </row>
    <row r="22" spans="1:3" x14ac:dyDescent="0.25">
      <c r="A22" t="s">
        <v>694</v>
      </c>
      <c r="B22">
        <f>('Factors applied'!$E$51+'Factors applied'!$E$52+'Factors applied'!$E$53)</f>
        <v>1</v>
      </c>
      <c r="C22" s="98" t="str">
        <f t="shared" si="0"/>
        <v>PASS</v>
      </c>
    </row>
    <row r="23" spans="1:3" x14ac:dyDescent="0.25">
      <c r="A23" t="s">
        <v>695</v>
      </c>
      <c r="B23">
        <f>('Factors applied'!$E$54+'Factors applied'!$E$55)</f>
        <v>1</v>
      </c>
      <c r="C23" s="98" t="str">
        <f t="shared" si="0"/>
        <v>PASS</v>
      </c>
    </row>
    <row r="24" spans="1:3" x14ac:dyDescent="0.25">
      <c r="A24" t="s">
        <v>696</v>
      </c>
      <c r="B24">
        <f>('Factors applied'!$E$56+'Factors applied'!$E$57)</f>
        <v>1</v>
      </c>
      <c r="C24" s="98" t="str">
        <f t="shared" si="0"/>
        <v>PASS</v>
      </c>
    </row>
    <row r="25" spans="1:3" x14ac:dyDescent="0.25">
      <c r="A25" t="s">
        <v>697</v>
      </c>
      <c r="B25">
        <f>('Factors applied'!$E$58+'Factors applied'!$E$59+'Factors applied'!$E$60+'Factors applied'!$E$61+'Factors applied'!$E$62)</f>
        <v>0.99999999999999989</v>
      </c>
      <c r="C25" s="98" t="str">
        <f t="shared" si="0"/>
        <v>PASS</v>
      </c>
    </row>
    <row r="26" spans="1:3" x14ac:dyDescent="0.25">
      <c r="A26" t="s">
        <v>698</v>
      </c>
      <c r="B26">
        <f>('Factors applied'!$E$63+'Factors applied'!$E$64)</f>
        <v>1</v>
      </c>
      <c r="C26" s="98" t="str">
        <f t="shared" si="0"/>
        <v>PASS</v>
      </c>
    </row>
    <row r="27" spans="1:3" x14ac:dyDescent="0.25">
      <c r="A27" t="s">
        <v>699</v>
      </c>
      <c r="B27">
        <f>('Factors applied'!$E$65+'Factors applied'!$E$66)</f>
        <v>1</v>
      </c>
      <c r="C27" s="98" t="str">
        <f t="shared" si="0"/>
        <v>PASS</v>
      </c>
    </row>
    <row r="28" spans="1:3" x14ac:dyDescent="0.25">
      <c r="A28" t="s">
        <v>700</v>
      </c>
      <c r="B28">
        <f>('Factors applied'!$E$67+'Factors applied'!$E$68+'Factors applied'!$E$69)</f>
        <v>1</v>
      </c>
      <c r="C28" s="98" t="str">
        <f t="shared" si="0"/>
        <v>PASS</v>
      </c>
    </row>
    <row r="29" spans="1:3" x14ac:dyDescent="0.25">
      <c r="A29" t="s">
        <v>701</v>
      </c>
      <c r="B29">
        <f>('Factors applied'!$E$70+'Factors applied'!$E$71)</f>
        <v>1</v>
      </c>
      <c r="C29" s="98" t="str">
        <f t="shared" si="0"/>
        <v>PASS</v>
      </c>
    </row>
    <row r="30" spans="1:3" x14ac:dyDescent="0.25">
      <c r="A30" t="s">
        <v>702</v>
      </c>
      <c r="B30">
        <f>('Factors applied'!$E$72+'Factors applied'!$E$73)</f>
        <v>1</v>
      </c>
      <c r="C30" s="98" t="str">
        <f t="shared" si="0"/>
        <v>PASS</v>
      </c>
    </row>
    <row r="31" spans="1:3" x14ac:dyDescent="0.25">
      <c r="A31" t="s">
        <v>703</v>
      </c>
      <c r="B31">
        <f>('Factors applied'!$E$74+'Factors applied'!$E$75+'Factors applied'!$E$76+'Factors applied'!$E$77+'Factors applied'!$E$78)</f>
        <v>0.99999999999999989</v>
      </c>
      <c r="C31" s="98" t="str">
        <f t="shared" si="0"/>
        <v>PASS</v>
      </c>
    </row>
    <row r="32" spans="1:3" x14ac:dyDescent="0.25">
      <c r="A32" t="s">
        <v>704</v>
      </c>
      <c r="B32">
        <f>('Factors applied'!$E$79+'Factors applied'!$E$80)</f>
        <v>1</v>
      </c>
      <c r="C32" s="98" t="str">
        <f t="shared" si="0"/>
        <v>PASS</v>
      </c>
    </row>
    <row r="33" spans="1:3" x14ac:dyDescent="0.25">
      <c r="A33" t="s">
        <v>705</v>
      </c>
      <c r="B33">
        <f>('Factors applied'!$E$81+'Factors applied'!$E$82)</f>
        <v>1</v>
      </c>
      <c r="C33" s="98" t="str">
        <f t="shared" si="0"/>
        <v>PASS</v>
      </c>
    </row>
    <row r="34" spans="1:3" x14ac:dyDescent="0.25">
      <c r="A34" t="s">
        <v>706</v>
      </c>
      <c r="B34">
        <f>('Factors applied'!$E$83+'Factors applied'!$E$84+'Factors applied'!$E$85)</f>
        <v>1</v>
      </c>
      <c r="C34" s="98" t="str">
        <f t="shared" si="0"/>
        <v>PASS</v>
      </c>
    </row>
    <row r="35" spans="1:3" x14ac:dyDescent="0.25">
      <c r="A35" t="s">
        <v>707</v>
      </c>
      <c r="B35">
        <f>('Factors applied'!$E$86+'Factors applied'!$E$87)</f>
        <v>1</v>
      </c>
      <c r="C35" s="98" t="str">
        <f t="shared" si="0"/>
        <v>PASS</v>
      </c>
    </row>
    <row r="36" spans="1:3" x14ac:dyDescent="0.25">
      <c r="A36" t="s">
        <v>708</v>
      </c>
      <c r="B36">
        <f>('Factors applied'!$E$88+'Factors applied'!$E$89)</f>
        <v>1</v>
      </c>
      <c r="C36" s="98" t="str">
        <f t="shared" ref="C36:C67" si="1">IF(ABS(B36-1)&lt;0.000000001,"PASS","FAIL")</f>
        <v>PASS</v>
      </c>
    </row>
    <row r="37" spans="1:3" x14ac:dyDescent="0.25">
      <c r="A37" t="s">
        <v>709</v>
      </c>
      <c r="B37">
        <f>('Factors applied'!$E$90+'Factors applied'!$E$91+'Factors applied'!$E$92+'Factors applied'!$E$93+'Factors applied'!$E$94)</f>
        <v>0.99999999999999989</v>
      </c>
      <c r="C37" s="98" t="str">
        <f t="shared" si="1"/>
        <v>PASS</v>
      </c>
    </row>
    <row r="38" spans="1:3" x14ac:dyDescent="0.25">
      <c r="A38" t="s">
        <v>710</v>
      </c>
      <c r="B38">
        <f>('Factors applied'!$E$95+'Factors applied'!$E$96)</f>
        <v>1</v>
      </c>
      <c r="C38" s="98" t="str">
        <f t="shared" si="1"/>
        <v>PASS</v>
      </c>
    </row>
    <row r="39" spans="1:3" x14ac:dyDescent="0.25">
      <c r="A39" t="s">
        <v>711</v>
      </c>
      <c r="B39">
        <f>('Factors applied'!$E$97+'Factors applied'!$E$98)</f>
        <v>1</v>
      </c>
      <c r="C39" s="98" t="str">
        <f t="shared" si="1"/>
        <v>PASS</v>
      </c>
    </row>
    <row r="40" spans="1:3" x14ac:dyDescent="0.25">
      <c r="A40" t="s">
        <v>712</v>
      </c>
      <c r="B40">
        <f>('Factors applied'!$E$99+'Factors applied'!$E$100+'Factors applied'!$E$101)</f>
        <v>1</v>
      </c>
      <c r="C40" s="98" t="str">
        <f t="shared" si="1"/>
        <v>PASS</v>
      </c>
    </row>
    <row r="41" spans="1:3" x14ac:dyDescent="0.25">
      <c r="A41" t="s">
        <v>713</v>
      </c>
      <c r="B41">
        <f>('Factors applied'!$E$102+'Factors applied'!$E$103)</f>
        <v>1</v>
      </c>
      <c r="C41" s="98" t="str">
        <f t="shared" si="1"/>
        <v>PASS</v>
      </c>
    </row>
    <row r="42" spans="1:3" x14ac:dyDescent="0.25">
      <c r="A42" t="s">
        <v>714</v>
      </c>
      <c r="B42">
        <f>('Factors applied'!$E$104+'Factors applied'!$E$105)</f>
        <v>1</v>
      </c>
      <c r="C42" s="98" t="str">
        <f t="shared" si="1"/>
        <v>PASS</v>
      </c>
    </row>
    <row r="43" spans="1:3" x14ac:dyDescent="0.25">
      <c r="A43" t="s">
        <v>715</v>
      </c>
      <c r="B43">
        <f>('Factors applied'!$E$106+'Factors applied'!$E$107+'Factors applied'!$E$108+'Factors applied'!$E$109+'Factors applied'!$E$110)</f>
        <v>0.99999999999999989</v>
      </c>
      <c r="C43" s="98" t="str">
        <f t="shared" si="1"/>
        <v>PASS</v>
      </c>
    </row>
    <row r="44" spans="1:3" x14ac:dyDescent="0.25">
      <c r="A44" t="s">
        <v>716</v>
      </c>
      <c r="B44">
        <f>('Factors applied'!$E$111+'Factors applied'!$E$112)</f>
        <v>1</v>
      </c>
      <c r="C44" s="98" t="str">
        <f t="shared" si="1"/>
        <v>PASS</v>
      </c>
    </row>
    <row r="45" spans="1:3" x14ac:dyDescent="0.25">
      <c r="A45" t="s">
        <v>717</v>
      </c>
      <c r="B45">
        <f>('Factors applied'!$E$113+'Factors applied'!$E$114)</f>
        <v>1</v>
      </c>
      <c r="C45" s="98" t="str">
        <f t="shared" si="1"/>
        <v>PASS</v>
      </c>
    </row>
    <row r="46" spans="1:3" x14ac:dyDescent="0.25">
      <c r="A46" t="s">
        <v>718</v>
      </c>
      <c r="B46">
        <f>('Factors applied'!$E$115+'Factors applied'!$E$116+'Factors applied'!$E$117)</f>
        <v>1</v>
      </c>
      <c r="C46" s="98" t="str">
        <f t="shared" si="1"/>
        <v>PASS</v>
      </c>
    </row>
    <row r="47" spans="1:3" x14ac:dyDescent="0.25">
      <c r="A47" t="s">
        <v>719</v>
      </c>
      <c r="B47">
        <f>('Factors applied'!$E$118+'Factors applied'!$E$119)</f>
        <v>1</v>
      </c>
      <c r="C47" s="98" t="str">
        <f t="shared" si="1"/>
        <v>PASS</v>
      </c>
    </row>
    <row r="48" spans="1:3" x14ac:dyDescent="0.25">
      <c r="A48" t="s">
        <v>720</v>
      </c>
      <c r="B48">
        <f>('Factors applied'!$E$120+'Factors applied'!$E$121)</f>
        <v>1</v>
      </c>
      <c r="C48" s="98" t="str">
        <f t="shared" si="1"/>
        <v>PASS</v>
      </c>
    </row>
    <row r="49" spans="1:3" x14ac:dyDescent="0.25">
      <c r="A49" t="s">
        <v>721</v>
      </c>
      <c r="B49">
        <f>('Factors applied'!$E$122+'Factors applied'!$E$123+'Factors applied'!$E$124+'Factors applied'!$E$125+'Factors applied'!$E$126)</f>
        <v>0.99999999999999989</v>
      </c>
      <c r="C49" s="98" t="str">
        <f t="shared" si="1"/>
        <v>PASS</v>
      </c>
    </row>
    <row r="50" spans="1:3" x14ac:dyDescent="0.25">
      <c r="A50" t="s">
        <v>722</v>
      </c>
      <c r="B50">
        <f>('Factors applied'!$E$127+'Factors applied'!$E$128)</f>
        <v>1</v>
      </c>
      <c r="C50" s="98" t="str">
        <f t="shared" si="1"/>
        <v>PASS</v>
      </c>
    </row>
    <row r="51" spans="1:3" x14ac:dyDescent="0.25">
      <c r="A51" t="s">
        <v>723</v>
      </c>
      <c r="B51">
        <f>('Factors applied'!$E$129+'Factors applied'!$E$130)</f>
        <v>1</v>
      </c>
      <c r="C51" s="98" t="str">
        <f t="shared" si="1"/>
        <v>PASS</v>
      </c>
    </row>
    <row r="52" spans="1:3" x14ac:dyDescent="0.25">
      <c r="A52" t="s">
        <v>724</v>
      </c>
      <c r="B52">
        <f>('Factors applied'!$E$131+'Factors applied'!$E$132+'Factors applied'!$E$133)</f>
        <v>1</v>
      </c>
      <c r="C52" s="98" t="str">
        <f t="shared" si="1"/>
        <v>PASS</v>
      </c>
    </row>
    <row r="53" spans="1:3" x14ac:dyDescent="0.25">
      <c r="A53" t="s">
        <v>725</v>
      </c>
      <c r="B53">
        <f>('Factors applied'!$E$134+'Factors applied'!$E$135)</f>
        <v>1</v>
      </c>
      <c r="C53" s="98" t="str">
        <f t="shared" si="1"/>
        <v>PASS</v>
      </c>
    </row>
    <row r="54" spans="1:3" x14ac:dyDescent="0.25">
      <c r="A54" t="s">
        <v>726</v>
      </c>
      <c r="B54">
        <f>('Factors applied'!$E$136+'Factors applied'!$E$137)</f>
        <v>1</v>
      </c>
      <c r="C54" s="98" t="str">
        <f t="shared" si="1"/>
        <v>PASS</v>
      </c>
    </row>
    <row r="55" spans="1:3" x14ac:dyDescent="0.25">
      <c r="A55" t="s">
        <v>727</v>
      </c>
      <c r="B55">
        <f>('Factors applied'!$E$138+'Factors applied'!$E$139+'Factors applied'!$E$140+'Factors applied'!$E$141+'Factors applied'!$E$142)</f>
        <v>0.99999999999999989</v>
      </c>
      <c r="C55" s="98" t="str">
        <f t="shared" si="1"/>
        <v>PASS</v>
      </c>
    </row>
    <row r="56" spans="1:3" x14ac:dyDescent="0.25">
      <c r="A56" t="s">
        <v>728</v>
      </c>
      <c r="B56">
        <f>('Factors applied'!$E$143+'Factors applied'!$E$144)</f>
        <v>1</v>
      </c>
      <c r="C56" s="98" t="str">
        <f t="shared" si="1"/>
        <v>PASS</v>
      </c>
    </row>
    <row r="57" spans="1:3" x14ac:dyDescent="0.25">
      <c r="A57" t="s">
        <v>729</v>
      </c>
      <c r="B57">
        <f>('Factors applied'!$E$145+'Factors applied'!$E$146)</f>
        <v>1</v>
      </c>
      <c r="C57" s="98" t="str">
        <f t="shared" si="1"/>
        <v>PASS</v>
      </c>
    </row>
    <row r="58" spans="1:3" x14ac:dyDescent="0.25">
      <c r="A58" t="s">
        <v>730</v>
      </c>
      <c r="B58">
        <f>('Factors applied'!$E$147+'Factors applied'!$E$148+'Factors applied'!$E$149)</f>
        <v>1</v>
      </c>
      <c r="C58" s="98" t="str">
        <f t="shared" si="1"/>
        <v>PASS</v>
      </c>
    </row>
    <row r="59" spans="1:3" x14ac:dyDescent="0.25">
      <c r="A59" t="s">
        <v>731</v>
      </c>
      <c r="B59">
        <f>('Factors applied'!$E$150+'Factors applied'!$E$151)</f>
        <v>1</v>
      </c>
      <c r="C59" s="98" t="str">
        <f t="shared" si="1"/>
        <v>PASS</v>
      </c>
    </row>
    <row r="60" spans="1:3" x14ac:dyDescent="0.25">
      <c r="A60" t="s">
        <v>732</v>
      </c>
      <c r="B60">
        <f>('Factors applied'!$E$152+'Factors applied'!$E$153)</f>
        <v>1</v>
      </c>
      <c r="C60" s="98" t="str">
        <f t="shared" si="1"/>
        <v>PASS</v>
      </c>
    </row>
    <row r="61" spans="1:3" x14ac:dyDescent="0.25">
      <c r="A61" t="s">
        <v>733</v>
      </c>
      <c r="B61">
        <f>('Factors applied'!$E$154+'Factors applied'!$E$155+'Factors applied'!$E$156+'Factors applied'!$E$157+'Factors applied'!$E$158)</f>
        <v>0.99999999999999989</v>
      </c>
      <c r="C61" s="98" t="str">
        <f t="shared" si="1"/>
        <v>PASS</v>
      </c>
    </row>
    <row r="62" spans="1:3" x14ac:dyDescent="0.25">
      <c r="A62" t="s">
        <v>734</v>
      </c>
      <c r="B62">
        <f>('Factors applied'!$E$159+'Factors applied'!$E$160)</f>
        <v>1</v>
      </c>
      <c r="C62" s="98" t="str">
        <f t="shared" si="1"/>
        <v>PASS</v>
      </c>
    </row>
    <row r="63" spans="1:3" x14ac:dyDescent="0.25">
      <c r="A63" t="s">
        <v>735</v>
      </c>
      <c r="B63">
        <f>('Factors applied'!$E$161+'Factors applied'!$E$162)</f>
        <v>1</v>
      </c>
      <c r="C63" s="98" t="str">
        <f t="shared" si="1"/>
        <v>PASS</v>
      </c>
    </row>
    <row r="64" spans="1:3" x14ac:dyDescent="0.25">
      <c r="A64" t="s">
        <v>736</v>
      </c>
      <c r="B64">
        <f>('Factors applied'!$E$163+'Factors applied'!$E$164+'Factors applied'!$E$165)</f>
        <v>1</v>
      </c>
      <c r="C64" s="98" t="str">
        <f t="shared" si="1"/>
        <v>PASS</v>
      </c>
    </row>
    <row r="65" spans="1:3" x14ac:dyDescent="0.25">
      <c r="A65" t="s">
        <v>737</v>
      </c>
      <c r="B65">
        <f>('Factors applied'!$E$166+'Factors applied'!$E$167)</f>
        <v>1</v>
      </c>
      <c r="C65" s="98" t="str">
        <f t="shared" si="1"/>
        <v>PASS</v>
      </c>
    </row>
    <row r="66" spans="1:3" x14ac:dyDescent="0.25">
      <c r="A66" t="s">
        <v>738</v>
      </c>
      <c r="B66">
        <f>('Factors applied'!$E$168+'Factors applied'!$E$169)</f>
        <v>1</v>
      </c>
      <c r="C66" s="98" t="str">
        <f t="shared" si="1"/>
        <v>PASS</v>
      </c>
    </row>
    <row r="67" spans="1:3" x14ac:dyDescent="0.25">
      <c r="A67" t="s">
        <v>739</v>
      </c>
      <c r="B67">
        <f>('Factors applied'!$E$170+'Factors applied'!$E$171+'Factors applied'!$E$172+'Factors applied'!$E$173+'Factors applied'!$E$174)</f>
        <v>0.99999999999999989</v>
      </c>
      <c r="C67" s="98" t="str">
        <f t="shared" si="1"/>
        <v>PASS</v>
      </c>
    </row>
    <row r="68" spans="1:3" x14ac:dyDescent="0.25">
      <c r="A68" t="s">
        <v>740</v>
      </c>
      <c r="B68">
        <f>('Factors applied'!$E$175+'Factors applied'!$E$176)</f>
        <v>1</v>
      </c>
      <c r="C68" s="98" t="str">
        <f t="shared" ref="C68:C99" si="2">IF(ABS(B68-1)&lt;0.000000001,"PASS","FAIL")</f>
        <v>PASS</v>
      </c>
    </row>
    <row r="69" spans="1:3" x14ac:dyDescent="0.25">
      <c r="A69" t="s">
        <v>741</v>
      </c>
      <c r="B69">
        <f>('Factors applied'!$E$177+'Factors applied'!$E$178)</f>
        <v>1</v>
      </c>
      <c r="C69" s="98" t="str">
        <f t="shared" si="2"/>
        <v>PASS</v>
      </c>
    </row>
    <row r="70" spans="1:3" x14ac:dyDescent="0.25">
      <c r="A70" t="s">
        <v>742</v>
      </c>
      <c r="B70">
        <f>('Factors applied'!$E$179+'Factors applied'!$E$180+'Factors applied'!$E$181)</f>
        <v>1</v>
      </c>
      <c r="C70" s="98" t="str">
        <f t="shared" si="2"/>
        <v>PASS</v>
      </c>
    </row>
    <row r="71" spans="1:3" x14ac:dyDescent="0.25">
      <c r="A71" t="s">
        <v>743</v>
      </c>
      <c r="B71">
        <f>('Factors applied'!$E$182+'Factors applied'!$E$183)</f>
        <v>1</v>
      </c>
      <c r="C71" s="98" t="str">
        <f t="shared" si="2"/>
        <v>PASS</v>
      </c>
    </row>
    <row r="72" spans="1:3" x14ac:dyDescent="0.25">
      <c r="A72" t="s">
        <v>744</v>
      </c>
      <c r="B72">
        <f>('Factors applied'!$E$184+'Factors applied'!$E$185)</f>
        <v>1</v>
      </c>
      <c r="C72" s="98" t="str">
        <f t="shared" si="2"/>
        <v>PASS</v>
      </c>
    </row>
    <row r="73" spans="1:3" x14ac:dyDescent="0.25">
      <c r="A73" t="s">
        <v>745</v>
      </c>
      <c r="B73">
        <f>('Factors applied'!$E$186+'Factors applied'!$E$187+'Factors applied'!$E$188+'Factors applied'!$E$189+'Factors applied'!$E$190)</f>
        <v>0.99999999999999989</v>
      </c>
      <c r="C73" s="98" t="str">
        <f t="shared" si="2"/>
        <v>PASS</v>
      </c>
    </row>
    <row r="74" spans="1:3" x14ac:dyDescent="0.25">
      <c r="A74" t="s">
        <v>746</v>
      </c>
      <c r="B74">
        <f>('Factors applied'!$E$191+'Factors applied'!$E$192)</f>
        <v>1</v>
      </c>
      <c r="C74" s="98" t="str">
        <f t="shared" si="2"/>
        <v>PASS</v>
      </c>
    </row>
    <row r="75" spans="1:3" x14ac:dyDescent="0.25">
      <c r="A75" t="s">
        <v>747</v>
      </c>
      <c r="B75">
        <f>('Factors applied'!$E$193+'Factors applied'!$E$194)</f>
        <v>1</v>
      </c>
      <c r="C75" s="98" t="str">
        <f t="shared" si="2"/>
        <v>PASS</v>
      </c>
    </row>
    <row r="76" spans="1:3" x14ac:dyDescent="0.25">
      <c r="A76" t="s">
        <v>748</v>
      </c>
      <c r="B76">
        <f>('Factors applied'!$E$195+'Factors applied'!$E$196+'Factors applied'!$E$197)</f>
        <v>1</v>
      </c>
      <c r="C76" s="98" t="str">
        <f t="shared" si="2"/>
        <v>PASS</v>
      </c>
    </row>
    <row r="77" spans="1:3" x14ac:dyDescent="0.25">
      <c r="A77" t="s">
        <v>749</v>
      </c>
      <c r="B77">
        <f>('Factors applied'!$E$198+'Factors applied'!$E$199)</f>
        <v>1</v>
      </c>
      <c r="C77" s="98" t="str">
        <f t="shared" si="2"/>
        <v>PASS</v>
      </c>
    </row>
    <row r="78" spans="1:3" x14ac:dyDescent="0.25">
      <c r="A78" t="s">
        <v>750</v>
      </c>
      <c r="B78">
        <f>('Factors applied'!$E$200+'Factors applied'!$E$201)</f>
        <v>1</v>
      </c>
      <c r="C78" s="98" t="str">
        <f t="shared" si="2"/>
        <v>PASS</v>
      </c>
    </row>
    <row r="79" spans="1:3" x14ac:dyDescent="0.25">
      <c r="A79" t="s">
        <v>751</v>
      </c>
      <c r="B79">
        <f>('Factors applied'!$E$202+'Factors applied'!$E$203+'Factors applied'!$E$204+'Factors applied'!$E$205+'Factors applied'!$E$206)</f>
        <v>0.99999999999999989</v>
      </c>
      <c r="C79" s="98" t="str">
        <f t="shared" si="2"/>
        <v>PASS</v>
      </c>
    </row>
    <row r="80" spans="1:3" x14ac:dyDescent="0.25">
      <c r="A80" t="s">
        <v>752</v>
      </c>
      <c r="B80">
        <f>('Factors applied'!$E$207+'Factors applied'!$E$208)</f>
        <v>1</v>
      </c>
      <c r="C80" s="98" t="str">
        <f t="shared" si="2"/>
        <v>PASS</v>
      </c>
    </row>
    <row r="81" spans="1:3" x14ac:dyDescent="0.25">
      <c r="A81" t="s">
        <v>753</v>
      </c>
      <c r="B81">
        <f>('Factors applied'!$E$209+'Factors applied'!$E$210)</f>
        <v>1</v>
      </c>
      <c r="C81" s="98" t="str">
        <f t="shared" si="2"/>
        <v>PASS</v>
      </c>
    </row>
    <row r="82" spans="1:3" x14ac:dyDescent="0.25">
      <c r="A82" t="s">
        <v>754</v>
      </c>
      <c r="B82">
        <f>('Factors applied'!$E$211+'Factors applied'!$E$212+'Factors applied'!$E$213)</f>
        <v>1</v>
      </c>
      <c r="C82" s="98" t="str">
        <f t="shared" si="2"/>
        <v>PASS</v>
      </c>
    </row>
    <row r="83" spans="1:3" x14ac:dyDescent="0.25">
      <c r="A83" t="s">
        <v>755</v>
      </c>
      <c r="B83">
        <f>('Factors applied'!$E$214+'Factors applied'!$E$215)</f>
        <v>1</v>
      </c>
      <c r="C83" s="98" t="str">
        <f t="shared" si="2"/>
        <v>PASS</v>
      </c>
    </row>
    <row r="84" spans="1:3" x14ac:dyDescent="0.25">
      <c r="A84" t="s">
        <v>756</v>
      </c>
      <c r="B84">
        <f>('Factors applied'!$E$216+'Factors applied'!$E$217)</f>
        <v>1</v>
      </c>
      <c r="C84" s="98" t="str">
        <f t="shared" si="2"/>
        <v>PASS</v>
      </c>
    </row>
    <row r="85" spans="1:3" x14ac:dyDescent="0.25">
      <c r="A85" t="s">
        <v>757</v>
      </c>
      <c r="B85">
        <f>('Factors applied'!$E$218+'Factors applied'!$E$219+'Factors applied'!$E$220+'Factors applied'!$E$221+'Factors applied'!$E$222)</f>
        <v>0.99999999999999989</v>
      </c>
      <c r="C85" s="98" t="str">
        <f t="shared" si="2"/>
        <v>PASS</v>
      </c>
    </row>
    <row r="86" spans="1:3" x14ac:dyDescent="0.25">
      <c r="A86" t="s">
        <v>758</v>
      </c>
      <c r="B86">
        <f>('Factors applied'!$E$223+'Factors applied'!$E$224)</f>
        <v>1</v>
      </c>
      <c r="C86" s="98" t="str">
        <f t="shared" si="2"/>
        <v>PASS</v>
      </c>
    </row>
    <row r="87" spans="1:3" x14ac:dyDescent="0.25">
      <c r="A87" t="s">
        <v>759</v>
      </c>
      <c r="B87">
        <f>('Factors applied'!$E$225+'Factors applied'!$E$226)</f>
        <v>1</v>
      </c>
      <c r="C87" s="98" t="str">
        <f t="shared" si="2"/>
        <v>PASS</v>
      </c>
    </row>
    <row r="88" spans="1:3" x14ac:dyDescent="0.25">
      <c r="A88" t="s">
        <v>760</v>
      </c>
      <c r="B88">
        <f>('Factors applied'!$E$227+'Factors applied'!$E$228+'Factors applied'!$E$229)</f>
        <v>1</v>
      </c>
      <c r="C88" s="98" t="str">
        <f t="shared" si="2"/>
        <v>PASS</v>
      </c>
    </row>
    <row r="89" spans="1:3" x14ac:dyDescent="0.25">
      <c r="A89" t="s">
        <v>761</v>
      </c>
      <c r="B89">
        <f>('Factors applied'!$E$230+'Factors applied'!$E$231)</f>
        <v>1</v>
      </c>
      <c r="C89" s="98" t="str">
        <f t="shared" si="2"/>
        <v>PASS</v>
      </c>
    </row>
    <row r="90" spans="1:3" x14ac:dyDescent="0.25">
      <c r="A90" t="s">
        <v>762</v>
      </c>
      <c r="B90">
        <f>('Factors applied'!$E$232+'Factors applied'!$E$233)</f>
        <v>1</v>
      </c>
      <c r="C90" s="98" t="str">
        <f t="shared" si="2"/>
        <v>PASS</v>
      </c>
    </row>
    <row r="91" spans="1:3" x14ac:dyDescent="0.25">
      <c r="A91" t="s">
        <v>763</v>
      </c>
      <c r="B91">
        <f>('Factors applied'!$E$234+'Factors applied'!$E$235+'Factors applied'!$E$236+'Factors applied'!$E$237+'Factors applied'!$E$238)</f>
        <v>0.99999999999999989</v>
      </c>
      <c r="C91" s="98" t="str">
        <f t="shared" si="2"/>
        <v>PASS</v>
      </c>
    </row>
    <row r="92" spans="1:3" x14ac:dyDescent="0.25">
      <c r="A92" t="s">
        <v>764</v>
      </c>
      <c r="B92">
        <f>('Factors applied'!$E$239+'Factors applied'!$E$240)</f>
        <v>1</v>
      </c>
      <c r="C92" s="98" t="str">
        <f t="shared" si="2"/>
        <v>PASS</v>
      </c>
    </row>
    <row r="93" spans="1:3" x14ac:dyDescent="0.25">
      <c r="A93" t="s">
        <v>765</v>
      </c>
      <c r="B93">
        <f>('Factors applied'!$E$241+'Factors applied'!$E$242)</f>
        <v>1</v>
      </c>
      <c r="C93" s="98" t="str">
        <f t="shared" si="2"/>
        <v>PASS</v>
      </c>
    </row>
    <row r="94" spans="1:3" x14ac:dyDescent="0.25">
      <c r="A94" t="s">
        <v>766</v>
      </c>
      <c r="B94">
        <f>('Factors applied'!$E$243+'Factors applied'!$E$244+'Factors applied'!$E$245)</f>
        <v>1</v>
      </c>
      <c r="C94" s="98" t="str">
        <f t="shared" si="2"/>
        <v>PASS</v>
      </c>
    </row>
    <row r="95" spans="1:3" x14ac:dyDescent="0.25">
      <c r="A95" t="s">
        <v>767</v>
      </c>
      <c r="B95">
        <f>('Factors applied'!$E$246+'Factors applied'!$E$247)</f>
        <v>1</v>
      </c>
      <c r="C95" s="98" t="str">
        <f t="shared" si="2"/>
        <v>PASS</v>
      </c>
    </row>
    <row r="96" spans="1:3" x14ac:dyDescent="0.25">
      <c r="A96" t="s">
        <v>768</v>
      </c>
      <c r="B96">
        <f>('Factors applied'!$E$248+'Factors applied'!$E$249)</f>
        <v>1</v>
      </c>
      <c r="C96" s="98" t="str">
        <f t="shared" si="2"/>
        <v>PASS</v>
      </c>
    </row>
    <row r="97" spans="1:3" x14ac:dyDescent="0.25">
      <c r="A97" t="s">
        <v>769</v>
      </c>
      <c r="B97">
        <f>('Factors applied'!$E$250+'Factors applied'!$E$251+'Factors applied'!$E$252+'Factors applied'!$E$253+'Factors applied'!$E$254)</f>
        <v>0.99999999999999989</v>
      </c>
      <c r="C97" s="98" t="str">
        <f t="shared" si="2"/>
        <v>PASS</v>
      </c>
    </row>
    <row r="98" spans="1:3" x14ac:dyDescent="0.25">
      <c r="A98" t="s">
        <v>770</v>
      </c>
      <c r="B98">
        <f>('Factors applied'!$E$255+'Factors applied'!$E$256)</f>
        <v>1</v>
      </c>
      <c r="C98" s="98" t="str">
        <f t="shared" si="2"/>
        <v>PASS</v>
      </c>
    </row>
    <row r="99" spans="1:3" x14ac:dyDescent="0.25">
      <c r="A99" t="s">
        <v>771</v>
      </c>
      <c r="B99">
        <f>('Factors applied'!$E$257+'Factors applied'!$E$258)</f>
        <v>1</v>
      </c>
      <c r="C99" s="98" t="str">
        <f t="shared" si="2"/>
        <v>PASS</v>
      </c>
    </row>
    <row r="100" spans="1:3" x14ac:dyDescent="0.25">
      <c r="A100" t="s">
        <v>772</v>
      </c>
      <c r="B100">
        <f>('Factors applied'!$E$259+'Factors applied'!$E$260+'Factors applied'!$E$261)</f>
        <v>1</v>
      </c>
      <c r="C100" s="98" t="str">
        <f t="shared" ref="C100:C131" si="3">IF(ABS(B100-1)&lt;0.000000001,"PASS","FAIL")</f>
        <v>PASS</v>
      </c>
    </row>
    <row r="101" spans="1:3" x14ac:dyDescent="0.25">
      <c r="A101" t="s">
        <v>773</v>
      </c>
      <c r="B101">
        <f>('Factors applied'!$E$262+'Factors applied'!$E$263)</f>
        <v>1</v>
      </c>
      <c r="C101" s="98" t="str">
        <f t="shared" si="3"/>
        <v>PASS</v>
      </c>
    </row>
    <row r="102" spans="1:3" x14ac:dyDescent="0.25">
      <c r="A102" t="s">
        <v>774</v>
      </c>
      <c r="B102">
        <f>('Factors applied'!$E$264+'Factors applied'!$E$265)</f>
        <v>1</v>
      </c>
      <c r="C102" s="98" t="str">
        <f t="shared" si="3"/>
        <v>PASS</v>
      </c>
    </row>
    <row r="103" spans="1:3" x14ac:dyDescent="0.25">
      <c r="A103" t="s">
        <v>775</v>
      </c>
      <c r="B103">
        <f>('Factors applied'!$E$266+'Factors applied'!$E$267+'Factors applied'!$E$268+'Factors applied'!$E$269+'Factors applied'!$E$270)</f>
        <v>0.99999999999999989</v>
      </c>
      <c r="C103" s="98" t="str">
        <f t="shared" si="3"/>
        <v>PASS</v>
      </c>
    </row>
    <row r="104" spans="1:3" x14ac:dyDescent="0.25">
      <c r="A104" t="s">
        <v>776</v>
      </c>
      <c r="B104">
        <f>('Factors applied'!$E$271+'Factors applied'!$E$272)</f>
        <v>1</v>
      </c>
      <c r="C104" s="98" t="str">
        <f t="shared" si="3"/>
        <v>PASS</v>
      </c>
    </row>
    <row r="105" spans="1:3" x14ac:dyDescent="0.25">
      <c r="A105" t="s">
        <v>777</v>
      </c>
      <c r="B105">
        <f>('Factors applied'!$E$273+'Factors applied'!$E$274)</f>
        <v>1</v>
      </c>
      <c r="C105" s="98" t="str">
        <f t="shared" si="3"/>
        <v>PASS</v>
      </c>
    </row>
    <row r="106" spans="1:3" x14ac:dyDescent="0.25">
      <c r="A106" t="s">
        <v>778</v>
      </c>
      <c r="B106">
        <f>('Factors applied'!$E$275+'Factors applied'!$E$276+'Factors applied'!$E$277)</f>
        <v>1</v>
      </c>
      <c r="C106" s="98" t="str">
        <f t="shared" si="3"/>
        <v>PASS</v>
      </c>
    </row>
    <row r="107" spans="1:3" x14ac:dyDescent="0.25">
      <c r="A107" t="s">
        <v>779</v>
      </c>
      <c r="B107">
        <f>('Factors applied'!$E$278+'Factors applied'!$E$279)</f>
        <v>1</v>
      </c>
      <c r="C107" s="98" t="str">
        <f t="shared" si="3"/>
        <v>PASS</v>
      </c>
    </row>
    <row r="108" spans="1:3" x14ac:dyDescent="0.25">
      <c r="A108" t="s">
        <v>780</v>
      </c>
      <c r="B108">
        <f>('Factors applied'!$E$280+'Factors applied'!$E$281)</f>
        <v>1</v>
      </c>
      <c r="C108" s="98" t="str">
        <f t="shared" si="3"/>
        <v>PASS</v>
      </c>
    </row>
    <row r="109" spans="1:3" x14ac:dyDescent="0.25">
      <c r="A109" t="s">
        <v>781</v>
      </c>
      <c r="B109">
        <f>('Factors applied'!$E$282+'Factors applied'!$E$283+'Factors applied'!$E$284+'Factors applied'!$E$285+'Factors applied'!$E$286)</f>
        <v>0.99999999999999989</v>
      </c>
      <c r="C109" s="98" t="str">
        <f t="shared" si="3"/>
        <v>PASS</v>
      </c>
    </row>
    <row r="110" spans="1:3" x14ac:dyDescent="0.25">
      <c r="A110" t="s">
        <v>782</v>
      </c>
      <c r="B110">
        <f>('Factors applied'!$E$287+'Factors applied'!$E$288)</f>
        <v>1</v>
      </c>
      <c r="C110" s="98" t="str">
        <f t="shared" si="3"/>
        <v>PASS</v>
      </c>
    </row>
    <row r="111" spans="1:3" x14ac:dyDescent="0.25">
      <c r="A111" t="s">
        <v>783</v>
      </c>
      <c r="B111">
        <f>('Factors applied'!$E$289+'Factors applied'!$E$290)</f>
        <v>1</v>
      </c>
      <c r="C111" s="98" t="str">
        <f t="shared" si="3"/>
        <v>PASS</v>
      </c>
    </row>
    <row r="113" spans="1:3" x14ac:dyDescent="0.25">
      <c r="A113" s="2" t="s">
        <v>1622</v>
      </c>
    </row>
    <row r="114" spans="1:3" x14ac:dyDescent="0.25">
      <c r="A114" t="str">
        <f>"SoBCaICbIC-urbanresidential | "&amp;'SoBCaICbIC-urbanresidential'!A2</f>
        <v>SoBCaICbIC-urbanresidential | Heating</v>
      </c>
      <c r="B114">
        <f>SUM('SoBCaICbIC-urbanresidential'!B2:BA2)</f>
        <v>0.99999999999999989</v>
      </c>
      <c r="C114" t="str">
        <f>IF(OR(ABS(B114-1)&lt;0.000000001,ABS(B114)&lt;0.000000001),"PASS","FAIL")</f>
        <v>PASS</v>
      </c>
    </row>
    <row r="115" spans="1:3" x14ac:dyDescent="0.25">
      <c r="A115" t="str">
        <f>"SoBCaICbIC-urbanresidential | "&amp;'SoBCaICbIC-urbanresidential'!A3</f>
        <v>SoBCaICbIC-urbanresidential | Cooling</v>
      </c>
      <c r="B115">
        <f>SUM('SoBCaICbIC-urbanresidential'!B3:BA3)</f>
        <v>1</v>
      </c>
      <c r="C115" t="str">
        <f>IF(OR(ABS(B115-1)&lt;0.000000001,ABS(B115)&lt;0.000000001),"PASS","FAIL")</f>
        <v>PASS</v>
      </c>
    </row>
    <row r="116" spans="1:3" x14ac:dyDescent="0.25">
      <c r="A116" t="str">
        <f>"SoBCaICbIC-urbanresidential | "&amp;'SoBCaICbIC-urbanresidential'!A4</f>
        <v>SoBCaICbIC-urbanresidential | Envelope</v>
      </c>
      <c r="B116">
        <f>SUM('SoBCaICbIC-urbanresidential'!B4:BA4)</f>
        <v>0</v>
      </c>
      <c r="C116" t="str">
        <f>IF(OR(ABS(B116-1)&lt;0.000000001,ABS(B116)&lt;0.000000001),"PASS","FAIL")</f>
        <v>PASS</v>
      </c>
    </row>
    <row r="117" spans="1:3" x14ac:dyDescent="0.25">
      <c r="A117" t="str">
        <f>"SoBCaICbIC-urbanresidential | "&amp;'SoBCaICbIC-urbanresidential'!A5</f>
        <v>SoBCaICbIC-urbanresidential | Lighting</v>
      </c>
      <c r="B117">
        <f>SUM('SoBCaICbIC-urbanresidential'!B5:BA5)</f>
        <v>1</v>
      </c>
      <c r="C117" t="str">
        <f>IF(OR(ABS(B117-1)&lt;0.000000001,ABS(B117)&lt;0.000000001),"PASS","FAIL")</f>
        <v>PASS</v>
      </c>
    </row>
    <row r="118" spans="1:3" x14ac:dyDescent="0.25">
      <c r="A118" t="str">
        <f>"SoBCaICbIC-urbanresidential | "&amp;'SoBCaICbIC-urbanresidential'!A6</f>
        <v>SoBCaICbIC-urbanresidential | Appliances</v>
      </c>
      <c r="B118">
        <f>SUM('SoBCaICbIC-urbanresidential'!B6:BA6)</f>
        <v>0.99999999999999989</v>
      </c>
      <c r="C118" t="str">
        <f>IF(OR(ABS(B118-1)&lt;0.000000001,ABS(B118)&lt;0.000000001),"PASS","FAIL")</f>
        <v>PASS</v>
      </c>
    </row>
    <row r="119" spans="1:3" x14ac:dyDescent="0.25">
      <c r="A119" t="str">
        <f>"SoBCaICbIC-urbanresidential | "&amp;'SoBCaICbIC-urbanresidential'!A7</f>
        <v>SoBCaICbIC-urbanresidential | Other</v>
      </c>
      <c r="B119">
        <f>SUM('SoBCaICbIC-urbanresidential'!B7:BA7)</f>
        <v>1</v>
      </c>
      <c r="C119" t="str">
        <f>IF(OR(ABS(B119-1)&lt;0.000000001,ABS(B119)&lt;0.000000001),"PASS","FAIL")</f>
        <v>PASS</v>
      </c>
    </row>
    <row r="120" spans="1:3" x14ac:dyDescent="0.25">
      <c r="A120" t="str">
        <f>"SoBCaICbIC-ruralresidential | "&amp;'SoBCaICbIC-ruralresidential'!A2</f>
        <v>SoBCaICbIC-ruralresidential | Heating</v>
      </c>
      <c r="B120">
        <f>SUM('SoBCaICbIC-ruralresidential'!B2:BA2)</f>
        <v>0.99999999999999989</v>
      </c>
      <c r="C120" t="str">
        <f>IF(OR(ABS(B120-1)&lt;0.000000001,ABS(B120)&lt;0.000000001),"PASS","FAIL")</f>
        <v>PASS</v>
      </c>
    </row>
    <row r="121" spans="1:3" x14ac:dyDescent="0.25">
      <c r="A121" t="str">
        <f>"SoBCaICbIC-ruralresidential | "&amp;'SoBCaICbIC-ruralresidential'!A3</f>
        <v>SoBCaICbIC-ruralresidential | Cooling</v>
      </c>
      <c r="B121">
        <f>SUM('SoBCaICbIC-ruralresidential'!B3:BA3)</f>
        <v>1</v>
      </c>
      <c r="C121" t="str">
        <f>IF(OR(ABS(B121-1)&lt;0.000000001,ABS(B121)&lt;0.000000001),"PASS","FAIL")</f>
        <v>PASS</v>
      </c>
    </row>
    <row r="122" spans="1:3" x14ac:dyDescent="0.25">
      <c r="A122" t="str">
        <f>"SoBCaICbIC-ruralresidential | "&amp;'SoBCaICbIC-ruralresidential'!A4</f>
        <v>SoBCaICbIC-ruralresidential | Envelope</v>
      </c>
      <c r="B122">
        <f>SUM('SoBCaICbIC-ruralresidential'!B4:BA4)</f>
        <v>0</v>
      </c>
      <c r="C122" t="str">
        <f>IF(OR(ABS(B122-1)&lt;0.000000001,ABS(B122)&lt;0.000000001),"PASS","FAIL")</f>
        <v>PASS</v>
      </c>
    </row>
    <row r="123" spans="1:3" x14ac:dyDescent="0.25">
      <c r="A123" t="str">
        <f>"SoBCaICbIC-ruralresidential | "&amp;'SoBCaICbIC-ruralresidential'!A5</f>
        <v>SoBCaICbIC-ruralresidential | Lighting</v>
      </c>
      <c r="B123">
        <f>SUM('SoBCaICbIC-ruralresidential'!B5:BA5)</f>
        <v>1</v>
      </c>
      <c r="C123" t="str">
        <f>IF(OR(ABS(B123-1)&lt;0.000000001,ABS(B123)&lt;0.000000001),"PASS","FAIL")</f>
        <v>PASS</v>
      </c>
    </row>
    <row r="124" spans="1:3" x14ac:dyDescent="0.25">
      <c r="A124" t="str">
        <f>"SoBCaICbIC-ruralresidential | "&amp;'SoBCaICbIC-ruralresidential'!A6</f>
        <v>SoBCaICbIC-ruralresidential | Appliances</v>
      </c>
      <c r="B124">
        <f>SUM('SoBCaICbIC-ruralresidential'!B6:BA6)</f>
        <v>0.99999999999999989</v>
      </c>
      <c r="C124" t="str">
        <f>IF(OR(ABS(B124-1)&lt;0.000000001,ABS(B124)&lt;0.000000001),"PASS","FAIL")</f>
        <v>PASS</v>
      </c>
    </row>
    <row r="125" spans="1:3" x14ac:dyDescent="0.25">
      <c r="A125" t="str">
        <f>"SoBCaICbIC-ruralresidential | "&amp;'SoBCaICbIC-ruralresidential'!A7</f>
        <v>SoBCaICbIC-ruralresidential | Other</v>
      </c>
      <c r="B125">
        <f>SUM('SoBCaICbIC-ruralresidential'!B7:BA7)</f>
        <v>1</v>
      </c>
      <c r="C125" t="str">
        <f>IF(OR(ABS(B125-1)&lt;0.000000001,ABS(B125)&lt;0.000000001),"PASS","FAIL")</f>
        <v>PASS</v>
      </c>
    </row>
    <row r="126" spans="1:3" x14ac:dyDescent="0.25">
      <c r="A126" t="str">
        <f>"SoBCaICbIC-commercial | "&amp;'SoBCaICbIC-commercial'!A2</f>
        <v>SoBCaICbIC-commercial | Heating</v>
      </c>
      <c r="B126">
        <f>SUM('SoBCaICbIC-commercial'!B2:BA2)</f>
        <v>1</v>
      </c>
      <c r="C126" t="str">
        <f>IF(OR(ABS(B126-1)&lt;0.000000001,ABS(B126)&lt;0.000000001),"PASS","FAIL")</f>
        <v>PASS</v>
      </c>
    </row>
    <row r="127" spans="1:3" x14ac:dyDescent="0.25">
      <c r="A127" t="str">
        <f>"SoBCaICbIC-commercial | "&amp;'SoBCaICbIC-commercial'!A3</f>
        <v>SoBCaICbIC-commercial | Cooling</v>
      </c>
      <c r="B127">
        <f>SUM('SoBCaICbIC-commercial'!B3:BA3)</f>
        <v>1</v>
      </c>
      <c r="C127" t="str">
        <f>IF(OR(ABS(B127-1)&lt;0.000000001,ABS(B127)&lt;0.000000001),"PASS","FAIL")</f>
        <v>PASS</v>
      </c>
    </row>
    <row r="128" spans="1:3" x14ac:dyDescent="0.25">
      <c r="A128" t="str">
        <f>"SoBCaICbIC-commercial | "&amp;'SoBCaICbIC-commercial'!A4</f>
        <v>SoBCaICbIC-commercial | Envelope</v>
      </c>
      <c r="B128">
        <f>SUM('SoBCaICbIC-commercial'!B4:BA4)</f>
        <v>0</v>
      </c>
      <c r="C128" t="str">
        <f>IF(OR(ABS(B128-1)&lt;0.000000001,ABS(B128)&lt;0.000000001),"PASS","FAIL")</f>
        <v>PASS</v>
      </c>
    </row>
    <row r="129" spans="1:3" x14ac:dyDescent="0.25">
      <c r="A129" t="str">
        <f>"SoBCaICbIC-commercial | "&amp;'SoBCaICbIC-commercial'!A5</f>
        <v>SoBCaICbIC-commercial | Lighting</v>
      </c>
      <c r="B129">
        <f>SUM('SoBCaICbIC-commercial'!B5:BA5)</f>
        <v>1</v>
      </c>
      <c r="C129" t="str">
        <f>IF(OR(ABS(B129-1)&lt;0.000000001,ABS(B129)&lt;0.000000001),"PASS","FAIL")</f>
        <v>PASS</v>
      </c>
    </row>
    <row r="130" spans="1:3" x14ac:dyDescent="0.25">
      <c r="A130" t="str">
        <f>"SoBCaICbIC-commercial | "&amp;'SoBCaICbIC-commercial'!A6</f>
        <v>SoBCaICbIC-commercial | Appliances</v>
      </c>
      <c r="B130">
        <f>SUM('SoBCaICbIC-commercial'!B6:BA6)</f>
        <v>1</v>
      </c>
      <c r="C130" t="str">
        <f>IF(OR(ABS(B130-1)&lt;0.000000001,ABS(B130)&lt;0.000000001),"PASS","FAIL")</f>
        <v>PASS</v>
      </c>
    </row>
    <row r="131" spans="1:3" x14ac:dyDescent="0.25">
      <c r="A131" t="str">
        <f>"SoBCaICbIC-commercial | "&amp;'SoBCaICbIC-commercial'!A7</f>
        <v>SoBCaICbIC-commercial | Other</v>
      </c>
      <c r="B131">
        <f>SUM('SoBCaICbIC-commercial'!B7:BA7)</f>
        <v>1</v>
      </c>
      <c r="C131" t="str">
        <f>IF(OR(ABS(B131-1)&lt;0.000000001,ABS(B131)&lt;0.000000001),"PASS","FAIL")</f>
        <v>PASS</v>
      </c>
    </row>
    <row r="132" spans="1:3" x14ac:dyDescent="0.25">
      <c r="A132" t="str">
        <f>"Margin shares add to 100%: "&amp;'Margin Calcs'!A5&amp;" "&amp;'Margin Calcs'!B5</f>
        <v>Margin shares add to 100%: Heating Residential</v>
      </c>
      <c r="B132">
        <f>'Margin Calcs'!L5+'Margin Calcs'!M5+'Margin Calcs'!N5</f>
        <v>1</v>
      </c>
      <c r="C132" t="str">
        <f>IF(ABS(B132-1)&lt;0.000000001,"PASS","FAIL")</f>
        <v>PASS</v>
      </c>
    </row>
    <row r="133" spans="1:3" x14ac:dyDescent="0.25">
      <c r="A133" t="str">
        <f>"Margin shares add to 100%: "&amp;'Margin Calcs'!A6&amp;" "&amp;'Margin Calcs'!B6</f>
        <v>Margin shares add to 100%: Heating Commercial</v>
      </c>
      <c r="B133">
        <f>'Margin Calcs'!L6+'Margin Calcs'!M6+'Margin Calcs'!N6</f>
        <v>1</v>
      </c>
      <c r="C133" t="str">
        <f>IF(ABS(B133-1)&lt;0.000000001,"PASS","FAIL")</f>
        <v>PASS</v>
      </c>
    </row>
    <row r="134" spans="1:3" x14ac:dyDescent="0.25">
      <c r="A134" t="str">
        <f>"Margin shares add to 100%: "&amp;'Margin Calcs'!A7&amp;" "&amp;'Margin Calcs'!B7</f>
        <v>Margin shares add to 100%: Cooling Residential</v>
      </c>
      <c r="B134">
        <f>'Margin Calcs'!L7+'Margin Calcs'!M7+'Margin Calcs'!N7</f>
        <v>1</v>
      </c>
      <c r="C134" t="str">
        <f>IF(ABS(B134-1)&lt;0.000000001,"PASS","FAIL")</f>
        <v>PASS</v>
      </c>
    </row>
    <row r="135" spans="1:3" x14ac:dyDescent="0.25">
      <c r="A135" t="str">
        <f>"Margin shares add to 100%: "&amp;'Margin Calcs'!A8&amp;" "&amp;'Margin Calcs'!B8</f>
        <v>Margin shares add to 100%: Cooling Commercial</v>
      </c>
      <c r="B135">
        <f>'Margin Calcs'!L8+'Margin Calcs'!M8+'Margin Calcs'!N8</f>
        <v>1</v>
      </c>
      <c r="C135" t="str">
        <f>IF(ABS(B135-1)&lt;0.000000001,"PASS","FAIL")</f>
        <v>PASS</v>
      </c>
    </row>
    <row r="136" spans="1:3" x14ac:dyDescent="0.25">
      <c r="A136" t="str">
        <f>"Margin shares add to 100%: "&amp;'Margin Calcs'!A9&amp;" "&amp;'Margin Calcs'!B9</f>
        <v>Margin shares add to 100%: Lighting Residential</v>
      </c>
      <c r="B136">
        <f>'Margin Calcs'!L9+'Margin Calcs'!M9+'Margin Calcs'!N9</f>
        <v>1</v>
      </c>
      <c r="C136" t="str">
        <f>IF(ABS(B136-1)&lt;0.000000001,"PASS","FAIL")</f>
        <v>PASS</v>
      </c>
    </row>
    <row r="137" spans="1:3" x14ac:dyDescent="0.25">
      <c r="A137" t="str">
        <f>"Margin shares add to 100%: "&amp;'Margin Calcs'!A10&amp;" "&amp;'Margin Calcs'!B10</f>
        <v>Margin shares add to 100%: Lighting Commercial</v>
      </c>
      <c r="B137">
        <f>'Margin Calcs'!L10+'Margin Calcs'!M10+'Margin Calcs'!N10</f>
        <v>1</v>
      </c>
      <c r="C137" t="str">
        <f>IF(ABS(B137-1)&lt;0.000000001,"PASS","FAIL")</f>
        <v>PASS</v>
      </c>
    </row>
    <row r="138" spans="1:3" x14ac:dyDescent="0.25">
      <c r="A138" t="str">
        <f>"Margin shares add to 100%: "&amp;'Margin Calcs'!A11&amp;" "&amp;'Margin Calcs'!B11</f>
        <v>Margin shares add to 100%: Appliances Residential</v>
      </c>
      <c r="B138">
        <f>'Margin Calcs'!L11+'Margin Calcs'!M11+'Margin Calcs'!N11</f>
        <v>1</v>
      </c>
      <c r="C138" t="str">
        <f>IF(ABS(B138-1)&lt;0.000000001,"PASS","FAIL")</f>
        <v>PASS</v>
      </c>
    </row>
    <row r="139" spans="1:3" x14ac:dyDescent="0.25">
      <c r="A139" t="str">
        <f>"Margin shares add to 100%: "&amp;'Margin Calcs'!A12&amp;" "&amp;'Margin Calcs'!B12</f>
        <v>Margin shares add to 100%: Appliances Commercial</v>
      </c>
      <c r="B139">
        <f>'Margin Calcs'!L12+'Margin Calcs'!M12+'Margin Calcs'!N12</f>
        <v>1</v>
      </c>
      <c r="C139" t="str">
        <f>IF(ABS(B139-1)&lt;0.000000001,"PASS","FAIL")</f>
        <v>PASS</v>
      </c>
    </row>
    <row r="140" spans="1:3" x14ac:dyDescent="0.25">
      <c r="A140" t="str">
        <f>"Margin shares add to 100%: "&amp;'Margin Calcs'!A13&amp;" "&amp;'Margin Calcs'!B13</f>
        <v>Margin shares add to 100%: Other Residential</v>
      </c>
      <c r="B140">
        <f>'Margin Calcs'!L13+'Margin Calcs'!M13+'Margin Calcs'!N13</f>
        <v>1</v>
      </c>
      <c r="C140" t="str">
        <f>IF(ABS(B140-1)&lt;0.000000001,"PASS","FAIL")</f>
        <v>PASS</v>
      </c>
    </row>
    <row r="141" spans="1:3" x14ac:dyDescent="0.25">
      <c r="A141" t="str">
        <f>"Margin shares add to 100%: "&amp;'Margin Calcs'!A14&amp;" "&amp;'Margin Calcs'!B14</f>
        <v>Margin shares add to 100%: Other Commercial</v>
      </c>
      <c r="B141">
        <f>'Margin Calcs'!L14+'Margin Calcs'!M14+'Margin Calcs'!N14</f>
        <v>1</v>
      </c>
      <c r="C141" t="str">
        <f>IF(ABS(B141-1)&lt;0.000000001,"PASS","FAIL")</f>
        <v>PASS</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BA7"/>
  <sheetViews>
    <sheetView topLeftCell="U1" workbookViewId="0">
      <selection activeCell="AG5" sqref="AG5"/>
    </sheetView>
  </sheetViews>
  <sheetFormatPr defaultRowHeight="15" x14ac:dyDescent="0.25"/>
  <cols>
    <col min="1" max="1" width="22.85546875" customWidth="1"/>
    <col min="2" max="43" width="11.140625" customWidth="1"/>
  </cols>
  <sheetData>
    <row r="1" spans="1:53" x14ac:dyDescent="0.25">
      <c r="A1" s="99" t="s">
        <v>784</v>
      </c>
      <c r="B1" s="98" t="s">
        <v>41</v>
      </c>
      <c r="C1" s="98" t="s">
        <v>44</v>
      </c>
      <c r="D1" s="98" t="s">
        <v>45</v>
      </c>
      <c r="E1" s="98" t="s">
        <v>76</v>
      </c>
      <c r="F1" s="98" t="s">
        <v>78</v>
      </c>
      <c r="G1" s="98" t="s">
        <v>46</v>
      </c>
      <c r="H1" s="98" t="s">
        <v>48</v>
      </c>
      <c r="I1" s="98" t="s">
        <v>81</v>
      </c>
      <c r="J1" s="98" t="s">
        <v>83</v>
      </c>
      <c r="K1" s="98" t="s">
        <v>85</v>
      </c>
      <c r="L1" s="98" t="s">
        <v>87</v>
      </c>
      <c r="M1" s="98" t="s">
        <v>89</v>
      </c>
      <c r="N1" s="98" t="s">
        <v>91</v>
      </c>
      <c r="O1" s="98" t="s">
        <v>93</v>
      </c>
      <c r="P1" s="98" t="s">
        <v>95</v>
      </c>
      <c r="Q1" s="98" t="s">
        <v>97</v>
      </c>
      <c r="R1" s="98" t="s">
        <v>99</v>
      </c>
      <c r="S1" s="98" t="s">
        <v>101</v>
      </c>
      <c r="T1" s="98" t="s">
        <v>103</v>
      </c>
      <c r="U1" s="98" t="s">
        <v>105</v>
      </c>
      <c r="V1" s="98" t="s">
        <v>107</v>
      </c>
      <c r="W1" s="98" t="s">
        <v>109</v>
      </c>
      <c r="X1" s="98" t="s">
        <v>111</v>
      </c>
      <c r="Y1" s="98" t="s">
        <v>113</v>
      </c>
      <c r="Z1" s="98" t="s">
        <v>115</v>
      </c>
      <c r="AA1" s="98" t="s">
        <v>49</v>
      </c>
      <c r="AB1" s="98" t="s">
        <v>51</v>
      </c>
      <c r="AC1" s="98" t="s">
        <v>118</v>
      </c>
      <c r="AD1" s="98" t="s">
        <v>120</v>
      </c>
      <c r="AE1" s="98" t="s">
        <v>122</v>
      </c>
      <c r="AF1" s="98" t="s">
        <v>124</v>
      </c>
      <c r="AG1" s="98" t="s">
        <v>126</v>
      </c>
      <c r="AH1" s="98" t="s">
        <v>128</v>
      </c>
      <c r="AI1" s="98" t="s">
        <v>52</v>
      </c>
      <c r="AJ1" s="98" t="s">
        <v>54</v>
      </c>
      <c r="AK1" s="98" t="s">
        <v>55</v>
      </c>
      <c r="AL1" s="98" t="s">
        <v>56</v>
      </c>
      <c r="AM1" s="98" t="s">
        <v>57</v>
      </c>
      <c r="AN1" s="98" t="s">
        <v>131</v>
      </c>
      <c r="AO1" s="98" t="s">
        <v>133</v>
      </c>
      <c r="AP1" s="98" t="s">
        <v>135</v>
      </c>
      <c r="AQ1" s="98" t="s">
        <v>137</v>
      </c>
      <c r="AR1" s="98" t="s">
        <v>139</v>
      </c>
      <c r="AS1" s="98" t="s">
        <v>141</v>
      </c>
      <c r="AT1" s="98" t="s">
        <v>58</v>
      </c>
      <c r="AU1" s="98" t="s">
        <v>61</v>
      </c>
      <c r="AV1" s="98" t="s">
        <v>144</v>
      </c>
      <c r="AW1" s="98" t="s">
        <v>146</v>
      </c>
      <c r="AX1" s="98" t="s">
        <v>148</v>
      </c>
      <c r="AY1" s="98" t="s">
        <v>62</v>
      </c>
      <c r="AZ1" s="98" t="s">
        <v>64</v>
      </c>
      <c r="BA1" s="98" t="s">
        <v>151</v>
      </c>
    </row>
    <row r="2" spans="1:53" x14ac:dyDescent="0.25">
      <c r="A2" t="s">
        <v>67</v>
      </c>
      <c r="B2">
        <f>(SUMIFS('Cost Breakdowns'!$C$3:$C$22,'Cost Breakdowns'!$A$3:$A$22,'SoBCaICbIC-urbanresidential'!$A2,'Cost Breakdowns'!$F$3:$F$22,"ISIC 01T03"))*'Factors applied'!$E$243</f>
        <v>0</v>
      </c>
      <c r="C2">
        <f>(SUMIFS('Cost Breakdowns'!$C$3:$C$22,'Cost Breakdowns'!$A$3:$A$22,'SoBCaICbIC-urbanresidential'!$A2,'Cost Breakdowns'!$F$3:$F$22,"ISIC 01T03"))*'Factors applied'!$E$244</f>
        <v>0</v>
      </c>
      <c r="D2">
        <f>(SUMIFS('Cost Breakdowns'!$C$3:$C$22,'Cost Breakdowns'!$A$3:$A$22,'SoBCaICbIC-urbanresidential'!$A2,'Cost Breakdowns'!$F$3:$F$22,"ISIC 01T03"))*'Factors applied'!$E$245</f>
        <v>0</v>
      </c>
      <c r="E2">
        <f>(SUMIFS('Cost Breakdowns'!$C$3:$C$22,'Cost Breakdowns'!$A$3:$A$22,'SoBCaICbIC-urbanresidential'!$A2,'Cost Breakdowns'!$F$3:$F$22,"ISIC 05"))</f>
        <v>0</v>
      </c>
      <c r="F2">
        <f>(SUMIFS('Cost Breakdowns'!$C$3:$C$22,'Cost Breakdowns'!$A$3:$A$22,'SoBCaICbIC-urbanresidential'!$A2,'Cost Breakdowns'!$F$3:$F$22,"ISIC 06"))</f>
        <v>0</v>
      </c>
      <c r="G2">
        <f>(SUMIFS('Cost Breakdowns'!$C$3:$C$22,'Cost Breakdowns'!$A$3:$A$22,'SoBCaICbIC-urbanresidential'!$A2,'Cost Breakdowns'!$F$3:$F$22,"ISIC 07T08"))*'Factors applied'!$E$246</f>
        <v>0</v>
      </c>
      <c r="H2">
        <f>(SUMIFS('Cost Breakdowns'!$C$3:$C$22,'Cost Breakdowns'!$A$3:$A$22,'SoBCaICbIC-urbanresidential'!$A2,'Cost Breakdowns'!$F$3:$F$22,"ISIC 07T08"))*'Factors applied'!$E$247</f>
        <v>0</v>
      </c>
      <c r="I2">
        <f>(SUMIFS('Cost Breakdowns'!$C$3:$C$22,'Cost Breakdowns'!$A$3:$A$22,'SoBCaICbIC-urbanresidential'!$A2,'Cost Breakdowns'!$F$3:$F$22,"ISIC 09"))</f>
        <v>0</v>
      </c>
      <c r="J2">
        <f>(SUMIFS('Cost Breakdowns'!$C$3:$C$22,'Cost Breakdowns'!$A$3:$A$22,'SoBCaICbIC-urbanresidential'!$A2,'Cost Breakdowns'!$F$3:$F$22,"ISIC 10T12"))</f>
        <v>0</v>
      </c>
      <c r="K2">
        <f>(SUMIFS('Cost Breakdowns'!$C$3:$C$22,'Cost Breakdowns'!$A$3:$A$22,'SoBCaICbIC-urbanresidential'!$A2,'Cost Breakdowns'!$F$3:$F$22,"ISIC 13T15"))</f>
        <v>0</v>
      </c>
      <c r="L2">
        <f>(SUMIFS('Cost Breakdowns'!$C$3:$C$22,'Cost Breakdowns'!$A$3:$A$22,'SoBCaICbIC-urbanresidential'!$A2,'Cost Breakdowns'!$F$3:$F$22,"ISIC 16"))</f>
        <v>0</v>
      </c>
      <c r="M2">
        <f>(SUMIFS('Cost Breakdowns'!$C$3:$C$22,'Cost Breakdowns'!$A$3:$A$22,'SoBCaICbIC-urbanresidential'!$A2,'Cost Breakdowns'!$F$3:$F$22,"ISIC 17T18"))</f>
        <v>0</v>
      </c>
      <c r="N2">
        <f>(SUMIFS('Cost Breakdowns'!$C$3:$C$22,'Cost Breakdowns'!$A$3:$A$22,'SoBCaICbIC-urbanresidential'!$A2,'Cost Breakdowns'!$F$3:$F$22,"ISIC 19"))</f>
        <v>0</v>
      </c>
      <c r="O2">
        <f>(SUMIFS('Cost Breakdowns'!$C$3:$C$22,'Cost Breakdowns'!$A$3:$A$22,'SoBCaICbIC-urbanresidential'!$A2,'Cost Breakdowns'!$F$3:$F$22,"ISIC 20"))</f>
        <v>0</v>
      </c>
      <c r="P2">
        <f>(SUMIFS('Cost Breakdowns'!$C$3:$C$22,'Cost Breakdowns'!$A$3:$A$22,'SoBCaICbIC-urbanresidential'!$A2,'Cost Breakdowns'!$F$3:$F$22,"ISIC 21"))</f>
        <v>0</v>
      </c>
      <c r="Q2">
        <f>(SUMIFS('Cost Breakdowns'!$C$3:$C$22,'Cost Breakdowns'!$A$3:$A$22,'SoBCaICbIC-urbanresidential'!$A2,'Cost Breakdowns'!$F$3:$F$22,"ISIC 22"))</f>
        <v>0</v>
      </c>
      <c r="R2">
        <f>(SUMIFS('Cost Breakdowns'!$C$3:$C$22,'Cost Breakdowns'!$A$3:$A$22,'SoBCaICbIC-urbanresidential'!$A2,'Cost Breakdowns'!$F$3:$F$22,"ISIC 231"))</f>
        <v>0</v>
      </c>
      <c r="S2">
        <f>(SUMIFS('Cost Breakdowns'!$C$3:$C$22,'Cost Breakdowns'!$A$3:$A$22,'SoBCaICbIC-urbanresidential'!$A2,'Cost Breakdowns'!$F$3:$F$22,"ISIC 239"))</f>
        <v>0</v>
      </c>
      <c r="T2">
        <f>(SUMIFS('Cost Breakdowns'!$C$3:$C$22,'Cost Breakdowns'!$A$3:$A$22,'SoBCaICbIC-urbanresidential'!$A2,'Cost Breakdowns'!$F$3:$F$22,"ISIC 241"))</f>
        <v>0</v>
      </c>
      <c r="U2">
        <f>(SUMIFS('Cost Breakdowns'!$C$3:$C$22,'Cost Breakdowns'!$A$3:$A$22,'SoBCaICbIC-urbanresidential'!$A2,'Cost Breakdowns'!$F$3:$F$22,"ISIC 242"))</f>
        <v>0</v>
      </c>
      <c r="V2">
        <f>(SUMIFS('Cost Breakdowns'!$C$3:$C$22,'Cost Breakdowns'!$A$3:$A$22,'SoBCaICbIC-urbanresidential'!$A2,'Cost Breakdowns'!$F$3:$F$22,"ISIC 25"))</f>
        <v>0</v>
      </c>
      <c r="W2">
        <f>(SUMIFS('Cost Breakdowns'!$C$3:$C$22,'Cost Breakdowns'!$A$3:$A$22,'SoBCaICbIC-urbanresidential'!$A2,'Cost Breakdowns'!$F$3:$F$22,"ISIC 26"))</f>
        <v>0</v>
      </c>
      <c r="X2">
        <f>(SUMIFS('Cost Breakdowns'!$C$3:$C$22,'Cost Breakdowns'!$A$3:$A$22,'SoBCaICbIC-urbanresidential'!$A2,'Cost Breakdowns'!$F$3:$F$22,"ISIC 27"))</f>
        <v>0</v>
      </c>
      <c r="Y2">
        <f>(SUMIFS('Cost Breakdowns'!$C$3:$C$22,'Cost Breakdowns'!$A$3:$A$22,'SoBCaICbIC-urbanresidential'!$A2,'Cost Breakdowns'!$F$3:$F$22,"ISIC 28"))</f>
        <v>0.25957514990948705</v>
      </c>
      <c r="Z2">
        <f>(SUMIFS('Cost Breakdowns'!$C$3:$C$22,'Cost Breakdowns'!$A$3:$A$22,'SoBCaICbIC-urbanresidential'!$A2,'Cost Breakdowns'!$F$3:$F$22,"ISIC 29"))</f>
        <v>0</v>
      </c>
      <c r="AA2">
        <f>(SUMIFS('Cost Breakdowns'!$C$3:$C$22,'Cost Breakdowns'!$A$3:$A$22,'SoBCaICbIC-urbanresidential'!$A2,'Cost Breakdowns'!$F$3:$F$22,"ISIC 30"))*'Factors applied'!$E$248</f>
        <v>0</v>
      </c>
      <c r="AB2">
        <f>(SUMIFS('Cost Breakdowns'!$C$3:$C$22,'Cost Breakdowns'!$A$3:$A$22,'SoBCaICbIC-urbanresidential'!$A2,'Cost Breakdowns'!$F$3:$F$22,"ISIC 30"))*'Factors applied'!$E$249</f>
        <v>0</v>
      </c>
      <c r="AC2">
        <f>(SUMIFS('Cost Breakdowns'!$C$3:$C$22,'Cost Breakdowns'!$A$3:$A$22,'SoBCaICbIC-urbanresidential'!$A2,'Cost Breakdowns'!$F$3:$F$22,"ISIC 31T33"))</f>
        <v>0</v>
      </c>
      <c r="AD2">
        <f>(SUMIFS('Cost Breakdowns'!$C$3:$C$22,'Cost Breakdowns'!$A$3:$A$22,'SoBCaICbIC-urbanresidential'!$A2,'Cost Breakdowns'!$F$3:$F$22,"ISIC 351"))</f>
        <v>0</v>
      </c>
      <c r="AE2">
        <f>(SUMIFS('Cost Breakdowns'!$C$3:$C$22,'Cost Breakdowns'!$A$3:$A$22,'SoBCaICbIC-urbanresidential'!$A2,'Cost Breakdowns'!$F$3:$F$22,"ISIC 352T353"))</f>
        <v>0</v>
      </c>
      <c r="AF2">
        <f>(SUMIFS('Cost Breakdowns'!$C$3:$C$22,'Cost Breakdowns'!$A$3:$A$22,'SoBCaICbIC-urbanresidential'!$A2,'Cost Breakdowns'!$F$3:$F$22,"ISIC 36T39"))</f>
        <v>0</v>
      </c>
      <c r="AG2">
        <f>(SUMIFS('Cost Breakdowns'!$C$3:$C$22,'Cost Breakdowns'!$A$3:$A$22,'SoBCaICbIC-urbanresidential'!$A2,'Cost Breakdowns'!$F$3:$F$22,"ISIC 41T43"))</f>
        <v>0.44971872913162625</v>
      </c>
      <c r="AH2">
        <f>(SUMIFS('Cost Breakdowns'!$C$3:$C$22,'Cost Breakdowns'!$A$3:$A$22,'SoBCaICbIC-urbanresidential'!$A2,'Cost Breakdowns'!$F$3:$F$22,"ISIC 45T47"))</f>
        <v>0.28309632803570012</v>
      </c>
      <c r="AI2">
        <f>(SUMIFS('Cost Breakdowns'!$C$3:$C$22,'Cost Breakdowns'!$A$3:$A$22,'SoBCaICbIC-urbanresidential'!$A2,'Cost Breakdowns'!$F$3:$F$22,"ISIC 49T53"))*'Factors applied'!$E$250+SUMIFS('Cost Breakdowns'!$C$3:$C$22,'Cost Breakdowns'!$A$3:$A$22,'SoBCaICbIC-urbanresidential'!$A2,'Cost Breakdowns'!$F$3:$F$22,"ISIC 49")</f>
        <v>7.6097929231865842E-3</v>
      </c>
      <c r="AJ2">
        <f>(SUMIFS('Cost Breakdowns'!$C$3:$C$22,'Cost Breakdowns'!$A$3:$A$22,'SoBCaICbIC-urbanresidential'!$A2,'Cost Breakdowns'!$F$3:$F$22,"ISIC 49T53"))*'Factors applied'!$E$251</f>
        <v>0</v>
      </c>
      <c r="AK2">
        <f>(SUMIFS('Cost Breakdowns'!$C$3:$C$22,'Cost Breakdowns'!$A$3:$A$22,'SoBCaICbIC-urbanresidential'!$A2,'Cost Breakdowns'!$F$3:$F$22,"ISIC 49T53"))*'Factors applied'!$E$252</f>
        <v>0</v>
      </c>
      <c r="AL2">
        <f>(SUMIFS('Cost Breakdowns'!$C$3:$C$22,'Cost Breakdowns'!$A$3:$A$22,'SoBCaICbIC-urbanresidential'!$A2,'Cost Breakdowns'!$F$3:$F$22,"ISIC 49T53"))*'Factors applied'!$E$253</f>
        <v>0</v>
      </c>
      <c r="AM2">
        <f>(SUMIFS('Cost Breakdowns'!$C$3:$C$22,'Cost Breakdowns'!$A$3:$A$22,'SoBCaICbIC-urbanresidential'!$A2,'Cost Breakdowns'!$F$3:$F$22,"ISIC 49T53"))*'Factors applied'!$E$254</f>
        <v>0</v>
      </c>
      <c r="AN2">
        <f>(SUMIFS('Cost Breakdowns'!$C$3:$C$22,'Cost Breakdowns'!$A$3:$A$22,'SoBCaICbIC-urbanresidential'!$A2,'Cost Breakdowns'!$F$3:$F$22,"ISIC 55T56"))</f>
        <v>0</v>
      </c>
      <c r="AO2">
        <f>(SUMIFS('Cost Breakdowns'!$C$3:$C$22,'Cost Breakdowns'!$A$3:$A$22,'SoBCaICbIC-urbanresidential'!$A2,'Cost Breakdowns'!$F$3:$F$22,"ISIC 58T60"))</f>
        <v>0</v>
      </c>
      <c r="AP2">
        <f>(SUMIFS('Cost Breakdowns'!$C$3:$C$22,'Cost Breakdowns'!$A$3:$A$22,'SoBCaICbIC-urbanresidential'!$A2,'Cost Breakdowns'!$F$3:$F$22,"ISIC 61"))</f>
        <v>0</v>
      </c>
      <c r="AQ2">
        <f>(SUMIFS('Cost Breakdowns'!$C$3:$C$22,'Cost Breakdowns'!$A$3:$A$22,'SoBCaICbIC-urbanresidential'!$A2,'Cost Breakdowns'!$F$3:$F$22,"ISIC 62T63"))</f>
        <v>0</v>
      </c>
      <c r="AR2">
        <f>(SUMIFS('Cost Breakdowns'!$C$3:$C$22,'Cost Breakdowns'!$A$3:$A$22,'SoBCaICbIC-urbanresidential'!$A2,'Cost Breakdowns'!$F$3:$F$22,"ISIC 64T66"))</f>
        <v>0</v>
      </c>
      <c r="AS2">
        <f>(SUMIFS('Cost Breakdowns'!$C$3:$C$22,'Cost Breakdowns'!$A$3:$A$22,'SoBCaICbIC-urbanresidential'!$A2,'Cost Breakdowns'!$F$3:$F$22,"ISIC 68"))</f>
        <v>0</v>
      </c>
      <c r="AT2">
        <f>(SUMIFS('Cost Breakdowns'!$C$3:$C$22,'Cost Breakdowns'!$A$3:$A$22,'SoBCaICbIC-urbanresidential'!$A2,'Cost Breakdowns'!$F$3:$F$22,"ISIC 69T82"))*'Factors applied'!$E$255</f>
        <v>0</v>
      </c>
      <c r="AU2">
        <f>(SUMIFS('Cost Breakdowns'!$C$3:$C$22,'Cost Breakdowns'!$A$3:$A$22,'SoBCaICbIC-urbanresidential'!$A2,'Cost Breakdowns'!$F$3:$F$22,"ISIC 69T82"))*'Factors applied'!$E$256</f>
        <v>0</v>
      </c>
      <c r="AV2">
        <f>(SUMIFS('Cost Breakdowns'!$C$3:$C$22,'Cost Breakdowns'!$A$3:$A$22,'SoBCaICbIC-urbanresidential'!$A2,'Cost Breakdowns'!$F$3:$F$22,"ISIC 84"))</f>
        <v>0</v>
      </c>
      <c r="AW2">
        <f>(SUMIFS('Cost Breakdowns'!$C$3:$C$22,'Cost Breakdowns'!$A$3:$A$22,'SoBCaICbIC-urbanresidential'!$A2,'Cost Breakdowns'!$F$3:$F$22,"ISIC 85"))</f>
        <v>0</v>
      </c>
      <c r="AX2">
        <f>(SUMIFS('Cost Breakdowns'!$C$3:$C$22,'Cost Breakdowns'!$A$3:$A$22,'SoBCaICbIC-urbanresidential'!$A2,'Cost Breakdowns'!$F$3:$F$22,"ISIC 86T88"))</f>
        <v>0</v>
      </c>
      <c r="AY2">
        <f>(SUMIFS('Cost Breakdowns'!$C$3:$C$22,'Cost Breakdowns'!$A$3:$A$22,'SoBCaICbIC-urbanresidential'!$A2,'Cost Breakdowns'!$F$3:$F$22,"ISIC 90T96"))*'Factors applied'!$E$257</f>
        <v>0</v>
      </c>
      <c r="AZ2">
        <f>(SUMIFS('Cost Breakdowns'!$C$3:$C$22,'Cost Breakdowns'!$A$3:$A$22,'SoBCaICbIC-urbanresidential'!$A2,'Cost Breakdowns'!$F$3:$F$22,"ISIC 90T96"))*'Factors applied'!$E$258</f>
        <v>0</v>
      </c>
      <c r="BA2">
        <f>(SUMIFS('Cost Breakdowns'!$C$3:$C$22,'Cost Breakdowns'!$A$3:$A$22,'SoBCaICbIC-urbanresidential'!$A2,'Cost Breakdowns'!$F$3:$F$22,"ISIC 97T98"))</f>
        <v>0</v>
      </c>
    </row>
    <row r="3" spans="1:53" x14ac:dyDescent="0.25">
      <c r="A3" t="s">
        <v>65</v>
      </c>
      <c r="B3">
        <f>(SUMIFS('Cost Breakdowns'!$C$3:$C$22,'Cost Breakdowns'!$A$3:$A$22,'SoBCaICbIC-urbanresidential'!$A3,'Cost Breakdowns'!$F$3:$F$22,"ISIC 01T03"))*'Factors applied'!$E$211</f>
        <v>0</v>
      </c>
      <c r="C3">
        <f>(SUMIFS('Cost Breakdowns'!$C$3:$C$22,'Cost Breakdowns'!$A$3:$A$22,'SoBCaICbIC-urbanresidential'!$A3,'Cost Breakdowns'!$F$3:$F$22,"ISIC 01T03"))*'Factors applied'!$E$212</f>
        <v>0</v>
      </c>
      <c r="D3">
        <f>(SUMIFS('Cost Breakdowns'!$C$3:$C$22,'Cost Breakdowns'!$A$3:$A$22,'SoBCaICbIC-urbanresidential'!$A3,'Cost Breakdowns'!$F$3:$F$22,"ISIC 01T03"))*'Factors applied'!$E$213</f>
        <v>0</v>
      </c>
      <c r="E3">
        <f>(SUMIFS('Cost Breakdowns'!$C$3:$C$22,'Cost Breakdowns'!$A$3:$A$22,'SoBCaICbIC-urbanresidential'!$A3,'Cost Breakdowns'!$F$3:$F$22,"ISIC 05"))</f>
        <v>0</v>
      </c>
      <c r="F3">
        <f>(SUMIFS('Cost Breakdowns'!$C$3:$C$22,'Cost Breakdowns'!$A$3:$A$22,'SoBCaICbIC-urbanresidential'!$A3,'Cost Breakdowns'!$F$3:$F$22,"ISIC 06"))</f>
        <v>0</v>
      </c>
      <c r="G3">
        <f>(SUMIFS('Cost Breakdowns'!$C$3:$C$22,'Cost Breakdowns'!$A$3:$A$22,'SoBCaICbIC-urbanresidential'!$A3,'Cost Breakdowns'!$F$3:$F$22,"ISIC 07T08"))*'Factors applied'!$E$214</f>
        <v>0</v>
      </c>
      <c r="H3">
        <f>(SUMIFS('Cost Breakdowns'!$C$3:$C$22,'Cost Breakdowns'!$A$3:$A$22,'SoBCaICbIC-urbanresidential'!$A3,'Cost Breakdowns'!$F$3:$F$22,"ISIC 07T08"))*'Factors applied'!$E$215</f>
        <v>0</v>
      </c>
      <c r="I3">
        <f>(SUMIFS('Cost Breakdowns'!$C$3:$C$22,'Cost Breakdowns'!$A$3:$A$22,'SoBCaICbIC-urbanresidential'!$A3,'Cost Breakdowns'!$F$3:$F$22,"ISIC 09"))</f>
        <v>0</v>
      </c>
      <c r="J3">
        <f>(SUMIFS('Cost Breakdowns'!$C$3:$C$22,'Cost Breakdowns'!$A$3:$A$22,'SoBCaICbIC-urbanresidential'!$A3,'Cost Breakdowns'!$F$3:$F$22,"ISIC 10T12"))</f>
        <v>0</v>
      </c>
      <c r="K3">
        <f>(SUMIFS('Cost Breakdowns'!$C$3:$C$22,'Cost Breakdowns'!$A$3:$A$22,'SoBCaICbIC-urbanresidential'!$A3,'Cost Breakdowns'!$F$3:$F$22,"ISIC 13T15"))</f>
        <v>0</v>
      </c>
      <c r="L3">
        <f>(SUMIFS('Cost Breakdowns'!$C$3:$C$22,'Cost Breakdowns'!$A$3:$A$22,'SoBCaICbIC-urbanresidential'!$A3,'Cost Breakdowns'!$F$3:$F$22,"ISIC 16"))</f>
        <v>0</v>
      </c>
      <c r="M3">
        <f>(SUMIFS('Cost Breakdowns'!$C$3:$C$22,'Cost Breakdowns'!$A$3:$A$22,'SoBCaICbIC-urbanresidential'!$A3,'Cost Breakdowns'!$F$3:$F$22,"ISIC 17T18"))</f>
        <v>0</v>
      </c>
      <c r="N3">
        <f>(SUMIFS('Cost Breakdowns'!$C$3:$C$22,'Cost Breakdowns'!$A$3:$A$22,'SoBCaICbIC-urbanresidential'!$A3,'Cost Breakdowns'!$F$3:$F$22,"ISIC 19"))</f>
        <v>0</v>
      </c>
      <c r="O3">
        <f>(SUMIFS('Cost Breakdowns'!$C$3:$C$22,'Cost Breakdowns'!$A$3:$A$22,'SoBCaICbIC-urbanresidential'!$A3,'Cost Breakdowns'!$F$3:$F$22,"ISIC 20"))</f>
        <v>0</v>
      </c>
      <c r="P3">
        <f>(SUMIFS('Cost Breakdowns'!$C$3:$C$22,'Cost Breakdowns'!$A$3:$A$22,'SoBCaICbIC-urbanresidential'!$A3,'Cost Breakdowns'!$F$3:$F$22,"ISIC 21"))</f>
        <v>0</v>
      </c>
      <c r="Q3">
        <f>(SUMIFS('Cost Breakdowns'!$C$3:$C$22,'Cost Breakdowns'!$A$3:$A$22,'SoBCaICbIC-urbanresidential'!$A3,'Cost Breakdowns'!$F$3:$F$22,"ISIC 22"))</f>
        <v>0</v>
      </c>
      <c r="R3">
        <f>(SUMIFS('Cost Breakdowns'!$C$3:$C$22,'Cost Breakdowns'!$A$3:$A$22,'SoBCaICbIC-urbanresidential'!$A3,'Cost Breakdowns'!$F$3:$F$22,"ISIC 231"))</f>
        <v>0</v>
      </c>
      <c r="S3">
        <f>(SUMIFS('Cost Breakdowns'!$C$3:$C$22,'Cost Breakdowns'!$A$3:$A$22,'SoBCaICbIC-urbanresidential'!$A3,'Cost Breakdowns'!$F$3:$F$22,"ISIC 239"))</f>
        <v>0</v>
      </c>
      <c r="T3">
        <f>(SUMIFS('Cost Breakdowns'!$C$3:$C$22,'Cost Breakdowns'!$A$3:$A$22,'SoBCaICbIC-urbanresidential'!$A3,'Cost Breakdowns'!$F$3:$F$22,"ISIC 241"))</f>
        <v>0</v>
      </c>
      <c r="U3">
        <f>(SUMIFS('Cost Breakdowns'!$C$3:$C$22,'Cost Breakdowns'!$A$3:$A$22,'SoBCaICbIC-urbanresidential'!$A3,'Cost Breakdowns'!$F$3:$F$22,"ISIC 242"))</f>
        <v>0</v>
      </c>
      <c r="V3">
        <f>(SUMIFS('Cost Breakdowns'!$C$3:$C$22,'Cost Breakdowns'!$A$3:$A$22,'SoBCaICbIC-urbanresidential'!$A3,'Cost Breakdowns'!$F$3:$F$22,"ISIC 25"))</f>
        <v>0</v>
      </c>
      <c r="W3">
        <f>(SUMIFS('Cost Breakdowns'!$C$3:$C$22,'Cost Breakdowns'!$A$3:$A$22,'SoBCaICbIC-urbanresidential'!$A3,'Cost Breakdowns'!$F$3:$F$22,"ISIC 26"))</f>
        <v>0</v>
      </c>
      <c r="X3">
        <f>(SUMIFS('Cost Breakdowns'!$C$3:$C$22,'Cost Breakdowns'!$A$3:$A$22,'SoBCaICbIC-urbanresidential'!$A3,'Cost Breakdowns'!$F$3:$F$22,"ISIC 27"))</f>
        <v>0</v>
      </c>
      <c r="Y3">
        <f>(SUMIFS('Cost Breakdowns'!$C$3:$C$22,'Cost Breakdowns'!$A$3:$A$22,'SoBCaICbIC-urbanresidential'!$A3,'Cost Breakdowns'!$F$3:$F$22,"ISIC 28"))</f>
        <v>0.34719457698210143</v>
      </c>
      <c r="Z3">
        <f>(SUMIFS('Cost Breakdowns'!$C$3:$C$22,'Cost Breakdowns'!$A$3:$A$22,'SoBCaICbIC-urbanresidential'!$A3,'Cost Breakdowns'!$F$3:$F$22,"ISIC 29"))</f>
        <v>0</v>
      </c>
      <c r="AA3">
        <f>(SUMIFS('Cost Breakdowns'!$C$3:$C$22,'Cost Breakdowns'!$A$3:$A$22,'SoBCaICbIC-urbanresidential'!$A3,'Cost Breakdowns'!$F$3:$F$22,"ISIC 30"))*'Factors applied'!$E$216</f>
        <v>0</v>
      </c>
      <c r="AB3">
        <f>(SUMIFS('Cost Breakdowns'!$C$3:$C$22,'Cost Breakdowns'!$A$3:$A$22,'SoBCaICbIC-urbanresidential'!$A3,'Cost Breakdowns'!$F$3:$F$22,"ISIC 30"))*'Factors applied'!$E$217</f>
        <v>0</v>
      </c>
      <c r="AC3">
        <f>(SUMIFS('Cost Breakdowns'!$C$3:$C$22,'Cost Breakdowns'!$A$3:$A$22,'SoBCaICbIC-urbanresidential'!$A3,'Cost Breakdowns'!$F$3:$F$22,"ISIC 31T33"))</f>
        <v>0</v>
      </c>
      <c r="AD3">
        <f>(SUMIFS('Cost Breakdowns'!$C$3:$C$22,'Cost Breakdowns'!$A$3:$A$22,'SoBCaICbIC-urbanresidential'!$A3,'Cost Breakdowns'!$F$3:$F$22,"ISIC 351"))</f>
        <v>0</v>
      </c>
      <c r="AE3">
        <f>(SUMIFS('Cost Breakdowns'!$C$3:$C$22,'Cost Breakdowns'!$A$3:$A$22,'SoBCaICbIC-urbanresidential'!$A3,'Cost Breakdowns'!$F$3:$F$22,"ISIC 352T353"))</f>
        <v>0</v>
      </c>
      <c r="AF3">
        <f>(SUMIFS('Cost Breakdowns'!$C$3:$C$22,'Cost Breakdowns'!$A$3:$A$22,'SoBCaICbIC-urbanresidential'!$A3,'Cost Breakdowns'!$F$3:$F$22,"ISIC 36T39"))</f>
        <v>0</v>
      </c>
      <c r="AG3">
        <f>(SUMIFS('Cost Breakdowns'!$C$3:$C$22,'Cost Breakdowns'!$A$3:$A$22,'SoBCaICbIC-urbanresidential'!$A3,'Cost Breakdowns'!$F$3:$F$22,"ISIC 41T43"))</f>
        <v>0.26375431279838768</v>
      </c>
      <c r="AH3">
        <f>(SUMIFS('Cost Breakdowns'!$C$3:$C$22,'Cost Breakdowns'!$A$3:$A$22,'SoBCaICbIC-urbanresidential'!$A3,'Cost Breakdowns'!$F$3:$F$22,"ISIC 45T47"))</f>
        <v>0.37896261246485319</v>
      </c>
      <c r="AI3">
        <f>(SUMIFS('Cost Breakdowns'!$C$3:$C$22,'Cost Breakdowns'!$A$3:$A$22,'SoBCaICbIC-urbanresidential'!$A3,'Cost Breakdowns'!$F$3:$F$22,"ISIC 49T53"))*'Factors applied'!$E$218+SUMIFS('Cost Breakdowns'!$C$3:$C$22,'Cost Breakdowns'!$A$3:$A$22,'SoBCaICbIC-urbanresidential'!$A3,'Cost Breakdowns'!$F$3:$F$22,"ISIC 49")</f>
        <v>1.0088497754657661E-2</v>
      </c>
      <c r="AJ3">
        <f>(SUMIFS('Cost Breakdowns'!$C$3:$C$22,'Cost Breakdowns'!$A$3:$A$22,'SoBCaICbIC-urbanresidential'!$A3,'Cost Breakdowns'!$F$3:$F$22,"ISIC 49T53"))*'Factors applied'!$E$219</f>
        <v>0</v>
      </c>
      <c r="AK3">
        <f>(SUMIFS('Cost Breakdowns'!$C$3:$C$22,'Cost Breakdowns'!$A$3:$A$22,'SoBCaICbIC-urbanresidential'!$A3,'Cost Breakdowns'!$F$3:$F$22,"ISIC 49T53"))*'Factors applied'!$E$220</f>
        <v>0</v>
      </c>
      <c r="AL3">
        <f>(SUMIFS('Cost Breakdowns'!$C$3:$C$22,'Cost Breakdowns'!$A$3:$A$22,'SoBCaICbIC-urbanresidential'!$A3,'Cost Breakdowns'!$F$3:$F$22,"ISIC 49T53"))*'Factors applied'!$E$221</f>
        <v>0</v>
      </c>
      <c r="AM3">
        <f>(SUMIFS('Cost Breakdowns'!$C$3:$C$22,'Cost Breakdowns'!$A$3:$A$22,'SoBCaICbIC-urbanresidential'!$A3,'Cost Breakdowns'!$F$3:$F$22,"ISIC 49T53"))*'Factors applied'!$E$222</f>
        <v>0</v>
      </c>
      <c r="AN3">
        <f>(SUMIFS('Cost Breakdowns'!$C$3:$C$22,'Cost Breakdowns'!$A$3:$A$22,'SoBCaICbIC-urbanresidential'!$A3,'Cost Breakdowns'!$F$3:$F$22,"ISIC 55T56"))</f>
        <v>0</v>
      </c>
      <c r="AO3">
        <f>(SUMIFS('Cost Breakdowns'!$C$3:$C$22,'Cost Breakdowns'!$A$3:$A$22,'SoBCaICbIC-urbanresidential'!$A3,'Cost Breakdowns'!$F$3:$F$22,"ISIC 58T60"))</f>
        <v>0</v>
      </c>
      <c r="AP3">
        <f>(SUMIFS('Cost Breakdowns'!$C$3:$C$22,'Cost Breakdowns'!$A$3:$A$22,'SoBCaICbIC-urbanresidential'!$A3,'Cost Breakdowns'!$F$3:$F$22,"ISIC 61"))</f>
        <v>0</v>
      </c>
      <c r="AQ3">
        <f>(SUMIFS('Cost Breakdowns'!$C$3:$C$22,'Cost Breakdowns'!$A$3:$A$22,'SoBCaICbIC-urbanresidential'!$A3,'Cost Breakdowns'!$F$3:$F$22,"ISIC 62T63"))</f>
        <v>0</v>
      </c>
      <c r="AR3">
        <f>(SUMIFS('Cost Breakdowns'!$C$3:$C$22,'Cost Breakdowns'!$A$3:$A$22,'SoBCaICbIC-urbanresidential'!$A3,'Cost Breakdowns'!$F$3:$F$22,"ISIC 64T66"))</f>
        <v>0</v>
      </c>
      <c r="AS3">
        <f>(SUMIFS('Cost Breakdowns'!$C$3:$C$22,'Cost Breakdowns'!$A$3:$A$22,'SoBCaICbIC-urbanresidential'!$A3,'Cost Breakdowns'!$F$3:$F$22,"ISIC 68"))</f>
        <v>0</v>
      </c>
      <c r="AT3">
        <f>(SUMIFS('Cost Breakdowns'!$C$3:$C$22,'Cost Breakdowns'!$A$3:$A$22,'SoBCaICbIC-urbanresidential'!$A3,'Cost Breakdowns'!$F$3:$F$22,"ISIC 69T82"))*'Factors applied'!$E$223</f>
        <v>0</v>
      </c>
      <c r="AU3">
        <f>(SUMIFS('Cost Breakdowns'!$C$3:$C$22,'Cost Breakdowns'!$A$3:$A$22,'SoBCaICbIC-urbanresidential'!$A3,'Cost Breakdowns'!$F$3:$F$22,"ISIC 69T82"))*'Factors applied'!$E$224</f>
        <v>0</v>
      </c>
      <c r="AV3">
        <f>(SUMIFS('Cost Breakdowns'!$C$3:$C$22,'Cost Breakdowns'!$A$3:$A$22,'SoBCaICbIC-urbanresidential'!$A3,'Cost Breakdowns'!$F$3:$F$22,"ISIC 84"))</f>
        <v>0</v>
      </c>
      <c r="AW3">
        <f>(SUMIFS('Cost Breakdowns'!$C$3:$C$22,'Cost Breakdowns'!$A$3:$A$22,'SoBCaICbIC-urbanresidential'!$A3,'Cost Breakdowns'!$F$3:$F$22,"ISIC 85"))</f>
        <v>0</v>
      </c>
      <c r="AX3">
        <f>(SUMIFS('Cost Breakdowns'!$C$3:$C$22,'Cost Breakdowns'!$A$3:$A$22,'SoBCaICbIC-urbanresidential'!$A3,'Cost Breakdowns'!$F$3:$F$22,"ISIC 86T88"))</f>
        <v>0</v>
      </c>
      <c r="AY3">
        <f>(SUMIFS('Cost Breakdowns'!$C$3:$C$22,'Cost Breakdowns'!$A$3:$A$22,'SoBCaICbIC-urbanresidential'!$A3,'Cost Breakdowns'!$F$3:$F$22,"ISIC 90T96"))*'Factors applied'!$E$225</f>
        <v>0</v>
      </c>
      <c r="AZ3">
        <f>(SUMIFS('Cost Breakdowns'!$C$3:$C$22,'Cost Breakdowns'!$A$3:$A$22,'SoBCaICbIC-urbanresidential'!$A3,'Cost Breakdowns'!$F$3:$F$22,"ISIC 90T96"))*'Factors applied'!$E$226</f>
        <v>0</v>
      </c>
      <c r="BA3">
        <f>(SUMIFS('Cost Breakdowns'!$C$3:$C$22,'Cost Breakdowns'!$A$3:$A$22,'SoBCaICbIC-urbanresidential'!$A3,'Cost Breakdowns'!$F$3:$F$22,"ISIC 97T98"))</f>
        <v>0</v>
      </c>
    </row>
    <row r="4" spans="1:53" x14ac:dyDescent="0.25">
      <c r="A4" t="s">
        <v>66</v>
      </c>
      <c r="B4">
        <f>(SUMIFS('Cost Breakdowns'!$C$3:$C$22,'Cost Breakdowns'!$A$3:$A$22,'SoBCaICbIC-urbanresidential'!$A4,'Cost Breakdowns'!$F$3:$F$22,"ISIC 01T03"))*'Factors applied'!$E$227</f>
        <v>0</v>
      </c>
      <c r="C4">
        <f>(SUMIFS('Cost Breakdowns'!$C$3:$C$22,'Cost Breakdowns'!$A$3:$A$22,'SoBCaICbIC-urbanresidential'!$A4,'Cost Breakdowns'!$F$3:$F$22,"ISIC 01T03"))*'Factors applied'!$E$228</f>
        <v>0</v>
      </c>
      <c r="D4">
        <f>(SUMIFS('Cost Breakdowns'!$C$3:$C$22,'Cost Breakdowns'!$A$3:$A$22,'SoBCaICbIC-urbanresidential'!$A4,'Cost Breakdowns'!$F$3:$F$22,"ISIC 01T03"))*'Factors applied'!$E$229</f>
        <v>0</v>
      </c>
      <c r="E4">
        <f>(SUMIFS('Cost Breakdowns'!$C$3:$C$22,'Cost Breakdowns'!$A$3:$A$22,'SoBCaICbIC-urbanresidential'!$A4,'Cost Breakdowns'!$F$3:$F$22,"ISIC 05"))</f>
        <v>0</v>
      </c>
      <c r="F4">
        <f>(SUMIFS('Cost Breakdowns'!$C$3:$C$22,'Cost Breakdowns'!$A$3:$A$22,'SoBCaICbIC-urbanresidential'!$A4,'Cost Breakdowns'!$F$3:$F$22,"ISIC 06"))</f>
        <v>0</v>
      </c>
      <c r="G4">
        <f>(SUMIFS('Cost Breakdowns'!$C$3:$C$22,'Cost Breakdowns'!$A$3:$A$22,'SoBCaICbIC-urbanresidential'!$A4,'Cost Breakdowns'!$F$3:$F$22,"ISIC 07T08"))*'Factors applied'!$E$230</f>
        <v>0</v>
      </c>
      <c r="H4">
        <f>(SUMIFS('Cost Breakdowns'!$C$3:$C$22,'Cost Breakdowns'!$A$3:$A$22,'SoBCaICbIC-urbanresidential'!$A4,'Cost Breakdowns'!$F$3:$F$22,"ISIC 07T08"))*'Factors applied'!$E$231</f>
        <v>0</v>
      </c>
      <c r="I4">
        <f>(SUMIFS('Cost Breakdowns'!$C$3:$C$22,'Cost Breakdowns'!$A$3:$A$22,'SoBCaICbIC-urbanresidential'!$A4,'Cost Breakdowns'!$F$3:$F$22,"ISIC 09"))</f>
        <v>0</v>
      </c>
      <c r="J4">
        <f>(SUMIFS('Cost Breakdowns'!$C$3:$C$22,'Cost Breakdowns'!$A$3:$A$22,'SoBCaICbIC-urbanresidential'!$A4,'Cost Breakdowns'!$F$3:$F$22,"ISIC 10T12"))</f>
        <v>0</v>
      </c>
      <c r="K4">
        <f>(SUMIFS('Cost Breakdowns'!$C$3:$C$22,'Cost Breakdowns'!$A$3:$A$22,'SoBCaICbIC-urbanresidential'!$A4,'Cost Breakdowns'!$F$3:$F$22,"ISIC 13T15"))</f>
        <v>0</v>
      </c>
      <c r="L4">
        <f>(SUMIFS('Cost Breakdowns'!$C$3:$C$22,'Cost Breakdowns'!$A$3:$A$22,'SoBCaICbIC-urbanresidential'!$A4,'Cost Breakdowns'!$F$3:$F$22,"ISIC 16"))</f>
        <v>0</v>
      </c>
      <c r="M4">
        <f>(SUMIFS('Cost Breakdowns'!$C$3:$C$22,'Cost Breakdowns'!$A$3:$A$22,'SoBCaICbIC-urbanresidential'!$A4,'Cost Breakdowns'!$F$3:$F$22,"ISIC 17T18"))</f>
        <v>0</v>
      </c>
      <c r="N4">
        <f>(SUMIFS('Cost Breakdowns'!$C$3:$C$22,'Cost Breakdowns'!$A$3:$A$22,'SoBCaICbIC-urbanresidential'!$A4,'Cost Breakdowns'!$F$3:$F$22,"ISIC 19"))</f>
        <v>0</v>
      </c>
      <c r="O4">
        <f>(SUMIFS('Cost Breakdowns'!$C$3:$C$22,'Cost Breakdowns'!$A$3:$A$22,'SoBCaICbIC-urbanresidential'!$A4,'Cost Breakdowns'!$F$3:$F$22,"ISIC 20"))</f>
        <v>0</v>
      </c>
      <c r="P4">
        <f>(SUMIFS('Cost Breakdowns'!$C$3:$C$22,'Cost Breakdowns'!$A$3:$A$22,'SoBCaICbIC-urbanresidential'!$A4,'Cost Breakdowns'!$F$3:$F$22,"ISIC 21"))</f>
        <v>0</v>
      </c>
      <c r="Q4">
        <f>(SUMIFS('Cost Breakdowns'!$C$3:$C$22,'Cost Breakdowns'!$A$3:$A$22,'SoBCaICbIC-urbanresidential'!$A4,'Cost Breakdowns'!$F$3:$F$22,"ISIC 22"))</f>
        <v>0</v>
      </c>
      <c r="R4">
        <f>(SUMIFS('Cost Breakdowns'!$C$3:$C$22,'Cost Breakdowns'!$A$3:$A$22,'SoBCaICbIC-urbanresidential'!$A4,'Cost Breakdowns'!$F$3:$F$22,"ISIC 231"))</f>
        <v>0</v>
      </c>
      <c r="S4">
        <f>(SUMIFS('Cost Breakdowns'!$C$3:$C$22,'Cost Breakdowns'!$A$3:$A$22,'SoBCaICbIC-urbanresidential'!$A4,'Cost Breakdowns'!$F$3:$F$22,"ISIC 239"))</f>
        <v>0</v>
      </c>
      <c r="T4">
        <f>(SUMIFS('Cost Breakdowns'!$C$3:$C$22,'Cost Breakdowns'!$A$3:$A$22,'SoBCaICbIC-urbanresidential'!$A4,'Cost Breakdowns'!$F$3:$F$22,"ISIC 241"))</f>
        <v>0</v>
      </c>
      <c r="U4">
        <f>(SUMIFS('Cost Breakdowns'!$C$3:$C$22,'Cost Breakdowns'!$A$3:$A$22,'SoBCaICbIC-urbanresidential'!$A4,'Cost Breakdowns'!$F$3:$F$22,"ISIC 242"))</f>
        <v>0</v>
      </c>
      <c r="V4">
        <f>(SUMIFS('Cost Breakdowns'!$C$3:$C$22,'Cost Breakdowns'!$A$3:$A$22,'SoBCaICbIC-urbanresidential'!$A4,'Cost Breakdowns'!$F$3:$F$22,"ISIC 25"))</f>
        <v>0</v>
      </c>
      <c r="W4">
        <f>(SUMIFS('Cost Breakdowns'!$C$3:$C$22,'Cost Breakdowns'!$A$3:$A$22,'SoBCaICbIC-urbanresidential'!$A4,'Cost Breakdowns'!$F$3:$F$22,"ISIC 26"))</f>
        <v>0</v>
      </c>
      <c r="X4">
        <f>(SUMIFS('Cost Breakdowns'!$C$3:$C$22,'Cost Breakdowns'!$A$3:$A$22,'SoBCaICbIC-urbanresidential'!$A4,'Cost Breakdowns'!$F$3:$F$22,"ISIC 27"))</f>
        <v>0</v>
      </c>
      <c r="Y4">
        <f>(SUMIFS('Cost Breakdowns'!$C$3:$C$22,'Cost Breakdowns'!$A$3:$A$22,'SoBCaICbIC-urbanresidential'!$A4,'Cost Breakdowns'!$F$3:$F$22,"ISIC 28"))</f>
        <v>0</v>
      </c>
      <c r="Z4">
        <f>(SUMIFS('Cost Breakdowns'!$C$3:$C$22,'Cost Breakdowns'!$A$3:$A$22,'SoBCaICbIC-urbanresidential'!$A4,'Cost Breakdowns'!$F$3:$F$22,"ISIC 29"))</f>
        <v>0</v>
      </c>
      <c r="AA4">
        <f>(SUMIFS('Cost Breakdowns'!$C$3:$C$22,'Cost Breakdowns'!$A$3:$A$22,'SoBCaICbIC-urbanresidential'!$A4,'Cost Breakdowns'!$F$3:$F$22,"ISIC 30"))*'Factors applied'!$E$232</f>
        <v>0</v>
      </c>
      <c r="AB4">
        <f>(SUMIFS('Cost Breakdowns'!$C$3:$C$22,'Cost Breakdowns'!$A$3:$A$22,'SoBCaICbIC-urbanresidential'!$A4,'Cost Breakdowns'!$F$3:$F$22,"ISIC 30"))*'Factors applied'!$E$233</f>
        <v>0</v>
      </c>
      <c r="AC4">
        <f>(SUMIFS('Cost Breakdowns'!$C$3:$C$22,'Cost Breakdowns'!$A$3:$A$22,'SoBCaICbIC-urbanresidential'!$A4,'Cost Breakdowns'!$F$3:$F$22,"ISIC 31T33"))</f>
        <v>0</v>
      </c>
      <c r="AD4">
        <f>(SUMIFS('Cost Breakdowns'!$C$3:$C$22,'Cost Breakdowns'!$A$3:$A$22,'SoBCaICbIC-urbanresidential'!$A4,'Cost Breakdowns'!$F$3:$F$22,"ISIC 351"))</f>
        <v>0</v>
      </c>
      <c r="AE4">
        <f>(SUMIFS('Cost Breakdowns'!$C$3:$C$22,'Cost Breakdowns'!$A$3:$A$22,'SoBCaICbIC-urbanresidential'!$A4,'Cost Breakdowns'!$F$3:$F$22,"ISIC 352T353"))</f>
        <v>0</v>
      </c>
      <c r="AF4">
        <f>(SUMIFS('Cost Breakdowns'!$C$3:$C$22,'Cost Breakdowns'!$A$3:$A$22,'SoBCaICbIC-urbanresidential'!$A4,'Cost Breakdowns'!$F$3:$F$22,"ISIC 36T39"))</f>
        <v>0</v>
      </c>
      <c r="AG4">
        <f>(SUMIFS('Cost Breakdowns'!$C$3:$C$22,'Cost Breakdowns'!$A$3:$A$22,'SoBCaICbIC-urbanresidential'!$A4,'Cost Breakdowns'!$F$3:$F$22,"ISIC 41T43"))</f>
        <v>0</v>
      </c>
      <c r="AH4">
        <f>(SUMIFS('Cost Breakdowns'!$C$3:$C$22,'Cost Breakdowns'!$A$3:$A$22,'SoBCaICbIC-urbanresidential'!$A4,'Cost Breakdowns'!$F$3:$F$22,"ISIC 45T47"))</f>
        <v>0</v>
      </c>
      <c r="AI4">
        <f>(SUMIFS('Cost Breakdowns'!$C$3:$C$22,'Cost Breakdowns'!$A$3:$A$22,'SoBCaICbIC-urbanresidential'!$A4,'Cost Breakdowns'!$F$3:$F$22,"ISIC 49T53"))*'Factors applied'!$E$234+SUMIFS('Cost Breakdowns'!$C$3:$C$22,'Cost Breakdowns'!$A$3:$A$22,'SoBCaICbIC-urbanresidential'!$A4,'Cost Breakdowns'!$F$3:$F$22,"ISIC 49")</f>
        <v>0</v>
      </c>
      <c r="AJ4">
        <f>(SUMIFS('Cost Breakdowns'!$C$3:$C$22,'Cost Breakdowns'!$A$3:$A$22,'SoBCaICbIC-urbanresidential'!$A4,'Cost Breakdowns'!$F$3:$F$22,"ISIC 49T53"))*'Factors applied'!$E$235</f>
        <v>0</v>
      </c>
      <c r="AK4">
        <f>(SUMIFS('Cost Breakdowns'!$C$3:$C$22,'Cost Breakdowns'!$A$3:$A$22,'SoBCaICbIC-urbanresidential'!$A4,'Cost Breakdowns'!$F$3:$F$22,"ISIC 49T53"))*'Factors applied'!$E$236</f>
        <v>0</v>
      </c>
      <c r="AL4">
        <f>(SUMIFS('Cost Breakdowns'!$C$3:$C$22,'Cost Breakdowns'!$A$3:$A$22,'SoBCaICbIC-urbanresidential'!$A4,'Cost Breakdowns'!$F$3:$F$22,"ISIC 49T53"))*'Factors applied'!$E$237</f>
        <v>0</v>
      </c>
      <c r="AM4">
        <f>(SUMIFS('Cost Breakdowns'!$C$3:$C$22,'Cost Breakdowns'!$A$3:$A$22,'SoBCaICbIC-urbanresidential'!$A4,'Cost Breakdowns'!$F$3:$F$22,"ISIC 49T53"))*'Factors applied'!$E$238</f>
        <v>0</v>
      </c>
      <c r="AN4">
        <f>(SUMIFS('Cost Breakdowns'!$C$3:$C$22,'Cost Breakdowns'!$A$3:$A$22,'SoBCaICbIC-urbanresidential'!$A4,'Cost Breakdowns'!$F$3:$F$22,"ISIC 55T56"))</f>
        <v>0</v>
      </c>
      <c r="AO4">
        <f>(SUMIFS('Cost Breakdowns'!$C$3:$C$22,'Cost Breakdowns'!$A$3:$A$22,'SoBCaICbIC-urbanresidential'!$A4,'Cost Breakdowns'!$F$3:$F$22,"ISIC 58T60"))</f>
        <v>0</v>
      </c>
      <c r="AP4">
        <f>(SUMIFS('Cost Breakdowns'!$C$3:$C$22,'Cost Breakdowns'!$A$3:$A$22,'SoBCaICbIC-urbanresidential'!$A4,'Cost Breakdowns'!$F$3:$F$22,"ISIC 61"))</f>
        <v>0</v>
      </c>
      <c r="AQ4">
        <f>(SUMIFS('Cost Breakdowns'!$C$3:$C$22,'Cost Breakdowns'!$A$3:$A$22,'SoBCaICbIC-urbanresidential'!$A4,'Cost Breakdowns'!$F$3:$F$22,"ISIC 62T63"))</f>
        <v>0</v>
      </c>
      <c r="AR4">
        <f>(SUMIFS('Cost Breakdowns'!$C$3:$C$22,'Cost Breakdowns'!$A$3:$A$22,'SoBCaICbIC-urbanresidential'!$A4,'Cost Breakdowns'!$F$3:$F$22,"ISIC 64T66"))</f>
        <v>0</v>
      </c>
      <c r="AS4">
        <f>(SUMIFS('Cost Breakdowns'!$C$3:$C$22,'Cost Breakdowns'!$A$3:$A$22,'SoBCaICbIC-urbanresidential'!$A4,'Cost Breakdowns'!$F$3:$F$22,"ISIC 68"))</f>
        <v>0</v>
      </c>
      <c r="AT4">
        <f>(SUMIFS('Cost Breakdowns'!$C$3:$C$22,'Cost Breakdowns'!$A$3:$A$22,'SoBCaICbIC-urbanresidential'!$A4,'Cost Breakdowns'!$F$3:$F$22,"ISIC 69T82"))*'Factors applied'!$E$239</f>
        <v>0</v>
      </c>
      <c r="AU4">
        <f>(SUMIFS('Cost Breakdowns'!$C$3:$C$22,'Cost Breakdowns'!$A$3:$A$22,'SoBCaICbIC-urbanresidential'!$A4,'Cost Breakdowns'!$F$3:$F$22,"ISIC 69T82"))*'Factors applied'!$E$240</f>
        <v>0</v>
      </c>
      <c r="AV4">
        <f>(SUMIFS('Cost Breakdowns'!$C$3:$C$22,'Cost Breakdowns'!$A$3:$A$22,'SoBCaICbIC-urbanresidential'!$A4,'Cost Breakdowns'!$F$3:$F$22,"ISIC 84"))</f>
        <v>0</v>
      </c>
      <c r="AW4">
        <f>(SUMIFS('Cost Breakdowns'!$C$3:$C$22,'Cost Breakdowns'!$A$3:$A$22,'SoBCaICbIC-urbanresidential'!$A4,'Cost Breakdowns'!$F$3:$F$22,"ISIC 85"))</f>
        <v>0</v>
      </c>
      <c r="AX4">
        <f>(SUMIFS('Cost Breakdowns'!$C$3:$C$22,'Cost Breakdowns'!$A$3:$A$22,'SoBCaICbIC-urbanresidential'!$A4,'Cost Breakdowns'!$F$3:$F$22,"ISIC 86T88"))</f>
        <v>0</v>
      </c>
      <c r="AY4">
        <f>(SUMIFS('Cost Breakdowns'!$C$3:$C$22,'Cost Breakdowns'!$A$3:$A$22,'SoBCaICbIC-urbanresidential'!$A4,'Cost Breakdowns'!$F$3:$F$22,"ISIC 90T96"))*'Factors applied'!$E$241</f>
        <v>0</v>
      </c>
      <c r="AZ4">
        <f>(SUMIFS('Cost Breakdowns'!$C$3:$C$22,'Cost Breakdowns'!$A$3:$A$22,'SoBCaICbIC-urbanresidential'!$A4,'Cost Breakdowns'!$F$3:$F$22,"ISIC 90T96"))*'Factors applied'!$E$242</f>
        <v>0</v>
      </c>
      <c r="BA4">
        <f>(SUMIFS('Cost Breakdowns'!$C$3:$C$22,'Cost Breakdowns'!$A$3:$A$22,'SoBCaICbIC-urbanresidential'!$A4,'Cost Breakdowns'!$F$3:$F$22,"ISIC 97T98"))</f>
        <v>0</v>
      </c>
    </row>
    <row r="5" spans="1:53" x14ac:dyDescent="0.25">
      <c r="A5" t="s">
        <v>68</v>
      </c>
      <c r="B5">
        <f>(SUMIFS('Cost Breakdowns'!$C$3:$C$22,'Cost Breakdowns'!$A$3:$A$22,'SoBCaICbIC-urbanresidential'!$A5,'Cost Breakdowns'!$F$3:$F$22,"ISIC 01T03"))*'Factors applied'!$E$259</f>
        <v>0</v>
      </c>
      <c r="C5">
        <f>(SUMIFS('Cost Breakdowns'!$C$3:$C$22,'Cost Breakdowns'!$A$3:$A$22,'SoBCaICbIC-urbanresidential'!$A5,'Cost Breakdowns'!$F$3:$F$22,"ISIC 01T03"))*'Factors applied'!$E$260</f>
        <v>0</v>
      </c>
      <c r="D5">
        <f>(SUMIFS('Cost Breakdowns'!$C$3:$C$22,'Cost Breakdowns'!$A$3:$A$22,'SoBCaICbIC-urbanresidential'!$A5,'Cost Breakdowns'!$F$3:$F$22,"ISIC 01T03"))*'Factors applied'!$E$261</f>
        <v>0</v>
      </c>
      <c r="E5">
        <f>(SUMIFS('Cost Breakdowns'!$C$3:$C$22,'Cost Breakdowns'!$A$3:$A$22,'SoBCaICbIC-urbanresidential'!$A5,'Cost Breakdowns'!$F$3:$F$22,"ISIC 05"))</f>
        <v>0</v>
      </c>
      <c r="F5">
        <f>(SUMIFS('Cost Breakdowns'!$C$3:$C$22,'Cost Breakdowns'!$A$3:$A$22,'SoBCaICbIC-urbanresidential'!$A5,'Cost Breakdowns'!$F$3:$F$22,"ISIC 06"))</f>
        <v>0</v>
      </c>
      <c r="G5">
        <f>(SUMIFS('Cost Breakdowns'!$C$3:$C$22,'Cost Breakdowns'!$A$3:$A$22,'SoBCaICbIC-urbanresidential'!$A5,'Cost Breakdowns'!$F$3:$F$22,"ISIC 07T08"))*'Factors applied'!$E$262</f>
        <v>0</v>
      </c>
      <c r="H5">
        <f>(SUMIFS('Cost Breakdowns'!$C$3:$C$22,'Cost Breakdowns'!$A$3:$A$22,'SoBCaICbIC-urbanresidential'!$A5,'Cost Breakdowns'!$F$3:$F$22,"ISIC 07T08"))*'Factors applied'!$E$263</f>
        <v>0</v>
      </c>
      <c r="I5">
        <f>(SUMIFS('Cost Breakdowns'!$C$3:$C$22,'Cost Breakdowns'!$A$3:$A$22,'SoBCaICbIC-urbanresidential'!$A5,'Cost Breakdowns'!$F$3:$F$22,"ISIC 09"))</f>
        <v>0</v>
      </c>
      <c r="J5">
        <f>(SUMIFS('Cost Breakdowns'!$C$3:$C$22,'Cost Breakdowns'!$A$3:$A$22,'SoBCaICbIC-urbanresidential'!$A5,'Cost Breakdowns'!$F$3:$F$22,"ISIC 10T12"))</f>
        <v>0</v>
      </c>
      <c r="K5">
        <f>(SUMIFS('Cost Breakdowns'!$C$3:$C$22,'Cost Breakdowns'!$A$3:$A$22,'SoBCaICbIC-urbanresidential'!$A5,'Cost Breakdowns'!$F$3:$F$22,"ISIC 13T15"))</f>
        <v>0</v>
      </c>
      <c r="L5">
        <f>(SUMIFS('Cost Breakdowns'!$C$3:$C$22,'Cost Breakdowns'!$A$3:$A$22,'SoBCaICbIC-urbanresidential'!$A5,'Cost Breakdowns'!$F$3:$F$22,"ISIC 16"))</f>
        <v>0</v>
      </c>
      <c r="M5">
        <f>(SUMIFS('Cost Breakdowns'!$C$3:$C$22,'Cost Breakdowns'!$A$3:$A$22,'SoBCaICbIC-urbanresidential'!$A5,'Cost Breakdowns'!$F$3:$F$22,"ISIC 17T18"))</f>
        <v>0</v>
      </c>
      <c r="N5">
        <f>(SUMIFS('Cost Breakdowns'!$C$3:$C$22,'Cost Breakdowns'!$A$3:$A$22,'SoBCaICbIC-urbanresidential'!$A5,'Cost Breakdowns'!$F$3:$F$22,"ISIC 19"))</f>
        <v>0</v>
      </c>
      <c r="O5">
        <f>(SUMIFS('Cost Breakdowns'!$C$3:$C$22,'Cost Breakdowns'!$A$3:$A$22,'SoBCaICbIC-urbanresidential'!$A5,'Cost Breakdowns'!$F$3:$F$22,"ISIC 20"))</f>
        <v>0</v>
      </c>
      <c r="P5">
        <f>(SUMIFS('Cost Breakdowns'!$C$3:$C$22,'Cost Breakdowns'!$A$3:$A$22,'SoBCaICbIC-urbanresidential'!$A5,'Cost Breakdowns'!$F$3:$F$22,"ISIC 21"))</f>
        <v>0</v>
      </c>
      <c r="Q5">
        <f>(SUMIFS('Cost Breakdowns'!$C$3:$C$22,'Cost Breakdowns'!$A$3:$A$22,'SoBCaICbIC-urbanresidential'!$A5,'Cost Breakdowns'!$F$3:$F$22,"ISIC 22"))</f>
        <v>0</v>
      </c>
      <c r="R5">
        <f>(SUMIFS('Cost Breakdowns'!$C$3:$C$22,'Cost Breakdowns'!$A$3:$A$22,'SoBCaICbIC-urbanresidential'!$A5,'Cost Breakdowns'!$F$3:$F$22,"ISIC 231"))</f>
        <v>0</v>
      </c>
      <c r="S5">
        <f>(SUMIFS('Cost Breakdowns'!$C$3:$C$22,'Cost Breakdowns'!$A$3:$A$22,'SoBCaICbIC-urbanresidential'!$A5,'Cost Breakdowns'!$F$3:$F$22,"ISIC 239"))</f>
        <v>0</v>
      </c>
      <c r="T5">
        <f>(SUMIFS('Cost Breakdowns'!$C$3:$C$22,'Cost Breakdowns'!$A$3:$A$22,'SoBCaICbIC-urbanresidential'!$A5,'Cost Breakdowns'!$F$3:$F$22,"ISIC 241"))</f>
        <v>0</v>
      </c>
      <c r="U5">
        <f>(SUMIFS('Cost Breakdowns'!$C$3:$C$22,'Cost Breakdowns'!$A$3:$A$22,'SoBCaICbIC-urbanresidential'!$A5,'Cost Breakdowns'!$F$3:$F$22,"ISIC 242"))</f>
        <v>0</v>
      </c>
      <c r="V5">
        <f>(SUMIFS('Cost Breakdowns'!$C$3:$C$22,'Cost Breakdowns'!$A$3:$A$22,'SoBCaICbIC-urbanresidential'!$A5,'Cost Breakdowns'!$F$3:$F$22,"ISIC 25"))</f>
        <v>0</v>
      </c>
      <c r="W5">
        <f>(SUMIFS('Cost Breakdowns'!$C$3:$C$22,'Cost Breakdowns'!$A$3:$A$22,'SoBCaICbIC-urbanresidential'!$A5,'Cost Breakdowns'!$F$3:$F$22,"ISIC 26"))</f>
        <v>0</v>
      </c>
      <c r="X5">
        <f>(SUMIFS('Cost Breakdowns'!$C$3:$C$22,'Cost Breakdowns'!$A$3:$A$22,'SoBCaICbIC-urbanresidential'!$A5,'Cost Breakdowns'!$F$3:$F$22,"ISIC 27"))</f>
        <v>0.39998511129308417</v>
      </c>
      <c r="Y5">
        <f>(SUMIFS('Cost Breakdowns'!$C$3:$C$22,'Cost Breakdowns'!$A$3:$A$22,'SoBCaICbIC-urbanresidential'!$A5,'Cost Breakdowns'!$F$3:$F$22,"ISIC 28"))</f>
        <v>0</v>
      </c>
      <c r="Z5">
        <f>(SUMIFS('Cost Breakdowns'!$C$3:$C$22,'Cost Breakdowns'!$A$3:$A$22,'SoBCaICbIC-urbanresidential'!$A5,'Cost Breakdowns'!$F$3:$F$22,"ISIC 29"))</f>
        <v>0</v>
      </c>
      <c r="AA5">
        <f>(SUMIFS('Cost Breakdowns'!$C$3:$C$22,'Cost Breakdowns'!$A$3:$A$22,'SoBCaICbIC-urbanresidential'!$A5,'Cost Breakdowns'!$F$3:$F$22,"ISIC 30"))*'Factors applied'!$E$264</f>
        <v>0</v>
      </c>
      <c r="AB5">
        <f>(SUMIFS('Cost Breakdowns'!$C$3:$C$22,'Cost Breakdowns'!$A$3:$A$22,'SoBCaICbIC-urbanresidential'!$A5,'Cost Breakdowns'!$F$3:$F$22,"ISIC 30"))*'Factors applied'!$E$265</f>
        <v>0</v>
      </c>
      <c r="AC5">
        <f>(SUMIFS('Cost Breakdowns'!$C$3:$C$22,'Cost Breakdowns'!$A$3:$A$22,'SoBCaICbIC-urbanresidential'!$A5,'Cost Breakdowns'!$F$3:$F$22,"ISIC 31T33"))</f>
        <v>0</v>
      </c>
      <c r="AD5">
        <f>(SUMIFS('Cost Breakdowns'!$C$3:$C$22,'Cost Breakdowns'!$A$3:$A$22,'SoBCaICbIC-urbanresidential'!$A5,'Cost Breakdowns'!$F$3:$F$22,"ISIC 351"))</f>
        <v>0</v>
      </c>
      <c r="AE5">
        <f>(SUMIFS('Cost Breakdowns'!$C$3:$C$22,'Cost Breakdowns'!$A$3:$A$22,'SoBCaICbIC-urbanresidential'!$A5,'Cost Breakdowns'!$F$3:$F$22,"ISIC 352T353"))</f>
        <v>0</v>
      </c>
      <c r="AF5">
        <f>(SUMIFS('Cost Breakdowns'!$C$3:$C$22,'Cost Breakdowns'!$A$3:$A$22,'SoBCaICbIC-urbanresidential'!$A5,'Cost Breakdowns'!$F$3:$F$22,"ISIC 36T39"))</f>
        <v>0</v>
      </c>
      <c r="AG5">
        <f>(SUMIFS('Cost Breakdowns'!$C$3:$C$22,'Cost Breakdowns'!$A$3:$A$22,'SoBCaICbIC-urbanresidential'!$A5,'Cost Breakdowns'!$F$3:$F$22,"ISIC 41T43"))</f>
        <v>0</v>
      </c>
      <c r="AH5">
        <f>(SUMIFS('Cost Breakdowns'!$C$3:$C$22,'Cost Breakdowns'!$A$3:$A$22,'SoBCaICbIC-urbanresidential'!$A5,'Cost Breakdowns'!$F$3:$F$22,"ISIC 45T47"))</f>
        <v>0.55505099382118661</v>
      </c>
      <c r="AI5">
        <f>(SUMIFS('Cost Breakdowns'!$C$3:$C$22,'Cost Breakdowns'!$A$3:$A$22,'SoBCaICbIC-urbanresidential'!$A5,'Cost Breakdowns'!$F$3:$F$22,"ISIC 49T53"))*'Factors applied'!$E$266+SUMIFS('Cost Breakdowns'!$C$3:$C$22,'Cost Breakdowns'!$A$3:$A$22,'SoBCaICbIC-urbanresidential'!$A5,'Cost Breakdowns'!$F$3:$F$22,"ISIC 49")</f>
        <v>4.4963894885729175E-2</v>
      </c>
      <c r="AJ5">
        <f>(SUMIFS('Cost Breakdowns'!$C$3:$C$22,'Cost Breakdowns'!$A$3:$A$22,'SoBCaICbIC-urbanresidential'!$A5,'Cost Breakdowns'!$F$3:$F$22,"ISIC 49T53"))*'Factors applied'!$E$267</f>
        <v>0</v>
      </c>
      <c r="AK5">
        <f>(SUMIFS('Cost Breakdowns'!$C$3:$C$22,'Cost Breakdowns'!$A$3:$A$22,'SoBCaICbIC-urbanresidential'!$A5,'Cost Breakdowns'!$F$3:$F$22,"ISIC 49T53"))*'Factors applied'!$E$268</f>
        <v>0</v>
      </c>
      <c r="AL5">
        <f>(SUMIFS('Cost Breakdowns'!$C$3:$C$22,'Cost Breakdowns'!$A$3:$A$22,'SoBCaICbIC-urbanresidential'!$A5,'Cost Breakdowns'!$F$3:$F$22,"ISIC 49T53"))*'Factors applied'!$E$269</f>
        <v>0</v>
      </c>
      <c r="AM5">
        <f>(SUMIFS('Cost Breakdowns'!$C$3:$C$22,'Cost Breakdowns'!$A$3:$A$22,'SoBCaICbIC-urbanresidential'!$A5,'Cost Breakdowns'!$F$3:$F$22,"ISIC 49T53"))*'Factors applied'!$E$270</f>
        <v>0</v>
      </c>
      <c r="AN5">
        <f>(SUMIFS('Cost Breakdowns'!$C$3:$C$22,'Cost Breakdowns'!$A$3:$A$22,'SoBCaICbIC-urbanresidential'!$A5,'Cost Breakdowns'!$F$3:$F$22,"ISIC 55T56"))</f>
        <v>0</v>
      </c>
      <c r="AO5">
        <f>(SUMIFS('Cost Breakdowns'!$C$3:$C$22,'Cost Breakdowns'!$A$3:$A$22,'SoBCaICbIC-urbanresidential'!$A5,'Cost Breakdowns'!$F$3:$F$22,"ISIC 58T60"))</f>
        <v>0</v>
      </c>
      <c r="AP5">
        <f>(SUMIFS('Cost Breakdowns'!$C$3:$C$22,'Cost Breakdowns'!$A$3:$A$22,'SoBCaICbIC-urbanresidential'!$A5,'Cost Breakdowns'!$F$3:$F$22,"ISIC 61"))</f>
        <v>0</v>
      </c>
      <c r="AQ5">
        <f>(SUMIFS('Cost Breakdowns'!$C$3:$C$22,'Cost Breakdowns'!$A$3:$A$22,'SoBCaICbIC-urbanresidential'!$A5,'Cost Breakdowns'!$F$3:$F$22,"ISIC 62T63"))</f>
        <v>0</v>
      </c>
      <c r="AR5">
        <f>(SUMIFS('Cost Breakdowns'!$C$3:$C$22,'Cost Breakdowns'!$A$3:$A$22,'SoBCaICbIC-urbanresidential'!$A5,'Cost Breakdowns'!$F$3:$F$22,"ISIC 64T66"))</f>
        <v>0</v>
      </c>
      <c r="AS5">
        <f>(SUMIFS('Cost Breakdowns'!$C$3:$C$22,'Cost Breakdowns'!$A$3:$A$22,'SoBCaICbIC-urbanresidential'!$A5,'Cost Breakdowns'!$F$3:$F$22,"ISIC 68"))</f>
        <v>0</v>
      </c>
      <c r="AT5">
        <f>(SUMIFS('Cost Breakdowns'!$C$3:$C$22,'Cost Breakdowns'!$A$3:$A$22,'SoBCaICbIC-urbanresidential'!$A5,'Cost Breakdowns'!$F$3:$F$22,"ISIC 69T82"))*'Factors applied'!$E$271</f>
        <v>0</v>
      </c>
      <c r="AU5">
        <f>(SUMIFS('Cost Breakdowns'!$C$3:$C$22,'Cost Breakdowns'!$A$3:$A$22,'SoBCaICbIC-urbanresidential'!$A5,'Cost Breakdowns'!$F$3:$F$22,"ISIC 69T82"))*'Factors applied'!$E$272</f>
        <v>0</v>
      </c>
      <c r="AV5">
        <f>(SUMIFS('Cost Breakdowns'!$C$3:$C$22,'Cost Breakdowns'!$A$3:$A$22,'SoBCaICbIC-urbanresidential'!$A5,'Cost Breakdowns'!$F$3:$F$22,"ISIC 84"))</f>
        <v>0</v>
      </c>
      <c r="AW5">
        <f>(SUMIFS('Cost Breakdowns'!$C$3:$C$22,'Cost Breakdowns'!$A$3:$A$22,'SoBCaICbIC-urbanresidential'!$A5,'Cost Breakdowns'!$F$3:$F$22,"ISIC 85"))</f>
        <v>0</v>
      </c>
      <c r="AX5">
        <f>(SUMIFS('Cost Breakdowns'!$C$3:$C$22,'Cost Breakdowns'!$A$3:$A$22,'SoBCaICbIC-urbanresidential'!$A5,'Cost Breakdowns'!$F$3:$F$22,"ISIC 86T88"))</f>
        <v>0</v>
      </c>
      <c r="AY5">
        <f>(SUMIFS('Cost Breakdowns'!$C$3:$C$22,'Cost Breakdowns'!$A$3:$A$22,'SoBCaICbIC-urbanresidential'!$A5,'Cost Breakdowns'!$F$3:$F$22,"ISIC 90T96"))*'Factors applied'!$E$273</f>
        <v>0</v>
      </c>
      <c r="AZ5">
        <f>(SUMIFS('Cost Breakdowns'!$C$3:$C$22,'Cost Breakdowns'!$A$3:$A$22,'SoBCaICbIC-urbanresidential'!$A5,'Cost Breakdowns'!$F$3:$F$22,"ISIC 90T96"))*'Factors applied'!$E$274</f>
        <v>0</v>
      </c>
      <c r="BA5">
        <f>(SUMIFS('Cost Breakdowns'!$C$3:$C$22,'Cost Breakdowns'!$A$3:$A$22,'SoBCaICbIC-urbanresidential'!$A5,'Cost Breakdowns'!$F$3:$F$22,"ISIC 97T98"))</f>
        <v>0</v>
      </c>
    </row>
    <row r="6" spans="1:53" x14ac:dyDescent="0.25">
      <c r="A6" t="s">
        <v>40</v>
      </c>
      <c r="B6">
        <f>(SUMIFS('Cost Breakdowns'!$C$3:$C$22,'Cost Breakdowns'!$A$3:$A$22,'SoBCaICbIC-urbanresidential'!$A6,'Cost Breakdowns'!$F$3:$F$22,"ISIC 01T03"))*'Factors applied'!$E$195</f>
        <v>0</v>
      </c>
      <c r="C6">
        <f>(SUMIFS('Cost Breakdowns'!$C$3:$C$22,'Cost Breakdowns'!$A$3:$A$22,'SoBCaICbIC-urbanresidential'!$A6,'Cost Breakdowns'!$F$3:$F$22,"ISIC 01T03"))*'Factors applied'!$E$196</f>
        <v>0</v>
      </c>
      <c r="D6">
        <f>(SUMIFS('Cost Breakdowns'!$C$3:$C$22,'Cost Breakdowns'!$A$3:$A$22,'SoBCaICbIC-urbanresidential'!$A6,'Cost Breakdowns'!$F$3:$F$22,"ISIC 01T03"))*'Factors applied'!$E$197</f>
        <v>0</v>
      </c>
      <c r="E6">
        <f>(SUMIFS('Cost Breakdowns'!$C$3:$C$22,'Cost Breakdowns'!$A$3:$A$22,'SoBCaICbIC-urbanresidential'!$A6,'Cost Breakdowns'!$F$3:$F$22,"ISIC 05"))</f>
        <v>0</v>
      </c>
      <c r="F6">
        <f>(SUMIFS('Cost Breakdowns'!$C$3:$C$22,'Cost Breakdowns'!$A$3:$A$22,'SoBCaICbIC-urbanresidential'!$A6,'Cost Breakdowns'!$F$3:$F$22,"ISIC 06"))</f>
        <v>0</v>
      </c>
      <c r="G6">
        <f>(SUMIFS('Cost Breakdowns'!$C$3:$C$22,'Cost Breakdowns'!$A$3:$A$22,'SoBCaICbIC-urbanresidential'!$A6,'Cost Breakdowns'!$F$3:$F$22,"ISIC 07T08"))*'Factors applied'!$E$198</f>
        <v>0</v>
      </c>
      <c r="H6">
        <f>(SUMIFS('Cost Breakdowns'!$C$3:$C$22,'Cost Breakdowns'!$A$3:$A$22,'SoBCaICbIC-urbanresidential'!$A6,'Cost Breakdowns'!$F$3:$F$22,"ISIC 07T08"))*'Factors applied'!$E$199</f>
        <v>0</v>
      </c>
      <c r="I6">
        <f>(SUMIFS('Cost Breakdowns'!$C$3:$C$22,'Cost Breakdowns'!$A$3:$A$22,'SoBCaICbIC-urbanresidential'!$A6,'Cost Breakdowns'!$F$3:$F$22,"ISIC 09"))</f>
        <v>0</v>
      </c>
      <c r="J6">
        <f>(SUMIFS('Cost Breakdowns'!$C$3:$C$22,'Cost Breakdowns'!$A$3:$A$22,'SoBCaICbIC-urbanresidential'!$A6,'Cost Breakdowns'!$F$3:$F$22,"ISIC 10T12"))</f>
        <v>0</v>
      </c>
      <c r="K6">
        <f>(SUMIFS('Cost Breakdowns'!$C$3:$C$22,'Cost Breakdowns'!$A$3:$A$22,'SoBCaICbIC-urbanresidential'!$A6,'Cost Breakdowns'!$F$3:$F$22,"ISIC 13T15"))</f>
        <v>0</v>
      </c>
      <c r="L6">
        <f>(SUMIFS('Cost Breakdowns'!$C$3:$C$22,'Cost Breakdowns'!$A$3:$A$22,'SoBCaICbIC-urbanresidential'!$A6,'Cost Breakdowns'!$F$3:$F$22,"ISIC 16"))</f>
        <v>0</v>
      </c>
      <c r="M6">
        <f>(SUMIFS('Cost Breakdowns'!$C$3:$C$22,'Cost Breakdowns'!$A$3:$A$22,'SoBCaICbIC-urbanresidential'!$A6,'Cost Breakdowns'!$F$3:$F$22,"ISIC 17T18"))</f>
        <v>0</v>
      </c>
      <c r="N6">
        <f>(SUMIFS('Cost Breakdowns'!$C$3:$C$22,'Cost Breakdowns'!$A$3:$A$22,'SoBCaICbIC-urbanresidential'!$A6,'Cost Breakdowns'!$F$3:$F$22,"ISIC 19"))</f>
        <v>0</v>
      </c>
      <c r="O6">
        <f>(SUMIFS('Cost Breakdowns'!$C$3:$C$22,'Cost Breakdowns'!$A$3:$A$22,'SoBCaICbIC-urbanresidential'!$A6,'Cost Breakdowns'!$F$3:$F$22,"ISIC 20"))</f>
        <v>0</v>
      </c>
      <c r="P6">
        <f>(SUMIFS('Cost Breakdowns'!$C$3:$C$22,'Cost Breakdowns'!$A$3:$A$22,'SoBCaICbIC-urbanresidential'!$A6,'Cost Breakdowns'!$F$3:$F$22,"ISIC 21"))</f>
        <v>0</v>
      </c>
      <c r="Q6">
        <f>(SUMIFS('Cost Breakdowns'!$C$3:$C$22,'Cost Breakdowns'!$A$3:$A$22,'SoBCaICbIC-urbanresidential'!$A6,'Cost Breakdowns'!$F$3:$F$22,"ISIC 22"))</f>
        <v>0</v>
      </c>
      <c r="R6">
        <f>(SUMIFS('Cost Breakdowns'!$C$3:$C$22,'Cost Breakdowns'!$A$3:$A$22,'SoBCaICbIC-urbanresidential'!$A6,'Cost Breakdowns'!$F$3:$F$22,"ISIC 231"))</f>
        <v>0</v>
      </c>
      <c r="S6">
        <f>(SUMIFS('Cost Breakdowns'!$C$3:$C$22,'Cost Breakdowns'!$A$3:$A$22,'SoBCaICbIC-urbanresidential'!$A6,'Cost Breakdowns'!$F$3:$F$22,"ISIC 239"))</f>
        <v>0</v>
      </c>
      <c r="T6">
        <f>(SUMIFS('Cost Breakdowns'!$C$3:$C$22,'Cost Breakdowns'!$A$3:$A$22,'SoBCaICbIC-urbanresidential'!$A6,'Cost Breakdowns'!$F$3:$F$22,"ISIC 241"))</f>
        <v>0</v>
      </c>
      <c r="U6">
        <f>(SUMIFS('Cost Breakdowns'!$C$3:$C$22,'Cost Breakdowns'!$A$3:$A$22,'SoBCaICbIC-urbanresidential'!$A6,'Cost Breakdowns'!$F$3:$F$22,"ISIC 242"))</f>
        <v>0</v>
      </c>
      <c r="V6">
        <f>(SUMIFS('Cost Breakdowns'!$C$3:$C$22,'Cost Breakdowns'!$A$3:$A$22,'SoBCaICbIC-urbanresidential'!$A6,'Cost Breakdowns'!$F$3:$F$22,"ISIC 25"))</f>
        <v>0</v>
      </c>
      <c r="W6">
        <f>(SUMIFS('Cost Breakdowns'!$C$3:$C$22,'Cost Breakdowns'!$A$3:$A$22,'SoBCaICbIC-urbanresidential'!$A6,'Cost Breakdowns'!$F$3:$F$22,"ISIC 26"))</f>
        <v>0</v>
      </c>
      <c r="X6">
        <f>(SUMIFS('Cost Breakdowns'!$C$3:$C$22,'Cost Breakdowns'!$A$3:$A$22,'SoBCaICbIC-urbanresidential'!$A6,'Cost Breakdowns'!$F$3:$F$22,"ISIC 27"))</f>
        <v>0.41594354540356854</v>
      </c>
      <c r="Y6">
        <f>(SUMIFS('Cost Breakdowns'!$C$3:$C$22,'Cost Breakdowns'!$A$3:$A$22,'SoBCaICbIC-urbanresidential'!$A6,'Cost Breakdowns'!$F$3:$F$22,"ISIC 28"))</f>
        <v>0</v>
      </c>
      <c r="Z6">
        <f>(SUMIFS('Cost Breakdowns'!$C$3:$C$22,'Cost Breakdowns'!$A$3:$A$22,'SoBCaICbIC-urbanresidential'!$A6,'Cost Breakdowns'!$F$3:$F$22,"ISIC 29"))</f>
        <v>0</v>
      </c>
      <c r="AA6">
        <f>(SUMIFS('Cost Breakdowns'!$C$3:$C$22,'Cost Breakdowns'!$A$3:$A$22,'SoBCaICbIC-urbanresidential'!$A6,'Cost Breakdowns'!$F$3:$F$22,"ISIC 30"))*'Factors applied'!$E$200</f>
        <v>0</v>
      </c>
      <c r="AB6">
        <f>(SUMIFS('Cost Breakdowns'!$C$3:$C$22,'Cost Breakdowns'!$A$3:$A$22,'SoBCaICbIC-urbanresidential'!$A6,'Cost Breakdowns'!$F$3:$F$22,"ISIC 30"))*'Factors applied'!$E$201</f>
        <v>0</v>
      </c>
      <c r="AC6">
        <f>(SUMIFS('Cost Breakdowns'!$C$3:$C$22,'Cost Breakdowns'!$A$3:$A$22,'SoBCaICbIC-urbanresidential'!$A6,'Cost Breakdowns'!$F$3:$F$22,"ISIC 31T33"))</f>
        <v>0</v>
      </c>
      <c r="AD6">
        <f>(SUMIFS('Cost Breakdowns'!$C$3:$C$22,'Cost Breakdowns'!$A$3:$A$22,'SoBCaICbIC-urbanresidential'!$A6,'Cost Breakdowns'!$F$3:$F$22,"ISIC 351"))</f>
        <v>0</v>
      </c>
      <c r="AE6">
        <f>(SUMIFS('Cost Breakdowns'!$C$3:$C$22,'Cost Breakdowns'!$A$3:$A$22,'SoBCaICbIC-urbanresidential'!$A6,'Cost Breakdowns'!$F$3:$F$22,"ISIC 352T353"))</f>
        <v>0</v>
      </c>
      <c r="AF6">
        <f>(SUMIFS('Cost Breakdowns'!$C$3:$C$22,'Cost Breakdowns'!$A$3:$A$22,'SoBCaICbIC-urbanresidential'!$A6,'Cost Breakdowns'!$F$3:$F$22,"ISIC 36T39"))</f>
        <v>0</v>
      </c>
      <c r="AG6">
        <f>(SUMIFS('Cost Breakdowns'!$C$3:$C$22,'Cost Breakdowns'!$A$3:$A$22,'SoBCaICbIC-urbanresidential'!$A6,'Cost Breakdowns'!$F$3:$F$22,"ISIC 41T43"))</f>
        <v>0.24564858056085415</v>
      </c>
      <c r="AH6">
        <f>(SUMIFS('Cost Breakdowns'!$C$3:$C$22,'Cost Breakdowns'!$A$3:$A$22,'SoBCaICbIC-urbanresidential'!$A6,'Cost Breakdowns'!$F$3:$F$22,"ISIC 45T47"))</f>
        <v>0.33246167487591327</v>
      </c>
      <c r="AI6">
        <f>(SUMIFS('Cost Breakdowns'!$C$3:$C$22,'Cost Breakdowns'!$A$3:$A$22,'SoBCaICbIC-urbanresidential'!$A6,'Cost Breakdowns'!$F$3:$F$22,"ISIC 49T53"))*'Factors applied'!$E$202+SUMIFS('Cost Breakdowns'!$C$3:$C$22,'Cost Breakdowns'!$A$3:$A$22,'SoBCaICbIC-urbanresidential'!$A6,'Cost Breakdowns'!$F$3:$F$22,"ISIC 49")</f>
        <v>5.9461991596640338E-3</v>
      </c>
      <c r="AJ6">
        <f>(SUMIFS('Cost Breakdowns'!$C$3:$C$22,'Cost Breakdowns'!$A$3:$A$22,'SoBCaICbIC-urbanresidential'!$A6,'Cost Breakdowns'!$F$3:$F$22,"ISIC 49T53"))*'Factors applied'!$E$203</f>
        <v>0</v>
      </c>
      <c r="AK6">
        <f>(SUMIFS('Cost Breakdowns'!$C$3:$C$22,'Cost Breakdowns'!$A$3:$A$22,'SoBCaICbIC-urbanresidential'!$A6,'Cost Breakdowns'!$F$3:$F$22,"ISIC 49T53"))*'Factors applied'!$E$204</f>
        <v>0</v>
      </c>
      <c r="AL6">
        <f>(SUMIFS('Cost Breakdowns'!$C$3:$C$22,'Cost Breakdowns'!$A$3:$A$22,'SoBCaICbIC-urbanresidential'!$A6,'Cost Breakdowns'!$F$3:$F$22,"ISIC 49T53"))*'Factors applied'!$E$205</f>
        <v>0</v>
      </c>
      <c r="AM6">
        <f>(SUMIFS('Cost Breakdowns'!$C$3:$C$22,'Cost Breakdowns'!$A$3:$A$22,'SoBCaICbIC-urbanresidential'!$A6,'Cost Breakdowns'!$F$3:$F$22,"ISIC 49T53"))*'Factors applied'!$E$206</f>
        <v>0</v>
      </c>
      <c r="AN6">
        <f>(SUMIFS('Cost Breakdowns'!$C$3:$C$22,'Cost Breakdowns'!$A$3:$A$22,'SoBCaICbIC-urbanresidential'!$A6,'Cost Breakdowns'!$F$3:$F$22,"ISIC 55T56"))</f>
        <v>0</v>
      </c>
      <c r="AO6">
        <f>(SUMIFS('Cost Breakdowns'!$C$3:$C$22,'Cost Breakdowns'!$A$3:$A$22,'SoBCaICbIC-urbanresidential'!$A6,'Cost Breakdowns'!$F$3:$F$22,"ISIC 58T60"))</f>
        <v>0</v>
      </c>
      <c r="AP6">
        <f>(SUMIFS('Cost Breakdowns'!$C$3:$C$22,'Cost Breakdowns'!$A$3:$A$22,'SoBCaICbIC-urbanresidential'!$A6,'Cost Breakdowns'!$F$3:$F$22,"ISIC 61"))</f>
        <v>0</v>
      </c>
      <c r="AQ6">
        <f>(SUMIFS('Cost Breakdowns'!$C$3:$C$22,'Cost Breakdowns'!$A$3:$A$22,'SoBCaICbIC-urbanresidential'!$A6,'Cost Breakdowns'!$F$3:$F$22,"ISIC 62T63"))</f>
        <v>0</v>
      </c>
      <c r="AR6">
        <f>(SUMIFS('Cost Breakdowns'!$C$3:$C$22,'Cost Breakdowns'!$A$3:$A$22,'SoBCaICbIC-urbanresidential'!$A6,'Cost Breakdowns'!$F$3:$F$22,"ISIC 64T66"))</f>
        <v>0</v>
      </c>
      <c r="AS6">
        <f>(SUMIFS('Cost Breakdowns'!$C$3:$C$22,'Cost Breakdowns'!$A$3:$A$22,'SoBCaICbIC-urbanresidential'!$A6,'Cost Breakdowns'!$F$3:$F$22,"ISIC 68"))</f>
        <v>0</v>
      </c>
      <c r="AT6">
        <f>(SUMIFS('Cost Breakdowns'!$C$3:$C$22,'Cost Breakdowns'!$A$3:$A$22,'SoBCaICbIC-urbanresidential'!$A6,'Cost Breakdowns'!$F$3:$F$22,"ISIC 69T82"))*'Factors applied'!$E$207</f>
        <v>0</v>
      </c>
      <c r="AU6">
        <f>(SUMIFS('Cost Breakdowns'!$C$3:$C$22,'Cost Breakdowns'!$A$3:$A$22,'SoBCaICbIC-urbanresidential'!$A6,'Cost Breakdowns'!$F$3:$F$22,"ISIC 69T82"))*'Factors applied'!$E$208</f>
        <v>0</v>
      </c>
      <c r="AV6">
        <f>(SUMIFS('Cost Breakdowns'!$C$3:$C$22,'Cost Breakdowns'!$A$3:$A$22,'SoBCaICbIC-urbanresidential'!$A6,'Cost Breakdowns'!$F$3:$F$22,"ISIC 84"))</f>
        <v>0</v>
      </c>
      <c r="AW6">
        <f>(SUMIFS('Cost Breakdowns'!$C$3:$C$22,'Cost Breakdowns'!$A$3:$A$22,'SoBCaICbIC-urbanresidential'!$A6,'Cost Breakdowns'!$F$3:$F$22,"ISIC 85"))</f>
        <v>0</v>
      </c>
      <c r="AX6">
        <f>(SUMIFS('Cost Breakdowns'!$C$3:$C$22,'Cost Breakdowns'!$A$3:$A$22,'SoBCaICbIC-urbanresidential'!$A6,'Cost Breakdowns'!$F$3:$F$22,"ISIC 86T88"))</f>
        <v>0</v>
      </c>
      <c r="AY6">
        <f>(SUMIFS('Cost Breakdowns'!$C$3:$C$22,'Cost Breakdowns'!$A$3:$A$22,'SoBCaICbIC-urbanresidential'!$A6,'Cost Breakdowns'!$F$3:$F$22,"ISIC 90T96"))*'Factors applied'!$E$209</f>
        <v>0</v>
      </c>
      <c r="AZ6">
        <f>(SUMIFS('Cost Breakdowns'!$C$3:$C$22,'Cost Breakdowns'!$A$3:$A$22,'SoBCaICbIC-urbanresidential'!$A6,'Cost Breakdowns'!$F$3:$F$22,"ISIC 90T96"))*'Factors applied'!$E$210</f>
        <v>0</v>
      </c>
      <c r="BA6">
        <f>(SUMIFS('Cost Breakdowns'!$C$3:$C$22,'Cost Breakdowns'!$A$3:$A$22,'SoBCaICbIC-urbanresidential'!$A6,'Cost Breakdowns'!$F$3:$F$22,"ISIC 97T98"))</f>
        <v>0</v>
      </c>
    </row>
    <row r="7" spans="1:53" x14ac:dyDescent="0.25">
      <c r="A7" t="s">
        <v>69</v>
      </c>
      <c r="B7">
        <f>(SUMIFS('Cost Breakdowns'!$C$3:$C$22,'Cost Breakdowns'!$A$3:$A$22,'SoBCaICbIC-urbanresidential'!$A7,'Cost Breakdowns'!$F$3:$F$22,"ISIC 01T03"))*'Factors applied'!$E$275</f>
        <v>0</v>
      </c>
      <c r="C7">
        <f>(SUMIFS('Cost Breakdowns'!$C$3:$C$22,'Cost Breakdowns'!$A$3:$A$22,'SoBCaICbIC-urbanresidential'!$A7,'Cost Breakdowns'!$F$3:$F$22,"ISIC 01T03"))*'Factors applied'!$E$276</f>
        <v>0</v>
      </c>
      <c r="D7">
        <f>(SUMIFS('Cost Breakdowns'!$C$3:$C$22,'Cost Breakdowns'!$A$3:$A$22,'SoBCaICbIC-urbanresidential'!$A7,'Cost Breakdowns'!$F$3:$F$22,"ISIC 01T03"))*'Factors applied'!$E$277</f>
        <v>0</v>
      </c>
      <c r="E7">
        <f>(SUMIFS('Cost Breakdowns'!$C$3:$C$22,'Cost Breakdowns'!$A$3:$A$22,'SoBCaICbIC-urbanresidential'!$A7,'Cost Breakdowns'!$F$3:$F$22,"ISIC 05"))</f>
        <v>0</v>
      </c>
      <c r="F7">
        <f>(SUMIFS('Cost Breakdowns'!$C$3:$C$22,'Cost Breakdowns'!$A$3:$A$22,'SoBCaICbIC-urbanresidential'!$A7,'Cost Breakdowns'!$F$3:$F$22,"ISIC 06"))</f>
        <v>0</v>
      </c>
      <c r="G7">
        <f>(SUMIFS('Cost Breakdowns'!$C$3:$C$22,'Cost Breakdowns'!$A$3:$A$22,'SoBCaICbIC-urbanresidential'!$A7,'Cost Breakdowns'!$F$3:$F$22,"ISIC 07T08"))*'Factors applied'!$E$278</f>
        <v>0</v>
      </c>
      <c r="H7">
        <f>(SUMIFS('Cost Breakdowns'!$C$3:$C$22,'Cost Breakdowns'!$A$3:$A$22,'SoBCaICbIC-urbanresidential'!$A7,'Cost Breakdowns'!$F$3:$F$22,"ISIC 07T08"))*'Factors applied'!$E$279</f>
        <v>0</v>
      </c>
      <c r="I7">
        <f>(SUMIFS('Cost Breakdowns'!$C$3:$C$22,'Cost Breakdowns'!$A$3:$A$22,'SoBCaICbIC-urbanresidential'!$A7,'Cost Breakdowns'!$F$3:$F$22,"ISIC 09"))</f>
        <v>0</v>
      </c>
      <c r="J7">
        <f>(SUMIFS('Cost Breakdowns'!$C$3:$C$22,'Cost Breakdowns'!$A$3:$A$22,'SoBCaICbIC-urbanresidential'!$A7,'Cost Breakdowns'!$F$3:$F$22,"ISIC 10T12"))</f>
        <v>0</v>
      </c>
      <c r="K7">
        <f>(SUMIFS('Cost Breakdowns'!$C$3:$C$22,'Cost Breakdowns'!$A$3:$A$22,'SoBCaICbIC-urbanresidential'!$A7,'Cost Breakdowns'!$F$3:$F$22,"ISIC 13T15"))</f>
        <v>0</v>
      </c>
      <c r="L7">
        <f>(SUMIFS('Cost Breakdowns'!$C$3:$C$22,'Cost Breakdowns'!$A$3:$A$22,'SoBCaICbIC-urbanresidential'!$A7,'Cost Breakdowns'!$F$3:$F$22,"ISIC 16"))</f>
        <v>0</v>
      </c>
      <c r="M7">
        <f>(SUMIFS('Cost Breakdowns'!$C$3:$C$22,'Cost Breakdowns'!$A$3:$A$22,'SoBCaICbIC-urbanresidential'!$A7,'Cost Breakdowns'!$F$3:$F$22,"ISIC 17T18"))</f>
        <v>0</v>
      </c>
      <c r="N7">
        <f>(SUMIFS('Cost Breakdowns'!$C$3:$C$22,'Cost Breakdowns'!$A$3:$A$22,'SoBCaICbIC-urbanresidential'!$A7,'Cost Breakdowns'!$F$3:$F$22,"ISIC 19"))</f>
        <v>0</v>
      </c>
      <c r="O7">
        <f>(SUMIFS('Cost Breakdowns'!$C$3:$C$22,'Cost Breakdowns'!$A$3:$A$22,'SoBCaICbIC-urbanresidential'!$A7,'Cost Breakdowns'!$F$3:$F$22,"ISIC 20"))</f>
        <v>0</v>
      </c>
      <c r="P7">
        <f>(SUMIFS('Cost Breakdowns'!$C$3:$C$22,'Cost Breakdowns'!$A$3:$A$22,'SoBCaICbIC-urbanresidential'!$A7,'Cost Breakdowns'!$F$3:$F$22,"ISIC 21"))</f>
        <v>0</v>
      </c>
      <c r="Q7">
        <f>(SUMIFS('Cost Breakdowns'!$C$3:$C$22,'Cost Breakdowns'!$A$3:$A$22,'SoBCaICbIC-urbanresidential'!$A7,'Cost Breakdowns'!$F$3:$F$22,"ISIC 22"))</f>
        <v>0</v>
      </c>
      <c r="R7">
        <f>(SUMIFS('Cost Breakdowns'!$C$3:$C$22,'Cost Breakdowns'!$A$3:$A$22,'SoBCaICbIC-urbanresidential'!$A7,'Cost Breakdowns'!$F$3:$F$22,"ISIC 231"))</f>
        <v>0</v>
      </c>
      <c r="S7">
        <f>(SUMIFS('Cost Breakdowns'!$C$3:$C$22,'Cost Breakdowns'!$A$3:$A$22,'SoBCaICbIC-urbanresidential'!$A7,'Cost Breakdowns'!$F$3:$F$22,"ISIC 239"))</f>
        <v>0</v>
      </c>
      <c r="T7">
        <f>(SUMIFS('Cost Breakdowns'!$C$3:$C$22,'Cost Breakdowns'!$A$3:$A$22,'SoBCaICbIC-urbanresidential'!$A7,'Cost Breakdowns'!$F$3:$F$22,"ISIC 241"))</f>
        <v>0</v>
      </c>
      <c r="U7">
        <f>(SUMIFS('Cost Breakdowns'!$C$3:$C$22,'Cost Breakdowns'!$A$3:$A$22,'SoBCaICbIC-urbanresidential'!$A7,'Cost Breakdowns'!$F$3:$F$22,"ISIC 242"))</f>
        <v>0</v>
      </c>
      <c r="V7">
        <f>(SUMIFS('Cost Breakdowns'!$C$3:$C$22,'Cost Breakdowns'!$A$3:$A$22,'SoBCaICbIC-urbanresidential'!$A7,'Cost Breakdowns'!$F$3:$F$22,"ISIC 25"))</f>
        <v>0</v>
      </c>
      <c r="W7">
        <f>(SUMIFS('Cost Breakdowns'!$C$3:$C$22,'Cost Breakdowns'!$A$3:$A$22,'SoBCaICbIC-urbanresidential'!$A7,'Cost Breakdowns'!$F$3:$F$22,"ISIC 26"))</f>
        <v>0</v>
      </c>
      <c r="X7">
        <f>(SUMIFS('Cost Breakdowns'!$C$3:$C$22,'Cost Breakdowns'!$A$3:$A$22,'SoBCaICbIC-urbanresidential'!$A7,'Cost Breakdowns'!$F$3:$F$22,"ISIC 27"))</f>
        <v>0.39439856534562207</v>
      </c>
      <c r="Y7">
        <f>(SUMIFS('Cost Breakdowns'!$C$3:$C$22,'Cost Breakdowns'!$A$3:$A$22,'SoBCaICbIC-urbanresidential'!$A7,'Cost Breakdowns'!$F$3:$F$22,"ISIC 28"))</f>
        <v>0</v>
      </c>
      <c r="Z7">
        <f>(SUMIFS('Cost Breakdowns'!$C$3:$C$22,'Cost Breakdowns'!$A$3:$A$22,'SoBCaICbIC-urbanresidential'!$A7,'Cost Breakdowns'!$F$3:$F$22,"ISIC 29"))</f>
        <v>0</v>
      </c>
      <c r="AA7">
        <f>(SUMIFS('Cost Breakdowns'!$C$3:$C$22,'Cost Breakdowns'!$A$3:$A$22,'SoBCaICbIC-urbanresidential'!$A7,'Cost Breakdowns'!$F$3:$F$22,"ISIC 30"))*'Factors applied'!$E$280</f>
        <v>0</v>
      </c>
      <c r="AB7">
        <f>(SUMIFS('Cost Breakdowns'!$C$3:$C$22,'Cost Breakdowns'!$A$3:$A$22,'SoBCaICbIC-urbanresidential'!$A7,'Cost Breakdowns'!$F$3:$F$22,"ISIC 30"))*'Factors applied'!$E$281</f>
        <v>0</v>
      </c>
      <c r="AC7">
        <f>(SUMIFS('Cost Breakdowns'!$C$3:$C$22,'Cost Breakdowns'!$A$3:$A$22,'SoBCaICbIC-urbanresidential'!$A7,'Cost Breakdowns'!$F$3:$F$22,"ISIC 31T33"))</f>
        <v>0</v>
      </c>
      <c r="AD7">
        <f>(SUMIFS('Cost Breakdowns'!$C$3:$C$22,'Cost Breakdowns'!$A$3:$A$22,'SoBCaICbIC-urbanresidential'!$A7,'Cost Breakdowns'!$F$3:$F$22,"ISIC 351"))</f>
        <v>0</v>
      </c>
      <c r="AE7">
        <f>(SUMIFS('Cost Breakdowns'!$C$3:$C$22,'Cost Breakdowns'!$A$3:$A$22,'SoBCaICbIC-urbanresidential'!$A7,'Cost Breakdowns'!$F$3:$F$22,"ISIC 352T353"))</f>
        <v>0</v>
      </c>
      <c r="AF7">
        <f>(SUMIFS('Cost Breakdowns'!$C$3:$C$22,'Cost Breakdowns'!$A$3:$A$22,'SoBCaICbIC-urbanresidential'!$A7,'Cost Breakdowns'!$F$3:$F$22,"ISIC 36T39"))</f>
        <v>0</v>
      </c>
      <c r="AG7">
        <f>(SUMIFS('Cost Breakdowns'!$C$3:$C$22,'Cost Breakdowns'!$A$3:$A$22,'SoBCaICbIC-urbanresidential'!$A7,'Cost Breakdowns'!$F$3:$F$22,"ISIC 41T43"))</f>
        <v>0.24564858056085415</v>
      </c>
      <c r="AH7">
        <f>(SUMIFS('Cost Breakdowns'!$C$3:$C$22,'Cost Breakdowns'!$A$3:$A$22,'SoBCaICbIC-urbanresidential'!$A7,'Cost Breakdowns'!$F$3:$F$22,"ISIC 45T47"))</f>
        <v>0.34557880809981883</v>
      </c>
      <c r="AI7">
        <f>(SUMIFS('Cost Breakdowns'!$C$3:$C$22,'Cost Breakdowns'!$A$3:$A$22,'SoBCaICbIC-urbanresidential'!$A7,'Cost Breakdowns'!$F$3:$F$22,"ISIC 49T53"))*'Factors applied'!$E$282+SUMIFS('Cost Breakdowns'!$C$3:$C$22,'Cost Breakdowns'!$A$3:$A$22,'SoBCaICbIC-urbanresidential'!$A7,'Cost Breakdowns'!$F$3:$F$22,"ISIC 49")</f>
        <v>1.4374045993704981E-2</v>
      </c>
      <c r="AJ7">
        <f>(SUMIFS('Cost Breakdowns'!$C$3:$C$22,'Cost Breakdowns'!$A$3:$A$22,'SoBCaICbIC-urbanresidential'!$A7,'Cost Breakdowns'!$F$3:$F$22,"ISIC 49T53"))*'Factors applied'!$E$283</f>
        <v>0</v>
      </c>
      <c r="AK7">
        <f>(SUMIFS('Cost Breakdowns'!$C$3:$C$22,'Cost Breakdowns'!$A$3:$A$22,'SoBCaICbIC-urbanresidential'!$A7,'Cost Breakdowns'!$F$3:$F$22,"ISIC 49T53"))*'Factors applied'!$E$284</f>
        <v>0</v>
      </c>
      <c r="AL7">
        <f>(SUMIFS('Cost Breakdowns'!$C$3:$C$22,'Cost Breakdowns'!$A$3:$A$22,'SoBCaICbIC-urbanresidential'!$A7,'Cost Breakdowns'!$F$3:$F$22,"ISIC 49T53"))*'Factors applied'!$E$285</f>
        <v>0</v>
      </c>
      <c r="AM7">
        <f>(SUMIFS('Cost Breakdowns'!$C$3:$C$22,'Cost Breakdowns'!$A$3:$A$22,'SoBCaICbIC-urbanresidential'!$A7,'Cost Breakdowns'!$F$3:$F$22,"ISIC 49T53"))*'Factors applied'!$E$286</f>
        <v>0</v>
      </c>
      <c r="AN7">
        <f>(SUMIFS('Cost Breakdowns'!$C$3:$C$22,'Cost Breakdowns'!$A$3:$A$22,'SoBCaICbIC-urbanresidential'!$A7,'Cost Breakdowns'!$F$3:$F$22,"ISIC 55T56"))</f>
        <v>0</v>
      </c>
      <c r="AO7">
        <f>(SUMIFS('Cost Breakdowns'!$C$3:$C$22,'Cost Breakdowns'!$A$3:$A$22,'SoBCaICbIC-urbanresidential'!$A7,'Cost Breakdowns'!$F$3:$F$22,"ISIC 58T60"))</f>
        <v>0</v>
      </c>
      <c r="AP7">
        <f>(SUMIFS('Cost Breakdowns'!$C$3:$C$22,'Cost Breakdowns'!$A$3:$A$22,'SoBCaICbIC-urbanresidential'!$A7,'Cost Breakdowns'!$F$3:$F$22,"ISIC 61"))</f>
        <v>0</v>
      </c>
      <c r="AQ7">
        <f>(SUMIFS('Cost Breakdowns'!$C$3:$C$22,'Cost Breakdowns'!$A$3:$A$22,'SoBCaICbIC-urbanresidential'!$A7,'Cost Breakdowns'!$F$3:$F$22,"ISIC 62T63"))</f>
        <v>0</v>
      </c>
      <c r="AR7">
        <f>(SUMIFS('Cost Breakdowns'!$C$3:$C$22,'Cost Breakdowns'!$A$3:$A$22,'SoBCaICbIC-urbanresidential'!$A7,'Cost Breakdowns'!$F$3:$F$22,"ISIC 64T66"))</f>
        <v>0</v>
      </c>
      <c r="AS7">
        <f>(SUMIFS('Cost Breakdowns'!$C$3:$C$22,'Cost Breakdowns'!$A$3:$A$22,'SoBCaICbIC-urbanresidential'!$A7,'Cost Breakdowns'!$F$3:$F$22,"ISIC 68"))</f>
        <v>0</v>
      </c>
      <c r="AT7">
        <f>(SUMIFS('Cost Breakdowns'!$C$3:$C$22,'Cost Breakdowns'!$A$3:$A$22,'SoBCaICbIC-urbanresidential'!$A7,'Cost Breakdowns'!$F$3:$F$22,"ISIC 69T82"))*'Factors applied'!$E$287</f>
        <v>0</v>
      </c>
      <c r="AU7">
        <f>(SUMIFS('Cost Breakdowns'!$C$3:$C$22,'Cost Breakdowns'!$A$3:$A$22,'SoBCaICbIC-urbanresidential'!$A7,'Cost Breakdowns'!$F$3:$F$22,"ISIC 69T82"))*'Factors applied'!$E$288</f>
        <v>0</v>
      </c>
      <c r="AV7">
        <f>(SUMIFS('Cost Breakdowns'!$C$3:$C$22,'Cost Breakdowns'!$A$3:$A$22,'SoBCaICbIC-urbanresidential'!$A7,'Cost Breakdowns'!$F$3:$F$22,"ISIC 84"))</f>
        <v>0</v>
      </c>
      <c r="AW7">
        <f>(SUMIFS('Cost Breakdowns'!$C$3:$C$22,'Cost Breakdowns'!$A$3:$A$22,'SoBCaICbIC-urbanresidential'!$A7,'Cost Breakdowns'!$F$3:$F$22,"ISIC 85"))</f>
        <v>0</v>
      </c>
      <c r="AX7">
        <f>(SUMIFS('Cost Breakdowns'!$C$3:$C$22,'Cost Breakdowns'!$A$3:$A$22,'SoBCaICbIC-urbanresidential'!$A7,'Cost Breakdowns'!$F$3:$F$22,"ISIC 86T88"))</f>
        <v>0</v>
      </c>
      <c r="AY7">
        <f>(SUMIFS('Cost Breakdowns'!$C$3:$C$22,'Cost Breakdowns'!$A$3:$A$22,'SoBCaICbIC-urbanresidential'!$A7,'Cost Breakdowns'!$F$3:$F$22,"ISIC 90T96"))*'Factors applied'!$E$289</f>
        <v>0</v>
      </c>
      <c r="AZ7">
        <f>(SUMIFS('Cost Breakdowns'!$C$3:$C$22,'Cost Breakdowns'!$A$3:$A$22,'SoBCaICbIC-urbanresidential'!$A7,'Cost Breakdowns'!$F$3:$F$22,"ISIC 90T96"))*'Factors applied'!$E$290</f>
        <v>0</v>
      </c>
      <c r="BA7">
        <f>(SUMIFS('Cost Breakdowns'!$C$3:$C$22,'Cost Breakdowns'!$A$3:$A$22,'SoBCaICbIC-urbanresidential'!$A7,'Cost Breakdowns'!$F$3:$F$22,"ISIC 97T98"))</f>
        <v>0</v>
      </c>
    </row>
  </sheetData>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BA7"/>
  <sheetViews>
    <sheetView workbookViewId="0">
      <selection activeCell="Q4" sqref="Q4"/>
    </sheetView>
  </sheetViews>
  <sheetFormatPr defaultRowHeight="15" x14ac:dyDescent="0.25"/>
  <cols>
    <col min="1" max="1" width="22.85546875" customWidth="1"/>
    <col min="2" max="43" width="10.5703125" customWidth="1"/>
  </cols>
  <sheetData>
    <row r="1" spans="1:53" x14ac:dyDescent="0.25">
      <c r="A1" s="99" t="s">
        <v>784</v>
      </c>
      <c r="B1" s="98" t="s">
        <v>41</v>
      </c>
      <c r="C1" s="98" t="s">
        <v>44</v>
      </c>
      <c r="D1" s="98" t="s">
        <v>45</v>
      </c>
      <c r="E1" s="98" t="s">
        <v>76</v>
      </c>
      <c r="F1" s="98" t="s">
        <v>78</v>
      </c>
      <c r="G1" s="98" t="s">
        <v>46</v>
      </c>
      <c r="H1" s="98" t="s">
        <v>48</v>
      </c>
      <c r="I1" s="98" t="s">
        <v>81</v>
      </c>
      <c r="J1" s="98" t="s">
        <v>83</v>
      </c>
      <c r="K1" s="98" t="s">
        <v>85</v>
      </c>
      <c r="L1" s="98" t="s">
        <v>87</v>
      </c>
      <c r="M1" s="98" t="s">
        <v>89</v>
      </c>
      <c r="N1" s="98" t="s">
        <v>91</v>
      </c>
      <c r="O1" s="98" t="s">
        <v>93</v>
      </c>
      <c r="P1" s="98" t="s">
        <v>95</v>
      </c>
      <c r="Q1" s="98" t="s">
        <v>97</v>
      </c>
      <c r="R1" s="98" t="s">
        <v>99</v>
      </c>
      <c r="S1" s="98" t="s">
        <v>101</v>
      </c>
      <c r="T1" s="98" t="s">
        <v>103</v>
      </c>
      <c r="U1" s="98" t="s">
        <v>105</v>
      </c>
      <c r="V1" s="98" t="s">
        <v>107</v>
      </c>
      <c r="W1" s="98" t="s">
        <v>109</v>
      </c>
      <c r="X1" s="98" t="s">
        <v>111</v>
      </c>
      <c r="Y1" s="98" t="s">
        <v>113</v>
      </c>
      <c r="Z1" s="98" t="s">
        <v>115</v>
      </c>
      <c r="AA1" s="98" t="s">
        <v>49</v>
      </c>
      <c r="AB1" s="98" t="s">
        <v>51</v>
      </c>
      <c r="AC1" s="98" t="s">
        <v>118</v>
      </c>
      <c r="AD1" s="98" t="s">
        <v>120</v>
      </c>
      <c r="AE1" s="98" t="s">
        <v>122</v>
      </c>
      <c r="AF1" s="98" t="s">
        <v>124</v>
      </c>
      <c r="AG1" s="98" t="s">
        <v>126</v>
      </c>
      <c r="AH1" s="98" t="s">
        <v>128</v>
      </c>
      <c r="AI1" s="98" t="s">
        <v>52</v>
      </c>
      <c r="AJ1" s="98" t="s">
        <v>54</v>
      </c>
      <c r="AK1" s="98" t="s">
        <v>55</v>
      </c>
      <c r="AL1" s="98" t="s">
        <v>56</v>
      </c>
      <c r="AM1" s="98" t="s">
        <v>57</v>
      </c>
      <c r="AN1" s="98" t="s">
        <v>131</v>
      </c>
      <c r="AO1" s="98" t="s">
        <v>133</v>
      </c>
      <c r="AP1" s="98" t="s">
        <v>135</v>
      </c>
      <c r="AQ1" s="98" t="s">
        <v>137</v>
      </c>
      <c r="AR1" s="98" t="s">
        <v>139</v>
      </c>
      <c r="AS1" s="98" t="s">
        <v>141</v>
      </c>
      <c r="AT1" s="98" t="s">
        <v>58</v>
      </c>
      <c r="AU1" s="98" t="s">
        <v>61</v>
      </c>
      <c r="AV1" s="98" t="s">
        <v>144</v>
      </c>
      <c r="AW1" s="98" t="s">
        <v>146</v>
      </c>
      <c r="AX1" s="98" t="s">
        <v>148</v>
      </c>
      <c r="AY1" s="98" t="s">
        <v>62</v>
      </c>
      <c r="AZ1" s="98" t="s">
        <v>64</v>
      </c>
      <c r="BA1" s="98" t="s">
        <v>151</v>
      </c>
    </row>
    <row r="2" spans="1:53" x14ac:dyDescent="0.25">
      <c r="A2" t="s">
        <v>67</v>
      </c>
      <c r="B2">
        <f>(SUMIFS('Cost Breakdowns'!$D$3:$D$22,'Cost Breakdowns'!$A$3:$A$22,'SoBCaICbIC-urbanresidential'!$A2,'Cost Breakdowns'!$F$3:$F$22,"ISIC 01T03"))*'Factors applied'!$E$147</f>
        <v>0</v>
      </c>
      <c r="C2">
        <f>(SUMIFS('Cost Breakdowns'!$D$3:$D$22,'Cost Breakdowns'!$A$3:$A$22,'SoBCaICbIC-urbanresidential'!$A2,'Cost Breakdowns'!$F$3:$F$22,"ISIC 01T03"))*'Factors applied'!$E$148</f>
        <v>0</v>
      </c>
      <c r="D2">
        <f>(SUMIFS('Cost Breakdowns'!$D$3:$D$22,'Cost Breakdowns'!$A$3:$A$22,'SoBCaICbIC-urbanresidential'!$A2,'Cost Breakdowns'!$F$3:$F$22,"ISIC 01T03"))*'Factors applied'!$E$149</f>
        <v>0</v>
      </c>
      <c r="E2">
        <f>(SUMIFS('Cost Breakdowns'!$D$3:$D$22,'Cost Breakdowns'!$A$3:$A$22,'SoBCaICbIC-urbanresidential'!$A2,'Cost Breakdowns'!$F$3:$F$22,"ISIC 05"))</f>
        <v>0</v>
      </c>
      <c r="F2">
        <f>(SUMIFS('Cost Breakdowns'!$D$3:$D$22,'Cost Breakdowns'!$A$3:$A$22,'SoBCaICbIC-urbanresidential'!$A2,'Cost Breakdowns'!$F$3:$F$22,"ISIC 06"))</f>
        <v>0</v>
      </c>
      <c r="G2">
        <f>(SUMIFS('Cost Breakdowns'!$D$3:$D$22,'Cost Breakdowns'!$A$3:$A$22,'SoBCaICbIC-urbanresidential'!$A2,'Cost Breakdowns'!$F$3:$F$22,"ISIC 07T08"))*'Factors applied'!$E$150</f>
        <v>0</v>
      </c>
      <c r="H2">
        <f>(SUMIFS('Cost Breakdowns'!$D$3:$D$22,'Cost Breakdowns'!$A$3:$A$22,'SoBCaICbIC-urbanresidential'!$A2,'Cost Breakdowns'!$F$3:$F$22,"ISIC 07T08"))*'Factors applied'!$E$151</f>
        <v>0</v>
      </c>
      <c r="I2">
        <f>(SUMIFS('Cost Breakdowns'!$D$3:$D$22,'Cost Breakdowns'!$A$3:$A$22,'SoBCaICbIC-urbanresidential'!$A2,'Cost Breakdowns'!$F$3:$F$22,"ISIC 09"))</f>
        <v>0</v>
      </c>
      <c r="J2">
        <f>(SUMIFS('Cost Breakdowns'!$D$3:$D$22,'Cost Breakdowns'!$A$3:$A$22,'SoBCaICbIC-urbanresidential'!$A2,'Cost Breakdowns'!$F$3:$F$22,"ISIC 10T12"))</f>
        <v>0</v>
      </c>
      <c r="K2">
        <f>(SUMIFS('Cost Breakdowns'!$D$3:$D$22,'Cost Breakdowns'!$A$3:$A$22,'SoBCaICbIC-urbanresidential'!$A2,'Cost Breakdowns'!$F$3:$F$22,"ISIC 13T15"))</f>
        <v>0</v>
      </c>
      <c r="L2">
        <f>(SUMIFS('Cost Breakdowns'!$D$3:$D$22,'Cost Breakdowns'!$A$3:$A$22,'SoBCaICbIC-urbanresidential'!$A2,'Cost Breakdowns'!$F$3:$F$22,"ISIC 16"))</f>
        <v>0</v>
      </c>
      <c r="M2">
        <f>(SUMIFS('Cost Breakdowns'!$D$3:$D$22,'Cost Breakdowns'!$A$3:$A$22,'SoBCaICbIC-urbanresidential'!$A2,'Cost Breakdowns'!$F$3:$F$22,"ISIC 17T18"))</f>
        <v>0</v>
      </c>
      <c r="N2">
        <f>(SUMIFS('Cost Breakdowns'!$D$3:$D$22,'Cost Breakdowns'!$A$3:$A$22,'SoBCaICbIC-urbanresidential'!$A2,'Cost Breakdowns'!$F$3:$F$22,"ISIC 19"))</f>
        <v>0</v>
      </c>
      <c r="O2">
        <f>(SUMIFS('Cost Breakdowns'!$D$3:$D$22,'Cost Breakdowns'!$A$3:$A$22,'SoBCaICbIC-urbanresidential'!$A2,'Cost Breakdowns'!$F$3:$F$22,"ISIC 20"))</f>
        <v>0</v>
      </c>
      <c r="P2">
        <f>(SUMIFS('Cost Breakdowns'!$D$3:$D$22,'Cost Breakdowns'!$A$3:$A$22,'SoBCaICbIC-urbanresidential'!$A2,'Cost Breakdowns'!$F$3:$F$22,"ISIC 21"))</f>
        <v>0</v>
      </c>
      <c r="Q2">
        <f>(SUMIFS('Cost Breakdowns'!$D$3:$D$22,'Cost Breakdowns'!$A$3:$A$22,'SoBCaICbIC-urbanresidential'!$A2,'Cost Breakdowns'!$F$3:$F$22,"ISIC 22"))</f>
        <v>0</v>
      </c>
      <c r="R2">
        <f>(SUMIFS('Cost Breakdowns'!$D$3:$D$22,'Cost Breakdowns'!$A$3:$A$22,'SoBCaICbIC-urbanresidential'!$A2,'Cost Breakdowns'!$F$3:$F$22,"ISIC 231"))</f>
        <v>0</v>
      </c>
      <c r="S2">
        <f>(SUMIFS('Cost Breakdowns'!$D$3:$D$22,'Cost Breakdowns'!$A$3:$A$22,'SoBCaICbIC-urbanresidential'!$A2,'Cost Breakdowns'!$F$3:$F$22,"ISIC 239"))</f>
        <v>0</v>
      </c>
      <c r="T2">
        <f>(SUMIFS('Cost Breakdowns'!$D$3:$D$22,'Cost Breakdowns'!$A$3:$A$22,'SoBCaICbIC-urbanresidential'!$A2,'Cost Breakdowns'!$F$3:$F$22,"ISIC 241"))</f>
        <v>0</v>
      </c>
      <c r="U2">
        <f>(SUMIFS('Cost Breakdowns'!$D$3:$D$22,'Cost Breakdowns'!$A$3:$A$22,'SoBCaICbIC-urbanresidential'!$A2,'Cost Breakdowns'!$F$3:$F$22,"ISIC 242"))</f>
        <v>0</v>
      </c>
      <c r="V2">
        <f>(SUMIFS('Cost Breakdowns'!$D$3:$D$22,'Cost Breakdowns'!$A$3:$A$22,'SoBCaICbIC-urbanresidential'!$A2,'Cost Breakdowns'!$F$3:$F$22,"ISIC 25"))</f>
        <v>0</v>
      </c>
      <c r="W2">
        <f>(SUMIFS('Cost Breakdowns'!$D$3:$D$22,'Cost Breakdowns'!$A$3:$A$22,'SoBCaICbIC-urbanresidential'!$A2,'Cost Breakdowns'!$F$3:$F$22,"ISIC 26"))</f>
        <v>0</v>
      </c>
      <c r="X2">
        <f>(SUMIFS('Cost Breakdowns'!$D$3:$D$22,'Cost Breakdowns'!$A$3:$A$22,'SoBCaICbIC-urbanresidential'!$A2,'Cost Breakdowns'!$F$3:$F$22,"ISIC 27"))</f>
        <v>0</v>
      </c>
      <c r="Y2">
        <f>(SUMIFS('Cost Breakdowns'!$D$3:$D$22,'Cost Breakdowns'!$A$3:$A$22,'SoBCaICbIC-urbanresidential'!$A2,'Cost Breakdowns'!$F$3:$F$22,"ISIC 28"))</f>
        <v>0.25957514990948705</v>
      </c>
      <c r="Z2">
        <f>(SUMIFS('Cost Breakdowns'!$D$3:$D$22,'Cost Breakdowns'!$A$3:$A$22,'SoBCaICbIC-urbanresidential'!$A2,'Cost Breakdowns'!$F$3:$F$22,"ISIC 29"))</f>
        <v>0</v>
      </c>
      <c r="AA2">
        <f>(SUMIFS('Cost Breakdowns'!$D$3:$D$22,'Cost Breakdowns'!$A$3:$A$22,'SoBCaICbIC-urbanresidential'!$A2,'Cost Breakdowns'!$F$3:$F$22,"ISIC 30"))*'Factors applied'!$E$152</f>
        <v>0</v>
      </c>
      <c r="AB2">
        <f>(SUMIFS('Cost Breakdowns'!$D$3:$D$22,'Cost Breakdowns'!$A$3:$A$22,'SoBCaICbIC-urbanresidential'!$A2,'Cost Breakdowns'!$F$3:$F$22,"ISIC 30"))*'Factors applied'!$E$153</f>
        <v>0</v>
      </c>
      <c r="AC2">
        <f>(SUMIFS('Cost Breakdowns'!$D$3:$D$22,'Cost Breakdowns'!$A$3:$A$22,'SoBCaICbIC-urbanresidential'!$A2,'Cost Breakdowns'!$F$3:$F$22,"ISIC 31T33"))</f>
        <v>0</v>
      </c>
      <c r="AD2">
        <f>(SUMIFS('Cost Breakdowns'!$D$3:$D$22,'Cost Breakdowns'!$A$3:$A$22,'SoBCaICbIC-urbanresidential'!$A2,'Cost Breakdowns'!$F$3:$F$22,"ISIC 351"))</f>
        <v>0</v>
      </c>
      <c r="AE2">
        <f>(SUMIFS('Cost Breakdowns'!$D$3:$D$22,'Cost Breakdowns'!$A$3:$A$22,'SoBCaICbIC-urbanresidential'!$A2,'Cost Breakdowns'!$F$3:$F$22,"ISIC 352T353"))</f>
        <v>0</v>
      </c>
      <c r="AF2">
        <f>(SUMIFS('Cost Breakdowns'!$D$3:$D$22,'Cost Breakdowns'!$A$3:$A$22,'SoBCaICbIC-urbanresidential'!$A2,'Cost Breakdowns'!$F$3:$F$22,"ISIC 36T39"))</f>
        <v>0</v>
      </c>
      <c r="AG2">
        <f>(SUMIFS('Cost Breakdowns'!$D$3:$D$22,'Cost Breakdowns'!$A$3:$A$22,'SoBCaICbIC-urbanresidential'!$A2,'Cost Breakdowns'!$F$3:$F$22,"ISIC 41T43"))</f>
        <v>0.44971872913162625</v>
      </c>
      <c r="AH2">
        <f>(SUMIFS('Cost Breakdowns'!$D$3:$D$22,'Cost Breakdowns'!$A$3:$A$22,'SoBCaICbIC-urbanresidential'!$A2,'Cost Breakdowns'!$F$3:$F$22,"ISIC 45T47"))</f>
        <v>0.28309632803570012</v>
      </c>
      <c r="AI2">
        <f>(SUMIFS('Cost Breakdowns'!$D$3:$D$22,'Cost Breakdowns'!$A$3:$A$22,'SoBCaICbIC-urbanresidential'!$A2,'Cost Breakdowns'!$F$3:$F$22,"ISIC 49T53"))*'Factors applied'!$E$154+SUMIFS('Cost Breakdowns'!$D$3:$D$22,'Cost Breakdowns'!$A$3:$A$22,'SoBCaICbIC-urbanresidential'!$A2,'Cost Breakdowns'!$F$3:$F$22,"ISIC 49")</f>
        <v>7.6097929231865842E-3</v>
      </c>
      <c r="AJ2">
        <f>(SUMIFS('Cost Breakdowns'!$D$3:$D$22,'Cost Breakdowns'!$A$3:$A$22,'SoBCaICbIC-urbanresidential'!$A2,'Cost Breakdowns'!$F$3:$F$22,"ISIC 49T53"))*'Factors applied'!$E$155</f>
        <v>0</v>
      </c>
      <c r="AK2">
        <f>(SUMIFS('Cost Breakdowns'!$D$3:$D$22,'Cost Breakdowns'!$A$3:$A$22,'SoBCaICbIC-urbanresidential'!$A2,'Cost Breakdowns'!$F$3:$F$22,"ISIC 49T53"))*'Factors applied'!$E$156</f>
        <v>0</v>
      </c>
      <c r="AL2">
        <f>(SUMIFS('Cost Breakdowns'!$D$3:$D$22,'Cost Breakdowns'!$A$3:$A$22,'SoBCaICbIC-urbanresidential'!$A2,'Cost Breakdowns'!$F$3:$F$22,"ISIC 49T53"))*'Factors applied'!$E$157</f>
        <v>0</v>
      </c>
      <c r="AM2">
        <f>(SUMIFS('Cost Breakdowns'!$D$3:$D$22,'Cost Breakdowns'!$A$3:$A$22,'SoBCaICbIC-urbanresidential'!$A2,'Cost Breakdowns'!$F$3:$F$22,"ISIC 49T53"))*'Factors applied'!$E$158</f>
        <v>0</v>
      </c>
      <c r="AN2">
        <f>(SUMIFS('Cost Breakdowns'!$D$3:$D$22,'Cost Breakdowns'!$A$3:$A$22,'SoBCaICbIC-urbanresidential'!$A2,'Cost Breakdowns'!$F$3:$F$22,"ISIC 55T56"))</f>
        <v>0</v>
      </c>
      <c r="AO2">
        <f>(SUMIFS('Cost Breakdowns'!$D$3:$D$22,'Cost Breakdowns'!$A$3:$A$22,'SoBCaICbIC-urbanresidential'!$A2,'Cost Breakdowns'!$F$3:$F$22,"ISIC 58T60"))</f>
        <v>0</v>
      </c>
      <c r="AP2">
        <f>(SUMIFS('Cost Breakdowns'!$D$3:$D$22,'Cost Breakdowns'!$A$3:$A$22,'SoBCaICbIC-urbanresidential'!$A2,'Cost Breakdowns'!$F$3:$F$22,"ISIC 61"))</f>
        <v>0</v>
      </c>
      <c r="AQ2">
        <f>(SUMIFS('Cost Breakdowns'!$D$3:$D$22,'Cost Breakdowns'!$A$3:$A$22,'SoBCaICbIC-urbanresidential'!$A2,'Cost Breakdowns'!$F$3:$F$22,"ISIC 62T63"))</f>
        <v>0</v>
      </c>
      <c r="AR2">
        <f>(SUMIFS('Cost Breakdowns'!$D$3:$D$22,'Cost Breakdowns'!$A$3:$A$22,'SoBCaICbIC-urbanresidential'!$A2,'Cost Breakdowns'!$F$3:$F$22,"ISIC 64T66"))</f>
        <v>0</v>
      </c>
      <c r="AS2">
        <f>(SUMIFS('Cost Breakdowns'!$D$3:$D$22,'Cost Breakdowns'!$A$3:$A$22,'SoBCaICbIC-urbanresidential'!$A2,'Cost Breakdowns'!$F$3:$F$22,"ISIC 68"))</f>
        <v>0</v>
      </c>
      <c r="AT2">
        <f>(SUMIFS('Cost Breakdowns'!$D$3:$D$22,'Cost Breakdowns'!$A$3:$A$22,'SoBCaICbIC-urbanresidential'!$A2,'Cost Breakdowns'!$F$3:$F$22,"ISIC 69T82"))*'Factors applied'!$E$159</f>
        <v>0</v>
      </c>
      <c r="AU2">
        <f>(SUMIFS('Cost Breakdowns'!$D$3:$D$22,'Cost Breakdowns'!$A$3:$A$22,'SoBCaICbIC-urbanresidential'!$A2,'Cost Breakdowns'!$F$3:$F$22,"ISIC 69T82"))*'Factors applied'!$E$160</f>
        <v>0</v>
      </c>
      <c r="AV2">
        <f>(SUMIFS('Cost Breakdowns'!$D$3:$D$22,'Cost Breakdowns'!$A$3:$A$22,'SoBCaICbIC-urbanresidential'!$A2,'Cost Breakdowns'!$F$3:$F$22,"ISIC 84"))</f>
        <v>0</v>
      </c>
      <c r="AW2">
        <f>(SUMIFS('Cost Breakdowns'!$D$3:$D$22,'Cost Breakdowns'!$A$3:$A$22,'SoBCaICbIC-urbanresidential'!$A2,'Cost Breakdowns'!$F$3:$F$22,"ISIC 85"))</f>
        <v>0</v>
      </c>
      <c r="AX2">
        <f>(SUMIFS('Cost Breakdowns'!$D$3:$D$22,'Cost Breakdowns'!$A$3:$A$22,'SoBCaICbIC-urbanresidential'!$A2,'Cost Breakdowns'!$F$3:$F$22,"ISIC 86T88"))</f>
        <v>0</v>
      </c>
      <c r="AY2">
        <f>(SUMIFS('Cost Breakdowns'!$D$3:$D$22,'Cost Breakdowns'!$A$3:$A$22,'SoBCaICbIC-urbanresidential'!$A2,'Cost Breakdowns'!$F$3:$F$22,"ISIC 90T96"))*'Factors applied'!$E$161</f>
        <v>0</v>
      </c>
      <c r="AZ2">
        <f>(SUMIFS('Cost Breakdowns'!$D$3:$D$22,'Cost Breakdowns'!$A$3:$A$22,'SoBCaICbIC-urbanresidential'!$A2,'Cost Breakdowns'!$F$3:$F$22,"ISIC 90T96"))*'Factors applied'!$E$162</f>
        <v>0</v>
      </c>
      <c r="BA2">
        <f>(SUMIFS('Cost Breakdowns'!$D$3:$D$22,'Cost Breakdowns'!$A$3:$A$22,'SoBCaICbIC-urbanresidential'!$A2,'Cost Breakdowns'!$F$3:$F$22,"ISIC 97T98"))</f>
        <v>0</v>
      </c>
    </row>
    <row r="3" spans="1:53" x14ac:dyDescent="0.25">
      <c r="A3" t="s">
        <v>65</v>
      </c>
      <c r="B3">
        <f>(SUMIFS('Cost Breakdowns'!$D$3:$D$22,'Cost Breakdowns'!$A$3:$A$22,'SoBCaICbIC-urbanresidential'!$A3,'Cost Breakdowns'!$F$3:$F$22,"ISIC 01T03"))*'Factors applied'!$E$115</f>
        <v>0</v>
      </c>
      <c r="C3">
        <f>(SUMIFS('Cost Breakdowns'!$D$3:$D$22,'Cost Breakdowns'!$A$3:$A$22,'SoBCaICbIC-urbanresidential'!$A3,'Cost Breakdowns'!$F$3:$F$22,"ISIC 01T03"))*'Factors applied'!$E$116</f>
        <v>0</v>
      </c>
      <c r="D3">
        <f>(SUMIFS('Cost Breakdowns'!$D$3:$D$22,'Cost Breakdowns'!$A$3:$A$22,'SoBCaICbIC-urbanresidential'!$A3,'Cost Breakdowns'!$F$3:$F$22,"ISIC 01T03"))*'Factors applied'!$E$117</f>
        <v>0</v>
      </c>
      <c r="E3">
        <f>(SUMIFS('Cost Breakdowns'!$D$3:$D$22,'Cost Breakdowns'!$A$3:$A$22,'SoBCaICbIC-urbanresidential'!$A3,'Cost Breakdowns'!$F$3:$F$22,"ISIC 05"))</f>
        <v>0</v>
      </c>
      <c r="F3">
        <f>(SUMIFS('Cost Breakdowns'!$D$3:$D$22,'Cost Breakdowns'!$A$3:$A$22,'SoBCaICbIC-urbanresidential'!$A3,'Cost Breakdowns'!$F$3:$F$22,"ISIC 06"))</f>
        <v>0</v>
      </c>
      <c r="G3">
        <f>(SUMIFS('Cost Breakdowns'!$D$3:$D$22,'Cost Breakdowns'!$A$3:$A$22,'SoBCaICbIC-urbanresidential'!$A3,'Cost Breakdowns'!$F$3:$F$22,"ISIC 07T08"))*'Factors applied'!$E$118</f>
        <v>0</v>
      </c>
      <c r="H3">
        <f>(SUMIFS('Cost Breakdowns'!$D$3:$D$22,'Cost Breakdowns'!$A$3:$A$22,'SoBCaICbIC-urbanresidential'!$A3,'Cost Breakdowns'!$F$3:$F$22,"ISIC 07T08"))*'Factors applied'!$E$119</f>
        <v>0</v>
      </c>
      <c r="I3">
        <f>(SUMIFS('Cost Breakdowns'!$D$3:$D$22,'Cost Breakdowns'!$A$3:$A$22,'SoBCaICbIC-urbanresidential'!$A3,'Cost Breakdowns'!$F$3:$F$22,"ISIC 09"))</f>
        <v>0</v>
      </c>
      <c r="J3">
        <f>(SUMIFS('Cost Breakdowns'!$D$3:$D$22,'Cost Breakdowns'!$A$3:$A$22,'SoBCaICbIC-urbanresidential'!$A3,'Cost Breakdowns'!$F$3:$F$22,"ISIC 10T12"))</f>
        <v>0</v>
      </c>
      <c r="K3">
        <f>(SUMIFS('Cost Breakdowns'!$D$3:$D$22,'Cost Breakdowns'!$A$3:$A$22,'SoBCaICbIC-urbanresidential'!$A3,'Cost Breakdowns'!$F$3:$F$22,"ISIC 13T15"))</f>
        <v>0</v>
      </c>
      <c r="L3">
        <f>(SUMIFS('Cost Breakdowns'!$D$3:$D$22,'Cost Breakdowns'!$A$3:$A$22,'SoBCaICbIC-urbanresidential'!$A3,'Cost Breakdowns'!$F$3:$F$22,"ISIC 16"))</f>
        <v>0</v>
      </c>
      <c r="M3">
        <f>(SUMIFS('Cost Breakdowns'!$D$3:$D$22,'Cost Breakdowns'!$A$3:$A$22,'SoBCaICbIC-urbanresidential'!$A3,'Cost Breakdowns'!$F$3:$F$22,"ISIC 17T18"))</f>
        <v>0</v>
      </c>
      <c r="N3">
        <f>(SUMIFS('Cost Breakdowns'!$D$3:$D$22,'Cost Breakdowns'!$A$3:$A$22,'SoBCaICbIC-urbanresidential'!$A3,'Cost Breakdowns'!$F$3:$F$22,"ISIC 19"))</f>
        <v>0</v>
      </c>
      <c r="O3">
        <f>(SUMIFS('Cost Breakdowns'!$D$3:$D$22,'Cost Breakdowns'!$A$3:$A$22,'SoBCaICbIC-urbanresidential'!$A3,'Cost Breakdowns'!$F$3:$F$22,"ISIC 20"))</f>
        <v>0</v>
      </c>
      <c r="P3">
        <f>(SUMIFS('Cost Breakdowns'!$D$3:$D$22,'Cost Breakdowns'!$A$3:$A$22,'SoBCaICbIC-urbanresidential'!$A3,'Cost Breakdowns'!$F$3:$F$22,"ISIC 21"))</f>
        <v>0</v>
      </c>
      <c r="Q3">
        <f>(SUMIFS('Cost Breakdowns'!$D$3:$D$22,'Cost Breakdowns'!$A$3:$A$22,'SoBCaICbIC-urbanresidential'!$A3,'Cost Breakdowns'!$F$3:$F$22,"ISIC 22"))</f>
        <v>0</v>
      </c>
      <c r="R3">
        <f>(SUMIFS('Cost Breakdowns'!$D$3:$D$22,'Cost Breakdowns'!$A$3:$A$22,'SoBCaICbIC-urbanresidential'!$A3,'Cost Breakdowns'!$F$3:$F$22,"ISIC 231"))</f>
        <v>0</v>
      </c>
      <c r="S3">
        <f>(SUMIFS('Cost Breakdowns'!$D$3:$D$22,'Cost Breakdowns'!$A$3:$A$22,'SoBCaICbIC-urbanresidential'!$A3,'Cost Breakdowns'!$F$3:$F$22,"ISIC 239"))</f>
        <v>0</v>
      </c>
      <c r="T3">
        <f>(SUMIFS('Cost Breakdowns'!$D$3:$D$22,'Cost Breakdowns'!$A$3:$A$22,'SoBCaICbIC-urbanresidential'!$A3,'Cost Breakdowns'!$F$3:$F$22,"ISIC 241"))</f>
        <v>0</v>
      </c>
      <c r="U3">
        <f>(SUMIFS('Cost Breakdowns'!$D$3:$D$22,'Cost Breakdowns'!$A$3:$A$22,'SoBCaICbIC-urbanresidential'!$A3,'Cost Breakdowns'!$F$3:$F$22,"ISIC 242"))</f>
        <v>0</v>
      </c>
      <c r="V3">
        <f>(SUMIFS('Cost Breakdowns'!$D$3:$D$22,'Cost Breakdowns'!$A$3:$A$22,'SoBCaICbIC-urbanresidential'!$A3,'Cost Breakdowns'!$F$3:$F$22,"ISIC 25"))</f>
        <v>0</v>
      </c>
      <c r="W3">
        <f>(SUMIFS('Cost Breakdowns'!$D$3:$D$22,'Cost Breakdowns'!$A$3:$A$22,'SoBCaICbIC-urbanresidential'!$A3,'Cost Breakdowns'!$F$3:$F$22,"ISIC 26"))</f>
        <v>0</v>
      </c>
      <c r="X3">
        <f>(SUMIFS('Cost Breakdowns'!$D$3:$D$22,'Cost Breakdowns'!$A$3:$A$22,'SoBCaICbIC-urbanresidential'!$A3,'Cost Breakdowns'!$F$3:$F$22,"ISIC 27"))</f>
        <v>0</v>
      </c>
      <c r="Y3">
        <f>(SUMIFS('Cost Breakdowns'!$D$3:$D$22,'Cost Breakdowns'!$A$3:$A$22,'SoBCaICbIC-urbanresidential'!$A3,'Cost Breakdowns'!$F$3:$F$22,"ISIC 28"))</f>
        <v>0.34719457698210143</v>
      </c>
      <c r="Z3">
        <f>(SUMIFS('Cost Breakdowns'!$D$3:$D$22,'Cost Breakdowns'!$A$3:$A$22,'SoBCaICbIC-urbanresidential'!$A3,'Cost Breakdowns'!$F$3:$F$22,"ISIC 29"))</f>
        <v>0</v>
      </c>
      <c r="AA3">
        <f>(SUMIFS('Cost Breakdowns'!$D$3:$D$22,'Cost Breakdowns'!$A$3:$A$22,'SoBCaICbIC-urbanresidential'!$A3,'Cost Breakdowns'!$F$3:$F$22,"ISIC 30"))*'Factors applied'!$E$120</f>
        <v>0</v>
      </c>
      <c r="AB3">
        <f>(SUMIFS('Cost Breakdowns'!$D$3:$D$22,'Cost Breakdowns'!$A$3:$A$22,'SoBCaICbIC-urbanresidential'!$A3,'Cost Breakdowns'!$F$3:$F$22,"ISIC 30"))*'Factors applied'!$E$121</f>
        <v>0</v>
      </c>
      <c r="AC3">
        <f>(SUMIFS('Cost Breakdowns'!$D$3:$D$22,'Cost Breakdowns'!$A$3:$A$22,'SoBCaICbIC-urbanresidential'!$A3,'Cost Breakdowns'!$F$3:$F$22,"ISIC 31T33"))</f>
        <v>0</v>
      </c>
      <c r="AD3">
        <f>(SUMIFS('Cost Breakdowns'!$D$3:$D$22,'Cost Breakdowns'!$A$3:$A$22,'SoBCaICbIC-urbanresidential'!$A3,'Cost Breakdowns'!$F$3:$F$22,"ISIC 351"))</f>
        <v>0</v>
      </c>
      <c r="AE3">
        <f>(SUMIFS('Cost Breakdowns'!$D$3:$D$22,'Cost Breakdowns'!$A$3:$A$22,'SoBCaICbIC-urbanresidential'!$A3,'Cost Breakdowns'!$F$3:$F$22,"ISIC 352T353"))</f>
        <v>0</v>
      </c>
      <c r="AF3">
        <f>(SUMIFS('Cost Breakdowns'!$D$3:$D$22,'Cost Breakdowns'!$A$3:$A$22,'SoBCaICbIC-urbanresidential'!$A3,'Cost Breakdowns'!$F$3:$F$22,"ISIC 36T39"))</f>
        <v>0</v>
      </c>
      <c r="AG3">
        <f>(SUMIFS('Cost Breakdowns'!$D$3:$D$22,'Cost Breakdowns'!$A$3:$A$22,'SoBCaICbIC-urbanresidential'!$A3,'Cost Breakdowns'!$F$3:$F$22,"ISIC 41T43"))</f>
        <v>0.26375431279838768</v>
      </c>
      <c r="AH3">
        <f>(SUMIFS('Cost Breakdowns'!$D$3:$D$22,'Cost Breakdowns'!$A$3:$A$22,'SoBCaICbIC-urbanresidential'!$A3,'Cost Breakdowns'!$F$3:$F$22,"ISIC 45T47"))</f>
        <v>0.37896261246485319</v>
      </c>
      <c r="AI3">
        <f>(SUMIFS('Cost Breakdowns'!$D$3:$D$22,'Cost Breakdowns'!$A$3:$A$22,'SoBCaICbIC-urbanresidential'!$A3,'Cost Breakdowns'!$F$3:$F$22,"ISIC 49T53"))*'Factors applied'!$E$122+SUMIFS('Cost Breakdowns'!$D$3:$D$22,'Cost Breakdowns'!$A$3:$A$22,'SoBCaICbIC-urbanresidential'!$A3,'Cost Breakdowns'!$F$3:$F$22,"ISIC 49")</f>
        <v>1.0088497754657661E-2</v>
      </c>
      <c r="AJ3">
        <f>(SUMIFS('Cost Breakdowns'!$D$3:$D$22,'Cost Breakdowns'!$A$3:$A$22,'SoBCaICbIC-urbanresidential'!$A3,'Cost Breakdowns'!$F$3:$F$22,"ISIC 49T53"))*'Factors applied'!$E$123</f>
        <v>0</v>
      </c>
      <c r="AK3">
        <f>(SUMIFS('Cost Breakdowns'!$D$3:$D$22,'Cost Breakdowns'!$A$3:$A$22,'SoBCaICbIC-urbanresidential'!$A3,'Cost Breakdowns'!$F$3:$F$22,"ISIC 49T53"))*'Factors applied'!$E$124</f>
        <v>0</v>
      </c>
      <c r="AL3">
        <f>(SUMIFS('Cost Breakdowns'!$D$3:$D$22,'Cost Breakdowns'!$A$3:$A$22,'SoBCaICbIC-urbanresidential'!$A3,'Cost Breakdowns'!$F$3:$F$22,"ISIC 49T53"))*'Factors applied'!$E$125</f>
        <v>0</v>
      </c>
      <c r="AM3">
        <f>(SUMIFS('Cost Breakdowns'!$D$3:$D$22,'Cost Breakdowns'!$A$3:$A$22,'SoBCaICbIC-urbanresidential'!$A3,'Cost Breakdowns'!$F$3:$F$22,"ISIC 49T53"))*'Factors applied'!$E$126</f>
        <v>0</v>
      </c>
      <c r="AN3">
        <f>(SUMIFS('Cost Breakdowns'!$D$3:$D$22,'Cost Breakdowns'!$A$3:$A$22,'SoBCaICbIC-urbanresidential'!$A3,'Cost Breakdowns'!$F$3:$F$22,"ISIC 55T56"))</f>
        <v>0</v>
      </c>
      <c r="AO3">
        <f>(SUMIFS('Cost Breakdowns'!$D$3:$D$22,'Cost Breakdowns'!$A$3:$A$22,'SoBCaICbIC-urbanresidential'!$A3,'Cost Breakdowns'!$F$3:$F$22,"ISIC 58T60"))</f>
        <v>0</v>
      </c>
      <c r="AP3">
        <f>(SUMIFS('Cost Breakdowns'!$D$3:$D$22,'Cost Breakdowns'!$A$3:$A$22,'SoBCaICbIC-urbanresidential'!$A3,'Cost Breakdowns'!$F$3:$F$22,"ISIC 61"))</f>
        <v>0</v>
      </c>
      <c r="AQ3">
        <f>(SUMIFS('Cost Breakdowns'!$D$3:$D$22,'Cost Breakdowns'!$A$3:$A$22,'SoBCaICbIC-urbanresidential'!$A3,'Cost Breakdowns'!$F$3:$F$22,"ISIC 62T63"))</f>
        <v>0</v>
      </c>
      <c r="AR3">
        <f>(SUMIFS('Cost Breakdowns'!$D$3:$D$22,'Cost Breakdowns'!$A$3:$A$22,'SoBCaICbIC-urbanresidential'!$A3,'Cost Breakdowns'!$F$3:$F$22,"ISIC 64T66"))</f>
        <v>0</v>
      </c>
      <c r="AS3">
        <f>(SUMIFS('Cost Breakdowns'!$D$3:$D$22,'Cost Breakdowns'!$A$3:$A$22,'SoBCaICbIC-urbanresidential'!$A3,'Cost Breakdowns'!$F$3:$F$22,"ISIC 68"))</f>
        <v>0</v>
      </c>
      <c r="AT3">
        <f>(SUMIFS('Cost Breakdowns'!$D$3:$D$22,'Cost Breakdowns'!$A$3:$A$22,'SoBCaICbIC-urbanresidential'!$A3,'Cost Breakdowns'!$F$3:$F$22,"ISIC 69T82"))*'Factors applied'!$E$127</f>
        <v>0</v>
      </c>
      <c r="AU3">
        <f>(SUMIFS('Cost Breakdowns'!$D$3:$D$22,'Cost Breakdowns'!$A$3:$A$22,'SoBCaICbIC-urbanresidential'!$A3,'Cost Breakdowns'!$F$3:$F$22,"ISIC 69T82"))*'Factors applied'!$E$128</f>
        <v>0</v>
      </c>
      <c r="AV3">
        <f>(SUMIFS('Cost Breakdowns'!$D$3:$D$22,'Cost Breakdowns'!$A$3:$A$22,'SoBCaICbIC-urbanresidential'!$A3,'Cost Breakdowns'!$F$3:$F$22,"ISIC 84"))</f>
        <v>0</v>
      </c>
      <c r="AW3">
        <f>(SUMIFS('Cost Breakdowns'!$D$3:$D$22,'Cost Breakdowns'!$A$3:$A$22,'SoBCaICbIC-urbanresidential'!$A3,'Cost Breakdowns'!$F$3:$F$22,"ISIC 85"))</f>
        <v>0</v>
      </c>
      <c r="AX3">
        <f>(SUMIFS('Cost Breakdowns'!$D$3:$D$22,'Cost Breakdowns'!$A$3:$A$22,'SoBCaICbIC-urbanresidential'!$A3,'Cost Breakdowns'!$F$3:$F$22,"ISIC 86T88"))</f>
        <v>0</v>
      </c>
      <c r="AY3">
        <f>(SUMIFS('Cost Breakdowns'!$D$3:$D$22,'Cost Breakdowns'!$A$3:$A$22,'SoBCaICbIC-urbanresidential'!$A3,'Cost Breakdowns'!$F$3:$F$22,"ISIC 90T96"))*'Factors applied'!$E$129</f>
        <v>0</v>
      </c>
      <c r="AZ3">
        <f>(SUMIFS('Cost Breakdowns'!$D$3:$D$22,'Cost Breakdowns'!$A$3:$A$22,'SoBCaICbIC-urbanresidential'!$A3,'Cost Breakdowns'!$F$3:$F$22,"ISIC 90T96"))*'Factors applied'!$E$130</f>
        <v>0</v>
      </c>
      <c r="BA3">
        <f>(SUMIFS('Cost Breakdowns'!$D$3:$D$22,'Cost Breakdowns'!$A$3:$A$22,'SoBCaICbIC-urbanresidential'!$A3,'Cost Breakdowns'!$F$3:$F$22,"ISIC 97T98"))</f>
        <v>0</v>
      </c>
    </row>
    <row r="4" spans="1:53" x14ac:dyDescent="0.25">
      <c r="A4" t="s">
        <v>66</v>
      </c>
      <c r="B4">
        <f>(SUMIFS('Cost Breakdowns'!$D$3:$D$22,'Cost Breakdowns'!$A$3:$A$22,'SoBCaICbIC-urbanresidential'!$A4,'Cost Breakdowns'!$F$3:$F$22,"ISIC 01T03"))*'Factors applied'!$E$131</f>
        <v>0</v>
      </c>
      <c r="C4">
        <f>(SUMIFS('Cost Breakdowns'!$D$3:$D$22,'Cost Breakdowns'!$A$3:$A$22,'SoBCaICbIC-urbanresidential'!$A4,'Cost Breakdowns'!$F$3:$F$22,"ISIC 01T03"))*'Factors applied'!$E$132</f>
        <v>0</v>
      </c>
      <c r="D4">
        <f>(SUMIFS('Cost Breakdowns'!$D$3:$D$22,'Cost Breakdowns'!$A$3:$A$22,'SoBCaICbIC-urbanresidential'!$A4,'Cost Breakdowns'!$F$3:$F$22,"ISIC 01T03"))*'Factors applied'!$E$133</f>
        <v>0</v>
      </c>
      <c r="E4">
        <f>(SUMIFS('Cost Breakdowns'!$D$3:$D$22,'Cost Breakdowns'!$A$3:$A$22,'SoBCaICbIC-urbanresidential'!$A4,'Cost Breakdowns'!$F$3:$F$22,"ISIC 05"))</f>
        <v>0</v>
      </c>
      <c r="F4">
        <f>(SUMIFS('Cost Breakdowns'!$D$3:$D$22,'Cost Breakdowns'!$A$3:$A$22,'SoBCaICbIC-urbanresidential'!$A4,'Cost Breakdowns'!$F$3:$F$22,"ISIC 06"))</f>
        <v>0</v>
      </c>
      <c r="G4">
        <f>(SUMIFS('Cost Breakdowns'!$D$3:$D$22,'Cost Breakdowns'!$A$3:$A$22,'SoBCaICbIC-urbanresidential'!$A4,'Cost Breakdowns'!$F$3:$F$22,"ISIC 07T08"))*'Factors applied'!$E$134</f>
        <v>0</v>
      </c>
      <c r="H4">
        <f>(SUMIFS('Cost Breakdowns'!$D$3:$D$22,'Cost Breakdowns'!$A$3:$A$22,'SoBCaICbIC-urbanresidential'!$A4,'Cost Breakdowns'!$F$3:$F$22,"ISIC 07T08"))*'Factors applied'!$E$135</f>
        <v>0</v>
      </c>
      <c r="I4">
        <f>(SUMIFS('Cost Breakdowns'!$D$3:$D$22,'Cost Breakdowns'!$A$3:$A$22,'SoBCaICbIC-urbanresidential'!$A4,'Cost Breakdowns'!$F$3:$F$22,"ISIC 09"))</f>
        <v>0</v>
      </c>
      <c r="J4">
        <f>(SUMIFS('Cost Breakdowns'!$D$3:$D$22,'Cost Breakdowns'!$A$3:$A$22,'SoBCaICbIC-urbanresidential'!$A4,'Cost Breakdowns'!$F$3:$F$22,"ISIC 10T12"))</f>
        <v>0</v>
      </c>
      <c r="K4">
        <f>(SUMIFS('Cost Breakdowns'!$D$3:$D$22,'Cost Breakdowns'!$A$3:$A$22,'SoBCaICbIC-urbanresidential'!$A4,'Cost Breakdowns'!$F$3:$F$22,"ISIC 13T15"))</f>
        <v>0</v>
      </c>
      <c r="L4">
        <f>(SUMIFS('Cost Breakdowns'!$D$3:$D$22,'Cost Breakdowns'!$A$3:$A$22,'SoBCaICbIC-urbanresidential'!$A4,'Cost Breakdowns'!$F$3:$F$22,"ISIC 16"))</f>
        <v>0</v>
      </c>
      <c r="M4">
        <f>(SUMIFS('Cost Breakdowns'!$D$3:$D$22,'Cost Breakdowns'!$A$3:$A$22,'SoBCaICbIC-urbanresidential'!$A4,'Cost Breakdowns'!$F$3:$F$22,"ISIC 17T18"))</f>
        <v>0</v>
      </c>
      <c r="N4">
        <f>(SUMIFS('Cost Breakdowns'!$D$3:$D$22,'Cost Breakdowns'!$A$3:$A$22,'SoBCaICbIC-urbanresidential'!$A4,'Cost Breakdowns'!$F$3:$F$22,"ISIC 19"))</f>
        <v>0</v>
      </c>
      <c r="O4">
        <f>(SUMIFS('Cost Breakdowns'!$D$3:$D$22,'Cost Breakdowns'!$A$3:$A$22,'SoBCaICbIC-urbanresidential'!$A4,'Cost Breakdowns'!$F$3:$F$22,"ISIC 20"))</f>
        <v>0</v>
      </c>
      <c r="P4">
        <f>(SUMIFS('Cost Breakdowns'!$D$3:$D$22,'Cost Breakdowns'!$A$3:$A$22,'SoBCaICbIC-urbanresidential'!$A4,'Cost Breakdowns'!$F$3:$F$22,"ISIC 21"))</f>
        <v>0</v>
      </c>
      <c r="Q4">
        <f>(SUMIFS('Cost Breakdowns'!$D$3:$D$22,'Cost Breakdowns'!$A$3:$A$22,'SoBCaICbIC-urbanresidential'!$A4,'Cost Breakdowns'!$F$3:$F$22,"ISIC 22"))</f>
        <v>0</v>
      </c>
      <c r="R4">
        <f>(SUMIFS('Cost Breakdowns'!$D$3:$D$22,'Cost Breakdowns'!$A$3:$A$22,'SoBCaICbIC-urbanresidential'!$A4,'Cost Breakdowns'!$F$3:$F$22,"ISIC 231"))</f>
        <v>0</v>
      </c>
      <c r="S4">
        <f>(SUMIFS('Cost Breakdowns'!$D$3:$D$22,'Cost Breakdowns'!$A$3:$A$22,'SoBCaICbIC-urbanresidential'!$A4,'Cost Breakdowns'!$F$3:$F$22,"ISIC 239"))</f>
        <v>0</v>
      </c>
      <c r="T4">
        <f>(SUMIFS('Cost Breakdowns'!$D$3:$D$22,'Cost Breakdowns'!$A$3:$A$22,'SoBCaICbIC-urbanresidential'!$A4,'Cost Breakdowns'!$F$3:$F$22,"ISIC 241"))</f>
        <v>0</v>
      </c>
      <c r="U4">
        <f>(SUMIFS('Cost Breakdowns'!$D$3:$D$22,'Cost Breakdowns'!$A$3:$A$22,'SoBCaICbIC-urbanresidential'!$A4,'Cost Breakdowns'!$F$3:$F$22,"ISIC 242"))</f>
        <v>0</v>
      </c>
      <c r="V4">
        <f>(SUMIFS('Cost Breakdowns'!$D$3:$D$22,'Cost Breakdowns'!$A$3:$A$22,'SoBCaICbIC-urbanresidential'!$A4,'Cost Breakdowns'!$F$3:$F$22,"ISIC 25"))</f>
        <v>0</v>
      </c>
      <c r="W4">
        <f>(SUMIFS('Cost Breakdowns'!$D$3:$D$22,'Cost Breakdowns'!$A$3:$A$22,'SoBCaICbIC-urbanresidential'!$A4,'Cost Breakdowns'!$F$3:$F$22,"ISIC 26"))</f>
        <v>0</v>
      </c>
      <c r="X4">
        <f>(SUMIFS('Cost Breakdowns'!$D$3:$D$22,'Cost Breakdowns'!$A$3:$A$22,'SoBCaICbIC-urbanresidential'!$A4,'Cost Breakdowns'!$F$3:$F$22,"ISIC 27"))</f>
        <v>0</v>
      </c>
      <c r="Y4">
        <f>(SUMIFS('Cost Breakdowns'!$D$3:$D$22,'Cost Breakdowns'!$A$3:$A$22,'SoBCaICbIC-urbanresidential'!$A4,'Cost Breakdowns'!$F$3:$F$22,"ISIC 28"))</f>
        <v>0</v>
      </c>
      <c r="Z4">
        <f>(SUMIFS('Cost Breakdowns'!$D$3:$D$22,'Cost Breakdowns'!$A$3:$A$22,'SoBCaICbIC-urbanresidential'!$A4,'Cost Breakdowns'!$F$3:$F$22,"ISIC 29"))</f>
        <v>0</v>
      </c>
      <c r="AA4">
        <f>(SUMIFS('Cost Breakdowns'!$D$3:$D$22,'Cost Breakdowns'!$A$3:$A$22,'SoBCaICbIC-urbanresidential'!$A4,'Cost Breakdowns'!$F$3:$F$22,"ISIC 30"))*'Factors applied'!$E$136</f>
        <v>0</v>
      </c>
      <c r="AB4">
        <f>(SUMIFS('Cost Breakdowns'!$D$3:$D$22,'Cost Breakdowns'!$A$3:$A$22,'SoBCaICbIC-urbanresidential'!$A4,'Cost Breakdowns'!$F$3:$F$22,"ISIC 30"))*'Factors applied'!$E$137</f>
        <v>0</v>
      </c>
      <c r="AC4">
        <f>(SUMIFS('Cost Breakdowns'!$D$3:$D$22,'Cost Breakdowns'!$A$3:$A$22,'SoBCaICbIC-urbanresidential'!$A4,'Cost Breakdowns'!$F$3:$F$22,"ISIC 31T33"))</f>
        <v>0</v>
      </c>
      <c r="AD4">
        <f>(SUMIFS('Cost Breakdowns'!$D$3:$D$22,'Cost Breakdowns'!$A$3:$A$22,'SoBCaICbIC-urbanresidential'!$A4,'Cost Breakdowns'!$F$3:$F$22,"ISIC 351"))</f>
        <v>0</v>
      </c>
      <c r="AE4">
        <f>(SUMIFS('Cost Breakdowns'!$D$3:$D$22,'Cost Breakdowns'!$A$3:$A$22,'SoBCaICbIC-urbanresidential'!$A4,'Cost Breakdowns'!$F$3:$F$22,"ISIC 352T353"))</f>
        <v>0</v>
      </c>
      <c r="AF4">
        <f>(SUMIFS('Cost Breakdowns'!$D$3:$D$22,'Cost Breakdowns'!$A$3:$A$22,'SoBCaICbIC-urbanresidential'!$A4,'Cost Breakdowns'!$F$3:$F$22,"ISIC 36T39"))</f>
        <v>0</v>
      </c>
      <c r="AG4">
        <f>(SUMIFS('Cost Breakdowns'!$D$3:$D$22,'Cost Breakdowns'!$A$3:$A$22,'SoBCaICbIC-urbanresidential'!$A4,'Cost Breakdowns'!$F$3:$F$22,"ISIC 41T43"))</f>
        <v>0</v>
      </c>
      <c r="AH4">
        <f>(SUMIFS('Cost Breakdowns'!$D$3:$D$22,'Cost Breakdowns'!$A$3:$A$22,'SoBCaICbIC-urbanresidential'!$A4,'Cost Breakdowns'!$F$3:$F$22,"ISIC 45T47"))</f>
        <v>0</v>
      </c>
      <c r="AI4">
        <f>(SUMIFS('Cost Breakdowns'!$D$3:$D$22,'Cost Breakdowns'!$A$3:$A$22,'SoBCaICbIC-urbanresidential'!$A4,'Cost Breakdowns'!$F$3:$F$22,"ISIC 49T53"))*'Factors applied'!$E$138+SUMIFS('Cost Breakdowns'!$D$3:$D$22,'Cost Breakdowns'!$A$3:$A$22,'SoBCaICbIC-urbanresidential'!$A4,'Cost Breakdowns'!$F$3:$F$22,"ISIC 49")</f>
        <v>0</v>
      </c>
      <c r="AJ4">
        <f>(SUMIFS('Cost Breakdowns'!$D$3:$D$22,'Cost Breakdowns'!$A$3:$A$22,'SoBCaICbIC-urbanresidential'!$A4,'Cost Breakdowns'!$F$3:$F$22,"ISIC 49T53"))*'Factors applied'!$E$139</f>
        <v>0</v>
      </c>
      <c r="AK4">
        <f>(SUMIFS('Cost Breakdowns'!$D$3:$D$22,'Cost Breakdowns'!$A$3:$A$22,'SoBCaICbIC-urbanresidential'!$A4,'Cost Breakdowns'!$F$3:$F$22,"ISIC 49T53"))*'Factors applied'!$E$140</f>
        <v>0</v>
      </c>
      <c r="AL4">
        <f>(SUMIFS('Cost Breakdowns'!$D$3:$D$22,'Cost Breakdowns'!$A$3:$A$22,'SoBCaICbIC-urbanresidential'!$A4,'Cost Breakdowns'!$F$3:$F$22,"ISIC 49T53"))*'Factors applied'!$E$141</f>
        <v>0</v>
      </c>
      <c r="AM4">
        <f>(SUMIFS('Cost Breakdowns'!$D$3:$D$22,'Cost Breakdowns'!$A$3:$A$22,'SoBCaICbIC-urbanresidential'!$A4,'Cost Breakdowns'!$F$3:$F$22,"ISIC 49T53"))*'Factors applied'!$E$142</f>
        <v>0</v>
      </c>
      <c r="AN4">
        <f>(SUMIFS('Cost Breakdowns'!$D$3:$D$22,'Cost Breakdowns'!$A$3:$A$22,'SoBCaICbIC-urbanresidential'!$A4,'Cost Breakdowns'!$F$3:$F$22,"ISIC 55T56"))</f>
        <v>0</v>
      </c>
      <c r="AO4">
        <f>(SUMIFS('Cost Breakdowns'!$D$3:$D$22,'Cost Breakdowns'!$A$3:$A$22,'SoBCaICbIC-urbanresidential'!$A4,'Cost Breakdowns'!$F$3:$F$22,"ISIC 58T60"))</f>
        <v>0</v>
      </c>
      <c r="AP4">
        <f>(SUMIFS('Cost Breakdowns'!$D$3:$D$22,'Cost Breakdowns'!$A$3:$A$22,'SoBCaICbIC-urbanresidential'!$A4,'Cost Breakdowns'!$F$3:$F$22,"ISIC 61"))</f>
        <v>0</v>
      </c>
      <c r="AQ4">
        <f>(SUMIFS('Cost Breakdowns'!$D$3:$D$22,'Cost Breakdowns'!$A$3:$A$22,'SoBCaICbIC-urbanresidential'!$A4,'Cost Breakdowns'!$F$3:$F$22,"ISIC 62T63"))</f>
        <v>0</v>
      </c>
      <c r="AR4">
        <f>(SUMIFS('Cost Breakdowns'!$D$3:$D$22,'Cost Breakdowns'!$A$3:$A$22,'SoBCaICbIC-urbanresidential'!$A4,'Cost Breakdowns'!$F$3:$F$22,"ISIC 64T66"))</f>
        <v>0</v>
      </c>
      <c r="AS4">
        <f>(SUMIFS('Cost Breakdowns'!$D$3:$D$22,'Cost Breakdowns'!$A$3:$A$22,'SoBCaICbIC-urbanresidential'!$A4,'Cost Breakdowns'!$F$3:$F$22,"ISIC 68"))</f>
        <v>0</v>
      </c>
      <c r="AT4">
        <f>(SUMIFS('Cost Breakdowns'!$D$3:$D$22,'Cost Breakdowns'!$A$3:$A$22,'SoBCaICbIC-urbanresidential'!$A4,'Cost Breakdowns'!$F$3:$F$22,"ISIC 69T82"))*'Factors applied'!$E$143</f>
        <v>0</v>
      </c>
      <c r="AU4">
        <f>(SUMIFS('Cost Breakdowns'!$D$3:$D$22,'Cost Breakdowns'!$A$3:$A$22,'SoBCaICbIC-urbanresidential'!$A4,'Cost Breakdowns'!$F$3:$F$22,"ISIC 69T82"))*'Factors applied'!$E$144</f>
        <v>0</v>
      </c>
      <c r="AV4">
        <f>(SUMIFS('Cost Breakdowns'!$D$3:$D$22,'Cost Breakdowns'!$A$3:$A$22,'SoBCaICbIC-urbanresidential'!$A4,'Cost Breakdowns'!$F$3:$F$22,"ISIC 84"))</f>
        <v>0</v>
      </c>
      <c r="AW4">
        <f>(SUMIFS('Cost Breakdowns'!$D$3:$D$22,'Cost Breakdowns'!$A$3:$A$22,'SoBCaICbIC-urbanresidential'!$A4,'Cost Breakdowns'!$F$3:$F$22,"ISIC 85"))</f>
        <v>0</v>
      </c>
      <c r="AX4">
        <f>(SUMIFS('Cost Breakdowns'!$D$3:$D$22,'Cost Breakdowns'!$A$3:$A$22,'SoBCaICbIC-urbanresidential'!$A4,'Cost Breakdowns'!$F$3:$F$22,"ISIC 86T88"))</f>
        <v>0</v>
      </c>
      <c r="AY4">
        <f>(SUMIFS('Cost Breakdowns'!$D$3:$D$22,'Cost Breakdowns'!$A$3:$A$22,'SoBCaICbIC-urbanresidential'!$A4,'Cost Breakdowns'!$F$3:$F$22,"ISIC 90T96"))*'Factors applied'!$E$145</f>
        <v>0</v>
      </c>
      <c r="AZ4">
        <f>(SUMIFS('Cost Breakdowns'!$D$3:$D$22,'Cost Breakdowns'!$A$3:$A$22,'SoBCaICbIC-urbanresidential'!$A4,'Cost Breakdowns'!$F$3:$F$22,"ISIC 90T96"))*'Factors applied'!$E$146</f>
        <v>0</v>
      </c>
      <c r="BA4">
        <f>(SUMIFS('Cost Breakdowns'!$D$3:$D$22,'Cost Breakdowns'!$A$3:$A$22,'SoBCaICbIC-urbanresidential'!$A4,'Cost Breakdowns'!$F$3:$F$22,"ISIC 97T98"))</f>
        <v>0</v>
      </c>
    </row>
    <row r="5" spans="1:53" x14ac:dyDescent="0.25">
      <c r="A5" t="s">
        <v>68</v>
      </c>
      <c r="B5">
        <f>(SUMIFS('Cost Breakdowns'!$D$3:$D$22,'Cost Breakdowns'!$A$3:$A$22,'SoBCaICbIC-urbanresidential'!$A5,'Cost Breakdowns'!$F$3:$F$22,"ISIC 01T03"))*'Factors applied'!$E$163</f>
        <v>0</v>
      </c>
      <c r="C5">
        <f>(SUMIFS('Cost Breakdowns'!$D$3:$D$22,'Cost Breakdowns'!$A$3:$A$22,'SoBCaICbIC-urbanresidential'!$A5,'Cost Breakdowns'!$F$3:$F$22,"ISIC 01T03"))*'Factors applied'!$E$164</f>
        <v>0</v>
      </c>
      <c r="D5">
        <f>(SUMIFS('Cost Breakdowns'!$D$3:$D$22,'Cost Breakdowns'!$A$3:$A$22,'SoBCaICbIC-urbanresidential'!$A5,'Cost Breakdowns'!$F$3:$F$22,"ISIC 01T03"))*'Factors applied'!$E$165</f>
        <v>0</v>
      </c>
      <c r="E5">
        <f>(SUMIFS('Cost Breakdowns'!$D$3:$D$22,'Cost Breakdowns'!$A$3:$A$22,'SoBCaICbIC-urbanresidential'!$A5,'Cost Breakdowns'!$F$3:$F$22,"ISIC 05"))</f>
        <v>0</v>
      </c>
      <c r="F5">
        <f>(SUMIFS('Cost Breakdowns'!$D$3:$D$22,'Cost Breakdowns'!$A$3:$A$22,'SoBCaICbIC-urbanresidential'!$A5,'Cost Breakdowns'!$F$3:$F$22,"ISIC 06"))</f>
        <v>0</v>
      </c>
      <c r="G5">
        <f>(SUMIFS('Cost Breakdowns'!$D$3:$D$22,'Cost Breakdowns'!$A$3:$A$22,'SoBCaICbIC-urbanresidential'!$A5,'Cost Breakdowns'!$F$3:$F$22,"ISIC 07T08"))*'Factors applied'!$E$166</f>
        <v>0</v>
      </c>
      <c r="H5">
        <f>(SUMIFS('Cost Breakdowns'!$D$3:$D$22,'Cost Breakdowns'!$A$3:$A$22,'SoBCaICbIC-urbanresidential'!$A5,'Cost Breakdowns'!$F$3:$F$22,"ISIC 07T08"))*'Factors applied'!$E$167</f>
        <v>0</v>
      </c>
      <c r="I5">
        <f>(SUMIFS('Cost Breakdowns'!$D$3:$D$22,'Cost Breakdowns'!$A$3:$A$22,'SoBCaICbIC-urbanresidential'!$A5,'Cost Breakdowns'!$F$3:$F$22,"ISIC 09"))</f>
        <v>0</v>
      </c>
      <c r="J5">
        <f>(SUMIFS('Cost Breakdowns'!$D$3:$D$22,'Cost Breakdowns'!$A$3:$A$22,'SoBCaICbIC-urbanresidential'!$A5,'Cost Breakdowns'!$F$3:$F$22,"ISIC 10T12"))</f>
        <v>0</v>
      </c>
      <c r="K5">
        <f>(SUMIFS('Cost Breakdowns'!$D$3:$D$22,'Cost Breakdowns'!$A$3:$A$22,'SoBCaICbIC-urbanresidential'!$A5,'Cost Breakdowns'!$F$3:$F$22,"ISIC 13T15"))</f>
        <v>0</v>
      </c>
      <c r="L5">
        <f>(SUMIFS('Cost Breakdowns'!$D$3:$D$22,'Cost Breakdowns'!$A$3:$A$22,'SoBCaICbIC-urbanresidential'!$A5,'Cost Breakdowns'!$F$3:$F$22,"ISIC 16"))</f>
        <v>0</v>
      </c>
      <c r="M5">
        <f>(SUMIFS('Cost Breakdowns'!$D$3:$D$22,'Cost Breakdowns'!$A$3:$A$22,'SoBCaICbIC-urbanresidential'!$A5,'Cost Breakdowns'!$F$3:$F$22,"ISIC 17T18"))</f>
        <v>0</v>
      </c>
      <c r="N5">
        <f>(SUMIFS('Cost Breakdowns'!$D$3:$D$22,'Cost Breakdowns'!$A$3:$A$22,'SoBCaICbIC-urbanresidential'!$A5,'Cost Breakdowns'!$F$3:$F$22,"ISIC 19"))</f>
        <v>0</v>
      </c>
      <c r="O5">
        <f>(SUMIFS('Cost Breakdowns'!$D$3:$D$22,'Cost Breakdowns'!$A$3:$A$22,'SoBCaICbIC-urbanresidential'!$A5,'Cost Breakdowns'!$F$3:$F$22,"ISIC 20"))</f>
        <v>0</v>
      </c>
      <c r="P5">
        <f>(SUMIFS('Cost Breakdowns'!$D$3:$D$22,'Cost Breakdowns'!$A$3:$A$22,'SoBCaICbIC-urbanresidential'!$A5,'Cost Breakdowns'!$F$3:$F$22,"ISIC 21"))</f>
        <v>0</v>
      </c>
      <c r="Q5">
        <f>(SUMIFS('Cost Breakdowns'!$D$3:$D$22,'Cost Breakdowns'!$A$3:$A$22,'SoBCaICbIC-urbanresidential'!$A5,'Cost Breakdowns'!$F$3:$F$22,"ISIC 22"))</f>
        <v>0</v>
      </c>
      <c r="R5">
        <f>(SUMIFS('Cost Breakdowns'!$D$3:$D$22,'Cost Breakdowns'!$A$3:$A$22,'SoBCaICbIC-urbanresidential'!$A5,'Cost Breakdowns'!$F$3:$F$22,"ISIC 231"))</f>
        <v>0</v>
      </c>
      <c r="S5">
        <f>(SUMIFS('Cost Breakdowns'!$D$3:$D$22,'Cost Breakdowns'!$A$3:$A$22,'SoBCaICbIC-urbanresidential'!$A5,'Cost Breakdowns'!$F$3:$F$22,"ISIC 239"))</f>
        <v>0</v>
      </c>
      <c r="T5">
        <f>(SUMIFS('Cost Breakdowns'!$D$3:$D$22,'Cost Breakdowns'!$A$3:$A$22,'SoBCaICbIC-urbanresidential'!$A5,'Cost Breakdowns'!$F$3:$F$22,"ISIC 241"))</f>
        <v>0</v>
      </c>
      <c r="U5">
        <f>(SUMIFS('Cost Breakdowns'!$D$3:$D$22,'Cost Breakdowns'!$A$3:$A$22,'SoBCaICbIC-urbanresidential'!$A5,'Cost Breakdowns'!$F$3:$F$22,"ISIC 242"))</f>
        <v>0</v>
      </c>
      <c r="V5">
        <f>(SUMIFS('Cost Breakdowns'!$D$3:$D$22,'Cost Breakdowns'!$A$3:$A$22,'SoBCaICbIC-urbanresidential'!$A5,'Cost Breakdowns'!$F$3:$F$22,"ISIC 25"))</f>
        <v>0</v>
      </c>
      <c r="W5">
        <f>(SUMIFS('Cost Breakdowns'!$D$3:$D$22,'Cost Breakdowns'!$A$3:$A$22,'SoBCaICbIC-urbanresidential'!$A5,'Cost Breakdowns'!$F$3:$F$22,"ISIC 26"))</f>
        <v>0</v>
      </c>
      <c r="X5">
        <f>(SUMIFS('Cost Breakdowns'!$D$3:$D$22,'Cost Breakdowns'!$A$3:$A$22,'SoBCaICbIC-urbanresidential'!$A5,'Cost Breakdowns'!$F$3:$F$22,"ISIC 27"))</f>
        <v>0.39998511129308417</v>
      </c>
      <c r="Y5">
        <f>(SUMIFS('Cost Breakdowns'!$D$3:$D$22,'Cost Breakdowns'!$A$3:$A$22,'SoBCaICbIC-urbanresidential'!$A5,'Cost Breakdowns'!$F$3:$F$22,"ISIC 28"))</f>
        <v>0</v>
      </c>
      <c r="Z5">
        <f>(SUMIFS('Cost Breakdowns'!$D$3:$D$22,'Cost Breakdowns'!$A$3:$A$22,'SoBCaICbIC-urbanresidential'!$A5,'Cost Breakdowns'!$F$3:$F$22,"ISIC 29"))</f>
        <v>0</v>
      </c>
      <c r="AA5">
        <f>(SUMIFS('Cost Breakdowns'!$D$3:$D$22,'Cost Breakdowns'!$A$3:$A$22,'SoBCaICbIC-urbanresidential'!$A5,'Cost Breakdowns'!$F$3:$F$22,"ISIC 30"))*'Factors applied'!$E$168</f>
        <v>0</v>
      </c>
      <c r="AB5">
        <f>(SUMIFS('Cost Breakdowns'!$D$3:$D$22,'Cost Breakdowns'!$A$3:$A$22,'SoBCaICbIC-urbanresidential'!$A5,'Cost Breakdowns'!$F$3:$F$22,"ISIC 30"))*'Factors applied'!$E$169</f>
        <v>0</v>
      </c>
      <c r="AC5">
        <f>(SUMIFS('Cost Breakdowns'!$D$3:$D$22,'Cost Breakdowns'!$A$3:$A$22,'SoBCaICbIC-urbanresidential'!$A5,'Cost Breakdowns'!$F$3:$F$22,"ISIC 31T33"))</f>
        <v>0</v>
      </c>
      <c r="AD5">
        <f>(SUMIFS('Cost Breakdowns'!$D$3:$D$22,'Cost Breakdowns'!$A$3:$A$22,'SoBCaICbIC-urbanresidential'!$A5,'Cost Breakdowns'!$F$3:$F$22,"ISIC 351"))</f>
        <v>0</v>
      </c>
      <c r="AE5">
        <f>(SUMIFS('Cost Breakdowns'!$D$3:$D$22,'Cost Breakdowns'!$A$3:$A$22,'SoBCaICbIC-urbanresidential'!$A5,'Cost Breakdowns'!$F$3:$F$22,"ISIC 352T353"))</f>
        <v>0</v>
      </c>
      <c r="AF5">
        <f>(SUMIFS('Cost Breakdowns'!$D$3:$D$22,'Cost Breakdowns'!$A$3:$A$22,'SoBCaICbIC-urbanresidential'!$A5,'Cost Breakdowns'!$F$3:$F$22,"ISIC 36T39"))</f>
        <v>0</v>
      </c>
      <c r="AG5">
        <f>(SUMIFS('Cost Breakdowns'!$D$3:$D$22,'Cost Breakdowns'!$A$3:$A$22,'SoBCaICbIC-urbanresidential'!$A5,'Cost Breakdowns'!$F$3:$F$22,"ISIC 41T43"))</f>
        <v>0</v>
      </c>
      <c r="AH5">
        <f>(SUMIFS('Cost Breakdowns'!$D$3:$D$22,'Cost Breakdowns'!$A$3:$A$22,'SoBCaICbIC-urbanresidential'!$A5,'Cost Breakdowns'!$F$3:$F$22,"ISIC 45T47"))</f>
        <v>0.55505099382118661</v>
      </c>
      <c r="AI5">
        <f>(SUMIFS('Cost Breakdowns'!$D$3:$D$22,'Cost Breakdowns'!$A$3:$A$22,'SoBCaICbIC-urbanresidential'!$A5,'Cost Breakdowns'!$F$3:$F$22,"ISIC 49T53"))*'Factors applied'!$E$170+SUMIFS('Cost Breakdowns'!$D$3:$D$22,'Cost Breakdowns'!$A$3:$A$22,'SoBCaICbIC-urbanresidential'!$A5,'Cost Breakdowns'!$F$3:$F$22,"ISIC 49")</f>
        <v>4.4963894885729175E-2</v>
      </c>
      <c r="AJ5">
        <f>(SUMIFS('Cost Breakdowns'!$D$3:$D$22,'Cost Breakdowns'!$A$3:$A$22,'SoBCaICbIC-urbanresidential'!$A5,'Cost Breakdowns'!$F$3:$F$22,"ISIC 49T53"))*'Factors applied'!$E$171</f>
        <v>0</v>
      </c>
      <c r="AK5">
        <f>(SUMIFS('Cost Breakdowns'!$D$3:$D$22,'Cost Breakdowns'!$A$3:$A$22,'SoBCaICbIC-urbanresidential'!$A5,'Cost Breakdowns'!$F$3:$F$22,"ISIC 49T53"))*'Factors applied'!$E$172</f>
        <v>0</v>
      </c>
      <c r="AL5">
        <f>(SUMIFS('Cost Breakdowns'!$D$3:$D$22,'Cost Breakdowns'!$A$3:$A$22,'SoBCaICbIC-urbanresidential'!$A5,'Cost Breakdowns'!$F$3:$F$22,"ISIC 49T53"))*'Factors applied'!$E$173</f>
        <v>0</v>
      </c>
      <c r="AM5">
        <f>(SUMIFS('Cost Breakdowns'!$D$3:$D$22,'Cost Breakdowns'!$A$3:$A$22,'SoBCaICbIC-urbanresidential'!$A5,'Cost Breakdowns'!$F$3:$F$22,"ISIC 49T53"))*'Factors applied'!$E$174</f>
        <v>0</v>
      </c>
      <c r="AN5">
        <f>(SUMIFS('Cost Breakdowns'!$D$3:$D$22,'Cost Breakdowns'!$A$3:$A$22,'SoBCaICbIC-urbanresidential'!$A5,'Cost Breakdowns'!$F$3:$F$22,"ISIC 55T56"))</f>
        <v>0</v>
      </c>
      <c r="AO5">
        <f>(SUMIFS('Cost Breakdowns'!$D$3:$D$22,'Cost Breakdowns'!$A$3:$A$22,'SoBCaICbIC-urbanresidential'!$A5,'Cost Breakdowns'!$F$3:$F$22,"ISIC 58T60"))</f>
        <v>0</v>
      </c>
      <c r="AP5">
        <f>(SUMIFS('Cost Breakdowns'!$D$3:$D$22,'Cost Breakdowns'!$A$3:$A$22,'SoBCaICbIC-urbanresidential'!$A5,'Cost Breakdowns'!$F$3:$F$22,"ISIC 61"))</f>
        <v>0</v>
      </c>
      <c r="AQ5">
        <f>(SUMIFS('Cost Breakdowns'!$D$3:$D$22,'Cost Breakdowns'!$A$3:$A$22,'SoBCaICbIC-urbanresidential'!$A5,'Cost Breakdowns'!$F$3:$F$22,"ISIC 62T63"))</f>
        <v>0</v>
      </c>
      <c r="AR5">
        <f>(SUMIFS('Cost Breakdowns'!$D$3:$D$22,'Cost Breakdowns'!$A$3:$A$22,'SoBCaICbIC-urbanresidential'!$A5,'Cost Breakdowns'!$F$3:$F$22,"ISIC 64T66"))</f>
        <v>0</v>
      </c>
      <c r="AS5">
        <f>(SUMIFS('Cost Breakdowns'!$D$3:$D$22,'Cost Breakdowns'!$A$3:$A$22,'SoBCaICbIC-urbanresidential'!$A5,'Cost Breakdowns'!$F$3:$F$22,"ISIC 68"))</f>
        <v>0</v>
      </c>
      <c r="AT5">
        <f>(SUMIFS('Cost Breakdowns'!$D$3:$D$22,'Cost Breakdowns'!$A$3:$A$22,'SoBCaICbIC-urbanresidential'!$A5,'Cost Breakdowns'!$F$3:$F$22,"ISIC 69T82"))*'Factors applied'!$E$175</f>
        <v>0</v>
      </c>
      <c r="AU5">
        <f>(SUMIFS('Cost Breakdowns'!$D$3:$D$22,'Cost Breakdowns'!$A$3:$A$22,'SoBCaICbIC-urbanresidential'!$A5,'Cost Breakdowns'!$F$3:$F$22,"ISIC 69T82"))*'Factors applied'!$E$176</f>
        <v>0</v>
      </c>
      <c r="AV5">
        <f>(SUMIFS('Cost Breakdowns'!$D$3:$D$22,'Cost Breakdowns'!$A$3:$A$22,'SoBCaICbIC-urbanresidential'!$A5,'Cost Breakdowns'!$F$3:$F$22,"ISIC 84"))</f>
        <v>0</v>
      </c>
      <c r="AW5">
        <f>(SUMIFS('Cost Breakdowns'!$D$3:$D$22,'Cost Breakdowns'!$A$3:$A$22,'SoBCaICbIC-urbanresidential'!$A5,'Cost Breakdowns'!$F$3:$F$22,"ISIC 85"))</f>
        <v>0</v>
      </c>
      <c r="AX5">
        <f>(SUMIFS('Cost Breakdowns'!$D$3:$D$22,'Cost Breakdowns'!$A$3:$A$22,'SoBCaICbIC-urbanresidential'!$A5,'Cost Breakdowns'!$F$3:$F$22,"ISIC 86T88"))</f>
        <v>0</v>
      </c>
      <c r="AY5">
        <f>(SUMIFS('Cost Breakdowns'!$D$3:$D$22,'Cost Breakdowns'!$A$3:$A$22,'SoBCaICbIC-urbanresidential'!$A5,'Cost Breakdowns'!$F$3:$F$22,"ISIC 90T96"))*'Factors applied'!$E$177</f>
        <v>0</v>
      </c>
      <c r="AZ5">
        <f>(SUMIFS('Cost Breakdowns'!$D$3:$D$22,'Cost Breakdowns'!$A$3:$A$22,'SoBCaICbIC-urbanresidential'!$A5,'Cost Breakdowns'!$F$3:$F$22,"ISIC 90T96"))*'Factors applied'!$E$178</f>
        <v>0</v>
      </c>
      <c r="BA5">
        <f>(SUMIFS('Cost Breakdowns'!$D$3:$D$22,'Cost Breakdowns'!$A$3:$A$22,'SoBCaICbIC-urbanresidential'!$A5,'Cost Breakdowns'!$F$3:$F$22,"ISIC 97T98"))</f>
        <v>0</v>
      </c>
    </row>
    <row r="6" spans="1:53" x14ac:dyDescent="0.25">
      <c r="A6" t="s">
        <v>40</v>
      </c>
      <c r="B6">
        <f>(SUMIFS('Cost Breakdowns'!$D$3:$D$22,'Cost Breakdowns'!$A$3:$A$22,'SoBCaICbIC-urbanresidential'!$A6,'Cost Breakdowns'!$F$3:$F$22,"ISIC 01T03"))*'Factors applied'!$E$99</f>
        <v>0</v>
      </c>
      <c r="C6">
        <f>(SUMIFS('Cost Breakdowns'!$D$3:$D$22,'Cost Breakdowns'!$A$3:$A$22,'SoBCaICbIC-urbanresidential'!$A6,'Cost Breakdowns'!$F$3:$F$22,"ISIC 01T03"))*'Factors applied'!$E$100</f>
        <v>0</v>
      </c>
      <c r="D6">
        <f>(SUMIFS('Cost Breakdowns'!$D$3:$D$22,'Cost Breakdowns'!$A$3:$A$22,'SoBCaICbIC-urbanresidential'!$A6,'Cost Breakdowns'!$F$3:$F$22,"ISIC 01T03"))*'Factors applied'!$E$101</f>
        <v>0</v>
      </c>
      <c r="E6">
        <f>(SUMIFS('Cost Breakdowns'!$D$3:$D$22,'Cost Breakdowns'!$A$3:$A$22,'SoBCaICbIC-urbanresidential'!$A6,'Cost Breakdowns'!$F$3:$F$22,"ISIC 05"))</f>
        <v>0</v>
      </c>
      <c r="F6">
        <f>(SUMIFS('Cost Breakdowns'!$D$3:$D$22,'Cost Breakdowns'!$A$3:$A$22,'SoBCaICbIC-urbanresidential'!$A6,'Cost Breakdowns'!$F$3:$F$22,"ISIC 06"))</f>
        <v>0</v>
      </c>
      <c r="G6">
        <f>(SUMIFS('Cost Breakdowns'!$D$3:$D$22,'Cost Breakdowns'!$A$3:$A$22,'SoBCaICbIC-urbanresidential'!$A6,'Cost Breakdowns'!$F$3:$F$22,"ISIC 07T08"))*'Factors applied'!$E$102</f>
        <v>0</v>
      </c>
      <c r="H6">
        <f>(SUMIFS('Cost Breakdowns'!$D$3:$D$22,'Cost Breakdowns'!$A$3:$A$22,'SoBCaICbIC-urbanresidential'!$A6,'Cost Breakdowns'!$F$3:$F$22,"ISIC 07T08"))*'Factors applied'!$E$103</f>
        <v>0</v>
      </c>
      <c r="I6">
        <f>(SUMIFS('Cost Breakdowns'!$D$3:$D$22,'Cost Breakdowns'!$A$3:$A$22,'SoBCaICbIC-urbanresidential'!$A6,'Cost Breakdowns'!$F$3:$F$22,"ISIC 09"))</f>
        <v>0</v>
      </c>
      <c r="J6">
        <f>(SUMIFS('Cost Breakdowns'!$D$3:$D$22,'Cost Breakdowns'!$A$3:$A$22,'SoBCaICbIC-urbanresidential'!$A6,'Cost Breakdowns'!$F$3:$F$22,"ISIC 10T12"))</f>
        <v>0</v>
      </c>
      <c r="K6">
        <f>(SUMIFS('Cost Breakdowns'!$D$3:$D$22,'Cost Breakdowns'!$A$3:$A$22,'SoBCaICbIC-urbanresidential'!$A6,'Cost Breakdowns'!$F$3:$F$22,"ISIC 13T15"))</f>
        <v>0</v>
      </c>
      <c r="L6">
        <f>(SUMIFS('Cost Breakdowns'!$D$3:$D$22,'Cost Breakdowns'!$A$3:$A$22,'SoBCaICbIC-urbanresidential'!$A6,'Cost Breakdowns'!$F$3:$F$22,"ISIC 16"))</f>
        <v>0</v>
      </c>
      <c r="M6">
        <f>(SUMIFS('Cost Breakdowns'!$D$3:$D$22,'Cost Breakdowns'!$A$3:$A$22,'SoBCaICbIC-urbanresidential'!$A6,'Cost Breakdowns'!$F$3:$F$22,"ISIC 17T18"))</f>
        <v>0</v>
      </c>
      <c r="N6">
        <f>(SUMIFS('Cost Breakdowns'!$D$3:$D$22,'Cost Breakdowns'!$A$3:$A$22,'SoBCaICbIC-urbanresidential'!$A6,'Cost Breakdowns'!$F$3:$F$22,"ISIC 19"))</f>
        <v>0</v>
      </c>
      <c r="O6">
        <f>(SUMIFS('Cost Breakdowns'!$D$3:$D$22,'Cost Breakdowns'!$A$3:$A$22,'SoBCaICbIC-urbanresidential'!$A6,'Cost Breakdowns'!$F$3:$F$22,"ISIC 20"))</f>
        <v>0</v>
      </c>
      <c r="P6">
        <f>(SUMIFS('Cost Breakdowns'!$D$3:$D$22,'Cost Breakdowns'!$A$3:$A$22,'SoBCaICbIC-urbanresidential'!$A6,'Cost Breakdowns'!$F$3:$F$22,"ISIC 21"))</f>
        <v>0</v>
      </c>
      <c r="Q6">
        <f>(SUMIFS('Cost Breakdowns'!$D$3:$D$22,'Cost Breakdowns'!$A$3:$A$22,'SoBCaICbIC-urbanresidential'!$A6,'Cost Breakdowns'!$F$3:$F$22,"ISIC 22"))</f>
        <v>0</v>
      </c>
      <c r="R6">
        <f>(SUMIFS('Cost Breakdowns'!$D$3:$D$22,'Cost Breakdowns'!$A$3:$A$22,'SoBCaICbIC-urbanresidential'!$A6,'Cost Breakdowns'!$F$3:$F$22,"ISIC 231"))</f>
        <v>0</v>
      </c>
      <c r="S6">
        <f>(SUMIFS('Cost Breakdowns'!$D$3:$D$22,'Cost Breakdowns'!$A$3:$A$22,'SoBCaICbIC-urbanresidential'!$A6,'Cost Breakdowns'!$F$3:$F$22,"ISIC 239"))</f>
        <v>0</v>
      </c>
      <c r="T6">
        <f>(SUMIFS('Cost Breakdowns'!$D$3:$D$22,'Cost Breakdowns'!$A$3:$A$22,'SoBCaICbIC-urbanresidential'!$A6,'Cost Breakdowns'!$F$3:$F$22,"ISIC 241"))</f>
        <v>0</v>
      </c>
      <c r="U6">
        <f>(SUMIFS('Cost Breakdowns'!$D$3:$D$22,'Cost Breakdowns'!$A$3:$A$22,'SoBCaICbIC-urbanresidential'!$A6,'Cost Breakdowns'!$F$3:$F$22,"ISIC 242"))</f>
        <v>0</v>
      </c>
      <c r="V6">
        <f>(SUMIFS('Cost Breakdowns'!$D$3:$D$22,'Cost Breakdowns'!$A$3:$A$22,'SoBCaICbIC-urbanresidential'!$A6,'Cost Breakdowns'!$F$3:$F$22,"ISIC 25"))</f>
        <v>0</v>
      </c>
      <c r="W6">
        <f>(SUMIFS('Cost Breakdowns'!$D$3:$D$22,'Cost Breakdowns'!$A$3:$A$22,'SoBCaICbIC-urbanresidential'!$A6,'Cost Breakdowns'!$F$3:$F$22,"ISIC 26"))</f>
        <v>0</v>
      </c>
      <c r="X6">
        <f>(SUMIFS('Cost Breakdowns'!$D$3:$D$22,'Cost Breakdowns'!$A$3:$A$22,'SoBCaICbIC-urbanresidential'!$A6,'Cost Breakdowns'!$F$3:$F$22,"ISIC 27"))</f>
        <v>0.41594354540356854</v>
      </c>
      <c r="Y6">
        <f>(SUMIFS('Cost Breakdowns'!$D$3:$D$22,'Cost Breakdowns'!$A$3:$A$22,'SoBCaICbIC-urbanresidential'!$A6,'Cost Breakdowns'!$F$3:$F$22,"ISIC 28"))</f>
        <v>0</v>
      </c>
      <c r="Z6">
        <f>(SUMIFS('Cost Breakdowns'!$D$3:$D$22,'Cost Breakdowns'!$A$3:$A$22,'SoBCaICbIC-urbanresidential'!$A6,'Cost Breakdowns'!$F$3:$F$22,"ISIC 29"))</f>
        <v>0</v>
      </c>
      <c r="AA6">
        <f>(SUMIFS('Cost Breakdowns'!$D$3:$D$22,'Cost Breakdowns'!$A$3:$A$22,'SoBCaICbIC-urbanresidential'!$A6,'Cost Breakdowns'!$F$3:$F$22,"ISIC 30"))*'Factors applied'!$E$104</f>
        <v>0</v>
      </c>
      <c r="AB6">
        <f>(SUMIFS('Cost Breakdowns'!$D$3:$D$22,'Cost Breakdowns'!$A$3:$A$22,'SoBCaICbIC-urbanresidential'!$A6,'Cost Breakdowns'!$F$3:$F$22,"ISIC 30"))*'Factors applied'!$E$105</f>
        <v>0</v>
      </c>
      <c r="AC6">
        <f>(SUMIFS('Cost Breakdowns'!$D$3:$D$22,'Cost Breakdowns'!$A$3:$A$22,'SoBCaICbIC-urbanresidential'!$A6,'Cost Breakdowns'!$F$3:$F$22,"ISIC 31T33"))</f>
        <v>0</v>
      </c>
      <c r="AD6">
        <f>(SUMIFS('Cost Breakdowns'!$D$3:$D$22,'Cost Breakdowns'!$A$3:$A$22,'SoBCaICbIC-urbanresidential'!$A6,'Cost Breakdowns'!$F$3:$F$22,"ISIC 351"))</f>
        <v>0</v>
      </c>
      <c r="AE6">
        <f>(SUMIFS('Cost Breakdowns'!$D$3:$D$22,'Cost Breakdowns'!$A$3:$A$22,'SoBCaICbIC-urbanresidential'!$A6,'Cost Breakdowns'!$F$3:$F$22,"ISIC 352T353"))</f>
        <v>0</v>
      </c>
      <c r="AF6">
        <f>(SUMIFS('Cost Breakdowns'!$D$3:$D$22,'Cost Breakdowns'!$A$3:$A$22,'SoBCaICbIC-urbanresidential'!$A6,'Cost Breakdowns'!$F$3:$F$22,"ISIC 36T39"))</f>
        <v>0</v>
      </c>
      <c r="AG6">
        <f>(SUMIFS('Cost Breakdowns'!$D$3:$D$22,'Cost Breakdowns'!$A$3:$A$22,'SoBCaICbIC-urbanresidential'!$A6,'Cost Breakdowns'!$F$3:$F$22,"ISIC 41T43"))</f>
        <v>0.24564858056085415</v>
      </c>
      <c r="AH6">
        <f>(SUMIFS('Cost Breakdowns'!$D$3:$D$22,'Cost Breakdowns'!$A$3:$A$22,'SoBCaICbIC-urbanresidential'!$A6,'Cost Breakdowns'!$F$3:$F$22,"ISIC 45T47"))</f>
        <v>0.33246167487591327</v>
      </c>
      <c r="AI6">
        <f>(SUMIFS('Cost Breakdowns'!$D$3:$D$22,'Cost Breakdowns'!$A$3:$A$22,'SoBCaICbIC-urbanresidential'!$A6,'Cost Breakdowns'!$F$3:$F$22,"ISIC 49T53"))*'Factors applied'!$E$106+SUMIFS('Cost Breakdowns'!$D$3:$D$22,'Cost Breakdowns'!$A$3:$A$22,'SoBCaICbIC-urbanresidential'!$A6,'Cost Breakdowns'!$F$3:$F$22,"ISIC 49")</f>
        <v>5.9461991596640338E-3</v>
      </c>
      <c r="AJ6">
        <f>(SUMIFS('Cost Breakdowns'!$D$3:$D$22,'Cost Breakdowns'!$A$3:$A$22,'SoBCaICbIC-urbanresidential'!$A6,'Cost Breakdowns'!$F$3:$F$22,"ISIC 49T53"))*'Factors applied'!$E$107</f>
        <v>0</v>
      </c>
      <c r="AK6">
        <f>(SUMIFS('Cost Breakdowns'!$D$3:$D$22,'Cost Breakdowns'!$A$3:$A$22,'SoBCaICbIC-urbanresidential'!$A6,'Cost Breakdowns'!$F$3:$F$22,"ISIC 49T53"))*'Factors applied'!$E$108</f>
        <v>0</v>
      </c>
      <c r="AL6">
        <f>(SUMIFS('Cost Breakdowns'!$D$3:$D$22,'Cost Breakdowns'!$A$3:$A$22,'SoBCaICbIC-urbanresidential'!$A6,'Cost Breakdowns'!$F$3:$F$22,"ISIC 49T53"))*'Factors applied'!$E$109</f>
        <v>0</v>
      </c>
      <c r="AM6">
        <f>(SUMIFS('Cost Breakdowns'!$D$3:$D$22,'Cost Breakdowns'!$A$3:$A$22,'SoBCaICbIC-urbanresidential'!$A6,'Cost Breakdowns'!$F$3:$F$22,"ISIC 49T53"))*'Factors applied'!$E$110</f>
        <v>0</v>
      </c>
      <c r="AN6">
        <f>(SUMIFS('Cost Breakdowns'!$D$3:$D$22,'Cost Breakdowns'!$A$3:$A$22,'SoBCaICbIC-urbanresidential'!$A6,'Cost Breakdowns'!$F$3:$F$22,"ISIC 55T56"))</f>
        <v>0</v>
      </c>
      <c r="AO6">
        <f>(SUMIFS('Cost Breakdowns'!$D$3:$D$22,'Cost Breakdowns'!$A$3:$A$22,'SoBCaICbIC-urbanresidential'!$A6,'Cost Breakdowns'!$F$3:$F$22,"ISIC 58T60"))</f>
        <v>0</v>
      </c>
      <c r="AP6">
        <f>(SUMIFS('Cost Breakdowns'!$D$3:$D$22,'Cost Breakdowns'!$A$3:$A$22,'SoBCaICbIC-urbanresidential'!$A6,'Cost Breakdowns'!$F$3:$F$22,"ISIC 61"))</f>
        <v>0</v>
      </c>
      <c r="AQ6">
        <f>(SUMIFS('Cost Breakdowns'!$D$3:$D$22,'Cost Breakdowns'!$A$3:$A$22,'SoBCaICbIC-urbanresidential'!$A6,'Cost Breakdowns'!$F$3:$F$22,"ISIC 62T63"))</f>
        <v>0</v>
      </c>
      <c r="AR6">
        <f>(SUMIFS('Cost Breakdowns'!$D$3:$D$22,'Cost Breakdowns'!$A$3:$A$22,'SoBCaICbIC-urbanresidential'!$A6,'Cost Breakdowns'!$F$3:$F$22,"ISIC 64T66"))</f>
        <v>0</v>
      </c>
      <c r="AS6">
        <f>(SUMIFS('Cost Breakdowns'!$D$3:$D$22,'Cost Breakdowns'!$A$3:$A$22,'SoBCaICbIC-urbanresidential'!$A6,'Cost Breakdowns'!$F$3:$F$22,"ISIC 68"))</f>
        <v>0</v>
      </c>
      <c r="AT6">
        <f>(SUMIFS('Cost Breakdowns'!$D$3:$D$22,'Cost Breakdowns'!$A$3:$A$22,'SoBCaICbIC-urbanresidential'!$A6,'Cost Breakdowns'!$F$3:$F$22,"ISIC 69T82"))*'Factors applied'!$E$111</f>
        <v>0</v>
      </c>
      <c r="AU6">
        <f>(SUMIFS('Cost Breakdowns'!$D$3:$D$22,'Cost Breakdowns'!$A$3:$A$22,'SoBCaICbIC-urbanresidential'!$A6,'Cost Breakdowns'!$F$3:$F$22,"ISIC 69T82"))*'Factors applied'!$E$112</f>
        <v>0</v>
      </c>
      <c r="AV6">
        <f>(SUMIFS('Cost Breakdowns'!$D$3:$D$22,'Cost Breakdowns'!$A$3:$A$22,'SoBCaICbIC-urbanresidential'!$A6,'Cost Breakdowns'!$F$3:$F$22,"ISIC 84"))</f>
        <v>0</v>
      </c>
      <c r="AW6">
        <f>(SUMIFS('Cost Breakdowns'!$D$3:$D$22,'Cost Breakdowns'!$A$3:$A$22,'SoBCaICbIC-urbanresidential'!$A6,'Cost Breakdowns'!$F$3:$F$22,"ISIC 85"))</f>
        <v>0</v>
      </c>
      <c r="AX6">
        <f>(SUMIFS('Cost Breakdowns'!$D$3:$D$22,'Cost Breakdowns'!$A$3:$A$22,'SoBCaICbIC-urbanresidential'!$A6,'Cost Breakdowns'!$F$3:$F$22,"ISIC 86T88"))</f>
        <v>0</v>
      </c>
      <c r="AY6">
        <f>(SUMIFS('Cost Breakdowns'!$D$3:$D$22,'Cost Breakdowns'!$A$3:$A$22,'SoBCaICbIC-urbanresidential'!$A6,'Cost Breakdowns'!$F$3:$F$22,"ISIC 90T96"))*'Factors applied'!$E$113</f>
        <v>0</v>
      </c>
      <c r="AZ6">
        <f>(SUMIFS('Cost Breakdowns'!$D$3:$D$22,'Cost Breakdowns'!$A$3:$A$22,'SoBCaICbIC-urbanresidential'!$A6,'Cost Breakdowns'!$F$3:$F$22,"ISIC 90T96"))*'Factors applied'!$E$114</f>
        <v>0</v>
      </c>
      <c r="BA6">
        <f>(SUMIFS('Cost Breakdowns'!$D$3:$D$22,'Cost Breakdowns'!$A$3:$A$22,'SoBCaICbIC-urbanresidential'!$A6,'Cost Breakdowns'!$F$3:$F$22,"ISIC 97T98"))</f>
        <v>0</v>
      </c>
    </row>
    <row r="7" spans="1:53" x14ac:dyDescent="0.25">
      <c r="A7" t="s">
        <v>69</v>
      </c>
      <c r="B7">
        <f>(SUMIFS('Cost Breakdowns'!$D$3:$D$22,'Cost Breakdowns'!$A$3:$A$22,'SoBCaICbIC-urbanresidential'!$A7,'Cost Breakdowns'!$F$3:$F$22,"ISIC 01T03"))*'Factors applied'!$E$179</f>
        <v>0</v>
      </c>
      <c r="C7">
        <f>(SUMIFS('Cost Breakdowns'!$D$3:$D$22,'Cost Breakdowns'!$A$3:$A$22,'SoBCaICbIC-urbanresidential'!$A7,'Cost Breakdowns'!$F$3:$F$22,"ISIC 01T03"))*'Factors applied'!$E$180</f>
        <v>0</v>
      </c>
      <c r="D7">
        <f>(SUMIFS('Cost Breakdowns'!$D$3:$D$22,'Cost Breakdowns'!$A$3:$A$22,'SoBCaICbIC-urbanresidential'!$A7,'Cost Breakdowns'!$F$3:$F$22,"ISIC 01T03"))*'Factors applied'!$E$181</f>
        <v>0</v>
      </c>
      <c r="E7">
        <f>(SUMIFS('Cost Breakdowns'!$D$3:$D$22,'Cost Breakdowns'!$A$3:$A$22,'SoBCaICbIC-urbanresidential'!$A7,'Cost Breakdowns'!$F$3:$F$22,"ISIC 05"))</f>
        <v>0</v>
      </c>
      <c r="F7">
        <f>(SUMIFS('Cost Breakdowns'!$D$3:$D$22,'Cost Breakdowns'!$A$3:$A$22,'SoBCaICbIC-urbanresidential'!$A7,'Cost Breakdowns'!$F$3:$F$22,"ISIC 06"))</f>
        <v>0</v>
      </c>
      <c r="G7">
        <f>(SUMIFS('Cost Breakdowns'!$D$3:$D$22,'Cost Breakdowns'!$A$3:$A$22,'SoBCaICbIC-urbanresidential'!$A7,'Cost Breakdowns'!$F$3:$F$22,"ISIC 07T08"))*'Factors applied'!$E$182</f>
        <v>0</v>
      </c>
      <c r="H7">
        <f>(SUMIFS('Cost Breakdowns'!$D$3:$D$22,'Cost Breakdowns'!$A$3:$A$22,'SoBCaICbIC-urbanresidential'!$A7,'Cost Breakdowns'!$F$3:$F$22,"ISIC 07T08"))*'Factors applied'!$E$183</f>
        <v>0</v>
      </c>
      <c r="I7">
        <f>(SUMIFS('Cost Breakdowns'!$D$3:$D$22,'Cost Breakdowns'!$A$3:$A$22,'SoBCaICbIC-urbanresidential'!$A7,'Cost Breakdowns'!$F$3:$F$22,"ISIC 09"))</f>
        <v>0</v>
      </c>
      <c r="J7">
        <f>(SUMIFS('Cost Breakdowns'!$D$3:$D$22,'Cost Breakdowns'!$A$3:$A$22,'SoBCaICbIC-urbanresidential'!$A7,'Cost Breakdowns'!$F$3:$F$22,"ISIC 10T12"))</f>
        <v>0</v>
      </c>
      <c r="K7">
        <f>(SUMIFS('Cost Breakdowns'!$D$3:$D$22,'Cost Breakdowns'!$A$3:$A$22,'SoBCaICbIC-urbanresidential'!$A7,'Cost Breakdowns'!$F$3:$F$22,"ISIC 13T15"))</f>
        <v>0</v>
      </c>
      <c r="L7">
        <f>(SUMIFS('Cost Breakdowns'!$D$3:$D$22,'Cost Breakdowns'!$A$3:$A$22,'SoBCaICbIC-urbanresidential'!$A7,'Cost Breakdowns'!$F$3:$F$22,"ISIC 16"))</f>
        <v>0</v>
      </c>
      <c r="M7">
        <f>(SUMIFS('Cost Breakdowns'!$D$3:$D$22,'Cost Breakdowns'!$A$3:$A$22,'SoBCaICbIC-urbanresidential'!$A7,'Cost Breakdowns'!$F$3:$F$22,"ISIC 17T18"))</f>
        <v>0</v>
      </c>
      <c r="N7">
        <f>(SUMIFS('Cost Breakdowns'!$D$3:$D$22,'Cost Breakdowns'!$A$3:$A$22,'SoBCaICbIC-urbanresidential'!$A7,'Cost Breakdowns'!$F$3:$F$22,"ISIC 19"))</f>
        <v>0</v>
      </c>
      <c r="O7">
        <f>(SUMIFS('Cost Breakdowns'!$D$3:$D$22,'Cost Breakdowns'!$A$3:$A$22,'SoBCaICbIC-urbanresidential'!$A7,'Cost Breakdowns'!$F$3:$F$22,"ISIC 20"))</f>
        <v>0</v>
      </c>
      <c r="P7">
        <f>(SUMIFS('Cost Breakdowns'!$D$3:$D$22,'Cost Breakdowns'!$A$3:$A$22,'SoBCaICbIC-urbanresidential'!$A7,'Cost Breakdowns'!$F$3:$F$22,"ISIC 21"))</f>
        <v>0</v>
      </c>
      <c r="Q7">
        <f>(SUMIFS('Cost Breakdowns'!$D$3:$D$22,'Cost Breakdowns'!$A$3:$A$22,'SoBCaICbIC-urbanresidential'!$A7,'Cost Breakdowns'!$F$3:$F$22,"ISIC 22"))</f>
        <v>0</v>
      </c>
      <c r="R7">
        <f>(SUMIFS('Cost Breakdowns'!$D$3:$D$22,'Cost Breakdowns'!$A$3:$A$22,'SoBCaICbIC-urbanresidential'!$A7,'Cost Breakdowns'!$F$3:$F$22,"ISIC 231"))</f>
        <v>0</v>
      </c>
      <c r="S7">
        <f>(SUMIFS('Cost Breakdowns'!$D$3:$D$22,'Cost Breakdowns'!$A$3:$A$22,'SoBCaICbIC-urbanresidential'!$A7,'Cost Breakdowns'!$F$3:$F$22,"ISIC 239"))</f>
        <v>0</v>
      </c>
      <c r="T7">
        <f>(SUMIFS('Cost Breakdowns'!$D$3:$D$22,'Cost Breakdowns'!$A$3:$A$22,'SoBCaICbIC-urbanresidential'!$A7,'Cost Breakdowns'!$F$3:$F$22,"ISIC 241"))</f>
        <v>0</v>
      </c>
      <c r="U7">
        <f>(SUMIFS('Cost Breakdowns'!$D$3:$D$22,'Cost Breakdowns'!$A$3:$A$22,'SoBCaICbIC-urbanresidential'!$A7,'Cost Breakdowns'!$F$3:$F$22,"ISIC 242"))</f>
        <v>0</v>
      </c>
      <c r="V7">
        <f>(SUMIFS('Cost Breakdowns'!$D$3:$D$22,'Cost Breakdowns'!$A$3:$A$22,'SoBCaICbIC-urbanresidential'!$A7,'Cost Breakdowns'!$F$3:$F$22,"ISIC 25"))</f>
        <v>0</v>
      </c>
      <c r="W7">
        <f>(SUMIFS('Cost Breakdowns'!$D$3:$D$22,'Cost Breakdowns'!$A$3:$A$22,'SoBCaICbIC-urbanresidential'!$A7,'Cost Breakdowns'!$F$3:$F$22,"ISIC 26"))</f>
        <v>0</v>
      </c>
      <c r="X7">
        <f>(SUMIFS('Cost Breakdowns'!$D$3:$D$22,'Cost Breakdowns'!$A$3:$A$22,'SoBCaICbIC-urbanresidential'!$A7,'Cost Breakdowns'!$F$3:$F$22,"ISIC 27"))</f>
        <v>0.39439856534562207</v>
      </c>
      <c r="Y7">
        <f>(SUMIFS('Cost Breakdowns'!$D$3:$D$22,'Cost Breakdowns'!$A$3:$A$22,'SoBCaICbIC-urbanresidential'!$A7,'Cost Breakdowns'!$F$3:$F$22,"ISIC 28"))</f>
        <v>0</v>
      </c>
      <c r="Z7">
        <f>(SUMIFS('Cost Breakdowns'!$D$3:$D$22,'Cost Breakdowns'!$A$3:$A$22,'SoBCaICbIC-urbanresidential'!$A7,'Cost Breakdowns'!$F$3:$F$22,"ISIC 29"))</f>
        <v>0</v>
      </c>
      <c r="AA7">
        <f>(SUMIFS('Cost Breakdowns'!$D$3:$D$22,'Cost Breakdowns'!$A$3:$A$22,'SoBCaICbIC-urbanresidential'!$A7,'Cost Breakdowns'!$F$3:$F$22,"ISIC 30"))*'Factors applied'!$E$184</f>
        <v>0</v>
      </c>
      <c r="AB7">
        <f>(SUMIFS('Cost Breakdowns'!$D$3:$D$22,'Cost Breakdowns'!$A$3:$A$22,'SoBCaICbIC-urbanresidential'!$A7,'Cost Breakdowns'!$F$3:$F$22,"ISIC 30"))*'Factors applied'!$E$185</f>
        <v>0</v>
      </c>
      <c r="AC7">
        <f>(SUMIFS('Cost Breakdowns'!$D$3:$D$22,'Cost Breakdowns'!$A$3:$A$22,'SoBCaICbIC-urbanresidential'!$A7,'Cost Breakdowns'!$F$3:$F$22,"ISIC 31T33"))</f>
        <v>0</v>
      </c>
      <c r="AD7">
        <f>(SUMIFS('Cost Breakdowns'!$D$3:$D$22,'Cost Breakdowns'!$A$3:$A$22,'SoBCaICbIC-urbanresidential'!$A7,'Cost Breakdowns'!$F$3:$F$22,"ISIC 351"))</f>
        <v>0</v>
      </c>
      <c r="AE7">
        <f>(SUMIFS('Cost Breakdowns'!$D$3:$D$22,'Cost Breakdowns'!$A$3:$A$22,'SoBCaICbIC-urbanresidential'!$A7,'Cost Breakdowns'!$F$3:$F$22,"ISIC 352T353"))</f>
        <v>0</v>
      </c>
      <c r="AF7">
        <f>(SUMIFS('Cost Breakdowns'!$D$3:$D$22,'Cost Breakdowns'!$A$3:$A$22,'SoBCaICbIC-urbanresidential'!$A7,'Cost Breakdowns'!$F$3:$F$22,"ISIC 36T39"))</f>
        <v>0</v>
      </c>
      <c r="AG7">
        <f>(SUMIFS('Cost Breakdowns'!$D$3:$D$22,'Cost Breakdowns'!$A$3:$A$22,'SoBCaICbIC-urbanresidential'!$A7,'Cost Breakdowns'!$F$3:$F$22,"ISIC 41T43"))</f>
        <v>0.24564858056085415</v>
      </c>
      <c r="AH7">
        <f>(SUMIFS('Cost Breakdowns'!$D$3:$D$22,'Cost Breakdowns'!$A$3:$A$22,'SoBCaICbIC-urbanresidential'!$A7,'Cost Breakdowns'!$F$3:$F$22,"ISIC 45T47"))</f>
        <v>0.34557880809981883</v>
      </c>
      <c r="AI7">
        <f>(SUMIFS('Cost Breakdowns'!$D$3:$D$22,'Cost Breakdowns'!$A$3:$A$22,'SoBCaICbIC-urbanresidential'!$A7,'Cost Breakdowns'!$F$3:$F$22,"ISIC 49T53"))*'Factors applied'!$E$186+SUMIFS('Cost Breakdowns'!$D$3:$D$22,'Cost Breakdowns'!$A$3:$A$22,'SoBCaICbIC-urbanresidential'!$A7,'Cost Breakdowns'!$F$3:$F$22,"ISIC 49")</f>
        <v>1.4374045993704981E-2</v>
      </c>
      <c r="AJ7">
        <f>(SUMIFS('Cost Breakdowns'!$D$3:$D$22,'Cost Breakdowns'!$A$3:$A$22,'SoBCaICbIC-urbanresidential'!$A7,'Cost Breakdowns'!$F$3:$F$22,"ISIC 49T53"))*'Factors applied'!$E$187</f>
        <v>0</v>
      </c>
      <c r="AK7">
        <f>(SUMIFS('Cost Breakdowns'!$D$3:$D$22,'Cost Breakdowns'!$A$3:$A$22,'SoBCaICbIC-urbanresidential'!$A7,'Cost Breakdowns'!$F$3:$F$22,"ISIC 49T53"))*'Factors applied'!$E$188</f>
        <v>0</v>
      </c>
      <c r="AL7">
        <f>(SUMIFS('Cost Breakdowns'!$D$3:$D$22,'Cost Breakdowns'!$A$3:$A$22,'SoBCaICbIC-urbanresidential'!$A7,'Cost Breakdowns'!$F$3:$F$22,"ISIC 49T53"))*'Factors applied'!$E$189</f>
        <v>0</v>
      </c>
      <c r="AM7">
        <f>(SUMIFS('Cost Breakdowns'!$D$3:$D$22,'Cost Breakdowns'!$A$3:$A$22,'SoBCaICbIC-urbanresidential'!$A7,'Cost Breakdowns'!$F$3:$F$22,"ISIC 49T53"))*'Factors applied'!$E$190</f>
        <v>0</v>
      </c>
      <c r="AN7">
        <f>(SUMIFS('Cost Breakdowns'!$D$3:$D$22,'Cost Breakdowns'!$A$3:$A$22,'SoBCaICbIC-urbanresidential'!$A7,'Cost Breakdowns'!$F$3:$F$22,"ISIC 55T56"))</f>
        <v>0</v>
      </c>
      <c r="AO7">
        <f>(SUMIFS('Cost Breakdowns'!$D$3:$D$22,'Cost Breakdowns'!$A$3:$A$22,'SoBCaICbIC-urbanresidential'!$A7,'Cost Breakdowns'!$F$3:$F$22,"ISIC 58T60"))</f>
        <v>0</v>
      </c>
      <c r="AP7">
        <f>(SUMIFS('Cost Breakdowns'!$D$3:$D$22,'Cost Breakdowns'!$A$3:$A$22,'SoBCaICbIC-urbanresidential'!$A7,'Cost Breakdowns'!$F$3:$F$22,"ISIC 61"))</f>
        <v>0</v>
      </c>
      <c r="AQ7">
        <f>(SUMIFS('Cost Breakdowns'!$D$3:$D$22,'Cost Breakdowns'!$A$3:$A$22,'SoBCaICbIC-urbanresidential'!$A7,'Cost Breakdowns'!$F$3:$F$22,"ISIC 62T63"))</f>
        <v>0</v>
      </c>
      <c r="AR7">
        <f>(SUMIFS('Cost Breakdowns'!$D$3:$D$22,'Cost Breakdowns'!$A$3:$A$22,'SoBCaICbIC-urbanresidential'!$A7,'Cost Breakdowns'!$F$3:$F$22,"ISIC 64T66"))</f>
        <v>0</v>
      </c>
      <c r="AS7">
        <f>(SUMIFS('Cost Breakdowns'!$D$3:$D$22,'Cost Breakdowns'!$A$3:$A$22,'SoBCaICbIC-urbanresidential'!$A7,'Cost Breakdowns'!$F$3:$F$22,"ISIC 68"))</f>
        <v>0</v>
      </c>
      <c r="AT7">
        <f>(SUMIFS('Cost Breakdowns'!$D$3:$D$22,'Cost Breakdowns'!$A$3:$A$22,'SoBCaICbIC-urbanresidential'!$A7,'Cost Breakdowns'!$F$3:$F$22,"ISIC 69T82"))*'Factors applied'!$E$191</f>
        <v>0</v>
      </c>
      <c r="AU7">
        <f>(SUMIFS('Cost Breakdowns'!$D$3:$D$22,'Cost Breakdowns'!$A$3:$A$22,'SoBCaICbIC-urbanresidential'!$A7,'Cost Breakdowns'!$F$3:$F$22,"ISIC 69T82"))*'Factors applied'!$E$192</f>
        <v>0</v>
      </c>
      <c r="AV7">
        <f>(SUMIFS('Cost Breakdowns'!$D$3:$D$22,'Cost Breakdowns'!$A$3:$A$22,'SoBCaICbIC-urbanresidential'!$A7,'Cost Breakdowns'!$F$3:$F$22,"ISIC 84"))</f>
        <v>0</v>
      </c>
      <c r="AW7">
        <f>(SUMIFS('Cost Breakdowns'!$D$3:$D$22,'Cost Breakdowns'!$A$3:$A$22,'SoBCaICbIC-urbanresidential'!$A7,'Cost Breakdowns'!$F$3:$F$22,"ISIC 85"))</f>
        <v>0</v>
      </c>
      <c r="AX7">
        <f>(SUMIFS('Cost Breakdowns'!$D$3:$D$22,'Cost Breakdowns'!$A$3:$A$22,'SoBCaICbIC-urbanresidential'!$A7,'Cost Breakdowns'!$F$3:$F$22,"ISIC 86T88"))</f>
        <v>0</v>
      </c>
      <c r="AY7">
        <f>(SUMIFS('Cost Breakdowns'!$D$3:$D$22,'Cost Breakdowns'!$A$3:$A$22,'SoBCaICbIC-urbanresidential'!$A7,'Cost Breakdowns'!$F$3:$F$22,"ISIC 90T96"))*'Factors applied'!$E$193</f>
        <v>0</v>
      </c>
      <c r="AZ7">
        <f>(SUMIFS('Cost Breakdowns'!$D$3:$D$22,'Cost Breakdowns'!$A$3:$A$22,'SoBCaICbIC-urbanresidential'!$A7,'Cost Breakdowns'!$F$3:$F$22,"ISIC 90T96"))*'Factors applied'!$E$194</f>
        <v>0</v>
      </c>
      <c r="BA7">
        <f>(SUMIFS('Cost Breakdowns'!$D$3:$D$22,'Cost Breakdowns'!$A$3:$A$22,'SoBCaICbIC-urbanresidential'!$A7,'Cost Breakdowns'!$F$3:$F$22,"ISIC 97T98"))</f>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BA7"/>
  <sheetViews>
    <sheetView workbookViewId="0">
      <selection activeCell="AA4" sqref="AA4"/>
    </sheetView>
  </sheetViews>
  <sheetFormatPr defaultRowHeight="15" x14ac:dyDescent="0.25"/>
  <cols>
    <col min="1" max="1" width="22.85546875" customWidth="1"/>
    <col min="2" max="43" width="10.85546875" customWidth="1"/>
  </cols>
  <sheetData>
    <row r="1" spans="1:53" x14ac:dyDescent="0.25">
      <c r="A1" s="99" t="s">
        <v>784</v>
      </c>
      <c r="B1" s="98" t="s">
        <v>41</v>
      </c>
      <c r="C1" s="98" t="s">
        <v>44</v>
      </c>
      <c r="D1" s="98" t="s">
        <v>45</v>
      </c>
      <c r="E1" s="98" t="s">
        <v>76</v>
      </c>
      <c r="F1" s="98" t="s">
        <v>78</v>
      </c>
      <c r="G1" s="98" t="s">
        <v>46</v>
      </c>
      <c r="H1" s="98" t="s">
        <v>48</v>
      </c>
      <c r="I1" s="98" t="s">
        <v>81</v>
      </c>
      <c r="J1" s="98" t="s">
        <v>83</v>
      </c>
      <c r="K1" s="98" t="s">
        <v>85</v>
      </c>
      <c r="L1" s="98" t="s">
        <v>87</v>
      </c>
      <c r="M1" s="98" t="s">
        <v>89</v>
      </c>
      <c r="N1" s="98" t="s">
        <v>91</v>
      </c>
      <c r="O1" s="98" t="s">
        <v>93</v>
      </c>
      <c r="P1" s="98" t="s">
        <v>95</v>
      </c>
      <c r="Q1" s="98" t="s">
        <v>97</v>
      </c>
      <c r="R1" s="98" t="s">
        <v>99</v>
      </c>
      <c r="S1" s="98" t="s">
        <v>101</v>
      </c>
      <c r="T1" s="98" t="s">
        <v>103</v>
      </c>
      <c r="U1" s="98" t="s">
        <v>105</v>
      </c>
      <c r="V1" s="98" t="s">
        <v>107</v>
      </c>
      <c r="W1" s="98" t="s">
        <v>109</v>
      </c>
      <c r="X1" s="98" t="s">
        <v>111</v>
      </c>
      <c r="Y1" s="98" t="s">
        <v>113</v>
      </c>
      <c r="Z1" s="98" t="s">
        <v>115</v>
      </c>
      <c r="AA1" s="98" t="s">
        <v>49</v>
      </c>
      <c r="AB1" s="98" t="s">
        <v>51</v>
      </c>
      <c r="AC1" s="98" t="s">
        <v>118</v>
      </c>
      <c r="AD1" s="98" t="s">
        <v>120</v>
      </c>
      <c r="AE1" s="98" t="s">
        <v>122</v>
      </c>
      <c r="AF1" s="98" t="s">
        <v>124</v>
      </c>
      <c r="AG1" s="98" t="s">
        <v>126</v>
      </c>
      <c r="AH1" s="98" t="s">
        <v>128</v>
      </c>
      <c r="AI1" s="98" t="s">
        <v>52</v>
      </c>
      <c r="AJ1" s="98" t="s">
        <v>54</v>
      </c>
      <c r="AK1" s="98" t="s">
        <v>55</v>
      </c>
      <c r="AL1" s="98" t="s">
        <v>56</v>
      </c>
      <c r="AM1" s="98" t="s">
        <v>57</v>
      </c>
      <c r="AN1" s="98" t="s">
        <v>131</v>
      </c>
      <c r="AO1" s="98" t="s">
        <v>133</v>
      </c>
      <c r="AP1" s="98" t="s">
        <v>135</v>
      </c>
      <c r="AQ1" s="98" t="s">
        <v>137</v>
      </c>
      <c r="AR1" s="98" t="s">
        <v>139</v>
      </c>
      <c r="AS1" s="98" t="s">
        <v>141</v>
      </c>
      <c r="AT1" s="98" t="s">
        <v>58</v>
      </c>
      <c r="AU1" s="98" t="s">
        <v>61</v>
      </c>
      <c r="AV1" s="98" t="s">
        <v>144</v>
      </c>
      <c r="AW1" s="98" t="s">
        <v>146</v>
      </c>
      <c r="AX1" s="98" t="s">
        <v>148</v>
      </c>
      <c r="AY1" s="98" t="s">
        <v>62</v>
      </c>
      <c r="AZ1" s="98" t="s">
        <v>64</v>
      </c>
      <c r="BA1" s="98" t="s">
        <v>151</v>
      </c>
    </row>
    <row r="2" spans="1:53" x14ac:dyDescent="0.25">
      <c r="A2" t="s">
        <v>67</v>
      </c>
      <c r="B2">
        <f>(SUMIFS('Cost Breakdowns'!$E$3:$E$22,'Cost Breakdowns'!$A$3:$A$22,'SoBCaICbIC-urbanresidential'!$A2,'Cost Breakdowns'!$F$3:$F$22,"ISIC 01T03"))*'Factors applied'!$E$51</f>
        <v>0</v>
      </c>
      <c r="C2">
        <f>(SUMIFS('Cost Breakdowns'!$E$3:$E$22,'Cost Breakdowns'!$A$3:$A$22,'SoBCaICbIC-urbanresidential'!$A2,'Cost Breakdowns'!$F$3:$F$22,"ISIC 01T03"))*'Factors applied'!$E$52</f>
        <v>0</v>
      </c>
      <c r="D2">
        <f>(SUMIFS('Cost Breakdowns'!$E$3:$E$22,'Cost Breakdowns'!$A$3:$A$22,'SoBCaICbIC-urbanresidential'!$A2,'Cost Breakdowns'!$F$3:$F$22,"ISIC 01T03"))*'Factors applied'!$E$53</f>
        <v>0</v>
      </c>
      <c r="E2">
        <f>(SUMIFS('Cost Breakdowns'!$E$3:$E$22,'Cost Breakdowns'!$A$3:$A$22,'SoBCaICbIC-urbanresidential'!$A2,'Cost Breakdowns'!$F$3:$F$22,"ISIC 05"))</f>
        <v>0</v>
      </c>
      <c r="F2">
        <f>(SUMIFS('Cost Breakdowns'!$E$3:$E$22,'Cost Breakdowns'!$A$3:$A$22,'SoBCaICbIC-urbanresidential'!$A2,'Cost Breakdowns'!$F$3:$F$22,"ISIC 06"))</f>
        <v>0</v>
      </c>
      <c r="G2">
        <f>(SUMIFS('Cost Breakdowns'!$E$3:$E$22,'Cost Breakdowns'!$A$3:$A$22,'SoBCaICbIC-urbanresidential'!$A2,'Cost Breakdowns'!$F$3:$F$22,"ISIC 07T08"))*'Factors applied'!$E$54</f>
        <v>0</v>
      </c>
      <c r="H2">
        <f>(SUMIFS('Cost Breakdowns'!$E$3:$E$22,'Cost Breakdowns'!$A$3:$A$22,'SoBCaICbIC-urbanresidential'!$A2,'Cost Breakdowns'!$F$3:$F$22,"ISIC 07T08"))*'Factors applied'!$E$55</f>
        <v>0</v>
      </c>
      <c r="I2">
        <f>(SUMIFS('Cost Breakdowns'!$E$3:$E$22,'Cost Breakdowns'!$A$3:$A$22,'SoBCaICbIC-urbanresidential'!$A2,'Cost Breakdowns'!$F$3:$F$22,"ISIC 09"))</f>
        <v>0</v>
      </c>
      <c r="J2">
        <f>(SUMIFS('Cost Breakdowns'!$E$3:$E$22,'Cost Breakdowns'!$A$3:$A$22,'SoBCaICbIC-urbanresidential'!$A2,'Cost Breakdowns'!$F$3:$F$22,"ISIC 10T12"))</f>
        <v>0</v>
      </c>
      <c r="K2">
        <f>(SUMIFS('Cost Breakdowns'!$E$3:$E$22,'Cost Breakdowns'!$A$3:$A$22,'SoBCaICbIC-urbanresidential'!$A2,'Cost Breakdowns'!$F$3:$F$22,"ISIC 13T15"))</f>
        <v>0</v>
      </c>
      <c r="L2">
        <f>(SUMIFS('Cost Breakdowns'!$E$3:$E$22,'Cost Breakdowns'!$A$3:$A$22,'SoBCaICbIC-urbanresidential'!$A2,'Cost Breakdowns'!$F$3:$F$22,"ISIC 16"))</f>
        <v>0</v>
      </c>
      <c r="M2">
        <f>(SUMIFS('Cost Breakdowns'!$E$3:$E$22,'Cost Breakdowns'!$A$3:$A$22,'SoBCaICbIC-urbanresidential'!$A2,'Cost Breakdowns'!$F$3:$F$22,"ISIC 17T18"))</f>
        <v>0</v>
      </c>
      <c r="N2">
        <f>(SUMIFS('Cost Breakdowns'!$E$3:$E$22,'Cost Breakdowns'!$A$3:$A$22,'SoBCaICbIC-urbanresidential'!$A2,'Cost Breakdowns'!$F$3:$F$22,"ISIC 19"))</f>
        <v>0</v>
      </c>
      <c r="O2">
        <f>(SUMIFS('Cost Breakdowns'!$E$3:$E$22,'Cost Breakdowns'!$A$3:$A$22,'SoBCaICbIC-urbanresidential'!$A2,'Cost Breakdowns'!$F$3:$F$22,"ISIC 20"))</f>
        <v>0</v>
      </c>
      <c r="P2">
        <f>(SUMIFS('Cost Breakdowns'!$E$3:$E$22,'Cost Breakdowns'!$A$3:$A$22,'SoBCaICbIC-urbanresidential'!$A2,'Cost Breakdowns'!$F$3:$F$22,"ISIC 21"))</f>
        <v>0</v>
      </c>
      <c r="Q2">
        <f>(SUMIFS('Cost Breakdowns'!$E$3:$E$22,'Cost Breakdowns'!$A$3:$A$22,'SoBCaICbIC-urbanresidential'!$A2,'Cost Breakdowns'!$F$3:$F$22,"ISIC 22"))</f>
        <v>0</v>
      </c>
      <c r="R2">
        <f>(SUMIFS('Cost Breakdowns'!$E$3:$E$22,'Cost Breakdowns'!$A$3:$A$22,'SoBCaICbIC-urbanresidential'!$A2,'Cost Breakdowns'!$F$3:$F$22,"ISIC 231"))</f>
        <v>0</v>
      </c>
      <c r="S2">
        <f>(SUMIFS('Cost Breakdowns'!$E$3:$E$22,'Cost Breakdowns'!$A$3:$A$22,'SoBCaICbIC-urbanresidential'!$A2,'Cost Breakdowns'!$F$3:$F$22,"ISIC 239"))</f>
        <v>0</v>
      </c>
      <c r="T2">
        <f>(SUMIFS('Cost Breakdowns'!$E$3:$E$22,'Cost Breakdowns'!$A$3:$A$22,'SoBCaICbIC-urbanresidential'!$A2,'Cost Breakdowns'!$F$3:$F$22,"ISIC 241"))</f>
        <v>0</v>
      </c>
      <c r="U2">
        <f>(SUMIFS('Cost Breakdowns'!$E$3:$E$22,'Cost Breakdowns'!$A$3:$A$22,'SoBCaICbIC-urbanresidential'!$A2,'Cost Breakdowns'!$F$3:$F$22,"ISIC 242"))</f>
        <v>0</v>
      </c>
      <c r="V2">
        <f>(SUMIFS('Cost Breakdowns'!$E$3:$E$22,'Cost Breakdowns'!$A$3:$A$22,'SoBCaICbIC-urbanresidential'!$A2,'Cost Breakdowns'!$F$3:$F$22,"ISIC 25"))</f>
        <v>0</v>
      </c>
      <c r="W2">
        <f>(SUMIFS('Cost Breakdowns'!$E$3:$E$22,'Cost Breakdowns'!$A$3:$A$22,'SoBCaICbIC-urbanresidential'!$A2,'Cost Breakdowns'!$F$3:$F$22,"ISIC 26"))</f>
        <v>0</v>
      </c>
      <c r="X2">
        <f>(SUMIFS('Cost Breakdowns'!$E$3:$E$22,'Cost Breakdowns'!$A$3:$A$22,'SoBCaICbIC-urbanresidential'!$A2,'Cost Breakdowns'!$F$3:$F$22,"ISIC 27"))</f>
        <v>0</v>
      </c>
      <c r="Y2">
        <f>(SUMIFS('Cost Breakdowns'!$E$3:$E$22,'Cost Breakdowns'!$A$3:$A$22,'SoBCaICbIC-urbanresidential'!$A2,'Cost Breakdowns'!$F$3:$F$22,"ISIC 28"))</f>
        <v>0.48014296629444869</v>
      </c>
      <c r="Z2">
        <f>(SUMIFS('Cost Breakdowns'!$E$3:$E$22,'Cost Breakdowns'!$A$3:$A$22,'SoBCaICbIC-urbanresidential'!$A2,'Cost Breakdowns'!$F$3:$F$22,"ISIC 29"))</f>
        <v>0</v>
      </c>
      <c r="AA2">
        <f>(SUMIFS('Cost Breakdowns'!$E$3:$E$22,'Cost Breakdowns'!$A$3:$A$22,'SoBCaICbIC-urbanresidential'!$A2,'Cost Breakdowns'!$F$3:$F$22,"ISIC 30"))*'Factors applied'!$E$56</f>
        <v>0</v>
      </c>
      <c r="AB2">
        <f>(SUMIFS('Cost Breakdowns'!$E$3:$E$22,'Cost Breakdowns'!$A$3:$A$22,'SoBCaICbIC-urbanresidential'!$A2,'Cost Breakdowns'!$F$3:$F$22,"ISIC 30"))*'Factors applied'!$E$57</f>
        <v>0</v>
      </c>
      <c r="AC2">
        <f>(SUMIFS('Cost Breakdowns'!$E$3:$E$22,'Cost Breakdowns'!$A$3:$A$22,'SoBCaICbIC-urbanresidential'!$A2,'Cost Breakdowns'!$F$3:$F$22,"ISIC 31T33"))</f>
        <v>0</v>
      </c>
      <c r="AD2">
        <f>(SUMIFS('Cost Breakdowns'!$E$3:$E$22,'Cost Breakdowns'!$A$3:$A$22,'SoBCaICbIC-urbanresidential'!$A2,'Cost Breakdowns'!$F$3:$F$22,"ISIC 351"))</f>
        <v>0</v>
      </c>
      <c r="AE2">
        <f>(SUMIFS('Cost Breakdowns'!$E$3:$E$22,'Cost Breakdowns'!$A$3:$A$22,'SoBCaICbIC-urbanresidential'!$A2,'Cost Breakdowns'!$F$3:$F$22,"ISIC 352T353"))</f>
        <v>0</v>
      </c>
      <c r="AF2">
        <f>(SUMIFS('Cost Breakdowns'!$E$3:$E$22,'Cost Breakdowns'!$A$3:$A$22,'SoBCaICbIC-urbanresidential'!$A2,'Cost Breakdowns'!$F$3:$F$22,"ISIC 36T39"))</f>
        <v>0</v>
      </c>
      <c r="AG2">
        <f>(SUMIFS('Cost Breakdowns'!$E$3:$E$22,'Cost Breakdowns'!$A$3:$A$22,'SoBCaICbIC-urbanresidential'!$A2,'Cost Breakdowns'!$F$3:$F$22,"ISIC 41T43"))</f>
        <v>0.29601249724965595</v>
      </c>
      <c r="AH2">
        <f>(SUMIFS('Cost Breakdowns'!$E$3:$E$22,'Cost Breakdowns'!$A$3:$A$22,'SoBCaICbIC-urbanresidential'!$A2,'Cost Breakdowns'!$F$3:$F$22,"ISIC 45T47"))</f>
        <v>0.21006811713420687</v>
      </c>
      <c r="AI2">
        <f>(SUMIFS('Cost Breakdowns'!$E$3:$E$22,'Cost Breakdowns'!$A$3:$A$22,'SoBCaICbIC-urbanresidential'!$A2,'Cost Breakdowns'!$F$3:$F$22,"ISIC 49T53"))*'Factors applied'!$E$58+SUMIFS('Cost Breakdowns'!$E$3:$E$22,'Cost Breakdowns'!$A$3:$A$22,'SoBCaICbIC-urbanresidential'!$A2,'Cost Breakdowns'!$F$3:$F$22,"ISIC 49")</f>
        <v>1.3776419321688462E-2</v>
      </c>
      <c r="AJ2">
        <f>(SUMIFS('Cost Breakdowns'!$E$3:$E$22,'Cost Breakdowns'!$A$3:$A$22,'SoBCaICbIC-urbanresidential'!$A2,'Cost Breakdowns'!$F$3:$F$22,"ISIC 49T53"))*'Factors applied'!$E$59</f>
        <v>0</v>
      </c>
      <c r="AK2">
        <f>(SUMIFS('Cost Breakdowns'!$E$3:$E$22,'Cost Breakdowns'!$A$3:$A$22,'SoBCaICbIC-urbanresidential'!$A2,'Cost Breakdowns'!$F$3:$F$22,"ISIC 49T53"))*'Factors applied'!$E$60</f>
        <v>0</v>
      </c>
      <c r="AL2">
        <f>(SUMIFS('Cost Breakdowns'!$E$3:$E$22,'Cost Breakdowns'!$A$3:$A$22,'SoBCaICbIC-urbanresidential'!$A2,'Cost Breakdowns'!$F$3:$F$22,"ISIC 49T53"))*'Factors applied'!$E$61</f>
        <v>0</v>
      </c>
      <c r="AM2">
        <f>(SUMIFS('Cost Breakdowns'!$E$3:$E$22,'Cost Breakdowns'!$A$3:$A$22,'SoBCaICbIC-urbanresidential'!$A2,'Cost Breakdowns'!$F$3:$F$22,"ISIC 49T53"))*'Factors applied'!$E$62</f>
        <v>0</v>
      </c>
      <c r="AN2">
        <f>(SUMIFS('Cost Breakdowns'!$E$3:$E$22,'Cost Breakdowns'!$A$3:$A$22,'SoBCaICbIC-urbanresidential'!$A2,'Cost Breakdowns'!$F$3:$F$22,"ISIC 55T56"))</f>
        <v>0</v>
      </c>
      <c r="AO2">
        <f>(SUMIFS('Cost Breakdowns'!$E$3:$E$22,'Cost Breakdowns'!$A$3:$A$22,'SoBCaICbIC-urbanresidential'!$A2,'Cost Breakdowns'!$F$3:$F$22,"ISIC 58T60"))</f>
        <v>0</v>
      </c>
      <c r="AP2">
        <f>(SUMIFS('Cost Breakdowns'!$E$3:$E$22,'Cost Breakdowns'!$A$3:$A$22,'SoBCaICbIC-urbanresidential'!$A2,'Cost Breakdowns'!$F$3:$F$22,"ISIC 61"))</f>
        <v>0</v>
      </c>
      <c r="AQ2">
        <f>(SUMIFS('Cost Breakdowns'!$E$3:$E$22,'Cost Breakdowns'!$A$3:$A$22,'SoBCaICbIC-urbanresidential'!$A2,'Cost Breakdowns'!$F$3:$F$22,"ISIC 62T63"))</f>
        <v>0</v>
      </c>
      <c r="AR2">
        <f>(SUMIFS('Cost Breakdowns'!$E$3:$E$22,'Cost Breakdowns'!$A$3:$A$22,'SoBCaICbIC-urbanresidential'!$A2,'Cost Breakdowns'!$F$3:$F$22,"ISIC 64T66"))</f>
        <v>0</v>
      </c>
      <c r="AS2">
        <f>(SUMIFS('Cost Breakdowns'!$E$3:$E$22,'Cost Breakdowns'!$A$3:$A$22,'SoBCaICbIC-urbanresidential'!$A2,'Cost Breakdowns'!$F$3:$F$22,"ISIC 68"))</f>
        <v>0</v>
      </c>
      <c r="AT2">
        <f>(SUMIFS('Cost Breakdowns'!$E$3:$E$22,'Cost Breakdowns'!$A$3:$A$22,'SoBCaICbIC-urbanresidential'!$A2,'Cost Breakdowns'!$F$3:$F$22,"ISIC 69T82"))*'Factors applied'!$E$63</f>
        <v>0</v>
      </c>
      <c r="AU2">
        <f>(SUMIFS('Cost Breakdowns'!$E$3:$E$22,'Cost Breakdowns'!$A$3:$A$22,'SoBCaICbIC-urbanresidential'!$A2,'Cost Breakdowns'!$F$3:$F$22,"ISIC 69T82"))*'Factors applied'!$E$64</f>
        <v>0</v>
      </c>
      <c r="AV2">
        <f>(SUMIFS('Cost Breakdowns'!$E$3:$E$22,'Cost Breakdowns'!$A$3:$A$22,'SoBCaICbIC-urbanresidential'!$A2,'Cost Breakdowns'!$F$3:$F$22,"ISIC 84"))</f>
        <v>0</v>
      </c>
      <c r="AW2">
        <f>(SUMIFS('Cost Breakdowns'!$E$3:$E$22,'Cost Breakdowns'!$A$3:$A$22,'SoBCaICbIC-urbanresidential'!$A2,'Cost Breakdowns'!$F$3:$F$22,"ISIC 85"))</f>
        <v>0</v>
      </c>
      <c r="AX2">
        <f>(SUMIFS('Cost Breakdowns'!$E$3:$E$22,'Cost Breakdowns'!$A$3:$A$22,'SoBCaICbIC-urbanresidential'!$A2,'Cost Breakdowns'!$F$3:$F$22,"ISIC 86T88"))</f>
        <v>0</v>
      </c>
      <c r="AY2">
        <f>(SUMIFS('Cost Breakdowns'!$E$3:$E$22,'Cost Breakdowns'!$A$3:$A$22,'SoBCaICbIC-urbanresidential'!$A2,'Cost Breakdowns'!$F$3:$F$22,"ISIC 90T96"))*'Factors applied'!$E$65</f>
        <v>0</v>
      </c>
      <c r="AZ2">
        <f>(SUMIFS('Cost Breakdowns'!$E$3:$E$22,'Cost Breakdowns'!$A$3:$A$22,'SoBCaICbIC-urbanresidential'!$A2,'Cost Breakdowns'!$F$3:$F$22,"ISIC 90T96"))*'Factors applied'!$E$66</f>
        <v>0</v>
      </c>
      <c r="BA2">
        <f>(SUMIFS('Cost Breakdowns'!$E$3:$E$22,'Cost Breakdowns'!$A$3:$A$22,'SoBCaICbIC-urbanresidential'!$A2,'Cost Breakdowns'!$F$3:$F$22,"ISIC 97T98"))</f>
        <v>0</v>
      </c>
    </row>
    <row r="3" spans="1:53" x14ac:dyDescent="0.25">
      <c r="A3" t="s">
        <v>65</v>
      </c>
      <c r="B3">
        <f>(SUMIFS('Cost Breakdowns'!$E$3:$E$22,'Cost Breakdowns'!$A$3:$A$22,'SoBCaICbIC-urbanresidential'!$A3,'Cost Breakdowns'!$F$3:$F$22,"ISIC 01T03"))*'Factors applied'!$E$19</f>
        <v>0</v>
      </c>
      <c r="C3">
        <f>(SUMIFS('Cost Breakdowns'!$E$3:$E$22,'Cost Breakdowns'!$A$3:$A$22,'SoBCaICbIC-urbanresidential'!$A3,'Cost Breakdowns'!$F$3:$F$22,"ISIC 01T03"))*'Factors applied'!$E$20</f>
        <v>0</v>
      </c>
      <c r="D3">
        <f>(SUMIFS('Cost Breakdowns'!$E$3:$E$22,'Cost Breakdowns'!$A$3:$A$22,'SoBCaICbIC-urbanresidential'!$A3,'Cost Breakdowns'!$F$3:$F$22,"ISIC 01T03"))*'Factors applied'!$E$21</f>
        <v>0</v>
      </c>
      <c r="E3">
        <f>(SUMIFS('Cost Breakdowns'!$E$3:$E$22,'Cost Breakdowns'!$A$3:$A$22,'SoBCaICbIC-urbanresidential'!$A3,'Cost Breakdowns'!$F$3:$F$22,"ISIC 05"))</f>
        <v>0</v>
      </c>
      <c r="F3">
        <f>(SUMIFS('Cost Breakdowns'!$E$3:$E$22,'Cost Breakdowns'!$A$3:$A$22,'SoBCaICbIC-urbanresidential'!$A3,'Cost Breakdowns'!$F$3:$F$22,"ISIC 06"))</f>
        <v>0</v>
      </c>
      <c r="G3">
        <f>(SUMIFS('Cost Breakdowns'!$E$3:$E$22,'Cost Breakdowns'!$A$3:$A$22,'SoBCaICbIC-urbanresidential'!$A3,'Cost Breakdowns'!$F$3:$F$22,"ISIC 07T08"))*'Factors applied'!$E$22</f>
        <v>0</v>
      </c>
      <c r="H3">
        <f>(SUMIFS('Cost Breakdowns'!$E$3:$E$22,'Cost Breakdowns'!$A$3:$A$22,'SoBCaICbIC-urbanresidential'!$A3,'Cost Breakdowns'!$F$3:$F$22,"ISIC 07T08"))*'Factors applied'!$E$23</f>
        <v>0</v>
      </c>
      <c r="I3">
        <f>(SUMIFS('Cost Breakdowns'!$E$3:$E$22,'Cost Breakdowns'!$A$3:$A$22,'SoBCaICbIC-urbanresidential'!$A3,'Cost Breakdowns'!$F$3:$F$22,"ISIC 09"))</f>
        <v>0</v>
      </c>
      <c r="J3">
        <f>(SUMIFS('Cost Breakdowns'!$E$3:$E$22,'Cost Breakdowns'!$A$3:$A$22,'SoBCaICbIC-urbanresidential'!$A3,'Cost Breakdowns'!$F$3:$F$22,"ISIC 10T12"))</f>
        <v>0</v>
      </c>
      <c r="K3">
        <f>(SUMIFS('Cost Breakdowns'!$E$3:$E$22,'Cost Breakdowns'!$A$3:$A$22,'SoBCaICbIC-urbanresidential'!$A3,'Cost Breakdowns'!$F$3:$F$22,"ISIC 13T15"))</f>
        <v>0</v>
      </c>
      <c r="L3">
        <f>(SUMIFS('Cost Breakdowns'!$E$3:$E$22,'Cost Breakdowns'!$A$3:$A$22,'SoBCaICbIC-urbanresidential'!$A3,'Cost Breakdowns'!$F$3:$F$22,"ISIC 16"))</f>
        <v>0</v>
      </c>
      <c r="M3">
        <f>(SUMIFS('Cost Breakdowns'!$E$3:$E$22,'Cost Breakdowns'!$A$3:$A$22,'SoBCaICbIC-urbanresidential'!$A3,'Cost Breakdowns'!$F$3:$F$22,"ISIC 17T18"))</f>
        <v>0</v>
      </c>
      <c r="N3">
        <f>(SUMIFS('Cost Breakdowns'!$E$3:$E$22,'Cost Breakdowns'!$A$3:$A$22,'SoBCaICbIC-urbanresidential'!$A3,'Cost Breakdowns'!$F$3:$F$22,"ISIC 19"))</f>
        <v>0</v>
      </c>
      <c r="O3">
        <f>(SUMIFS('Cost Breakdowns'!$E$3:$E$22,'Cost Breakdowns'!$A$3:$A$22,'SoBCaICbIC-urbanresidential'!$A3,'Cost Breakdowns'!$F$3:$F$22,"ISIC 20"))</f>
        <v>0</v>
      </c>
      <c r="P3">
        <f>(SUMIFS('Cost Breakdowns'!$E$3:$E$22,'Cost Breakdowns'!$A$3:$A$22,'SoBCaICbIC-urbanresidential'!$A3,'Cost Breakdowns'!$F$3:$F$22,"ISIC 21"))</f>
        <v>0</v>
      </c>
      <c r="Q3">
        <f>(SUMIFS('Cost Breakdowns'!$E$3:$E$22,'Cost Breakdowns'!$A$3:$A$22,'SoBCaICbIC-urbanresidential'!$A3,'Cost Breakdowns'!$F$3:$F$22,"ISIC 22"))</f>
        <v>0</v>
      </c>
      <c r="R3">
        <f>(SUMIFS('Cost Breakdowns'!$E$3:$E$22,'Cost Breakdowns'!$A$3:$A$22,'SoBCaICbIC-urbanresidential'!$A3,'Cost Breakdowns'!$F$3:$F$22,"ISIC 231"))</f>
        <v>0</v>
      </c>
      <c r="S3">
        <f>(SUMIFS('Cost Breakdowns'!$E$3:$E$22,'Cost Breakdowns'!$A$3:$A$22,'SoBCaICbIC-urbanresidential'!$A3,'Cost Breakdowns'!$F$3:$F$22,"ISIC 239"))</f>
        <v>0</v>
      </c>
      <c r="T3">
        <f>(SUMIFS('Cost Breakdowns'!$E$3:$E$22,'Cost Breakdowns'!$A$3:$A$22,'SoBCaICbIC-urbanresidential'!$A3,'Cost Breakdowns'!$F$3:$F$22,"ISIC 241"))</f>
        <v>0</v>
      </c>
      <c r="U3">
        <f>(SUMIFS('Cost Breakdowns'!$E$3:$E$22,'Cost Breakdowns'!$A$3:$A$22,'SoBCaICbIC-urbanresidential'!$A3,'Cost Breakdowns'!$F$3:$F$22,"ISIC 242"))</f>
        <v>0</v>
      </c>
      <c r="V3">
        <f>(SUMIFS('Cost Breakdowns'!$E$3:$E$22,'Cost Breakdowns'!$A$3:$A$22,'SoBCaICbIC-urbanresidential'!$A3,'Cost Breakdowns'!$F$3:$F$22,"ISIC 25"))</f>
        <v>0</v>
      </c>
      <c r="W3">
        <f>(SUMIFS('Cost Breakdowns'!$E$3:$E$22,'Cost Breakdowns'!$A$3:$A$22,'SoBCaICbIC-urbanresidential'!$A3,'Cost Breakdowns'!$F$3:$F$22,"ISIC 26"))</f>
        <v>0</v>
      </c>
      <c r="X3">
        <f>(SUMIFS('Cost Breakdowns'!$E$3:$E$22,'Cost Breakdowns'!$A$3:$A$22,'SoBCaICbIC-urbanresidential'!$A3,'Cost Breakdowns'!$F$3:$F$22,"ISIC 27"))</f>
        <v>0</v>
      </c>
      <c r="Y3">
        <f>(SUMIFS('Cost Breakdowns'!$E$3:$E$22,'Cost Breakdowns'!$A$3:$A$22,'SoBCaICbIC-urbanresidential'!$A3,'Cost Breakdowns'!$F$3:$F$22,"ISIC 28"))</f>
        <v>0.39823637535431444</v>
      </c>
      <c r="Z3">
        <f>(SUMIFS('Cost Breakdowns'!$E$3:$E$22,'Cost Breakdowns'!$A$3:$A$22,'SoBCaICbIC-urbanresidential'!$A3,'Cost Breakdowns'!$F$3:$F$22,"ISIC 29"))</f>
        <v>0</v>
      </c>
      <c r="AA3">
        <f>(SUMIFS('Cost Breakdowns'!$E$3:$E$22,'Cost Breakdowns'!$A$3:$A$22,'SoBCaICbIC-urbanresidential'!$A3,'Cost Breakdowns'!$F$3:$F$22,"ISIC 30"))*'Factors applied'!$E$24</f>
        <v>0</v>
      </c>
      <c r="AB3">
        <f>(SUMIFS('Cost Breakdowns'!$E$3:$E$22,'Cost Breakdowns'!$A$3:$A$22,'SoBCaICbIC-urbanresidential'!$A3,'Cost Breakdowns'!$F$3:$F$22,"ISIC 30"))*'Factors applied'!$E$25</f>
        <v>0</v>
      </c>
      <c r="AC3">
        <f>(SUMIFS('Cost Breakdowns'!$E$3:$E$22,'Cost Breakdowns'!$A$3:$A$22,'SoBCaICbIC-urbanresidential'!$A3,'Cost Breakdowns'!$F$3:$F$22,"ISIC 31T33"))</f>
        <v>0</v>
      </c>
      <c r="AD3">
        <f>(SUMIFS('Cost Breakdowns'!$E$3:$E$22,'Cost Breakdowns'!$A$3:$A$22,'SoBCaICbIC-urbanresidential'!$A3,'Cost Breakdowns'!$F$3:$F$22,"ISIC 351"))</f>
        <v>0</v>
      </c>
      <c r="AE3">
        <f>(SUMIFS('Cost Breakdowns'!$E$3:$E$22,'Cost Breakdowns'!$A$3:$A$22,'SoBCaICbIC-urbanresidential'!$A3,'Cost Breakdowns'!$F$3:$F$22,"ISIC 352T353"))</f>
        <v>0</v>
      </c>
      <c r="AF3">
        <f>(SUMIFS('Cost Breakdowns'!$E$3:$E$22,'Cost Breakdowns'!$A$3:$A$22,'SoBCaICbIC-urbanresidential'!$A3,'Cost Breakdowns'!$F$3:$F$22,"ISIC 36T39"))</f>
        <v>0</v>
      </c>
      <c r="AG3">
        <f>(SUMIFS('Cost Breakdowns'!$E$3:$E$22,'Cost Breakdowns'!$A$3:$A$22,'SoBCaICbIC-urbanresidential'!$A3,'Cost Breakdowns'!$F$3:$F$22,"ISIC 41T43"))</f>
        <v>0.4201698897530628</v>
      </c>
      <c r="AH3">
        <f>(SUMIFS('Cost Breakdowns'!$E$3:$E$22,'Cost Breakdowns'!$A$3:$A$22,'SoBCaICbIC-urbanresidential'!$A3,'Cost Breakdowns'!$F$3:$F$22,"ISIC 45T47"))</f>
        <v>0.17019402223955421</v>
      </c>
      <c r="AI3">
        <f>(SUMIFS('Cost Breakdowns'!$E$3:$E$22,'Cost Breakdowns'!$A$3:$A$22,'SoBCaICbIC-urbanresidential'!$A3,'Cost Breakdowns'!$F$3:$F$22,"ISIC 49T53"))*'Factors applied'!$E$26+SUMIFS('Cost Breakdowns'!$E$3:$E$22,'Cost Breakdowns'!$A$3:$A$22,'SoBCaICbIC-urbanresidential'!$A3,'Cost Breakdowns'!$F$3:$F$22,"ISIC 49")</f>
        <v>1.1399712653068586E-2</v>
      </c>
      <c r="AJ3">
        <f>(SUMIFS('Cost Breakdowns'!$E$3:$E$22,'Cost Breakdowns'!$A$3:$A$22,'SoBCaICbIC-urbanresidential'!$A3,'Cost Breakdowns'!$F$3:$F$22,"ISIC 49T53"))*'Factors applied'!$E$27</f>
        <v>0</v>
      </c>
      <c r="AK3">
        <f>(SUMIFS('Cost Breakdowns'!$E$3:$E$22,'Cost Breakdowns'!$A$3:$A$22,'SoBCaICbIC-urbanresidential'!$A3,'Cost Breakdowns'!$F$3:$F$22,"ISIC 49T53"))*'Factors applied'!$E$28</f>
        <v>0</v>
      </c>
      <c r="AL3">
        <f>(SUMIFS('Cost Breakdowns'!$E$3:$E$22,'Cost Breakdowns'!$A$3:$A$22,'SoBCaICbIC-urbanresidential'!$A3,'Cost Breakdowns'!$F$3:$F$22,"ISIC 49T53"))*'Factors applied'!$E$29</f>
        <v>0</v>
      </c>
      <c r="AM3">
        <f>(SUMIFS('Cost Breakdowns'!$E$3:$E$22,'Cost Breakdowns'!$A$3:$A$22,'SoBCaICbIC-urbanresidential'!$A3,'Cost Breakdowns'!$F$3:$F$22,"ISIC 49T53"))*'Factors applied'!$E$30</f>
        <v>0</v>
      </c>
      <c r="AN3">
        <f>(SUMIFS('Cost Breakdowns'!$E$3:$E$22,'Cost Breakdowns'!$A$3:$A$22,'SoBCaICbIC-urbanresidential'!$A3,'Cost Breakdowns'!$F$3:$F$22,"ISIC 55T56"))</f>
        <v>0</v>
      </c>
      <c r="AO3">
        <f>(SUMIFS('Cost Breakdowns'!$E$3:$E$22,'Cost Breakdowns'!$A$3:$A$22,'SoBCaICbIC-urbanresidential'!$A3,'Cost Breakdowns'!$F$3:$F$22,"ISIC 58T60"))</f>
        <v>0</v>
      </c>
      <c r="AP3">
        <f>(SUMIFS('Cost Breakdowns'!$E$3:$E$22,'Cost Breakdowns'!$A$3:$A$22,'SoBCaICbIC-urbanresidential'!$A3,'Cost Breakdowns'!$F$3:$F$22,"ISIC 61"))</f>
        <v>0</v>
      </c>
      <c r="AQ3">
        <f>(SUMIFS('Cost Breakdowns'!$E$3:$E$22,'Cost Breakdowns'!$A$3:$A$22,'SoBCaICbIC-urbanresidential'!$A3,'Cost Breakdowns'!$F$3:$F$22,"ISIC 62T63"))</f>
        <v>0</v>
      </c>
      <c r="AR3">
        <f>(SUMIFS('Cost Breakdowns'!$E$3:$E$22,'Cost Breakdowns'!$A$3:$A$22,'SoBCaICbIC-urbanresidential'!$A3,'Cost Breakdowns'!$F$3:$F$22,"ISIC 64T66"))</f>
        <v>0</v>
      </c>
      <c r="AS3">
        <f>(SUMIFS('Cost Breakdowns'!$E$3:$E$22,'Cost Breakdowns'!$A$3:$A$22,'SoBCaICbIC-urbanresidential'!$A3,'Cost Breakdowns'!$F$3:$F$22,"ISIC 68"))</f>
        <v>0</v>
      </c>
      <c r="AT3">
        <f>(SUMIFS('Cost Breakdowns'!$E$3:$E$22,'Cost Breakdowns'!$A$3:$A$22,'SoBCaICbIC-urbanresidential'!$A3,'Cost Breakdowns'!$F$3:$F$22,"ISIC 69T82"))*'Factors applied'!$E$31</f>
        <v>0</v>
      </c>
      <c r="AU3">
        <f>(SUMIFS('Cost Breakdowns'!$E$3:$E$22,'Cost Breakdowns'!$A$3:$A$22,'SoBCaICbIC-urbanresidential'!$A3,'Cost Breakdowns'!$F$3:$F$22,"ISIC 69T82"))*'Factors applied'!$E$32</f>
        <v>0</v>
      </c>
      <c r="AV3">
        <f>(SUMIFS('Cost Breakdowns'!$E$3:$E$22,'Cost Breakdowns'!$A$3:$A$22,'SoBCaICbIC-urbanresidential'!$A3,'Cost Breakdowns'!$F$3:$F$22,"ISIC 84"))</f>
        <v>0</v>
      </c>
      <c r="AW3">
        <f>(SUMIFS('Cost Breakdowns'!$E$3:$E$22,'Cost Breakdowns'!$A$3:$A$22,'SoBCaICbIC-urbanresidential'!$A3,'Cost Breakdowns'!$F$3:$F$22,"ISIC 85"))</f>
        <v>0</v>
      </c>
      <c r="AX3">
        <f>(SUMIFS('Cost Breakdowns'!$E$3:$E$22,'Cost Breakdowns'!$A$3:$A$22,'SoBCaICbIC-urbanresidential'!$A3,'Cost Breakdowns'!$F$3:$F$22,"ISIC 86T88"))</f>
        <v>0</v>
      </c>
      <c r="AY3">
        <f>(SUMIFS('Cost Breakdowns'!$E$3:$E$22,'Cost Breakdowns'!$A$3:$A$22,'SoBCaICbIC-urbanresidential'!$A3,'Cost Breakdowns'!$F$3:$F$22,"ISIC 90T96"))*'Factors applied'!$E$33</f>
        <v>0</v>
      </c>
      <c r="AZ3">
        <f>(SUMIFS('Cost Breakdowns'!$E$3:$E$22,'Cost Breakdowns'!$A$3:$A$22,'SoBCaICbIC-urbanresidential'!$A3,'Cost Breakdowns'!$F$3:$F$22,"ISIC 90T96"))*'Factors applied'!$E$34</f>
        <v>0</v>
      </c>
      <c r="BA3">
        <f>(SUMIFS('Cost Breakdowns'!$E$3:$E$22,'Cost Breakdowns'!$A$3:$A$22,'SoBCaICbIC-urbanresidential'!$A3,'Cost Breakdowns'!$F$3:$F$22,"ISIC 97T98"))</f>
        <v>0</v>
      </c>
    </row>
    <row r="4" spans="1:53" x14ac:dyDescent="0.25">
      <c r="A4" t="s">
        <v>66</v>
      </c>
      <c r="B4">
        <f>(SUMIFS('Cost Breakdowns'!$E$3:$E$22,'Cost Breakdowns'!$A$3:$A$22,'SoBCaICbIC-urbanresidential'!$A4,'Cost Breakdowns'!$F$3:$F$22,"ISIC 01T03"))*'Factors applied'!$E$35</f>
        <v>0</v>
      </c>
      <c r="C4">
        <f>(SUMIFS('Cost Breakdowns'!$E$3:$E$22,'Cost Breakdowns'!$A$3:$A$22,'SoBCaICbIC-urbanresidential'!$A4,'Cost Breakdowns'!$F$3:$F$22,"ISIC 01T03"))*'Factors applied'!$E$36</f>
        <v>0</v>
      </c>
      <c r="D4">
        <f>(SUMIFS('Cost Breakdowns'!$E$3:$E$22,'Cost Breakdowns'!$A$3:$A$22,'SoBCaICbIC-urbanresidential'!$A4,'Cost Breakdowns'!$F$3:$F$22,"ISIC 01T03"))*'Factors applied'!$E$37</f>
        <v>0</v>
      </c>
      <c r="E4">
        <f>(SUMIFS('Cost Breakdowns'!$E$3:$E$22,'Cost Breakdowns'!$A$3:$A$22,'SoBCaICbIC-urbanresidential'!$A4,'Cost Breakdowns'!$F$3:$F$22,"ISIC 05"))</f>
        <v>0</v>
      </c>
      <c r="F4">
        <f>(SUMIFS('Cost Breakdowns'!$E$3:$E$22,'Cost Breakdowns'!$A$3:$A$22,'SoBCaICbIC-urbanresidential'!$A4,'Cost Breakdowns'!$F$3:$F$22,"ISIC 06"))</f>
        <v>0</v>
      </c>
      <c r="G4">
        <f>(SUMIFS('Cost Breakdowns'!$E$3:$E$22,'Cost Breakdowns'!$A$3:$A$22,'SoBCaICbIC-urbanresidential'!$A4,'Cost Breakdowns'!$F$3:$F$22,"ISIC 07T08"))*'Factors applied'!$E$38</f>
        <v>0</v>
      </c>
      <c r="H4">
        <f>(SUMIFS('Cost Breakdowns'!$E$3:$E$22,'Cost Breakdowns'!$A$3:$A$22,'SoBCaICbIC-urbanresidential'!$A4,'Cost Breakdowns'!$F$3:$F$22,"ISIC 07T08"))*'Factors applied'!$E$39</f>
        <v>0</v>
      </c>
      <c r="I4">
        <f>(SUMIFS('Cost Breakdowns'!$E$3:$E$22,'Cost Breakdowns'!$A$3:$A$22,'SoBCaICbIC-urbanresidential'!$A4,'Cost Breakdowns'!$F$3:$F$22,"ISIC 09"))</f>
        <v>0</v>
      </c>
      <c r="J4">
        <f>(SUMIFS('Cost Breakdowns'!$E$3:$E$22,'Cost Breakdowns'!$A$3:$A$22,'SoBCaICbIC-urbanresidential'!$A4,'Cost Breakdowns'!$F$3:$F$22,"ISIC 10T12"))</f>
        <v>0</v>
      </c>
      <c r="K4">
        <f>(SUMIFS('Cost Breakdowns'!$E$3:$E$22,'Cost Breakdowns'!$A$3:$A$22,'SoBCaICbIC-urbanresidential'!$A4,'Cost Breakdowns'!$F$3:$F$22,"ISIC 13T15"))</f>
        <v>0</v>
      </c>
      <c r="L4">
        <f>(SUMIFS('Cost Breakdowns'!$E$3:$E$22,'Cost Breakdowns'!$A$3:$A$22,'SoBCaICbIC-urbanresidential'!$A4,'Cost Breakdowns'!$F$3:$F$22,"ISIC 16"))</f>
        <v>0</v>
      </c>
      <c r="M4">
        <f>(SUMIFS('Cost Breakdowns'!$E$3:$E$22,'Cost Breakdowns'!$A$3:$A$22,'SoBCaICbIC-urbanresidential'!$A4,'Cost Breakdowns'!$F$3:$F$22,"ISIC 17T18"))</f>
        <v>0</v>
      </c>
      <c r="N4">
        <f>(SUMIFS('Cost Breakdowns'!$E$3:$E$22,'Cost Breakdowns'!$A$3:$A$22,'SoBCaICbIC-urbanresidential'!$A4,'Cost Breakdowns'!$F$3:$F$22,"ISIC 19"))</f>
        <v>0</v>
      </c>
      <c r="O4">
        <f>(SUMIFS('Cost Breakdowns'!$E$3:$E$22,'Cost Breakdowns'!$A$3:$A$22,'SoBCaICbIC-urbanresidential'!$A4,'Cost Breakdowns'!$F$3:$F$22,"ISIC 20"))</f>
        <v>0</v>
      </c>
      <c r="P4">
        <f>(SUMIFS('Cost Breakdowns'!$E$3:$E$22,'Cost Breakdowns'!$A$3:$A$22,'SoBCaICbIC-urbanresidential'!$A4,'Cost Breakdowns'!$F$3:$F$22,"ISIC 21"))</f>
        <v>0</v>
      </c>
      <c r="Q4">
        <f>(SUMIFS('Cost Breakdowns'!$E$3:$E$22,'Cost Breakdowns'!$A$3:$A$22,'SoBCaICbIC-urbanresidential'!$A4,'Cost Breakdowns'!$F$3:$F$22,"ISIC 22"))</f>
        <v>0</v>
      </c>
      <c r="R4">
        <f>(SUMIFS('Cost Breakdowns'!$E$3:$E$22,'Cost Breakdowns'!$A$3:$A$22,'SoBCaICbIC-urbanresidential'!$A4,'Cost Breakdowns'!$F$3:$F$22,"ISIC 231"))</f>
        <v>0</v>
      </c>
      <c r="S4">
        <f>(SUMIFS('Cost Breakdowns'!$E$3:$E$22,'Cost Breakdowns'!$A$3:$A$22,'SoBCaICbIC-urbanresidential'!$A4,'Cost Breakdowns'!$F$3:$F$22,"ISIC 239"))</f>
        <v>0</v>
      </c>
      <c r="T4">
        <f>(SUMIFS('Cost Breakdowns'!$E$3:$E$22,'Cost Breakdowns'!$A$3:$A$22,'SoBCaICbIC-urbanresidential'!$A4,'Cost Breakdowns'!$F$3:$F$22,"ISIC 241"))</f>
        <v>0</v>
      </c>
      <c r="U4">
        <f>(SUMIFS('Cost Breakdowns'!$E$3:$E$22,'Cost Breakdowns'!$A$3:$A$22,'SoBCaICbIC-urbanresidential'!$A4,'Cost Breakdowns'!$F$3:$F$22,"ISIC 242"))</f>
        <v>0</v>
      </c>
      <c r="V4">
        <f>(SUMIFS('Cost Breakdowns'!$E$3:$E$22,'Cost Breakdowns'!$A$3:$A$22,'SoBCaICbIC-urbanresidential'!$A4,'Cost Breakdowns'!$F$3:$F$22,"ISIC 25"))</f>
        <v>0</v>
      </c>
      <c r="W4">
        <f>(SUMIFS('Cost Breakdowns'!$E$3:$E$22,'Cost Breakdowns'!$A$3:$A$22,'SoBCaICbIC-urbanresidential'!$A4,'Cost Breakdowns'!$F$3:$F$22,"ISIC 26"))</f>
        <v>0</v>
      </c>
      <c r="X4">
        <f>(SUMIFS('Cost Breakdowns'!$E$3:$E$22,'Cost Breakdowns'!$A$3:$A$22,'SoBCaICbIC-urbanresidential'!$A4,'Cost Breakdowns'!$F$3:$F$22,"ISIC 27"))</f>
        <v>0</v>
      </c>
      <c r="Y4">
        <f>(SUMIFS('Cost Breakdowns'!$E$3:$E$22,'Cost Breakdowns'!$A$3:$A$22,'SoBCaICbIC-urbanresidential'!$A4,'Cost Breakdowns'!$F$3:$F$22,"ISIC 28"))</f>
        <v>0</v>
      </c>
      <c r="Z4">
        <f>(SUMIFS('Cost Breakdowns'!$E$3:$E$22,'Cost Breakdowns'!$A$3:$A$22,'SoBCaICbIC-urbanresidential'!$A4,'Cost Breakdowns'!$F$3:$F$22,"ISIC 29"))</f>
        <v>0</v>
      </c>
      <c r="AA4">
        <f>(SUMIFS('Cost Breakdowns'!$E$3:$E$22,'Cost Breakdowns'!$A$3:$A$22,'SoBCaICbIC-urbanresidential'!$A4,'Cost Breakdowns'!$F$3:$F$22,"ISIC 30"))*'Factors applied'!$E$40</f>
        <v>0</v>
      </c>
      <c r="AB4">
        <f>(SUMIFS('Cost Breakdowns'!$E$3:$E$22,'Cost Breakdowns'!$A$3:$A$22,'SoBCaICbIC-urbanresidential'!$A4,'Cost Breakdowns'!$F$3:$F$22,"ISIC 30"))*'Factors applied'!$E$41</f>
        <v>0</v>
      </c>
      <c r="AC4">
        <f>(SUMIFS('Cost Breakdowns'!$E$3:$E$22,'Cost Breakdowns'!$A$3:$A$22,'SoBCaICbIC-urbanresidential'!$A4,'Cost Breakdowns'!$F$3:$F$22,"ISIC 31T33"))</f>
        <v>0</v>
      </c>
      <c r="AD4">
        <f>(SUMIFS('Cost Breakdowns'!$E$3:$E$22,'Cost Breakdowns'!$A$3:$A$22,'SoBCaICbIC-urbanresidential'!$A4,'Cost Breakdowns'!$F$3:$F$22,"ISIC 351"))</f>
        <v>0</v>
      </c>
      <c r="AE4">
        <f>(SUMIFS('Cost Breakdowns'!$E$3:$E$22,'Cost Breakdowns'!$A$3:$A$22,'SoBCaICbIC-urbanresidential'!$A4,'Cost Breakdowns'!$F$3:$F$22,"ISIC 352T353"))</f>
        <v>0</v>
      </c>
      <c r="AF4">
        <f>(SUMIFS('Cost Breakdowns'!$E$3:$E$22,'Cost Breakdowns'!$A$3:$A$22,'SoBCaICbIC-urbanresidential'!$A4,'Cost Breakdowns'!$F$3:$F$22,"ISIC 36T39"))</f>
        <v>0</v>
      </c>
      <c r="AG4">
        <f>(SUMIFS('Cost Breakdowns'!$E$3:$E$22,'Cost Breakdowns'!$A$3:$A$22,'SoBCaICbIC-urbanresidential'!$A4,'Cost Breakdowns'!$F$3:$F$22,"ISIC 41T43"))</f>
        <v>0</v>
      </c>
      <c r="AH4">
        <f>(SUMIFS('Cost Breakdowns'!$E$3:$E$22,'Cost Breakdowns'!$A$3:$A$22,'SoBCaICbIC-urbanresidential'!$A4,'Cost Breakdowns'!$F$3:$F$22,"ISIC 45T47"))</f>
        <v>0</v>
      </c>
      <c r="AI4">
        <f>(SUMIFS('Cost Breakdowns'!$E$3:$E$22,'Cost Breakdowns'!$A$3:$A$22,'SoBCaICbIC-urbanresidential'!$A4,'Cost Breakdowns'!$F$3:$F$22,"ISIC 49T53"))*'Factors applied'!$E$42+SUMIFS('Cost Breakdowns'!$E$3:$E$22,'Cost Breakdowns'!$A$3:$A$22,'SoBCaICbIC-urbanresidential'!$A4,'Cost Breakdowns'!$F$3:$F$22,"ISIC 49")</f>
        <v>0</v>
      </c>
      <c r="AJ4">
        <f>(SUMIFS('Cost Breakdowns'!$E$3:$E$22,'Cost Breakdowns'!$A$3:$A$22,'SoBCaICbIC-urbanresidential'!$A4,'Cost Breakdowns'!$F$3:$F$22,"ISIC 49T53"))*'Factors applied'!$E$43</f>
        <v>0</v>
      </c>
      <c r="AK4">
        <f>(SUMIFS('Cost Breakdowns'!$E$3:$E$22,'Cost Breakdowns'!$A$3:$A$22,'SoBCaICbIC-urbanresidential'!$A4,'Cost Breakdowns'!$F$3:$F$22,"ISIC 49T53"))*'Factors applied'!$E$44</f>
        <v>0</v>
      </c>
      <c r="AL4">
        <f>(SUMIFS('Cost Breakdowns'!$E$3:$E$22,'Cost Breakdowns'!$A$3:$A$22,'SoBCaICbIC-urbanresidential'!$A4,'Cost Breakdowns'!$F$3:$F$22,"ISIC 49T53"))*'Factors applied'!$E$45</f>
        <v>0</v>
      </c>
      <c r="AM4">
        <f>(SUMIFS('Cost Breakdowns'!$E$3:$E$22,'Cost Breakdowns'!$A$3:$A$22,'SoBCaICbIC-urbanresidential'!$A4,'Cost Breakdowns'!$F$3:$F$22,"ISIC 49T53"))*'Factors applied'!$E$46</f>
        <v>0</v>
      </c>
      <c r="AN4">
        <f>(SUMIFS('Cost Breakdowns'!$E$3:$E$22,'Cost Breakdowns'!$A$3:$A$22,'SoBCaICbIC-urbanresidential'!$A4,'Cost Breakdowns'!$F$3:$F$22,"ISIC 55T56"))</f>
        <v>0</v>
      </c>
      <c r="AO4">
        <f>(SUMIFS('Cost Breakdowns'!$E$3:$E$22,'Cost Breakdowns'!$A$3:$A$22,'SoBCaICbIC-urbanresidential'!$A4,'Cost Breakdowns'!$F$3:$F$22,"ISIC 58T60"))</f>
        <v>0</v>
      </c>
      <c r="AP4">
        <f>(SUMIFS('Cost Breakdowns'!$E$3:$E$22,'Cost Breakdowns'!$A$3:$A$22,'SoBCaICbIC-urbanresidential'!$A4,'Cost Breakdowns'!$F$3:$F$22,"ISIC 61"))</f>
        <v>0</v>
      </c>
      <c r="AQ4">
        <f>(SUMIFS('Cost Breakdowns'!$E$3:$E$22,'Cost Breakdowns'!$A$3:$A$22,'SoBCaICbIC-urbanresidential'!$A4,'Cost Breakdowns'!$F$3:$F$22,"ISIC 62T63"))</f>
        <v>0</v>
      </c>
      <c r="AR4">
        <f>(SUMIFS('Cost Breakdowns'!$E$3:$E$22,'Cost Breakdowns'!$A$3:$A$22,'SoBCaICbIC-urbanresidential'!$A4,'Cost Breakdowns'!$F$3:$F$22,"ISIC 64T66"))</f>
        <v>0</v>
      </c>
      <c r="AS4">
        <f>(SUMIFS('Cost Breakdowns'!$E$3:$E$22,'Cost Breakdowns'!$A$3:$A$22,'SoBCaICbIC-urbanresidential'!$A4,'Cost Breakdowns'!$F$3:$F$22,"ISIC 68"))</f>
        <v>0</v>
      </c>
      <c r="AT4">
        <f>(SUMIFS('Cost Breakdowns'!$E$3:$E$22,'Cost Breakdowns'!$A$3:$A$22,'SoBCaICbIC-urbanresidential'!$A4,'Cost Breakdowns'!$F$3:$F$22,"ISIC 69T82"))*'Factors applied'!$E$47</f>
        <v>0</v>
      </c>
      <c r="AU4">
        <f>(SUMIFS('Cost Breakdowns'!$E$3:$E$22,'Cost Breakdowns'!$A$3:$A$22,'SoBCaICbIC-urbanresidential'!$A4,'Cost Breakdowns'!$F$3:$F$22,"ISIC 69T82"))*'Factors applied'!$E$48</f>
        <v>0</v>
      </c>
      <c r="AV4">
        <f>(SUMIFS('Cost Breakdowns'!$E$3:$E$22,'Cost Breakdowns'!$A$3:$A$22,'SoBCaICbIC-urbanresidential'!$A4,'Cost Breakdowns'!$F$3:$F$22,"ISIC 84"))</f>
        <v>0</v>
      </c>
      <c r="AW4">
        <f>(SUMIFS('Cost Breakdowns'!$E$3:$E$22,'Cost Breakdowns'!$A$3:$A$22,'SoBCaICbIC-urbanresidential'!$A4,'Cost Breakdowns'!$F$3:$F$22,"ISIC 85"))</f>
        <v>0</v>
      </c>
      <c r="AX4">
        <f>(SUMIFS('Cost Breakdowns'!$E$3:$E$22,'Cost Breakdowns'!$A$3:$A$22,'SoBCaICbIC-urbanresidential'!$A4,'Cost Breakdowns'!$F$3:$F$22,"ISIC 86T88"))</f>
        <v>0</v>
      </c>
      <c r="AY4">
        <f>(SUMIFS('Cost Breakdowns'!$E$3:$E$22,'Cost Breakdowns'!$A$3:$A$22,'SoBCaICbIC-urbanresidential'!$A4,'Cost Breakdowns'!$F$3:$F$22,"ISIC 90T96"))*'Factors applied'!$E$49</f>
        <v>0</v>
      </c>
      <c r="AZ4">
        <f>(SUMIFS('Cost Breakdowns'!$E$3:$E$22,'Cost Breakdowns'!$A$3:$A$22,'SoBCaICbIC-urbanresidential'!$A4,'Cost Breakdowns'!$F$3:$F$22,"ISIC 90T96"))*'Factors applied'!$E$50</f>
        <v>0</v>
      </c>
      <c r="BA4">
        <f>(SUMIFS('Cost Breakdowns'!$E$3:$E$22,'Cost Breakdowns'!$A$3:$A$22,'SoBCaICbIC-urbanresidential'!$A4,'Cost Breakdowns'!$F$3:$F$22,"ISIC 97T98"))</f>
        <v>0</v>
      </c>
    </row>
    <row r="5" spans="1:53" x14ac:dyDescent="0.25">
      <c r="A5" t="s">
        <v>68</v>
      </c>
      <c r="B5">
        <f>(SUMIFS('Cost Breakdowns'!$E$3:$E$22,'Cost Breakdowns'!$A$3:$A$22,'SoBCaICbIC-urbanresidential'!$A5,'Cost Breakdowns'!$F$3:$F$22,"ISIC 01T03"))*'Factors applied'!$E$67</f>
        <v>0</v>
      </c>
      <c r="C5">
        <f>(SUMIFS('Cost Breakdowns'!$E$3:$E$22,'Cost Breakdowns'!$A$3:$A$22,'SoBCaICbIC-urbanresidential'!$A5,'Cost Breakdowns'!$F$3:$F$22,"ISIC 01T03"))*'Factors applied'!$E$68</f>
        <v>0</v>
      </c>
      <c r="D5">
        <f>(SUMIFS('Cost Breakdowns'!$E$3:$E$22,'Cost Breakdowns'!$A$3:$A$22,'SoBCaICbIC-urbanresidential'!$A5,'Cost Breakdowns'!$F$3:$F$22,"ISIC 01T03"))*'Factors applied'!$E$69</f>
        <v>0</v>
      </c>
      <c r="E5">
        <f>(SUMIFS('Cost Breakdowns'!$E$3:$E$22,'Cost Breakdowns'!$A$3:$A$22,'SoBCaICbIC-urbanresidential'!$A5,'Cost Breakdowns'!$F$3:$F$22,"ISIC 05"))</f>
        <v>0</v>
      </c>
      <c r="F5">
        <f>(SUMIFS('Cost Breakdowns'!$E$3:$E$22,'Cost Breakdowns'!$A$3:$A$22,'SoBCaICbIC-urbanresidential'!$A5,'Cost Breakdowns'!$F$3:$F$22,"ISIC 06"))</f>
        <v>0</v>
      </c>
      <c r="G5">
        <f>(SUMIFS('Cost Breakdowns'!$E$3:$E$22,'Cost Breakdowns'!$A$3:$A$22,'SoBCaICbIC-urbanresidential'!$A5,'Cost Breakdowns'!$F$3:$F$22,"ISIC 07T08"))*'Factors applied'!$E$70</f>
        <v>0</v>
      </c>
      <c r="H5">
        <f>(SUMIFS('Cost Breakdowns'!$E$3:$E$22,'Cost Breakdowns'!$A$3:$A$22,'SoBCaICbIC-urbanresidential'!$A5,'Cost Breakdowns'!$F$3:$F$22,"ISIC 07T08"))*'Factors applied'!$E$71</f>
        <v>0</v>
      </c>
      <c r="I5">
        <f>(SUMIFS('Cost Breakdowns'!$E$3:$E$22,'Cost Breakdowns'!$A$3:$A$22,'SoBCaICbIC-urbanresidential'!$A5,'Cost Breakdowns'!$F$3:$F$22,"ISIC 09"))</f>
        <v>0</v>
      </c>
      <c r="J5">
        <f>(SUMIFS('Cost Breakdowns'!$E$3:$E$22,'Cost Breakdowns'!$A$3:$A$22,'SoBCaICbIC-urbanresidential'!$A5,'Cost Breakdowns'!$F$3:$F$22,"ISIC 10T12"))</f>
        <v>0</v>
      </c>
      <c r="K5">
        <f>(SUMIFS('Cost Breakdowns'!$E$3:$E$22,'Cost Breakdowns'!$A$3:$A$22,'SoBCaICbIC-urbanresidential'!$A5,'Cost Breakdowns'!$F$3:$F$22,"ISIC 13T15"))</f>
        <v>0</v>
      </c>
      <c r="L5">
        <f>(SUMIFS('Cost Breakdowns'!$E$3:$E$22,'Cost Breakdowns'!$A$3:$A$22,'SoBCaICbIC-urbanresidential'!$A5,'Cost Breakdowns'!$F$3:$F$22,"ISIC 16"))</f>
        <v>0</v>
      </c>
      <c r="M5">
        <f>(SUMIFS('Cost Breakdowns'!$E$3:$E$22,'Cost Breakdowns'!$A$3:$A$22,'SoBCaICbIC-urbanresidential'!$A5,'Cost Breakdowns'!$F$3:$F$22,"ISIC 17T18"))</f>
        <v>0</v>
      </c>
      <c r="N5">
        <f>(SUMIFS('Cost Breakdowns'!$E$3:$E$22,'Cost Breakdowns'!$A$3:$A$22,'SoBCaICbIC-urbanresidential'!$A5,'Cost Breakdowns'!$F$3:$F$22,"ISIC 19"))</f>
        <v>0</v>
      </c>
      <c r="O5">
        <f>(SUMIFS('Cost Breakdowns'!$E$3:$E$22,'Cost Breakdowns'!$A$3:$A$22,'SoBCaICbIC-urbanresidential'!$A5,'Cost Breakdowns'!$F$3:$F$22,"ISIC 20"))</f>
        <v>0</v>
      </c>
      <c r="P5">
        <f>(SUMIFS('Cost Breakdowns'!$E$3:$E$22,'Cost Breakdowns'!$A$3:$A$22,'SoBCaICbIC-urbanresidential'!$A5,'Cost Breakdowns'!$F$3:$F$22,"ISIC 21"))</f>
        <v>0</v>
      </c>
      <c r="Q5">
        <f>(SUMIFS('Cost Breakdowns'!$E$3:$E$22,'Cost Breakdowns'!$A$3:$A$22,'SoBCaICbIC-urbanresidential'!$A5,'Cost Breakdowns'!$F$3:$F$22,"ISIC 22"))</f>
        <v>0</v>
      </c>
      <c r="R5">
        <f>(SUMIFS('Cost Breakdowns'!$E$3:$E$22,'Cost Breakdowns'!$A$3:$A$22,'SoBCaICbIC-urbanresidential'!$A5,'Cost Breakdowns'!$F$3:$F$22,"ISIC 231"))</f>
        <v>0</v>
      </c>
      <c r="S5">
        <f>(SUMIFS('Cost Breakdowns'!$E$3:$E$22,'Cost Breakdowns'!$A$3:$A$22,'SoBCaICbIC-urbanresidential'!$A5,'Cost Breakdowns'!$F$3:$F$22,"ISIC 239"))</f>
        <v>0</v>
      </c>
      <c r="T5">
        <f>(SUMIFS('Cost Breakdowns'!$E$3:$E$22,'Cost Breakdowns'!$A$3:$A$22,'SoBCaICbIC-urbanresidential'!$A5,'Cost Breakdowns'!$F$3:$F$22,"ISIC 241"))</f>
        <v>0</v>
      </c>
      <c r="U5">
        <f>(SUMIFS('Cost Breakdowns'!$E$3:$E$22,'Cost Breakdowns'!$A$3:$A$22,'SoBCaICbIC-urbanresidential'!$A5,'Cost Breakdowns'!$F$3:$F$22,"ISIC 242"))</f>
        <v>0</v>
      </c>
      <c r="V5">
        <f>(SUMIFS('Cost Breakdowns'!$E$3:$E$22,'Cost Breakdowns'!$A$3:$A$22,'SoBCaICbIC-urbanresidential'!$A5,'Cost Breakdowns'!$F$3:$F$22,"ISIC 25"))</f>
        <v>0</v>
      </c>
      <c r="W5">
        <f>(SUMIFS('Cost Breakdowns'!$E$3:$E$22,'Cost Breakdowns'!$A$3:$A$22,'SoBCaICbIC-urbanresidential'!$A5,'Cost Breakdowns'!$F$3:$F$22,"ISIC 26"))</f>
        <v>0</v>
      </c>
      <c r="X5">
        <f>(SUMIFS('Cost Breakdowns'!$E$3:$E$22,'Cost Breakdowns'!$A$3:$A$22,'SoBCaICbIC-urbanresidential'!$A5,'Cost Breakdowns'!$F$3:$F$22,"ISIC 27"))</f>
        <v>0.28238603812513541</v>
      </c>
      <c r="Y5">
        <f>(SUMIFS('Cost Breakdowns'!$E$3:$E$22,'Cost Breakdowns'!$A$3:$A$22,'SoBCaICbIC-urbanresidential'!$A5,'Cost Breakdowns'!$F$3:$F$22,"ISIC 28"))</f>
        <v>0</v>
      </c>
      <c r="Z5">
        <f>(SUMIFS('Cost Breakdowns'!$E$3:$E$22,'Cost Breakdowns'!$A$3:$A$22,'SoBCaICbIC-urbanresidential'!$A5,'Cost Breakdowns'!$F$3:$F$22,"ISIC 29"))</f>
        <v>0</v>
      </c>
      <c r="AA5">
        <f>(SUMIFS('Cost Breakdowns'!$E$3:$E$22,'Cost Breakdowns'!$A$3:$A$22,'SoBCaICbIC-urbanresidential'!$A5,'Cost Breakdowns'!$F$3:$F$22,"ISIC 30"))*'Factors applied'!$E$72</f>
        <v>0</v>
      </c>
      <c r="AB5">
        <f>(SUMIFS('Cost Breakdowns'!$E$3:$E$22,'Cost Breakdowns'!$A$3:$A$22,'SoBCaICbIC-urbanresidential'!$A5,'Cost Breakdowns'!$F$3:$F$22,"ISIC 30"))*'Factors applied'!$E$73</f>
        <v>0</v>
      </c>
      <c r="AC5">
        <f>(SUMIFS('Cost Breakdowns'!$E$3:$E$22,'Cost Breakdowns'!$A$3:$A$22,'SoBCaICbIC-urbanresidential'!$A5,'Cost Breakdowns'!$F$3:$F$22,"ISIC 31T33"))</f>
        <v>0</v>
      </c>
      <c r="AD5">
        <f>(SUMIFS('Cost Breakdowns'!$E$3:$E$22,'Cost Breakdowns'!$A$3:$A$22,'SoBCaICbIC-urbanresidential'!$A5,'Cost Breakdowns'!$F$3:$F$22,"ISIC 351"))</f>
        <v>0</v>
      </c>
      <c r="AE5">
        <f>(SUMIFS('Cost Breakdowns'!$E$3:$E$22,'Cost Breakdowns'!$A$3:$A$22,'SoBCaICbIC-urbanresidential'!$A5,'Cost Breakdowns'!$F$3:$F$22,"ISIC 352T353"))</f>
        <v>0</v>
      </c>
      <c r="AF5">
        <f>(SUMIFS('Cost Breakdowns'!$E$3:$E$22,'Cost Breakdowns'!$A$3:$A$22,'SoBCaICbIC-urbanresidential'!$A5,'Cost Breakdowns'!$F$3:$F$22,"ISIC 36T39"))</f>
        <v>0</v>
      </c>
      <c r="AG5">
        <f>(SUMIFS('Cost Breakdowns'!$E$3:$E$22,'Cost Breakdowns'!$A$3:$A$22,'SoBCaICbIC-urbanresidential'!$A5,'Cost Breakdowns'!$F$3:$F$22,"ISIC 41T43"))</f>
        <v>0.59233105335214309</v>
      </c>
      <c r="AH5">
        <f>(SUMIFS('Cost Breakdowns'!$E$3:$E$22,'Cost Breakdowns'!$A$3:$A$22,'SoBCaICbIC-urbanresidential'!$A5,'Cost Breakdowns'!$F$3:$F$22,"ISIC 45T47"))</f>
        <v>9.1251812586745626E-2</v>
      </c>
      <c r="AI5">
        <f>(SUMIFS('Cost Breakdowns'!$E$3:$E$22,'Cost Breakdowns'!$A$3:$A$22,'SoBCaICbIC-urbanresidential'!$A5,'Cost Breakdowns'!$F$3:$F$22,"ISIC 49T53"))*'Factors applied'!$E$74+SUMIFS('Cost Breakdowns'!$E$3:$E$22,'Cost Breakdowns'!$A$3:$A$22,'SoBCaICbIC-urbanresidential'!$A5,'Cost Breakdowns'!$F$3:$F$22,"ISIC 49")</f>
        <v>3.4031095935975843E-2</v>
      </c>
      <c r="AJ5">
        <f>(SUMIFS('Cost Breakdowns'!$E$3:$E$22,'Cost Breakdowns'!$A$3:$A$22,'SoBCaICbIC-urbanresidential'!$A5,'Cost Breakdowns'!$F$3:$F$22,"ISIC 49T53"))*'Factors applied'!$E$75</f>
        <v>0</v>
      </c>
      <c r="AK5">
        <f>(SUMIFS('Cost Breakdowns'!$E$3:$E$22,'Cost Breakdowns'!$A$3:$A$22,'SoBCaICbIC-urbanresidential'!$A5,'Cost Breakdowns'!$F$3:$F$22,"ISIC 49T53"))*'Factors applied'!$E$76</f>
        <v>0</v>
      </c>
      <c r="AL5">
        <f>(SUMIFS('Cost Breakdowns'!$E$3:$E$22,'Cost Breakdowns'!$A$3:$A$22,'SoBCaICbIC-urbanresidential'!$A5,'Cost Breakdowns'!$F$3:$F$22,"ISIC 49T53"))*'Factors applied'!$E$77</f>
        <v>0</v>
      </c>
      <c r="AM5">
        <f>(SUMIFS('Cost Breakdowns'!$E$3:$E$22,'Cost Breakdowns'!$A$3:$A$22,'SoBCaICbIC-urbanresidential'!$A5,'Cost Breakdowns'!$F$3:$F$22,"ISIC 49T53"))*'Factors applied'!$E$78</f>
        <v>0</v>
      </c>
      <c r="AN5">
        <f>(SUMIFS('Cost Breakdowns'!$E$3:$E$22,'Cost Breakdowns'!$A$3:$A$22,'SoBCaICbIC-urbanresidential'!$A5,'Cost Breakdowns'!$F$3:$F$22,"ISIC 55T56"))</f>
        <v>0</v>
      </c>
      <c r="AO5">
        <f>(SUMIFS('Cost Breakdowns'!$E$3:$E$22,'Cost Breakdowns'!$A$3:$A$22,'SoBCaICbIC-urbanresidential'!$A5,'Cost Breakdowns'!$F$3:$F$22,"ISIC 58T60"))</f>
        <v>0</v>
      </c>
      <c r="AP5">
        <f>(SUMIFS('Cost Breakdowns'!$E$3:$E$22,'Cost Breakdowns'!$A$3:$A$22,'SoBCaICbIC-urbanresidential'!$A5,'Cost Breakdowns'!$F$3:$F$22,"ISIC 61"))</f>
        <v>0</v>
      </c>
      <c r="AQ5">
        <f>(SUMIFS('Cost Breakdowns'!$E$3:$E$22,'Cost Breakdowns'!$A$3:$A$22,'SoBCaICbIC-urbanresidential'!$A5,'Cost Breakdowns'!$F$3:$F$22,"ISIC 62T63"))</f>
        <v>0</v>
      </c>
      <c r="AR5">
        <f>(SUMIFS('Cost Breakdowns'!$E$3:$E$22,'Cost Breakdowns'!$A$3:$A$22,'SoBCaICbIC-urbanresidential'!$A5,'Cost Breakdowns'!$F$3:$F$22,"ISIC 64T66"))</f>
        <v>0</v>
      </c>
      <c r="AS5">
        <f>(SUMIFS('Cost Breakdowns'!$E$3:$E$22,'Cost Breakdowns'!$A$3:$A$22,'SoBCaICbIC-urbanresidential'!$A5,'Cost Breakdowns'!$F$3:$F$22,"ISIC 68"))</f>
        <v>0</v>
      </c>
      <c r="AT5">
        <f>(SUMIFS('Cost Breakdowns'!$E$3:$E$22,'Cost Breakdowns'!$A$3:$A$22,'SoBCaICbIC-urbanresidential'!$A5,'Cost Breakdowns'!$F$3:$F$22,"ISIC 69T82"))*'Factors applied'!$E$79</f>
        <v>0</v>
      </c>
      <c r="AU5">
        <f>(SUMIFS('Cost Breakdowns'!$E$3:$E$22,'Cost Breakdowns'!$A$3:$A$22,'SoBCaICbIC-urbanresidential'!$A5,'Cost Breakdowns'!$F$3:$F$22,"ISIC 69T82"))*'Factors applied'!$E$80</f>
        <v>0</v>
      </c>
      <c r="AV5">
        <f>(SUMIFS('Cost Breakdowns'!$E$3:$E$22,'Cost Breakdowns'!$A$3:$A$22,'SoBCaICbIC-urbanresidential'!$A5,'Cost Breakdowns'!$F$3:$F$22,"ISIC 84"))</f>
        <v>0</v>
      </c>
      <c r="AW5">
        <f>(SUMIFS('Cost Breakdowns'!$E$3:$E$22,'Cost Breakdowns'!$A$3:$A$22,'SoBCaICbIC-urbanresidential'!$A5,'Cost Breakdowns'!$F$3:$F$22,"ISIC 85"))</f>
        <v>0</v>
      </c>
      <c r="AX5">
        <f>(SUMIFS('Cost Breakdowns'!$E$3:$E$22,'Cost Breakdowns'!$A$3:$A$22,'SoBCaICbIC-urbanresidential'!$A5,'Cost Breakdowns'!$F$3:$F$22,"ISIC 86T88"))</f>
        <v>0</v>
      </c>
      <c r="AY5">
        <f>(SUMIFS('Cost Breakdowns'!$E$3:$E$22,'Cost Breakdowns'!$A$3:$A$22,'SoBCaICbIC-urbanresidential'!$A5,'Cost Breakdowns'!$F$3:$F$22,"ISIC 90T96"))*'Factors applied'!$E$81</f>
        <v>0</v>
      </c>
      <c r="AZ5">
        <f>(SUMIFS('Cost Breakdowns'!$E$3:$E$22,'Cost Breakdowns'!$A$3:$A$22,'SoBCaICbIC-urbanresidential'!$A5,'Cost Breakdowns'!$F$3:$F$22,"ISIC 90T96"))*'Factors applied'!$E$82</f>
        <v>0</v>
      </c>
      <c r="BA5">
        <f>(SUMIFS('Cost Breakdowns'!$E$3:$E$22,'Cost Breakdowns'!$A$3:$A$22,'SoBCaICbIC-urbanresidential'!$A5,'Cost Breakdowns'!$F$3:$F$22,"ISIC 97T98"))</f>
        <v>0</v>
      </c>
    </row>
    <row r="6" spans="1:53" x14ac:dyDescent="0.25">
      <c r="A6" t="s">
        <v>40</v>
      </c>
      <c r="B6">
        <f>(SUMIFS('Cost Breakdowns'!$E$3:$E$22,'Cost Breakdowns'!$A$3:$A$22,'SoBCaICbIC-urbanresidential'!$A6,'Cost Breakdowns'!$F$3:$F$22,"ISIC 01T03"))*'Factors applied'!$E$3</f>
        <v>0</v>
      </c>
      <c r="C6">
        <f>(SUMIFS('Cost Breakdowns'!$E$3:$E$22,'Cost Breakdowns'!$A$3:$A$22,'SoBCaICbIC-urbanresidential'!$A6,'Cost Breakdowns'!$F$3:$F$22,"ISIC 01T03"))*'Factors applied'!$E$4</f>
        <v>0</v>
      </c>
      <c r="D6">
        <f>(SUMIFS('Cost Breakdowns'!$E$3:$E$22,'Cost Breakdowns'!$A$3:$A$22,'SoBCaICbIC-urbanresidential'!$A6,'Cost Breakdowns'!$F$3:$F$22,"ISIC 01T03"))*'Factors applied'!$E$5</f>
        <v>0</v>
      </c>
      <c r="E6">
        <f>(SUMIFS('Cost Breakdowns'!$E$3:$E$22,'Cost Breakdowns'!$A$3:$A$22,'SoBCaICbIC-urbanresidential'!$A6,'Cost Breakdowns'!$F$3:$F$22,"ISIC 05"))</f>
        <v>0</v>
      </c>
      <c r="F6">
        <f>(SUMIFS('Cost Breakdowns'!$E$3:$E$22,'Cost Breakdowns'!$A$3:$A$22,'SoBCaICbIC-urbanresidential'!$A6,'Cost Breakdowns'!$F$3:$F$22,"ISIC 06"))</f>
        <v>0</v>
      </c>
      <c r="G6">
        <f>(SUMIFS('Cost Breakdowns'!$E$3:$E$22,'Cost Breakdowns'!$A$3:$A$22,'SoBCaICbIC-urbanresidential'!$A6,'Cost Breakdowns'!$F$3:$F$22,"ISIC 07T08"))*'Factors applied'!$E$6</f>
        <v>0</v>
      </c>
      <c r="H6">
        <f>(SUMIFS('Cost Breakdowns'!$E$3:$E$22,'Cost Breakdowns'!$A$3:$A$22,'SoBCaICbIC-urbanresidential'!$A6,'Cost Breakdowns'!$F$3:$F$22,"ISIC 07T08"))*'Factors applied'!$E$7</f>
        <v>0</v>
      </c>
      <c r="I6">
        <f>(SUMIFS('Cost Breakdowns'!$E$3:$E$22,'Cost Breakdowns'!$A$3:$A$22,'SoBCaICbIC-urbanresidential'!$A6,'Cost Breakdowns'!$F$3:$F$22,"ISIC 09"))</f>
        <v>0</v>
      </c>
      <c r="J6">
        <f>(SUMIFS('Cost Breakdowns'!$E$3:$E$22,'Cost Breakdowns'!$A$3:$A$22,'SoBCaICbIC-urbanresidential'!$A6,'Cost Breakdowns'!$F$3:$F$22,"ISIC 10T12"))</f>
        <v>0</v>
      </c>
      <c r="K6">
        <f>(SUMIFS('Cost Breakdowns'!$E$3:$E$22,'Cost Breakdowns'!$A$3:$A$22,'SoBCaICbIC-urbanresidential'!$A6,'Cost Breakdowns'!$F$3:$F$22,"ISIC 13T15"))</f>
        <v>0</v>
      </c>
      <c r="L6">
        <f>(SUMIFS('Cost Breakdowns'!$E$3:$E$22,'Cost Breakdowns'!$A$3:$A$22,'SoBCaICbIC-urbanresidential'!$A6,'Cost Breakdowns'!$F$3:$F$22,"ISIC 16"))</f>
        <v>0</v>
      </c>
      <c r="M6">
        <f>(SUMIFS('Cost Breakdowns'!$E$3:$E$22,'Cost Breakdowns'!$A$3:$A$22,'SoBCaICbIC-urbanresidential'!$A6,'Cost Breakdowns'!$F$3:$F$22,"ISIC 17T18"))</f>
        <v>0</v>
      </c>
      <c r="N6">
        <f>(SUMIFS('Cost Breakdowns'!$E$3:$E$22,'Cost Breakdowns'!$A$3:$A$22,'SoBCaICbIC-urbanresidential'!$A6,'Cost Breakdowns'!$F$3:$F$22,"ISIC 19"))</f>
        <v>0</v>
      </c>
      <c r="O6">
        <f>(SUMIFS('Cost Breakdowns'!$E$3:$E$22,'Cost Breakdowns'!$A$3:$A$22,'SoBCaICbIC-urbanresidential'!$A6,'Cost Breakdowns'!$F$3:$F$22,"ISIC 20"))</f>
        <v>0</v>
      </c>
      <c r="P6">
        <f>(SUMIFS('Cost Breakdowns'!$E$3:$E$22,'Cost Breakdowns'!$A$3:$A$22,'SoBCaICbIC-urbanresidential'!$A6,'Cost Breakdowns'!$F$3:$F$22,"ISIC 21"))</f>
        <v>0</v>
      </c>
      <c r="Q6">
        <f>(SUMIFS('Cost Breakdowns'!$E$3:$E$22,'Cost Breakdowns'!$A$3:$A$22,'SoBCaICbIC-urbanresidential'!$A6,'Cost Breakdowns'!$F$3:$F$22,"ISIC 22"))</f>
        <v>0</v>
      </c>
      <c r="R6">
        <f>(SUMIFS('Cost Breakdowns'!$E$3:$E$22,'Cost Breakdowns'!$A$3:$A$22,'SoBCaICbIC-urbanresidential'!$A6,'Cost Breakdowns'!$F$3:$F$22,"ISIC 231"))</f>
        <v>0</v>
      </c>
      <c r="S6">
        <f>(SUMIFS('Cost Breakdowns'!$E$3:$E$22,'Cost Breakdowns'!$A$3:$A$22,'SoBCaICbIC-urbanresidential'!$A6,'Cost Breakdowns'!$F$3:$F$22,"ISIC 239"))</f>
        <v>0</v>
      </c>
      <c r="T6">
        <f>(SUMIFS('Cost Breakdowns'!$E$3:$E$22,'Cost Breakdowns'!$A$3:$A$22,'SoBCaICbIC-urbanresidential'!$A6,'Cost Breakdowns'!$F$3:$F$22,"ISIC 241"))</f>
        <v>0</v>
      </c>
      <c r="U6">
        <f>(SUMIFS('Cost Breakdowns'!$E$3:$E$22,'Cost Breakdowns'!$A$3:$A$22,'SoBCaICbIC-urbanresidential'!$A6,'Cost Breakdowns'!$F$3:$F$22,"ISIC 242"))</f>
        <v>0</v>
      </c>
      <c r="V6">
        <f>(SUMIFS('Cost Breakdowns'!$E$3:$E$22,'Cost Breakdowns'!$A$3:$A$22,'SoBCaICbIC-urbanresidential'!$A6,'Cost Breakdowns'!$F$3:$F$22,"ISIC 25"))</f>
        <v>0</v>
      </c>
      <c r="W6">
        <f>(SUMIFS('Cost Breakdowns'!$E$3:$E$22,'Cost Breakdowns'!$A$3:$A$22,'SoBCaICbIC-urbanresidential'!$A6,'Cost Breakdowns'!$F$3:$F$22,"ISIC 26"))</f>
        <v>0</v>
      </c>
      <c r="X6">
        <f>(SUMIFS('Cost Breakdowns'!$E$3:$E$22,'Cost Breakdowns'!$A$3:$A$22,'SoBCaICbIC-urbanresidential'!$A6,'Cost Breakdowns'!$F$3:$F$22,"ISIC 27"))</f>
        <v>0.5131315924908888</v>
      </c>
      <c r="Y6">
        <f>(SUMIFS('Cost Breakdowns'!$E$3:$E$22,'Cost Breakdowns'!$A$3:$A$22,'SoBCaICbIC-urbanresidential'!$A6,'Cost Breakdowns'!$F$3:$F$22,"ISIC 28"))</f>
        <v>0</v>
      </c>
      <c r="Z6">
        <f>(SUMIFS('Cost Breakdowns'!$E$3:$E$22,'Cost Breakdowns'!$A$3:$A$22,'SoBCaICbIC-urbanresidential'!$A6,'Cost Breakdowns'!$F$3:$F$22,"ISIC 29"))</f>
        <v>0</v>
      </c>
      <c r="AA6">
        <f>(SUMIFS('Cost Breakdowns'!$E$3:$E$22,'Cost Breakdowns'!$A$3:$A$22,'SoBCaICbIC-urbanresidential'!$A6,'Cost Breakdowns'!$F$3:$F$22,"ISIC 30"))*'Factors applied'!$E$8</f>
        <v>0</v>
      </c>
      <c r="AB6">
        <f>(SUMIFS('Cost Breakdowns'!$E$3:$E$22,'Cost Breakdowns'!$A$3:$A$22,'SoBCaICbIC-urbanresidential'!$A6,'Cost Breakdowns'!$F$3:$F$22,"ISIC 30"))*'Factors applied'!$E$9</f>
        <v>0</v>
      </c>
      <c r="AC6">
        <f>(SUMIFS('Cost Breakdowns'!$E$3:$E$22,'Cost Breakdowns'!$A$3:$A$22,'SoBCaICbIC-urbanresidential'!$A6,'Cost Breakdowns'!$F$3:$F$22,"ISIC 31T33"))</f>
        <v>0</v>
      </c>
      <c r="AD6">
        <f>(SUMIFS('Cost Breakdowns'!$E$3:$E$22,'Cost Breakdowns'!$A$3:$A$22,'SoBCaICbIC-urbanresidential'!$A6,'Cost Breakdowns'!$F$3:$F$22,"ISIC 351"))</f>
        <v>0</v>
      </c>
      <c r="AE6">
        <f>(SUMIFS('Cost Breakdowns'!$E$3:$E$22,'Cost Breakdowns'!$A$3:$A$22,'SoBCaICbIC-urbanresidential'!$A6,'Cost Breakdowns'!$F$3:$F$22,"ISIC 352T353"))</f>
        <v>0</v>
      </c>
      <c r="AF6">
        <f>(SUMIFS('Cost Breakdowns'!$E$3:$E$22,'Cost Breakdowns'!$A$3:$A$22,'SoBCaICbIC-urbanresidential'!$A6,'Cost Breakdowns'!$F$3:$F$22,"ISIC 36T39"))</f>
        <v>0</v>
      </c>
      <c r="AG6">
        <f>(SUMIFS('Cost Breakdowns'!$E$3:$E$22,'Cost Breakdowns'!$A$3:$A$22,'SoBCaICbIC-urbanresidential'!$A6,'Cost Breakdowns'!$F$3:$F$22,"ISIC 41T43"))</f>
        <v>0.24560113051272803</v>
      </c>
      <c r="AH6">
        <f>(SUMIFS('Cost Breakdowns'!$E$3:$E$22,'Cost Breakdowns'!$A$3:$A$22,'SoBCaICbIC-urbanresidential'!$A6,'Cost Breakdowns'!$F$3:$F$22,"ISIC 45T47"))</f>
        <v>0.22708137732907191</v>
      </c>
      <c r="AI6">
        <f>(SUMIFS('Cost Breakdowns'!$E$3:$E$22,'Cost Breakdowns'!$A$3:$A$22,'SoBCaICbIC-urbanresidential'!$A6,'Cost Breakdowns'!$F$3:$F$22,"ISIC 49T53"))*'Factors applied'!$E$10+SUMIFS('Cost Breakdowns'!$E$3:$E$22,'Cost Breakdowns'!$A$3:$A$22,'SoBCaICbIC-urbanresidential'!$A6,'Cost Breakdowns'!$F$3:$F$22,"ISIC 49")</f>
        <v>1.4185899667311286E-2</v>
      </c>
      <c r="AJ6">
        <f>(SUMIFS('Cost Breakdowns'!$E$3:$E$22,'Cost Breakdowns'!$A$3:$A$22,'SoBCaICbIC-urbanresidential'!$A6,'Cost Breakdowns'!$F$3:$F$22,"ISIC 49T53"))*'Factors applied'!$E$11</f>
        <v>0</v>
      </c>
      <c r="AK6">
        <f>(SUMIFS('Cost Breakdowns'!$E$3:$E$22,'Cost Breakdowns'!$A$3:$A$22,'SoBCaICbIC-urbanresidential'!$A6,'Cost Breakdowns'!$F$3:$F$22,"ISIC 49T53"))*'Factors applied'!$E$12</f>
        <v>0</v>
      </c>
      <c r="AL6">
        <f>(SUMIFS('Cost Breakdowns'!$E$3:$E$22,'Cost Breakdowns'!$A$3:$A$22,'SoBCaICbIC-urbanresidential'!$A6,'Cost Breakdowns'!$F$3:$F$22,"ISIC 49T53"))*'Factors applied'!$E$13</f>
        <v>0</v>
      </c>
      <c r="AM6">
        <f>(SUMIFS('Cost Breakdowns'!$E$3:$E$22,'Cost Breakdowns'!$A$3:$A$22,'SoBCaICbIC-urbanresidential'!$A6,'Cost Breakdowns'!$F$3:$F$22,"ISIC 49T53"))*'Factors applied'!$E$14</f>
        <v>0</v>
      </c>
      <c r="AN6">
        <f>(SUMIFS('Cost Breakdowns'!$E$3:$E$22,'Cost Breakdowns'!$A$3:$A$22,'SoBCaICbIC-urbanresidential'!$A6,'Cost Breakdowns'!$F$3:$F$22,"ISIC 55T56"))</f>
        <v>0</v>
      </c>
      <c r="AO6">
        <f>(SUMIFS('Cost Breakdowns'!$E$3:$E$22,'Cost Breakdowns'!$A$3:$A$22,'SoBCaICbIC-urbanresidential'!$A6,'Cost Breakdowns'!$F$3:$F$22,"ISIC 58T60"))</f>
        <v>0</v>
      </c>
      <c r="AP6">
        <f>(SUMIFS('Cost Breakdowns'!$E$3:$E$22,'Cost Breakdowns'!$A$3:$A$22,'SoBCaICbIC-urbanresidential'!$A6,'Cost Breakdowns'!$F$3:$F$22,"ISIC 61"))</f>
        <v>0</v>
      </c>
      <c r="AQ6">
        <f>(SUMIFS('Cost Breakdowns'!$E$3:$E$22,'Cost Breakdowns'!$A$3:$A$22,'SoBCaICbIC-urbanresidential'!$A6,'Cost Breakdowns'!$F$3:$F$22,"ISIC 62T63"))</f>
        <v>0</v>
      </c>
      <c r="AR6">
        <f>(SUMIFS('Cost Breakdowns'!$E$3:$E$22,'Cost Breakdowns'!$A$3:$A$22,'SoBCaICbIC-urbanresidential'!$A6,'Cost Breakdowns'!$F$3:$F$22,"ISIC 64T66"))</f>
        <v>0</v>
      </c>
      <c r="AS6">
        <f>(SUMIFS('Cost Breakdowns'!$E$3:$E$22,'Cost Breakdowns'!$A$3:$A$22,'SoBCaICbIC-urbanresidential'!$A6,'Cost Breakdowns'!$F$3:$F$22,"ISIC 68"))</f>
        <v>0</v>
      </c>
      <c r="AT6">
        <f>(SUMIFS('Cost Breakdowns'!$E$3:$E$22,'Cost Breakdowns'!$A$3:$A$22,'SoBCaICbIC-urbanresidential'!$A6,'Cost Breakdowns'!$F$3:$F$22,"ISIC 69T82"))*'Factors applied'!$E$15</f>
        <v>0</v>
      </c>
      <c r="AU6">
        <f>(SUMIFS('Cost Breakdowns'!$E$3:$E$22,'Cost Breakdowns'!$A$3:$A$22,'SoBCaICbIC-urbanresidential'!$A6,'Cost Breakdowns'!$F$3:$F$22,"ISIC 69T82"))*'Factors applied'!$E$16</f>
        <v>0</v>
      </c>
      <c r="AV6">
        <f>(SUMIFS('Cost Breakdowns'!$E$3:$E$22,'Cost Breakdowns'!$A$3:$A$22,'SoBCaICbIC-urbanresidential'!$A6,'Cost Breakdowns'!$F$3:$F$22,"ISIC 84"))</f>
        <v>0</v>
      </c>
      <c r="AW6">
        <f>(SUMIFS('Cost Breakdowns'!$E$3:$E$22,'Cost Breakdowns'!$A$3:$A$22,'SoBCaICbIC-urbanresidential'!$A6,'Cost Breakdowns'!$F$3:$F$22,"ISIC 85"))</f>
        <v>0</v>
      </c>
      <c r="AX6">
        <f>(SUMIFS('Cost Breakdowns'!$E$3:$E$22,'Cost Breakdowns'!$A$3:$A$22,'SoBCaICbIC-urbanresidential'!$A6,'Cost Breakdowns'!$F$3:$F$22,"ISIC 86T88"))</f>
        <v>0</v>
      </c>
      <c r="AY6">
        <f>(SUMIFS('Cost Breakdowns'!$E$3:$E$22,'Cost Breakdowns'!$A$3:$A$22,'SoBCaICbIC-urbanresidential'!$A6,'Cost Breakdowns'!$F$3:$F$22,"ISIC 90T96"))*'Factors applied'!$E$17</f>
        <v>0</v>
      </c>
      <c r="AZ6">
        <f>(SUMIFS('Cost Breakdowns'!$E$3:$E$22,'Cost Breakdowns'!$A$3:$A$22,'SoBCaICbIC-urbanresidential'!$A6,'Cost Breakdowns'!$F$3:$F$22,"ISIC 90T96"))*'Factors applied'!$E$18</f>
        <v>0</v>
      </c>
      <c r="BA6">
        <f>(SUMIFS('Cost Breakdowns'!$E$3:$E$22,'Cost Breakdowns'!$A$3:$A$22,'SoBCaICbIC-urbanresidential'!$A6,'Cost Breakdowns'!$F$3:$F$22,"ISIC 97T98"))</f>
        <v>0</v>
      </c>
    </row>
    <row r="7" spans="1:53" x14ac:dyDescent="0.25">
      <c r="A7" t="s">
        <v>69</v>
      </c>
      <c r="B7">
        <f>(SUMIFS('Cost Breakdowns'!$E$3:$E$22,'Cost Breakdowns'!$A$3:$A$22,'SoBCaICbIC-urbanresidential'!$A7,'Cost Breakdowns'!$F$3:$F$22,"ISIC 01T03"))*'Factors applied'!$E$83</f>
        <v>0</v>
      </c>
      <c r="C7">
        <f>(SUMIFS('Cost Breakdowns'!$E$3:$E$22,'Cost Breakdowns'!$A$3:$A$22,'SoBCaICbIC-urbanresidential'!$A7,'Cost Breakdowns'!$F$3:$F$22,"ISIC 01T03"))*'Factors applied'!$E$84</f>
        <v>0</v>
      </c>
      <c r="D7">
        <f>(SUMIFS('Cost Breakdowns'!$E$3:$E$22,'Cost Breakdowns'!$A$3:$A$22,'SoBCaICbIC-urbanresidential'!$A7,'Cost Breakdowns'!$F$3:$F$22,"ISIC 01T03"))*'Factors applied'!$E$85</f>
        <v>0</v>
      </c>
      <c r="E7">
        <f>(SUMIFS('Cost Breakdowns'!$E$3:$E$22,'Cost Breakdowns'!$A$3:$A$22,'SoBCaICbIC-urbanresidential'!$A7,'Cost Breakdowns'!$F$3:$F$22,"ISIC 05"))</f>
        <v>0</v>
      </c>
      <c r="F7">
        <f>(SUMIFS('Cost Breakdowns'!$E$3:$E$22,'Cost Breakdowns'!$A$3:$A$22,'SoBCaICbIC-urbanresidential'!$A7,'Cost Breakdowns'!$F$3:$F$22,"ISIC 06"))</f>
        <v>0</v>
      </c>
      <c r="G7">
        <f>(SUMIFS('Cost Breakdowns'!$E$3:$E$22,'Cost Breakdowns'!$A$3:$A$22,'SoBCaICbIC-urbanresidential'!$A7,'Cost Breakdowns'!$F$3:$F$22,"ISIC 07T08"))*'Factors applied'!$E$86</f>
        <v>0</v>
      </c>
      <c r="H7">
        <f>(SUMIFS('Cost Breakdowns'!$E$3:$E$22,'Cost Breakdowns'!$A$3:$A$22,'SoBCaICbIC-urbanresidential'!$A7,'Cost Breakdowns'!$F$3:$F$22,"ISIC 07T08"))*'Factors applied'!$E$87</f>
        <v>0</v>
      </c>
      <c r="I7">
        <f>(SUMIFS('Cost Breakdowns'!$E$3:$E$22,'Cost Breakdowns'!$A$3:$A$22,'SoBCaICbIC-urbanresidential'!$A7,'Cost Breakdowns'!$F$3:$F$22,"ISIC 09"))</f>
        <v>0</v>
      </c>
      <c r="J7">
        <f>(SUMIFS('Cost Breakdowns'!$E$3:$E$22,'Cost Breakdowns'!$A$3:$A$22,'SoBCaICbIC-urbanresidential'!$A7,'Cost Breakdowns'!$F$3:$F$22,"ISIC 10T12"))</f>
        <v>0</v>
      </c>
      <c r="K7">
        <f>(SUMIFS('Cost Breakdowns'!$E$3:$E$22,'Cost Breakdowns'!$A$3:$A$22,'SoBCaICbIC-urbanresidential'!$A7,'Cost Breakdowns'!$F$3:$F$22,"ISIC 13T15"))</f>
        <v>0</v>
      </c>
      <c r="L7">
        <f>(SUMIFS('Cost Breakdowns'!$E$3:$E$22,'Cost Breakdowns'!$A$3:$A$22,'SoBCaICbIC-urbanresidential'!$A7,'Cost Breakdowns'!$F$3:$F$22,"ISIC 16"))</f>
        <v>0</v>
      </c>
      <c r="M7">
        <f>(SUMIFS('Cost Breakdowns'!$E$3:$E$22,'Cost Breakdowns'!$A$3:$A$22,'SoBCaICbIC-urbanresidential'!$A7,'Cost Breakdowns'!$F$3:$F$22,"ISIC 17T18"))</f>
        <v>0</v>
      </c>
      <c r="N7">
        <f>(SUMIFS('Cost Breakdowns'!$E$3:$E$22,'Cost Breakdowns'!$A$3:$A$22,'SoBCaICbIC-urbanresidential'!$A7,'Cost Breakdowns'!$F$3:$F$22,"ISIC 19"))</f>
        <v>0</v>
      </c>
      <c r="O7">
        <f>(SUMIFS('Cost Breakdowns'!$E$3:$E$22,'Cost Breakdowns'!$A$3:$A$22,'SoBCaICbIC-urbanresidential'!$A7,'Cost Breakdowns'!$F$3:$F$22,"ISIC 20"))</f>
        <v>0</v>
      </c>
      <c r="P7">
        <f>(SUMIFS('Cost Breakdowns'!$E$3:$E$22,'Cost Breakdowns'!$A$3:$A$22,'SoBCaICbIC-urbanresidential'!$A7,'Cost Breakdowns'!$F$3:$F$22,"ISIC 21"))</f>
        <v>0</v>
      </c>
      <c r="Q7">
        <f>(SUMIFS('Cost Breakdowns'!$E$3:$E$22,'Cost Breakdowns'!$A$3:$A$22,'SoBCaICbIC-urbanresidential'!$A7,'Cost Breakdowns'!$F$3:$F$22,"ISIC 22"))</f>
        <v>0</v>
      </c>
      <c r="R7">
        <f>(SUMIFS('Cost Breakdowns'!$E$3:$E$22,'Cost Breakdowns'!$A$3:$A$22,'SoBCaICbIC-urbanresidential'!$A7,'Cost Breakdowns'!$F$3:$F$22,"ISIC 231"))</f>
        <v>0</v>
      </c>
      <c r="S7">
        <f>(SUMIFS('Cost Breakdowns'!$E$3:$E$22,'Cost Breakdowns'!$A$3:$A$22,'SoBCaICbIC-urbanresidential'!$A7,'Cost Breakdowns'!$F$3:$F$22,"ISIC 239"))</f>
        <v>0</v>
      </c>
      <c r="T7">
        <f>(SUMIFS('Cost Breakdowns'!$E$3:$E$22,'Cost Breakdowns'!$A$3:$A$22,'SoBCaICbIC-urbanresidential'!$A7,'Cost Breakdowns'!$F$3:$F$22,"ISIC 241"))</f>
        <v>0</v>
      </c>
      <c r="U7">
        <f>(SUMIFS('Cost Breakdowns'!$E$3:$E$22,'Cost Breakdowns'!$A$3:$A$22,'SoBCaICbIC-urbanresidential'!$A7,'Cost Breakdowns'!$F$3:$F$22,"ISIC 242"))</f>
        <v>0</v>
      </c>
      <c r="V7">
        <f>(SUMIFS('Cost Breakdowns'!$E$3:$E$22,'Cost Breakdowns'!$A$3:$A$22,'SoBCaICbIC-urbanresidential'!$A7,'Cost Breakdowns'!$F$3:$F$22,"ISIC 25"))</f>
        <v>0</v>
      </c>
      <c r="W7">
        <f>(SUMIFS('Cost Breakdowns'!$E$3:$E$22,'Cost Breakdowns'!$A$3:$A$22,'SoBCaICbIC-urbanresidential'!$A7,'Cost Breakdowns'!$F$3:$F$22,"ISIC 26"))</f>
        <v>0</v>
      </c>
      <c r="X7">
        <f>(SUMIFS('Cost Breakdowns'!$E$3:$E$22,'Cost Breakdowns'!$A$3:$A$22,'SoBCaICbIC-urbanresidential'!$A7,'Cost Breakdowns'!$F$3:$F$22,"ISIC 27"))</f>
        <v>0.51142569229179691</v>
      </c>
      <c r="Y7">
        <f>(SUMIFS('Cost Breakdowns'!$E$3:$E$22,'Cost Breakdowns'!$A$3:$A$22,'SoBCaICbIC-urbanresidential'!$A7,'Cost Breakdowns'!$F$3:$F$22,"ISIC 28"))</f>
        <v>0</v>
      </c>
      <c r="Z7">
        <f>(SUMIFS('Cost Breakdowns'!$E$3:$E$22,'Cost Breakdowns'!$A$3:$A$22,'SoBCaICbIC-urbanresidential'!$A7,'Cost Breakdowns'!$F$3:$F$22,"ISIC 29"))</f>
        <v>0</v>
      </c>
      <c r="AA7">
        <f>(SUMIFS('Cost Breakdowns'!$E$3:$E$22,'Cost Breakdowns'!$A$3:$A$22,'SoBCaICbIC-urbanresidential'!$A7,'Cost Breakdowns'!$F$3:$F$22,"ISIC 30"))*'Factors applied'!$E$88</f>
        <v>0</v>
      </c>
      <c r="AB7">
        <f>(SUMIFS('Cost Breakdowns'!$E$3:$E$22,'Cost Breakdowns'!$A$3:$A$22,'SoBCaICbIC-urbanresidential'!$A7,'Cost Breakdowns'!$F$3:$F$22,"ISIC 30"))*'Factors applied'!$E$89</f>
        <v>0</v>
      </c>
      <c r="AC7">
        <f>(SUMIFS('Cost Breakdowns'!$E$3:$E$22,'Cost Breakdowns'!$A$3:$A$22,'SoBCaICbIC-urbanresidential'!$A7,'Cost Breakdowns'!$F$3:$F$22,"ISIC 31T33"))</f>
        <v>0</v>
      </c>
      <c r="AD7">
        <f>(SUMIFS('Cost Breakdowns'!$E$3:$E$22,'Cost Breakdowns'!$A$3:$A$22,'SoBCaICbIC-urbanresidential'!$A7,'Cost Breakdowns'!$F$3:$F$22,"ISIC 351"))</f>
        <v>0</v>
      </c>
      <c r="AE7">
        <f>(SUMIFS('Cost Breakdowns'!$E$3:$E$22,'Cost Breakdowns'!$A$3:$A$22,'SoBCaICbIC-urbanresidential'!$A7,'Cost Breakdowns'!$F$3:$F$22,"ISIC 352T353"))</f>
        <v>0</v>
      </c>
      <c r="AF7">
        <f>(SUMIFS('Cost Breakdowns'!$E$3:$E$22,'Cost Breakdowns'!$A$3:$A$22,'SoBCaICbIC-urbanresidential'!$A7,'Cost Breakdowns'!$F$3:$F$22,"ISIC 36T39"))</f>
        <v>0</v>
      </c>
      <c r="AG7">
        <f>(SUMIFS('Cost Breakdowns'!$E$3:$E$22,'Cost Breakdowns'!$A$3:$A$22,'SoBCaICbIC-urbanresidential'!$A7,'Cost Breakdowns'!$F$3:$F$22,"ISIC 41T43"))</f>
        <v>0.24560113051272803</v>
      </c>
      <c r="AH7">
        <f>(SUMIFS('Cost Breakdowns'!$E$3:$E$22,'Cost Breakdowns'!$A$3:$A$22,'SoBCaICbIC-urbanresidential'!$A7,'Cost Breakdowns'!$F$3:$F$22,"ISIC 45T47"))</f>
        <v>0.23490525167743478</v>
      </c>
      <c r="AI7">
        <f>(SUMIFS('Cost Breakdowns'!$E$3:$E$22,'Cost Breakdowns'!$A$3:$A$22,'SoBCaICbIC-urbanresidential'!$A7,'Cost Breakdowns'!$F$3:$F$22,"ISIC 49T53"))*'Factors applied'!$E$90+SUMIFS('Cost Breakdowns'!$E$3:$E$22,'Cost Breakdowns'!$A$3:$A$22,'SoBCaICbIC-urbanresidential'!$A7,'Cost Breakdowns'!$F$3:$F$22,"ISIC 49")</f>
        <v>8.0679255180403173E-3</v>
      </c>
      <c r="AJ7">
        <f>(SUMIFS('Cost Breakdowns'!$E$3:$E$22,'Cost Breakdowns'!$A$3:$A$22,'SoBCaICbIC-urbanresidential'!$A7,'Cost Breakdowns'!$F$3:$F$22,"ISIC 49T53"))*'Factors applied'!$E$91</f>
        <v>0</v>
      </c>
      <c r="AK7">
        <f>(SUMIFS('Cost Breakdowns'!$E$3:$E$22,'Cost Breakdowns'!$A$3:$A$22,'SoBCaICbIC-urbanresidential'!$A7,'Cost Breakdowns'!$F$3:$F$22,"ISIC 49T53"))*'Factors applied'!$E$92</f>
        <v>0</v>
      </c>
      <c r="AL7">
        <f>(SUMIFS('Cost Breakdowns'!$E$3:$E$22,'Cost Breakdowns'!$A$3:$A$22,'SoBCaICbIC-urbanresidential'!$A7,'Cost Breakdowns'!$F$3:$F$22,"ISIC 49T53"))*'Factors applied'!$E$93</f>
        <v>0</v>
      </c>
      <c r="AM7">
        <f>(SUMIFS('Cost Breakdowns'!$E$3:$E$22,'Cost Breakdowns'!$A$3:$A$22,'SoBCaICbIC-urbanresidential'!$A7,'Cost Breakdowns'!$F$3:$F$22,"ISIC 49T53"))*'Factors applied'!$E$94</f>
        <v>0</v>
      </c>
      <c r="AN7">
        <f>(SUMIFS('Cost Breakdowns'!$E$3:$E$22,'Cost Breakdowns'!$A$3:$A$22,'SoBCaICbIC-urbanresidential'!$A7,'Cost Breakdowns'!$F$3:$F$22,"ISIC 55T56"))</f>
        <v>0</v>
      </c>
      <c r="AO7">
        <f>(SUMIFS('Cost Breakdowns'!$E$3:$E$22,'Cost Breakdowns'!$A$3:$A$22,'SoBCaICbIC-urbanresidential'!$A7,'Cost Breakdowns'!$F$3:$F$22,"ISIC 58T60"))</f>
        <v>0</v>
      </c>
      <c r="AP7">
        <f>(SUMIFS('Cost Breakdowns'!$E$3:$E$22,'Cost Breakdowns'!$A$3:$A$22,'SoBCaICbIC-urbanresidential'!$A7,'Cost Breakdowns'!$F$3:$F$22,"ISIC 61"))</f>
        <v>0</v>
      </c>
      <c r="AQ7">
        <f>(SUMIFS('Cost Breakdowns'!$E$3:$E$22,'Cost Breakdowns'!$A$3:$A$22,'SoBCaICbIC-urbanresidential'!$A7,'Cost Breakdowns'!$F$3:$F$22,"ISIC 62T63"))</f>
        <v>0</v>
      </c>
      <c r="AR7">
        <f>(SUMIFS('Cost Breakdowns'!$E$3:$E$22,'Cost Breakdowns'!$A$3:$A$22,'SoBCaICbIC-urbanresidential'!$A7,'Cost Breakdowns'!$F$3:$F$22,"ISIC 64T66"))</f>
        <v>0</v>
      </c>
      <c r="AS7">
        <f>(SUMIFS('Cost Breakdowns'!$E$3:$E$22,'Cost Breakdowns'!$A$3:$A$22,'SoBCaICbIC-urbanresidential'!$A7,'Cost Breakdowns'!$F$3:$F$22,"ISIC 68"))</f>
        <v>0</v>
      </c>
      <c r="AT7">
        <f>(SUMIFS('Cost Breakdowns'!$E$3:$E$22,'Cost Breakdowns'!$A$3:$A$22,'SoBCaICbIC-urbanresidential'!$A7,'Cost Breakdowns'!$F$3:$F$22,"ISIC 69T82"))*'Factors applied'!$E$95</f>
        <v>0</v>
      </c>
      <c r="AU7">
        <f>(SUMIFS('Cost Breakdowns'!$E$3:$E$22,'Cost Breakdowns'!$A$3:$A$22,'SoBCaICbIC-urbanresidential'!$A7,'Cost Breakdowns'!$F$3:$F$22,"ISIC 69T82"))*'Factors applied'!$E$96</f>
        <v>0</v>
      </c>
      <c r="AV7">
        <f>(SUMIFS('Cost Breakdowns'!$E$3:$E$22,'Cost Breakdowns'!$A$3:$A$22,'SoBCaICbIC-urbanresidential'!$A7,'Cost Breakdowns'!$F$3:$F$22,"ISIC 84"))</f>
        <v>0</v>
      </c>
      <c r="AW7">
        <f>(SUMIFS('Cost Breakdowns'!$E$3:$E$22,'Cost Breakdowns'!$A$3:$A$22,'SoBCaICbIC-urbanresidential'!$A7,'Cost Breakdowns'!$F$3:$F$22,"ISIC 85"))</f>
        <v>0</v>
      </c>
      <c r="AX7">
        <f>(SUMIFS('Cost Breakdowns'!$E$3:$E$22,'Cost Breakdowns'!$A$3:$A$22,'SoBCaICbIC-urbanresidential'!$A7,'Cost Breakdowns'!$F$3:$F$22,"ISIC 86T88"))</f>
        <v>0</v>
      </c>
      <c r="AY7">
        <f>(SUMIFS('Cost Breakdowns'!$E$3:$E$22,'Cost Breakdowns'!$A$3:$A$22,'SoBCaICbIC-urbanresidential'!$A7,'Cost Breakdowns'!$F$3:$F$22,"ISIC 90T96"))*'Factors applied'!$E$97</f>
        <v>0</v>
      </c>
      <c r="AZ7">
        <f>(SUMIFS('Cost Breakdowns'!$E$3:$E$22,'Cost Breakdowns'!$A$3:$A$22,'SoBCaICbIC-urbanresidential'!$A7,'Cost Breakdowns'!$F$3:$F$22,"ISIC 90T96"))*'Factors applied'!$E$98</f>
        <v>0</v>
      </c>
      <c r="BA7">
        <f>(SUMIFS('Cost Breakdowns'!$E$3:$E$22,'Cost Breakdowns'!$A$3:$A$22,'SoBCaICbIC-urbanresidential'!$A7,'Cost Breakdowns'!$F$3:$F$22,"ISIC 97T98"))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About</vt:lpstr>
      <vt:lpstr>Factors applied</vt:lpstr>
      <vt:lpstr>source data&gt;</vt:lpstr>
      <vt:lpstr>OECD Mapping</vt:lpstr>
      <vt:lpstr>ISIC Code Mapping</vt:lpstr>
      <vt:lpstr>Cost Summary New</vt:lpstr>
      <vt:lpstr>COM_NEMS Cost</vt:lpstr>
      <vt:lpstr>calcs&gt;</vt:lpstr>
      <vt:lpstr>Summary_Com Appliances</vt:lpstr>
      <vt:lpstr>Summary_Res Appliances</vt:lpstr>
      <vt:lpstr>Cost Breakdowns</vt:lpstr>
      <vt:lpstr>TableB39</vt:lpstr>
      <vt:lpstr>TableB44</vt:lpstr>
      <vt:lpstr>TableB42</vt:lpstr>
      <vt:lpstr>AEO26 Table 21</vt:lpstr>
      <vt:lpstr>BEA 2017 Margins</vt:lpstr>
      <vt:lpstr>BEA Buyer Groups</vt:lpstr>
      <vt:lpstr>Margin Calcs</vt:lpstr>
      <vt:lpstr>Checks</vt:lpstr>
      <vt:lpstr>SoBCaICbIC-urbanresidential</vt:lpstr>
      <vt:lpstr>SoBCaICbIC-ruralresidential</vt:lpstr>
      <vt:lpstr>SoBCaICbIC-commercial</vt:lpstr>
      <vt:lpstr>TableB39!Print_Titles</vt:lpstr>
      <vt:lpstr>TableB42!Print_Titles</vt:lpstr>
      <vt:lpstr>TableB44!Print_Titles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Dan O'Brien</cp:lastModifiedBy>
  <dcterms:created xsi:type="dcterms:W3CDTF">2020-06-18T16:32:51Z</dcterms:created>
  <dcterms:modified xsi:type="dcterms:W3CDTF">2026-10-26T14:28:29Z</dcterms:modified>
</cp:coreProperties>
</file>