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bldgs\SoBCaICbIC\"/>
    </mc:Choice>
  </mc:AlternateContent>
  <xr:revisionPtr revIDLastSave="0" documentId="13_ncr:1_{FA5F3457-BB34-42C7-9D40-4709F5AF15AF}" xr6:coauthVersionLast="47" xr6:coauthVersionMax="47" xr10:uidLastSave="{00000000-0000-0000-0000-000000000000}"/>
  <bookViews>
    <workbookView xWindow="8080" yWindow="0" windowWidth="11125" windowHeight="10155" tabRatio="940" xr2:uid="{00000000-000D-0000-FFFF-FFFF00000000}"/>
  </bookViews>
  <sheets>
    <sheet name="About" sheetId="4" r:id="rId1"/>
    <sheet name="source data&gt;" sheetId="24" r:id="rId2"/>
    <sheet name="OECD Mapping" sheetId="2" r:id="rId3"/>
    <sheet name="ISIC Code Mapping" sheetId="18" r:id="rId4"/>
    <sheet name="Cost Summary New" sheetId="10" r:id="rId5"/>
    <sheet name="COM_NEMS Cost" sheetId="15" r:id="rId6"/>
    <sheet name="AEO25 Table 21" sheetId="22" r:id="rId7"/>
    <sheet name="calcs&gt;" sheetId="23" r:id="rId8"/>
    <sheet name="Summary_Com Appliances" sheetId="14" r:id="rId9"/>
    <sheet name="Summary_Res Appliances" sheetId="13" r:id="rId10"/>
    <sheet name="Cost Breakdowns" sheetId="16" r:id="rId11"/>
    <sheet name="SoBCaICbIC-urbanresidential" sheetId="19" r:id="rId12"/>
    <sheet name="SoBCaICbIC-ruralresidential" sheetId="20" r:id="rId13"/>
    <sheet name="SoBCaICbIC-commercial" sheetId="21" r:id="rId14"/>
    <sheet name="TableB39" sheetId="8" state="hidden" r:id="rId15"/>
    <sheet name="TableB44" sheetId="12" state="hidden" r:id="rId16"/>
    <sheet name="TableB42" sheetId="11" state="hidden" r:id="rId17"/>
  </sheets>
  <definedNames>
    <definedName name="_xlnm.Print_Titles" localSheetId="14">TableB39!$2:$6</definedName>
    <definedName name="_xlnm.Print_Titles" localSheetId="16">TableB42!$2:$6</definedName>
    <definedName name="_xlnm.Print_Titles" localSheetId="15">TableB44!$2:$6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3" l="1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6" i="13"/>
  <c r="AB7" i="20" l="1"/>
  <c r="AB6" i="20"/>
  <c r="AB5" i="20"/>
  <c r="AB4" i="20"/>
  <c r="AB3" i="20"/>
  <c r="AB2" i="20"/>
  <c r="AA7" i="20"/>
  <c r="AA6" i="20"/>
  <c r="AA5" i="20"/>
  <c r="AA4" i="20"/>
  <c r="AA3" i="20"/>
  <c r="AA2" i="20"/>
  <c r="R7" i="20"/>
  <c r="R6" i="20"/>
  <c r="R5" i="20"/>
  <c r="R4" i="20"/>
  <c r="R3" i="20"/>
  <c r="R2" i="20"/>
  <c r="P7" i="20"/>
  <c r="P6" i="20"/>
  <c r="P5" i="20"/>
  <c r="P4" i="20"/>
  <c r="P3" i="20"/>
  <c r="P2" i="20"/>
  <c r="AB7" i="21"/>
  <c r="AB6" i="21"/>
  <c r="AB5" i="21"/>
  <c r="AB4" i="21"/>
  <c r="AB3" i="21"/>
  <c r="AB2" i="21"/>
  <c r="AA7" i="21"/>
  <c r="AA6" i="21"/>
  <c r="AA5" i="21"/>
  <c r="AA4" i="21"/>
  <c r="AA3" i="21"/>
  <c r="AA2" i="21"/>
  <c r="P7" i="21"/>
  <c r="P6" i="21"/>
  <c r="P5" i="21"/>
  <c r="P4" i="21"/>
  <c r="P3" i="21"/>
  <c r="P2" i="21"/>
  <c r="R7" i="21"/>
  <c r="R6" i="21"/>
  <c r="R5" i="21"/>
  <c r="R4" i="21"/>
  <c r="R3" i="21"/>
  <c r="R2" i="21"/>
  <c r="AB7" i="19"/>
  <c r="AB6" i="19"/>
  <c r="AB5" i="19"/>
  <c r="AB4" i="19"/>
  <c r="AB3" i="19"/>
  <c r="AB2" i="19"/>
  <c r="AA7" i="19"/>
  <c r="AA6" i="19"/>
  <c r="AA5" i="19"/>
  <c r="AA4" i="19"/>
  <c r="AA3" i="19"/>
  <c r="AA2" i="19"/>
  <c r="R7" i="19"/>
  <c r="R6" i="19"/>
  <c r="R5" i="19"/>
  <c r="R4" i="19"/>
  <c r="R3" i="19"/>
  <c r="R2" i="19"/>
  <c r="P7" i="19"/>
  <c r="P6" i="19"/>
  <c r="P5" i="19"/>
  <c r="P4" i="19"/>
  <c r="P3" i="19"/>
  <c r="P2" i="19"/>
  <c r="D4" i="21"/>
  <c r="D4" i="20"/>
  <c r="D4" i="19"/>
  <c r="M4" i="21" l="1"/>
  <c r="M4" i="20"/>
  <c r="M4" i="19"/>
  <c r="AQ4" i="21" l="1"/>
  <c r="AP4" i="21"/>
  <c r="AO4" i="21"/>
  <c r="AN4" i="21"/>
  <c r="AM4" i="21"/>
  <c r="AL4" i="21"/>
  <c r="AK4" i="21"/>
  <c r="AJ4" i="21"/>
  <c r="AI4" i="21"/>
  <c r="AH4" i="21"/>
  <c r="AG4" i="21"/>
  <c r="AF4" i="21"/>
  <c r="AE4" i="21"/>
  <c r="AD4" i="21"/>
  <c r="AC4" i="21"/>
  <c r="Z4" i="21"/>
  <c r="Y4" i="21"/>
  <c r="X4" i="21"/>
  <c r="W4" i="21"/>
  <c r="V4" i="21"/>
  <c r="U4" i="21"/>
  <c r="T4" i="21"/>
  <c r="S4" i="21"/>
  <c r="Q4" i="21"/>
  <c r="O4" i="21"/>
  <c r="N4" i="21"/>
  <c r="L4" i="21"/>
  <c r="K4" i="21"/>
  <c r="J4" i="21"/>
  <c r="I4" i="21"/>
  <c r="H4" i="21"/>
  <c r="G4" i="21"/>
  <c r="F4" i="21"/>
  <c r="E4" i="21"/>
  <c r="C4" i="21"/>
  <c r="B4" i="21"/>
  <c r="AQ4" i="20"/>
  <c r="AP4" i="20"/>
  <c r="AO4" i="20"/>
  <c r="AN4" i="20"/>
  <c r="AM4" i="20"/>
  <c r="AL4" i="20"/>
  <c r="AK4" i="20"/>
  <c r="AJ4" i="20"/>
  <c r="AI4" i="20"/>
  <c r="AH4" i="20"/>
  <c r="AG4" i="20"/>
  <c r="AF4" i="20"/>
  <c r="AE4" i="20"/>
  <c r="AD4" i="20"/>
  <c r="AC4" i="20"/>
  <c r="Z4" i="20"/>
  <c r="Y4" i="20"/>
  <c r="X4" i="20"/>
  <c r="W4" i="20"/>
  <c r="V4" i="20"/>
  <c r="U4" i="20"/>
  <c r="T4" i="20"/>
  <c r="S4" i="20"/>
  <c r="Q4" i="20"/>
  <c r="O4" i="20"/>
  <c r="N4" i="20"/>
  <c r="L4" i="20"/>
  <c r="K4" i="20"/>
  <c r="J4" i="20"/>
  <c r="I4" i="20"/>
  <c r="H4" i="20"/>
  <c r="G4" i="20"/>
  <c r="F4" i="20"/>
  <c r="E4" i="20"/>
  <c r="C4" i="20"/>
  <c r="B4" i="20"/>
  <c r="AQ4" i="19"/>
  <c r="AP4" i="19"/>
  <c r="AO4" i="19"/>
  <c r="AN4" i="19"/>
  <c r="AM4" i="19"/>
  <c r="AL4" i="19"/>
  <c r="AK4" i="19"/>
  <c r="AJ4" i="19"/>
  <c r="AI4" i="19"/>
  <c r="AH4" i="19"/>
  <c r="AG4" i="19"/>
  <c r="AF4" i="19"/>
  <c r="AE4" i="19"/>
  <c r="AD4" i="19"/>
  <c r="AC4" i="19"/>
  <c r="Z4" i="19"/>
  <c r="Y4" i="19"/>
  <c r="X4" i="19"/>
  <c r="W4" i="19"/>
  <c r="V4" i="19"/>
  <c r="U4" i="19"/>
  <c r="T4" i="19"/>
  <c r="S4" i="19"/>
  <c r="Q4" i="19"/>
  <c r="O4" i="19"/>
  <c r="N4" i="19"/>
  <c r="L4" i="19"/>
  <c r="K4" i="19"/>
  <c r="J4" i="19"/>
  <c r="I4" i="19"/>
  <c r="H4" i="19"/>
  <c r="G4" i="19"/>
  <c r="F4" i="19"/>
  <c r="E4" i="19"/>
  <c r="C4" i="19"/>
  <c r="B4" i="19"/>
  <c r="G3" i="18" l="1"/>
  <c r="F12" i="16" s="1"/>
  <c r="F3" i="18"/>
  <c r="F10" i="16" s="1"/>
  <c r="G2" i="18"/>
  <c r="F11" i="16" s="1"/>
  <c r="F2" i="18"/>
  <c r="F9" i="16" s="1"/>
  <c r="E3" i="18"/>
  <c r="F8" i="16" s="1"/>
  <c r="E2" i="18"/>
  <c r="F7" i="16" s="1"/>
  <c r="D3" i="18"/>
  <c r="C3" i="18"/>
  <c r="F6" i="16" s="1"/>
  <c r="B3" i="18"/>
  <c r="F4" i="16" s="1"/>
  <c r="D2" i="18"/>
  <c r="C2" i="18"/>
  <c r="F5" i="16" s="1"/>
  <c r="B2" i="18"/>
  <c r="F3" i="16" s="1"/>
  <c r="D3" i="21" l="1"/>
  <c r="D3" i="19"/>
  <c r="D3" i="20"/>
  <c r="M3" i="21"/>
  <c r="M3" i="20"/>
  <c r="M3" i="19"/>
  <c r="D5" i="20"/>
  <c r="D5" i="19"/>
  <c r="D5" i="21"/>
  <c r="M5" i="20"/>
  <c r="M5" i="21"/>
  <c r="M5" i="19"/>
  <c r="D2" i="21"/>
  <c r="D2" i="19"/>
  <c r="D2" i="20"/>
  <c r="M2" i="21"/>
  <c r="M2" i="20"/>
  <c r="M2" i="19"/>
  <c r="D6" i="19"/>
  <c r="D6" i="20"/>
  <c r="D6" i="21"/>
  <c r="M6" i="20"/>
  <c r="M6" i="21"/>
  <c r="M6" i="19"/>
  <c r="D7" i="19"/>
  <c r="D7" i="20"/>
  <c r="D7" i="21"/>
  <c r="M7" i="19"/>
  <c r="M7" i="20"/>
  <c r="M7" i="21"/>
  <c r="AQ6" i="21"/>
  <c r="AM6" i="21"/>
  <c r="AI6" i="21"/>
  <c r="AE6" i="21"/>
  <c r="Y6" i="21"/>
  <c r="O6" i="21"/>
  <c r="J6" i="21"/>
  <c r="F6" i="21"/>
  <c r="AQ6" i="20"/>
  <c r="AM6" i="20"/>
  <c r="AI6" i="20"/>
  <c r="AE6" i="20"/>
  <c r="Y6" i="20"/>
  <c r="O6" i="20"/>
  <c r="J6" i="20"/>
  <c r="F6" i="20"/>
  <c r="AP6" i="21"/>
  <c r="AL6" i="21"/>
  <c r="AH6" i="21"/>
  <c r="AD6" i="21"/>
  <c r="X6" i="21"/>
  <c r="T6" i="21"/>
  <c r="N6" i="21"/>
  <c r="I6" i="21"/>
  <c r="E6" i="21"/>
  <c r="AP6" i="20"/>
  <c r="AL6" i="20"/>
  <c r="AH6" i="20"/>
  <c r="AD6" i="20"/>
  <c r="X6" i="20"/>
  <c r="T6" i="20"/>
  <c r="N6" i="20"/>
  <c r="I6" i="20"/>
  <c r="E6" i="20"/>
  <c r="AO6" i="21"/>
  <c r="AK6" i="21"/>
  <c r="AG6" i="21"/>
  <c r="W6" i="21"/>
  <c r="S6" i="21"/>
  <c r="L6" i="21"/>
  <c r="H6" i="21"/>
  <c r="C6" i="21"/>
  <c r="AO6" i="20"/>
  <c r="AK6" i="20"/>
  <c r="AG6" i="20"/>
  <c r="W6" i="20"/>
  <c r="S6" i="20"/>
  <c r="L6" i="20"/>
  <c r="H6" i="20"/>
  <c r="C6" i="20"/>
  <c r="AN6" i="21"/>
  <c r="AJ6" i="21"/>
  <c r="AF6" i="21"/>
  <c r="Z6" i="21"/>
  <c r="V6" i="21"/>
  <c r="Q6" i="21"/>
  <c r="K6" i="21"/>
  <c r="G6" i="21"/>
  <c r="B6" i="21"/>
  <c r="AN6" i="20"/>
  <c r="AJ6" i="20"/>
  <c r="AF6" i="20"/>
  <c r="Z6" i="20"/>
  <c r="V6" i="20"/>
  <c r="Q6" i="20"/>
  <c r="K6" i="20"/>
  <c r="G6" i="20"/>
  <c r="B6" i="20"/>
  <c r="AP6" i="19"/>
  <c r="AL6" i="19"/>
  <c r="AH6" i="19"/>
  <c r="AD6" i="19"/>
  <c r="X6" i="19"/>
  <c r="T6" i="19"/>
  <c r="N6" i="19"/>
  <c r="I6" i="19"/>
  <c r="E6" i="19"/>
  <c r="AO6" i="19"/>
  <c r="AK6" i="19"/>
  <c r="AG6" i="19"/>
  <c r="W6" i="19"/>
  <c r="S6" i="19"/>
  <c r="L6" i="19"/>
  <c r="H6" i="19"/>
  <c r="C6" i="19"/>
  <c r="B6" i="19"/>
  <c r="AN6" i="19"/>
  <c r="AJ6" i="19"/>
  <c r="AF6" i="19"/>
  <c r="Z6" i="19"/>
  <c r="V6" i="19"/>
  <c r="Q6" i="19"/>
  <c r="K6" i="19"/>
  <c r="G6" i="19"/>
  <c r="AQ6" i="19"/>
  <c r="AM6" i="19"/>
  <c r="AI6" i="19"/>
  <c r="AE6" i="19"/>
  <c r="Y6" i="19"/>
  <c r="O6" i="19"/>
  <c r="J6" i="19"/>
  <c r="F6" i="19"/>
  <c r="AQ2" i="21"/>
  <c r="AM2" i="21"/>
  <c r="AI2" i="21"/>
  <c r="AE2" i="21"/>
  <c r="Y2" i="21"/>
  <c r="U2" i="21"/>
  <c r="O2" i="21"/>
  <c r="J2" i="21"/>
  <c r="F2" i="21"/>
  <c r="AQ2" i="20"/>
  <c r="AM2" i="20"/>
  <c r="AI2" i="20"/>
  <c r="AE2" i="20"/>
  <c r="AP2" i="21"/>
  <c r="AL2" i="21"/>
  <c r="AH2" i="21"/>
  <c r="AD2" i="21"/>
  <c r="X2" i="21"/>
  <c r="T2" i="21"/>
  <c r="N2" i="21"/>
  <c r="I2" i="21"/>
  <c r="E2" i="21"/>
  <c r="AP2" i="20"/>
  <c r="AL2" i="20"/>
  <c r="AH2" i="20"/>
  <c r="AD2" i="20"/>
  <c r="AO2" i="21"/>
  <c r="AK2" i="21"/>
  <c r="AG2" i="21"/>
  <c r="W2" i="21"/>
  <c r="S2" i="21"/>
  <c r="L2" i="21"/>
  <c r="H2" i="21"/>
  <c r="C2" i="21"/>
  <c r="AO2" i="20"/>
  <c r="AK2" i="20"/>
  <c r="AG2" i="20"/>
  <c r="AN2" i="21"/>
  <c r="AJ2" i="21"/>
  <c r="AF2" i="21"/>
  <c r="Z2" i="21"/>
  <c r="Q2" i="21"/>
  <c r="K2" i="21"/>
  <c r="G2" i="21"/>
  <c r="B2" i="21"/>
  <c r="AN2" i="20"/>
  <c r="AJ2" i="20"/>
  <c r="AF2" i="20"/>
  <c r="Z2" i="20"/>
  <c r="Y2" i="20"/>
  <c r="U2" i="20"/>
  <c r="O2" i="20"/>
  <c r="J2" i="20"/>
  <c r="F2" i="20"/>
  <c r="AP2" i="19"/>
  <c r="AL2" i="19"/>
  <c r="AH2" i="19"/>
  <c r="AD2" i="19"/>
  <c r="X2" i="19"/>
  <c r="T2" i="19"/>
  <c r="N2" i="19"/>
  <c r="I2" i="19"/>
  <c r="E2" i="19"/>
  <c r="X2" i="20"/>
  <c r="T2" i="20"/>
  <c r="N2" i="20"/>
  <c r="I2" i="20"/>
  <c r="E2" i="20"/>
  <c r="AO2" i="19"/>
  <c r="AK2" i="19"/>
  <c r="AG2" i="19"/>
  <c r="W2" i="19"/>
  <c r="S2" i="19"/>
  <c r="L2" i="19"/>
  <c r="H2" i="19"/>
  <c r="C2" i="19"/>
  <c r="W2" i="20"/>
  <c r="S2" i="20"/>
  <c r="L2" i="20"/>
  <c r="H2" i="20"/>
  <c r="C2" i="20"/>
  <c r="AN2" i="19"/>
  <c r="AJ2" i="19"/>
  <c r="AF2" i="19"/>
  <c r="Z2" i="19"/>
  <c r="Q2" i="19"/>
  <c r="K2" i="19"/>
  <c r="G2" i="19"/>
  <c r="Q2" i="20"/>
  <c r="K2" i="20"/>
  <c r="G2" i="20"/>
  <c r="B2" i="20"/>
  <c r="AQ2" i="19"/>
  <c r="AM2" i="19"/>
  <c r="AI2" i="19"/>
  <c r="AE2" i="19"/>
  <c r="Y2" i="19"/>
  <c r="U2" i="19"/>
  <c r="O2" i="19"/>
  <c r="J2" i="19"/>
  <c r="F2" i="19"/>
  <c r="B2" i="19"/>
  <c r="AQ7" i="21"/>
  <c r="AM7" i="21"/>
  <c r="AI7" i="21"/>
  <c r="AE7" i="21"/>
  <c r="Y7" i="21"/>
  <c r="O7" i="21"/>
  <c r="J7" i="21"/>
  <c r="F7" i="21"/>
  <c r="AQ7" i="20"/>
  <c r="AM7" i="20"/>
  <c r="AI7" i="20"/>
  <c r="AE7" i="20"/>
  <c r="Y7" i="20"/>
  <c r="O7" i="20"/>
  <c r="J7" i="20"/>
  <c r="F7" i="20"/>
  <c r="AP7" i="21"/>
  <c r="AL7" i="21"/>
  <c r="AH7" i="21"/>
  <c r="AD7" i="21"/>
  <c r="X7" i="21"/>
  <c r="T7" i="21"/>
  <c r="N7" i="21"/>
  <c r="I7" i="21"/>
  <c r="E7" i="21"/>
  <c r="AP7" i="20"/>
  <c r="AL7" i="20"/>
  <c r="AH7" i="20"/>
  <c r="AD7" i="20"/>
  <c r="X7" i="20"/>
  <c r="T7" i="20"/>
  <c r="N7" i="20"/>
  <c r="I7" i="20"/>
  <c r="E7" i="20"/>
  <c r="AO7" i="21"/>
  <c r="AK7" i="21"/>
  <c r="AG7" i="21"/>
  <c r="W7" i="21"/>
  <c r="S7" i="21"/>
  <c r="L7" i="21"/>
  <c r="H7" i="21"/>
  <c r="C7" i="21"/>
  <c r="AO7" i="20"/>
  <c r="AK7" i="20"/>
  <c r="AG7" i="20"/>
  <c r="W7" i="20"/>
  <c r="S7" i="20"/>
  <c r="L7" i="20"/>
  <c r="H7" i="20"/>
  <c r="C7" i="20"/>
  <c r="AN7" i="21"/>
  <c r="AJ7" i="21"/>
  <c r="AF7" i="21"/>
  <c r="Z7" i="21"/>
  <c r="V7" i="21"/>
  <c r="Q7" i="21"/>
  <c r="K7" i="21"/>
  <c r="G7" i="21"/>
  <c r="B7" i="21"/>
  <c r="AN7" i="20"/>
  <c r="AJ7" i="20"/>
  <c r="AF7" i="20"/>
  <c r="Z7" i="20"/>
  <c r="V7" i="20"/>
  <c r="Q7" i="20"/>
  <c r="K7" i="20"/>
  <c r="G7" i="20"/>
  <c r="B7" i="20"/>
  <c r="AQ7" i="19"/>
  <c r="AM7" i="19"/>
  <c r="AI7" i="19"/>
  <c r="AE7" i="19"/>
  <c r="Y7" i="19"/>
  <c r="O7" i="19"/>
  <c r="J7" i="19"/>
  <c r="F7" i="19"/>
  <c r="AP7" i="19"/>
  <c r="AL7" i="19"/>
  <c r="AH7" i="19"/>
  <c r="AD7" i="19"/>
  <c r="X7" i="19"/>
  <c r="T7" i="19"/>
  <c r="N7" i="19"/>
  <c r="I7" i="19"/>
  <c r="E7" i="19"/>
  <c r="AO7" i="19"/>
  <c r="AK7" i="19"/>
  <c r="AG7" i="19"/>
  <c r="W7" i="19"/>
  <c r="S7" i="19"/>
  <c r="L7" i="19"/>
  <c r="H7" i="19"/>
  <c r="C7" i="19"/>
  <c r="B7" i="19"/>
  <c r="AN7" i="19"/>
  <c r="AJ7" i="19"/>
  <c r="AF7" i="19"/>
  <c r="Z7" i="19"/>
  <c r="V7" i="19"/>
  <c r="Q7" i="19"/>
  <c r="K7" i="19"/>
  <c r="G7" i="19"/>
  <c r="AQ3" i="21"/>
  <c r="AM3" i="21"/>
  <c r="AI3" i="21"/>
  <c r="AE3" i="21"/>
  <c r="Y3" i="21"/>
  <c r="U3" i="21"/>
  <c r="O3" i="21"/>
  <c r="J3" i="21"/>
  <c r="F3" i="21"/>
  <c r="AQ3" i="20"/>
  <c r="AM3" i="20"/>
  <c r="AI3" i="20"/>
  <c r="AE3" i="20"/>
  <c r="Y3" i="20"/>
  <c r="U3" i="20"/>
  <c r="O3" i="20"/>
  <c r="J3" i="20"/>
  <c r="F3" i="20"/>
  <c r="AP3" i="21"/>
  <c r="AL3" i="21"/>
  <c r="AH3" i="21"/>
  <c r="AD3" i="21"/>
  <c r="X3" i="21"/>
  <c r="T3" i="21"/>
  <c r="N3" i="21"/>
  <c r="I3" i="21"/>
  <c r="E3" i="21"/>
  <c r="AP3" i="20"/>
  <c r="AL3" i="20"/>
  <c r="AH3" i="20"/>
  <c r="AD3" i="20"/>
  <c r="X3" i="20"/>
  <c r="T3" i="20"/>
  <c r="N3" i="20"/>
  <c r="I3" i="20"/>
  <c r="E3" i="20"/>
  <c r="AO3" i="21"/>
  <c r="AK3" i="21"/>
  <c r="AG3" i="21"/>
  <c r="W3" i="21"/>
  <c r="S3" i="21"/>
  <c r="L3" i="21"/>
  <c r="H3" i="21"/>
  <c r="C3" i="21"/>
  <c r="AO3" i="20"/>
  <c r="AK3" i="20"/>
  <c r="AG3" i="20"/>
  <c r="W3" i="20"/>
  <c r="S3" i="20"/>
  <c r="L3" i="20"/>
  <c r="H3" i="20"/>
  <c r="C3" i="20"/>
  <c r="AN3" i="21"/>
  <c r="AJ3" i="21"/>
  <c r="AF3" i="21"/>
  <c r="Z3" i="21"/>
  <c r="Q3" i="21"/>
  <c r="K3" i="21"/>
  <c r="G3" i="21"/>
  <c r="B3" i="21"/>
  <c r="AN3" i="20"/>
  <c r="AJ3" i="20"/>
  <c r="AF3" i="20"/>
  <c r="Z3" i="20"/>
  <c r="Q3" i="20"/>
  <c r="K3" i="20"/>
  <c r="G3" i="20"/>
  <c r="B3" i="20"/>
  <c r="AQ3" i="19"/>
  <c r="AM3" i="19"/>
  <c r="AI3" i="19"/>
  <c r="AE3" i="19"/>
  <c r="Y3" i="19"/>
  <c r="U3" i="19"/>
  <c r="O3" i="19"/>
  <c r="J3" i="19"/>
  <c r="F3" i="19"/>
  <c r="AP3" i="19"/>
  <c r="AL3" i="19"/>
  <c r="AH3" i="19"/>
  <c r="AD3" i="19"/>
  <c r="X3" i="19"/>
  <c r="T3" i="19"/>
  <c r="N3" i="19"/>
  <c r="I3" i="19"/>
  <c r="E3" i="19"/>
  <c r="AO3" i="19"/>
  <c r="AK3" i="19"/>
  <c r="AG3" i="19"/>
  <c r="W3" i="19"/>
  <c r="S3" i="19"/>
  <c r="L3" i="19"/>
  <c r="H3" i="19"/>
  <c r="C3" i="19"/>
  <c r="B3" i="19"/>
  <c r="AN3" i="19"/>
  <c r="AJ3" i="19"/>
  <c r="AF3" i="19"/>
  <c r="Z3" i="19"/>
  <c r="Q3" i="19"/>
  <c r="K3" i="19"/>
  <c r="G3" i="19"/>
  <c r="AQ5" i="21"/>
  <c r="AM5" i="21"/>
  <c r="AI5" i="21"/>
  <c r="AE5" i="21"/>
  <c r="Y5" i="21"/>
  <c r="O5" i="21"/>
  <c r="J5" i="21"/>
  <c r="F5" i="21"/>
  <c r="AQ5" i="20"/>
  <c r="AM5" i="20"/>
  <c r="AI5" i="20"/>
  <c r="AE5" i="20"/>
  <c r="Y5" i="20"/>
  <c r="O5" i="20"/>
  <c r="J5" i="20"/>
  <c r="F5" i="20"/>
  <c r="AP5" i="21"/>
  <c r="AL5" i="21"/>
  <c r="AH5" i="21"/>
  <c r="AD5" i="21"/>
  <c r="X5" i="21"/>
  <c r="T5" i="21"/>
  <c r="N5" i="21"/>
  <c r="I5" i="21"/>
  <c r="E5" i="21"/>
  <c r="AP5" i="20"/>
  <c r="AL5" i="20"/>
  <c r="AH5" i="20"/>
  <c r="AD5" i="20"/>
  <c r="X5" i="20"/>
  <c r="T5" i="20"/>
  <c r="N5" i="20"/>
  <c r="I5" i="20"/>
  <c r="E5" i="20"/>
  <c r="AO5" i="21"/>
  <c r="AK5" i="21"/>
  <c r="AG5" i="21"/>
  <c r="W5" i="21"/>
  <c r="S5" i="21"/>
  <c r="L5" i="21"/>
  <c r="H5" i="21"/>
  <c r="C5" i="21"/>
  <c r="AO5" i="20"/>
  <c r="AK5" i="20"/>
  <c r="AG5" i="20"/>
  <c r="W5" i="20"/>
  <c r="S5" i="20"/>
  <c r="L5" i="20"/>
  <c r="H5" i="20"/>
  <c r="C5" i="20"/>
  <c r="AN5" i="21"/>
  <c r="AJ5" i="21"/>
  <c r="AF5" i="21"/>
  <c r="Z5" i="21"/>
  <c r="V5" i="21"/>
  <c r="Q5" i="21"/>
  <c r="K5" i="21"/>
  <c r="G5" i="21"/>
  <c r="B5" i="21"/>
  <c r="AN5" i="20"/>
  <c r="AJ5" i="20"/>
  <c r="AF5" i="20"/>
  <c r="Z5" i="20"/>
  <c r="V5" i="20"/>
  <c r="Q5" i="20"/>
  <c r="K5" i="20"/>
  <c r="G5" i="20"/>
  <c r="B5" i="20"/>
  <c r="AO5" i="19"/>
  <c r="AK5" i="19"/>
  <c r="AG5" i="19"/>
  <c r="W5" i="19"/>
  <c r="S5" i="19"/>
  <c r="L5" i="19"/>
  <c r="H5" i="19"/>
  <c r="C5" i="19"/>
  <c r="B5" i="19"/>
  <c r="AN5" i="19"/>
  <c r="AJ5" i="19"/>
  <c r="AF5" i="19"/>
  <c r="Z5" i="19"/>
  <c r="V5" i="19"/>
  <c r="Q5" i="19"/>
  <c r="K5" i="19"/>
  <c r="G5" i="19"/>
  <c r="AQ5" i="19"/>
  <c r="AM5" i="19"/>
  <c r="AI5" i="19"/>
  <c r="AE5" i="19"/>
  <c r="Y5" i="19"/>
  <c r="O5" i="19"/>
  <c r="J5" i="19"/>
  <c r="F5" i="19"/>
  <c r="AP5" i="19"/>
  <c r="AL5" i="19"/>
  <c r="AH5" i="19"/>
  <c r="AD5" i="19"/>
  <c r="X5" i="19"/>
  <c r="T5" i="19"/>
  <c r="N5" i="19"/>
  <c r="I5" i="19"/>
  <c r="E5" i="19"/>
  <c r="C102" i="10"/>
  <c r="C103" i="10"/>
  <c r="C101" i="10"/>
  <c r="C97" i="10"/>
  <c r="C98" i="10"/>
  <c r="C96" i="10"/>
  <c r="E95" i="10" s="1"/>
  <c r="F95" i="10" s="1"/>
  <c r="E6" i="16" s="1"/>
  <c r="AC3" i="21" s="1"/>
  <c r="C91" i="10"/>
  <c r="C90" i="10"/>
  <c r="C89" i="10"/>
  <c r="C67" i="10"/>
  <c r="C64" i="10"/>
  <c r="C59" i="10"/>
  <c r="C56" i="10"/>
  <c r="C51" i="10"/>
  <c r="C48" i="10"/>
  <c r="E39" i="10"/>
  <c r="F39" i="10" s="1"/>
  <c r="C8" i="16" s="1"/>
  <c r="AC5" i="19" s="1"/>
  <c r="E34" i="10"/>
  <c r="F34" i="10" s="1"/>
  <c r="D28" i="10"/>
  <c r="E28" i="10" s="1"/>
  <c r="D29" i="10"/>
  <c r="E29" i="10" s="1"/>
  <c r="D30" i="10"/>
  <c r="E30" i="10" s="1"/>
  <c r="D27" i="10"/>
  <c r="D23" i="10"/>
  <c r="E23" i="10" s="1"/>
  <c r="D24" i="10"/>
  <c r="E24" i="10" s="1"/>
  <c r="D25" i="10"/>
  <c r="E25" i="10" s="1"/>
  <c r="D16" i="10"/>
  <c r="E16" i="10" s="1"/>
  <c r="D17" i="10"/>
  <c r="D7" i="10"/>
  <c r="E7" i="10" s="1"/>
  <c r="D9" i="10"/>
  <c r="E9" i="10" s="1"/>
  <c r="D10" i="10"/>
  <c r="D11" i="10"/>
  <c r="E11" i="10" s="1"/>
  <c r="D12" i="10"/>
  <c r="E12" i="10" s="1"/>
  <c r="D13" i="10"/>
  <c r="E13" i="10" s="1"/>
  <c r="E10" i="10"/>
  <c r="E27" i="10"/>
  <c r="C4" i="14"/>
  <c r="I4" i="14"/>
  <c r="C5" i="14"/>
  <c r="I5" i="14"/>
  <c r="C6" i="14"/>
  <c r="I6" i="14"/>
  <c r="C7" i="14"/>
  <c r="I7" i="14"/>
  <c r="C8" i="14"/>
  <c r="I8" i="14"/>
  <c r="C9" i="14"/>
  <c r="I9" i="14"/>
  <c r="C10" i="14"/>
  <c r="I10" i="14"/>
  <c r="C11" i="14"/>
  <c r="I11" i="14"/>
  <c r="C12" i="14"/>
  <c r="I12" i="14"/>
  <c r="C13" i="14"/>
  <c r="I13" i="14"/>
  <c r="C14" i="14"/>
  <c r="I14" i="14"/>
  <c r="C15" i="14"/>
  <c r="I15" i="14"/>
  <c r="C16" i="14"/>
  <c r="I16" i="14"/>
  <c r="C17" i="14"/>
  <c r="I17" i="14"/>
  <c r="C18" i="14"/>
  <c r="I18" i="14"/>
  <c r="C19" i="14"/>
  <c r="I19" i="14"/>
  <c r="C20" i="14"/>
  <c r="I20" i="14"/>
  <c r="C21" i="14"/>
  <c r="I21" i="14"/>
  <c r="C22" i="14"/>
  <c r="I22" i="14"/>
  <c r="C23" i="14"/>
  <c r="I23" i="14"/>
  <c r="C24" i="14"/>
  <c r="I24" i="14"/>
  <c r="C25" i="14"/>
  <c r="I25" i="14"/>
  <c r="C26" i="14"/>
  <c r="I26" i="14"/>
  <c r="C27" i="14"/>
  <c r="I27" i="14"/>
  <c r="C28" i="14"/>
  <c r="I28" i="14"/>
  <c r="C29" i="14"/>
  <c r="I29" i="14"/>
  <c r="C30" i="14"/>
  <c r="I30" i="14"/>
  <c r="C31" i="14"/>
  <c r="I31" i="14"/>
  <c r="C32" i="14"/>
  <c r="I32" i="14"/>
  <c r="C33" i="14"/>
  <c r="I33" i="14"/>
  <c r="C34" i="14"/>
  <c r="I34" i="14"/>
  <c r="C35" i="14"/>
  <c r="I35" i="14"/>
  <c r="C36" i="14"/>
  <c r="I36" i="14"/>
  <c r="C37" i="14"/>
  <c r="I37" i="14"/>
  <c r="C38" i="14"/>
  <c r="I38" i="14"/>
  <c r="C39" i="14"/>
  <c r="I39" i="14"/>
  <c r="C40" i="14"/>
  <c r="I40" i="14"/>
  <c r="C41" i="14"/>
  <c r="I41" i="14"/>
  <c r="C42" i="14"/>
  <c r="I42" i="14"/>
  <c r="I43" i="14"/>
  <c r="C46" i="14"/>
  <c r="I46" i="14"/>
  <c r="C47" i="14"/>
  <c r="I47" i="14"/>
  <c r="C48" i="14"/>
  <c r="I48" i="14"/>
  <c r="C49" i="14"/>
  <c r="I49" i="14"/>
  <c r="C50" i="14"/>
  <c r="I50" i="14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F22" i="13"/>
  <c r="I22" i="13"/>
  <c r="I23" i="13"/>
  <c r="I24" i="13"/>
  <c r="I25" i="13"/>
  <c r="I26" i="13"/>
  <c r="I27" i="13"/>
  <c r="I28" i="13"/>
  <c r="F29" i="13"/>
  <c r="I29" i="13"/>
  <c r="I30" i="13"/>
  <c r="I31" i="13"/>
  <c r="I32" i="13"/>
  <c r="I33" i="13"/>
  <c r="I34" i="13"/>
  <c r="I35" i="13"/>
  <c r="I36" i="13"/>
  <c r="I37" i="13"/>
  <c r="F38" i="13"/>
  <c r="I38" i="13"/>
  <c r="I39" i="13"/>
  <c r="I40" i="13"/>
  <c r="I41" i="13"/>
  <c r="F11" i="13" l="1"/>
  <c r="F19" i="13"/>
  <c r="F32" i="13"/>
  <c r="F10" i="13"/>
  <c r="F31" i="13"/>
  <c r="F18" i="13"/>
  <c r="F9" i="13"/>
  <c r="F6" i="13"/>
  <c r="F34" i="13"/>
  <c r="F14" i="13"/>
  <c r="E43" i="14"/>
  <c r="E19" i="14" s="1"/>
  <c r="D62" i="10" s="1"/>
  <c r="E62" i="10" s="1"/>
  <c r="F62" i="10" s="1"/>
  <c r="G22" i="13"/>
  <c r="G21" i="13" s="1"/>
  <c r="D19" i="10" s="1"/>
  <c r="E19" i="10" s="1"/>
  <c r="F15" i="13"/>
  <c r="F8" i="13"/>
  <c r="F33" i="13"/>
  <c r="F28" i="13"/>
  <c r="F26" i="13"/>
  <c r="F24" i="13"/>
  <c r="F21" i="13"/>
  <c r="F7" i="13"/>
  <c r="E51" i="14"/>
  <c r="E47" i="14" s="1"/>
  <c r="D90" i="10" s="1"/>
  <c r="E90" i="10" s="1"/>
  <c r="D7" i="16"/>
  <c r="U5" i="20" s="1"/>
  <c r="G15" i="13"/>
  <c r="G7" i="13" s="1"/>
  <c r="D6" i="10" s="1"/>
  <c r="E6" i="10" s="1"/>
  <c r="G29" i="13"/>
  <c r="G24" i="13" s="1"/>
  <c r="D21" i="10" s="1"/>
  <c r="E21" i="10" s="1"/>
  <c r="C7" i="16"/>
  <c r="U5" i="19" s="1"/>
  <c r="D8" i="16"/>
  <c r="AC5" i="20" s="1"/>
  <c r="E5" i="16"/>
  <c r="V3" i="21" s="1"/>
  <c r="F36" i="13"/>
  <c r="G36" i="13" s="1"/>
  <c r="D32" i="10" s="1"/>
  <c r="E32" i="10" s="1"/>
  <c r="F27" i="13"/>
  <c r="F25" i="13"/>
  <c r="F17" i="13"/>
  <c r="F37" i="13"/>
  <c r="G37" i="13" s="1"/>
  <c r="D33" i="10" s="1"/>
  <c r="E33" i="10" s="1"/>
  <c r="F20" i="13"/>
  <c r="F13" i="13"/>
  <c r="G38" i="13"/>
  <c r="E100" i="10"/>
  <c r="E26" i="10"/>
  <c r="F26" i="10" s="1"/>
  <c r="E17" i="10"/>
  <c r="D51" i="14"/>
  <c r="D48" i="14" s="1"/>
  <c r="C51" i="14"/>
  <c r="D43" i="14"/>
  <c r="D42" i="14" s="1"/>
  <c r="F12" i="13"/>
  <c r="G17" i="13" l="1"/>
  <c r="D15" i="10" s="1"/>
  <c r="E15" i="10" s="1"/>
  <c r="E31" i="10"/>
  <c r="F31" i="10" s="1"/>
  <c r="G6" i="13"/>
  <c r="D5" i="10" s="1"/>
  <c r="E5" i="10" s="1"/>
  <c r="E3" i="14"/>
  <c r="D46" i="10" s="1"/>
  <c r="E46" i="10" s="1"/>
  <c r="E11" i="14"/>
  <c r="D54" i="10" s="1"/>
  <c r="E54" i="10" s="1"/>
  <c r="F54" i="10" s="1"/>
  <c r="G20" i="13"/>
  <c r="D18" i="10" s="1"/>
  <c r="E46" i="14"/>
  <c r="D89" i="10" s="1"/>
  <c r="E89" i="10" s="1"/>
  <c r="E48" i="14"/>
  <c r="D91" i="10" s="1"/>
  <c r="E91" i="10" s="1"/>
  <c r="G25" i="13"/>
  <c r="D22" i="10" s="1"/>
  <c r="E22" i="10" s="1"/>
  <c r="E20" i="10" s="1"/>
  <c r="F100" i="10"/>
  <c r="E8" i="16" s="1"/>
  <c r="AC5" i="21" s="1"/>
  <c r="E7" i="16"/>
  <c r="U5" i="21" s="1"/>
  <c r="G9" i="13"/>
  <c r="D8" i="10" s="1"/>
  <c r="E8" i="10" s="1"/>
  <c r="E45" i="10"/>
  <c r="F46" i="10"/>
  <c r="D4" i="14"/>
  <c r="D31" i="14"/>
  <c r="D19" i="14"/>
  <c r="D33" i="14"/>
  <c r="D34" i="14"/>
  <c r="D5" i="14"/>
  <c r="D41" i="14"/>
  <c r="D38" i="14"/>
  <c r="D12" i="14"/>
  <c r="D20" i="14"/>
  <c r="D28" i="14"/>
  <c r="D36" i="14"/>
  <c r="D37" i="14"/>
  <c r="D14" i="14"/>
  <c r="D22" i="14"/>
  <c r="D30" i="14"/>
  <c r="D8" i="14"/>
  <c r="D16" i="14"/>
  <c r="D24" i="14"/>
  <c r="D32" i="14"/>
  <c r="D40" i="14"/>
  <c r="D6" i="14"/>
  <c r="D15" i="14"/>
  <c r="D9" i="14"/>
  <c r="D23" i="14"/>
  <c r="D11" i="14"/>
  <c r="D17" i="14"/>
  <c r="D27" i="14"/>
  <c r="D35" i="14"/>
  <c r="D49" i="14"/>
  <c r="D50" i="14"/>
  <c r="D21" i="14"/>
  <c r="D10" i="14"/>
  <c r="D46" i="14"/>
  <c r="D13" i="14"/>
  <c r="D25" i="14"/>
  <c r="D18" i="14"/>
  <c r="D7" i="14"/>
  <c r="D47" i="14"/>
  <c r="D29" i="14"/>
  <c r="D26" i="14"/>
  <c r="D39" i="14"/>
  <c r="E4" i="10" l="1"/>
  <c r="C3" i="16" s="1"/>
  <c r="V2" i="19" s="1"/>
  <c r="E18" i="10"/>
  <c r="E14" i="10" s="1"/>
  <c r="D14" i="10"/>
  <c r="D4" i="10"/>
  <c r="F20" i="10"/>
  <c r="E41" i="10"/>
  <c r="E88" i="10"/>
  <c r="F45" i="10"/>
  <c r="E4" i="16" s="1"/>
  <c r="AC2" i="21" s="1"/>
  <c r="E3" i="16"/>
  <c r="V2" i="21" s="1"/>
  <c r="F4" i="10" l="1"/>
  <c r="D4" i="16" s="1"/>
  <c r="AC2" i="20" s="1"/>
  <c r="D3" i="16"/>
  <c r="V2" i="20" s="1"/>
  <c r="C5" i="16"/>
  <c r="V3" i="19" s="1"/>
  <c r="F14" i="10"/>
  <c r="D5" i="16"/>
  <c r="V3" i="20" s="1"/>
  <c r="F88" i="10"/>
  <c r="E10" i="16" s="1"/>
  <c r="E9" i="16"/>
  <c r="D9" i="16"/>
  <c r="F41" i="10"/>
  <c r="C9" i="16"/>
  <c r="C4" i="16" l="1"/>
  <c r="AC2" i="19" s="1"/>
  <c r="U6" i="20"/>
  <c r="D11" i="16"/>
  <c r="U7" i="20" s="1"/>
  <c r="C6" i="16"/>
  <c r="AC3" i="19" s="1"/>
  <c r="D6" i="16"/>
  <c r="AC3" i="20" s="1"/>
  <c r="U6" i="19"/>
  <c r="C11" i="16"/>
  <c r="U7" i="19" s="1"/>
  <c r="AC6" i="21"/>
  <c r="E12" i="16"/>
  <c r="AC7" i="21" s="1"/>
  <c r="U6" i="21"/>
  <c r="E11" i="16"/>
  <c r="U7" i="21" s="1"/>
  <c r="D10" i="16"/>
  <c r="C10" i="16"/>
  <c r="AC6" i="19" l="1"/>
  <c r="C12" i="16"/>
  <c r="AC7" i="19" s="1"/>
  <c r="AC6" i="20"/>
  <c r="D12" i="16"/>
  <c r="AC7" i="20" s="1"/>
</calcChain>
</file>

<file path=xl/sharedStrings.xml><?xml version="1.0" encoding="utf-8"?>
<sst xmlns="http://schemas.openxmlformats.org/spreadsheetml/2006/main" count="2682" uniqueCount="614">
  <si>
    <t>Notes</t>
  </si>
  <si>
    <t>Total</t>
  </si>
  <si>
    <t>Equipment</t>
  </si>
  <si>
    <t>Labor</t>
  </si>
  <si>
    <t>D01T03: Agriculture, forestry and fishing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</si>
  <si>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</si>
  <si>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</si>
  <si>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</si>
  <si>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</si>
  <si>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</si>
  <si>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</si>
  <si>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</si>
  <si>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D22: Rubber and plastic products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</si>
  <si>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</si>
  <si>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</si>
  <si>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</si>
  <si>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</si>
  <si>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</si>
  <si>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</si>
  <si>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</si>
  <si>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</si>
  <si>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</si>
  <si>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</si>
  <si>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</si>
  <si>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</si>
  <si>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</si>
  <si>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</si>
  <si>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</si>
  <si>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</si>
  <si>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</si>
  <si>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</si>
  <si>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</si>
  <si>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</si>
  <si>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</si>
  <si>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</si>
  <si>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</si>
  <si>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</si>
  <si>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</si>
  <si>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</si>
  <si>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</si>
  <si>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</si>
  <si>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</si>
  <si>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</si>
  <si>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</si>
  <si>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</si>
  <si>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</si>
  <si>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</si>
  <si>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</si>
  <si>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</si>
  <si>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</si>
  <si>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</si>
  <si>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</si>
  <si>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</si>
  <si>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</si>
  <si>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</si>
  <si>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</si>
  <si>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</si>
  <si>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</si>
  <si>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</si>
  <si>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</si>
  <si>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</si>
  <si>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</si>
  <si>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</si>
  <si>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</si>
  <si>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</si>
  <si>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</si>
  <si>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OECD Code</t>
  </si>
  <si>
    <t>ISIC Code</t>
  </si>
  <si>
    <t>ISIC Mapping</t>
  </si>
  <si>
    <t>Sources:</t>
  </si>
  <si>
    <t>Solar Thermal</t>
  </si>
  <si>
    <t>Notes:</t>
  </si>
  <si>
    <t>Other</t>
  </si>
  <si>
    <t>EIA</t>
  </si>
  <si>
    <t>Building Sector Appliance and Equipment Costs and Efficiencies</t>
  </si>
  <si>
    <t>"Updated Buildings Sector Appliance and Equipment Costs and Efficiencies"</t>
  </si>
  <si>
    <t>https://www.eia.gov/analysis/studies/buildings/equipcosts/pdf/full.pdf</t>
  </si>
  <si>
    <t>Commercial Equipment Prevalence</t>
  </si>
  <si>
    <t>https://www.eia.gov/consumption/commercial/data/2012/#b38-b46</t>
  </si>
  <si>
    <t>Residential Equipment Prevelance</t>
  </si>
  <si>
    <t>Table 21.  Residential Sector Equipment Stock and Efficiency, and Distributed Generation</t>
  </si>
  <si>
    <t>Source: U.S. Energy Information Administration</t>
  </si>
  <si>
    <t>full name</t>
  </si>
  <si>
    <t>api key</t>
  </si>
  <si>
    <t>units</t>
  </si>
  <si>
    <t>Equipment Stock (million units)</t>
  </si>
  <si>
    <t>Main Space Heaters</t>
  </si>
  <si>
    <t>Electric Heat Pumps</t>
  </si>
  <si>
    <t>millions</t>
  </si>
  <si>
    <t>Electric Other</t>
  </si>
  <si>
    <t>Natural Gas Heat Pumps</t>
  </si>
  <si>
    <t>Natural Gas Other</t>
  </si>
  <si>
    <t>Distillate Fuel Oil</t>
  </si>
  <si>
    <t>Propane</t>
  </si>
  <si>
    <t>Kerosene</t>
  </si>
  <si>
    <t>Wood Stoves</t>
  </si>
  <si>
    <t>Geothermal Heat Pumps</t>
  </si>
  <si>
    <t>Space Cooling (million units)</t>
  </si>
  <si>
    <t>Central Air Conditioners</t>
  </si>
  <si>
    <t>Room Air Conditioners</t>
  </si>
  <si>
    <t>Water Heaters (million units)</t>
  </si>
  <si>
    <t>Electric</t>
  </si>
  <si>
    <t>Natural Gas</t>
  </si>
  <si>
    <t>Cooking Equipment (million units)</t>
  </si>
  <si>
    <t>Clothes Dryers (million units)</t>
  </si>
  <si>
    <t>Other Appliances (million units)</t>
  </si>
  <si>
    <t>Refrigerators</t>
  </si>
  <si>
    <t>Freezers</t>
  </si>
  <si>
    <t>Stock Average Equipment Efficiency</t>
  </si>
  <si>
    <t>Electric Heat Pumps (HSPF)</t>
  </si>
  <si>
    <t>HSPF</t>
  </si>
  <si>
    <t>Natural Gas Heat Pumps (GCOP)</t>
  </si>
  <si>
    <t>GCOP</t>
  </si>
  <si>
    <t>Geothermal Heat Pumps (COP)</t>
  </si>
  <si>
    <t>COP</t>
  </si>
  <si>
    <t>Natural Gas Furnace (AFUE)</t>
  </si>
  <si>
    <t>AFUE</t>
  </si>
  <si>
    <t>Distillate Furnace (AFUE)</t>
  </si>
  <si>
    <t>Space Cooling</t>
  </si>
  <si>
    <t>Electric Heat Pumps (SEER)</t>
  </si>
  <si>
    <t>SEER</t>
  </si>
  <si>
    <t>Geothermal Heat Pumps (EER)</t>
  </si>
  <si>
    <t>EER</t>
  </si>
  <si>
    <t>Central Air Conditioners (SEER)</t>
  </si>
  <si>
    <t>Room Air Conditioners (EER)</t>
  </si>
  <si>
    <t>Water Heaters</t>
  </si>
  <si>
    <t>Electric (EF)</t>
  </si>
  <si>
    <t>EF</t>
  </si>
  <si>
    <t>Natural Gas (EF)</t>
  </si>
  <si>
    <t>Distillate Fuel Oil (EF)</t>
  </si>
  <si>
    <t>Propane (EF)</t>
  </si>
  <si>
    <t>Other Appliances (kilowatthours per year)</t>
  </si>
  <si>
    <t>kWh</t>
  </si>
  <si>
    <t>Building Shell Efficiency Index</t>
  </si>
  <si>
    <t>Space Heating</t>
  </si>
  <si>
    <t>2015=1.00</t>
  </si>
  <si>
    <t>New Construction</t>
  </si>
  <si>
    <t>All Homes</t>
  </si>
  <si>
    <t>Distributed Generation and</t>
  </si>
  <si>
    <t>Combined Heat and Power</t>
  </si>
  <si>
    <t>Generating Capacity (gigawatts)</t>
  </si>
  <si>
    <t>Natural Gas Fuel Cells</t>
  </si>
  <si>
    <t>GW</t>
  </si>
  <si>
    <t>Solar Photovoltaic</t>
  </si>
  <si>
    <t>Wind</t>
  </si>
  <si>
    <t>Net Generation (billion kilowatthours)</t>
  </si>
  <si>
    <t>billion kWh</t>
  </si>
  <si>
    <t>Disposition</t>
  </si>
  <si>
    <t>Sales to the Grid</t>
  </si>
  <si>
    <t>Generation for Own Use</t>
  </si>
  <si>
    <t>Energy Input (trillion Btu)</t>
  </si>
  <si>
    <t>trillion Btu</t>
  </si>
  <si>
    <t>Release date: April 2015 Revised date: May 2016</t>
  </si>
  <si>
    <t>Table B39.  Heating equipment, floorspace, 2012</t>
  </si>
  <si>
    <t>Total floorspace (million square feet)</t>
  </si>
  <si>
    <t>All
buildings</t>
  </si>
  <si>
    <t>Buildings with space heating</t>
  </si>
  <si>
    <t>Heating equipment (more than one may apply)</t>
  </si>
  <si>
    <t>Heat
pumps</t>
  </si>
  <si>
    <t>Furnaces</t>
  </si>
  <si>
    <t>Indiv-
idual space heaters</t>
  </si>
  <si>
    <t>District
heat</t>
  </si>
  <si>
    <t>Boilers</t>
  </si>
  <si>
    <t>Pack-
aged heating units</t>
  </si>
  <si>
    <t>All buildings</t>
  </si>
  <si>
    <t>Building floorspace (square feet)</t>
  </si>
  <si>
    <t/>
  </si>
  <si>
    <t xml:space="preserve">1,001 to 5,000 </t>
  </si>
  <si>
    <t>Q</t>
  </si>
  <si>
    <t xml:space="preserve">5,001 to 10,000 </t>
  </si>
  <si>
    <t>10,001 to 25,000</t>
  </si>
  <si>
    <t>25,001 to 50,000</t>
  </si>
  <si>
    <t xml:space="preserve">50,001 to 100,000 </t>
  </si>
  <si>
    <t xml:space="preserve">100,001 to 200,000 </t>
  </si>
  <si>
    <t xml:space="preserve">200,001 to 500,000 </t>
  </si>
  <si>
    <t xml:space="preserve">Over 500,000 </t>
  </si>
  <si>
    <t>Principal building activity</t>
  </si>
  <si>
    <t>Education</t>
  </si>
  <si>
    <t xml:space="preserve">Food sales </t>
  </si>
  <si>
    <t>N</t>
  </si>
  <si>
    <t xml:space="preserve">Food service </t>
  </si>
  <si>
    <t xml:space="preserve">Health care </t>
  </si>
  <si>
    <t xml:space="preserve">  Inpatient </t>
  </si>
  <si>
    <t xml:space="preserve">  Outpatient </t>
  </si>
  <si>
    <t xml:space="preserve">Lodging </t>
  </si>
  <si>
    <t xml:space="preserve">Mercantile </t>
  </si>
  <si>
    <t xml:space="preserve">Retail (other than mall) </t>
  </si>
  <si>
    <t xml:space="preserve">Enclosed and strip malls </t>
  </si>
  <si>
    <t xml:space="preserve">Office </t>
  </si>
  <si>
    <t xml:space="preserve">Public assembly </t>
  </si>
  <si>
    <t xml:space="preserve">Public order and safety </t>
  </si>
  <si>
    <t xml:space="preserve">Religious worship </t>
  </si>
  <si>
    <t xml:space="preserve">Service </t>
  </si>
  <si>
    <t xml:space="preserve">Warehouse and storage </t>
  </si>
  <si>
    <t xml:space="preserve">Other </t>
  </si>
  <si>
    <t xml:space="preserve">Vacant </t>
  </si>
  <si>
    <t>Year constructed</t>
  </si>
  <si>
    <t>Before 1920</t>
  </si>
  <si>
    <t>1920 to 1945</t>
  </si>
  <si>
    <t>1946 to 1959</t>
  </si>
  <si>
    <t>1960 to 1969</t>
  </si>
  <si>
    <t>1970 to 1979</t>
  </si>
  <si>
    <t>1980 to 1989</t>
  </si>
  <si>
    <t>1990 to 1999</t>
  </si>
  <si>
    <t>2000 to 2003</t>
  </si>
  <si>
    <t>2004 to 2007</t>
  </si>
  <si>
    <t>2008 to 2012</t>
  </si>
  <si>
    <t>Census region and division</t>
  </si>
  <si>
    <t>Northeast</t>
  </si>
  <si>
    <t xml:space="preserve">New England </t>
  </si>
  <si>
    <t>Middle Atlantic</t>
  </si>
  <si>
    <t>Midwest</t>
  </si>
  <si>
    <t>East North Central</t>
  </si>
  <si>
    <t>West North Central</t>
  </si>
  <si>
    <t>South</t>
  </si>
  <si>
    <t xml:space="preserve">South Atlantic </t>
  </si>
  <si>
    <t>East South Central</t>
  </si>
  <si>
    <t>West South Central</t>
  </si>
  <si>
    <t>West</t>
  </si>
  <si>
    <t>Mountain</t>
  </si>
  <si>
    <t>Pacific</t>
  </si>
  <si>
    <r>
      <t>Climate region</t>
    </r>
    <r>
      <rPr>
        <b/>
        <vertAlign val="superscript"/>
        <sz val="10"/>
        <color theme="1"/>
        <rFont val="Calibri"/>
        <family val="2"/>
        <scheme val="minor"/>
      </rPr>
      <t>1</t>
    </r>
  </si>
  <si>
    <t>Very cold/Cold</t>
  </si>
  <si>
    <t>Mixed-humid</t>
  </si>
  <si>
    <t>Mixed-dry/Hot-dry</t>
  </si>
  <si>
    <t>Hot-humid</t>
  </si>
  <si>
    <t>Marine</t>
  </si>
  <si>
    <t>Number of floors</t>
  </si>
  <si>
    <t>One</t>
  </si>
  <si>
    <t>Two</t>
  </si>
  <si>
    <t>Three</t>
  </si>
  <si>
    <t>Four to nine</t>
  </si>
  <si>
    <t>Ten or more</t>
  </si>
  <si>
    <t>Number of workers (main shift)</t>
  </si>
  <si>
    <t>Fewer than 5</t>
  </si>
  <si>
    <t>5 to 9</t>
  </si>
  <si>
    <t>10 to 19</t>
  </si>
  <si>
    <t>20 to 49</t>
  </si>
  <si>
    <t>50 to 99</t>
  </si>
  <si>
    <t>100 to 249</t>
  </si>
  <si>
    <t>250 or more</t>
  </si>
  <si>
    <t>Weekly operating hours</t>
  </si>
  <si>
    <t>Fewer than 40</t>
  </si>
  <si>
    <t>40 to 48</t>
  </si>
  <si>
    <t>49 to 60</t>
  </si>
  <si>
    <t>61 to 84</t>
  </si>
  <si>
    <t>85 to 167</t>
  </si>
  <si>
    <t>Open continuously</t>
  </si>
  <si>
    <t>Ownership and occupancy</t>
  </si>
  <si>
    <t>Nongovernment owned</t>
  </si>
  <si>
    <t>Owner occupied</t>
  </si>
  <si>
    <t>Leased to tenant(s)</t>
  </si>
  <si>
    <t>Owner occupied and leased</t>
  </si>
  <si>
    <t>Unoccupied</t>
  </si>
  <si>
    <t>Government owned</t>
  </si>
  <si>
    <t>Federal</t>
  </si>
  <si>
    <t>State</t>
  </si>
  <si>
    <t>Local</t>
  </si>
  <si>
    <t>Party responsible for operation
and maintenance of energy
systems</t>
  </si>
  <si>
    <t>Building owner</t>
  </si>
  <si>
    <t>Business owner or tenant</t>
  </si>
  <si>
    <t>Property management</t>
  </si>
  <si>
    <t>Provider of direct input on energy-related equipment purchases</t>
  </si>
  <si>
    <t>Campus or complex activity</t>
  </si>
  <si>
    <t>Not part of a campus or complex</t>
  </si>
  <si>
    <t>Primary or secondary school</t>
  </si>
  <si>
    <t>College or university</t>
  </si>
  <si>
    <t>Office complex</t>
  </si>
  <si>
    <t>Retail complex</t>
  </si>
  <si>
    <t>Storage complex</t>
  </si>
  <si>
    <t>Religious campus or complex</t>
  </si>
  <si>
    <t>Health care complex</t>
  </si>
  <si>
    <t>Lodging or resort complex</t>
  </si>
  <si>
    <t>Transportation complex</t>
  </si>
  <si>
    <t>Government complex</t>
  </si>
  <si>
    <t>Renovations in buildings
constructed before 2008
(more than one may apply)</t>
  </si>
  <si>
    <t>Any type of renovation</t>
  </si>
  <si>
    <t>Addition or annex</t>
  </si>
  <si>
    <t>Reduction in floorspace</t>
  </si>
  <si>
    <t>Roof replacement</t>
  </si>
  <si>
    <t>Exterior wall replacement</t>
  </si>
  <si>
    <t>Interior wall reconfiguration</t>
  </si>
  <si>
    <t>Window replacement</t>
  </si>
  <si>
    <t>HVAC equipment upgrade</t>
  </si>
  <si>
    <t>Lighting upgrade</t>
  </si>
  <si>
    <t>Electrical upgrade</t>
  </si>
  <si>
    <t>Plumbing system upgrade</t>
  </si>
  <si>
    <t>Insulation upgrade</t>
  </si>
  <si>
    <t>Fire, safety, or security upgrade</t>
  </si>
  <si>
    <t>Structural upgrade</t>
  </si>
  <si>
    <t>No renovations</t>
  </si>
  <si>
    <t>Buildings constructed 2008 or later</t>
  </si>
  <si>
    <t>Energy sources 
(more than one may apply)</t>
  </si>
  <si>
    <t>Electricity</t>
  </si>
  <si>
    <t>Natural gas</t>
  </si>
  <si>
    <t>Fuel oil</t>
  </si>
  <si>
    <t>District heat</t>
  </si>
  <si>
    <t>District chilled water</t>
  </si>
  <si>
    <t>Space-heating energy sources
(more than one may apply)</t>
  </si>
  <si>
    <t>Primary space-heating
energy source</t>
  </si>
  <si>
    <t>Energy end uses 
(more than one may apply)</t>
  </si>
  <si>
    <t>Buildings with cooling</t>
  </si>
  <si>
    <t>Buildings with water heating</t>
  </si>
  <si>
    <t>Buildings with cooking</t>
  </si>
  <si>
    <t>Buildings with manufacturing</t>
  </si>
  <si>
    <t>Buildings with electricity
generation</t>
  </si>
  <si>
    <t>Percent of floorspace heated</t>
  </si>
  <si>
    <t>Not heated</t>
  </si>
  <si>
    <t>1 to 50</t>
  </si>
  <si>
    <t>51 to 99</t>
  </si>
  <si>
    <t>100</t>
  </si>
  <si>
    <t>Heat pumps</t>
  </si>
  <si>
    <t>Individual space heaters</t>
  </si>
  <si>
    <t>Packaged heating units</t>
  </si>
  <si>
    <t>Cooling equipment (more than one may apply)</t>
  </si>
  <si>
    <t>Residential-type central air conditioners</t>
  </si>
  <si>
    <t>Individual air conditioners</t>
  </si>
  <si>
    <t>Central chillers</t>
  </si>
  <si>
    <t>Packaged air conditioning units</t>
  </si>
  <si>
    <t>Swamp coolers</t>
  </si>
  <si>
    <t>Main equipment replaced since 1990 (more than one may apply)</t>
  </si>
  <si>
    <t>Heating</t>
  </si>
  <si>
    <t>Cooling</t>
  </si>
  <si>
    <t>HVAC conservation features 
(more than one may apply)</t>
  </si>
  <si>
    <t>Economizer cycle</t>
  </si>
  <si>
    <t>Regular HVAC maintenance</t>
  </si>
  <si>
    <r>
      <t>Building automation system (BAS)</t>
    </r>
    <r>
      <rPr>
        <vertAlign val="superscript"/>
        <sz val="10"/>
        <color theme="1"/>
        <rFont val="Calibri"/>
        <family val="2"/>
        <scheme val="minor"/>
      </rPr>
      <t>2</t>
    </r>
  </si>
  <si>
    <t>Equipment usage reduced when 
building not in full use 
(more than one may apply)</t>
  </si>
  <si>
    <t>Lighting</t>
  </si>
  <si>
    <r>
      <rPr>
        <vertAlign val="superscript"/>
        <sz val="9"/>
        <color theme="1"/>
        <rFont val="Calibri"/>
        <family val="2"/>
        <scheme val="minor"/>
      </rPr>
      <t xml:space="preserve">      1</t>
    </r>
    <r>
      <rPr>
        <sz val="9"/>
        <color theme="1"/>
        <rFont val="Calibri"/>
        <family val="2"/>
        <scheme val="minor"/>
      </rPr>
      <t xml:space="preserve">These climate regions were created by the Building America program, sponsored by the U.S. Department of Energy’s Office of Energy Efficiency and Renewable Energy (EERE). 
    </t>
    </r>
    <r>
      <rPr>
        <vertAlign val="superscript"/>
        <sz val="9"/>
        <color theme="1"/>
        <rFont val="Calibri"/>
        <family val="2"/>
        <scheme val="minor"/>
      </rPr>
      <t xml:space="preserve"> 2</t>
    </r>
    <r>
      <rPr>
        <sz val="9"/>
        <color theme="1"/>
        <rFont val="Calibri"/>
        <family val="2"/>
        <scheme val="minor"/>
      </rPr>
      <t xml:space="preserve">In earlier CBECS publications, BAS was referred to as </t>
    </r>
    <r>
      <rPr>
        <i/>
        <sz val="9"/>
        <color theme="1"/>
        <rFont val="Calibri"/>
        <family val="2"/>
        <scheme val="minor"/>
      </rPr>
      <t>Energy Management and Control System (EMCS)</t>
    </r>
    <r>
      <rPr>
        <sz val="9"/>
        <color theme="1"/>
        <rFont val="Calibri"/>
        <family val="2"/>
        <scheme val="minor"/>
      </rPr>
      <t xml:space="preserve">.
     Q = Data withheld either because the Relative Standard Error (RSE) was greater than 50 percent or fewer than 20 buildings were sampled.
     N = No cases in reporting sample.
     Notes:  ● Because of rounding, data may not sum to totals.  ● See </t>
    </r>
    <r>
      <rPr>
        <i/>
        <sz val="9"/>
        <color theme="1"/>
        <rFont val="Calibri"/>
        <family val="2"/>
        <scheme val="minor"/>
      </rPr>
      <t xml:space="preserve">Guide to the 2012 CBECS Detailed Tables </t>
    </r>
    <r>
      <rPr>
        <sz val="9"/>
        <color theme="1"/>
        <rFont val="Calibri"/>
        <family val="2"/>
        <scheme val="minor"/>
      </rPr>
      <t xml:space="preserve">or </t>
    </r>
    <r>
      <rPr>
        <i/>
        <sz val="9"/>
        <color theme="1"/>
        <rFont val="Calibri"/>
        <family val="2"/>
        <scheme val="minor"/>
      </rPr>
      <t>CBECS Terminology</t>
    </r>
    <r>
      <rPr>
        <sz val="9"/>
        <color theme="1"/>
        <rFont val="Calibri"/>
        <family val="2"/>
        <scheme val="minor"/>
      </rPr>
      <t xml:space="preserve"> for definition of terms used in these tables and/or comparison of differences with prior CBECS tables. Both references can be accessed from http://www.eia.gov/consumption/commercial/data/2012/
     Source: U.S. Energy Information Administration, Office of Energy Consumption and Efficiency Statistics, Form EIA-871A of the 2012 Commercial Buildings Energy Consumption Survey.</t>
    </r>
  </si>
  <si>
    <t>Residential Appliance Prevalance</t>
  </si>
  <si>
    <t>Commercial Appliance Prevalance</t>
  </si>
  <si>
    <t>Calculation</t>
  </si>
  <si>
    <t>Source</t>
  </si>
  <si>
    <t>Heating Equipment</t>
  </si>
  <si>
    <t>Fuel</t>
  </si>
  <si>
    <t>Total Floorspace (million square feet)</t>
  </si>
  <si>
    <t>Table B42.  Water-heating equipment, number of buildings and floorspace, 2012</t>
  </si>
  <si>
    <t>Number of buildings (thousand)</t>
  </si>
  <si>
    <t>Type of water-heating equipment</t>
  </si>
  <si>
    <t>Central-
ized
system</t>
  </si>
  <si>
    <t>Distrib-
uted
system</t>
  </si>
  <si>
    <t xml:space="preserve">Both
central-
ized and
distrib-
uted
systems </t>
  </si>
  <si>
    <t>(*)</t>
  </si>
  <si>
    <t>Water-heating energy sources
(more than one may apply)</t>
  </si>
  <si>
    <t>Food preparation or serving areas 
in non-food service buildings
(more than one may apply)</t>
  </si>
  <si>
    <t>Snack bar or concession stand</t>
  </si>
  <si>
    <t>Fast food or small restaurant</t>
  </si>
  <si>
    <t>Cafeteria or large restaurant</t>
  </si>
  <si>
    <t>Commercial kitchen/
food preparation area</t>
  </si>
  <si>
    <t>Small kitchen area</t>
  </si>
  <si>
    <r>
      <rPr>
        <vertAlign val="superscript"/>
        <sz val="9"/>
        <color theme="1"/>
        <rFont val="Calibri"/>
        <family val="2"/>
        <scheme val="minor"/>
      </rPr>
      <t xml:space="preserve">      1</t>
    </r>
    <r>
      <rPr>
        <sz val="9"/>
        <color theme="1"/>
        <rFont val="Calibri"/>
        <family val="2"/>
        <scheme val="minor"/>
      </rPr>
      <t xml:space="preserve">These climate regions were created by the Building America program, sponsored by the U.S. Department of Energy’s Office of Energy Efficiency and Renewable Energy (EERE). 
    </t>
    </r>
    <r>
      <rPr>
        <vertAlign val="superscript"/>
        <sz val="9"/>
        <color theme="1"/>
        <rFont val="Calibri"/>
        <family val="2"/>
        <scheme val="minor"/>
      </rPr>
      <t xml:space="preserve"> 2</t>
    </r>
    <r>
      <rPr>
        <sz val="9"/>
        <color theme="1"/>
        <rFont val="Calibri"/>
        <family val="2"/>
        <scheme val="minor"/>
      </rPr>
      <t xml:space="preserve">In earlier CBECS publications, BAS was referred to as </t>
    </r>
    <r>
      <rPr>
        <i/>
        <sz val="9"/>
        <color theme="1"/>
        <rFont val="Calibri"/>
        <family val="2"/>
        <scheme val="minor"/>
      </rPr>
      <t>Energy Management and Control System (EMCS)</t>
    </r>
    <r>
      <rPr>
        <sz val="9"/>
        <color theme="1"/>
        <rFont val="Calibri"/>
        <family val="2"/>
        <scheme val="minor"/>
      </rPr>
      <t xml:space="preserve">.
     Q = Data withheld either because the Relative Standard Error (RSE) was greater than 50 percent or fewer than 20 buildings were sampled.
     N = No cases in reporting sample.
    (*) = Value rounds to zero in the units displayed.
     Notes:  ● Because of rounding, data may not sum to totals.  ● See </t>
    </r>
    <r>
      <rPr>
        <i/>
        <sz val="9"/>
        <color theme="1"/>
        <rFont val="Calibri"/>
        <family val="2"/>
        <scheme val="minor"/>
      </rPr>
      <t xml:space="preserve">Guide to the 2012 CBECS Detailed Tables </t>
    </r>
    <r>
      <rPr>
        <sz val="9"/>
        <color theme="1"/>
        <rFont val="Calibri"/>
        <family val="2"/>
        <scheme val="minor"/>
      </rPr>
      <t xml:space="preserve">or </t>
    </r>
    <r>
      <rPr>
        <i/>
        <sz val="9"/>
        <color theme="1"/>
        <rFont val="Calibri"/>
        <family val="2"/>
        <scheme val="minor"/>
      </rPr>
      <t>CBECS Terminology</t>
    </r>
    <r>
      <rPr>
        <sz val="9"/>
        <color theme="1"/>
        <rFont val="Calibri"/>
        <family val="2"/>
        <scheme val="minor"/>
      </rPr>
      <t xml:space="preserve"> for definition of terms used in these tables and/or comparison of differences with prior CBECS tables. Both references can be accessed from http://www.eia.gov/consumption/commercial/data/2012/
     Source: U.S. Energy Information Administration, Office of Energy Consumption and Efficiency Statistics, Form EIA-871A of the 2012 Commercial Buildings Energy Consumption Survey.</t>
    </r>
  </si>
  <si>
    <t>Table B39. Heating equipment, floorspace &amp; Table42. Water-heating equipment, number of buildings and floorspace</t>
  </si>
  <si>
    <t>Water Heating Equipment</t>
  </si>
  <si>
    <t>Table B44.  Lighting equipment, floorspace, 2012</t>
  </si>
  <si>
    <t>Lit buildings</t>
  </si>
  <si>
    <t>Lighting equipment (more than one may apply)</t>
  </si>
  <si>
    <t>Incand-
escent</t>
  </si>
  <si>
    <t>Standard fluor-
escent</t>
  </si>
  <si>
    <t>Compact
fluor-
escent</t>
  </si>
  <si>
    <t>High-intensity
dis-
charge</t>
  </si>
  <si>
    <t>Halogen</t>
  </si>
  <si>
    <t>LED</t>
  </si>
  <si>
    <t>Percent lit when open</t>
  </si>
  <si>
    <t>Zero</t>
  </si>
  <si>
    <t>Building never open/electricity 
not used</t>
  </si>
  <si>
    <t>Percent lit during off hours</t>
  </si>
  <si>
    <t>51 to 100</t>
  </si>
  <si>
    <t>Building always open with 
no "off hours"</t>
  </si>
  <si>
    <t>Electricity not used</t>
  </si>
  <si>
    <t>Lighting equipment types 
(more than one may apply)</t>
  </si>
  <si>
    <t>Incandescent</t>
  </si>
  <si>
    <t>Standard fluorescent</t>
  </si>
  <si>
    <t>Compact fluorescent</t>
  </si>
  <si>
    <t>High-intensity discharge</t>
  </si>
  <si>
    <t>Window and interior lighting 
features (more than one may
apply)</t>
  </si>
  <si>
    <t>Multipaned windows</t>
  </si>
  <si>
    <t>Tinted window glass</t>
  </si>
  <si>
    <t>Reflective window glass</t>
  </si>
  <si>
    <t>External overhangs or awnings</t>
  </si>
  <si>
    <t>Skylights or atriums</t>
  </si>
  <si>
    <t>Light scheduling</t>
  </si>
  <si>
    <t>Occupancy sensors</t>
  </si>
  <si>
    <t>Multi-level lighting or dimming</t>
  </si>
  <si>
    <t>Daylight harvesting</t>
  </si>
  <si>
    <t>Demand responsive lighting</t>
  </si>
  <si>
    <r>
      <t>Building automation system (BAS) for lighting</t>
    </r>
    <r>
      <rPr>
        <vertAlign val="superscript"/>
        <sz val="10"/>
        <color theme="1"/>
        <rFont val="Calibri"/>
        <family val="2"/>
        <scheme val="minor"/>
      </rPr>
      <t>2</t>
    </r>
  </si>
  <si>
    <t>For commercial lighting - estimated cost averages based on selected commercial light fixtures assumed to be most common</t>
  </si>
  <si>
    <t>Equipment Type</t>
  </si>
  <si>
    <t>Percent Equipment Costs</t>
  </si>
  <si>
    <t>Appliances</t>
  </si>
  <si>
    <t>Costs of Residential Equipment - Weighted Calculation</t>
  </si>
  <si>
    <t>Equipment Type - Name from RECS</t>
  </si>
  <si>
    <t>NA</t>
  </si>
  <si>
    <t>Cooking Equipment</t>
  </si>
  <si>
    <t>Other Appliances</t>
  </si>
  <si>
    <t>Clothes Dryers</t>
  </si>
  <si>
    <t>Calculations</t>
  </si>
  <si>
    <t>"NEMS cost data_new"</t>
  </si>
  <si>
    <t>Percent of Total Appliances w/ Cost Data</t>
  </si>
  <si>
    <t>Percent of Total Appliances</t>
  </si>
  <si>
    <t>Weighted Percent Equipment Cost</t>
  </si>
  <si>
    <t>Weighted Percent Labor Cost</t>
  </si>
  <si>
    <t>Costs of Commercial Equipment - Weighted Calculation</t>
  </si>
  <si>
    <t>Percent Equipment Costs (Copied from NEMS spreadsheet)</t>
  </si>
  <si>
    <t>Commercial Space Heating Total</t>
  </si>
  <si>
    <t>Commercial Heating</t>
  </si>
  <si>
    <t>Commercial Cooling</t>
  </si>
  <si>
    <t>Commercial Water Heating</t>
  </si>
  <si>
    <t>Commercial Lighting</t>
  </si>
  <si>
    <t>Commercial Lighting - CFL</t>
  </si>
  <si>
    <t>Commercial Lighting - LED</t>
  </si>
  <si>
    <t>Commercial Lighting - Halogen</t>
  </si>
  <si>
    <t>Commercial Gas Fired Furnaces</t>
  </si>
  <si>
    <t>Commercial Oil-Fired Furnaces</t>
  </si>
  <si>
    <t>Commercial Electric Resistance Heaters</t>
  </si>
  <si>
    <t>Commercial Electric Boilers</t>
  </si>
  <si>
    <t>Commercial Gas Fired Boilers</t>
  </si>
  <si>
    <t>Commercial Oil-Fired Boilers</t>
  </si>
  <si>
    <t>Commercial Rooftop Air Conditioners</t>
  </si>
  <si>
    <t>Commercial Rooftop Heat Pumps</t>
  </si>
  <si>
    <t>Commercial Ground Source Heat Pumps</t>
  </si>
  <si>
    <t>Commercial Gas-Fired Storage Water Heaters</t>
  </si>
  <si>
    <t>Commercial Electric Resistance Storage Water Heaters</t>
  </si>
  <si>
    <t>Commercial Heat Pump Water Heaters</t>
  </si>
  <si>
    <t>Commercial Oil Fired Storage Water Heaters</t>
  </si>
  <si>
    <t>Cost averages from NEMS are across appliance type and years (2012-2050)</t>
  </si>
  <si>
    <t>Urban-Residential</t>
  </si>
  <si>
    <t>Rural-Residential</t>
  </si>
  <si>
    <t>Commercial</t>
  </si>
  <si>
    <t>Sector</t>
  </si>
  <si>
    <t>Percent of cost</t>
  </si>
  <si>
    <t>Appliances - Average total</t>
  </si>
  <si>
    <t>Hard Copied from: "Summary Commercial" tab on "NEMS cost data new.xlsx"</t>
  </si>
  <si>
    <t>Envelope</t>
  </si>
  <si>
    <t>Installation</t>
  </si>
  <si>
    <t>ISIC Code Mapping</t>
  </si>
  <si>
    <t>United Nations</t>
  </si>
  <si>
    <t>International Standard Industrial Classification of All Economic Activities Revision 4</t>
  </si>
  <si>
    <t>https://unstats.un.org/unsd/publication/seriesM/seriesm_4rev4e.pdf</t>
  </si>
  <si>
    <t>Water heating, refrigeration, clothes washing/drying, cooking, and diswashing equipment are all assigned to appliances</t>
  </si>
  <si>
    <t>Other equipment includes primarily additional plug load equipment including computers and televisions</t>
  </si>
  <si>
    <t>Note from "Updated Building Sector Appliance and Equipment Costs and Efficiencies."</t>
  </si>
  <si>
    <t>as of January 1, 2012. Starting in 2012, 100-watt incandescent lamps will be replaced by halogen lamps.</t>
  </si>
  <si>
    <t>The Energy Independence and Security Act of 2007 prescribes standards for current 100 watt incandescent lamps</t>
  </si>
  <si>
    <t>SoBCaICbIC Share of Buildings Capital and Installation Costs by ISIC Code</t>
  </si>
  <si>
    <t>Unit: dimensionless (%)</t>
  </si>
  <si>
    <t>We use the same breakdown as for appliances for</t>
  </si>
  <si>
    <t>the other equipment category</t>
  </si>
  <si>
    <t>ISIC 20</t>
  </si>
  <si>
    <t>ISIC 21</t>
  </si>
  <si>
    <t>ISIC 05</t>
  </si>
  <si>
    <t>ISIC 06</t>
  </si>
  <si>
    <t>D05: Coal mining</t>
  </si>
  <si>
    <t>D06: Oil and gas extraction</t>
  </si>
  <si>
    <t>D20: Chemicals</t>
  </si>
  <si>
    <t>D21: Pharmaceuticals</t>
  </si>
  <si>
    <t>ISIC 231</t>
  </si>
  <si>
    <t>ISIC 239</t>
  </si>
  <si>
    <t>D231: Glass</t>
  </si>
  <si>
    <t>D239: Cement and other nometallic minerals</t>
  </si>
  <si>
    <t>ISIC 241</t>
  </si>
  <si>
    <t>ISIC 242</t>
  </si>
  <si>
    <t>D241: Iron and steel</t>
  </si>
  <si>
    <t>D242: Other metals</t>
  </si>
  <si>
    <t>ISIC 351</t>
  </si>
  <si>
    <t>ISIC 352T353</t>
  </si>
  <si>
    <t>ISIC 36T39</t>
  </si>
  <si>
    <t>D351: Electricity generation and distribution</t>
  </si>
  <si>
    <t>D352T353: Energy pipelines and gas processing</t>
  </si>
  <si>
    <t>D36T39: Water and waste</t>
  </si>
  <si>
    <t>AEO.2025.HIGHZTC.CNSM_NA_COMM_CHP_TOT_NA_NA_TRLBTU.A</t>
  </si>
  <si>
    <t>Residential: Combined Heat and Power: Energy Input: Total: High Zero-Carbon Technology Cost</t>
  </si>
  <si>
    <t>AEO.2025.HIGHZTC.CNSM_NA_COMM_CHP_WND_NA_NA_TRLBTU.A</t>
  </si>
  <si>
    <t>Residential: Combined Heat and Power: Energy Input: Wind: High Zero-Carbon Technology Cost</t>
  </si>
  <si>
    <t>AEO.2025.HIGHZTC.CNSM_NA_COMM_CHP_SLR_PHTVL_NA_TRLBTU.A</t>
  </si>
  <si>
    <t>Residential: Combined Heat and Power: Energy Input: Solar Photovoltaic: High Zero-Carbon Technology Cost</t>
  </si>
  <si>
    <t>AEO.2025.HIGHZTC.CNSM_NA_COMM_CHP_FCL_NA_NA_TRLBTU.A</t>
  </si>
  <si>
    <t>Residential: Combined Heat and Power: Energy Input: Fuel Cells: High Zero-Carbon Technology Cost</t>
  </si>
  <si>
    <t>AEO.2025.HIGHZTC.GEN_NA_COMM_CHP_GFO_NA_NA_MILLKWH.A</t>
  </si>
  <si>
    <t>Residential: Combined Heat and Power: Net Generation: Generation for Own Use: High Zero-Carbon Technology Cost</t>
  </si>
  <si>
    <t>AEO.2025.HIGHZTC.GEN_NA_COMM_CHP_STG_NA_NA_MILLKWH.A</t>
  </si>
  <si>
    <t>Residential: Combined Heat and Power: Net Generation: Sales to the Grid: High Zero-Carbon Technology Cost</t>
  </si>
  <si>
    <t>AEO.2025.HIGHZTC.GEN_NA_COMM_CHP_TOT_NA_NA_MILLKWH.A</t>
  </si>
  <si>
    <t>Residential: Combined Heat and Power: Net Generation: Total: High Zero-Carbon Technology Cost</t>
  </si>
  <si>
    <t>AEO.2025.HIGHZTC.GEN_NA_COMM_CHP_WND_NA_NA_MILLKWH.A</t>
  </si>
  <si>
    <t>Residential: Combined Heat and Power: Net Generation: Wind: High Zero-Carbon Technology Cost</t>
  </si>
  <si>
    <t>AEO.2025.HIGHZTC.GEN_NA_COMM_CHP_SLR_PHTVL_NA_MILLKWH.A</t>
  </si>
  <si>
    <t>Residential: Combined Heat and Power: Net Generation: Solar Photovoltaic: High Zero-Carbon Technology Cost</t>
  </si>
  <si>
    <t>AEO.2025.HIGHZTC.GEN_NA_COMM_CHP_FCL_NA_NA_MILLKWH.A</t>
  </si>
  <si>
    <t>Residential: Combined Heat and Power: Net Generation: Fuel Cells: High Zero-Carbon Technology Cost</t>
  </si>
  <si>
    <t>AEO.2025.HIGHZTC.CAP_NA_RESD_CHP_TOT_NA_NA_MW.A</t>
  </si>
  <si>
    <t>Residential: Combined Heat and Power: Generating Capacity: Total: High Zero-Carbon Technology Cost</t>
  </si>
  <si>
    <t>AEO.2025.HIGHZTC.CAP_NA_RESD_CHP_WND_NA_NA_MW.A</t>
  </si>
  <si>
    <t>Residential: Combined Heat and Power: Generating Capacity: Wind: High Zero-Carbon Technology Cost</t>
  </si>
  <si>
    <t>AEO.2025.HIGHZTC.CAP_NA_RESD_CHP_SLR_PHTVL_NA_MW.A</t>
  </si>
  <si>
    <t>Residential: Combined Heat and Power: Generating Capacity: Solar Photovoltaic: High Zero-Carbon Technology Cost</t>
  </si>
  <si>
    <t>AEO.2025.HIGHZTC.CAP_NA_COMM_CHP_FCL_NA_NA_MW.A</t>
  </si>
  <si>
    <t>Residential: Combined Heat and Power: Generating Capacity: Fuel Cells: High Zero-Carbon Technology Cost</t>
  </si>
  <si>
    <t>AEO.2025.HIGHZTC.EFI_BSE_RESD_SPC_AHM_NA_NA_Y15EQ1.A</t>
  </si>
  <si>
    <t>Residential Equipment: Building Shell Efficiency Index: Space Cooling: All Homes: High Zero-Carbon Technology Cost</t>
  </si>
  <si>
    <t>AEO.2025.HIGHZTC.EFI_BSE_RESD_SPC_NCO_NA_NA_Y15EQ1.A</t>
  </si>
  <si>
    <t>Residential Equipment: Building Shell Efficiency Index: Space Cooling: New Construction: High Zero-Carbon Technology Cost</t>
  </si>
  <si>
    <t>AEO.2025.HIGHZTC.EFI_BSE_RESD_SPC_OLD_NA_NA_Y15EQ1.A</t>
  </si>
  <si>
    <t>Residential Equipment: Building Shell Efficiency Index: Space Cooling: Pre-2015 Homes: High Zero-Carbon Technology Cost</t>
  </si>
  <si>
    <t>Pre-2020 Homes</t>
  </si>
  <si>
    <t>AEO.2025.HIGHZTC.EFI_BSE_RESD_SPH_AHM_NA_NA_Y15EQ1.A</t>
  </si>
  <si>
    <t>Residential Equipment: Building Shell Efficiency Index: Space Heating: All Homes: High Zero-Carbon Technology Cost</t>
  </si>
  <si>
    <t>AEO.2025.HIGHZTC.EFI_BSE_RESD_SPH_NCO_NA_NA_Y15EQ1.A</t>
  </si>
  <si>
    <t>Residential Equipment: Building Shell Efficiency Index: Space Heating: New Construction: High Zero-Carbon Technology Cost</t>
  </si>
  <si>
    <t>AEO.2025.HIGHZTC.EFI_BSE_RESD_SPH_OLD_NA_NA_Y15EQ1.A</t>
  </si>
  <si>
    <t>Residential Equipment: Building Shell Efficiency Index: Space Heating: Pre-2015 Homes: High Zero-Carbon Technology Cost</t>
  </si>
  <si>
    <t>AEO.2025.HIGHZTC.EFI_STK_RESD_OTAR_FRZ_NA_NA_KWH.A</t>
  </si>
  <si>
    <t>Residential Equipment: Stock Average Efficiency: Other Appliances: Freezers: High Zero-Carbon Technology Cost</t>
  </si>
  <si>
    <t>AEO.2025.HIGHZTC.EFI_STK_RESD_OTAR_RFG_NA_NA_KWH.A</t>
  </si>
  <si>
    <t>Residential Equipment: Stock Average Efficiency: Other Appliances: Refrigerators: High Zero-Carbon Technology Cost</t>
  </si>
  <si>
    <t>AEO.2025.HIGHZTC.EFI_STK_RESD_WHT_PROP_NA_NA_EF.A</t>
  </si>
  <si>
    <t>Residential Equipment: Stock Average Efficiency: Water Heaters: Propane: High Zero-Carbon Technology Cost</t>
  </si>
  <si>
    <t>AEO.2025.HIGHZTC.EFI_STK_RESD_WHT_DFO_NA_NA_EF.A</t>
  </si>
  <si>
    <t>Residential Equipment: Stock Average Efficiency: Water Heaters: Distillate Fuel Oil: High Zero-Carbon Technology Cost</t>
  </si>
  <si>
    <t>AEO.2025.HIGHZTC.EFI_STK_RESD_WHT_NG_NA_NA_EF.A</t>
  </si>
  <si>
    <t>Residential Equipment: Stock Average Efficiency: Water Heaters: Natural Gas: High Zero-Carbon Technology Cost</t>
  </si>
  <si>
    <t>AEO.2025.HIGHZTC.EFI_STK_RESD_WHT_ELE_NA_NA_EF.A</t>
  </si>
  <si>
    <t>Residential Equipment: Stock Average Efficiency: Water Heaters: Electric: High Zero-Carbon Technology Cost</t>
  </si>
  <si>
    <t>AEO.2025.HIGHZTC.EFI_STK_RESD_SPC_RAC_NA_NA_EER.A</t>
  </si>
  <si>
    <t>Residential Equipment: Stock Average Efficiency: Space Cooling: Room Air Conditioners: High Zero-Carbon Technology Cost</t>
  </si>
  <si>
    <t>AEO.2025.HIGHZTC.EFI_STK_RESD_SPC_CAC_NA_NA_SEER.A</t>
  </si>
  <si>
    <t>Residential Equipment: Stock Average Efficiency: Space Cooling: Central Air Conditioners: High Zero-Carbon Technology Cost</t>
  </si>
  <si>
    <t>AEO.2025.HIGHZTC.EFI_STK_RESD_SPC_GEHP_NA_NA_EER.A</t>
  </si>
  <si>
    <t>Residential Equipment: Stock Average Efficiency: Space Cooling: Geothermal Heat Pumps: High Zero-Carbon Technology Cost</t>
  </si>
  <si>
    <t>AEO.2025.HIGHZTC.EFI_STK_RESD_SPC_NHU_NA_NA_GCOP.A</t>
  </si>
  <si>
    <t>Residential Equipment: Stock Average Efficiency: Space Cooling: Natural Gas Heat Pumps: High Zero-Carbon Technology Cost</t>
  </si>
  <si>
    <t>AEO.2025.HIGHZTC.EFI_STK_RESD_SPC_EHP_NA_NA_SEER.A</t>
  </si>
  <si>
    <t>Residential Equipment: Stock Average Efficiency: Space Cooling: Electric Heat Pumps: High Zero-Carbon Technology Cost</t>
  </si>
  <si>
    <t>AEO.2025.HIGHZTC.EFI_STK_RESD_SPHR_DFR_NA_NA_AFUE.A</t>
  </si>
  <si>
    <t>Residential Equipment: Stock Average Efficiency: Main Space Heaters: Distillate Furnace: High Zero-Carbon Technology Cost</t>
  </si>
  <si>
    <t>AEO.2025.HIGHZTC.EFI_STK_RESD_SPHR_NFR_NA_NA_AFUE.A</t>
  </si>
  <si>
    <t>Residential Equipment: Stock Average Efficiency: Main Space Heaters: Natural Gas Furnace: High Zero-Carbon Technology Cost</t>
  </si>
  <si>
    <t>AEO.2025.HIGHZTC.EFI_STK_RESD_SPHR_GEHP_NA_NA_COP.A</t>
  </si>
  <si>
    <t>Residential Equipment: Stock Average Efficiency: Main Space Heaters: Geothermal Heat Pumps: High Zero-Carbon Technology Cost</t>
  </si>
  <si>
    <t>AEO.2025.HIGHZTC.EFI_STK_RESD_SPHR_NHU_NA_NA_GCOP.A</t>
  </si>
  <si>
    <t>Residential Equipment: Stock Average Efficiency: Main Space Heaters: Natural Gas Heat Pumps: High Zero-Carbon Technology Cost</t>
  </si>
  <si>
    <t>AEO.2025.HIGHZTC.EFI_STK_RESD_SPHR_EHP_NA_NA_HSPF.A</t>
  </si>
  <si>
    <t>Residential Equipment: Stock Average Efficiency: Main Space Heaters: Electric Heat Pumps: High Zero-Carbon Technology Cost</t>
  </si>
  <si>
    <t>AEO.2025.HIGHZTC.EQNR_STK_RESD_OTAR_FRZ_NA_NA_MILL.A</t>
  </si>
  <si>
    <t>Residential Equipment: Equipment Stock: Other Appliances: Freezers: High Zero-Carbon Technology Cost</t>
  </si>
  <si>
    <t>AEO.2025.HIGHZTC.EQNR_STK_RESD_OTAR_RFG_NA_NA_MILL.A</t>
  </si>
  <si>
    <t>Residential Equipment: Equipment Stock: Other Appliances: Refrigerators: High Zero-Carbon Technology Cost</t>
  </si>
  <si>
    <t>AEO.2025.HIGHZTC.EQNR_STK_RESD_CDR_TOT_NA_NA_MILL.A</t>
  </si>
  <si>
    <t>Residential Equipment: Equipment Stock: Clothes Dryers: Total: High Zero-Carbon Technology Cost</t>
  </si>
  <si>
    <t>AEO.2025.HIGHZTC.EQNR_STK_RESD_CDR_NG_NA_NA_MILL.A</t>
  </si>
  <si>
    <t>Residential Equipment: Equipment Stock: Clothes Dryers: Natural Gas: High Zero-Carbon Technology Cost</t>
  </si>
  <si>
    <t>AEO.2025.HIGHZTC.EQNR_STK_RESD_CDR_ELE_NA_NA_MILL.A</t>
  </si>
  <si>
    <t>Residential Equipment: Equipment Stock: Clothes Dryers: Electric: High Zero-Carbon Technology Cost</t>
  </si>
  <si>
    <t>AEO.2025.HIGHZTC.EQNR_STK_RESD_CER_TOT_NA_NA_MILL.A</t>
  </si>
  <si>
    <t>Residential Equipment: Equipment Stock: Cooking Equipment: Total: High Zero-Carbon Technology Cost</t>
  </si>
  <si>
    <t>AEO.2025.HIGHZTC.EQNR_STK_RESD_CER_PROP_NA_NA_MILL.A</t>
  </si>
  <si>
    <t>Residential Equipment: Equipment Stock: Cooking Equipment: Propane: High Zero-Carbon Technology Cost</t>
  </si>
  <si>
    <t>AEO.2025.HIGHZTC.EQNR_STK_RESD_CER_NG_NA_NA_MILL.A</t>
  </si>
  <si>
    <t>Residential Equipment: Equipment Stock: Cooking Equipment: Natural Gas: High Zero-Carbon Technology Cost</t>
  </si>
  <si>
    <t>AEO.2025.HIGHZTC.EQNR_STK_RESD_CER_ELE_NA_NA_MILL.A</t>
  </si>
  <si>
    <t>Residential Equipment: Equipment Stock: Cooking Equipment: Electric: High Zero-Carbon Technology Cost</t>
  </si>
  <si>
    <t>AEO.2025.HIGHZTC.EQNR_STK_RESD_WHT_TOT_NA_NA_MILL.A</t>
  </si>
  <si>
    <t>Residential Equipment: Equipment Stock: Water Heaters: Total: High Zero-Carbon Technology Cost</t>
  </si>
  <si>
    <t>AEO.2025.HIGHZTC.EQNR_STK_RESD_WHT_SLR_THERM_NA_MILL.A</t>
  </si>
  <si>
    <t>Residential Equipment: Equipment Stock: Water Heaters: Solar Thermal: High Zero-Carbon Technology Cost</t>
  </si>
  <si>
    <t>AEO.2025.HIGHZTC.EQNR_STK_RESD_WHT_PROP_NA_NA_MILL.A</t>
  </si>
  <si>
    <t>Residential Equipment: Equipment Stock: Water Heaters: Propane: High Zero-Carbon Technology Cost</t>
  </si>
  <si>
    <t>AEO.2025.HIGHZTC.EQNR_STK_RESD_WHT_DFO_NA_NA_MILL.A</t>
  </si>
  <si>
    <t>Residential Equipment: Equipment Stock: Water Heaters: Distillate Fuel Oil: High Zero-Carbon Technology Cost</t>
  </si>
  <si>
    <t>AEO.2025.HIGHZTC.EQNR_STK_RESD_WHT_NG_NA_NA_MILL.A</t>
  </si>
  <si>
    <t>Residential Equipment: Equipment Stock: Water Heaters: Natural Gas: High Zero-Carbon Technology Cost</t>
  </si>
  <si>
    <t>AEO.2025.HIGHZTC.EQNR_STK_RESD_WHT_ELE_NA_NA_MILL.A</t>
  </si>
  <si>
    <t>Residential Equipment: Equipment Stock: Water Heaters: Electric: High Zero-Carbon Technology Cost</t>
  </si>
  <si>
    <t>AEO.2025.HIGHZTC.EQNR_STK_RESD_SPC_TOT_NA_NA_MILL.A</t>
  </si>
  <si>
    <t>Residential Equipment: Equipment Stock: Space Cooling: Total: High Zero-Carbon Technology Cost</t>
  </si>
  <si>
    <t>AEO.2025.HIGHZTC.EQNR_STK_RESD_SPC_RAC_NA_NA_MILL.A</t>
  </si>
  <si>
    <t>Residential Equipment: Equipment Stock: Space Cooling: Room Air Conditioners: High Zero-Carbon Technology Cost</t>
  </si>
  <si>
    <t>AEO.2025.HIGHZTC.EQNR_STK_RESD_SPC_CAC_NA_NA_MILL.A</t>
  </si>
  <si>
    <t>Residential Equipment: Equipment Stock: Space Cooling: Central Air Conditioners: High Zero-Carbon Technology Cost</t>
  </si>
  <si>
    <t>AEO.2025.HIGHZTC.EQNR_STK_RESD_SPC_GEHP_NA_NA_MILL.A</t>
  </si>
  <si>
    <t>Residential Equipment: Equipment Stock: Space Cooling: Geothermal Heat Pumps: High Zero-Carbon Technology Cost</t>
  </si>
  <si>
    <t>AEO.2025.HIGHZTC.EQNR_STK_RESD_SPC_NHU_NA_NA_MILL.A</t>
  </si>
  <si>
    <t>Residential Equipment: Equipment Stock: Space Cooling: Natural Gas Heat Pumps: High Zero-Carbon Technology Cost</t>
  </si>
  <si>
    <t>AEO.2025.HIGHZTC.EQNR_STK_RESD_SPC_EHP_NA_NA_MILL.A</t>
  </si>
  <si>
    <t>Residential Equipment: Equipment Stock: Space Cooling: Electric Heat Pumps: High Zero-Carbon Technology Cost</t>
  </si>
  <si>
    <t>AEO.2025.HIGHZTC.EQNR_STK_RESD_MSHR_TOT_NA_NA_MILL.A</t>
  </si>
  <si>
    <t>Residential Equipment: Equipment Stock: Main Space Heaters: Total: High Zero-Carbon Technology Cost</t>
  </si>
  <si>
    <t>AEO.2025.HIGHZTC.EQNR_STK_RESD_MSHR_GEHP_NA_NA_MILL.A</t>
  </si>
  <si>
    <t>Residential Equipment: Equipment Stock: Main Space Heaters: Geothermal Heat Pumps: High Zero-Carbon Technology Cost</t>
  </si>
  <si>
    <t>AEO.2025.HIGHZTC.EQNR_STK_RESD_MSHR_WDS_NA_NA_MILL.A</t>
  </si>
  <si>
    <t>Residential Equipment: Equipment Stock: Main Space Heaters: Wood Stoves: High Zero-Carbon Technology Cost</t>
  </si>
  <si>
    <t>AEO.2025.HIGHZTC.EQNR_STK_RESD_MSHR_KRS_NA_NA_MILL.A</t>
  </si>
  <si>
    <t>Residential Equipment: Equipment Stock: Main Space Heaters: Kerosene: High Zero-Carbon Technology Cost</t>
  </si>
  <si>
    <t>AEO.2025.HIGHZTC.EQNR_STK_RESD_MSHR_PROP_NA_NA_MILL.A</t>
  </si>
  <si>
    <t>Residential Equipment: Equipment Stock: Main Space Heaters: Propane: High Zero-Carbon Technology Cost</t>
  </si>
  <si>
    <t>AEO.2025.HIGHZTC.EQNR_STK_RESD_MSHR_DFO_NA_NA_MILL.A</t>
  </si>
  <si>
    <t>Residential Equipment: Equipment Stock: Main Space Heaters: Distillate Fuel Oil: High Zero-Carbon Technology Cost</t>
  </si>
  <si>
    <t>AEO.2025.HIGHZTC.EQNR_STK_RESD_MSHR_NGO_NA_NA_MILL.A</t>
  </si>
  <si>
    <t>Residential Equipment: Equipment Stock: Main Space Heaters: Natural Gas Other: High Zero-Carbon Technology Cost</t>
  </si>
  <si>
    <t>AEO.2025.HIGHZTC.EQNR_STK_RESD_MSHR_NHU_NA_NA_MILL.A</t>
  </si>
  <si>
    <t>Residential Equipment: Equipment Stock: Main Space Heaters: Natural Gas Heat Pumps: High Zero-Carbon Technology Cost</t>
  </si>
  <si>
    <t>AEO.2025.HIGHZTC.EQNR_STK_RESD_MSHR_ELO_NA_NA_MILL.A</t>
  </si>
  <si>
    <t>Residential Equipment: Equipment Stock: Main Space Heaters: Electric Other: High Zero-Carbon Technology Cost</t>
  </si>
  <si>
    <t>AEO.2025.HIGHZTC.EQNR_STK_RESD_MSHR_EHP_NA_NA_MILL.A</t>
  </si>
  <si>
    <t>Residential Equipment: Equipment Stock: Main Space Heaters: Electric Heat Pumps: High Zero-Carbon Technology Cost</t>
  </si>
  <si>
    <t>Growth (2024-2050)</t>
  </si>
  <si>
    <t>Tue Dec 02 2025 13:21:44 GMT-0800 (Pacific Standard Time)</t>
  </si>
  <si>
    <t>https://www.eia.gov/outlooks/aeo/data/browser/#/?id=30-AEO2025&amp;cases=highZTC&amp;sourcekey=0</t>
  </si>
  <si>
    <t>U.S. Energy Information Administration</t>
  </si>
  <si>
    <t>Annual Energy Outlook 2025</t>
  </si>
  <si>
    <t>Scenario: High zero-carbon technology cost</t>
  </si>
  <si>
    <t>https://www.eia.gov/outlooks/aeo/tables_side_xls.php</t>
  </si>
  <si>
    <t>Table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</si>
</sst>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vertAlign val="superscript"/>
      <sz val="10"/>
      <color theme="1"/>
      <name val="Calibri"/>
      <family val="2"/>
      <scheme val="minor"/>
    </font>
    <font>
      <vertAlign val="superscript"/>
      <sz val="10"/>
      <color theme="1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0" tint="-0.24994659260841701"/>
      </bottom>
      <diagonal/>
    </border>
    <border>
      <left/>
      <right/>
      <top style="thick">
        <color theme="0" tint="-0.24994659260841701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thick">
        <color theme="4"/>
      </top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77111117893"/>
      </bottom>
      <diagonal/>
    </border>
    <border>
      <left/>
      <right/>
      <top style="medium">
        <color indexed="64"/>
      </top>
      <bottom style="thin">
        <color theme="0" tint="-0.249977111117893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77111117893"/>
      </bottom>
      <diagonal/>
    </border>
    <border>
      <left style="medium">
        <color indexed="64"/>
      </left>
      <right/>
      <top/>
      <bottom style="dashed">
        <color theme="0" tint="-0.24994659260841701"/>
      </bottom>
      <diagonal/>
    </border>
    <border>
      <left/>
      <right style="medium">
        <color indexed="64"/>
      </right>
      <top/>
      <bottom style="dashed">
        <color theme="0" tint="-0.2499465926084170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 style="thick">
        <color theme="0"/>
      </right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ck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6" fillId="0" borderId="0" applyNumberFormat="0" applyProtection="0">
      <alignment horizontal="left"/>
    </xf>
    <xf numFmtId="0" fontId="8" fillId="0" borderId="4" applyNumberFormat="0" applyProtection="0">
      <alignment wrapText="1"/>
    </xf>
    <xf numFmtId="0" fontId="9" fillId="0" borderId="7" applyNumberFormat="0" applyFont="0" applyProtection="0">
      <alignment wrapText="1"/>
    </xf>
    <xf numFmtId="0" fontId="8" fillId="0" borderId="9" applyNumberFormat="0" applyProtection="0">
      <alignment wrapText="1"/>
    </xf>
    <xf numFmtId="0" fontId="9" fillId="0" borderId="16" applyNumberFormat="0" applyProtection="0">
      <alignment vertical="top" wrapText="1"/>
    </xf>
  </cellStyleXfs>
  <cellXfs count="130">
    <xf numFmtId="0" fontId="0" fillId="0" borderId="0" xfId="0"/>
    <xf numFmtId="0" fontId="3" fillId="0" borderId="0" xfId="2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10" fontId="0" fillId="0" borderId="0" xfId="0" applyNumberFormat="1"/>
    <xf numFmtId="9" fontId="0" fillId="0" borderId="0" xfId="1" applyFont="1"/>
    <xf numFmtId="0" fontId="4" fillId="0" borderId="0" xfId="0" applyFont="1" applyAlignment="1">
      <alignment wrapText="1"/>
    </xf>
    <xf numFmtId="3" fontId="5" fillId="0" borderId="0" xfId="0" applyNumberFormat="1" applyFont="1"/>
    <xf numFmtId="0" fontId="6" fillId="0" borderId="0" xfId="4" applyAlignment="1">
      <alignment horizontal="left" wrapText="1"/>
    </xf>
    <xf numFmtId="0" fontId="7" fillId="0" borderId="4" xfId="5" applyFont="1">
      <alignment wrapText="1"/>
    </xf>
    <xf numFmtId="3" fontId="7" fillId="0" borderId="1" xfId="5" applyNumberFormat="1" applyFont="1" applyBorder="1" applyAlignment="1">
      <alignment horizontal="right" wrapText="1"/>
    </xf>
    <xf numFmtId="0" fontId="7" fillId="0" borderId="8" xfId="6" applyFont="1" applyBorder="1">
      <alignment wrapText="1"/>
    </xf>
    <xf numFmtId="3" fontId="5" fillId="0" borderId="8" xfId="6" applyNumberFormat="1" applyFont="1" applyBorder="1" applyAlignment="1">
      <alignment horizontal="right" wrapText="1"/>
    </xf>
    <xf numFmtId="3" fontId="5" fillId="0" borderId="7" xfId="6" applyNumberFormat="1" applyFont="1" applyAlignment="1">
      <alignment horizontal="right" wrapText="1"/>
    </xf>
    <xf numFmtId="0" fontId="7" fillId="0" borderId="9" xfId="7" applyFont="1">
      <alignment wrapText="1"/>
    </xf>
    <xf numFmtId="3" fontId="7" fillId="0" borderId="9" xfId="7" applyNumberFormat="1" applyFont="1" applyAlignment="1">
      <alignment horizontal="right" wrapText="1"/>
    </xf>
    <xf numFmtId="0" fontId="5" fillId="0" borderId="7" xfId="6" applyFont="1">
      <alignment wrapText="1"/>
    </xf>
    <xf numFmtId="0" fontId="5" fillId="0" borderId="7" xfId="6" applyFont="1" applyAlignment="1">
      <alignment horizontal="left" wrapText="1" indent="1"/>
    </xf>
    <xf numFmtId="0" fontId="7" fillId="0" borderId="0" xfId="6" applyFont="1" applyBorder="1">
      <alignment wrapText="1"/>
    </xf>
    <xf numFmtId="0" fontId="5" fillId="0" borderId="7" xfId="6" applyFont="1" applyAlignment="1">
      <alignment horizontal="left" wrapText="1" indent="2"/>
    </xf>
    <xf numFmtId="3" fontId="7" fillId="0" borderId="9" xfId="7" applyNumberFormat="1" applyFont="1">
      <alignment wrapText="1"/>
    </xf>
    <xf numFmtId="3" fontId="5" fillId="0" borderId="7" xfId="6" applyNumberFormat="1" applyFont="1">
      <alignment wrapText="1"/>
    </xf>
    <xf numFmtId="0" fontId="5" fillId="0" borderId="0" xfId="6" applyFont="1" applyBorder="1">
      <alignment wrapText="1"/>
    </xf>
    <xf numFmtId="3" fontId="5" fillId="0" borderId="0" xfId="6" applyNumberFormat="1" applyFont="1" applyBorder="1" applyAlignment="1">
      <alignment horizontal="right" wrapText="1"/>
    </xf>
    <xf numFmtId="0" fontId="7" fillId="3" borderId="10" xfId="7" applyFont="1" applyFill="1" applyBorder="1">
      <alignment wrapText="1"/>
    </xf>
    <xf numFmtId="3" fontId="7" fillId="3" borderId="11" xfId="7" applyNumberFormat="1" applyFont="1" applyFill="1" applyBorder="1">
      <alignment wrapText="1"/>
    </xf>
    <xf numFmtId="3" fontId="7" fillId="3" borderId="12" xfId="7" applyNumberFormat="1" applyFont="1" applyFill="1" applyBorder="1">
      <alignment wrapText="1"/>
    </xf>
    <xf numFmtId="0" fontId="5" fillId="3" borderId="13" xfId="6" applyFont="1" applyFill="1" applyBorder="1">
      <alignment wrapText="1"/>
    </xf>
    <xf numFmtId="3" fontId="5" fillId="3" borderId="7" xfId="6" applyNumberFormat="1" applyFont="1" applyFill="1" applyAlignment="1">
      <alignment horizontal="right" wrapText="1"/>
    </xf>
    <xf numFmtId="3" fontId="5" fillId="3" borderId="14" xfId="6" applyNumberFormat="1" applyFont="1" applyFill="1" applyBorder="1" applyAlignment="1">
      <alignment horizontal="right" wrapText="1"/>
    </xf>
    <xf numFmtId="0" fontId="5" fillId="3" borderId="15" xfId="6" applyFont="1" applyFill="1" applyBorder="1">
      <alignment wrapText="1"/>
    </xf>
    <xf numFmtId="3" fontId="5" fillId="3" borderId="3" xfId="6" applyNumberFormat="1" applyFont="1" applyFill="1" applyBorder="1" applyAlignment="1">
      <alignment horizontal="right" wrapText="1"/>
    </xf>
    <xf numFmtId="3" fontId="5" fillId="3" borderId="2" xfId="6" applyNumberFormat="1" applyFont="1" applyFill="1" applyBorder="1" applyAlignment="1">
      <alignment horizontal="right" wrapText="1"/>
    </xf>
    <xf numFmtId="0" fontId="5" fillId="0" borderId="7" xfId="6" quotePrefix="1" applyFont="1">
      <alignment wrapText="1"/>
    </xf>
    <xf numFmtId="9" fontId="0" fillId="4" borderId="0" xfId="1" applyFont="1" applyFill="1"/>
    <xf numFmtId="0" fontId="0" fillId="4" borderId="0" xfId="0" applyFill="1"/>
    <xf numFmtId="0" fontId="0" fillId="0" borderId="0" xfId="0" applyAlignment="1">
      <alignment horizontal="center"/>
    </xf>
    <xf numFmtId="0" fontId="2" fillId="5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/>
    <xf numFmtId="0" fontId="7" fillId="0" borderId="0" xfId="7" applyFont="1" applyBorder="1">
      <alignment wrapText="1"/>
    </xf>
    <xf numFmtId="3" fontId="7" fillId="0" borderId="0" xfId="7" applyNumberFormat="1" applyFont="1" applyBorder="1">
      <alignment wrapText="1"/>
    </xf>
    <xf numFmtId="3" fontId="7" fillId="0" borderId="4" xfId="5" applyNumberFormat="1" applyFont="1" applyAlignment="1">
      <alignment horizontal="right" wrapText="1"/>
    </xf>
    <xf numFmtId="3" fontId="7" fillId="0" borderId="0" xfId="5" applyNumberFormat="1" applyFont="1" applyBorder="1" applyAlignment="1">
      <alignment horizontal="right" wrapText="1"/>
    </xf>
    <xf numFmtId="3" fontId="2" fillId="0" borderId="0" xfId="0" applyNumberFormat="1" applyFon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5" applyFont="1" applyBorder="1">
      <alignment wrapText="1"/>
    </xf>
    <xf numFmtId="0" fontId="7" fillId="3" borderId="21" xfId="6" applyFont="1" applyFill="1" applyBorder="1">
      <alignment wrapText="1"/>
    </xf>
    <xf numFmtId="3" fontId="5" fillId="3" borderId="22" xfId="6" applyNumberFormat="1" applyFont="1" applyFill="1" applyBorder="1" applyAlignment="1">
      <alignment horizontal="right" wrapText="1"/>
    </xf>
    <xf numFmtId="3" fontId="5" fillId="3" borderId="23" xfId="6" applyNumberFormat="1" applyFont="1" applyFill="1" applyBorder="1" applyAlignment="1">
      <alignment horizontal="right" wrapText="1"/>
    </xf>
    <xf numFmtId="43" fontId="0" fillId="0" borderId="0" xfId="0" applyNumberFormat="1"/>
    <xf numFmtId="43" fontId="0" fillId="0" borderId="0" xfId="3" applyFont="1"/>
    <xf numFmtId="43" fontId="2" fillId="0" borderId="0" xfId="0" applyNumberFormat="1" applyFont="1"/>
    <xf numFmtId="9" fontId="0" fillId="0" borderId="0" xfId="0" applyNumberFormat="1"/>
    <xf numFmtId="9" fontId="2" fillId="4" borderId="0" xfId="1" applyFont="1" applyFill="1"/>
    <xf numFmtId="43" fontId="0" fillId="4" borderId="0" xfId="3" applyFont="1" applyFill="1"/>
    <xf numFmtId="9" fontId="2" fillId="0" borderId="0" xfId="1" applyFont="1" applyFill="1"/>
    <xf numFmtId="9" fontId="0" fillId="0" borderId="0" xfId="1" applyFont="1" applyFill="1"/>
    <xf numFmtId="0" fontId="2" fillId="4" borderId="0" xfId="0" applyFont="1" applyFill="1"/>
    <xf numFmtId="43" fontId="0" fillId="4" borderId="0" xfId="0" applyNumberFormat="1" applyFill="1"/>
    <xf numFmtId="43" fontId="0" fillId="0" borderId="0" xfId="3" applyFont="1" applyAlignment="1">
      <alignment wrapText="1"/>
    </xf>
    <xf numFmtId="0" fontId="14" fillId="0" borderId="0" xfId="0" applyFont="1"/>
    <xf numFmtId="0" fontId="2" fillId="8" borderId="0" xfId="0" applyFont="1" applyFill="1"/>
    <xf numFmtId="9" fontId="1" fillId="4" borderId="0" xfId="1" applyFont="1" applyFill="1"/>
    <xf numFmtId="0" fontId="0" fillId="8" borderId="0" xfId="0" applyFill="1"/>
    <xf numFmtId="9" fontId="1" fillId="0" borderId="0" xfId="1" applyFont="1"/>
    <xf numFmtId="9" fontId="2" fillId="8" borderId="0" xfId="1" applyFont="1" applyFill="1"/>
    <xf numFmtId="43" fontId="0" fillId="8" borderId="0" xfId="3" applyFont="1" applyFill="1" applyAlignment="1">
      <alignment wrapText="1"/>
    </xf>
    <xf numFmtId="0" fontId="0" fillId="8" borderId="0" xfId="0" applyFill="1" applyAlignment="1">
      <alignment wrapText="1"/>
    </xf>
    <xf numFmtId="43" fontId="2" fillId="8" borderId="0" xfId="3" applyFont="1" applyFill="1" applyAlignment="1">
      <alignment wrapText="1"/>
    </xf>
    <xf numFmtId="9" fontId="0" fillId="8" borderId="0" xfId="1" applyFont="1" applyFill="1"/>
    <xf numFmtId="43" fontId="2" fillId="8" borderId="0" xfId="0" applyNumberFormat="1" applyFont="1" applyFill="1"/>
    <xf numFmtId="43" fontId="0" fillId="8" borderId="0" xfId="3" applyFont="1" applyFill="1"/>
    <xf numFmtId="9" fontId="0" fillId="8" borderId="0" xfId="0" applyNumberFormat="1" applyFill="1"/>
    <xf numFmtId="0" fontId="15" fillId="8" borderId="0" xfId="0" applyFont="1" applyFill="1"/>
    <xf numFmtId="43" fontId="15" fillId="8" borderId="0" xfId="3" applyFont="1" applyFill="1"/>
    <xf numFmtId="43" fontId="0" fillId="8" borderId="0" xfId="0" applyNumberFormat="1" applyFill="1"/>
    <xf numFmtId="43" fontId="15" fillId="8" borderId="0" xfId="0" applyNumberFormat="1" applyFont="1" applyFill="1"/>
    <xf numFmtId="0" fontId="16" fillId="0" borderId="0" xfId="0" applyFont="1"/>
    <xf numFmtId="43" fontId="0" fillId="0" borderId="0" xfId="3" applyFont="1" applyFill="1"/>
    <xf numFmtId="43" fontId="2" fillId="8" borderId="0" xfId="3" applyFont="1" applyFill="1"/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9" fontId="0" fillId="0" borderId="0" xfId="1" applyFont="1" applyAlignment="1"/>
    <xf numFmtId="0" fontId="0" fillId="8" borderId="0" xfId="0" applyFill="1" applyAlignment="1">
      <alignment horizontal="left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16" fillId="0" borderId="0" xfId="0" applyFont="1" applyAlignment="1">
      <alignment vertical="top"/>
    </xf>
    <xf numFmtId="0" fontId="0" fillId="9" borderId="24" xfId="0" applyFill="1" applyBorder="1"/>
    <xf numFmtId="0" fontId="0" fillId="9" borderId="25" xfId="0" applyFill="1" applyBorder="1"/>
    <xf numFmtId="0" fontId="0" fillId="9" borderId="15" xfId="0" applyFill="1" applyBorder="1"/>
    <xf numFmtId="0" fontId="0" fillId="9" borderId="2" xfId="0" applyFill="1" applyBorder="1"/>
    <xf numFmtId="0" fontId="0" fillId="9" borderId="26" xfId="0" applyFill="1" applyBorder="1"/>
    <xf numFmtId="0" fontId="0" fillId="9" borderId="27" xfId="0" applyFill="1" applyBorder="1"/>
    <xf numFmtId="0" fontId="0" fillId="0" borderId="0" xfId="0" applyAlignment="1">
      <alignment horizontal="right"/>
    </xf>
    <xf numFmtId="0" fontId="2" fillId="6" borderId="0" xfId="0" applyFont="1" applyFill="1"/>
    <xf numFmtId="43" fontId="2" fillId="0" borderId="0" xfId="3" applyFont="1" applyAlignment="1">
      <alignment horizontal="center"/>
    </xf>
    <xf numFmtId="43" fontId="2" fillId="3" borderId="0" xfId="3" applyFont="1" applyFill="1"/>
    <xf numFmtId="0" fontId="2" fillId="0" borderId="0" xfId="3" applyNumberFormat="1" applyFont="1"/>
    <xf numFmtId="0" fontId="2" fillId="7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9" fontId="2" fillId="5" borderId="0" xfId="1" applyFont="1" applyFill="1" applyAlignment="1">
      <alignment horizontal="center"/>
    </xf>
    <xf numFmtId="0" fontId="2" fillId="5" borderId="0" xfId="0" applyFont="1" applyFill="1" applyAlignment="1">
      <alignment horizontal="center" vertical="center"/>
    </xf>
    <xf numFmtId="0" fontId="9" fillId="0" borderId="16" xfId="8" applyAlignment="1">
      <alignment wrapText="1"/>
    </xf>
    <xf numFmtId="0" fontId="0" fillId="0" borderId="16" xfId="0" applyBorder="1" applyAlignment="1">
      <alignment wrapText="1"/>
    </xf>
    <xf numFmtId="0" fontId="6" fillId="0" borderId="0" xfId="4" applyAlignment="1">
      <alignment horizontal="left" wrapText="1"/>
    </xf>
    <xf numFmtId="0" fontId="0" fillId="0" borderId="0" xfId="0" applyAlignment="1">
      <alignment wrapText="1"/>
    </xf>
    <xf numFmtId="3" fontId="7" fillId="0" borderId="5" xfId="0" applyNumberFormat="1" applyFont="1" applyBorder="1" applyAlignment="1">
      <alignment horizontal="left" wrapText="1"/>
    </xf>
    <xf numFmtId="3" fontId="7" fillId="0" borderId="0" xfId="0" applyNumberFormat="1" applyFont="1" applyAlignment="1">
      <alignment horizontal="left" wrapText="1"/>
    </xf>
    <xf numFmtId="0" fontId="0" fillId="0" borderId="0" xfId="0" applyAlignment="1">
      <alignment horizontal="left"/>
    </xf>
    <xf numFmtId="3" fontId="7" fillId="0" borderId="6" xfId="5" applyNumberFormat="1" applyFont="1" applyBorder="1" applyAlignment="1">
      <alignment horizontal="right" wrapText="1"/>
    </xf>
    <xf numFmtId="0" fontId="0" fillId="0" borderId="4" xfId="0" applyBorder="1" applyAlignment="1">
      <alignment horizontal="right" wrapText="1"/>
    </xf>
    <xf numFmtId="3" fontId="7" fillId="0" borderId="1" xfId="5" applyNumberFormat="1" applyFont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3" fontId="7" fillId="0" borderId="1" xfId="0" applyNumberFormat="1" applyFon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5" xfId="0" applyBorder="1" applyAlignment="1">
      <alignment horizontal="left"/>
    </xf>
    <xf numFmtId="0" fontId="0" fillId="0" borderId="0" xfId="0" applyAlignment="1">
      <alignment horizontal="right" wrapText="1"/>
    </xf>
    <xf numFmtId="3" fontId="7" fillId="0" borderId="20" xfId="0" applyNumberFormat="1" applyFont="1" applyBorder="1" applyAlignment="1">
      <alignment horizontal="left" wrapText="1"/>
    </xf>
    <xf numFmtId="0" fontId="0" fillId="0" borderId="20" xfId="0" applyBorder="1" applyAlignment="1">
      <alignment horizontal="left" wrapText="1"/>
    </xf>
    <xf numFmtId="3" fontId="7" fillId="0" borderId="17" xfId="0" applyNumberFormat="1" applyFont="1" applyBorder="1" applyAlignment="1">
      <alignment horizontal="left" wrapText="1"/>
    </xf>
    <xf numFmtId="0" fontId="0" fillId="0" borderId="17" xfId="0" applyBorder="1" applyAlignment="1">
      <alignment horizontal="left" wrapText="1"/>
    </xf>
    <xf numFmtId="0" fontId="0" fillId="0" borderId="18" xfId="0" applyBorder="1" applyAlignment="1">
      <alignment horizontal="left" wrapText="1"/>
    </xf>
    <xf numFmtId="3" fontId="7" fillId="0" borderId="0" xfId="5" applyNumberFormat="1" applyFont="1" applyBorder="1" applyAlignment="1">
      <alignment horizontal="right" wrapText="1"/>
    </xf>
    <xf numFmtId="3" fontId="7" fillId="0" borderId="19" xfId="0" applyNumberFormat="1" applyFont="1" applyBorder="1" applyAlignment="1">
      <alignment horizontal="left" wrapText="1"/>
    </xf>
    <xf numFmtId="0" fontId="0" fillId="0" borderId="19" xfId="0" applyBorder="1" applyAlignment="1">
      <alignment horizontal="left" wrapText="1"/>
    </xf>
  </cellXfs>
  <cellStyles count="9">
    <cellStyle name="Body: normal cell" xfId="6" xr:uid="{00000000-0005-0000-0000-000000000000}"/>
    <cellStyle name="Comma" xfId="3" builtinId="3"/>
    <cellStyle name="Footnotes: top row" xfId="8" xr:uid="{00000000-0005-0000-0000-000002000000}"/>
    <cellStyle name="Header: bottom row" xfId="5" xr:uid="{00000000-0005-0000-0000-000003000000}"/>
    <cellStyle name="Hyperlink" xfId="2" builtinId="8"/>
    <cellStyle name="Normal" xfId="0" builtinId="0"/>
    <cellStyle name="Parent row" xfId="7" xr:uid="{00000000-0005-0000-0000-000006000000}"/>
    <cellStyle name="Percent" xfId="1" builtinId="5"/>
    <cellStyle name="Table title" xfId="4" xr:uid="{00000000-0005-0000-0000-00000800000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unstats.un.org/unsd/publication/seriesM/seriesm_4rev4e.pdf" TargetMode="External"/><Relationship Id="rId2" Type="http://schemas.openxmlformats.org/officeDocument/2006/relationships/hyperlink" Target="https://www.eia.gov/consumption/commercial/data/2012/" TargetMode="External"/><Relationship Id="rId1" Type="http://schemas.openxmlformats.org/officeDocument/2006/relationships/hyperlink" Target="https://www.eia.gov/analysis/studies/buildings/equipcosts/pdf/full.pdf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eia.gov/analysis/studies/buildings/equipcosts/pdf/full.pdf" TargetMode="External"/><Relationship Id="rId21" Type="http://schemas.openxmlformats.org/officeDocument/2006/relationships/hyperlink" Target="https://www.eia.gov/analysis/studies/buildings/equipcosts/pdf/full.pdf" TargetMode="External"/><Relationship Id="rId42" Type="http://schemas.openxmlformats.org/officeDocument/2006/relationships/hyperlink" Target="https://www.eia.gov/analysis/studies/buildings/equipcosts/pdf/full.pdf" TargetMode="External"/><Relationship Id="rId47" Type="http://schemas.openxmlformats.org/officeDocument/2006/relationships/hyperlink" Target="https://www.eia.gov/analysis/studies/buildings/equipcosts/pdf/full.pdf" TargetMode="External"/><Relationship Id="rId63" Type="http://schemas.openxmlformats.org/officeDocument/2006/relationships/hyperlink" Target="https://www.eia.gov/analysis/studies/buildings/equipcosts/pdf/full.pdf" TargetMode="External"/><Relationship Id="rId68" Type="http://schemas.openxmlformats.org/officeDocument/2006/relationships/hyperlink" Target="https://www.eia.gov/analysis/studies/buildings/equipcosts/pdf/full.pdf" TargetMode="External"/><Relationship Id="rId84" Type="http://schemas.openxmlformats.org/officeDocument/2006/relationships/hyperlink" Target="https://www.eia.gov/analysis/studies/buildings/equipcosts/pdf/full.pdf" TargetMode="External"/><Relationship Id="rId89" Type="http://schemas.openxmlformats.org/officeDocument/2006/relationships/hyperlink" Target="https://www.eia.gov/analysis/studies/buildings/equipcosts/pdf/full.pdf" TargetMode="External"/><Relationship Id="rId16" Type="http://schemas.openxmlformats.org/officeDocument/2006/relationships/hyperlink" Target="https://www.eia.gov/analysis/studies/buildings/equipcosts/pdf/full.pdf" TargetMode="External"/><Relationship Id="rId11" Type="http://schemas.openxmlformats.org/officeDocument/2006/relationships/hyperlink" Target="https://www.eia.gov/analysis/studies/buildings/equipcosts/pdf/full.pdf" TargetMode="External"/><Relationship Id="rId32" Type="http://schemas.openxmlformats.org/officeDocument/2006/relationships/hyperlink" Target="https://www.eia.gov/analysis/studies/buildings/equipcosts/pdf/full.pdf" TargetMode="External"/><Relationship Id="rId37" Type="http://schemas.openxmlformats.org/officeDocument/2006/relationships/hyperlink" Target="https://www.eia.gov/analysis/studies/buildings/equipcosts/pdf/full.pdf" TargetMode="External"/><Relationship Id="rId53" Type="http://schemas.openxmlformats.org/officeDocument/2006/relationships/hyperlink" Target="https://www.eia.gov/analysis/studies/buildings/equipcosts/pdf/full.pdf" TargetMode="External"/><Relationship Id="rId58" Type="http://schemas.openxmlformats.org/officeDocument/2006/relationships/hyperlink" Target="https://www.eia.gov/analysis/studies/buildings/equipcosts/pdf/full.pdf" TargetMode="External"/><Relationship Id="rId74" Type="http://schemas.openxmlformats.org/officeDocument/2006/relationships/hyperlink" Target="https://www.eia.gov/analysis/studies/buildings/equipcosts/pdf/full.pdf" TargetMode="External"/><Relationship Id="rId79" Type="http://schemas.openxmlformats.org/officeDocument/2006/relationships/hyperlink" Target="https://www.eia.gov/analysis/studies/buildings/equipcosts/pdf/full.pdf" TargetMode="External"/><Relationship Id="rId5" Type="http://schemas.openxmlformats.org/officeDocument/2006/relationships/hyperlink" Target="https://www.eia.gov/analysis/studies/buildings/equipcosts/pdf/full.pdf" TargetMode="External"/><Relationship Id="rId90" Type="http://schemas.openxmlformats.org/officeDocument/2006/relationships/hyperlink" Target="https://www.eia.gov/analysis/studies/buildings/equipcosts/pdf/full.pdf" TargetMode="External"/><Relationship Id="rId95" Type="http://schemas.openxmlformats.org/officeDocument/2006/relationships/hyperlink" Target="https://www.eia.gov/analysis/studies/buildings/equipcosts/pdf/full.pdf" TargetMode="External"/><Relationship Id="rId22" Type="http://schemas.openxmlformats.org/officeDocument/2006/relationships/hyperlink" Target="https://www.eia.gov/analysis/studies/buildings/equipcosts/pdf/full.pdf" TargetMode="External"/><Relationship Id="rId27" Type="http://schemas.openxmlformats.org/officeDocument/2006/relationships/hyperlink" Target="https://www.eia.gov/analysis/studies/buildings/equipcosts/pdf/full.pdf" TargetMode="External"/><Relationship Id="rId43" Type="http://schemas.openxmlformats.org/officeDocument/2006/relationships/hyperlink" Target="https://www.eia.gov/analysis/studies/buildings/equipcosts/pdf/full.pdf" TargetMode="External"/><Relationship Id="rId48" Type="http://schemas.openxmlformats.org/officeDocument/2006/relationships/hyperlink" Target="https://www.eia.gov/analysis/studies/buildings/equipcosts/pdf/full.pdf" TargetMode="External"/><Relationship Id="rId64" Type="http://schemas.openxmlformats.org/officeDocument/2006/relationships/hyperlink" Target="https://www.eia.gov/analysis/studies/buildings/equipcosts/pdf/full.pdf" TargetMode="External"/><Relationship Id="rId69" Type="http://schemas.openxmlformats.org/officeDocument/2006/relationships/hyperlink" Target="https://www.eia.gov/analysis/studies/buildings/equipcosts/pdf/full.pdf" TargetMode="External"/><Relationship Id="rId8" Type="http://schemas.openxmlformats.org/officeDocument/2006/relationships/hyperlink" Target="https://www.eia.gov/analysis/studies/buildings/equipcosts/pdf/full.pdf" TargetMode="External"/><Relationship Id="rId51" Type="http://schemas.openxmlformats.org/officeDocument/2006/relationships/hyperlink" Target="https://www.eia.gov/analysis/studies/buildings/equipcosts/pdf/full.pdf" TargetMode="External"/><Relationship Id="rId72" Type="http://schemas.openxmlformats.org/officeDocument/2006/relationships/hyperlink" Target="https://www.eia.gov/analysis/studies/buildings/equipcosts/pdf/full.pdf" TargetMode="External"/><Relationship Id="rId80" Type="http://schemas.openxmlformats.org/officeDocument/2006/relationships/hyperlink" Target="https://www.eia.gov/analysis/studies/buildings/equipcosts/pdf/full.pdf" TargetMode="External"/><Relationship Id="rId85" Type="http://schemas.openxmlformats.org/officeDocument/2006/relationships/hyperlink" Target="https://www.eia.gov/analysis/studies/buildings/equipcosts/pdf/full.pdf" TargetMode="External"/><Relationship Id="rId93" Type="http://schemas.openxmlformats.org/officeDocument/2006/relationships/hyperlink" Target="https://www.eia.gov/analysis/studies/buildings/equipcosts/pdf/full.pdf" TargetMode="External"/><Relationship Id="rId3" Type="http://schemas.openxmlformats.org/officeDocument/2006/relationships/hyperlink" Target="https://www.eia.gov/analysis/studies/buildings/equipcosts/pdf/full.pdf" TargetMode="External"/><Relationship Id="rId12" Type="http://schemas.openxmlformats.org/officeDocument/2006/relationships/hyperlink" Target="https://www.eia.gov/analysis/studies/buildings/equipcosts/pdf/full.pdf" TargetMode="External"/><Relationship Id="rId17" Type="http://schemas.openxmlformats.org/officeDocument/2006/relationships/hyperlink" Target="https://www.eia.gov/analysis/studies/buildings/equipcosts/pdf/full.pdf" TargetMode="External"/><Relationship Id="rId25" Type="http://schemas.openxmlformats.org/officeDocument/2006/relationships/hyperlink" Target="https://www.eia.gov/analysis/studies/buildings/equipcosts/pdf/full.pdf" TargetMode="External"/><Relationship Id="rId33" Type="http://schemas.openxmlformats.org/officeDocument/2006/relationships/hyperlink" Target="https://www.eia.gov/analysis/studies/buildings/equipcosts/pdf/full.pdf" TargetMode="External"/><Relationship Id="rId38" Type="http://schemas.openxmlformats.org/officeDocument/2006/relationships/hyperlink" Target="https://www.eia.gov/analysis/studies/buildings/equipcosts/pdf/full.pdf" TargetMode="External"/><Relationship Id="rId46" Type="http://schemas.openxmlformats.org/officeDocument/2006/relationships/hyperlink" Target="https://www.eia.gov/analysis/studies/buildings/equipcosts/pdf/full.pdf" TargetMode="External"/><Relationship Id="rId59" Type="http://schemas.openxmlformats.org/officeDocument/2006/relationships/hyperlink" Target="https://www.eia.gov/analysis/studies/buildings/equipcosts/pdf/full.pdf" TargetMode="External"/><Relationship Id="rId67" Type="http://schemas.openxmlformats.org/officeDocument/2006/relationships/hyperlink" Target="https://www.eia.gov/analysis/studies/buildings/equipcosts/pdf/full.pdf" TargetMode="External"/><Relationship Id="rId20" Type="http://schemas.openxmlformats.org/officeDocument/2006/relationships/hyperlink" Target="https://www.eia.gov/analysis/studies/buildings/equipcosts/pdf/full.pdf" TargetMode="External"/><Relationship Id="rId41" Type="http://schemas.openxmlformats.org/officeDocument/2006/relationships/hyperlink" Target="https://www.eia.gov/analysis/studies/buildings/equipcosts/pdf/full.pdf" TargetMode="External"/><Relationship Id="rId54" Type="http://schemas.openxmlformats.org/officeDocument/2006/relationships/hyperlink" Target="https://www.eia.gov/analysis/studies/buildings/equipcosts/pdf/full.pdf" TargetMode="External"/><Relationship Id="rId62" Type="http://schemas.openxmlformats.org/officeDocument/2006/relationships/hyperlink" Target="https://www.eia.gov/analysis/studies/buildings/equipcosts/pdf/full.pdf" TargetMode="External"/><Relationship Id="rId70" Type="http://schemas.openxmlformats.org/officeDocument/2006/relationships/hyperlink" Target="https://www.eia.gov/analysis/studies/buildings/equipcosts/pdf/full.pdf" TargetMode="External"/><Relationship Id="rId75" Type="http://schemas.openxmlformats.org/officeDocument/2006/relationships/hyperlink" Target="https://www.eia.gov/analysis/studies/buildings/equipcosts/pdf/full.pdf" TargetMode="External"/><Relationship Id="rId83" Type="http://schemas.openxmlformats.org/officeDocument/2006/relationships/hyperlink" Target="https://www.eia.gov/analysis/studies/buildings/equipcosts/pdf/full.pdf" TargetMode="External"/><Relationship Id="rId88" Type="http://schemas.openxmlformats.org/officeDocument/2006/relationships/hyperlink" Target="https://www.eia.gov/analysis/studies/buildings/equipcosts/pdf/full.pdf" TargetMode="External"/><Relationship Id="rId91" Type="http://schemas.openxmlformats.org/officeDocument/2006/relationships/hyperlink" Target="https://www.eia.gov/analysis/studies/buildings/equipcosts/pdf/full.pdf" TargetMode="External"/><Relationship Id="rId96" Type="http://schemas.openxmlformats.org/officeDocument/2006/relationships/printerSettings" Target="../printerSettings/printerSettings2.bin"/><Relationship Id="rId1" Type="http://schemas.openxmlformats.org/officeDocument/2006/relationships/hyperlink" Target="https://www.eia.gov/analysis/studies/buildings/equipcosts/pdf/full.pdf" TargetMode="External"/><Relationship Id="rId6" Type="http://schemas.openxmlformats.org/officeDocument/2006/relationships/hyperlink" Target="https://www.eia.gov/analysis/studies/buildings/equipcosts/pdf/full.pdf" TargetMode="External"/><Relationship Id="rId15" Type="http://schemas.openxmlformats.org/officeDocument/2006/relationships/hyperlink" Target="https://www.eia.gov/analysis/studies/buildings/equipcosts/pdf/full.pdf" TargetMode="External"/><Relationship Id="rId23" Type="http://schemas.openxmlformats.org/officeDocument/2006/relationships/hyperlink" Target="https://www.eia.gov/analysis/studies/buildings/equipcosts/pdf/full.pdf" TargetMode="External"/><Relationship Id="rId28" Type="http://schemas.openxmlformats.org/officeDocument/2006/relationships/hyperlink" Target="https://www.eia.gov/analysis/studies/buildings/equipcosts/pdf/full.pdf" TargetMode="External"/><Relationship Id="rId36" Type="http://schemas.openxmlformats.org/officeDocument/2006/relationships/hyperlink" Target="https://www.eia.gov/analysis/studies/buildings/equipcosts/pdf/full.pdf" TargetMode="External"/><Relationship Id="rId49" Type="http://schemas.openxmlformats.org/officeDocument/2006/relationships/hyperlink" Target="https://www.eia.gov/analysis/studies/buildings/equipcosts/pdf/full.pdf" TargetMode="External"/><Relationship Id="rId57" Type="http://schemas.openxmlformats.org/officeDocument/2006/relationships/hyperlink" Target="https://www.eia.gov/analysis/studies/buildings/equipcosts/pdf/full.pdf" TargetMode="External"/><Relationship Id="rId10" Type="http://schemas.openxmlformats.org/officeDocument/2006/relationships/hyperlink" Target="https://www.eia.gov/analysis/studies/buildings/equipcosts/pdf/full.pdf" TargetMode="External"/><Relationship Id="rId31" Type="http://schemas.openxmlformats.org/officeDocument/2006/relationships/hyperlink" Target="https://www.eia.gov/analysis/studies/buildings/equipcosts/pdf/full.pdf" TargetMode="External"/><Relationship Id="rId44" Type="http://schemas.openxmlformats.org/officeDocument/2006/relationships/hyperlink" Target="https://www.eia.gov/analysis/studies/buildings/equipcosts/pdf/full.pdf" TargetMode="External"/><Relationship Id="rId52" Type="http://schemas.openxmlformats.org/officeDocument/2006/relationships/hyperlink" Target="https://www.eia.gov/analysis/studies/buildings/equipcosts/pdf/full.pdf" TargetMode="External"/><Relationship Id="rId60" Type="http://schemas.openxmlformats.org/officeDocument/2006/relationships/hyperlink" Target="https://www.eia.gov/analysis/studies/buildings/equipcosts/pdf/full.pdf" TargetMode="External"/><Relationship Id="rId65" Type="http://schemas.openxmlformats.org/officeDocument/2006/relationships/hyperlink" Target="https://www.eia.gov/analysis/studies/buildings/equipcosts/pdf/full.pdf" TargetMode="External"/><Relationship Id="rId73" Type="http://schemas.openxmlformats.org/officeDocument/2006/relationships/hyperlink" Target="https://www.eia.gov/analysis/studies/buildings/equipcosts/pdf/full.pdf" TargetMode="External"/><Relationship Id="rId78" Type="http://schemas.openxmlformats.org/officeDocument/2006/relationships/hyperlink" Target="https://www.eia.gov/analysis/studies/buildings/equipcosts/pdf/full.pdf" TargetMode="External"/><Relationship Id="rId81" Type="http://schemas.openxmlformats.org/officeDocument/2006/relationships/hyperlink" Target="https://www.eia.gov/analysis/studies/buildings/equipcosts/pdf/full.pdf" TargetMode="External"/><Relationship Id="rId86" Type="http://schemas.openxmlformats.org/officeDocument/2006/relationships/hyperlink" Target="https://www.eia.gov/analysis/studies/buildings/equipcosts/pdf/full.pdf" TargetMode="External"/><Relationship Id="rId94" Type="http://schemas.openxmlformats.org/officeDocument/2006/relationships/hyperlink" Target="https://www.eia.gov/analysis/studies/buildings/equipcosts/pdf/full.pdf" TargetMode="External"/><Relationship Id="rId4" Type="http://schemas.openxmlformats.org/officeDocument/2006/relationships/hyperlink" Target="https://www.eia.gov/analysis/studies/buildings/equipcosts/pdf/full.pdf" TargetMode="External"/><Relationship Id="rId9" Type="http://schemas.openxmlformats.org/officeDocument/2006/relationships/hyperlink" Target="https://www.eia.gov/analysis/studies/buildings/equipcosts/pdf/full.pdf" TargetMode="External"/><Relationship Id="rId13" Type="http://schemas.openxmlformats.org/officeDocument/2006/relationships/hyperlink" Target="https://www.eia.gov/analysis/studies/buildings/equipcosts/pdf/full.pdf" TargetMode="External"/><Relationship Id="rId18" Type="http://schemas.openxmlformats.org/officeDocument/2006/relationships/hyperlink" Target="https://www.eia.gov/analysis/studies/buildings/equipcosts/pdf/full.pdf" TargetMode="External"/><Relationship Id="rId39" Type="http://schemas.openxmlformats.org/officeDocument/2006/relationships/hyperlink" Target="https://www.eia.gov/analysis/studies/buildings/equipcosts/pdf/full.pdf" TargetMode="External"/><Relationship Id="rId34" Type="http://schemas.openxmlformats.org/officeDocument/2006/relationships/hyperlink" Target="https://www.eia.gov/analysis/studies/buildings/equipcosts/pdf/full.pdf" TargetMode="External"/><Relationship Id="rId50" Type="http://schemas.openxmlformats.org/officeDocument/2006/relationships/hyperlink" Target="https://www.eia.gov/analysis/studies/buildings/equipcosts/pdf/full.pdf" TargetMode="External"/><Relationship Id="rId55" Type="http://schemas.openxmlformats.org/officeDocument/2006/relationships/hyperlink" Target="https://www.eia.gov/analysis/studies/buildings/equipcosts/pdf/full.pdf" TargetMode="External"/><Relationship Id="rId76" Type="http://schemas.openxmlformats.org/officeDocument/2006/relationships/hyperlink" Target="https://www.eia.gov/analysis/studies/buildings/equipcosts/pdf/full.pdf" TargetMode="External"/><Relationship Id="rId7" Type="http://schemas.openxmlformats.org/officeDocument/2006/relationships/hyperlink" Target="https://www.eia.gov/analysis/studies/buildings/equipcosts/pdf/full.pdf" TargetMode="External"/><Relationship Id="rId71" Type="http://schemas.openxmlformats.org/officeDocument/2006/relationships/hyperlink" Target="https://www.eia.gov/analysis/studies/buildings/equipcosts/pdf/full.pdf" TargetMode="External"/><Relationship Id="rId92" Type="http://schemas.openxmlformats.org/officeDocument/2006/relationships/hyperlink" Target="https://www.eia.gov/analysis/studies/buildings/equipcosts/pdf/full.pdf" TargetMode="External"/><Relationship Id="rId2" Type="http://schemas.openxmlformats.org/officeDocument/2006/relationships/hyperlink" Target="https://www.eia.gov/analysis/studies/buildings/equipcosts/pdf/full.pdf" TargetMode="External"/><Relationship Id="rId29" Type="http://schemas.openxmlformats.org/officeDocument/2006/relationships/hyperlink" Target="https://www.eia.gov/analysis/studies/buildings/equipcosts/pdf/full.pdf" TargetMode="External"/><Relationship Id="rId24" Type="http://schemas.openxmlformats.org/officeDocument/2006/relationships/hyperlink" Target="https://www.eia.gov/analysis/studies/buildings/equipcosts/pdf/full.pdf" TargetMode="External"/><Relationship Id="rId40" Type="http://schemas.openxmlformats.org/officeDocument/2006/relationships/hyperlink" Target="https://www.eia.gov/analysis/studies/buildings/equipcosts/pdf/full.pdf" TargetMode="External"/><Relationship Id="rId45" Type="http://schemas.openxmlformats.org/officeDocument/2006/relationships/hyperlink" Target="https://www.eia.gov/analysis/studies/buildings/equipcosts/pdf/full.pdf" TargetMode="External"/><Relationship Id="rId66" Type="http://schemas.openxmlformats.org/officeDocument/2006/relationships/hyperlink" Target="https://www.eia.gov/analysis/studies/buildings/equipcosts/pdf/full.pdf" TargetMode="External"/><Relationship Id="rId87" Type="http://schemas.openxmlformats.org/officeDocument/2006/relationships/hyperlink" Target="https://www.eia.gov/analysis/studies/buildings/equipcosts/pdf/full.pdf" TargetMode="External"/><Relationship Id="rId61" Type="http://schemas.openxmlformats.org/officeDocument/2006/relationships/hyperlink" Target="https://www.eia.gov/analysis/studies/buildings/equipcosts/pdf/full.pdf" TargetMode="External"/><Relationship Id="rId82" Type="http://schemas.openxmlformats.org/officeDocument/2006/relationships/hyperlink" Target="https://www.eia.gov/analysis/studies/buildings/equipcosts/pdf/full.pdf" TargetMode="External"/><Relationship Id="rId19" Type="http://schemas.openxmlformats.org/officeDocument/2006/relationships/hyperlink" Target="https://www.eia.gov/analysis/studies/buildings/equipcosts/pdf/full.pdf" TargetMode="External"/><Relationship Id="rId14" Type="http://schemas.openxmlformats.org/officeDocument/2006/relationships/hyperlink" Target="https://www.eia.gov/analysis/studies/buildings/equipcosts/pdf/full.pdf" TargetMode="External"/><Relationship Id="rId30" Type="http://schemas.openxmlformats.org/officeDocument/2006/relationships/hyperlink" Target="https://www.eia.gov/analysis/studies/buildings/equipcosts/pdf/full.pdf" TargetMode="External"/><Relationship Id="rId35" Type="http://schemas.openxmlformats.org/officeDocument/2006/relationships/hyperlink" Target="https://www.eia.gov/analysis/studies/buildings/equipcosts/pdf/full.pdf" TargetMode="External"/><Relationship Id="rId56" Type="http://schemas.openxmlformats.org/officeDocument/2006/relationships/hyperlink" Target="https://www.eia.gov/analysis/studies/buildings/equipcosts/pdf/full.pdf" TargetMode="External"/><Relationship Id="rId77" Type="http://schemas.openxmlformats.org/officeDocument/2006/relationships/hyperlink" Target="https://www.eia.gov/analysis/studies/buildings/equipcosts/pdf/full.pdf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3"/>
  <sheetViews>
    <sheetView tabSelected="1" topLeftCell="A14" workbookViewId="0">
      <selection activeCell="B23" sqref="B23"/>
    </sheetView>
  </sheetViews>
  <sheetFormatPr defaultRowHeight="14.75" x14ac:dyDescent="0.75"/>
  <cols>
    <col min="2" max="2" width="76.86328125" customWidth="1"/>
    <col min="3" max="3" width="43.1328125" customWidth="1"/>
    <col min="4" max="4" width="65.7265625" customWidth="1"/>
    <col min="5" max="5" width="5.7265625" customWidth="1"/>
    <col min="6" max="6" width="63.40625" customWidth="1"/>
  </cols>
  <sheetData>
    <row r="1" spans="1:2" x14ac:dyDescent="0.75">
      <c r="A1" s="2" t="s">
        <v>445</v>
      </c>
    </row>
    <row r="3" spans="1:2" x14ac:dyDescent="0.75">
      <c r="A3" s="2" t="s">
        <v>69</v>
      </c>
      <c r="B3" s="3" t="s">
        <v>74</v>
      </c>
    </row>
    <row r="4" spans="1:2" x14ac:dyDescent="0.75">
      <c r="B4" t="s">
        <v>73</v>
      </c>
    </row>
    <row r="5" spans="1:2" x14ac:dyDescent="0.75">
      <c r="B5" s="4">
        <v>2018</v>
      </c>
    </row>
    <row r="6" spans="1:2" x14ac:dyDescent="0.75">
      <c r="B6" t="s">
        <v>75</v>
      </c>
    </row>
    <row r="7" spans="1:2" x14ac:dyDescent="0.75">
      <c r="B7" s="1" t="s">
        <v>76</v>
      </c>
    </row>
    <row r="10" spans="1:2" x14ac:dyDescent="0.75">
      <c r="B10" s="3" t="s">
        <v>77</v>
      </c>
    </row>
    <row r="11" spans="1:2" x14ac:dyDescent="0.75">
      <c r="B11" t="s">
        <v>73</v>
      </c>
    </row>
    <row r="12" spans="1:2" x14ac:dyDescent="0.75">
      <c r="B12" s="4">
        <v>2016</v>
      </c>
    </row>
    <row r="13" spans="1:2" x14ac:dyDescent="0.75">
      <c r="B13" t="s">
        <v>352</v>
      </c>
    </row>
    <row r="14" spans="1:2" x14ac:dyDescent="0.75">
      <c r="B14" s="1" t="s">
        <v>78</v>
      </c>
    </row>
    <row r="17" spans="1:3" x14ac:dyDescent="0.75">
      <c r="B17" s="3" t="s">
        <v>79</v>
      </c>
    </row>
    <row r="18" spans="1:3" x14ac:dyDescent="0.75">
      <c r="B18" t="s">
        <v>609</v>
      </c>
    </row>
    <row r="19" spans="1:3" x14ac:dyDescent="0.75">
      <c r="B19" s="4">
        <v>2025</v>
      </c>
    </row>
    <row r="20" spans="1:3" x14ac:dyDescent="0.75">
      <c r="B20" t="s">
        <v>610</v>
      </c>
      <c r="C20" s="5"/>
    </row>
    <row r="21" spans="1:3" x14ac:dyDescent="0.75">
      <c r="B21" t="s">
        <v>611</v>
      </c>
      <c r="C21" s="5"/>
    </row>
    <row r="22" spans="1:3" x14ac:dyDescent="0.75">
      <c r="B22" t="s">
        <v>613</v>
      </c>
      <c r="C22" s="5"/>
    </row>
    <row r="23" spans="1:3" x14ac:dyDescent="0.75">
      <c r="B23" t="s">
        <v>612</v>
      </c>
    </row>
    <row r="25" spans="1:3" x14ac:dyDescent="0.75">
      <c r="B25" s="3" t="s">
        <v>436</v>
      </c>
    </row>
    <row r="26" spans="1:3" x14ac:dyDescent="0.75">
      <c r="B26" t="s">
        <v>437</v>
      </c>
    </row>
    <row r="27" spans="1:3" x14ac:dyDescent="0.75">
      <c r="B27" s="4">
        <v>2008</v>
      </c>
    </row>
    <row r="28" spans="1:3" x14ac:dyDescent="0.75">
      <c r="B28" t="s">
        <v>438</v>
      </c>
    </row>
    <row r="29" spans="1:3" x14ac:dyDescent="0.75">
      <c r="B29" s="1" t="s">
        <v>439</v>
      </c>
    </row>
    <row r="32" spans="1:3" x14ac:dyDescent="0.75">
      <c r="A32" s="89" t="s">
        <v>71</v>
      </c>
    </row>
    <row r="33" spans="1:1" x14ac:dyDescent="0.75">
      <c r="A33" s="91" t="s">
        <v>442</v>
      </c>
    </row>
    <row r="34" spans="1:1" x14ac:dyDescent="0.75">
      <c r="A34" s="90" t="s">
        <v>444</v>
      </c>
    </row>
    <row r="35" spans="1:1" x14ac:dyDescent="0.75">
      <c r="A35" s="90" t="s">
        <v>443</v>
      </c>
    </row>
    <row r="37" spans="1:1" x14ac:dyDescent="0.75">
      <c r="A37" t="s">
        <v>387</v>
      </c>
    </row>
    <row r="39" spans="1:1" x14ac:dyDescent="0.75">
      <c r="A39" t="s">
        <v>426</v>
      </c>
    </row>
    <row r="41" spans="1:1" x14ac:dyDescent="0.75">
      <c r="A41" t="s">
        <v>440</v>
      </c>
    </row>
    <row r="43" spans="1:1" x14ac:dyDescent="0.75">
      <c r="A43" t="s">
        <v>441</v>
      </c>
    </row>
  </sheetData>
  <hyperlinks>
    <hyperlink ref="B7" r:id="rId1" xr:uid="{00000000-0004-0000-0000-000001000000}"/>
    <hyperlink ref="B14" r:id="rId2" location="b38-b46" display="https://www.eia.gov/consumption/commercial/data/2012/ - b38-b46" xr:uid="{00000000-0004-0000-0000-000002000000}"/>
    <hyperlink ref="B29" r:id="rId3" xr:uid="{00000000-0004-0000-0000-00000300000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E5D04-61A7-4D43-8E18-96B973BD74CB}">
  <sheetPr>
    <tabColor theme="0" tint="-0.34998626667073579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3"/>
  <sheetViews>
    <sheetView workbookViewId="0"/>
  </sheetViews>
  <sheetFormatPr defaultRowHeight="14.75" x14ac:dyDescent="0.75"/>
  <cols>
    <col min="1" max="1" width="77.40625" bestFit="1" customWidth="1"/>
    <col min="2" max="2" width="12.1328125" bestFit="1" customWidth="1"/>
    <col min="3" max="3" width="20.40625" bestFit="1" customWidth="1"/>
    <col min="4" max="4" width="20.40625" customWidth="1"/>
    <col min="5" max="5" width="16" bestFit="1" customWidth="1"/>
    <col min="6" max="6" width="17.7265625" bestFit="1" customWidth="1"/>
    <col min="7" max="7" width="17.7265625" customWidth="1"/>
    <col min="8" max="8" width="14" bestFit="1" customWidth="1"/>
    <col min="9" max="9" width="21.54296875" bestFit="1" customWidth="1"/>
    <col min="10" max="11" width="12" bestFit="1" customWidth="1"/>
  </cols>
  <sheetData>
    <row r="1" spans="1:2" s="2" customFormat="1" x14ac:dyDescent="0.75">
      <c r="A1" s="2" t="s">
        <v>66</v>
      </c>
      <c r="B1" s="2" t="s">
        <v>67</v>
      </c>
    </row>
    <row r="2" spans="1:2" ht="15.5" thickBot="1" x14ac:dyDescent="0.9">
      <c r="A2" t="s">
        <v>4</v>
      </c>
      <c r="B2" t="s">
        <v>35</v>
      </c>
    </row>
    <row r="3" spans="1:2" x14ac:dyDescent="0.75">
      <c r="A3" s="92" t="s">
        <v>453</v>
      </c>
      <c r="B3" s="93" t="s">
        <v>451</v>
      </c>
    </row>
    <row r="4" spans="1:2" ht="15.5" thickBot="1" x14ac:dyDescent="0.9">
      <c r="A4" s="94" t="s">
        <v>454</v>
      </c>
      <c r="B4" s="95" t="s">
        <v>452</v>
      </c>
    </row>
    <row r="5" spans="1:2" x14ac:dyDescent="0.75">
      <c r="A5" t="s">
        <v>5</v>
      </c>
      <c r="B5" t="s">
        <v>36</v>
      </c>
    </row>
    <row r="6" spans="1:2" x14ac:dyDescent="0.75">
      <c r="A6" t="s">
        <v>6</v>
      </c>
      <c r="B6" t="s">
        <v>37</v>
      </c>
    </row>
    <row r="7" spans="1:2" x14ac:dyDescent="0.75">
      <c r="A7" t="s">
        <v>7</v>
      </c>
      <c r="B7" t="s">
        <v>38</v>
      </c>
    </row>
    <row r="8" spans="1:2" x14ac:dyDescent="0.75">
      <c r="A8" t="s">
        <v>8</v>
      </c>
      <c r="B8" t="s">
        <v>39</v>
      </c>
    </row>
    <row r="9" spans="1:2" x14ac:dyDescent="0.75">
      <c r="A9" t="s">
        <v>9</v>
      </c>
      <c r="B9" t="s">
        <v>40</v>
      </c>
    </row>
    <row r="10" spans="1:2" x14ac:dyDescent="0.75">
      <c r="A10" t="s">
        <v>10</v>
      </c>
      <c r="B10" t="s">
        <v>41</v>
      </c>
    </row>
    <row r="11" spans="1:2" ht="15.5" thickBot="1" x14ac:dyDescent="0.9">
      <c r="A11" t="s">
        <v>11</v>
      </c>
      <c r="B11" t="s">
        <v>42</v>
      </c>
    </row>
    <row r="12" spans="1:2" x14ac:dyDescent="0.75">
      <c r="A12" s="92" t="s">
        <v>455</v>
      </c>
      <c r="B12" s="93" t="s">
        <v>449</v>
      </c>
    </row>
    <row r="13" spans="1:2" ht="15.5" thickBot="1" x14ac:dyDescent="0.9">
      <c r="A13" s="94" t="s">
        <v>456</v>
      </c>
      <c r="B13" s="95" t="s">
        <v>450</v>
      </c>
    </row>
    <row r="14" spans="1:2" ht="15.5" thickBot="1" x14ac:dyDescent="0.9">
      <c r="A14" t="s">
        <v>12</v>
      </c>
      <c r="B14" t="s">
        <v>43</v>
      </c>
    </row>
    <row r="15" spans="1:2" x14ac:dyDescent="0.75">
      <c r="A15" s="92" t="s">
        <v>459</v>
      </c>
      <c r="B15" s="93" t="s">
        <v>457</v>
      </c>
    </row>
    <row r="16" spans="1:2" ht="15.5" thickBot="1" x14ac:dyDescent="0.9">
      <c r="A16" s="94" t="s">
        <v>460</v>
      </c>
      <c r="B16" s="95" t="s">
        <v>458</v>
      </c>
    </row>
    <row r="17" spans="1:3" x14ac:dyDescent="0.75">
      <c r="A17" s="92" t="s">
        <v>463</v>
      </c>
      <c r="B17" s="93" t="s">
        <v>461</v>
      </c>
    </row>
    <row r="18" spans="1:3" ht="15.5" thickBot="1" x14ac:dyDescent="0.9">
      <c r="A18" s="94" t="s">
        <v>464</v>
      </c>
      <c r="B18" s="95" t="s">
        <v>462</v>
      </c>
    </row>
    <row r="19" spans="1:3" x14ac:dyDescent="0.75">
      <c r="A19" t="s">
        <v>13</v>
      </c>
      <c r="B19" t="s">
        <v>44</v>
      </c>
    </row>
    <row r="20" spans="1:3" x14ac:dyDescent="0.75">
      <c r="A20" t="s">
        <v>14</v>
      </c>
      <c r="B20" t="s">
        <v>45</v>
      </c>
    </row>
    <row r="21" spans="1:3" x14ac:dyDescent="0.75">
      <c r="A21" t="s">
        <v>15</v>
      </c>
      <c r="B21" t="s">
        <v>46</v>
      </c>
    </row>
    <row r="22" spans="1:3" x14ac:dyDescent="0.75">
      <c r="A22" t="s">
        <v>16</v>
      </c>
      <c r="B22" t="s">
        <v>47</v>
      </c>
    </row>
    <row r="23" spans="1:3" x14ac:dyDescent="0.75">
      <c r="A23" t="s">
        <v>17</v>
      </c>
      <c r="B23" t="s">
        <v>48</v>
      </c>
    </row>
    <row r="24" spans="1:3" x14ac:dyDescent="0.75">
      <c r="A24" t="s">
        <v>18</v>
      </c>
      <c r="B24" t="s">
        <v>49</v>
      </c>
    </row>
    <row r="25" spans="1:3" ht="15.5" thickBot="1" x14ac:dyDescent="0.9">
      <c r="A25" t="s">
        <v>19</v>
      </c>
      <c r="B25" t="s">
        <v>50</v>
      </c>
      <c r="C25" s="81"/>
    </row>
    <row r="26" spans="1:3" x14ac:dyDescent="0.75">
      <c r="A26" s="92" t="s">
        <v>468</v>
      </c>
      <c r="B26" s="93" t="s">
        <v>465</v>
      </c>
    </row>
    <row r="27" spans="1:3" x14ac:dyDescent="0.75">
      <c r="A27" s="96" t="s">
        <v>469</v>
      </c>
      <c r="B27" s="97" t="s">
        <v>466</v>
      </c>
    </row>
    <row r="28" spans="1:3" ht="15.5" thickBot="1" x14ac:dyDescent="0.9">
      <c r="A28" s="94" t="s">
        <v>470</v>
      </c>
      <c r="B28" s="95" t="s">
        <v>467</v>
      </c>
    </row>
    <row r="29" spans="1:3" x14ac:dyDescent="0.75">
      <c r="A29" t="s">
        <v>20</v>
      </c>
      <c r="B29" t="s">
        <v>51</v>
      </c>
      <c r="C29" s="81"/>
    </row>
    <row r="30" spans="1:3" x14ac:dyDescent="0.75">
      <c r="A30" t="s">
        <v>21</v>
      </c>
      <c r="B30" t="s">
        <v>52</v>
      </c>
    </row>
    <row r="31" spans="1:3" x14ac:dyDescent="0.75">
      <c r="A31" t="s">
        <v>22</v>
      </c>
      <c r="B31" t="s">
        <v>53</v>
      </c>
    </row>
    <row r="32" spans="1:3" x14ac:dyDescent="0.75">
      <c r="A32" t="s">
        <v>23</v>
      </c>
      <c r="B32" t="s">
        <v>54</v>
      </c>
    </row>
    <row r="33" spans="1:2" x14ac:dyDescent="0.75">
      <c r="A33" t="s">
        <v>24</v>
      </c>
      <c r="B33" t="s">
        <v>55</v>
      </c>
    </row>
    <row r="34" spans="1:2" x14ac:dyDescent="0.75">
      <c r="A34" t="s">
        <v>25</v>
      </c>
      <c r="B34" t="s">
        <v>56</v>
      </c>
    </row>
    <row r="35" spans="1:2" x14ac:dyDescent="0.75">
      <c r="A35" t="s">
        <v>26</v>
      </c>
      <c r="B35" t="s">
        <v>57</v>
      </c>
    </row>
    <row r="36" spans="1:2" x14ac:dyDescent="0.75">
      <c r="A36" t="s">
        <v>27</v>
      </c>
      <c r="B36" t="s">
        <v>58</v>
      </c>
    </row>
    <row r="37" spans="1:2" x14ac:dyDescent="0.75">
      <c r="A37" t="s">
        <v>28</v>
      </c>
      <c r="B37" t="s">
        <v>59</v>
      </c>
    </row>
    <row r="38" spans="1:2" x14ac:dyDescent="0.75">
      <c r="A38" t="s">
        <v>29</v>
      </c>
      <c r="B38" t="s">
        <v>60</v>
      </c>
    </row>
    <row r="39" spans="1:2" x14ac:dyDescent="0.75">
      <c r="A39" t="s">
        <v>30</v>
      </c>
      <c r="B39" t="s">
        <v>61</v>
      </c>
    </row>
    <row r="40" spans="1:2" x14ac:dyDescent="0.75">
      <c r="A40" t="s">
        <v>31</v>
      </c>
      <c r="B40" t="s">
        <v>62</v>
      </c>
    </row>
    <row r="41" spans="1:2" x14ac:dyDescent="0.75">
      <c r="A41" t="s">
        <v>32</v>
      </c>
      <c r="B41" t="s">
        <v>63</v>
      </c>
    </row>
    <row r="42" spans="1:2" x14ac:dyDescent="0.75">
      <c r="A42" t="s">
        <v>33</v>
      </c>
      <c r="B42" t="s">
        <v>64</v>
      </c>
    </row>
    <row r="43" spans="1:2" x14ac:dyDescent="0.75">
      <c r="A43" t="s">
        <v>34</v>
      </c>
      <c r="B43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workbookViewId="0"/>
  </sheetViews>
  <sheetFormatPr defaultRowHeight="14.75" x14ac:dyDescent="0.75"/>
  <cols>
    <col min="1" max="1" width="10.7265625" bestFit="1" customWidth="1"/>
  </cols>
  <sheetData>
    <row r="1" spans="1:7" x14ac:dyDescent="0.75">
      <c r="B1" s="2" t="s">
        <v>321</v>
      </c>
      <c r="C1" s="2" t="s">
        <v>322</v>
      </c>
      <c r="D1" s="2" t="s">
        <v>434</v>
      </c>
      <c r="E1" s="2" t="s">
        <v>328</v>
      </c>
      <c r="F1" s="2" t="s">
        <v>390</v>
      </c>
      <c r="G1" s="2" t="s">
        <v>72</v>
      </c>
    </row>
    <row r="2" spans="1:7" x14ac:dyDescent="0.75">
      <c r="A2" t="s">
        <v>2</v>
      </c>
      <c r="B2" t="str">
        <f>'OECD Mapping'!B22</f>
        <v>ISIC 28</v>
      </c>
      <c r="C2" t="str">
        <f>'OECD Mapping'!B22</f>
        <v>ISIC 28</v>
      </c>
      <c r="D2" t="str">
        <f>'OECD Mapping'!B29</f>
        <v>ISIC 41T43</v>
      </c>
      <c r="E2" t="str">
        <f>'OECD Mapping'!B21</f>
        <v>ISIC 27</v>
      </c>
      <c r="F2" t="str">
        <f>'OECD Mapping'!B21</f>
        <v>ISIC 27</v>
      </c>
      <c r="G2" t="str">
        <f>'OECD Mapping'!B21</f>
        <v>ISIC 27</v>
      </c>
    </row>
    <row r="3" spans="1:7" x14ac:dyDescent="0.75">
      <c r="A3" t="s">
        <v>435</v>
      </c>
      <c r="B3" t="str">
        <f>'OECD Mapping'!B29</f>
        <v>ISIC 41T43</v>
      </c>
      <c r="C3" t="str">
        <f>'OECD Mapping'!B29</f>
        <v>ISIC 41T43</v>
      </c>
      <c r="D3" t="str">
        <f>'OECD Mapping'!B29</f>
        <v>ISIC 41T43</v>
      </c>
      <c r="E3" t="str">
        <f>'OECD Mapping'!B29</f>
        <v>ISIC 41T43</v>
      </c>
      <c r="F3" t="str">
        <f>'OECD Mapping'!B29</f>
        <v>ISIC 41T43</v>
      </c>
      <c r="G3" t="str">
        <f>'OECD Mapping'!B29</f>
        <v>ISIC 41T43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4"/>
  <sheetViews>
    <sheetView zoomScale="90" zoomScaleNormal="90" workbookViewId="0">
      <selection activeCell="D6" sqref="D6"/>
    </sheetView>
  </sheetViews>
  <sheetFormatPr defaultRowHeight="14.75" x14ac:dyDescent="0.75"/>
  <cols>
    <col min="1" max="1" width="20.7265625" customWidth="1"/>
    <col min="2" max="2" width="30.1328125" customWidth="1"/>
    <col min="3" max="3" width="18.40625" style="54" customWidth="1"/>
    <col min="4" max="4" width="17.86328125" customWidth="1"/>
    <col min="5" max="5" width="16" style="54" customWidth="1"/>
    <col min="6" max="7" width="16" customWidth="1"/>
    <col min="8" max="8" width="38" customWidth="1"/>
  </cols>
  <sheetData>
    <row r="1" spans="1:9" x14ac:dyDescent="0.75">
      <c r="A1" s="103" t="s">
        <v>391</v>
      </c>
      <c r="B1" s="103"/>
      <c r="C1" s="103"/>
      <c r="D1" s="103"/>
      <c r="E1" s="103"/>
      <c r="F1" s="103"/>
      <c r="G1" s="103"/>
      <c r="H1" s="103"/>
      <c r="I1" s="53"/>
    </row>
    <row r="2" spans="1:9" x14ac:dyDescent="0.75">
      <c r="H2" s="48"/>
      <c r="I2" s="53"/>
    </row>
    <row r="3" spans="1:9" ht="44.25" x14ac:dyDescent="0.75">
      <c r="A3" s="2"/>
      <c r="B3" s="4" t="s">
        <v>392</v>
      </c>
      <c r="C3" s="63" t="s">
        <v>404</v>
      </c>
      <c r="D3" s="48" t="s">
        <v>399</v>
      </c>
      <c r="E3" s="63" t="s">
        <v>401</v>
      </c>
      <c r="F3" s="63" t="s">
        <v>402</v>
      </c>
      <c r="H3" s="2" t="s">
        <v>333</v>
      </c>
      <c r="I3" s="55" t="s">
        <v>397</v>
      </c>
    </row>
    <row r="4" spans="1:9" x14ac:dyDescent="0.75">
      <c r="A4" s="65" t="s">
        <v>86</v>
      </c>
      <c r="B4" s="87"/>
      <c r="C4" s="75"/>
      <c r="D4" s="76">
        <f>SUM(D5:D13)</f>
        <v>1</v>
      </c>
      <c r="E4" s="75">
        <f>SUM(E5:E13)</f>
        <v>0.54892318617077629</v>
      </c>
      <c r="F4" s="75">
        <f>1-E4</f>
        <v>0.45107681382922371</v>
      </c>
      <c r="H4" s="1" t="s">
        <v>76</v>
      </c>
      <c r="I4" s="53" t="s">
        <v>398</v>
      </c>
    </row>
    <row r="5" spans="1:9" x14ac:dyDescent="0.75">
      <c r="A5" t="s">
        <v>86</v>
      </c>
      <c r="B5" s="4" t="s">
        <v>87</v>
      </c>
      <c r="C5" s="54">
        <v>0.74328168046590104</v>
      </c>
      <c r="D5" s="56">
        <f>'Summary_Res Appliances'!G6</f>
        <v>0.15289988916602992</v>
      </c>
      <c r="E5" s="54">
        <f>D5*C5</f>
        <v>0.11364768656237674</v>
      </c>
      <c r="F5" s="54"/>
      <c r="H5" s="1" t="s">
        <v>76</v>
      </c>
      <c r="I5" s="53" t="s">
        <v>398</v>
      </c>
    </row>
    <row r="6" spans="1:9" x14ac:dyDescent="0.75">
      <c r="A6" t="s">
        <v>86</v>
      </c>
      <c r="B6" s="4" t="s">
        <v>89</v>
      </c>
      <c r="C6" s="54">
        <v>0.59090909090909094</v>
      </c>
      <c r="D6" s="56">
        <f>'Summary_Res Appliances'!G7</f>
        <v>0.24438695660720552</v>
      </c>
      <c r="E6" s="54">
        <f>D6*C6</f>
        <v>0.14441047435880328</v>
      </c>
      <c r="F6" s="54"/>
      <c r="H6" s="1" t="s">
        <v>76</v>
      </c>
      <c r="I6" s="53" t="s">
        <v>398</v>
      </c>
    </row>
    <row r="7" spans="1:9" x14ac:dyDescent="0.75">
      <c r="A7" t="s">
        <v>86</v>
      </c>
      <c r="B7" s="4" t="s">
        <v>90</v>
      </c>
      <c r="D7" s="56">
        <f>'Summary_Res Appliances'!G8</f>
        <v>0</v>
      </c>
      <c r="E7" s="54">
        <f t="shared" ref="E7:E33" si="0">D7*C7</f>
        <v>0</v>
      </c>
      <c r="F7" s="54"/>
      <c r="H7" s="1" t="s">
        <v>76</v>
      </c>
      <c r="I7" s="53" t="s">
        <v>398</v>
      </c>
    </row>
    <row r="8" spans="1:9" x14ac:dyDescent="0.75">
      <c r="A8" t="s">
        <v>86</v>
      </c>
      <c r="B8" s="4" t="s">
        <v>91</v>
      </c>
      <c r="C8" s="54">
        <v>0.48259279428330071</v>
      </c>
      <c r="D8" s="56">
        <f>'Summary_Res Appliances'!G9</f>
        <v>0.60271315422676452</v>
      </c>
      <c r="E8" s="54">
        <f t="shared" si="0"/>
        <v>0.29086502524959629</v>
      </c>
      <c r="F8" s="54"/>
      <c r="H8" s="1" t="s">
        <v>76</v>
      </c>
      <c r="I8" s="53" t="s">
        <v>398</v>
      </c>
    </row>
    <row r="9" spans="1:9" x14ac:dyDescent="0.75">
      <c r="A9" t="s">
        <v>86</v>
      </c>
      <c r="B9" s="4" t="s">
        <v>92</v>
      </c>
      <c r="D9" s="56">
        <f>'Summary_Res Appliances'!G10</f>
        <v>0</v>
      </c>
      <c r="E9" s="54">
        <f t="shared" si="0"/>
        <v>0</v>
      </c>
      <c r="F9" s="54"/>
      <c r="H9" s="1" t="s">
        <v>76</v>
      </c>
      <c r="I9" s="53" t="s">
        <v>398</v>
      </c>
    </row>
    <row r="10" spans="1:9" x14ac:dyDescent="0.75">
      <c r="A10" t="s">
        <v>86</v>
      </c>
      <c r="B10" s="4" t="s">
        <v>93</v>
      </c>
      <c r="D10" s="56">
        <f>'Summary_Res Appliances'!G11</f>
        <v>0</v>
      </c>
      <c r="E10" s="54">
        <f t="shared" si="0"/>
        <v>0</v>
      </c>
      <c r="F10" s="54"/>
      <c r="H10" s="1" t="s">
        <v>76</v>
      </c>
      <c r="I10" s="53" t="s">
        <v>398</v>
      </c>
    </row>
    <row r="11" spans="1:9" x14ac:dyDescent="0.75">
      <c r="A11" t="s">
        <v>86</v>
      </c>
      <c r="B11" s="4" t="s">
        <v>94</v>
      </c>
      <c r="D11" s="56">
        <f>'Summary_Res Appliances'!G12</f>
        <v>0</v>
      </c>
      <c r="E11" s="54">
        <f t="shared" si="0"/>
        <v>0</v>
      </c>
      <c r="F11" s="54"/>
      <c r="H11" s="1" t="s">
        <v>76</v>
      </c>
      <c r="I11" s="53" t="s">
        <v>398</v>
      </c>
    </row>
    <row r="12" spans="1:9" x14ac:dyDescent="0.75">
      <c r="A12" t="s">
        <v>86</v>
      </c>
      <c r="B12" s="4" t="s">
        <v>95</v>
      </c>
      <c r="D12" s="56">
        <f>'Summary_Res Appliances'!G13</f>
        <v>0</v>
      </c>
      <c r="E12" s="54">
        <f t="shared" si="0"/>
        <v>0</v>
      </c>
      <c r="F12" s="54"/>
      <c r="H12" s="1" t="s">
        <v>76</v>
      </c>
      <c r="I12" s="53" t="s">
        <v>398</v>
      </c>
    </row>
    <row r="13" spans="1:9" x14ac:dyDescent="0.75">
      <c r="A13" t="s">
        <v>86</v>
      </c>
      <c r="B13" s="4" t="s">
        <v>96</v>
      </c>
      <c r="D13" s="56">
        <f>'Summary_Res Appliances'!G14</f>
        <v>0</v>
      </c>
      <c r="E13" s="54">
        <f t="shared" si="0"/>
        <v>0</v>
      </c>
      <c r="F13" s="54"/>
      <c r="H13" s="1" t="s">
        <v>76</v>
      </c>
      <c r="I13" s="53" t="s">
        <v>398</v>
      </c>
    </row>
    <row r="14" spans="1:9" x14ac:dyDescent="0.75">
      <c r="A14" s="65" t="s">
        <v>118</v>
      </c>
      <c r="B14" s="87"/>
      <c r="C14" s="75"/>
      <c r="D14" s="76">
        <f>SUM(D15:D19)</f>
        <v>1</v>
      </c>
      <c r="E14" s="75">
        <f>SUM(E15:E19)</f>
        <v>0.73664985363645663</v>
      </c>
      <c r="F14" s="75">
        <f>1-E14</f>
        <v>0.26335014636354337</v>
      </c>
      <c r="H14" s="1" t="s">
        <v>76</v>
      </c>
      <c r="I14" s="53" t="s">
        <v>398</v>
      </c>
    </row>
    <row r="15" spans="1:9" x14ac:dyDescent="0.75">
      <c r="A15" t="s">
        <v>118</v>
      </c>
      <c r="B15" s="4" t="s">
        <v>87</v>
      </c>
      <c r="C15" s="54">
        <v>0.74328168046590104</v>
      </c>
      <c r="D15" s="56">
        <f>'Summary_Res Appliances'!G17</f>
        <v>0.11937799507683439</v>
      </c>
      <c r="E15" s="54">
        <f t="shared" si="0"/>
        <v>8.8731476791359523E-2</v>
      </c>
      <c r="F15" s="54"/>
      <c r="H15" s="1" t="s">
        <v>76</v>
      </c>
      <c r="I15" s="53" t="s">
        <v>398</v>
      </c>
    </row>
    <row r="16" spans="1:9" x14ac:dyDescent="0.75">
      <c r="A16" t="s">
        <v>118</v>
      </c>
      <c r="B16" s="4" t="s">
        <v>90</v>
      </c>
      <c r="D16" s="56">
        <f>'Summary_Res Appliances'!G18</f>
        <v>0</v>
      </c>
      <c r="E16" s="54">
        <f t="shared" si="0"/>
        <v>0</v>
      </c>
      <c r="F16" s="54"/>
      <c r="H16" s="1" t="s">
        <v>76</v>
      </c>
      <c r="I16" s="53" t="s">
        <v>398</v>
      </c>
    </row>
    <row r="17" spans="1:9" x14ac:dyDescent="0.75">
      <c r="A17" t="s">
        <v>118</v>
      </c>
      <c r="B17" s="4" t="s">
        <v>96</v>
      </c>
      <c r="D17" s="56">
        <f>'Summary_Res Appliances'!G19</f>
        <v>0</v>
      </c>
      <c r="E17" s="54">
        <f t="shared" si="0"/>
        <v>0</v>
      </c>
      <c r="F17" s="54"/>
      <c r="H17" s="1" t="s">
        <v>76</v>
      </c>
      <c r="I17" s="53" t="s">
        <v>398</v>
      </c>
    </row>
    <row r="18" spans="1:9" x14ac:dyDescent="0.75">
      <c r="A18" t="s">
        <v>118</v>
      </c>
      <c r="B18" s="4" t="s">
        <v>98</v>
      </c>
      <c r="C18" s="54">
        <v>0.66273252196355514</v>
      </c>
      <c r="D18" s="56">
        <f>'Summary_Res Appliances'!G20</f>
        <v>0.57122797892025878</v>
      </c>
      <c r="E18" s="54">
        <f t="shared" si="0"/>
        <v>0.37857135908596762</v>
      </c>
      <c r="F18" s="54"/>
      <c r="H18" s="1" t="s">
        <v>76</v>
      </c>
      <c r="I18" s="53" t="s">
        <v>398</v>
      </c>
    </row>
    <row r="19" spans="1:9" x14ac:dyDescent="0.75">
      <c r="A19" t="s">
        <v>118</v>
      </c>
      <c r="B19" s="4" t="s">
        <v>99</v>
      </c>
      <c r="C19" s="54">
        <v>0.87056308500474699</v>
      </c>
      <c r="D19" s="56">
        <f>'Summary_Res Appliances'!G21</f>
        <v>0.30939402600290683</v>
      </c>
      <c r="E19" s="54">
        <f t="shared" si="0"/>
        <v>0.2693470177591295</v>
      </c>
      <c r="F19" s="54"/>
      <c r="H19" s="1" t="s">
        <v>76</v>
      </c>
      <c r="I19" s="53" t="s">
        <v>398</v>
      </c>
    </row>
    <row r="20" spans="1:9" x14ac:dyDescent="0.75">
      <c r="A20" s="65" t="s">
        <v>125</v>
      </c>
      <c r="B20" s="87"/>
      <c r="C20" s="75"/>
      <c r="D20" s="67"/>
      <c r="E20" s="75">
        <f>SUM(E21:E25)</f>
        <v>0.55740527337524637</v>
      </c>
      <c r="F20" s="75">
        <f>1-E20</f>
        <v>0.44259472662475363</v>
      </c>
      <c r="H20" s="1" t="s">
        <v>76</v>
      </c>
      <c r="I20" s="53" t="s">
        <v>398</v>
      </c>
    </row>
    <row r="21" spans="1:9" x14ac:dyDescent="0.75">
      <c r="A21" t="s">
        <v>125</v>
      </c>
      <c r="B21" s="4" t="s">
        <v>101</v>
      </c>
      <c r="C21" s="54">
        <v>0.56212604835788094</v>
      </c>
      <c r="D21" s="56">
        <f>'Summary_Res Appliances'!G24</f>
        <v>0.48884629238426969</v>
      </c>
      <c r="E21" s="54">
        <f t="shared" si="0"/>
        <v>0.27479323459237076</v>
      </c>
      <c r="F21" s="54"/>
      <c r="H21" s="1" t="s">
        <v>76</v>
      </c>
      <c r="I21" s="53" t="s">
        <v>398</v>
      </c>
    </row>
    <row r="22" spans="1:9" x14ac:dyDescent="0.75">
      <c r="A22" t="s">
        <v>125</v>
      </c>
      <c r="B22" s="4" t="s">
        <v>102</v>
      </c>
      <c r="C22" s="54">
        <v>0.55289051917693366</v>
      </c>
      <c r="D22" s="56">
        <f>'Summary_Res Appliances'!G25</f>
        <v>0.51115370761573031</v>
      </c>
      <c r="E22" s="54">
        <f t="shared" si="0"/>
        <v>0.28261203878287566</v>
      </c>
      <c r="F22" s="54"/>
      <c r="H22" s="1" t="s">
        <v>76</v>
      </c>
      <c r="I22" s="53" t="s">
        <v>398</v>
      </c>
    </row>
    <row r="23" spans="1:9" x14ac:dyDescent="0.75">
      <c r="A23" t="s">
        <v>125</v>
      </c>
      <c r="B23" s="4" t="s">
        <v>92</v>
      </c>
      <c r="D23" s="56">
        <f>'Summary_Res Appliances'!G26</f>
        <v>0</v>
      </c>
      <c r="E23" s="54">
        <f t="shared" si="0"/>
        <v>0</v>
      </c>
      <c r="F23" s="54"/>
      <c r="H23" s="1" t="s">
        <v>76</v>
      </c>
      <c r="I23" s="53" t="s">
        <v>398</v>
      </c>
    </row>
    <row r="24" spans="1:9" x14ac:dyDescent="0.75">
      <c r="A24" t="s">
        <v>125</v>
      </c>
      <c r="B24" s="4" t="s">
        <v>93</v>
      </c>
      <c r="D24" s="56">
        <f>'Summary_Res Appliances'!G27</f>
        <v>0</v>
      </c>
      <c r="E24" s="54">
        <f t="shared" si="0"/>
        <v>0</v>
      </c>
      <c r="F24" s="54"/>
      <c r="H24" s="1" t="s">
        <v>76</v>
      </c>
      <c r="I24" s="53" t="s">
        <v>398</v>
      </c>
    </row>
    <row r="25" spans="1:9" x14ac:dyDescent="0.75">
      <c r="A25" t="s">
        <v>125</v>
      </c>
      <c r="B25" s="4" t="s">
        <v>70</v>
      </c>
      <c r="D25" s="56">
        <f>'Summary_Res Appliances'!G28</f>
        <v>0</v>
      </c>
      <c r="E25" s="54">
        <f t="shared" si="0"/>
        <v>0</v>
      </c>
      <c r="F25" s="54"/>
      <c r="H25" s="1" t="s">
        <v>76</v>
      </c>
      <c r="I25" s="53" t="s">
        <v>398</v>
      </c>
    </row>
    <row r="26" spans="1:9" x14ac:dyDescent="0.75">
      <c r="A26" s="65" t="s">
        <v>394</v>
      </c>
      <c r="B26" s="87"/>
      <c r="C26" s="75"/>
      <c r="D26" s="67"/>
      <c r="E26" s="75">
        <f>SUM(E27:E30)</f>
        <v>0.83324328835476835</v>
      </c>
      <c r="F26" s="75">
        <f>1-E26</f>
        <v>0.16675671164523165</v>
      </c>
      <c r="H26" s="1" t="s">
        <v>76</v>
      </c>
      <c r="I26" s="53" t="s">
        <v>398</v>
      </c>
    </row>
    <row r="27" spans="1:9" x14ac:dyDescent="0.75">
      <c r="A27" t="s">
        <v>394</v>
      </c>
      <c r="B27" s="4" t="s">
        <v>101</v>
      </c>
      <c r="D27" s="56">
        <f>'Summary_Res Appliances'!G31</f>
        <v>0</v>
      </c>
      <c r="E27" s="54">
        <f t="shared" si="0"/>
        <v>0</v>
      </c>
      <c r="F27" s="54"/>
      <c r="H27" s="1" t="s">
        <v>76</v>
      </c>
      <c r="I27" s="53" t="s">
        <v>398</v>
      </c>
    </row>
    <row r="28" spans="1:9" x14ac:dyDescent="0.75">
      <c r="A28" t="s">
        <v>394</v>
      </c>
      <c r="B28" s="4" t="s">
        <v>102</v>
      </c>
      <c r="C28" s="54">
        <v>0.83324328835476835</v>
      </c>
      <c r="D28" s="56">
        <f>'Summary_Res Appliances'!G32</f>
        <v>1</v>
      </c>
      <c r="E28" s="54">
        <f t="shared" si="0"/>
        <v>0.83324328835476835</v>
      </c>
      <c r="F28" s="54"/>
      <c r="H28" s="1" t="s">
        <v>76</v>
      </c>
      <c r="I28" s="53" t="s">
        <v>398</v>
      </c>
    </row>
    <row r="29" spans="1:9" x14ac:dyDescent="0.75">
      <c r="A29" t="s">
        <v>394</v>
      </c>
      <c r="B29" s="4" t="s">
        <v>102</v>
      </c>
      <c r="C29" s="54">
        <v>0.7013263263263263</v>
      </c>
      <c r="D29" s="56">
        <f>'Summary_Res Appliances'!G33</f>
        <v>0</v>
      </c>
      <c r="E29" s="54">
        <f t="shared" si="0"/>
        <v>0</v>
      </c>
      <c r="F29" s="54"/>
      <c r="H29" s="1" t="s">
        <v>76</v>
      </c>
      <c r="I29" s="53" t="s">
        <v>398</v>
      </c>
    </row>
    <row r="30" spans="1:9" x14ac:dyDescent="0.75">
      <c r="A30" t="s">
        <v>394</v>
      </c>
      <c r="B30" s="4" t="s">
        <v>93</v>
      </c>
      <c r="D30" s="56">
        <f>'Summary_Res Appliances'!G34</f>
        <v>0</v>
      </c>
      <c r="E30" s="54">
        <f t="shared" si="0"/>
        <v>0</v>
      </c>
      <c r="F30" s="54"/>
      <c r="H30" s="1" t="s">
        <v>76</v>
      </c>
      <c r="I30" s="53" t="s">
        <v>398</v>
      </c>
    </row>
    <row r="31" spans="1:9" x14ac:dyDescent="0.75">
      <c r="A31" s="65" t="s">
        <v>396</v>
      </c>
      <c r="B31" s="87"/>
      <c r="C31" s="75"/>
      <c r="D31" s="76"/>
      <c r="E31" s="75">
        <f>SUM(E32:E33)</f>
        <v>0.80443820489364204</v>
      </c>
      <c r="F31" s="75">
        <f>1-E31</f>
        <v>0.19556179510635796</v>
      </c>
      <c r="H31" s="1" t="s">
        <v>76</v>
      </c>
      <c r="I31" s="53" t="s">
        <v>398</v>
      </c>
    </row>
    <row r="32" spans="1:9" x14ac:dyDescent="0.75">
      <c r="A32" t="s">
        <v>396</v>
      </c>
      <c r="B32" s="4" t="s">
        <v>101</v>
      </c>
      <c r="C32" s="54">
        <v>0.81320281610557366</v>
      </c>
      <c r="D32" s="56">
        <f>'Summary_Res Appliances'!G36</f>
        <v>0.81919773327812273</v>
      </c>
      <c r="E32" s="54">
        <f t="shared" si="0"/>
        <v>0.66617390364907203</v>
      </c>
      <c r="F32" s="54"/>
      <c r="H32" s="1" t="s">
        <v>76</v>
      </c>
      <c r="I32" s="53" t="s">
        <v>398</v>
      </c>
    </row>
    <row r="33" spans="1:9" x14ac:dyDescent="0.75">
      <c r="A33" t="s">
        <v>396</v>
      </c>
      <c r="B33" s="4" t="s">
        <v>102</v>
      </c>
      <c r="C33" s="54">
        <v>0.76472644164951853</v>
      </c>
      <c r="D33" s="56">
        <f>'Summary_Res Appliances'!G37</f>
        <v>0.18080230225377494</v>
      </c>
      <c r="E33" s="54">
        <f t="shared" si="0"/>
        <v>0.13826430124457004</v>
      </c>
      <c r="F33" s="54"/>
      <c r="H33" s="1" t="s">
        <v>76</v>
      </c>
      <c r="I33" s="53" t="s">
        <v>398</v>
      </c>
    </row>
    <row r="34" spans="1:9" x14ac:dyDescent="0.75">
      <c r="A34" s="65" t="s">
        <v>395</v>
      </c>
      <c r="B34" s="87"/>
      <c r="C34" s="75"/>
      <c r="D34" s="76"/>
      <c r="E34" s="75">
        <f>AVERAGE(C35:C38)</f>
        <v>0.82212755110300573</v>
      </c>
      <c r="F34" s="75">
        <f>1-E34</f>
        <v>0.17787244889699427</v>
      </c>
      <c r="H34" s="1"/>
      <c r="I34" s="53"/>
    </row>
    <row r="35" spans="1:9" x14ac:dyDescent="0.75">
      <c r="A35" t="s">
        <v>390</v>
      </c>
      <c r="C35" s="54">
        <v>1</v>
      </c>
      <c r="H35" s="1" t="s">
        <v>76</v>
      </c>
      <c r="I35" s="53" t="s">
        <v>398</v>
      </c>
    </row>
    <row r="36" spans="1:9" x14ac:dyDescent="0.75">
      <c r="A36" t="s">
        <v>390</v>
      </c>
      <c r="C36" s="54">
        <v>0.65163559735793475</v>
      </c>
      <c r="H36" s="1" t="s">
        <v>76</v>
      </c>
      <c r="I36" s="53" t="s">
        <v>398</v>
      </c>
    </row>
    <row r="37" spans="1:9" x14ac:dyDescent="0.75">
      <c r="A37" t="s">
        <v>390</v>
      </c>
      <c r="C37" s="54">
        <v>0.81848666330839515</v>
      </c>
      <c r="H37" s="1" t="s">
        <v>76</v>
      </c>
      <c r="I37" s="53" t="s">
        <v>398</v>
      </c>
    </row>
    <row r="38" spans="1:9" x14ac:dyDescent="0.75">
      <c r="A38" t="s">
        <v>390</v>
      </c>
      <c r="C38" s="54">
        <v>0.8183879437456929</v>
      </c>
      <c r="H38" s="1" t="s">
        <v>76</v>
      </c>
      <c r="I38" s="53" t="s">
        <v>398</v>
      </c>
    </row>
    <row r="39" spans="1:9" x14ac:dyDescent="0.75">
      <c r="A39" s="65" t="s">
        <v>328</v>
      </c>
      <c r="B39" s="67"/>
      <c r="C39" s="75">
        <v>1</v>
      </c>
      <c r="D39" s="67"/>
      <c r="E39" s="75">
        <f>C39</f>
        <v>1</v>
      </c>
      <c r="F39" s="75">
        <f>1-E39</f>
        <v>0</v>
      </c>
      <c r="H39" s="1" t="s">
        <v>76</v>
      </c>
      <c r="I39" s="53" t="s">
        <v>398</v>
      </c>
    </row>
    <row r="40" spans="1:9" x14ac:dyDescent="0.75">
      <c r="A40" s="2"/>
      <c r="C40" s="82"/>
      <c r="E40" s="82"/>
      <c r="F40" s="82"/>
      <c r="H40" s="1"/>
      <c r="I40" s="53"/>
    </row>
    <row r="41" spans="1:9" x14ac:dyDescent="0.75">
      <c r="A41" s="65" t="s">
        <v>432</v>
      </c>
      <c r="B41" s="65"/>
      <c r="C41" s="83"/>
      <c r="D41" s="65"/>
      <c r="E41" s="83">
        <f>AVERAGE(E31,E34,E26,E20)</f>
        <v>0.75430357943166571</v>
      </c>
      <c r="F41" s="74">
        <f>1-E41</f>
        <v>0.24569642056833429</v>
      </c>
    </row>
    <row r="43" spans="1:9" x14ac:dyDescent="0.75">
      <c r="A43" s="103" t="s">
        <v>403</v>
      </c>
      <c r="B43" s="103"/>
      <c r="C43" s="103"/>
      <c r="D43" s="103"/>
      <c r="E43" s="103"/>
      <c r="F43" s="103"/>
      <c r="G43" s="103"/>
      <c r="H43" s="103"/>
    </row>
    <row r="44" spans="1:9" ht="44.25" x14ac:dyDescent="0.75">
      <c r="A44" s="2"/>
      <c r="B44" s="2"/>
      <c r="C44" s="63" t="s">
        <v>404</v>
      </c>
      <c r="D44" s="48" t="s">
        <v>399</v>
      </c>
      <c r="E44" s="63" t="s">
        <v>401</v>
      </c>
      <c r="F44" s="63" t="s">
        <v>402</v>
      </c>
      <c r="H44" s="2" t="s">
        <v>333</v>
      </c>
      <c r="I44" s="55" t="s">
        <v>397</v>
      </c>
    </row>
    <row r="45" spans="1:9" x14ac:dyDescent="0.75">
      <c r="A45" s="65" t="s">
        <v>405</v>
      </c>
      <c r="B45" s="65"/>
      <c r="C45" s="70"/>
      <c r="D45" s="71"/>
      <c r="E45" s="72">
        <f>SUM(E46,E54,E62)</f>
        <v>0.70398750275034405</v>
      </c>
      <c r="F45" s="70">
        <f>1-E45</f>
        <v>0.29601249724965595</v>
      </c>
      <c r="H45" s="1" t="s">
        <v>76</v>
      </c>
      <c r="I45" s="53" t="s">
        <v>398</v>
      </c>
    </row>
    <row r="46" spans="1:9" x14ac:dyDescent="0.75">
      <c r="A46" s="61" t="s">
        <v>293</v>
      </c>
      <c r="B46" s="37"/>
      <c r="C46" s="61"/>
      <c r="D46" s="36">
        <f>'Summary_Com Appliances'!E3</f>
        <v>0.34719120903556966</v>
      </c>
      <c r="E46" s="62">
        <f>(AVERAGE(C48:C51)*D46)</f>
        <v>0.2842135132599371</v>
      </c>
      <c r="F46" s="58">
        <f>1-E46</f>
        <v>0.71578648674006295</v>
      </c>
      <c r="H46" t="s">
        <v>76</v>
      </c>
      <c r="I46" t="s">
        <v>398</v>
      </c>
    </row>
    <row r="47" spans="1:9" x14ac:dyDescent="0.75">
      <c r="A47" s="41" t="s">
        <v>293</v>
      </c>
      <c r="B47" t="s">
        <v>158</v>
      </c>
      <c r="H47" t="s">
        <v>76</v>
      </c>
      <c r="I47" t="s">
        <v>398</v>
      </c>
    </row>
    <row r="48" spans="1:9" x14ac:dyDescent="0.75">
      <c r="A48" s="41" t="s">
        <v>293</v>
      </c>
      <c r="B48" t="s">
        <v>159</v>
      </c>
      <c r="C48" s="54">
        <f>'COM_NEMS Cost'!D6</f>
        <v>0.82799025121859771</v>
      </c>
      <c r="H48" t="s">
        <v>76</v>
      </c>
      <c r="I48" t="s">
        <v>398</v>
      </c>
    </row>
    <row r="49" spans="1:9" x14ac:dyDescent="0.75">
      <c r="A49" s="41" t="s">
        <v>293</v>
      </c>
      <c r="B49" t="s">
        <v>160</v>
      </c>
      <c r="H49" t="s">
        <v>76</v>
      </c>
      <c r="I49" t="s">
        <v>398</v>
      </c>
    </row>
    <row r="50" spans="1:9" x14ac:dyDescent="0.75">
      <c r="A50" s="41" t="s">
        <v>293</v>
      </c>
      <c r="B50" t="s">
        <v>161</v>
      </c>
      <c r="H50" t="s">
        <v>76</v>
      </c>
      <c r="I50" t="s">
        <v>398</v>
      </c>
    </row>
    <row r="51" spans="1:9" x14ac:dyDescent="0.75">
      <c r="A51" s="41" t="s">
        <v>293</v>
      </c>
      <c r="B51" t="s">
        <v>162</v>
      </c>
      <c r="C51" s="54">
        <f>'COM_NEMS Cost'!D7</f>
        <v>0.80922581798676907</v>
      </c>
      <c r="H51" t="s">
        <v>76</v>
      </c>
      <c r="I51" t="s">
        <v>398</v>
      </c>
    </row>
    <row r="52" spans="1:9" x14ac:dyDescent="0.75">
      <c r="A52" s="41" t="s">
        <v>293</v>
      </c>
      <c r="B52" t="s">
        <v>163</v>
      </c>
      <c r="H52" t="s">
        <v>76</v>
      </c>
      <c r="I52" t="s">
        <v>398</v>
      </c>
    </row>
    <row r="53" spans="1:9" x14ac:dyDescent="0.75">
      <c r="A53" s="41" t="s">
        <v>293</v>
      </c>
      <c r="B53" t="s">
        <v>72</v>
      </c>
      <c r="H53" t="s">
        <v>76</v>
      </c>
      <c r="I53" t="s">
        <v>398</v>
      </c>
    </row>
    <row r="54" spans="1:9" x14ac:dyDescent="0.75">
      <c r="A54" s="61" t="s">
        <v>294</v>
      </c>
      <c r="B54" s="37"/>
      <c r="C54" s="61"/>
      <c r="D54" s="36">
        <f>'Summary_Com Appliances'!E11</f>
        <v>0.62252036060743632</v>
      </c>
      <c r="E54" s="62">
        <f>AVERAGE(C56:C59)*D54</f>
        <v>0.39721513052698443</v>
      </c>
      <c r="F54" s="62">
        <f>1-E54</f>
        <v>0.60278486947301557</v>
      </c>
      <c r="H54" t="s">
        <v>76</v>
      </c>
      <c r="I54" t="s">
        <v>398</v>
      </c>
    </row>
    <row r="55" spans="1:9" x14ac:dyDescent="0.75">
      <c r="A55" s="41" t="s">
        <v>294</v>
      </c>
      <c r="B55" t="s">
        <v>158</v>
      </c>
      <c r="H55" t="s">
        <v>76</v>
      </c>
      <c r="I55" t="s">
        <v>398</v>
      </c>
    </row>
    <row r="56" spans="1:9" x14ac:dyDescent="0.75">
      <c r="A56" s="41" t="s">
        <v>294</v>
      </c>
      <c r="B56" t="s">
        <v>159</v>
      </c>
      <c r="C56" s="54">
        <f>'COM_NEMS Cost'!D4</f>
        <v>0.54054769805800118</v>
      </c>
      <c r="H56" t="s">
        <v>76</v>
      </c>
      <c r="I56" t="s">
        <v>398</v>
      </c>
    </row>
    <row r="57" spans="1:9" x14ac:dyDescent="0.75">
      <c r="A57" s="41" t="s">
        <v>294</v>
      </c>
      <c r="B57" t="s">
        <v>160</v>
      </c>
      <c r="H57" t="s">
        <v>76</v>
      </c>
      <c r="I57" t="s">
        <v>398</v>
      </c>
    </row>
    <row r="58" spans="1:9" x14ac:dyDescent="0.75">
      <c r="A58" s="41" t="s">
        <v>294</v>
      </c>
      <c r="B58" t="s">
        <v>161</v>
      </c>
      <c r="H58" t="s">
        <v>76</v>
      </c>
      <c r="I58" t="s">
        <v>398</v>
      </c>
    </row>
    <row r="59" spans="1:9" x14ac:dyDescent="0.75">
      <c r="A59" s="41" t="s">
        <v>294</v>
      </c>
      <c r="B59" t="s">
        <v>162</v>
      </c>
      <c r="C59" s="54">
        <f>'COM_NEMS Cost'!D8</f>
        <v>0.73560375227976449</v>
      </c>
      <c r="H59" t="s">
        <v>76</v>
      </c>
      <c r="I59" t="s">
        <v>398</v>
      </c>
    </row>
    <row r="60" spans="1:9" x14ac:dyDescent="0.75">
      <c r="A60" s="41" t="s">
        <v>294</v>
      </c>
      <c r="B60" t="s">
        <v>163</v>
      </c>
      <c r="H60" t="s">
        <v>76</v>
      </c>
      <c r="I60" t="s">
        <v>398</v>
      </c>
    </row>
    <row r="61" spans="1:9" x14ac:dyDescent="0.75">
      <c r="A61" s="41" t="s">
        <v>294</v>
      </c>
      <c r="B61" t="s">
        <v>72</v>
      </c>
      <c r="H61" t="s">
        <v>76</v>
      </c>
      <c r="I61" t="s">
        <v>398</v>
      </c>
    </row>
    <row r="62" spans="1:9" x14ac:dyDescent="0.75">
      <c r="A62" s="61" t="s">
        <v>295</v>
      </c>
      <c r="B62" s="37"/>
      <c r="C62" s="61"/>
      <c r="D62" s="36">
        <f>'Summary_Com Appliances'!E19</f>
        <v>3.028843035699395E-2</v>
      </c>
      <c r="E62" s="62">
        <f>AVERAGE(C64:C67)*D62</f>
        <v>2.2558858963422541E-2</v>
      </c>
      <c r="F62" s="62">
        <f>1-E62</f>
        <v>0.97744114103657742</v>
      </c>
      <c r="H62" t="s">
        <v>76</v>
      </c>
      <c r="I62" t="s">
        <v>398</v>
      </c>
    </row>
    <row r="63" spans="1:9" x14ac:dyDescent="0.75">
      <c r="A63" s="41" t="s">
        <v>295</v>
      </c>
      <c r="B63" t="s">
        <v>158</v>
      </c>
      <c r="H63" t="s">
        <v>76</v>
      </c>
      <c r="I63" t="s">
        <v>398</v>
      </c>
    </row>
    <row r="64" spans="1:9" x14ac:dyDescent="0.75">
      <c r="A64" s="41" t="s">
        <v>295</v>
      </c>
      <c r="B64" t="s">
        <v>159</v>
      </c>
      <c r="C64" s="54">
        <f>'COM_NEMS Cost'!D5</f>
        <v>0.71607519212481041</v>
      </c>
      <c r="H64" t="s">
        <v>76</v>
      </c>
      <c r="I64" t="s">
        <v>398</v>
      </c>
    </row>
    <row r="65" spans="1:9" x14ac:dyDescent="0.75">
      <c r="A65" s="41" t="s">
        <v>295</v>
      </c>
      <c r="B65" t="s">
        <v>160</v>
      </c>
      <c r="H65" t="s">
        <v>76</v>
      </c>
      <c r="I65" t="s">
        <v>398</v>
      </c>
    </row>
    <row r="66" spans="1:9" x14ac:dyDescent="0.75">
      <c r="A66" s="41" t="s">
        <v>295</v>
      </c>
      <c r="B66" t="s">
        <v>161</v>
      </c>
      <c r="H66" t="s">
        <v>76</v>
      </c>
      <c r="I66" t="s">
        <v>398</v>
      </c>
    </row>
    <row r="67" spans="1:9" x14ac:dyDescent="0.75">
      <c r="A67" s="41" t="s">
        <v>295</v>
      </c>
      <c r="B67" t="s">
        <v>162</v>
      </c>
      <c r="C67" s="54">
        <f>'COM_NEMS Cost'!D9</f>
        <v>0.77352718723476832</v>
      </c>
      <c r="H67" t="s">
        <v>76</v>
      </c>
      <c r="I67" t="s">
        <v>398</v>
      </c>
    </row>
    <row r="68" spans="1:9" x14ac:dyDescent="0.75">
      <c r="A68" s="41" t="s">
        <v>295</v>
      </c>
      <c r="B68" t="s">
        <v>163</v>
      </c>
      <c r="H68" t="s">
        <v>76</v>
      </c>
      <c r="I68" t="s">
        <v>398</v>
      </c>
    </row>
    <row r="69" spans="1:9" x14ac:dyDescent="0.75">
      <c r="A69" s="41" t="s">
        <v>295</v>
      </c>
      <c r="B69" t="s">
        <v>72</v>
      </c>
      <c r="H69" t="s">
        <v>76</v>
      </c>
      <c r="I69" t="s">
        <v>398</v>
      </c>
    </row>
    <row r="70" spans="1:9" hidden="1" x14ac:dyDescent="0.75">
      <c r="A70" t="s">
        <v>296</v>
      </c>
      <c r="H70" t="s">
        <v>76</v>
      </c>
      <c r="I70" t="s">
        <v>398</v>
      </c>
    </row>
    <row r="71" spans="1:9" hidden="1" x14ac:dyDescent="0.75">
      <c r="A71" s="41" t="s">
        <v>296</v>
      </c>
      <c r="B71" t="s">
        <v>158</v>
      </c>
      <c r="H71" t="s">
        <v>76</v>
      </c>
      <c r="I71" t="s">
        <v>398</v>
      </c>
    </row>
    <row r="72" spans="1:9" hidden="1" x14ac:dyDescent="0.75">
      <c r="A72" s="41" t="s">
        <v>296</v>
      </c>
      <c r="B72" t="s">
        <v>159</v>
      </c>
      <c r="H72" t="s">
        <v>76</v>
      </c>
      <c r="I72" t="s">
        <v>398</v>
      </c>
    </row>
    <row r="73" spans="1:9" hidden="1" x14ac:dyDescent="0.75">
      <c r="A73" s="41" t="s">
        <v>296</v>
      </c>
      <c r="B73" t="s">
        <v>160</v>
      </c>
      <c r="H73" t="s">
        <v>76</v>
      </c>
      <c r="I73" t="s">
        <v>398</v>
      </c>
    </row>
    <row r="74" spans="1:9" hidden="1" x14ac:dyDescent="0.75">
      <c r="A74" s="41" t="s">
        <v>296</v>
      </c>
      <c r="B74" t="s">
        <v>161</v>
      </c>
      <c r="H74" t="s">
        <v>76</v>
      </c>
      <c r="I74" t="s">
        <v>398</v>
      </c>
    </row>
    <row r="75" spans="1:9" hidden="1" x14ac:dyDescent="0.75">
      <c r="A75" s="41" t="s">
        <v>296</v>
      </c>
      <c r="B75" t="s">
        <v>162</v>
      </c>
      <c r="H75" t="s">
        <v>76</v>
      </c>
      <c r="I75" t="s">
        <v>398</v>
      </c>
    </row>
    <row r="76" spans="1:9" hidden="1" x14ac:dyDescent="0.75">
      <c r="A76" s="41" t="s">
        <v>296</v>
      </c>
      <c r="B76" t="s">
        <v>163</v>
      </c>
      <c r="H76" t="s">
        <v>76</v>
      </c>
      <c r="I76" t="s">
        <v>398</v>
      </c>
    </row>
    <row r="77" spans="1:9" hidden="1" x14ac:dyDescent="0.75">
      <c r="A77" s="41" t="s">
        <v>296</v>
      </c>
      <c r="B77" t="s">
        <v>72</v>
      </c>
      <c r="H77" t="s">
        <v>76</v>
      </c>
      <c r="I77" t="s">
        <v>398</v>
      </c>
    </row>
    <row r="78" spans="1:9" hidden="1" x14ac:dyDescent="0.75">
      <c r="A78" t="s">
        <v>93</v>
      </c>
      <c r="H78" t="s">
        <v>76</v>
      </c>
      <c r="I78" t="s">
        <v>398</v>
      </c>
    </row>
    <row r="79" spans="1:9" hidden="1" x14ac:dyDescent="0.75">
      <c r="A79" s="41" t="s">
        <v>93</v>
      </c>
      <c r="B79" t="s">
        <v>158</v>
      </c>
      <c r="H79" t="s">
        <v>76</v>
      </c>
      <c r="I79" t="s">
        <v>398</v>
      </c>
    </row>
    <row r="80" spans="1:9" hidden="1" x14ac:dyDescent="0.75">
      <c r="A80" s="41" t="s">
        <v>93</v>
      </c>
      <c r="B80" t="s">
        <v>159</v>
      </c>
      <c r="H80" t="s">
        <v>76</v>
      </c>
      <c r="I80" t="s">
        <v>398</v>
      </c>
    </row>
    <row r="81" spans="1:9" hidden="1" x14ac:dyDescent="0.75">
      <c r="A81" s="41" t="s">
        <v>93</v>
      </c>
      <c r="B81" t="s">
        <v>160</v>
      </c>
      <c r="H81" t="s">
        <v>76</v>
      </c>
      <c r="I81" t="s">
        <v>398</v>
      </c>
    </row>
    <row r="82" spans="1:9" hidden="1" x14ac:dyDescent="0.75">
      <c r="A82" s="41" t="s">
        <v>93</v>
      </c>
      <c r="B82" t="s">
        <v>161</v>
      </c>
      <c r="H82" t="s">
        <v>76</v>
      </c>
      <c r="I82" t="s">
        <v>398</v>
      </c>
    </row>
    <row r="83" spans="1:9" hidden="1" x14ac:dyDescent="0.75">
      <c r="A83" s="41" t="s">
        <v>93</v>
      </c>
      <c r="B83" t="s">
        <v>162</v>
      </c>
      <c r="H83" t="s">
        <v>76</v>
      </c>
      <c r="I83" t="s">
        <v>398</v>
      </c>
    </row>
    <row r="84" spans="1:9" hidden="1" x14ac:dyDescent="0.75">
      <c r="A84" s="41" t="s">
        <v>93</v>
      </c>
      <c r="B84" t="s">
        <v>163</v>
      </c>
      <c r="H84" t="s">
        <v>76</v>
      </c>
      <c r="I84" t="s">
        <v>398</v>
      </c>
    </row>
    <row r="85" spans="1:9" hidden="1" x14ac:dyDescent="0.75">
      <c r="A85" s="41" t="s">
        <v>93</v>
      </c>
      <c r="B85" t="s">
        <v>72</v>
      </c>
      <c r="H85" t="s">
        <v>76</v>
      </c>
      <c r="I85" t="s">
        <v>398</v>
      </c>
    </row>
    <row r="86" spans="1:9" hidden="1" x14ac:dyDescent="0.75">
      <c r="A86" s="41"/>
      <c r="H86" t="s">
        <v>76</v>
      </c>
      <c r="I86" t="s">
        <v>398</v>
      </c>
    </row>
    <row r="87" spans="1:9" x14ac:dyDescent="0.75">
      <c r="A87" s="41"/>
      <c r="H87" t="s">
        <v>76</v>
      </c>
      <c r="I87" t="s">
        <v>398</v>
      </c>
    </row>
    <row r="88" spans="1:9" x14ac:dyDescent="0.75">
      <c r="A88" s="65" t="s">
        <v>353</v>
      </c>
      <c r="B88" s="67"/>
      <c r="C88" s="65"/>
      <c r="D88" s="73"/>
      <c r="E88" s="74">
        <f>SUM(E89:E91)</f>
        <v>0.75439886948727197</v>
      </c>
      <c r="F88" s="79">
        <f>1-E88</f>
        <v>0.24560113051272803</v>
      </c>
      <c r="H88" t="s">
        <v>76</v>
      </c>
      <c r="I88" t="s">
        <v>398</v>
      </c>
    </row>
    <row r="89" spans="1:9" x14ac:dyDescent="0.75">
      <c r="A89" t="s">
        <v>293</v>
      </c>
      <c r="B89" t="s">
        <v>302</v>
      </c>
      <c r="C89" s="54">
        <f>'COM_NEMS Cost'!D14</f>
        <v>0.761290322580645</v>
      </c>
      <c r="D89" s="56">
        <f>'Summary_Com Appliances'!E46</f>
        <v>0.50784544299136469</v>
      </c>
      <c r="E89" s="54">
        <f>C89*D89</f>
        <v>0.38661782111600657</v>
      </c>
      <c r="H89" t="s">
        <v>76</v>
      </c>
      <c r="I89" t="s">
        <v>398</v>
      </c>
    </row>
    <row r="90" spans="1:9" x14ac:dyDescent="0.75">
      <c r="A90" t="s">
        <v>294</v>
      </c>
      <c r="B90" t="s">
        <v>302</v>
      </c>
      <c r="C90" s="54">
        <f>'COM_NEMS Cost'!D13</f>
        <v>0.74018277158435497</v>
      </c>
      <c r="D90" s="56">
        <f>'Summary_Com Appliances'!E47</f>
        <v>0.46945562959531528</v>
      </c>
      <c r="E90" s="54">
        <f>C90*D90</f>
        <v>0.3474829690497388</v>
      </c>
      <c r="H90" t="s">
        <v>76</v>
      </c>
      <c r="I90" t="s">
        <v>398</v>
      </c>
    </row>
    <row r="91" spans="1:9" x14ac:dyDescent="0.75">
      <c r="A91" t="s">
        <v>295</v>
      </c>
      <c r="B91" t="s">
        <v>302</v>
      </c>
      <c r="C91" s="54">
        <f>'COM_NEMS Cost'!D16</f>
        <v>0.8942307692307695</v>
      </c>
      <c r="D91" s="56">
        <f>'Summary_Com Appliances'!E48</f>
        <v>2.2698927413320032E-2</v>
      </c>
      <c r="E91" s="54">
        <f t="shared" ref="E91" si="1">C91*D91</f>
        <v>2.0298079321526573E-2</v>
      </c>
      <c r="H91" t="s">
        <v>76</v>
      </c>
      <c r="I91" t="s">
        <v>398</v>
      </c>
    </row>
    <row r="92" spans="1:9" x14ac:dyDescent="0.75">
      <c r="A92" t="s">
        <v>296</v>
      </c>
      <c r="B92" t="s">
        <v>302</v>
      </c>
      <c r="H92" t="s">
        <v>76</v>
      </c>
      <c r="I92" t="s">
        <v>398</v>
      </c>
    </row>
    <row r="93" spans="1:9" x14ac:dyDescent="0.75">
      <c r="A93" t="s">
        <v>93</v>
      </c>
      <c r="B93" t="s">
        <v>302</v>
      </c>
      <c r="H93" t="s">
        <v>76</v>
      </c>
      <c r="I93" t="s">
        <v>398</v>
      </c>
    </row>
    <row r="94" spans="1:9" x14ac:dyDescent="0.75">
      <c r="H94" t="s">
        <v>76</v>
      </c>
      <c r="I94" t="s">
        <v>398</v>
      </c>
    </row>
    <row r="95" spans="1:9" x14ac:dyDescent="0.75">
      <c r="A95" s="77" t="s">
        <v>407</v>
      </c>
      <c r="B95" s="77"/>
      <c r="C95" s="78"/>
      <c r="D95" s="77"/>
      <c r="E95" s="78">
        <f>AVERAGE(C96:C98)</f>
        <v>0.5798301102469372</v>
      </c>
      <c r="F95" s="80">
        <f>1-E95</f>
        <v>0.4201698897530628</v>
      </c>
      <c r="H95" t="s">
        <v>76</v>
      </c>
      <c r="I95" t="s">
        <v>398</v>
      </c>
    </row>
    <row r="96" spans="1:9" x14ac:dyDescent="0.75">
      <c r="A96" t="s">
        <v>293</v>
      </c>
      <c r="B96" t="s">
        <v>419</v>
      </c>
      <c r="C96" s="54">
        <f>'COM_NEMS Cost'!D10</f>
        <v>0.70929577487429007</v>
      </c>
      <c r="D96" t="s">
        <v>393</v>
      </c>
      <c r="H96" t="s">
        <v>76</v>
      </c>
      <c r="I96" t="s">
        <v>398</v>
      </c>
    </row>
    <row r="97" spans="1:9" x14ac:dyDescent="0.75">
      <c r="A97" t="s">
        <v>293</v>
      </c>
      <c r="B97" t="s">
        <v>420</v>
      </c>
      <c r="C97" s="54">
        <f>'COM_NEMS Cost'!D11</f>
        <v>0.72239286108317868</v>
      </c>
      <c r="D97" t="s">
        <v>393</v>
      </c>
      <c r="H97" t="s">
        <v>76</v>
      </c>
      <c r="I97" t="s">
        <v>398</v>
      </c>
    </row>
    <row r="98" spans="1:9" x14ac:dyDescent="0.75">
      <c r="A98" t="s">
        <v>293</v>
      </c>
      <c r="B98" t="s">
        <v>421</v>
      </c>
      <c r="C98" s="54">
        <f>'COM_NEMS Cost'!D12</f>
        <v>0.30780169478334291</v>
      </c>
      <c r="D98" t="s">
        <v>393</v>
      </c>
      <c r="H98" t="s">
        <v>76</v>
      </c>
      <c r="I98" t="s">
        <v>398</v>
      </c>
    </row>
    <row r="99" spans="1:9" x14ac:dyDescent="0.75">
      <c r="H99" t="s">
        <v>76</v>
      </c>
      <c r="I99" t="s">
        <v>398</v>
      </c>
    </row>
    <row r="100" spans="1:9" x14ac:dyDescent="0.75">
      <c r="A100" s="77" t="s">
        <v>409</v>
      </c>
      <c r="B100" s="77"/>
      <c r="C100" s="78"/>
      <c r="D100" s="77"/>
      <c r="E100" s="78">
        <f>AVERAGE(C101:C103)</f>
        <v>0.40766894664785691</v>
      </c>
      <c r="F100" s="80">
        <f>1-E100</f>
        <v>0.59233105335214309</v>
      </c>
      <c r="H100" t="s">
        <v>76</v>
      </c>
      <c r="I100" t="s">
        <v>398</v>
      </c>
    </row>
    <row r="101" spans="1:9" x14ac:dyDescent="0.75">
      <c r="A101" t="s">
        <v>409</v>
      </c>
      <c r="B101" t="s">
        <v>410</v>
      </c>
      <c r="C101" s="54">
        <f>'COM_NEMS Cost'!D17</f>
        <v>0.23418371777538238</v>
      </c>
      <c r="D101" t="s">
        <v>393</v>
      </c>
      <c r="H101" t="s">
        <v>76</v>
      </c>
      <c r="I101" t="s">
        <v>398</v>
      </c>
    </row>
    <row r="102" spans="1:9" x14ac:dyDescent="0.75">
      <c r="A102" t="s">
        <v>409</v>
      </c>
      <c r="B102" t="s">
        <v>411</v>
      </c>
      <c r="C102" s="54">
        <f>'COM_NEMS Cost'!D18</f>
        <v>0.7269146515771101</v>
      </c>
      <c r="D102" t="s">
        <v>393</v>
      </c>
      <c r="H102" t="s">
        <v>76</v>
      </c>
      <c r="I102" t="s">
        <v>398</v>
      </c>
    </row>
    <row r="103" spans="1:9" x14ac:dyDescent="0.75">
      <c r="A103" t="s">
        <v>409</v>
      </c>
      <c r="B103" t="s">
        <v>412</v>
      </c>
      <c r="C103" s="54">
        <f>'COM_NEMS Cost'!D19</f>
        <v>0.26190847059107825</v>
      </c>
      <c r="D103" t="s">
        <v>393</v>
      </c>
      <c r="H103" t="s">
        <v>76</v>
      </c>
      <c r="I103" t="s">
        <v>398</v>
      </c>
    </row>
    <row r="104" spans="1:9" x14ac:dyDescent="0.75">
      <c r="H104" t="s">
        <v>76</v>
      </c>
      <c r="I104" t="s">
        <v>398</v>
      </c>
    </row>
  </sheetData>
  <mergeCells count="2">
    <mergeCell ref="A1:H1"/>
    <mergeCell ref="A43:H43"/>
  </mergeCells>
  <hyperlinks>
    <hyperlink ref="H4" r:id="rId1" xr:uid="{00000000-0004-0000-0300-000000000000}"/>
    <hyperlink ref="H5" r:id="rId2" xr:uid="{00000000-0004-0000-0300-000001000000}"/>
    <hyperlink ref="H6" r:id="rId3" xr:uid="{00000000-0004-0000-0300-000002000000}"/>
    <hyperlink ref="H7" r:id="rId4" xr:uid="{00000000-0004-0000-0300-000003000000}"/>
    <hyperlink ref="H8" r:id="rId5" xr:uid="{00000000-0004-0000-0300-000004000000}"/>
    <hyperlink ref="H9" r:id="rId6" xr:uid="{00000000-0004-0000-0300-000005000000}"/>
    <hyperlink ref="H10" r:id="rId7" xr:uid="{00000000-0004-0000-0300-000006000000}"/>
    <hyperlink ref="H11" r:id="rId8" xr:uid="{00000000-0004-0000-0300-000007000000}"/>
    <hyperlink ref="H12" r:id="rId9" xr:uid="{00000000-0004-0000-0300-000008000000}"/>
    <hyperlink ref="H13" r:id="rId10" xr:uid="{00000000-0004-0000-0300-000009000000}"/>
    <hyperlink ref="H14" r:id="rId11" xr:uid="{00000000-0004-0000-0300-00000A000000}"/>
    <hyperlink ref="H15" r:id="rId12" xr:uid="{00000000-0004-0000-0300-00000B000000}"/>
    <hyperlink ref="H16" r:id="rId13" xr:uid="{00000000-0004-0000-0300-00000C000000}"/>
    <hyperlink ref="H17" r:id="rId14" xr:uid="{00000000-0004-0000-0300-00000D000000}"/>
    <hyperlink ref="H18" r:id="rId15" xr:uid="{00000000-0004-0000-0300-00000E000000}"/>
    <hyperlink ref="H19" r:id="rId16" xr:uid="{00000000-0004-0000-0300-00000F000000}"/>
    <hyperlink ref="H20" r:id="rId17" xr:uid="{00000000-0004-0000-0300-000010000000}"/>
    <hyperlink ref="H21" r:id="rId18" xr:uid="{00000000-0004-0000-0300-000011000000}"/>
    <hyperlink ref="H22" r:id="rId19" xr:uid="{00000000-0004-0000-0300-000012000000}"/>
    <hyperlink ref="H23" r:id="rId20" xr:uid="{00000000-0004-0000-0300-000013000000}"/>
    <hyperlink ref="H24" r:id="rId21" xr:uid="{00000000-0004-0000-0300-000014000000}"/>
    <hyperlink ref="H25" r:id="rId22" xr:uid="{00000000-0004-0000-0300-000015000000}"/>
    <hyperlink ref="H26" r:id="rId23" xr:uid="{00000000-0004-0000-0300-000016000000}"/>
    <hyperlink ref="H27" r:id="rId24" xr:uid="{00000000-0004-0000-0300-000017000000}"/>
    <hyperlink ref="H28" r:id="rId25" xr:uid="{00000000-0004-0000-0300-000018000000}"/>
    <hyperlink ref="H29" r:id="rId26" xr:uid="{00000000-0004-0000-0300-000019000000}"/>
    <hyperlink ref="H30" r:id="rId27" xr:uid="{00000000-0004-0000-0300-00001A000000}"/>
    <hyperlink ref="H31" r:id="rId28" xr:uid="{00000000-0004-0000-0300-00001B000000}"/>
    <hyperlink ref="H32" r:id="rId29" xr:uid="{00000000-0004-0000-0300-00001C000000}"/>
    <hyperlink ref="H33" r:id="rId30" xr:uid="{00000000-0004-0000-0300-00001D000000}"/>
    <hyperlink ref="H35" r:id="rId31" xr:uid="{00000000-0004-0000-0300-00001E000000}"/>
    <hyperlink ref="H36" r:id="rId32" xr:uid="{00000000-0004-0000-0300-00001F000000}"/>
    <hyperlink ref="H37" r:id="rId33" xr:uid="{00000000-0004-0000-0300-000020000000}"/>
    <hyperlink ref="H38" r:id="rId34" xr:uid="{00000000-0004-0000-0300-000021000000}"/>
    <hyperlink ref="H39" r:id="rId35" xr:uid="{00000000-0004-0000-0300-000022000000}"/>
    <hyperlink ref="H45" r:id="rId36" xr:uid="{00000000-0004-0000-0300-000023000000}"/>
    <hyperlink ref="H46" r:id="rId37" xr:uid="{00000000-0004-0000-0300-000024000000}"/>
    <hyperlink ref="H47" r:id="rId38" xr:uid="{00000000-0004-0000-0300-000025000000}"/>
    <hyperlink ref="H48" r:id="rId39" xr:uid="{00000000-0004-0000-0300-000026000000}"/>
    <hyperlink ref="H49" r:id="rId40" xr:uid="{00000000-0004-0000-0300-000027000000}"/>
    <hyperlink ref="H50" r:id="rId41" xr:uid="{00000000-0004-0000-0300-000028000000}"/>
    <hyperlink ref="H51" r:id="rId42" xr:uid="{00000000-0004-0000-0300-000029000000}"/>
    <hyperlink ref="H52" r:id="rId43" xr:uid="{00000000-0004-0000-0300-00002A000000}"/>
    <hyperlink ref="H53" r:id="rId44" xr:uid="{00000000-0004-0000-0300-00002B000000}"/>
    <hyperlink ref="H54" r:id="rId45" xr:uid="{00000000-0004-0000-0300-00002C000000}"/>
    <hyperlink ref="H55" r:id="rId46" xr:uid="{00000000-0004-0000-0300-00002D000000}"/>
    <hyperlink ref="H56" r:id="rId47" xr:uid="{00000000-0004-0000-0300-00002E000000}"/>
    <hyperlink ref="H57" r:id="rId48" xr:uid="{00000000-0004-0000-0300-00002F000000}"/>
    <hyperlink ref="H58" r:id="rId49" xr:uid="{00000000-0004-0000-0300-000030000000}"/>
    <hyperlink ref="H59" r:id="rId50" xr:uid="{00000000-0004-0000-0300-000031000000}"/>
    <hyperlink ref="H60" r:id="rId51" xr:uid="{00000000-0004-0000-0300-000032000000}"/>
    <hyperlink ref="H61" r:id="rId52" xr:uid="{00000000-0004-0000-0300-000033000000}"/>
    <hyperlink ref="H62" r:id="rId53" xr:uid="{00000000-0004-0000-0300-000034000000}"/>
    <hyperlink ref="H63" r:id="rId54" xr:uid="{00000000-0004-0000-0300-000035000000}"/>
    <hyperlink ref="H64" r:id="rId55" xr:uid="{00000000-0004-0000-0300-000036000000}"/>
    <hyperlink ref="H65" r:id="rId56" xr:uid="{00000000-0004-0000-0300-000037000000}"/>
    <hyperlink ref="H66" r:id="rId57" xr:uid="{00000000-0004-0000-0300-000038000000}"/>
    <hyperlink ref="H67" r:id="rId58" xr:uid="{00000000-0004-0000-0300-000039000000}"/>
    <hyperlink ref="H68" r:id="rId59" xr:uid="{00000000-0004-0000-0300-00003A000000}"/>
    <hyperlink ref="H69" r:id="rId60" xr:uid="{00000000-0004-0000-0300-00003B000000}"/>
    <hyperlink ref="H70" r:id="rId61" xr:uid="{00000000-0004-0000-0300-00003C000000}"/>
    <hyperlink ref="H71" r:id="rId62" xr:uid="{00000000-0004-0000-0300-00003D000000}"/>
    <hyperlink ref="H72" r:id="rId63" xr:uid="{00000000-0004-0000-0300-00003E000000}"/>
    <hyperlink ref="H73" r:id="rId64" xr:uid="{00000000-0004-0000-0300-00003F000000}"/>
    <hyperlink ref="H74" r:id="rId65" xr:uid="{00000000-0004-0000-0300-000040000000}"/>
    <hyperlink ref="H75" r:id="rId66" xr:uid="{00000000-0004-0000-0300-000041000000}"/>
    <hyperlink ref="H76" r:id="rId67" xr:uid="{00000000-0004-0000-0300-000042000000}"/>
    <hyperlink ref="H77" r:id="rId68" xr:uid="{00000000-0004-0000-0300-000043000000}"/>
    <hyperlink ref="H78" r:id="rId69" xr:uid="{00000000-0004-0000-0300-000044000000}"/>
    <hyperlink ref="H79" r:id="rId70" xr:uid="{00000000-0004-0000-0300-000045000000}"/>
    <hyperlink ref="H80" r:id="rId71" xr:uid="{00000000-0004-0000-0300-000046000000}"/>
    <hyperlink ref="H81" r:id="rId72" xr:uid="{00000000-0004-0000-0300-000047000000}"/>
    <hyperlink ref="H82" r:id="rId73" xr:uid="{00000000-0004-0000-0300-000048000000}"/>
    <hyperlink ref="H83" r:id="rId74" xr:uid="{00000000-0004-0000-0300-000049000000}"/>
    <hyperlink ref="H84" r:id="rId75" xr:uid="{00000000-0004-0000-0300-00004A000000}"/>
    <hyperlink ref="H85" r:id="rId76" xr:uid="{00000000-0004-0000-0300-00004B000000}"/>
    <hyperlink ref="H86" r:id="rId77" xr:uid="{00000000-0004-0000-0300-00004C000000}"/>
    <hyperlink ref="H87" r:id="rId78" xr:uid="{00000000-0004-0000-0300-00004D000000}"/>
    <hyperlink ref="H88" r:id="rId79" xr:uid="{00000000-0004-0000-0300-00004E000000}"/>
    <hyperlink ref="H89" r:id="rId80" xr:uid="{00000000-0004-0000-0300-00004F000000}"/>
    <hyperlink ref="H90" r:id="rId81" xr:uid="{00000000-0004-0000-0300-000050000000}"/>
    <hyperlink ref="H91" r:id="rId82" xr:uid="{00000000-0004-0000-0300-000051000000}"/>
    <hyperlink ref="H92" r:id="rId83" xr:uid="{00000000-0004-0000-0300-000052000000}"/>
    <hyperlink ref="H93" r:id="rId84" xr:uid="{00000000-0004-0000-0300-000053000000}"/>
    <hyperlink ref="H94" r:id="rId85" xr:uid="{00000000-0004-0000-0300-000054000000}"/>
    <hyperlink ref="H95" r:id="rId86" xr:uid="{00000000-0004-0000-0300-000055000000}"/>
    <hyperlink ref="H96" r:id="rId87" xr:uid="{00000000-0004-0000-0300-000056000000}"/>
    <hyperlink ref="H97" r:id="rId88" xr:uid="{00000000-0004-0000-0300-000057000000}"/>
    <hyperlink ref="H98" r:id="rId89" xr:uid="{00000000-0004-0000-0300-000058000000}"/>
    <hyperlink ref="H99" r:id="rId90" xr:uid="{00000000-0004-0000-0300-000059000000}"/>
    <hyperlink ref="H100" r:id="rId91" xr:uid="{00000000-0004-0000-0300-00005A000000}"/>
    <hyperlink ref="H101" r:id="rId92" xr:uid="{00000000-0004-0000-0300-00005B000000}"/>
    <hyperlink ref="H102" r:id="rId93" xr:uid="{00000000-0004-0000-0300-00005C000000}"/>
    <hyperlink ref="H103" r:id="rId94" xr:uid="{00000000-0004-0000-0300-00005D000000}"/>
    <hyperlink ref="H104" r:id="rId95" xr:uid="{00000000-0004-0000-0300-00005E000000}"/>
  </hyperlinks>
  <pageMargins left="0.7" right="0.7" top="0.75" bottom="0.75" header="0.3" footer="0.3"/>
  <pageSetup paperSize="9" orientation="portrait" r:id="rId9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9"/>
  <sheetViews>
    <sheetView workbookViewId="0">
      <selection activeCell="A2" sqref="A2"/>
    </sheetView>
  </sheetViews>
  <sheetFormatPr defaultRowHeight="14.75" x14ac:dyDescent="0.75"/>
  <cols>
    <col min="2" max="2" width="23" customWidth="1"/>
    <col min="3" max="3" width="26.54296875" customWidth="1"/>
    <col min="4" max="4" width="24.40625" customWidth="1"/>
  </cols>
  <sheetData>
    <row r="1" spans="1:4" x14ac:dyDescent="0.75">
      <c r="A1" t="s">
        <v>433</v>
      </c>
    </row>
    <row r="3" spans="1:4" x14ac:dyDescent="0.75">
      <c r="C3" t="s">
        <v>388</v>
      </c>
      <c r="D3" s="54" t="s">
        <v>389</v>
      </c>
    </row>
    <row r="4" spans="1:4" x14ac:dyDescent="0.75">
      <c r="B4" t="s">
        <v>406</v>
      </c>
      <c r="C4" t="s">
        <v>413</v>
      </c>
      <c r="D4" s="54">
        <v>0.54054769805800118</v>
      </c>
    </row>
    <row r="5" spans="1:4" x14ac:dyDescent="0.75">
      <c r="B5" t="s">
        <v>406</v>
      </c>
      <c r="C5" t="s">
        <v>414</v>
      </c>
      <c r="D5" s="54">
        <v>0.71607519212481041</v>
      </c>
    </row>
    <row r="6" spans="1:4" x14ac:dyDescent="0.75">
      <c r="B6" t="s">
        <v>406</v>
      </c>
      <c r="C6" t="s">
        <v>415</v>
      </c>
      <c r="D6" s="54">
        <v>0.82799025121859771</v>
      </c>
    </row>
    <row r="7" spans="1:4" x14ac:dyDescent="0.75">
      <c r="B7" t="s">
        <v>406</v>
      </c>
      <c r="C7" t="s">
        <v>416</v>
      </c>
      <c r="D7" s="54">
        <v>0.80922581798676907</v>
      </c>
    </row>
    <row r="8" spans="1:4" x14ac:dyDescent="0.75">
      <c r="B8" t="s">
        <v>406</v>
      </c>
      <c r="C8" t="s">
        <v>417</v>
      </c>
      <c r="D8" s="54">
        <v>0.73560375227976449</v>
      </c>
    </row>
    <row r="9" spans="1:4" x14ac:dyDescent="0.75">
      <c r="B9" t="s">
        <v>406</v>
      </c>
      <c r="C9" t="s">
        <v>418</v>
      </c>
      <c r="D9" s="54">
        <v>0.77352718723476832</v>
      </c>
    </row>
    <row r="10" spans="1:4" x14ac:dyDescent="0.75">
      <c r="B10" t="s">
        <v>407</v>
      </c>
      <c r="C10" t="s">
        <v>419</v>
      </c>
      <c r="D10" s="54">
        <v>0.70929577487429007</v>
      </c>
    </row>
    <row r="11" spans="1:4" x14ac:dyDescent="0.75">
      <c r="B11" t="s">
        <v>407</v>
      </c>
      <c r="C11" t="s">
        <v>420</v>
      </c>
      <c r="D11" s="54">
        <v>0.72239286108317868</v>
      </c>
    </row>
    <row r="12" spans="1:4" x14ac:dyDescent="0.75">
      <c r="B12" t="s">
        <v>407</v>
      </c>
      <c r="C12" t="s">
        <v>421</v>
      </c>
      <c r="D12" s="54">
        <v>0.30780169478334291</v>
      </c>
    </row>
    <row r="13" spans="1:4" x14ac:dyDescent="0.75">
      <c r="B13" t="s">
        <v>408</v>
      </c>
      <c r="C13" t="s">
        <v>422</v>
      </c>
      <c r="D13" s="54">
        <v>0.74018277158435497</v>
      </c>
    </row>
    <row r="14" spans="1:4" x14ac:dyDescent="0.75">
      <c r="B14" t="s">
        <v>408</v>
      </c>
      <c r="C14" t="s">
        <v>423</v>
      </c>
      <c r="D14" s="54">
        <v>0.761290322580645</v>
      </c>
    </row>
    <row r="15" spans="1:4" x14ac:dyDescent="0.75">
      <c r="B15" t="s">
        <v>408</v>
      </c>
      <c r="C15" t="s">
        <v>424</v>
      </c>
      <c r="D15" s="54">
        <v>0.92443572129538765</v>
      </c>
    </row>
    <row r="16" spans="1:4" x14ac:dyDescent="0.75">
      <c r="B16" t="s">
        <v>408</v>
      </c>
      <c r="C16" t="s">
        <v>425</v>
      </c>
      <c r="D16" s="54">
        <v>0.8942307692307695</v>
      </c>
    </row>
    <row r="17" spans="2:4" x14ac:dyDescent="0.75">
      <c r="B17" t="s">
        <v>409</v>
      </c>
      <c r="C17" t="s">
        <v>410</v>
      </c>
      <c r="D17" s="54">
        <v>0.23418371777538238</v>
      </c>
    </row>
    <row r="18" spans="2:4" x14ac:dyDescent="0.75">
      <c r="B18" t="s">
        <v>409</v>
      </c>
      <c r="C18" t="s">
        <v>411</v>
      </c>
      <c r="D18" s="54">
        <v>0.7269146515771101</v>
      </c>
    </row>
    <row r="19" spans="2:4" x14ac:dyDescent="0.75">
      <c r="B19" t="s">
        <v>409</v>
      </c>
      <c r="C19" t="s">
        <v>412</v>
      </c>
      <c r="D19" s="54">
        <v>0.26190847059107825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8B5A1-43C0-4265-BDF5-9EA52685098D}">
  <dimension ref="A1:AG93"/>
  <sheetViews>
    <sheetView workbookViewId="0">
      <selection activeCell="A9" sqref="A9"/>
    </sheetView>
  </sheetViews>
  <sheetFormatPr defaultRowHeight="14.75" x14ac:dyDescent="0.75"/>
  <sheetData>
    <row r="1" spans="1:33" x14ac:dyDescent="0.75">
      <c r="A1" t="s">
        <v>80</v>
      </c>
    </row>
    <row r="2" spans="1:33" x14ac:dyDescent="0.75">
      <c r="A2" t="s">
        <v>608</v>
      </c>
    </row>
    <row r="3" spans="1:33" x14ac:dyDescent="0.75">
      <c r="A3" t="s">
        <v>607</v>
      </c>
    </row>
    <row r="4" spans="1:33" x14ac:dyDescent="0.75">
      <c r="A4" t="s">
        <v>81</v>
      </c>
    </row>
    <row r="5" spans="1:33" x14ac:dyDescent="0.75">
      <c r="B5" t="s">
        <v>82</v>
      </c>
      <c r="C5" t="s">
        <v>83</v>
      </c>
      <c r="D5" t="s">
        <v>84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606</v>
      </c>
    </row>
    <row r="6" spans="1:33" x14ac:dyDescent="0.75">
      <c r="A6" t="s">
        <v>85</v>
      </c>
    </row>
    <row r="7" spans="1:33" x14ac:dyDescent="0.75">
      <c r="A7" t="s">
        <v>86</v>
      </c>
    </row>
    <row r="8" spans="1:33" x14ac:dyDescent="0.75">
      <c r="A8" t="s">
        <v>87</v>
      </c>
      <c r="B8" t="s">
        <v>605</v>
      </c>
      <c r="C8" t="s">
        <v>604</v>
      </c>
      <c r="D8" t="s">
        <v>88</v>
      </c>
      <c r="F8">
        <v>16.645529</v>
      </c>
      <c r="G8">
        <v>16.962237999999999</v>
      </c>
      <c r="H8">
        <v>17.297937000000001</v>
      </c>
      <c r="I8">
        <v>17.637350000000001</v>
      </c>
      <c r="J8">
        <v>17.975957999999999</v>
      </c>
      <c r="K8">
        <v>18.323191000000001</v>
      </c>
      <c r="L8">
        <v>18.671122</v>
      </c>
      <c r="M8">
        <v>19.020292000000001</v>
      </c>
      <c r="N8">
        <v>19.366976000000001</v>
      </c>
      <c r="O8">
        <v>19.701832</v>
      </c>
      <c r="P8">
        <v>20.022341000000001</v>
      </c>
      <c r="Q8">
        <v>20.338335000000001</v>
      </c>
      <c r="R8">
        <v>20.648126999999999</v>
      </c>
      <c r="S8">
        <v>20.945910000000001</v>
      </c>
      <c r="T8">
        <v>21.232154999999999</v>
      </c>
      <c r="U8">
        <v>21.506626000000001</v>
      </c>
      <c r="V8">
        <v>21.772038999999999</v>
      </c>
      <c r="W8">
        <v>22.026168999999999</v>
      </c>
      <c r="X8">
        <v>22.271370000000001</v>
      </c>
      <c r="Y8">
        <v>22.506741000000002</v>
      </c>
      <c r="Z8">
        <v>22.737044999999998</v>
      </c>
      <c r="AA8">
        <v>22.966515999999999</v>
      </c>
      <c r="AB8">
        <v>23.194811000000001</v>
      </c>
      <c r="AC8">
        <v>23.422667000000001</v>
      </c>
      <c r="AD8">
        <v>23.650106000000001</v>
      </c>
      <c r="AE8">
        <v>23.877323000000001</v>
      </c>
      <c r="AF8">
        <v>24.103532999999999</v>
      </c>
      <c r="AG8" s="6">
        <v>1.4E-2</v>
      </c>
    </row>
    <row r="9" spans="1:33" x14ac:dyDescent="0.75">
      <c r="A9" t="s">
        <v>89</v>
      </c>
      <c r="B9" t="s">
        <v>603</v>
      </c>
      <c r="C9" t="s">
        <v>602</v>
      </c>
      <c r="D9" t="s">
        <v>88</v>
      </c>
      <c r="F9">
        <v>26.605318</v>
      </c>
      <c r="G9">
        <v>26.781590000000001</v>
      </c>
      <c r="H9">
        <v>26.987282</v>
      </c>
      <c r="I9">
        <v>27.200581</v>
      </c>
      <c r="J9">
        <v>27.420453999999999</v>
      </c>
      <c r="K9">
        <v>27.653373999999999</v>
      </c>
      <c r="L9">
        <v>27.889208</v>
      </c>
      <c r="M9">
        <v>28.127293000000002</v>
      </c>
      <c r="N9">
        <v>28.362696</v>
      </c>
      <c r="O9">
        <v>28.587047999999999</v>
      </c>
      <c r="P9">
        <v>28.798484999999999</v>
      </c>
      <c r="Q9">
        <v>29.005108</v>
      </c>
      <c r="R9">
        <v>29.206934</v>
      </c>
      <c r="S9">
        <v>29.397682</v>
      </c>
      <c r="T9">
        <v>29.579087999999999</v>
      </c>
      <c r="U9">
        <v>29.751591000000001</v>
      </c>
      <c r="V9">
        <v>29.918130999999999</v>
      </c>
      <c r="W9">
        <v>30.076429000000001</v>
      </c>
      <c r="X9">
        <v>30.228321000000001</v>
      </c>
      <c r="Y9">
        <v>30.375741999999999</v>
      </c>
      <c r="Z9">
        <v>30.522755</v>
      </c>
      <c r="AA9">
        <v>30.670508999999999</v>
      </c>
      <c r="AB9">
        <v>30.818306</v>
      </c>
      <c r="AC9">
        <v>30.966200000000001</v>
      </c>
      <c r="AD9">
        <v>31.114232999999999</v>
      </c>
      <c r="AE9">
        <v>31.262747000000001</v>
      </c>
      <c r="AF9">
        <v>31.41095</v>
      </c>
      <c r="AG9" s="6">
        <v>6.0000000000000001E-3</v>
      </c>
    </row>
    <row r="10" spans="1:33" x14ac:dyDescent="0.75">
      <c r="A10" t="s">
        <v>90</v>
      </c>
      <c r="B10" t="s">
        <v>601</v>
      </c>
      <c r="C10" t="s">
        <v>600</v>
      </c>
      <c r="D10" t="s">
        <v>88</v>
      </c>
      <c r="F10">
        <v>1.3358559999999999</v>
      </c>
      <c r="G10">
        <v>1.335485</v>
      </c>
      <c r="H10">
        <v>1.335121</v>
      </c>
      <c r="I10">
        <v>1.3347629999999999</v>
      </c>
      <c r="J10">
        <v>1.334411</v>
      </c>
      <c r="K10">
        <v>1.3340669999999999</v>
      </c>
      <c r="L10">
        <v>1.333728</v>
      </c>
      <c r="M10">
        <v>1.333394</v>
      </c>
      <c r="N10">
        <v>1.333067</v>
      </c>
      <c r="O10">
        <v>1.332746</v>
      </c>
      <c r="P10">
        <v>1.3324309999999999</v>
      </c>
      <c r="Q10">
        <v>1.33212</v>
      </c>
      <c r="R10">
        <v>1.3318160000000001</v>
      </c>
      <c r="S10">
        <v>1.3315170000000001</v>
      </c>
      <c r="T10">
        <v>1.331223</v>
      </c>
      <c r="U10">
        <v>1.3309340000000001</v>
      </c>
      <c r="V10">
        <v>1.330651</v>
      </c>
      <c r="W10">
        <v>1.330373</v>
      </c>
      <c r="X10">
        <v>1.3300989999999999</v>
      </c>
      <c r="Y10">
        <v>1.329831</v>
      </c>
      <c r="Z10">
        <v>1.3295669999999999</v>
      </c>
      <c r="AA10">
        <v>1.3293079999999999</v>
      </c>
      <c r="AB10">
        <v>1.329053</v>
      </c>
      <c r="AC10">
        <v>1.3288040000000001</v>
      </c>
      <c r="AD10">
        <v>1.3285579999999999</v>
      </c>
      <c r="AE10">
        <v>1.3283160000000001</v>
      </c>
      <c r="AF10">
        <v>1.328079</v>
      </c>
      <c r="AG10" s="6">
        <v>0</v>
      </c>
    </row>
    <row r="11" spans="1:33" x14ac:dyDescent="0.75">
      <c r="A11" t="s">
        <v>91</v>
      </c>
      <c r="B11" t="s">
        <v>599</v>
      </c>
      <c r="C11" t="s">
        <v>598</v>
      </c>
      <c r="D11" t="s">
        <v>88</v>
      </c>
      <c r="F11">
        <v>65.614693000000003</v>
      </c>
      <c r="G11">
        <v>66.503310999999997</v>
      </c>
      <c r="H11">
        <v>67.422646</v>
      </c>
      <c r="I11">
        <v>68.347206</v>
      </c>
      <c r="J11">
        <v>69.275345000000002</v>
      </c>
      <c r="K11">
        <v>70.215851000000001</v>
      </c>
      <c r="L11">
        <v>71.155624000000003</v>
      </c>
      <c r="M11">
        <v>72.095222000000007</v>
      </c>
      <c r="N11">
        <v>73.022018000000003</v>
      </c>
      <c r="O11">
        <v>73.917961000000005</v>
      </c>
      <c r="P11">
        <v>74.776138000000003</v>
      </c>
      <c r="Q11">
        <v>75.619468999999995</v>
      </c>
      <c r="R11">
        <v>76.443016</v>
      </c>
      <c r="S11">
        <v>77.232451999999995</v>
      </c>
      <c r="T11">
        <v>77.991675999999998</v>
      </c>
      <c r="U11">
        <v>78.71611</v>
      </c>
      <c r="V11">
        <v>79.412209000000004</v>
      </c>
      <c r="W11">
        <v>80.076683000000003</v>
      </c>
      <c r="X11">
        <v>80.717903000000007</v>
      </c>
      <c r="Y11">
        <v>81.333213999999998</v>
      </c>
      <c r="Z11">
        <v>81.934601000000001</v>
      </c>
      <c r="AA11">
        <v>82.534103000000002</v>
      </c>
      <c r="AB11">
        <v>83.129738000000003</v>
      </c>
      <c r="AC11">
        <v>83.726119999999995</v>
      </c>
      <c r="AD11">
        <v>84.322975</v>
      </c>
      <c r="AE11">
        <v>84.920402999999993</v>
      </c>
      <c r="AF11">
        <v>85.516907000000003</v>
      </c>
      <c r="AG11" s="6">
        <v>0.01</v>
      </c>
    </row>
    <row r="12" spans="1:33" x14ac:dyDescent="0.75">
      <c r="A12" t="s">
        <v>92</v>
      </c>
      <c r="B12" t="s">
        <v>597</v>
      </c>
      <c r="C12" t="s">
        <v>596</v>
      </c>
      <c r="D12" t="s">
        <v>88</v>
      </c>
      <c r="F12">
        <v>4.7679400000000003</v>
      </c>
      <c r="G12">
        <v>4.7259000000000002</v>
      </c>
      <c r="H12">
        <v>4.6848210000000003</v>
      </c>
      <c r="I12">
        <v>4.6445790000000002</v>
      </c>
      <c r="J12">
        <v>4.6050199999999997</v>
      </c>
      <c r="K12">
        <v>4.5659689999999999</v>
      </c>
      <c r="L12">
        <v>4.5268259999999998</v>
      </c>
      <c r="M12">
        <v>4.4876120000000004</v>
      </c>
      <c r="N12">
        <v>4.4495209999999998</v>
      </c>
      <c r="O12">
        <v>4.412687</v>
      </c>
      <c r="P12">
        <v>4.3773140000000001</v>
      </c>
      <c r="Q12">
        <v>4.3434270000000001</v>
      </c>
      <c r="R12">
        <v>4.3103170000000004</v>
      </c>
      <c r="S12">
        <v>4.2779480000000003</v>
      </c>
      <c r="T12">
        <v>4.246086</v>
      </c>
      <c r="U12">
        <v>4.2144880000000002</v>
      </c>
      <c r="V12">
        <v>4.1831740000000002</v>
      </c>
      <c r="W12">
        <v>4.1520609999999998</v>
      </c>
      <c r="X12">
        <v>4.1220239999999997</v>
      </c>
      <c r="Y12">
        <v>4.0930540000000004</v>
      </c>
      <c r="Z12">
        <v>4.0651210000000004</v>
      </c>
      <c r="AA12">
        <v>4.0385</v>
      </c>
      <c r="AB12">
        <v>4.0128209999999997</v>
      </c>
      <c r="AC12">
        <v>3.9867460000000001</v>
      </c>
      <c r="AD12">
        <v>3.9604469999999998</v>
      </c>
      <c r="AE12">
        <v>3.9341620000000002</v>
      </c>
      <c r="AF12">
        <v>3.908093</v>
      </c>
      <c r="AG12" s="6">
        <v>-8.0000000000000002E-3</v>
      </c>
    </row>
    <row r="13" spans="1:33" x14ac:dyDescent="0.75">
      <c r="A13" t="s">
        <v>93</v>
      </c>
      <c r="B13" t="s">
        <v>595</v>
      </c>
      <c r="C13" t="s">
        <v>594</v>
      </c>
      <c r="D13" t="s">
        <v>88</v>
      </c>
      <c r="F13">
        <v>5.242597</v>
      </c>
      <c r="G13">
        <v>5.231007</v>
      </c>
      <c r="H13">
        <v>5.2227259999999998</v>
      </c>
      <c r="I13">
        <v>5.2138559999999998</v>
      </c>
      <c r="J13">
        <v>5.2017620000000004</v>
      </c>
      <c r="K13">
        <v>5.1923170000000001</v>
      </c>
      <c r="L13">
        <v>5.1804410000000001</v>
      </c>
      <c r="M13">
        <v>5.1671880000000003</v>
      </c>
      <c r="N13">
        <v>5.1553120000000003</v>
      </c>
      <c r="O13">
        <v>5.1438940000000004</v>
      </c>
      <c r="P13">
        <v>5.1323730000000003</v>
      </c>
      <c r="Q13">
        <v>5.1213470000000001</v>
      </c>
      <c r="R13">
        <v>5.111237</v>
      </c>
      <c r="S13">
        <v>5.1019629999999996</v>
      </c>
      <c r="T13">
        <v>5.0929900000000004</v>
      </c>
      <c r="U13">
        <v>5.0845039999999999</v>
      </c>
      <c r="V13">
        <v>5.0773279999999996</v>
      </c>
      <c r="W13">
        <v>5.0708909999999996</v>
      </c>
      <c r="X13">
        <v>5.0646820000000004</v>
      </c>
      <c r="Y13">
        <v>5.0585370000000003</v>
      </c>
      <c r="Z13">
        <v>5.0526479999999996</v>
      </c>
      <c r="AA13">
        <v>5.0474759999999996</v>
      </c>
      <c r="AB13">
        <v>5.0432449999999998</v>
      </c>
      <c r="AC13">
        <v>5.0376599999999998</v>
      </c>
      <c r="AD13">
        <v>5.0307449999999996</v>
      </c>
      <c r="AE13">
        <v>5.0227019999999998</v>
      </c>
      <c r="AF13">
        <v>5.0133200000000002</v>
      </c>
      <c r="AG13" s="6">
        <v>-2E-3</v>
      </c>
    </row>
    <row r="14" spans="1:33" x14ac:dyDescent="0.75">
      <c r="A14" t="s">
        <v>94</v>
      </c>
      <c r="B14" t="s">
        <v>593</v>
      </c>
      <c r="C14" t="s">
        <v>592</v>
      </c>
      <c r="D14" t="s">
        <v>88</v>
      </c>
      <c r="F14">
        <v>4.9249999999999997E-3</v>
      </c>
      <c r="G14">
        <v>7.8969999999999995E-3</v>
      </c>
      <c r="H14">
        <v>1.1523E-2</v>
      </c>
      <c r="I14">
        <v>1.5072E-2</v>
      </c>
      <c r="J14">
        <v>1.8269000000000001E-2</v>
      </c>
      <c r="K14">
        <v>2.1329999999999998E-2</v>
      </c>
      <c r="L14">
        <v>2.419E-2</v>
      </c>
      <c r="M14">
        <v>2.7018E-2</v>
      </c>
      <c r="N14">
        <v>2.9863000000000001E-2</v>
      </c>
      <c r="O14">
        <v>3.2679E-2</v>
      </c>
      <c r="P14">
        <v>3.5394000000000002E-2</v>
      </c>
      <c r="Q14">
        <v>3.8012999999999998E-2</v>
      </c>
      <c r="R14">
        <v>4.0598000000000002E-2</v>
      </c>
      <c r="S14">
        <v>4.3115000000000001E-2</v>
      </c>
      <c r="T14">
        <v>4.5557E-2</v>
      </c>
      <c r="U14">
        <v>4.7931000000000001E-2</v>
      </c>
      <c r="V14">
        <v>5.0323E-2</v>
      </c>
      <c r="W14">
        <v>5.2707999999999998E-2</v>
      </c>
      <c r="X14">
        <v>5.5048E-2</v>
      </c>
      <c r="Y14">
        <v>5.7336999999999999E-2</v>
      </c>
      <c r="Z14">
        <v>5.9591999999999999E-2</v>
      </c>
      <c r="AA14">
        <v>6.182E-2</v>
      </c>
      <c r="AB14">
        <v>6.3983999999999999E-2</v>
      </c>
      <c r="AC14">
        <v>6.6125000000000003E-2</v>
      </c>
      <c r="AD14">
        <v>6.8224000000000007E-2</v>
      </c>
      <c r="AE14">
        <v>7.0300000000000001E-2</v>
      </c>
      <c r="AF14">
        <v>7.2325E-2</v>
      </c>
      <c r="AG14" s="6">
        <v>0.109</v>
      </c>
    </row>
    <row r="15" spans="1:33" x14ac:dyDescent="0.75">
      <c r="A15" t="s">
        <v>95</v>
      </c>
      <c r="B15" t="s">
        <v>591</v>
      </c>
      <c r="C15" t="s">
        <v>590</v>
      </c>
      <c r="D15" t="s">
        <v>88</v>
      </c>
      <c r="F15">
        <v>2.220637</v>
      </c>
      <c r="G15">
        <v>2.2126389999999998</v>
      </c>
      <c r="H15">
        <v>2.2048290000000001</v>
      </c>
      <c r="I15">
        <v>2.1970589999999999</v>
      </c>
      <c r="J15">
        <v>2.1893750000000001</v>
      </c>
      <c r="K15">
        <v>2.1817530000000001</v>
      </c>
      <c r="L15">
        <v>2.1741869999999999</v>
      </c>
      <c r="M15">
        <v>2.1666919999999998</v>
      </c>
      <c r="N15">
        <v>2.1590280000000002</v>
      </c>
      <c r="O15">
        <v>2.1512479999999998</v>
      </c>
      <c r="P15">
        <v>2.1434000000000002</v>
      </c>
      <c r="Q15">
        <v>2.135421</v>
      </c>
      <c r="R15">
        <v>2.1273569999999999</v>
      </c>
      <c r="S15">
        <v>2.1191689999999999</v>
      </c>
      <c r="T15">
        <v>2.1109499999999999</v>
      </c>
      <c r="U15">
        <v>2.102684</v>
      </c>
      <c r="V15">
        <v>2.0943290000000001</v>
      </c>
      <c r="W15">
        <v>2.085804</v>
      </c>
      <c r="X15">
        <v>2.0775749999999999</v>
      </c>
      <c r="Y15">
        <v>2.0696460000000001</v>
      </c>
      <c r="Z15">
        <v>2.062065</v>
      </c>
      <c r="AA15">
        <v>2.054862</v>
      </c>
      <c r="AB15">
        <v>2.0480360000000002</v>
      </c>
      <c r="AC15">
        <v>2.0416629999999998</v>
      </c>
      <c r="AD15">
        <v>2.0357189999999998</v>
      </c>
      <c r="AE15">
        <v>2.030173</v>
      </c>
      <c r="AF15">
        <v>2.0250210000000002</v>
      </c>
      <c r="AG15" s="6">
        <v>-4.0000000000000001E-3</v>
      </c>
    </row>
    <row r="16" spans="1:33" x14ac:dyDescent="0.75">
      <c r="A16" t="s">
        <v>96</v>
      </c>
      <c r="B16" t="s">
        <v>589</v>
      </c>
      <c r="C16" t="s">
        <v>588</v>
      </c>
      <c r="D16" t="s">
        <v>88</v>
      </c>
      <c r="F16">
        <v>1.3606750000000001</v>
      </c>
      <c r="G16">
        <v>1.4081809999999999</v>
      </c>
      <c r="H16">
        <v>1.455492</v>
      </c>
      <c r="I16">
        <v>1.5027200000000001</v>
      </c>
      <c r="J16">
        <v>1.5491330000000001</v>
      </c>
      <c r="K16">
        <v>1.595817</v>
      </c>
      <c r="L16">
        <v>1.642325</v>
      </c>
      <c r="M16">
        <v>1.688836</v>
      </c>
      <c r="N16">
        <v>1.7355499999999999</v>
      </c>
      <c r="O16">
        <v>1.7816719999999999</v>
      </c>
      <c r="P16">
        <v>1.826767</v>
      </c>
      <c r="Q16">
        <v>1.8719479999999999</v>
      </c>
      <c r="R16">
        <v>1.9167529999999999</v>
      </c>
      <c r="S16">
        <v>1.9607570000000001</v>
      </c>
      <c r="T16">
        <v>2.0037910000000001</v>
      </c>
      <c r="U16">
        <v>2.0454750000000002</v>
      </c>
      <c r="V16">
        <v>2.0861049999999999</v>
      </c>
      <c r="W16">
        <v>2.1256249999999999</v>
      </c>
      <c r="X16">
        <v>2.1640130000000002</v>
      </c>
      <c r="Y16">
        <v>2.2007629999999998</v>
      </c>
      <c r="Z16">
        <v>2.2363569999999999</v>
      </c>
      <c r="AA16">
        <v>2.271668</v>
      </c>
      <c r="AB16">
        <v>2.306613</v>
      </c>
      <c r="AC16">
        <v>2.34118</v>
      </c>
      <c r="AD16">
        <v>2.3753600000000001</v>
      </c>
      <c r="AE16">
        <v>2.4091840000000002</v>
      </c>
      <c r="AF16">
        <v>2.4425819999999998</v>
      </c>
      <c r="AG16" s="6">
        <v>2.3E-2</v>
      </c>
    </row>
    <row r="17" spans="1:33" x14ac:dyDescent="0.75">
      <c r="A17" t="s">
        <v>1</v>
      </c>
      <c r="B17" t="s">
        <v>587</v>
      </c>
      <c r="C17" t="s">
        <v>586</v>
      </c>
      <c r="D17" t="s">
        <v>88</v>
      </c>
      <c r="F17">
        <v>123.798164</v>
      </c>
      <c r="G17">
        <v>125.168251</v>
      </c>
      <c r="H17">
        <v>126.62236799999999</v>
      </c>
      <c r="I17">
        <v>128.09318500000001</v>
      </c>
      <c r="J17">
        <v>129.569717</v>
      </c>
      <c r="K17">
        <v>131.083664</v>
      </c>
      <c r="L17">
        <v>132.59764100000001</v>
      </c>
      <c r="M17">
        <v>134.11355599999999</v>
      </c>
      <c r="N17">
        <v>135.61402899999999</v>
      </c>
      <c r="O17">
        <v>137.061768</v>
      </c>
      <c r="P17">
        <v>138.44465600000001</v>
      </c>
      <c r="Q17">
        <v>139.80519100000001</v>
      </c>
      <c r="R17">
        <v>141.13613900000001</v>
      </c>
      <c r="S17">
        <v>142.41052199999999</v>
      </c>
      <c r="T17">
        <v>143.633499</v>
      </c>
      <c r="U17">
        <v>144.800354</v>
      </c>
      <c r="V17">
        <v>145.92430100000001</v>
      </c>
      <c r="W17">
        <v>146.996735</v>
      </c>
      <c r="X17">
        <v>148.03105199999999</v>
      </c>
      <c r="Y17">
        <v>149.024857</v>
      </c>
      <c r="Z17">
        <v>149.99975599999999</v>
      </c>
      <c r="AA17">
        <v>150.97473099999999</v>
      </c>
      <c r="AB17">
        <v>151.946594</v>
      </c>
      <c r="AC17">
        <v>152.91716</v>
      </c>
      <c r="AD17">
        <v>153.886368</v>
      </c>
      <c r="AE17">
        <v>154.855301</v>
      </c>
      <c r="AF17">
        <v>155.82081600000001</v>
      </c>
      <c r="AG17" s="6">
        <v>8.9999999999999993E-3</v>
      </c>
    </row>
    <row r="18" spans="1:33" x14ac:dyDescent="0.75">
      <c r="A18" t="s">
        <v>97</v>
      </c>
    </row>
    <row r="19" spans="1:33" x14ac:dyDescent="0.75">
      <c r="A19" t="s">
        <v>87</v>
      </c>
      <c r="B19" t="s">
        <v>585</v>
      </c>
      <c r="C19" t="s">
        <v>584</v>
      </c>
      <c r="D19" t="s">
        <v>88</v>
      </c>
      <c r="F19">
        <v>16.645529</v>
      </c>
      <c r="G19">
        <v>16.962236000000001</v>
      </c>
      <c r="H19">
        <v>17.297931999999999</v>
      </c>
      <c r="I19">
        <v>17.637352</v>
      </c>
      <c r="J19">
        <v>17.975957999999999</v>
      </c>
      <c r="K19">
        <v>18.323191000000001</v>
      </c>
      <c r="L19">
        <v>18.671116000000001</v>
      </c>
      <c r="M19">
        <v>19.020289999999999</v>
      </c>
      <c r="N19">
        <v>19.366969999999998</v>
      </c>
      <c r="O19">
        <v>19.701841000000002</v>
      </c>
      <c r="P19">
        <v>20.022338999999999</v>
      </c>
      <c r="Q19">
        <v>20.338339000000001</v>
      </c>
      <c r="R19">
        <v>20.648116999999999</v>
      </c>
      <c r="S19">
        <v>20.945914999999999</v>
      </c>
      <c r="T19">
        <v>21.232161000000001</v>
      </c>
      <c r="U19">
        <v>21.506636</v>
      </c>
      <c r="V19">
        <v>21.772034000000001</v>
      </c>
      <c r="W19">
        <v>22.026174999999999</v>
      </c>
      <c r="X19">
        <v>22.271376</v>
      </c>
      <c r="Y19">
        <v>22.506746</v>
      </c>
      <c r="Z19">
        <v>22.737047</v>
      </c>
      <c r="AA19">
        <v>22.966528</v>
      </c>
      <c r="AB19">
        <v>23.194814999999998</v>
      </c>
      <c r="AC19">
        <v>23.422671999999999</v>
      </c>
      <c r="AD19">
        <v>23.650103000000001</v>
      </c>
      <c r="AE19">
        <v>23.87734</v>
      </c>
      <c r="AF19">
        <v>24.103531</v>
      </c>
      <c r="AG19" s="6">
        <v>1.4E-2</v>
      </c>
    </row>
    <row r="20" spans="1:33" x14ac:dyDescent="0.75">
      <c r="A20" t="s">
        <v>90</v>
      </c>
      <c r="B20" t="s">
        <v>583</v>
      </c>
      <c r="C20" t="s">
        <v>582</v>
      </c>
      <c r="D20" t="s">
        <v>88</v>
      </c>
      <c r="F20">
        <v>1.3358559999999999</v>
      </c>
      <c r="G20">
        <v>1.335485</v>
      </c>
      <c r="H20">
        <v>1.335121</v>
      </c>
      <c r="I20">
        <v>1.3347629999999999</v>
      </c>
      <c r="J20">
        <v>1.3344119999999999</v>
      </c>
      <c r="K20">
        <v>1.334066</v>
      </c>
      <c r="L20">
        <v>1.3337270000000001</v>
      </c>
      <c r="M20">
        <v>1.333394</v>
      </c>
      <c r="N20">
        <v>1.333067</v>
      </c>
      <c r="O20">
        <v>1.332746</v>
      </c>
      <c r="P20">
        <v>1.33243</v>
      </c>
      <c r="Q20">
        <v>1.33212</v>
      </c>
      <c r="R20">
        <v>1.3318160000000001</v>
      </c>
      <c r="S20">
        <v>1.3315170000000001</v>
      </c>
      <c r="T20">
        <v>1.331223</v>
      </c>
      <c r="U20">
        <v>1.3309340000000001</v>
      </c>
      <c r="V20">
        <v>1.330651</v>
      </c>
      <c r="W20">
        <v>1.3303720000000001</v>
      </c>
      <c r="X20">
        <v>1.3300989999999999</v>
      </c>
      <c r="Y20">
        <v>1.329831</v>
      </c>
      <c r="Z20">
        <v>1.3295669999999999</v>
      </c>
      <c r="AA20">
        <v>1.3293079999999999</v>
      </c>
      <c r="AB20">
        <v>1.329053</v>
      </c>
      <c r="AC20">
        <v>1.328803</v>
      </c>
      <c r="AD20">
        <v>1.3285579999999999</v>
      </c>
      <c r="AE20">
        <v>1.3283160000000001</v>
      </c>
      <c r="AF20">
        <v>1.3280799999999999</v>
      </c>
      <c r="AG20" s="6">
        <v>0</v>
      </c>
    </row>
    <row r="21" spans="1:33" x14ac:dyDescent="0.75">
      <c r="A21" t="s">
        <v>96</v>
      </c>
      <c r="B21" t="s">
        <v>581</v>
      </c>
      <c r="C21" t="s">
        <v>580</v>
      </c>
      <c r="D21" t="s">
        <v>88</v>
      </c>
      <c r="F21">
        <v>1.3606750000000001</v>
      </c>
      <c r="G21">
        <v>1.40818</v>
      </c>
      <c r="H21">
        <v>1.4554910000000001</v>
      </c>
      <c r="I21">
        <v>1.5027200000000001</v>
      </c>
      <c r="J21">
        <v>1.549134</v>
      </c>
      <c r="K21">
        <v>1.595817</v>
      </c>
      <c r="L21">
        <v>1.642326</v>
      </c>
      <c r="M21">
        <v>1.688836</v>
      </c>
      <c r="N21">
        <v>1.7355499999999999</v>
      </c>
      <c r="O21">
        <v>1.781671</v>
      </c>
      <c r="P21">
        <v>1.8267679999999999</v>
      </c>
      <c r="Q21">
        <v>1.8719479999999999</v>
      </c>
      <c r="R21">
        <v>1.9167529999999999</v>
      </c>
      <c r="S21">
        <v>1.9607559999999999</v>
      </c>
      <c r="T21">
        <v>2.00379</v>
      </c>
      <c r="U21">
        <v>2.0454750000000002</v>
      </c>
      <c r="V21">
        <v>2.0861049999999999</v>
      </c>
      <c r="W21">
        <v>2.125626</v>
      </c>
      <c r="X21">
        <v>2.1640130000000002</v>
      </c>
      <c r="Y21">
        <v>2.2007639999999999</v>
      </c>
      <c r="Z21">
        <v>2.2363559999999998</v>
      </c>
      <c r="AA21">
        <v>2.2716669999999999</v>
      </c>
      <c r="AB21">
        <v>2.306613</v>
      </c>
      <c r="AC21">
        <v>2.3411789999999999</v>
      </c>
      <c r="AD21">
        <v>2.3753600000000001</v>
      </c>
      <c r="AE21">
        <v>2.4091849999999999</v>
      </c>
      <c r="AF21">
        <v>2.4425810000000001</v>
      </c>
      <c r="AG21" s="6">
        <v>2.3E-2</v>
      </c>
    </row>
    <row r="22" spans="1:33" x14ac:dyDescent="0.75">
      <c r="A22" t="s">
        <v>98</v>
      </c>
      <c r="B22" t="s">
        <v>579</v>
      </c>
      <c r="C22" t="s">
        <v>578</v>
      </c>
      <c r="D22" t="s">
        <v>88</v>
      </c>
      <c r="F22">
        <v>79.649451999999997</v>
      </c>
      <c r="G22">
        <v>80.900047000000001</v>
      </c>
      <c r="H22">
        <v>82.197365000000005</v>
      </c>
      <c r="I22">
        <v>83.504149999999996</v>
      </c>
      <c r="J22">
        <v>84.811256</v>
      </c>
      <c r="K22">
        <v>86.135658000000006</v>
      </c>
      <c r="L22">
        <v>87.457458000000003</v>
      </c>
      <c r="M22">
        <v>88.779007000000007</v>
      </c>
      <c r="N22">
        <v>90.091567999999995</v>
      </c>
      <c r="O22">
        <v>91.374115000000003</v>
      </c>
      <c r="P22">
        <v>92.619193999999993</v>
      </c>
      <c r="Q22">
        <v>93.851294999999993</v>
      </c>
      <c r="R22">
        <v>95.065894999999998</v>
      </c>
      <c r="S22">
        <v>96.248183999999995</v>
      </c>
      <c r="T22">
        <v>97.400749000000005</v>
      </c>
      <c r="U22">
        <v>98.520065000000002</v>
      </c>
      <c r="V22">
        <v>99.614029000000002</v>
      </c>
      <c r="W22">
        <v>100.677948</v>
      </c>
      <c r="X22">
        <v>101.719604</v>
      </c>
      <c r="Y22">
        <v>102.736504</v>
      </c>
      <c r="Z22">
        <v>103.740959</v>
      </c>
      <c r="AA22">
        <v>104.74514000000001</v>
      </c>
      <c r="AB22">
        <v>105.747086</v>
      </c>
      <c r="AC22">
        <v>106.748116</v>
      </c>
      <c r="AD22">
        <v>107.748085</v>
      </c>
      <c r="AE22">
        <v>108.747696</v>
      </c>
      <c r="AF22">
        <v>109.74496499999999</v>
      </c>
      <c r="AG22" s="6">
        <v>1.2E-2</v>
      </c>
    </row>
    <row r="23" spans="1:33" x14ac:dyDescent="0.75">
      <c r="A23" t="s">
        <v>99</v>
      </c>
      <c r="B23" t="s">
        <v>577</v>
      </c>
      <c r="C23" t="s">
        <v>576</v>
      </c>
      <c r="D23" t="s">
        <v>88</v>
      </c>
      <c r="F23">
        <v>43.140506999999999</v>
      </c>
      <c r="G23">
        <v>43.232368000000001</v>
      </c>
      <c r="H23">
        <v>43.345275999999998</v>
      </c>
      <c r="I23">
        <v>43.463279999999997</v>
      </c>
      <c r="J23">
        <v>43.586711999999999</v>
      </c>
      <c r="K23">
        <v>43.719509000000002</v>
      </c>
      <c r="L23">
        <v>43.854377999999997</v>
      </c>
      <c r="M23">
        <v>43.990794999999999</v>
      </c>
      <c r="N23">
        <v>44.124844000000003</v>
      </c>
      <c r="O23">
        <v>44.250751000000001</v>
      </c>
      <c r="P23">
        <v>44.367279000000003</v>
      </c>
      <c r="Q23">
        <v>44.480221</v>
      </c>
      <c r="R23">
        <v>44.589432000000002</v>
      </c>
      <c r="S23">
        <v>44.690407</v>
      </c>
      <c r="T23">
        <v>44.784587999999999</v>
      </c>
      <c r="U23">
        <v>44.872436999999998</v>
      </c>
      <c r="V23">
        <v>44.956017000000003</v>
      </c>
      <c r="W23">
        <v>45.033755999999997</v>
      </c>
      <c r="X23">
        <v>45.107017999999997</v>
      </c>
      <c r="Y23">
        <v>45.177340999999998</v>
      </c>
      <c r="Z23">
        <v>45.247604000000003</v>
      </c>
      <c r="AA23">
        <v>45.318492999999997</v>
      </c>
      <c r="AB23">
        <v>45.389637</v>
      </c>
      <c r="AC23">
        <v>45.461101999999997</v>
      </c>
      <c r="AD23">
        <v>45.532989999999998</v>
      </c>
      <c r="AE23">
        <v>45.605553</v>
      </c>
      <c r="AF23">
        <v>45.678272</v>
      </c>
      <c r="AG23" s="6">
        <v>2E-3</v>
      </c>
    </row>
    <row r="24" spans="1:33" x14ac:dyDescent="0.75">
      <c r="A24" t="s">
        <v>1</v>
      </c>
      <c r="B24" t="s">
        <v>575</v>
      </c>
      <c r="C24" t="s">
        <v>574</v>
      </c>
      <c r="D24" t="s">
        <v>88</v>
      </c>
      <c r="F24">
        <v>142.13201900000001</v>
      </c>
      <c r="G24">
        <v>143.83831799999999</v>
      </c>
      <c r="H24">
        <v>145.63118</v>
      </c>
      <c r="I24">
        <v>147.442261</v>
      </c>
      <c r="J24">
        <v>149.25747699999999</v>
      </c>
      <c r="K24">
        <v>151.10824600000001</v>
      </c>
      <c r="L24">
        <v>152.95901499999999</v>
      </c>
      <c r="M24">
        <v>154.812332</v>
      </c>
      <c r="N24">
        <v>156.651993</v>
      </c>
      <c r="O24">
        <v>158.44113200000001</v>
      </c>
      <c r="P24">
        <v>160.168015</v>
      </c>
      <c r="Q24">
        <v>161.873932</v>
      </c>
      <c r="R24">
        <v>163.55201700000001</v>
      </c>
      <c r="S24">
        <v>165.17678799999999</v>
      </c>
      <c r="T24">
        <v>166.75251800000001</v>
      </c>
      <c r="U24">
        <v>168.275543</v>
      </c>
      <c r="V24">
        <v>169.758835</v>
      </c>
      <c r="W24">
        <v>171.19387800000001</v>
      </c>
      <c r="X24">
        <v>172.59210200000001</v>
      </c>
      <c r="Y24">
        <v>173.951187</v>
      </c>
      <c r="Z24">
        <v>175.29153400000001</v>
      </c>
      <c r="AA24">
        <v>176.631134</v>
      </c>
      <c r="AB24">
        <v>177.96719400000001</v>
      </c>
      <c r="AC24">
        <v>179.30188000000001</v>
      </c>
      <c r="AD24">
        <v>180.63510099999999</v>
      </c>
      <c r="AE24">
        <v>181.96807899999999</v>
      </c>
      <c r="AF24">
        <v>183.29742400000001</v>
      </c>
      <c r="AG24" s="6">
        <v>0.01</v>
      </c>
    </row>
    <row r="25" spans="1:33" x14ac:dyDescent="0.75">
      <c r="A25" t="s">
        <v>100</v>
      </c>
    </row>
    <row r="26" spans="1:33" x14ac:dyDescent="0.75">
      <c r="A26" t="s">
        <v>101</v>
      </c>
      <c r="B26" t="s">
        <v>573</v>
      </c>
      <c r="C26" t="s">
        <v>572</v>
      </c>
      <c r="D26" t="s">
        <v>88</v>
      </c>
      <c r="F26">
        <v>62.064090999999998</v>
      </c>
      <c r="G26">
        <v>62.296463000000003</v>
      </c>
      <c r="H26">
        <v>62.600315000000002</v>
      </c>
      <c r="I26">
        <v>62.926879999999997</v>
      </c>
      <c r="J26">
        <v>63.228167999999997</v>
      </c>
      <c r="K26">
        <v>64.053841000000006</v>
      </c>
      <c r="L26">
        <v>64.829207999999994</v>
      </c>
      <c r="M26">
        <v>65.567513000000005</v>
      </c>
      <c r="N26">
        <v>66.280677999999995</v>
      </c>
      <c r="O26">
        <v>66.984313999999998</v>
      </c>
      <c r="P26">
        <v>67.653503000000001</v>
      </c>
      <c r="Q26">
        <v>68.314453</v>
      </c>
      <c r="R26">
        <v>68.978340000000003</v>
      </c>
      <c r="S26">
        <v>69.632026999999994</v>
      </c>
      <c r="T26">
        <v>70.273940999999994</v>
      </c>
      <c r="U26">
        <v>70.902107000000001</v>
      </c>
      <c r="V26">
        <v>71.522514000000001</v>
      </c>
      <c r="W26">
        <v>72.129929000000004</v>
      </c>
      <c r="X26">
        <v>72.728317000000004</v>
      </c>
      <c r="Y26">
        <v>73.317879000000005</v>
      </c>
      <c r="Z26">
        <v>73.899185000000003</v>
      </c>
      <c r="AA26">
        <v>74.478476999999998</v>
      </c>
      <c r="AB26">
        <v>75.054726000000002</v>
      </c>
      <c r="AC26">
        <v>75.626357999999996</v>
      </c>
      <c r="AD26">
        <v>76.193161000000003</v>
      </c>
      <c r="AE26">
        <v>76.757141000000004</v>
      </c>
      <c r="AF26">
        <v>77.316254000000001</v>
      </c>
      <c r="AG26" s="6">
        <v>8.0000000000000002E-3</v>
      </c>
    </row>
    <row r="27" spans="1:33" x14ac:dyDescent="0.75">
      <c r="A27" t="s">
        <v>102</v>
      </c>
      <c r="B27" t="s">
        <v>571</v>
      </c>
      <c r="C27" t="s">
        <v>570</v>
      </c>
      <c r="D27" t="s">
        <v>88</v>
      </c>
      <c r="F27">
        <v>64.896248</v>
      </c>
      <c r="G27">
        <v>65.896964999999994</v>
      </c>
      <c r="H27">
        <v>66.916297999999998</v>
      </c>
      <c r="I27">
        <v>67.939789000000005</v>
      </c>
      <c r="J27">
        <v>68.981887999999998</v>
      </c>
      <c r="K27">
        <v>69.718718999999993</v>
      </c>
      <c r="L27">
        <v>70.479590999999999</v>
      </c>
      <c r="M27">
        <v>71.256225999999998</v>
      </c>
      <c r="N27">
        <v>72.025870999999995</v>
      </c>
      <c r="O27">
        <v>72.786704999999998</v>
      </c>
      <c r="P27">
        <v>73.528267</v>
      </c>
      <c r="Q27">
        <v>74.274551000000002</v>
      </c>
      <c r="R27">
        <v>74.990111999999996</v>
      </c>
      <c r="S27">
        <v>75.663230999999996</v>
      </c>
      <c r="T27">
        <v>76.299582999999998</v>
      </c>
      <c r="U27">
        <v>76.895554000000004</v>
      </c>
      <c r="V27">
        <v>77.456969999999998</v>
      </c>
      <c r="W27">
        <v>77.980125000000001</v>
      </c>
      <c r="X27">
        <v>78.474029999999999</v>
      </c>
      <c r="Y27">
        <v>78.935935999999998</v>
      </c>
      <c r="Z27">
        <v>79.385979000000006</v>
      </c>
      <c r="AA27">
        <v>79.836296000000004</v>
      </c>
      <c r="AB27">
        <v>80.284760000000006</v>
      </c>
      <c r="AC27">
        <v>80.734145999999996</v>
      </c>
      <c r="AD27">
        <v>81.184737999999996</v>
      </c>
      <c r="AE27">
        <v>81.635727000000003</v>
      </c>
      <c r="AF27">
        <v>82.086112999999997</v>
      </c>
      <c r="AG27" s="6">
        <v>8.9999999999999993E-3</v>
      </c>
    </row>
    <row r="28" spans="1:33" x14ac:dyDescent="0.75">
      <c r="A28" t="s">
        <v>92</v>
      </c>
      <c r="B28" t="s">
        <v>569</v>
      </c>
      <c r="C28" t="s">
        <v>568</v>
      </c>
      <c r="D28" t="s">
        <v>88</v>
      </c>
      <c r="F28">
        <v>2.3288120000000001</v>
      </c>
      <c r="G28">
        <v>2.2297609999999999</v>
      </c>
      <c r="H28">
        <v>2.1372330000000002</v>
      </c>
      <c r="I28">
        <v>2.0504609999999999</v>
      </c>
      <c r="J28">
        <v>1.970477</v>
      </c>
      <c r="K28">
        <v>1.8960379999999999</v>
      </c>
      <c r="L28">
        <v>1.8306039999999999</v>
      </c>
      <c r="M28">
        <v>1.773455</v>
      </c>
      <c r="N28">
        <v>1.7249589999999999</v>
      </c>
      <c r="O28">
        <v>1.6851780000000001</v>
      </c>
      <c r="P28">
        <v>1.6544099999999999</v>
      </c>
      <c r="Q28">
        <v>1.632862</v>
      </c>
      <c r="R28">
        <v>1.6100810000000001</v>
      </c>
      <c r="S28">
        <v>1.586346</v>
      </c>
      <c r="T28">
        <v>1.561976</v>
      </c>
      <c r="U28">
        <v>1.537204</v>
      </c>
      <c r="V28">
        <v>1.5122819999999999</v>
      </c>
      <c r="W28">
        <v>1.4873860000000001</v>
      </c>
      <c r="X28">
        <v>1.4626790000000001</v>
      </c>
      <c r="Y28">
        <v>1.4382870000000001</v>
      </c>
      <c r="Z28">
        <v>1.4143269999999999</v>
      </c>
      <c r="AA28">
        <v>1.390946</v>
      </c>
      <c r="AB28">
        <v>1.368182</v>
      </c>
      <c r="AC28">
        <v>1.346109</v>
      </c>
      <c r="AD28">
        <v>1.3247599999999999</v>
      </c>
      <c r="AE28">
        <v>1.3041579999999999</v>
      </c>
      <c r="AF28">
        <v>1.284297</v>
      </c>
      <c r="AG28" s="6">
        <v>-2.3E-2</v>
      </c>
    </row>
    <row r="29" spans="1:33" x14ac:dyDescent="0.75">
      <c r="A29" t="s">
        <v>93</v>
      </c>
      <c r="B29" t="s">
        <v>567</v>
      </c>
      <c r="C29" t="s">
        <v>566</v>
      </c>
      <c r="D29" t="s">
        <v>88</v>
      </c>
      <c r="F29">
        <v>3.9946730000000001</v>
      </c>
      <c r="G29">
        <v>3.890314</v>
      </c>
      <c r="H29">
        <v>3.7962470000000001</v>
      </c>
      <c r="I29">
        <v>3.7080109999999999</v>
      </c>
      <c r="J29">
        <v>3.6263679999999998</v>
      </c>
      <c r="K29">
        <v>3.5316860000000001</v>
      </c>
      <c r="L29">
        <v>3.4475519999999999</v>
      </c>
      <c r="M29">
        <v>3.3742220000000001</v>
      </c>
      <c r="N29">
        <v>3.3114400000000002</v>
      </c>
      <c r="O29">
        <v>3.2595969999999999</v>
      </c>
      <c r="P29">
        <v>3.218467</v>
      </c>
      <c r="Q29">
        <v>3.1894399999999998</v>
      </c>
      <c r="R29">
        <v>3.1571709999999999</v>
      </c>
      <c r="S29">
        <v>3.1220840000000001</v>
      </c>
      <c r="T29">
        <v>3.0848930000000001</v>
      </c>
      <c r="U29">
        <v>3.04617</v>
      </c>
      <c r="V29">
        <v>3.0071240000000001</v>
      </c>
      <c r="W29">
        <v>2.9679280000000001</v>
      </c>
      <c r="X29">
        <v>2.9288409999999998</v>
      </c>
      <c r="Y29">
        <v>2.889926</v>
      </c>
      <c r="Z29">
        <v>2.8518140000000001</v>
      </c>
      <c r="AA29">
        <v>2.814927</v>
      </c>
      <c r="AB29">
        <v>2.7792430000000001</v>
      </c>
      <c r="AC29">
        <v>2.7452239999999999</v>
      </c>
      <c r="AD29">
        <v>2.7127650000000001</v>
      </c>
      <c r="AE29">
        <v>2.6819009999999999</v>
      </c>
      <c r="AF29">
        <v>2.6522920000000001</v>
      </c>
      <c r="AG29" s="6">
        <v>-1.6E-2</v>
      </c>
    </row>
    <row r="30" spans="1:33" x14ac:dyDescent="0.75">
      <c r="A30" t="s">
        <v>70</v>
      </c>
      <c r="B30" t="s">
        <v>565</v>
      </c>
      <c r="C30" t="s">
        <v>564</v>
      </c>
      <c r="D30" t="s">
        <v>88</v>
      </c>
      <c r="F30">
        <v>1.564945</v>
      </c>
      <c r="G30">
        <v>1.899681</v>
      </c>
      <c r="H30">
        <v>2.211646</v>
      </c>
      <c r="I30">
        <v>2.5019809999999998</v>
      </c>
      <c r="J30">
        <v>2.7914560000000002</v>
      </c>
      <c r="K30">
        <v>2.9067609999999999</v>
      </c>
      <c r="L30">
        <v>3.0289009999999998</v>
      </c>
      <c r="M30">
        <v>3.1553260000000001</v>
      </c>
      <c r="N30">
        <v>3.279312</v>
      </c>
      <c r="O30">
        <v>3.349281</v>
      </c>
      <c r="P30">
        <v>3.3885100000000001</v>
      </c>
      <c r="Q30">
        <v>3.3877120000000001</v>
      </c>
      <c r="R30">
        <v>3.389602</v>
      </c>
      <c r="S30">
        <v>3.3914620000000002</v>
      </c>
      <c r="T30">
        <v>3.3933059999999999</v>
      </c>
      <c r="U30">
        <v>3.395105</v>
      </c>
      <c r="V30">
        <v>3.3968569999999998</v>
      </c>
      <c r="W30">
        <v>3.398571</v>
      </c>
      <c r="X30">
        <v>3.4002330000000001</v>
      </c>
      <c r="Y30">
        <v>3.4018389999999998</v>
      </c>
      <c r="Z30">
        <v>3.4034949999999999</v>
      </c>
      <c r="AA30">
        <v>3.405192</v>
      </c>
      <c r="AB30">
        <v>3.40693</v>
      </c>
      <c r="AC30">
        <v>3.4087040000000002</v>
      </c>
      <c r="AD30">
        <v>3.410507</v>
      </c>
      <c r="AE30">
        <v>3.4123410000000001</v>
      </c>
      <c r="AF30">
        <v>3.4142049999999999</v>
      </c>
      <c r="AG30" s="6">
        <v>0.03</v>
      </c>
    </row>
    <row r="31" spans="1:33" x14ac:dyDescent="0.75">
      <c r="A31" t="s">
        <v>1</v>
      </c>
      <c r="B31" t="s">
        <v>563</v>
      </c>
      <c r="C31" t="s">
        <v>562</v>
      </c>
      <c r="D31" t="s">
        <v>88</v>
      </c>
      <c r="F31">
        <v>134.84877</v>
      </c>
      <c r="G31">
        <v>136.21318099999999</v>
      </c>
      <c r="H31">
        <v>137.661743</v>
      </c>
      <c r="I31">
        <v>139.12712099999999</v>
      </c>
      <c r="J31">
        <v>140.59835799999999</v>
      </c>
      <c r="K31">
        <v>142.107056</v>
      </c>
      <c r="L31">
        <v>143.61586</v>
      </c>
      <c r="M31">
        <v>145.126724</v>
      </c>
      <c r="N31">
        <v>146.62226899999999</v>
      </c>
      <c r="O31">
        <v>148.065079</v>
      </c>
      <c r="P31">
        <v>149.44313</v>
      </c>
      <c r="Q31">
        <v>150.79901100000001</v>
      </c>
      <c r="R31">
        <v>152.12529000000001</v>
      </c>
      <c r="S31">
        <v>153.39515700000001</v>
      </c>
      <c r="T31">
        <v>154.613708</v>
      </c>
      <c r="U31">
        <v>155.77615399999999</v>
      </c>
      <c r="V31">
        <v>156.89575199999999</v>
      </c>
      <c r="W31">
        <v>157.96392800000001</v>
      </c>
      <c r="X31">
        <v>158.99411000000001</v>
      </c>
      <c r="Y31">
        <v>159.98387099999999</v>
      </c>
      <c r="Z31">
        <v>160.95477299999999</v>
      </c>
      <c r="AA31">
        <v>161.92584199999999</v>
      </c>
      <c r="AB31">
        <v>162.893845</v>
      </c>
      <c r="AC31">
        <v>163.86054999999999</v>
      </c>
      <c r="AD31">
        <v>164.825928</v>
      </c>
      <c r="AE31">
        <v>165.79125999999999</v>
      </c>
      <c r="AF31">
        <v>166.753174</v>
      </c>
      <c r="AG31" s="6">
        <v>8.0000000000000002E-3</v>
      </c>
    </row>
    <row r="32" spans="1:33" x14ac:dyDescent="0.75">
      <c r="A32" t="s">
        <v>103</v>
      </c>
    </row>
    <row r="33" spans="1:33" x14ac:dyDescent="0.75">
      <c r="A33" t="s">
        <v>101</v>
      </c>
      <c r="B33" t="s">
        <v>561</v>
      </c>
      <c r="C33" t="s">
        <v>560</v>
      </c>
      <c r="D33" t="s">
        <v>88</v>
      </c>
      <c r="F33">
        <v>100.278122</v>
      </c>
      <c r="G33">
        <v>101.102592</v>
      </c>
      <c r="H33">
        <v>101.98053</v>
      </c>
      <c r="I33">
        <v>102.86320499999999</v>
      </c>
      <c r="J33">
        <v>103.745369</v>
      </c>
      <c r="K33">
        <v>104.65044399999999</v>
      </c>
      <c r="L33">
        <v>105.550758</v>
      </c>
      <c r="M33">
        <v>106.44516</v>
      </c>
      <c r="N33">
        <v>107.318939</v>
      </c>
      <c r="O33">
        <v>108.14340199999999</v>
      </c>
      <c r="P33">
        <v>108.88472</v>
      </c>
      <c r="Q33">
        <v>109.571144</v>
      </c>
      <c r="R33">
        <v>110.186699</v>
      </c>
      <c r="S33">
        <v>110.704346</v>
      </c>
      <c r="T33">
        <v>111.208107</v>
      </c>
      <c r="U33">
        <v>111.71865099999999</v>
      </c>
      <c r="V33">
        <v>112.249855</v>
      </c>
      <c r="W33">
        <v>112.808708</v>
      </c>
      <c r="X33">
        <v>113.413826</v>
      </c>
      <c r="Y33">
        <v>113.983414</v>
      </c>
      <c r="Z33">
        <v>114.533653</v>
      </c>
      <c r="AA33">
        <v>115.07654599999999</v>
      </c>
      <c r="AB33">
        <v>115.60882599999999</v>
      </c>
      <c r="AC33">
        <v>116.130173</v>
      </c>
      <c r="AD33">
        <v>116.639099</v>
      </c>
      <c r="AE33">
        <v>117.134621</v>
      </c>
      <c r="AF33">
        <v>117.61185500000001</v>
      </c>
      <c r="AG33" s="6">
        <v>6.0000000000000001E-3</v>
      </c>
    </row>
    <row r="34" spans="1:33" x14ac:dyDescent="0.75">
      <c r="A34" t="s">
        <v>102</v>
      </c>
      <c r="B34" t="s">
        <v>559</v>
      </c>
      <c r="C34" t="s">
        <v>558</v>
      </c>
      <c r="D34" t="s">
        <v>88</v>
      </c>
      <c r="F34">
        <v>53.972369999999998</v>
      </c>
      <c r="G34">
        <v>54.503726999999998</v>
      </c>
      <c r="H34">
        <v>55.061763999999997</v>
      </c>
      <c r="I34">
        <v>55.632815999999998</v>
      </c>
      <c r="J34">
        <v>56.213551000000002</v>
      </c>
      <c r="K34">
        <v>56.809649999999998</v>
      </c>
      <c r="L34">
        <v>57.412582</v>
      </c>
      <c r="M34">
        <v>58.024859999999997</v>
      </c>
      <c r="N34">
        <v>58.644409000000003</v>
      </c>
      <c r="O34">
        <v>59.262939000000003</v>
      </c>
      <c r="P34">
        <v>59.903132999999997</v>
      </c>
      <c r="Q34">
        <v>60.579704</v>
      </c>
      <c r="R34">
        <v>61.301079000000001</v>
      </c>
      <c r="S34">
        <v>62.067855999999999</v>
      </c>
      <c r="T34">
        <v>62.795506000000003</v>
      </c>
      <c r="U34">
        <v>63.458030999999998</v>
      </c>
      <c r="V34">
        <v>64.053505000000001</v>
      </c>
      <c r="W34">
        <v>64.565849</v>
      </c>
      <c r="X34">
        <v>64.989624000000006</v>
      </c>
      <c r="Y34">
        <v>65.410422999999994</v>
      </c>
      <c r="Z34">
        <v>65.833290000000005</v>
      </c>
      <c r="AA34">
        <v>66.264915000000002</v>
      </c>
      <c r="AB34">
        <v>66.705817999999994</v>
      </c>
      <c r="AC34">
        <v>67.157866999999996</v>
      </c>
      <c r="AD34">
        <v>67.622642999999997</v>
      </c>
      <c r="AE34">
        <v>68.102385999999996</v>
      </c>
      <c r="AF34">
        <v>68.598465000000004</v>
      </c>
      <c r="AG34" s="6">
        <v>8.9999999999999993E-3</v>
      </c>
    </row>
    <row r="35" spans="1:33" x14ac:dyDescent="0.75">
      <c r="A35" t="s">
        <v>93</v>
      </c>
      <c r="B35" t="s">
        <v>557</v>
      </c>
      <c r="C35" t="s">
        <v>556</v>
      </c>
      <c r="D35" t="s">
        <v>88</v>
      </c>
      <c r="F35">
        <v>6.2497920000000002</v>
      </c>
      <c r="G35">
        <v>6.2491399999999997</v>
      </c>
      <c r="H35">
        <v>6.2527059999999999</v>
      </c>
      <c r="I35">
        <v>6.2554980000000002</v>
      </c>
      <c r="J35">
        <v>6.2551610000000002</v>
      </c>
      <c r="K35">
        <v>6.2540430000000002</v>
      </c>
      <c r="L35">
        <v>6.2512809999999996</v>
      </c>
      <c r="M35">
        <v>6.2471810000000003</v>
      </c>
      <c r="N35">
        <v>6.2412419999999997</v>
      </c>
      <c r="O35">
        <v>6.2331770000000004</v>
      </c>
      <c r="P35">
        <v>6.2218739999999997</v>
      </c>
      <c r="Q35">
        <v>6.2071079999999998</v>
      </c>
      <c r="R35">
        <v>6.1889000000000003</v>
      </c>
      <c r="S35">
        <v>6.166887</v>
      </c>
      <c r="T35">
        <v>6.1467599999999996</v>
      </c>
      <c r="U35">
        <v>6.1289179999999996</v>
      </c>
      <c r="V35">
        <v>6.1148509999999998</v>
      </c>
      <c r="W35">
        <v>6.1049769999999999</v>
      </c>
      <c r="X35">
        <v>6.099405</v>
      </c>
      <c r="Y35">
        <v>6.0921519999999996</v>
      </c>
      <c r="Z35">
        <v>6.0834679999999999</v>
      </c>
      <c r="AA35">
        <v>6.0735400000000004</v>
      </c>
      <c r="AB35">
        <v>6.0620159999999998</v>
      </c>
      <c r="AC35">
        <v>6.049131</v>
      </c>
      <c r="AD35">
        <v>6.0346979999999997</v>
      </c>
      <c r="AE35">
        <v>6.0188639999999998</v>
      </c>
      <c r="AF35">
        <v>6.0015609999999997</v>
      </c>
      <c r="AG35" s="6">
        <v>-2E-3</v>
      </c>
    </row>
    <row r="36" spans="1:33" x14ac:dyDescent="0.75">
      <c r="A36" t="s">
        <v>1</v>
      </c>
      <c r="B36" t="s">
        <v>555</v>
      </c>
      <c r="C36" t="s">
        <v>554</v>
      </c>
      <c r="D36" t="s">
        <v>88</v>
      </c>
      <c r="F36">
        <v>160.50027499999999</v>
      </c>
      <c r="G36">
        <v>161.855469</v>
      </c>
      <c r="H36">
        <v>163.29499799999999</v>
      </c>
      <c r="I36">
        <v>164.75151099999999</v>
      </c>
      <c r="J36">
        <v>166.21408099999999</v>
      </c>
      <c r="K36">
        <v>167.71414200000001</v>
      </c>
      <c r="L36">
        <v>169.21463</v>
      </c>
      <c r="M36">
        <v>170.71719400000001</v>
      </c>
      <c r="N36">
        <v>172.20459</v>
      </c>
      <c r="O36">
        <v>173.63952599999999</v>
      </c>
      <c r="P36">
        <v>175.00973500000001</v>
      </c>
      <c r="Q36">
        <v>176.357956</v>
      </c>
      <c r="R36">
        <v>177.676682</v>
      </c>
      <c r="S36">
        <v>178.939087</v>
      </c>
      <c r="T36">
        <v>180.150375</v>
      </c>
      <c r="U36">
        <v>181.30560299999999</v>
      </c>
      <c r="V36">
        <v>182.41821300000001</v>
      </c>
      <c r="W36">
        <v>183.47953799999999</v>
      </c>
      <c r="X36">
        <v>184.50285299999999</v>
      </c>
      <c r="Y36">
        <v>185.48597699999999</v>
      </c>
      <c r="Z36">
        <v>186.45040900000001</v>
      </c>
      <c r="AA36">
        <v>187.415009</v>
      </c>
      <c r="AB36">
        <v>188.37664799999999</v>
      </c>
      <c r="AC36">
        <v>189.33717300000001</v>
      </c>
      <c r="AD36">
        <v>190.296448</v>
      </c>
      <c r="AE36">
        <v>191.25585899999999</v>
      </c>
      <c r="AF36">
        <v>192.211884</v>
      </c>
      <c r="AG36" s="6">
        <v>7.0000000000000001E-3</v>
      </c>
    </row>
    <row r="37" spans="1:33" x14ac:dyDescent="0.75">
      <c r="A37" t="s">
        <v>104</v>
      </c>
    </row>
    <row r="38" spans="1:33" x14ac:dyDescent="0.75">
      <c r="A38" t="s">
        <v>101</v>
      </c>
      <c r="B38" t="s">
        <v>553</v>
      </c>
      <c r="C38" t="s">
        <v>552</v>
      </c>
      <c r="D38" t="s">
        <v>88</v>
      </c>
      <c r="F38">
        <v>92.221107000000003</v>
      </c>
      <c r="G38">
        <v>94.908974000000001</v>
      </c>
      <c r="H38">
        <v>97.661568000000003</v>
      </c>
      <c r="I38">
        <v>100.444298</v>
      </c>
      <c r="J38">
        <v>103.246483</v>
      </c>
      <c r="K38">
        <v>106.05999</v>
      </c>
      <c r="L38">
        <v>108.873177</v>
      </c>
      <c r="M38">
        <v>111.66229199999999</v>
      </c>
      <c r="N38">
        <v>114.413849</v>
      </c>
      <c r="O38">
        <v>117.12387099999999</v>
      </c>
      <c r="P38">
        <v>119.780914</v>
      </c>
      <c r="Q38">
        <v>122.4272</v>
      </c>
      <c r="R38">
        <v>125.052719</v>
      </c>
      <c r="S38">
        <v>127.63446</v>
      </c>
      <c r="T38">
        <v>130.176163</v>
      </c>
      <c r="U38">
        <v>132.67475899999999</v>
      </c>
      <c r="V38">
        <v>135.14604199999999</v>
      </c>
      <c r="W38">
        <v>137.59196499999999</v>
      </c>
      <c r="X38">
        <v>139.98710600000001</v>
      </c>
      <c r="Y38">
        <v>142.33012400000001</v>
      </c>
      <c r="Z38">
        <v>144.64094499999999</v>
      </c>
      <c r="AA38">
        <v>146.94053600000001</v>
      </c>
      <c r="AB38">
        <v>149.23036200000001</v>
      </c>
      <c r="AC38">
        <v>151.51019299999999</v>
      </c>
      <c r="AD38">
        <v>153.78225699999999</v>
      </c>
      <c r="AE38">
        <v>156.04994199999999</v>
      </c>
      <c r="AF38">
        <v>158.30891399999999</v>
      </c>
      <c r="AG38" s="6">
        <v>2.1000000000000001E-2</v>
      </c>
    </row>
    <row r="39" spans="1:33" x14ac:dyDescent="0.75">
      <c r="A39" t="s">
        <v>102</v>
      </c>
      <c r="B39" t="s">
        <v>551</v>
      </c>
      <c r="C39" t="s">
        <v>550</v>
      </c>
      <c r="D39" t="s">
        <v>88</v>
      </c>
      <c r="F39">
        <v>20.353802000000002</v>
      </c>
      <c r="G39">
        <v>20.727464999999999</v>
      </c>
      <c r="H39">
        <v>21.108975999999998</v>
      </c>
      <c r="I39">
        <v>21.498467999999999</v>
      </c>
      <c r="J39">
        <v>21.905369</v>
      </c>
      <c r="K39">
        <v>22.331651999999998</v>
      </c>
      <c r="L39">
        <v>22.776668999999998</v>
      </c>
      <c r="M39">
        <v>23.246670000000002</v>
      </c>
      <c r="N39">
        <v>23.740404000000002</v>
      </c>
      <c r="O39">
        <v>24.225313</v>
      </c>
      <c r="P39">
        <v>24.699818</v>
      </c>
      <c r="Q39">
        <v>25.166246000000001</v>
      </c>
      <c r="R39">
        <v>25.623446000000001</v>
      </c>
      <c r="S39">
        <v>26.068548</v>
      </c>
      <c r="T39">
        <v>26.501984</v>
      </c>
      <c r="U39">
        <v>26.919896999999999</v>
      </c>
      <c r="V39">
        <v>27.319825999999999</v>
      </c>
      <c r="W39">
        <v>27.699757000000002</v>
      </c>
      <c r="X39">
        <v>28.090371999999999</v>
      </c>
      <c r="Y39">
        <v>28.489045999999998</v>
      </c>
      <c r="Z39">
        <v>28.897078</v>
      </c>
      <c r="AA39">
        <v>29.315380000000001</v>
      </c>
      <c r="AB39">
        <v>29.741956999999999</v>
      </c>
      <c r="AC39">
        <v>30.175975999999999</v>
      </c>
      <c r="AD39">
        <v>30.615866</v>
      </c>
      <c r="AE39">
        <v>31.060276000000002</v>
      </c>
      <c r="AF39">
        <v>31.508205</v>
      </c>
      <c r="AG39" s="6">
        <v>1.7000000000000001E-2</v>
      </c>
    </row>
    <row r="40" spans="1:33" x14ac:dyDescent="0.75">
      <c r="A40" t="s">
        <v>1</v>
      </c>
      <c r="B40" t="s">
        <v>549</v>
      </c>
      <c r="C40" t="s">
        <v>548</v>
      </c>
      <c r="D40" t="s">
        <v>88</v>
      </c>
      <c r="F40">
        <v>112.574905</v>
      </c>
      <c r="G40">
        <v>115.636436</v>
      </c>
      <c r="H40">
        <v>118.770546</v>
      </c>
      <c r="I40">
        <v>121.942764</v>
      </c>
      <c r="J40">
        <v>125.151855</v>
      </c>
      <c r="K40">
        <v>128.39164700000001</v>
      </c>
      <c r="L40">
        <v>131.64984100000001</v>
      </c>
      <c r="M40">
        <v>134.90896599999999</v>
      </c>
      <c r="N40">
        <v>138.15425099999999</v>
      </c>
      <c r="O40">
        <v>141.34918200000001</v>
      </c>
      <c r="P40">
        <v>144.480728</v>
      </c>
      <c r="Q40">
        <v>147.593445</v>
      </c>
      <c r="R40">
        <v>150.676163</v>
      </c>
      <c r="S40">
        <v>153.703003</v>
      </c>
      <c r="T40">
        <v>156.678146</v>
      </c>
      <c r="U40">
        <v>159.59465</v>
      </c>
      <c r="V40">
        <v>162.46586600000001</v>
      </c>
      <c r="W40">
        <v>165.291718</v>
      </c>
      <c r="X40">
        <v>168.077484</v>
      </c>
      <c r="Y40">
        <v>170.81916799999999</v>
      </c>
      <c r="Z40">
        <v>173.538025</v>
      </c>
      <c r="AA40">
        <v>176.25592</v>
      </c>
      <c r="AB40">
        <v>178.97232099999999</v>
      </c>
      <c r="AC40">
        <v>181.686172</v>
      </c>
      <c r="AD40">
        <v>184.39811700000001</v>
      </c>
      <c r="AE40">
        <v>187.11021400000001</v>
      </c>
      <c r="AF40">
        <v>189.81712300000001</v>
      </c>
      <c r="AG40" s="6">
        <v>0.02</v>
      </c>
    </row>
    <row r="41" spans="1:33" x14ac:dyDescent="0.75">
      <c r="A41" t="s">
        <v>105</v>
      </c>
    </row>
    <row r="42" spans="1:33" x14ac:dyDescent="0.75">
      <c r="A42" t="s">
        <v>106</v>
      </c>
      <c r="B42" t="s">
        <v>547</v>
      </c>
      <c r="C42" t="s">
        <v>546</v>
      </c>
      <c r="D42" t="s">
        <v>88</v>
      </c>
      <c r="F42">
        <v>185.51213100000001</v>
      </c>
      <c r="G42">
        <v>187.57015999999999</v>
      </c>
      <c r="H42">
        <v>189.72297699999999</v>
      </c>
      <c r="I42">
        <v>191.892639</v>
      </c>
      <c r="J42">
        <v>194.05687</v>
      </c>
      <c r="K42">
        <v>196.26173399999999</v>
      </c>
      <c r="L42">
        <v>198.461578</v>
      </c>
      <c r="M42">
        <v>200.66261299999999</v>
      </c>
      <c r="N42">
        <v>202.84565699999999</v>
      </c>
      <c r="O42">
        <v>204.960297</v>
      </c>
      <c r="P42">
        <v>206.98817399999999</v>
      </c>
      <c r="Q42">
        <v>208.988495</v>
      </c>
      <c r="R42">
        <v>210.94859299999999</v>
      </c>
      <c r="S42">
        <v>212.83372499999999</v>
      </c>
      <c r="T42">
        <v>214.64849899999999</v>
      </c>
      <c r="U42">
        <v>216.38301100000001</v>
      </c>
      <c r="V42">
        <v>218.05542</v>
      </c>
      <c r="W42">
        <v>219.65475499999999</v>
      </c>
      <c r="X42">
        <v>221.20091199999999</v>
      </c>
      <c r="Y42">
        <v>222.68464700000001</v>
      </c>
      <c r="Z42">
        <v>224.13630699999999</v>
      </c>
      <c r="AA42">
        <v>225.58776900000001</v>
      </c>
      <c r="AB42">
        <v>227.03428600000001</v>
      </c>
      <c r="AC42">
        <v>228.47901899999999</v>
      </c>
      <c r="AD42">
        <v>229.92160000000001</v>
      </c>
      <c r="AE42">
        <v>231.36346399999999</v>
      </c>
      <c r="AF42">
        <v>232.79994199999999</v>
      </c>
      <c r="AG42" s="6">
        <v>8.9999999999999993E-3</v>
      </c>
    </row>
    <row r="43" spans="1:33" x14ac:dyDescent="0.75">
      <c r="A43" t="s">
        <v>107</v>
      </c>
      <c r="B43" t="s">
        <v>545</v>
      </c>
      <c r="C43" t="s">
        <v>544</v>
      </c>
      <c r="D43" t="s">
        <v>88</v>
      </c>
      <c r="F43">
        <v>48.421523999999998</v>
      </c>
      <c r="G43">
        <v>48.897556000000002</v>
      </c>
      <c r="H43">
        <v>49.389957000000003</v>
      </c>
      <c r="I43">
        <v>49.883246999999997</v>
      </c>
      <c r="J43">
        <v>50.367457999999999</v>
      </c>
      <c r="K43">
        <v>50.854793999999998</v>
      </c>
      <c r="L43">
        <v>51.338000999999998</v>
      </c>
      <c r="M43">
        <v>51.821067999999997</v>
      </c>
      <c r="N43">
        <v>52.302494000000003</v>
      </c>
      <c r="O43">
        <v>52.772449000000002</v>
      </c>
      <c r="P43">
        <v>53.225802999999999</v>
      </c>
      <c r="Q43">
        <v>53.674511000000003</v>
      </c>
      <c r="R43">
        <v>54.115622999999999</v>
      </c>
      <c r="S43">
        <v>54.542957000000001</v>
      </c>
      <c r="T43">
        <v>54.956287000000003</v>
      </c>
      <c r="U43">
        <v>55.352367000000001</v>
      </c>
      <c r="V43">
        <v>55.735515999999997</v>
      </c>
      <c r="W43">
        <v>56.103614999999998</v>
      </c>
      <c r="X43">
        <v>56.460856999999997</v>
      </c>
      <c r="Y43">
        <v>56.802979000000001</v>
      </c>
      <c r="Z43">
        <v>57.136333</v>
      </c>
      <c r="AA43">
        <v>57.469645999999997</v>
      </c>
      <c r="AB43">
        <v>57.801506000000003</v>
      </c>
      <c r="AC43">
        <v>58.133105999999998</v>
      </c>
      <c r="AD43">
        <v>58.464126999999998</v>
      </c>
      <c r="AE43">
        <v>58.794894999999997</v>
      </c>
      <c r="AF43">
        <v>59.124156999999997</v>
      </c>
      <c r="AG43" s="6">
        <v>8.0000000000000002E-3</v>
      </c>
    </row>
    <row r="44" spans="1:33" x14ac:dyDescent="0.75">
      <c r="A44" t="s">
        <v>108</v>
      </c>
    </row>
    <row r="45" spans="1:33" x14ac:dyDescent="0.75">
      <c r="A45" t="s">
        <v>86</v>
      </c>
    </row>
    <row r="46" spans="1:33" x14ac:dyDescent="0.75">
      <c r="A46" t="s">
        <v>109</v>
      </c>
      <c r="B46" t="s">
        <v>543</v>
      </c>
      <c r="C46" t="s">
        <v>542</v>
      </c>
      <c r="D46" t="s">
        <v>110</v>
      </c>
      <c r="F46">
        <v>8.3015749999999997</v>
      </c>
      <c r="G46">
        <v>8.4117829999999998</v>
      </c>
      <c r="H46">
        <v>8.5242609999999992</v>
      </c>
      <c r="I46">
        <v>8.6396730000000002</v>
      </c>
      <c r="J46">
        <v>8.7591149999999995</v>
      </c>
      <c r="K46">
        <v>8.8707279999999997</v>
      </c>
      <c r="L46">
        <v>8.974126</v>
      </c>
      <c r="M46">
        <v>9.0690150000000003</v>
      </c>
      <c r="N46">
        <v>9.1557250000000003</v>
      </c>
      <c r="O46">
        <v>9.2265060000000005</v>
      </c>
      <c r="P46">
        <v>9.2895909999999997</v>
      </c>
      <c r="Q46">
        <v>9.3448089999999997</v>
      </c>
      <c r="R46">
        <v>9.3924570000000003</v>
      </c>
      <c r="S46">
        <v>9.4328009999999995</v>
      </c>
      <c r="T46">
        <v>9.4657739999999997</v>
      </c>
      <c r="U46">
        <v>9.4915289999999999</v>
      </c>
      <c r="V46">
        <v>9.5116619999999994</v>
      </c>
      <c r="W46">
        <v>9.5233550000000005</v>
      </c>
      <c r="X46">
        <v>9.5257579999999997</v>
      </c>
      <c r="Y46">
        <v>9.5284410000000008</v>
      </c>
      <c r="Z46">
        <v>9.5312710000000003</v>
      </c>
      <c r="AA46">
        <v>9.5340980000000002</v>
      </c>
      <c r="AB46">
        <v>9.5369150000000005</v>
      </c>
      <c r="AC46">
        <v>9.5396990000000006</v>
      </c>
      <c r="AD46">
        <v>9.5424229999999994</v>
      </c>
      <c r="AE46">
        <v>9.5450660000000003</v>
      </c>
      <c r="AF46">
        <v>9.5476329999999994</v>
      </c>
      <c r="AG46" s="6">
        <v>5.0000000000000001E-3</v>
      </c>
    </row>
    <row r="47" spans="1:33" x14ac:dyDescent="0.75">
      <c r="A47" t="s">
        <v>111</v>
      </c>
      <c r="B47" t="s">
        <v>541</v>
      </c>
      <c r="C47" t="s">
        <v>540</v>
      </c>
      <c r="D47" t="s">
        <v>112</v>
      </c>
      <c r="F47">
        <v>1.3</v>
      </c>
      <c r="G47">
        <v>1.3</v>
      </c>
      <c r="H47">
        <v>1.3</v>
      </c>
      <c r="I47">
        <v>1.3</v>
      </c>
      <c r="J47">
        <v>1.3</v>
      </c>
      <c r="K47">
        <v>1.3</v>
      </c>
      <c r="L47">
        <v>1.3</v>
      </c>
      <c r="M47">
        <v>1.3</v>
      </c>
      <c r="N47">
        <v>1.3</v>
      </c>
      <c r="O47">
        <v>1.3</v>
      </c>
      <c r="P47">
        <v>1.3</v>
      </c>
      <c r="Q47">
        <v>1.3</v>
      </c>
      <c r="R47">
        <v>1.3</v>
      </c>
      <c r="S47">
        <v>1.3</v>
      </c>
      <c r="T47">
        <v>1.3</v>
      </c>
      <c r="U47">
        <v>1.3</v>
      </c>
      <c r="V47">
        <v>1.3</v>
      </c>
      <c r="W47">
        <v>1.3</v>
      </c>
      <c r="X47">
        <v>1.3</v>
      </c>
      <c r="Y47">
        <v>1.3</v>
      </c>
      <c r="Z47">
        <v>1.3</v>
      </c>
      <c r="AA47">
        <v>1.3</v>
      </c>
      <c r="AB47">
        <v>1.3</v>
      </c>
      <c r="AC47">
        <v>1.3</v>
      </c>
      <c r="AD47">
        <v>1.3</v>
      </c>
      <c r="AE47">
        <v>1.3</v>
      </c>
      <c r="AF47">
        <v>1.3</v>
      </c>
      <c r="AG47" s="6">
        <v>0</v>
      </c>
    </row>
    <row r="48" spans="1:33" x14ac:dyDescent="0.75">
      <c r="A48" t="s">
        <v>113</v>
      </c>
      <c r="B48" t="s">
        <v>539</v>
      </c>
      <c r="C48" t="s">
        <v>538</v>
      </c>
      <c r="D48" t="s">
        <v>114</v>
      </c>
      <c r="F48">
        <v>3.1980179999999998</v>
      </c>
      <c r="G48">
        <v>3.2298360000000002</v>
      </c>
      <c r="H48">
        <v>3.2606570000000001</v>
      </c>
      <c r="I48">
        <v>3.2903829999999998</v>
      </c>
      <c r="J48">
        <v>3.3189289999999998</v>
      </c>
      <c r="K48">
        <v>3.3464049999999999</v>
      </c>
      <c r="L48">
        <v>3.3728039999999999</v>
      </c>
      <c r="M48">
        <v>3.3982709999999998</v>
      </c>
      <c r="N48">
        <v>3.4217919999999999</v>
      </c>
      <c r="O48">
        <v>3.4418000000000002</v>
      </c>
      <c r="P48">
        <v>3.4592320000000001</v>
      </c>
      <c r="Q48">
        <v>3.469077</v>
      </c>
      <c r="R48">
        <v>3.477528</v>
      </c>
      <c r="S48">
        <v>3.485055</v>
      </c>
      <c r="T48">
        <v>3.4917150000000001</v>
      </c>
      <c r="U48">
        <v>3.4976020000000001</v>
      </c>
      <c r="V48">
        <v>3.5028269999999999</v>
      </c>
      <c r="W48">
        <v>3.5072960000000002</v>
      </c>
      <c r="X48">
        <v>3.5110809999999999</v>
      </c>
      <c r="Y48">
        <v>3.5141840000000002</v>
      </c>
      <c r="Z48">
        <v>3.5166650000000002</v>
      </c>
      <c r="AA48">
        <v>3.5184199999999999</v>
      </c>
      <c r="AB48">
        <v>3.5196239999999999</v>
      </c>
      <c r="AC48">
        <v>3.5202610000000001</v>
      </c>
      <c r="AD48">
        <v>3.5203120000000001</v>
      </c>
      <c r="AE48">
        <v>3.5199310000000001</v>
      </c>
      <c r="AF48">
        <v>3.519072</v>
      </c>
      <c r="AG48" s="6">
        <v>4.0000000000000001E-3</v>
      </c>
    </row>
    <row r="49" spans="1:33" x14ac:dyDescent="0.75">
      <c r="A49" t="s">
        <v>115</v>
      </c>
      <c r="B49" t="s">
        <v>537</v>
      </c>
      <c r="C49" t="s">
        <v>536</v>
      </c>
      <c r="D49" t="s">
        <v>116</v>
      </c>
      <c r="F49">
        <v>0.81869000000000003</v>
      </c>
      <c r="G49">
        <v>0.82376499999999997</v>
      </c>
      <c r="H49">
        <v>0.82883799999999996</v>
      </c>
      <c r="I49">
        <v>0.83387900000000004</v>
      </c>
      <c r="J49">
        <v>0.83890600000000004</v>
      </c>
      <c r="K49">
        <v>0.84789700000000001</v>
      </c>
      <c r="L49">
        <v>0.85755800000000004</v>
      </c>
      <c r="M49">
        <v>0.86722600000000005</v>
      </c>
      <c r="N49">
        <v>0.87631700000000001</v>
      </c>
      <c r="O49">
        <v>0.88464299999999996</v>
      </c>
      <c r="P49">
        <v>0.89239999999999997</v>
      </c>
      <c r="Q49">
        <v>0.89957799999999999</v>
      </c>
      <c r="R49">
        <v>0.90626099999999998</v>
      </c>
      <c r="S49">
        <v>0.91242199999999996</v>
      </c>
      <c r="T49">
        <v>0.91810099999999994</v>
      </c>
      <c r="U49">
        <v>0.92328900000000003</v>
      </c>
      <c r="V49">
        <v>0.92801299999999998</v>
      </c>
      <c r="W49">
        <v>0.93226600000000004</v>
      </c>
      <c r="X49">
        <v>0.93608599999999997</v>
      </c>
      <c r="Y49">
        <v>0.939438</v>
      </c>
      <c r="Z49">
        <v>0.94230899999999995</v>
      </c>
      <c r="AA49">
        <v>0.944658</v>
      </c>
      <c r="AB49">
        <v>0.94646699999999995</v>
      </c>
      <c r="AC49">
        <v>0.948268</v>
      </c>
      <c r="AD49">
        <v>0.95002399999999998</v>
      </c>
      <c r="AE49">
        <v>0.95170399999999999</v>
      </c>
      <c r="AF49">
        <v>0.95327700000000004</v>
      </c>
      <c r="AG49" s="6">
        <v>6.0000000000000001E-3</v>
      </c>
    </row>
    <row r="50" spans="1:33" x14ac:dyDescent="0.75">
      <c r="A50" t="s">
        <v>117</v>
      </c>
      <c r="B50" t="s">
        <v>535</v>
      </c>
      <c r="C50" t="s">
        <v>534</v>
      </c>
      <c r="D50" t="s">
        <v>116</v>
      </c>
      <c r="F50">
        <v>0.83582100000000004</v>
      </c>
      <c r="G50">
        <v>0.83736999999999995</v>
      </c>
      <c r="H50">
        <v>0.83893399999999996</v>
      </c>
      <c r="I50">
        <v>0.84047899999999998</v>
      </c>
      <c r="J50">
        <v>0.84198799999999996</v>
      </c>
      <c r="K50">
        <v>0.84346500000000002</v>
      </c>
      <c r="L50">
        <v>0.84493399999999996</v>
      </c>
      <c r="M50">
        <v>0.84641200000000005</v>
      </c>
      <c r="N50">
        <v>0.84782100000000005</v>
      </c>
      <c r="O50">
        <v>0.84907299999999997</v>
      </c>
      <c r="P50">
        <v>0.85023499999999996</v>
      </c>
      <c r="Q50">
        <v>0.85128599999999999</v>
      </c>
      <c r="R50">
        <v>0.85225200000000001</v>
      </c>
      <c r="S50">
        <v>0.85311000000000003</v>
      </c>
      <c r="T50">
        <v>0.85387800000000003</v>
      </c>
      <c r="U50">
        <v>0.85455499999999995</v>
      </c>
      <c r="V50">
        <v>0.85513799999999995</v>
      </c>
      <c r="W50">
        <v>0.85562499999999997</v>
      </c>
      <c r="X50">
        <v>0.85601799999999995</v>
      </c>
      <c r="Y50">
        <v>0.85631400000000002</v>
      </c>
      <c r="Z50">
        <v>0.85650599999999999</v>
      </c>
      <c r="AA50">
        <v>0.85658599999999996</v>
      </c>
      <c r="AB50">
        <v>0.856572</v>
      </c>
      <c r="AC50">
        <v>0.85655800000000004</v>
      </c>
      <c r="AD50">
        <v>0.856545</v>
      </c>
      <c r="AE50">
        <v>0.85653199999999996</v>
      </c>
      <c r="AF50">
        <v>0.85651900000000003</v>
      </c>
      <c r="AG50" s="6">
        <v>1E-3</v>
      </c>
    </row>
    <row r="51" spans="1:33" x14ac:dyDescent="0.75">
      <c r="A51" t="s">
        <v>118</v>
      </c>
    </row>
    <row r="52" spans="1:33" x14ac:dyDescent="0.75">
      <c r="A52" t="s">
        <v>119</v>
      </c>
      <c r="B52" t="s">
        <v>533</v>
      </c>
      <c r="C52" t="s">
        <v>532</v>
      </c>
      <c r="D52" t="s">
        <v>120</v>
      </c>
      <c r="F52">
        <v>13.990335</v>
      </c>
      <c r="G52">
        <v>14.225822000000001</v>
      </c>
      <c r="H52">
        <v>14.465521000000001</v>
      </c>
      <c r="I52">
        <v>14.710986</v>
      </c>
      <c r="J52">
        <v>14.964726000000001</v>
      </c>
      <c r="K52">
        <v>15.201395</v>
      </c>
      <c r="L52">
        <v>15.42023</v>
      </c>
      <c r="M52">
        <v>15.620710000000001</v>
      </c>
      <c r="N52">
        <v>15.803606</v>
      </c>
      <c r="O52">
        <v>15.951933</v>
      </c>
      <c r="P52">
        <v>16.083611999999999</v>
      </c>
      <c r="Q52">
        <v>16.198575999999999</v>
      </c>
      <c r="R52">
        <v>16.297474000000001</v>
      </c>
      <c r="S52">
        <v>16.380913</v>
      </c>
      <c r="T52">
        <v>16.448741999999999</v>
      </c>
      <c r="U52">
        <v>16.501339000000002</v>
      </c>
      <c r="V52">
        <v>16.546972</v>
      </c>
      <c r="W52">
        <v>16.574265</v>
      </c>
      <c r="X52">
        <v>16.581530000000001</v>
      </c>
      <c r="Y52">
        <v>16.589703</v>
      </c>
      <c r="Z52">
        <v>16.598382999999998</v>
      </c>
      <c r="AA52">
        <v>16.607206000000001</v>
      </c>
      <c r="AB52">
        <v>16.616085000000002</v>
      </c>
      <c r="AC52">
        <v>16.624941</v>
      </c>
      <c r="AD52">
        <v>16.633641999999998</v>
      </c>
      <c r="AE52">
        <v>16.642115</v>
      </c>
      <c r="AF52">
        <v>16.650321999999999</v>
      </c>
      <c r="AG52" s="6">
        <v>7.0000000000000001E-3</v>
      </c>
    </row>
    <row r="53" spans="1:33" x14ac:dyDescent="0.75">
      <c r="A53" t="s">
        <v>111</v>
      </c>
      <c r="B53" t="s">
        <v>531</v>
      </c>
      <c r="C53" t="s">
        <v>530</v>
      </c>
      <c r="D53" t="s">
        <v>112</v>
      </c>
      <c r="F53">
        <v>0.62333899999999998</v>
      </c>
      <c r="G53">
        <v>0.62898399999999999</v>
      </c>
      <c r="H53">
        <v>0.63492199999999999</v>
      </c>
      <c r="I53">
        <v>0.64126799999999995</v>
      </c>
      <c r="J53">
        <v>0.64812000000000003</v>
      </c>
      <c r="K53">
        <v>0.65468099999999996</v>
      </c>
      <c r="L53">
        <v>0.66091200000000005</v>
      </c>
      <c r="M53">
        <v>0.66676400000000002</v>
      </c>
      <c r="N53">
        <v>0.672238</v>
      </c>
      <c r="O53">
        <v>0.677284</v>
      </c>
      <c r="P53">
        <v>0.68191199999999996</v>
      </c>
      <c r="Q53">
        <v>0.68607399999999996</v>
      </c>
      <c r="R53">
        <v>0.68975900000000001</v>
      </c>
      <c r="S53">
        <v>0.69294900000000004</v>
      </c>
      <c r="T53">
        <v>0.695604</v>
      </c>
      <c r="U53">
        <v>0.69770399999999999</v>
      </c>
      <c r="V53">
        <v>0.69920199999999999</v>
      </c>
      <c r="W53">
        <v>0.7</v>
      </c>
      <c r="X53">
        <v>0.7</v>
      </c>
      <c r="Y53">
        <v>0.7</v>
      </c>
      <c r="Z53">
        <v>0.7</v>
      </c>
      <c r="AA53">
        <v>0.7</v>
      </c>
      <c r="AB53">
        <v>0.7</v>
      </c>
      <c r="AC53">
        <v>0.7</v>
      </c>
      <c r="AD53">
        <v>0.7</v>
      </c>
      <c r="AE53">
        <v>0.7</v>
      </c>
      <c r="AF53">
        <v>0.7</v>
      </c>
      <c r="AG53" s="6">
        <v>4.0000000000000001E-3</v>
      </c>
    </row>
    <row r="54" spans="1:33" x14ac:dyDescent="0.75">
      <c r="A54" t="s">
        <v>121</v>
      </c>
      <c r="B54" t="s">
        <v>529</v>
      </c>
      <c r="C54" t="s">
        <v>528</v>
      </c>
      <c r="D54" t="s">
        <v>122</v>
      </c>
      <c r="F54">
        <v>13.993668</v>
      </c>
      <c r="G54">
        <v>14.221729</v>
      </c>
      <c r="H54">
        <v>14.442513999999999</v>
      </c>
      <c r="I54">
        <v>14.655156</v>
      </c>
      <c r="J54">
        <v>14.858943</v>
      </c>
      <c r="K54">
        <v>15.054792000000001</v>
      </c>
      <c r="L54">
        <v>15.242620000000001</v>
      </c>
      <c r="M54">
        <v>15.423491</v>
      </c>
      <c r="N54">
        <v>15.590322</v>
      </c>
      <c r="O54">
        <v>15.732929</v>
      </c>
      <c r="P54">
        <v>15.857524</v>
      </c>
      <c r="Q54">
        <v>15.92991</v>
      </c>
      <c r="R54">
        <v>15.991645999999999</v>
      </c>
      <c r="S54">
        <v>16.046742999999999</v>
      </c>
      <c r="T54">
        <v>16.095617000000001</v>
      </c>
      <c r="U54">
        <v>16.138884999999998</v>
      </c>
      <c r="V54">
        <v>16.177298</v>
      </c>
      <c r="W54">
        <v>16.210196</v>
      </c>
      <c r="X54">
        <v>16.238112999999998</v>
      </c>
      <c r="Y54">
        <v>16.261043999999998</v>
      </c>
      <c r="Z54">
        <v>16.279423000000001</v>
      </c>
      <c r="AA54">
        <v>16.292555</v>
      </c>
      <c r="AB54">
        <v>16.301682</v>
      </c>
      <c r="AC54">
        <v>16.306694</v>
      </c>
      <c r="AD54">
        <v>16.307490999999999</v>
      </c>
      <c r="AE54">
        <v>16.305126000000001</v>
      </c>
      <c r="AF54">
        <v>16.299299000000001</v>
      </c>
      <c r="AG54" s="6">
        <v>6.0000000000000001E-3</v>
      </c>
    </row>
    <row r="55" spans="1:33" x14ac:dyDescent="0.75">
      <c r="A55" t="s">
        <v>123</v>
      </c>
      <c r="B55" t="s">
        <v>527</v>
      </c>
      <c r="C55" t="s">
        <v>526</v>
      </c>
      <c r="D55" t="s">
        <v>120</v>
      </c>
      <c r="F55">
        <v>13.469367999999999</v>
      </c>
      <c r="G55">
        <v>13.760479999999999</v>
      </c>
      <c r="H55">
        <v>14.051945</v>
      </c>
      <c r="I55">
        <v>14.34586</v>
      </c>
      <c r="J55">
        <v>14.645688</v>
      </c>
      <c r="K55">
        <v>14.925357</v>
      </c>
      <c r="L55">
        <v>15.18473</v>
      </c>
      <c r="M55">
        <v>15.422160999999999</v>
      </c>
      <c r="N55">
        <v>15.637525</v>
      </c>
      <c r="O55">
        <v>15.709616</v>
      </c>
      <c r="P55">
        <v>15.752591000000001</v>
      </c>
      <c r="Q55">
        <v>15.78285</v>
      </c>
      <c r="R55">
        <v>15.799917000000001</v>
      </c>
      <c r="S55">
        <v>15.80462</v>
      </c>
      <c r="T55">
        <v>15.79846</v>
      </c>
      <c r="U55">
        <v>15.781046</v>
      </c>
      <c r="V55">
        <v>15.753360000000001</v>
      </c>
      <c r="W55">
        <v>15.715132000000001</v>
      </c>
      <c r="X55">
        <v>15.665411000000001</v>
      </c>
      <c r="Y55">
        <v>15.616528000000001</v>
      </c>
      <c r="Z55">
        <v>15.568357000000001</v>
      </c>
      <c r="AA55">
        <v>15.521165999999999</v>
      </c>
      <c r="AB55">
        <v>15.475282</v>
      </c>
      <c r="AC55">
        <v>15.430944999999999</v>
      </c>
      <c r="AD55">
        <v>15.388375999999999</v>
      </c>
      <c r="AE55">
        <v>15.347758000000001</v>
      </c>
      <c r="AF55">
        <v>15.309222</v>
      </c>
      <c r="AG55" s="6">
        <v>5.0000000000000001E-3</v>
      </c>
    </row>
    <row r="56" spans="1:33" x14ac:dyDescent="0.75">
      <c r="A56" t="s">
        <v>124</v>
      </c>
      <c r="B56" t="s">
        <v>525</v>
      </c>
      <c r="C56" t="s">
        <v>524</v>
      </c>
      <c r="D56" t="s">
        <v>122</v>
      </c>
      <c r="F56">
        <v>11.448732</v>
      </c>
      <c r="G56">
        <v>11.644736999999999</v>
      </c>
      <c r="H56">
        <v>11.847325</v>
      </c>
      <c r="I56">
        <v>12.298437</v>
      </c>
      <c r="J56">
        <v>12.757018</v>
      </c>
      <c r="K56">
        <v>13.272966</v>
      </c>
      <c r="L56">
        <v>13.771557</v>
      </c>
      <c r="M56">
        <v>14.233993999999999</v>
      </c>
      <c r="N56">
        <v>14.651569</v>
      </c>
      <c r="O56">
        <v>15.024331999999999</v>
      </c>
      <c r="P56">
        <v>15.341799</v>
      </c>
      <c r="Q56">
        <v>15.580716000000001</v>
      </c>
      <c r="R56">
        <v>15.738295000000001</v>
      </c>
      <c r="S56">
        <v>15.813057000000001</v>
      </c>
      <c r="T56">
        <v>15.872056000000001</v>
      </c>
      <c r="U56">
        <v>15.916221999999999</v>
      </c>
      <c r="V56">
        <v>15.947607</v>
      </c>
      <c r="W56">
        <v>15.968753</v>
      </c>
      <c r="X56">
        <v>15.982252000000001</v>
      </c>
      <c r="Y56">
        <v>15.990417000000001</v>
      </c>
      <c r="Z56">
        <v>15.995094999999999</v>
      </c>
      <c r="AA56">
        <v>15.997622</v>
      </c>
      <c r="AB56">
        <v>15.998911</v>
      </c>
      <c r="AC56">
        <v>15.999532</v>
      </c>
      <c r="AD56">
        <v>15.999801</v>
      </c>
      <c r="AE56">
        <v>15.999924</v>
      </c>
      <c r="AF56">
        <v>15.999976</v>
      </c>
      <c r="AG56" s="6">
        <v>1.2999999999999999E-2</v>
      </c>
    </row>
    <row r="57" spans="1:33" x14ac:dyDescent="0.75">
      <c r="A57" t="s">
        <v>125</v>
      </c>
    </row>
    <row r="58" spans="1:33" x14ac:dyDescent="0.75">
      <c r="A58" t="s">
        <v>126</v>
      </c>
      <c r="B58" t="s">
        <v>523</v>
      </c>
      <c r="C58" t="s">
        <v>522</v>
      </c>
      <c r="D58" t="s">
        <v>127</v>
      </c>
      <c r="F58">
        <v>1.089594</v>
      </c>
      <c r="G58">
        <v>1.1425160000000001</v>
      </c>
      <c r="H58">
        <v>1.194647</v>
      </c>
      <c r="I58">
        <v>1.2457849999999999</v>
      </c>
      <c r="J58">
        <v>1.296718</v>
      </c>
      <c r="K58">
        <v>1.427567</v>
      </c>
      <c r="L58">
        <v>1.530845</v>
      </c>
      <c r="M58">
        <v>1.6406940000000001</v>
      </c>
      <c r="N58">
        <v>1.7447140000000001</v>
      </c>
      <c r="O58">
        <v>1.833205</v>
      </c>
      <c r="P58">
        <v>1.91778</v>
      </c>
      <c r="Q58">
        <v>1.995061</v>
      </c>
      <c r="R58">
        <v>2.064635</v>
      </c>
      <c r="S58">
        <v>2.1261709999999998</v>
      </c>
      <c r="T58">
        <v>2.179694</v>
      </c>
      <c r="U58">
        <v>2.225028</v>
      </c>
      <c r="V58">
        <v>2.2624460000000002</v>
      </c>
      <c r="W58">
        <v>2.291731</v>
      </c>
      <c r="X58">
        <v>2.3127049999999998</v>
      </c>
      <c r="Y58">
        <v>2.3256410000000001</v>
      </c>
      <c r="Z58">
        <v>2.3376600000000001</v>
      </c>
      <c r="AA58">
        <v>2.3487290000000001</v>
      </c>
      <c r="AB58">
        <v>2.3588469999999999</v>
      </c>
      <c r="AC58">
        <v>2.3680279999999998</v>
      </c>
      <c r="AD58">
        <v>2.3763190000000001</v>
      </c>
      <c r="AE58">
        <v>2.3837579999999998</v>
      </c>
      <c r="AF58">
        <v>2.3903810000000001</v>
      </c>
      <c r="AG58" s="6">
        <v>3.1E-2</v>
      </c>
    </row>
    <row r="59" spans="1:33" x14ac:dyDescent="0.75">
      <c r="A59" t="s">
        <v>128</v>
      </c>
      <c r="B59" t="s">
        <v>521</v>
      </c>
      <c r="C59" t="s">
        <v>520</v>
      </c>
      <c r="D59" t="s">
        <v>127</v>
      </c>
      <c r="F59">
        <v>0.60598600000000002</v>
      </c>
      <c r="G59">
        <v>0.61377400000000004</v>
      </c>
      <c r="H59">
        <v>0.62073199999999995</v>
      </c>
      <c r="I59">
        <v>0.62687899999999996</v>
      </c>
      <c r="J59">
        <v>0.63224800000000003</v>
      </c>
      <c r="K59">
        <v>0.64028099999999999</v>
      </c>
      <c r="L59">
        <v>0.64717400000000003</v>
      </c>
      <c r="M59">
        <v>0.653142</v>
      </c>
      <c r="N59">
        <v>0.65814099999999998</v>
      </c>
      <c r="O59">
        <v>0.66080300000000003</v>
      </c>
      <c r="P59">
        <v>0.66259400000000002</v>
      </c>
      <c r="Q59">
        <v>0.66352299999999997</v>
      </c>
      <c r="R59">
        <v>0.66439199999999998</v>
      </c>
      <c r="S59">
        <v>0.66519700000000004</v>
      </c>
      <c r="T59">
        <v>0.66593599999999997</v>
      </c>
      <c r="U59">
        <v>0.66660900000000001</v>
      </c>
      <c r="V59">
        <v>0.66721600000000003</v>
      </c>
      <c r="W59">
        <v>0.66775799999999996</v>
      </c>
      <c r="X59">
        <v>0.668238</v>
      </c>
      <c r="Y59">
        <v>0.66866000000000003</v>
      </c>
      <c r="Z59">
        <v>0.66902799999999996</v>
      </c>
      <c r="AA59">
        <v>0.669346</v>
      </c>
      <c r="AB59">
        <v>0.66961800000000005</v>
      </c>
      <c r="AC59">
        <v>0.66984900000000003</v>
      </c>
      <c r="AD59">
        <v>0.67004300000000006</v>
      </c>
      <c r="AE59">
        <v>0.67020400000000002</v>
      </c>
      <c r="AF59">
        <v>0.67033699999999996</v>
      </c>
      <c r="AG59" s="6">
        <v>4.0000000000000001E-3</v>
      </c>
    </row>
    <row r="60" spans="1:33" x14ac:dyDescent="0.75">
      <c r="A60" t="s">
        <v>129</v>
      </c>
      <c r="B60" t="s">
        <v>519</v>
      </c>
      <c r="C60" t="s">
        <v>518</v>
      </c>
      <c r="D60" t="s">
        <v>127</v>
      </c>
      <c r="F60">
        <v>0.54769800000000002</v>
      </c>
      <c r="G60">
        <v>0.55999399999999999</v>
      </c>
      <c r="H60">
        <v>0.57217899999999999</v>
      </c>
      <c r="I60">
        <v>0.58399400000000001</v>
      </c>
      <c r="J60">
        <v>0.59521000000000002</v>
      </c>
      <c r="K60">
        <v>0.60663999999999996</v>
      </c>
      <c r="L60">
        <v>0.61675899999999995</v>
      </c>
      <c r="M60">
        <v>0.625502</v>
      </c>
      <c r="N60">
        <v>0.63254699999999997</v>
      </c>
      <c r="O60">
        <v>0.63764500000000002</v>
      </c>
      <c r="P60">
        <v>0.640544</v>
      </c>
      <c r="Q60">
        <v>0.64108200000000004</v>
      </c>
      <c r="R60">
        <v>0.64163400000000004</v>
      </c>
      <c r="S60">
        <v>0.64219300000000001</v>
      </c>
      <c r="T60">
        <v>0.64275400000000005</v>
      </c>
      <c r="U60">
        <v>0.64331199999999999</v>
      </c>
      <c r="V60">
        <v>0.64386200000000005</v>
      </c>
      <c r="W60">
        <v>0.644401</v>
      </c>
      <c r="X60">
        <v>0.64492499999999997</v>
      </c>
      <c r="Y60">
        <v>0.64542999999999995</v>
      </c>
      <c r="Z60">
        <v>0.64591299999999996</v>
      </c>
      <c r="AA60">
        <v>0.646374</v>
      </c>
      <c r="AB60">
        <v>0.64680899999999997</v>
      </c>
      <c r="AC60">
        <v>0.64721899999999999</v>
      </c>
      <c r="AD60">
        <v>0.64760200000000001</v>
      </c>
      <c r="AE60">
        <v>0.64795700000000001</v>
      </c>
      <c r="AF60">
        <v>0.648285</v>
      </c>
      <c r="AG60" s="6">
        <v>7.0000000000000001E-3</v>
      </c>
    </row>
    <row r="61" spans="1:33" x14ac:dyDescent="0.75">
      <c r="A61" t="s">
        <v>130</v>
      </c>
      <c r="B61" t="s">
        <v>517</v>
      </c>
      <c r="C61" t="s">
        <v>516</v>
      </c>
      <c r="D61" t="s">
        <v>127</v>
      </c>
      <c r="F61">
        <v>0.60939900000000002</v>
      </c>
      <c r="G61">
        <v>0.61870400000000003</v>
      </c>
      <c r="H61">
        <v>0.627502</v>
      </c>
      <c r="I61">
        <v>0.635687</v>
      </c>
      <c r="J61">
        <v>0.64312899999999995</v>
      </c>
      <c r="K61">
        <v>0.650474</v>
      </c>
      <c r="L61">
        <v>0.65689600000000004</v>
      </c>
      <c r="M61">
        <v>0.662416</v>
      </c>
      <c r="N61">
        <v>0.66691800000000001</v>
      </c>
      <c r="O61">
        <v>0.66920900000000005</v>
      </c>
      <c r="P61">
        <v>0.67036200000000001</v>
      </c>
      <c r="Q61">
        <v>0.67031200000000002</v>
      </c>
      <c r="R61">
        <v>0.67021699999999995</v>
      </c>
      <c r="S61">
        <v>0.67008400000000001</v>
      </c>
      <c r="T61">
        <v>0.66991699999999998</v>
      </c>
      <c r="U61">
        <v>0.66972299999999996</v>
      </c>
      <c r="V61">
        <v>0.66950500000000002</v>
      </c>
      <c r="W61">
        <v>0.66927000000000003</v>
      </c>
      <c r="X61">
        <v>0.66902200000000001</v>
      </c>
      <c r="Y61">
        <v>0.66876599999999997</v>
      </c>
      <c r="Z61">
        <v>0.66850799999999999</v>
      </c>
      <c r="AA61">
        <v>0.66824899999999998</v>
      </c>
      <c r="AB61">
        <v>0.66799500000000001</v>
      </c>
      <c r="AC61">
        <v>0.66774800000000001</v>
      </c>
      <c r="AD61">
        <v>0.66751099999999997</v>
      </c>
      <c r="AE61">
        <v>0.66728600000000005</v>
      </c>
      <c r="AF61">
        <v>0.66707499999999997</v>
      </c>
      <c r="AG61" s="6">
        <v>3.0000000000000001E-3</v>
      </c>
    </row>
    <row r="62" spans="1:33" x14ac:dyDescent="0.75">
      <c r="A62" t="s">
        <v>131</v>
      </c>
    </row>
    <row r="63" spans="1:33" x14ac:dyDescent="0.75">
      <c r="A63" t="s">
        <v>106</v>
      </c>
      <c r="B63" t="s">
        <v>515</v>
      </c>
      <c r="C63" t="s">
        <v>514</v>
      </c>
      <c r="D63" t="s">
        <v>132</v>
      </c>
      <c r="F63">
        <v>605.32141100000001</v>
      </c>
      <c r="G63">
        <v>596.56372099999999</v>
      </c>
      <c r="H63">
        <v>587.74408000000005</v>
      </c>
      <c r="I63">
        <v>578.85461399999997</v>
      </c>
      <c r="J63">
        <v>569.90594499999997</v>
      </c>
      <c r="K63">
        <v>561.43499799999995</v>
      </c>
      <c r="L63">
        <v>548.93573000000004</v>
      </c>
      <c r="M63">
        <v>536.88128700000004</v>
      </c>
      <c r="N63">
        <v>525.27539100000001</v>
      </c>
      <c r="O63">
        <v>514.09533699999997</v>
      </c>
      <c r="P63">
        <v>503.33850100000001</v>
      </c>
      <c r="Q63">
        <v>493.03497299999998</v>
      </c>
      <c r="R63">
        <v>483.48178100000001</v>
      </c>
      <c r="S63">
        <v>474.760132</v>
      </c>
      <c r="T63">
        <v>466.87344400000001</v>
      </c>
      <c r="U63">
        <v>459.84948700000001</v>
      </c>
      <c r="V63">
        <v>453.64550800000001</v>
      </c>
      <c r="W63">
        <v>448.24676499999998</v>
      </c>
      <c r="X63">
        <v>443.60870399999999</v>
      </c>
      <c r="Y63">
        <v>439.75659200000001</v>
      </c>
      <c r="Z63">
        <v>436.64328</v>
      </c>
      <c r="AA63">
        <v>434.29330399999998</v>
      </c>
      <c r="AB63">
        <v>432.73150600000002</v>
      </c>
      <c r="AC63">
        <v>431.93127399999997</v>
      </c>
      <c r="AD63">
        <v>431.20816000000002</v>
      </c>
      <c r="AE63">
        <v>430.55432100000002</v>
      </c>
      <c r="AF63">
        <v>429.95950299999998</v>
      </c>
      <c r="AG63" s="6">
        <v>-1.2999999999999999E-2</v>
      </c>
    </row>
    <row r="64" spans="1:33" x14ac:dyDescent="0.75">
      <c r="A64" t="s">
        <v>107</v>
      </c>
      <c r="B64" t="s">
        <v>513</v>
      </c>
      <c r="C64" t="s">
        <v>512</v>
      </c>
      <c r="D64" t="s">
        <v>132</v>
      </c>
      <c r="F64">
        <v>463.55093399999998</v>
      </c>
      <c r="G64">
        <v>458.890198</v>
      </c>
      <c r="H64">
        <v>454.28131100000002</v>
      </c>
      <c r="I64">
        <v>449.72030599999999</v>
      </c>
      <c r="J64">
        <v>445.12622099999999</v>
      </c>
      <c r="K64">
        <v>440.455017</v>
      </c>
      <c r="L64">
        <v>433.68933099999998</v>
      </c>
      <c r="M64">
        <v>426.78295900000001</v>
      </c>
      <c r="N64">
        <v>419.79501299999998</v>
      </c>
      <c r="O64">
        <v>413.10067700000002</v>
      </c>
      <c r="P64">
        <v>406.70031699999998</v>
      </c>
      <c r="Q64">
        <v>400.597534</v>
      </c>
      <c r="R64">
        <v>394.77926600000001</v>
      </c>
      <c r="S64">
        <v>389.23379499999999</v>
      </c>
      <c r="T64">
        <v>383.98913599999997</v>
      </c>
      <c r="U64">
        <v>379.06469700000002</v>
      </c>
      <c r="V64">
        <v>374.43823200000003</v>
      </c>
      <c r="W64">
        <v>370.161316</v>
      </c>
      <c r="X64">
        <v>366.20214800000002</v>
      </c>
      <c r="Y64">
        <v>362.57891799999999</v>
      </c>
      <c r="Z64">
        <v>359.27200299999998</v>
      </c>
      <c r="AA64">
        <v>356.26269500000001</v>
      </c>
      <c r="AB64">
        <v>353.61422700000003</v>
      </c>
      <c r="AC64">
        <v>351.29882800000001</v>
      </c>
      <c r="AD64">
        <v>349.36639400000001</v>
      </c>
      <c r="AE64">
        <v>347.84356700000001</v>
      </c>
      <c r="AF64">
        <v>346.73440599999998</v>
      </c>
      <c r="AG64" s="6">
        <v>-1.0999999999999999E-2</v>
      </c>
    </row>
    <row r="65" spans="1:33" x14ac:dyDescent="0.75">
      <c r="A65" t="s">
        <v>133</v>
      </c>
    </row>
    <row r="66" spans="1:33" x14ac:dyDescent="0.75">
      <c r="A66" t="s">
        <v>134</v>
      </c>
    </row>
    <row r="67" spans="1:33" x14ac:dyDescent="0.75">
      <c r="A67" t="s">
        <v>505</v>
      </c>
      <c r="B67" t="s">
        <v>511</v>
      </c>
      <c r="C67" t="s">
        <v>510</v>
      </c>
      <c r="D67" t="s">
        <v>135</v>
      </c>
      <c r="F67">
        <v>0.96249899999999999</v>
      </c>
      <c r="G67">
        <v>0.95829299999999995</v>
      </c>
      <c r="H67">
        <v>0.95386099999999996</v>
      </c>
      <c r="I67">
        <v>0.94897600000000004</v>
      </c>
      <c r="J67">
        <v>0.94338</v>
      </c>
      <c r="K67">
        <v>0.93713900000000006</v>
      </c>
      <c r="L67">
        <v>0.93051399999999995</v>
      </c>
      <c r="M67">
        <v>0.92341399999999996</v>
      </c>
      <c r="N67">
        <v>0.91581699999999999</v>
      </c>
      <c r="O67">
        <v>0.90795400000000004</v>
      </c>
      <c r="P67">
        <v>0.90028900000000001</v>
      </c>
      <c r="Q67">
        <v>0.89305000000000001</v>
      </c>
      <c r="R67">
        <v>0.88626899999999997</v>
      </c>
      <c r="S67">
        <v>0.87971500000000002</v>
      </c>
      <c r="T67">
        <v>0.87315799999999999</v>
      </c>
      <c r="U67">
        <v>0.86665999999999999</v>
      </c>
      <c r="V67">
        <v>0.860093</v>
      </c>
      <c r="W67">
        <v>0.85333700000000001</v>
      </c>
      <c r="X67">
        <v>0.84650400000000003</v>
      </c>
      <c r="Y67">
        <v>0.83967000000000003</v>
      </c>
      <c r="Z67">
        <v>0.83284999999999998</v>
      </c>
      <c r="AA67">
        <v>0.82602600000000004</v>
      </c>
      <c r="AB67">
        <v>0.81914399999999998</v>
      </c>
      <c r="AC67">
        <v>0.81228999999999996</v>
      </c>
      <c r="AD67">
        <v>0.80550299999999997</v>
      </c>
      <c r="AE67">
        <v>0.79870200000000002</v>
      </c>
      <c r="AF67">
        <v>0.791856</v>
      </c>
      <c r="AG67" s="6">
        <v>-7.0000000000000001E-3</v>
      </c>
    </row>
    <row r="68" spans="1:33" x14ac:dyDescent="0.75">
      <c r="A68" t="s">
        <v>136</v>
      </c>
      <c r="B68" t="s">
        <v>509</v>
      </c>
      <c r="C68" t="s">
        <v>508</v>
      </c>
      <c r="D68" t="s">
        <v>135</v>
      </c>
      <c r="F68">
        <v>0.77779500000000001</v>
      </c>
      <c r="G68">
        <v>0.77780400000000005</v>
      </c>
      <c r="H68">
        <v>0.78845600000000005</v>
      </c>
      <c r="I68">
        <v>0.79193599999999997</v>
      </c>
      <c r="J68">
        <v>0.79717300000000002</v>
      </c>
      <c r="K68">
        <v>0.79640299999999997</v>
      </c>
      <c r="L68">
        <v>0.79713100000000003</v>
      </c>
      <c r="M68">
        <v>0.79560699999999995</v>
      </c>
      <c r="N68">
        <v>0.79143799999999997</v>
      </c>
      <c r="O68">
        <v>0.90783000000000003</v>
      </c>
      <c r="P68">
        <v>0.90350900000000001</v>
      </c>
      <c r="Q68">
        <v>0.90333200000000002</v>
      </c>
      <c r="R68">
        <v>0.90135600000000005</v>
      </c>
      <c r="S68">
        <v>0.89688199999999996</v>
      </c>
      <c r="T68">
        <v>0.89327900000000005</v>
      </c>
      <c r="U68">
        <v>0.89083299999999999</v>
      </c>
      <c r="V68">
        <v>0.88829000000000002</v>
      </c>
      <c r="W68">
        <v>0.88452799999999998</v>
      </c>
      <c r="X68">
        <v>0.88126199999999999</v>
      </c>
      <c r="Y68">
        <v>0.88093200000000005</v>
      </c>
      <c r="Z68">
        <v>0.88181200000000004</v>
      </c>
      <c r="AA68">
        <v>0.88065700000000002</v>
      </c>
      <c r="AB68">
        <v>0.87968900000000005</v>
      </c>
      <c r="AC68">
        <v>0.87822</v>
      </c>
      <c r="AD68">
        <v>0.87721899999999997</v>
      </c>
      <c r="AE68">
        <v>0.87615900000000002</v>
      </c>
      <c r="AF68">
        <v>0.87512100000000004</v>
      </c>
      <c r="AG68" s="6">
        <v>5.0000000000000001E-3</v>
      </c>
    </row>
    <row r="69" spans="1:33" x14ac:dyDescent="0.75">
      <c r="A69" t="s">
        <v>137</v>
      </c>
      <c r="B69" t="s">
        <v>507</v>
      </c>
      <c r="C69" t="s">
        <v>506</v>
      </c>
      <c r="D69" t="s">
        <v>135</v>
      </c>
      <c r="F69">
        <v>0.95514299999999996</v>
      </c>
      <c r="G69">
        <v>0.94909500000000002</v>
      </c>
      <c r="H69">
        <v>0.94300399999999995</v>
      </c>
      <c r="I69">
        <v>0.93666700000000003</v>
      </c>
      <c r="J69">
        <v>0.92990099999999998</v>
      </c>
      <c r="K69">
        <v>0.922678</v>
      </c>
      <c r="L69">
        <v>0.9153</v>
      </c>
      <c r="M69">
        <v>0.907667</v>
      </c>
      <c r="N69">
        <v>0.89975099999999997</v>
      </c>
      <c r="O69">
        <v>0.89316200000000001</v>
      </c>
      <c r="P69">
        <v>0.88683000000000001</v>
      </c>
      <c r="Q69">
        <v>0.88098299999999996</v>
      </c>
      <c r="R69">
        <v>0.87561</v>
      </c>
      <c r="S69">
        <v>0.870475</v>
      </c>
      <c r="T69">
        <v>0.86539299999999997</v>
      </c>
      <c r="U69">
        <v>0.86041800000000002</v>
      </c>
      <c r="V69">
        <v>0.85544500000000001</v>
      </c>
      <c r="W69">
        <v>0.85036100000000003</v>
      </c>
      <c r="X69">
        <v>0.84526299999999999</v>
      </c>
      <c r="Y69">
        <v>0.840229</v>
      </c>
      <c r="Z69">
        <v>0.83528000000000002</v>
      </c>
      <c r="AA69">
        <v>0.83039099999999999</v>
      </c>
      <c r="AB69">
        <v>0.82552000000000003</v>
      </c>
      <c r="AC69">
        <v>0.82072599999999996</v>
      </c>
      <c r="AD69">
        <v>0.81604299999999996</v>
      </c>
      <c r="AE69">
        <v>0.81140699999999999</v>
      </c>
      <c r="AF69">
        <v>0.80679100000000004</v>
      </c>
      <c r="AG69" s="6">
        <v>-6.0000000000000001E-3</v>
      </c>
    </row>
    <row r="70" spans="1:33" x14ac:dyDescent="0.75">
      <c r="A70" t="s">
        <v>118</v>
      </c>
    </row>
    <row r="71" spans="1:33" x14ac:dyDescent="0.75">
      <c r="A71" t="s">
        <v>505</v>
      </c>
      <c r="B71" t="s">
        <v>504</v>
      </c>
      <c r="C71" t="s">
        <v>503</v>
      </c>
      <c r="D71" t="s">
        <v>135</v>
      </c>
      <c r="F71">
        <v>0.98706400000000005</v>
      </c>
      <c r="G71">
        <v>0.98577199999999998</v>
      </c>
      <c r="H71">
        <v>0.98426999999999998</v>
      </c>
      <c r="I71">
        <v>0.98250800000000005</v>
      </c>
      <c r="J71">
        <v>0.98045800000000005</v>
      </c>
      <c r="K71">
        <v>0.97818700000000003</v>
      </c>
      <c r="L71">
        <v>0.97578299999999996</v>
      </c>
      <c r="M71">
        <v>0.97324600000000006</v>
      </c>
      <c r="N71">
        <v>0.97056500000000001</v>
      </c>
      <c r="O71">
        <v>0.96779499999999996</v>
      </c>
      <c r="P71">
        <v>0.96509599999999995</v>
      </c>
      <c r="Q71">
        <v>0.96253900000000003</v>
      </c>
      <c r="R71">
        <v>0.96013199999999999</v>
      </c>
      <c r="S71">
        <v>0.95780299999999996</v>
      </c>
      <c r="T71">
        <v>0.95547099999999996</v>
      </c>
      <c r="U71">
        <v>0.95317200000000002</v>
      </c>
      <c r="V71">
        <v>0.95085500000000001</v>
      </c>
      <c r="W71">
        <v>0.94845699999999999</v>
      </c>
      <c r="X71">
        <v>0.94602200000000003</v>
      </c>
      <c r="Y71">
        <v>0.94357500000000005</v>
      </c>
      <c r="Z71">
        <v>0.94112799999999996</v>
      </c>
      <c r="AA71">
        <v>0.93869599999999997</v>
      </c>
      <c r="AB71">
        <v>0.93624700000000005</v>
      </c>
      <c r="AC71">
        <v>0.933813</v>
      </c>
      <c r="AD71">
        <v>0.931396</v>
      </c>
      <c r="AE71">
        <v>0.92897200000000002</v>
      </c>
      <c r="AF71">
        <v>0.92652999999999996</v>
      </c>
      <c r="AG71" s="6">
        <v>-2E-3</v>
      </c>
    </row>
    <row r="72" spans="1:33" x14ac:dyDescent="0.75">
      <c r="A72" t="s">
        <v>136</v>
      </c>
      <c r="B72" t="s">
        <v>502</v>
      </c>
      <c r="C72" t="s">
        <v>501</v>
      </c>
      <c r="D72" t="s">
        <v>135</v>
      </c>
      <c r="F72">
        <v>0.96223800000000004</v>
      </c>
      <c r="G72">
        <v>0.96373500000000001</v>
      </c>
      <c r="H72">
        <v>0.97250599999999998</v>
      </c>
      <c r="I72">
        <v>0.97536900000000004</v>
      </c>
      <c r="J72">
        <v>0.97906000000000004</v>
      </c>
      <c r="K72">
        <v>0.98203700000000005</v>
      </c>
      <c r="L72">
        <v>0.98287800000000003</v>
      </c>
      <c r="M72">
        <v>0.982742</v>
      </c>
      <c r="N72">
        <v>0.98086799999999996</v>
      </c>
      <c r="O72">
        <v>1.0203709999999999</v>
      </c>
      <c r="P72">
        <v>1.0181690000000001</v>
      </c>
      <c r="Q72">
        <v>1.0179069999999999</v>
      </c>
      <c r="R72">
        <v>1.016993</v>
      </c>
      <c r="S72">
        <v>1.014689</v>
      </c>
      <c r="T72">
        <v>1.0129760000000001</v>
      </c>
      <c r="U72">
        <v>1.0120750000000001</v>
      </c>
      <c r="V72">
        <v>1.0114399999999999</v>
      </c>
      <c r="W72">
        <v>1.010168</v>
      </c>
      <c r="X72">
        <v>1.0089360000000001</v>
      </c>
      <c r="Y72">
        <v>1.0096099999999999</v>
      </c>
      <c r="Z72">
        <v>1.0109030000000001</v>
      </c>
      <c r="AA72">
        <v>1.0107729999999999</v>
      </c>
      <c r="AB72">
        <v>1.010664</v>
      </c>
      <c r="AC72">
        <v>1.0103740000000001</v>
      </c>
      <c r="AD72">
        <v>1.010311</v>
      </c>
      <c r="AE72">
        <v>1.0102930000000001</v>
      </c>
      <c r="AF72">
        <v>1.0102</v>
      </c>
      <c r="AG72" s="6">
        <v>2E-3</v>
      </c>
    </row>
    <row r="73" spans="1:33" x14ac:dyDescent="0.75">
      <c r="A73" t="s">
        <v>137</v>
      </c>
      <c r="B73" t="s">
        <v>500</v>
      </c>
      <c r="C73" t="s">
        <v>499</v>
      </c>
      <c r="D73" t="s">
        <v>135</v>
      </c>
      <c r="F73">
        <v>0.98711800000000005</v>
      </c>
      <c r="G73">
        <v>0.98565800000000003</v>
      </c>
      <c r="H73">
        <v>0.98411000000000004</v>
      </c>
      <c r="I73">
        <v>0.98237699999999994</v>
      </c>
      <c r="J73">
        <v>0.98045300000000002</v>
      </c>
      <c r="K73">
        <v>0.97839399999999999</v>
      </c>
      <c r="L73">
        <v>0.97626400000000002</v>
      </c>
      <c r="M73">
        <v>0.974055</v>
      </c>
      <c r="N73">
        <v>0.97173900000000002</v>
      </c>
      <c r="O73">
        <v>0.96975900000000004</v>
      </c>
      <c r="P73">
        <v>0.96782999999999997</v>
      </c>
      <c r="Q73">
        <v>0.96604500000000004</v>
      </c>
      <c r="R73">
        <v>0.96439600000000003</v>
      </c>
      <c r="S73">
        <v>0.96279999999999999</v>
      </c>
      <c r="T73">
        <v>0.96119299999999996</v>
      </c>
      <c r="U73">
        <v>0.95961099999999999</v>
      </c>
      <c r="V73">
        <v>0.95801400000000003</v>
      </c>
      <c r="W73">
        <v>0.95634399999999997</v>
      </c>
      <c r="X73">
        <v>0.95464099999999996</v>
      </c>
      <c r="Y73">
        <v>0.95293700000000003</v>
      </c>
      <c r="Z73">
        <v>0.95125099999999996</v>
      </c>
      <c r="AA73">
        <v>0.94959099999999996</v>
      </c>
      <c r="AB73">
        <v>0.94793099999999997</v>
      </c>
      <c r="AC73">
        <v>0.946295</v>
      </c>
      <c r="AD73">
        <v>0.94468700000000005</v>
      </c>
      <c r="AE73">
        <v>0.94308499999999995</v>
      </c>
      <c r="AF73">
        <v>0.94148100000000001</v>
      </c>
      <c r="AG73" s="6">
        <v>-2E-3</v>
      </c>
    </row>
    <row r="74" spans="1:33" x14ac:dyDescent="0.75">
      <c r="A74" t="s">
        <v>138</v>
      </c>
    </row>
    <row r="75" spans="1:33" x14ac:dyDescent="0.75">
      <c r="A75" t="s">
        <v>139</v>
      </c>
    </row>
    <row r="76" spans="1:33" x14ac:dyDescent="0.75">
      <c r="A76" t="s">
        <v>140</v>
      </c>
    </row>
    <row r="77" spans="1:33" x14ac:dyDescent="0.75">
      <c r="A77" t="s">
        <v>141</v>
      </c>
      <c r="B77" t="s">
        <v>498</v>
      </c>
      <c r="C77" t="s">
        <v>497</v>
      </c>
      <c r="D77" t="s">
        <v>142</v>
      </c>
      <c r="F77">
        <v>1.725E-3</v>
      </c>
      <c r="G77">
        <v>3.088E-3</v>
      </c>
      <c r="H77">
        <v>3.101E-3</v>
      </c>
      <c r="I77">
        <v>3.114E-3</v>
      </c>
      <c r="J77">
        <v>3.127E-3</v>
      </c>
      <c r="K77">
        <v>3.14E-3</v>
      </c>
      <c r="L77">
        <v>3.153E-3</v>
      </c>
      <c r="M77">
        <v>3.166E-3</v>
      </c>
      <c r="N77">
        <v>3.179E-3</v>
      </c>
      <c r="O77">
        <v>3.192E-3</v>
      </c>
      <c r="P77">
        <v>3.2049999999999999E-3</v>
      </c>
      <c r="Q77">
        <v>3.2179999999999999E-3</v>
      </c>
      <c r="R77">
        <v>3.2309999999999999E-3</v>
      </c>
      <c r="S77">
        <v>3.2439999999999999E-3</v>
      </c>
      <c r="T77">
        <v>3.2569999999999999E-3</v>
      </c>
      <c r="U77">
        <v>3.2699999999999999E-3</v>
      </c>
      <c r="V77">
        <v>3.2850000000000002E-3</v>
      </c>
      <c r="W77">
        <v>3.3010000000000001E-3</v>
      </c>
      <c r="X77">
        <v>3.3219999999999999E-3</v>
      </c>
      <c r="Y77">
        <v>3.3519999999999999E-3</v>
      </c>
      <c r="Z77">
        <v>3.3990000000000001E-3</v>
      </c>
      <c r="AA77">
        <v>3.4780000000000002E-3</v>
      </c>
      <c r="AB77">
        <v>3.6180000000000001E-3</v>
      </c>
      <c r="AC77">
        <v>3.7590000000000002E-3</v>
      </c>
      <c r="AD77">
        <v>3.8999999999999998E-3</v>
      </c>
      <c r="AE77">
        <v>4.0419999999999996E-3</v>
      </c>
      <c r="AF77">
        <v>4.1850000000000004E-3</v>
      </c>
      <c r="AG77" s="6">
        <v>3.5000000000000003E-2</v>
      </c>
    </row>
    <row r="78" spans="1:33" x14ac:dyDescent="0.75">
      <c r="A78" t="s">
        <v>143</v>
      </c>
      <c r="B78" t="s">
        <v>496</v>
      </c>
      <c r="C78" t="s">
        <v>495</v>
      </c>
      <c r="D78" t="s">
        <v>142</v>
      </c>
      <c r="F78">
        <v>41.307827000000003</v>
      </c>
      <c r="G78">
        <v>47.377986999999997</v>
      </c>
      <c r="H78">
        <v>53.527718</v>
      </c>
      <c r="I78">
        <v>59.344631</v>
      </c>
      <c r="J78">
        <v>65.296081999999998</v>
      </c>
      <c r="K78">
        <v>71.340698000000003</v>
      </c>
      <c r="L78">
        <v>77.804955000000007</v>
      </c>
      <c r="M78">
        <v>84.770461999999995</v>
      </c>
      <c r="N78">
        <v>91.686965999999998</v>
      </c>
      <c r="O78">
        <v>98.871689000000003</v>
      </c>
      <c r="P78">
        <v>105.994034</v>
      </c>
      <c r="Q78">
        <v>111.568611</v>
      </c>
      <c r="R78">
        <v>117.32034299999999</v>
      </c>
      <c r="S78">
        <v>123.133934</v>
      </c>
      <c r="T78">
        <v>129.23361199999999</v>
      </c>
      <c r="U78">
        <v>135.37600699999999</v>
      </c>
      <c r="V78">
        <v>141.64863600000001</v>
      </c>
      <c r="W78">
        <v>147.97232099999999</v>
      </c>
      <c r="X78">
        <v>154.48625200000001</v>
      </c>
      <c r="Y78">
        <v>161.08810399999999</v>
      </c>
      <c r="Z78">
        <v>167.799713</v>
      </c>
      <c r="AA78">
        <v>174.750168</v>
      </c>
      <c r="AB78">
        <v>181.85144</v>
      </c>
      <c r="AC78">
        <v>189.17082199999999</v>
      </c>
      <c r="AD78">
        <v>196.66996800000001</v>
      </c>
      <c r="AE78">
        <v>204.34806800000001</v>
      </c>
      <c r="AF78">
        <v>212.126541</v>
      </c>
      <c r="AG78" s="6">
        <v>6.5000000000000002E-2</v>
      </c>
    </row>
    <row r="79" spans="1:33" x14ac:dyDescent="0.75">
      <c r="A79" t="s">
        <v>144</v>
      </c>
      <c r="B79" t="s">
        <v>494</v>
      </c>
      <c r="C79" t="s">
        <v>493</v>
      </c>
      <c r="D79" t="s">
        <v>142</v>
      </c>
      <c r="F79">
        <v>0.30817899999999998</v>
      </c>
      <c r="G79">
        <v>0.560921</v>
      </c>
      <c r="H79">
        <v>0.80604399999999998</v>
      </c>
      <c r="I79">
        <v>0.90843200000000002</v>
      </c>
      <c r="J79">
        <v>1.022869</v>
      </c>
      <c r="K79">
        <v>1.146172</v>
      </c>
      <c r="L79">
        <v>1.390895</v>
      </c>
      <c r="M79">
        <v>1.6908190000000001</v>
      </c>
      <c r="N79">
        <v>1.994769</v>
      </c>
      <c r="O79">
        <v>2.108177</v>
      </c>
      <c r="P79">
        <v>2.1611229999999999</v>
      </c>
      <c r="Q79">
        <v>2.1623380000000001</v>
      </c>
      <c r="R79">
        <v>2.1638169999999999</v>
      </c>
      <c r="S79">
        <v>2.1655449999999998</v>
      </c>
      <c r="T79">
        <v>2.1675360000000001</v>
      </c>
      <c r="U79">
        <v>2.1697259999999998</v>
      </c>
      <c r="V79">
        <v>2.172139</v>
      </c>
      <c r="W79">
        <v>2.1747999999999998</v>
      </c>
      <c r="X79">
        <v>2.1776339999999998</v>
      </c>
      <c r="Y79">
        <v>2.18058</v>
      </c>
      <c r="Z79">
        <v>2.1836340000000001</v>
      </c>
      <c r="AA79">
        <v>2.1868249999999998</v>
      </c>
      <c r="AB79">
        <v>2.190188</v>
      </c>
      <c r="AC79">
        <v>2.193648</v>
      </c>
      <c r="AD79">
        <v>2.1972459999999998</v>
      </c>
      <c r="AE79">
        <v>2.2009859999999999</v>
      </c>
      <c r="AF79">
        <v>2.2048700000000001</v>
      </c>
      <c r="AG79" s="6">
        <v>7.9000000000000001E-2</v>
      </c>
    </row>
    <row r="80" spans="1:33" x14ac:dyDescent="0.75">
      <c r="A80" t="s">
        <v>1</v>
      </c>
      <c r="B80" t="s">
        <v>492</v>
      </c>
      <c r="C80" t="s">
        <v>491</v>
      </c>
      <c r="D80" t="s">
        <v>142</v>
      </c>
      <c r="F80">
        <v>41.617728999999997</v>
      </c>
      <c r="G80">
        <v>47.941997999999998</v>
      </c>
      <c r="H80">
        <v>54.336863999999998</v>
      </c>
      <c r="I80">
        <v>60.256176000000004</v>
      </c>
      <c r="J80">
        <v>66.322074999999998</v>
      </c>
      <c r="K80">
        <v>72.490013000000005</v>
      </c>
      <c r="L80">
        <v>79.198997000000006</v>
      </c>
      <c r="M80">
        <v>86.464447000000007</v>
      </c>
      <c r="N80">
        <v>93.684914000000006</v>
      </c>
      <c r="O80">
        <v>100.98305499999999</v>
      </c>
      <c r="P80">
        <v>108.15836299999999</v>
      </c>
      <c r="Q80">
        <v>113.73416899999999</v>
      </c>
      <c r="R80">
        <v>119.487396</v>
      </c>
      <c r="S80">
        <v>125.302719</v>
      </c>
      <c r="T80">
        <v>131.404404</v>
      </c>
      <c r="U80">
        <v>137.54899599999999</v>
      </c>
      <c r="V80">
        <v>143.824051</v>
      </c>
      <c r="W80">
        <v>150.15042099999999</v>
      </c>
      <c r="X80">
        <v>156.66720599999999</v>
      </c>
      <c r="Y80">
        <v>163.27203399999999</v>
      </c>
      <c r="Z80">
        <v>169.98675499999999</v>
      </c>
      <c r="AA80">
        <v>176.94047499999999</v>
      </c>
      <c r="AB80">
        <v>184.045242</v>
      </c>
      <c r="AC80">
        <v>191.368225</v>
      </c>
      <c r="AD80">
        <v>198.87112400000001</v>
      </c>
      <c r="AE80">
        <v>206.553101</v>
      </c>
      <c r="AF80">
        <v>214.335587</v>
      </c>
      <c r="AG80" s="6">
        <v>6.5000000000000002E-2</v>
      </c>
    </row>
    <row r="81" spans="1:33" x14ac:dyDescent="0.75">
      <c r="A81" t="s">
        <v>145</v>
      </c>
    </row>
    <row r="82" spans="1:33" x14ac:dyDescent="0.75">
      <c r="A82" t="s">
        <v>141</v>
      </c>
      <c r="B82" t="s">
        <v>490</v>
      </c>
      <c r="C82" t="s">
        <v>489</v>
      </c>
      <c r="D82" t="s">
        <v>146</v>
      </c>
      <c r="F82">
        <v>6.8329999999999997E-3</v>
      </c>
      <c r="G82">
        <v>1.223E-2</v>
      </c>
      <c r="H82">
        <v>1.2281E-2</v>
      </c>
      <c r="I82">
        <v>1.2333E-2</v>
      </c>
      <c r="J82">
        <v>1.2383999999999999E-2</v>
      </c>
      <c r="K82">
        <v>1.2435999999999999E-2</v>
      </c>
      <c r="L82">
        <v>1.2487E-2</v>
      </c>
      <c r="M82">
        <v>1.2539E-2</v>
      </c>
      <c r="N82">
        <v>1.259E-2</v>
      </c>
      <c r="O82">
        <v>1.2642E-2</v>
      </c>
      <c r="P82">
        <v>1.2692999999999999E-2</v>
      </c>
      <c r="Q82">
        <v>1.2744E-2</v>
      </c>
      <c r="R82">
        <v>1.2796E-2</v>
      </c>
      <c r="S82">
        <v>1.2847000000000001E-2</v>
      </c>
      <c r="T82">
        <v>1.2899000000000001E-2</v>
      </c>
      <c r="U82">
        <v>1.2951000000000001E-2</v>
      </c>
      <c r="V82">
        <v>1.3006999999999999E-2</v>
      </c>
      <c r="W82">
        <v>1.3070999999999999E-2</v>
      </c>
      <c r="X82">
        <v>1.3154000000000001E-2</v>
      </c>
      <c r="Y82">
        <v>1.3272000000000001E-2</v>
      </c>
      <c r="Z82">
        <v>1.3459E-2</v>
      </c>
      <c r="AA82">
        <v>1.3774E-2</v>
      </c>
      <c r="AB82">
        <v>1.4328E-2</v>
      </c>
      <c r="AC82">
        <v>1.4885000000000001E-2</v>
      </c>
      <c r="AD82">
        <v>1.5443999999999999E-2</v>
      </c>
      <c r="AE82">
        <v>1.6007E-2</v>
      </c>
      <c r="AF82">
        <v>1.6572E-2</v>
      </c>
      <c r="AG82" s="6">
        <v>3.5000000000000003E-2</v>
      </c>
    </row>
    <row r="83" spans="1:33" x14ac:dyDescent="0.75">
      <c r="A83" t="s">
        <v>143</v>
      </c>
      <c r="B83" t="s">
        <v>488</v>
      </c>
      <c r="C83" t="s">
        <v>487</v>
      </c>
      <c r="D83" t="s">
        <v>146</v>
      </c>
      <c r="F83">
        <v>62.697704000000002</v>
      </c>
      <c r="G83">
        <v>71.294235</v>
      </c>
      <c r="H83">
        <v>79.992973000000006</v>
      </c>
      <c r="I83">
        <v>88.178039999999996</v>
      </c>
      <c r="J83">
        <v>96.523482999999999</v>
      </c>
      <c r="K83">
        <v>104.968887</v>
      </c>
      <c r="L83">
        <v>113.990364</v>
      </c>
      <c r="M83">
        <v>123.68132</v>
      </c>
      <c r="N83">
        <v>133.259018</v>
      </c>
      <c r="O83">
        <v>143.18649300000001</v>
      </c>
      <c r="P83">
        <v>153.01391599999999</v>
      </c>
      <c r="Q83">
        <v>160.67247</v>
      </c>
      <c r="R83">
        <v>168.56346099999999</v>
      </c>
      <c r="S83">
        <v>176.51448099999999</v>
      </c>
      <c r="T83">
        <v>184.853317</v>
      </c>
      <c r="U83">
        <v>193.228027</v>
      </c>
      <c r="V83">
        <v>201.758499</v>
      </c>
      <c r="W83">
        <v>210.33152799999999</v>
      </c>
      <c r="X83">
        <v>219.14546200000001</v>
      </c>
      <c r="Y83">
        <v>228.058289</v>
      </c>
      <c r="Z83">
        <v>237.096405</v>
      </c>
      <c r="AA83">
        <v>246.43699599999999</v>
      </c>
      <c r="AB83">
        <v>255.963303</v>
      </c>
      <c r="AC83">
        <v>265.76538099999999</v>
      </c>
      <c r="AD83">
        <v>275.789062</v>
      </c>
      <c r="AE83">
        <v>286.03298999999998</v>
      </c>
      <c r="AF83">
        <v>296.38397200000003</v>
      </c>
      <c r="AG83" s="6">
        <v>6.2E-2</v>
      </c>
    </row>
    <row r="84" spans="1:33" x14ac:dyDescent="0.75">
      <c r="A84" t="s">
        <v>144</v>
      </c>
      <c r="B84" t="s">
        <v>486</v>
      </c>
      <c r="C84" t="s">
        <v>485</v>
      </c>
      <c r="D84" t="s">
        <v>146</v>
      </c>
      <c r="F84">
        <v>0.36942000000000003</v>
      </c>
      <c r="G84">
        <v>0.62720100000000001</v>
      </c>
      <c r="H84">
        <v>0.87962300000000004</v>
      </c>
      <c r="I84">
        <v>0.99686600000000003</v>
      </c>
      <c r="J84">
        <v>1.1279790000000001</v>
      </c>
      <c r="K84">
        <v>1.269903</v>
      </c>
      <c r="L84">
        <v>1.541979</v>
      </c>
      <c r="M84">
        <v>1.9001189999999999</v>
      </c>
      <c r="N84">
        <v>2.2639939999999998</v>
      </c>
      <c r="O84">
        <v>2.3875139999999999</v>
      </c>
      <c r="P84">
        <v>2.4449730000000001</v>
      </c>
      <c r="Q84">
        <v>2.4463569999999999</v>
      </c>
      <c r="R84">
        <v>2.448035</v>
      </c>
      <c r="S84">
        <v>2.4499900000000001</v>
      </c>
      <c r="T84">
        <v>2.4522360000000001</v>
      </c>
      <c r="U84">
        <v>2.4546999999999999</v>
      </c>
      <c r="V84">
        <v>2.4574090000000002</v>
      </c>
      <c r="W84">
        <v>2.4603890000000002</v>
      </c>
      <c r="X84">
        <v>2.4635590000000001</v>
      </c>
      <c r="Y84">
        <v>2.4668480000000002</v>
      </c>
      <c r="Z84">
        <v>2.4702540000000002</v>
      </c>
      <c r="AA84">
        <v>2.4738060000000002</v>
      </c>
      <c r="AB84">
        <v>2.4775369999999999</v>
      </c>
      <c r="AC84">
        <v>2.4813749999999999</v>
      </c>
      <c r="AD84">
        <v>2.4853670000000001</v>
      </c>
      <c r="AE84">
        <v>2.4895170000000002</v>
      </c>
      <c r="AF84">
        <v>2.493827</v>
      </c>
      <c r="AG84" s="6">
        <v>7.5999999999999998E-2</v>
      </c>
    </row>
    <row r="85" spans="1:33" x14ac:dyDescent="0.75">
      <c r="A85" t="s">
        <v>1</v>
      </c>
      <c r="B85" t="s">
        <v>484</v>
      </c>
      <c r="C85" t="s">
        <v>483</v>
      </c>
      <c r="D85" t="s">
        <v>146</v>
      </c>
      <c r="F85">
        <v>63.073956000000003</v>
      </c>
      <c r="G85">
        <v>71.933661999999998</v>
      </c>
      <c r="H85">
        <v>80.884879999999995</v>
      </c>
      <c r="I85">
        <v>89.187233000000006</v>
      </c>
      <c r="J85">
        <v>97.663848999999999</v>
      </c>
      <c r="K85">
        <v>106.251228</v>
      </c>
      <c r="L85">
        <v>115.54483</v>
      </c>
      <c r="M85">
        <v>125.593971</v>
      </c>
      <c r="N85">
        <v>135.53559899999999</v>
      </c>
      <c r="O85">
        <v>145.58663899999999</v>
      </c>
      <c r="P85">
        <v>155.471588</v>
      </c>
      <c r="Q85">
        <v>163.131561</v>
      </c>
      <c r="R85">
        <v>171.024292</v>
      </c>
      <c r="S85">
        <v>178.97732500000001</v>
      </c>
      <c r="T85">
        <v>187.31845100000001</v>
      </c>
      <c r="U85">
        <v>195.69567900000001</v>
      </c>
      <c r="V85">
        <v>204.22891200000001</v>
      </c>
      <c r="W85">
        <v>212.804993</v>
      </c>
      <c r="X85">
        <v>221.62217699999999</v>
      </c>
      <c r="Y85">
        <v>230.53840600000001</v>
      </c>
      <c r="Z85">
        <v>239.58012400000001</v>
      </c>
      <c r="AA85">
        <v>248.924576</v>
      </c>
      <c r="AB85">
        <v>258.45517000000001</v>
      </c>
      <c r="AC85">
        <v>268.26165800000001</v>
      </c>
      <c r="AD85">
        <v>278.28988600000002</v>
      </c>
      <c r="AE85">
        <v>288.53851300000002</v>
      </c>
      <c r="AF85">
        <v>298.89437900000001</v>
      </c>
      <c r="AG85" s="6">
        <v>6.2E-2</v>
      </c>
    </row>
    <row r="86" spans="1:33" x14ac:dyDescent="0.75">
      <c r="A86" t="s">
        <v>147</v>
      </c>
    </row>
    <row r="87" spans="1:33" x14ac:dyDescent="0.75">
      <c r="A87" t="s">
        <v>148</v>
      </c>
      <c r="B87" t="s">
        <v>482</v>
      </c>
      <c r="C87" t="s">
        <v>481</v>
      </c>
      <c r="D87" t="s">
        <v>146</v>
      </c>
      <c r="F87">
        <v>11.527926000000001</v>
      </c>
      <c r="G87">
        <v>13.327674999999999</v>
      </c>
      <c r="H87">
        <v>15.115705</v>
      </c>
      <c r="I87">
        <v>16.711511999999999</v>
      </c>
      <c r="J87">
        <v>18.336743999999999</v>
      </c>
      <c r="K87">
        <v>19.964907</v>
      </c>
      <c r="L87">
        <v>21.847279</v>
      </c>
      <c r="M87">
        <v>23.999292000000001</v>
      </c>
      <c r="N87">
        <v>26.075050000000001</v>
      </c>
      <c r="O87">
        <v>28.288122000000001</v>
      </c>
      <c r="P87">
        <v>30.488133999999999</v>
      </c>
      <c r="Q87">
        <v>32.147984000000001</v>
      </c>
      <c r="R87">
        <v>33.877605000000003</v>
      </c>
      <c r="S87">
        <v>35.583419999999997</v>
      </c>
      <c r="T87">
        <v>37.429049999999997</v>
      </c>
      <c r="U87">
        <v>39.226177</v>
      </c>
      <c r="V87">
        <v>41.045380000000002</v>
      </c>
      <c r="W87">
        <v>42.813847000000003</v>
      </c>
      <c r="X87">
        <v>44.644409000000003</v>
      </c>
      <c r="Y87">
        <v>46.466735999999997</v>
      </c>
      <c r="Z87">
        <v>48.275852</v>
      </c>
      <c r="AA87">
        <v>50.168255000000002</v>
      </c>
      <c r="AB87">
        <v>52.062747999999999</v>
      </c>
      <c r="AC87">
        <v>54.058846000000003</v>
      </c>
      <c r="AD87">
        <v>56.059513000000003</v>
      </c>
      <c r="AE87">
        <v>58.126334999999997</v>
      </c>
      <c r="AF87">
        <v>60.175502999999999</v>
      </c>
      <c r="AG87" s="6">
        <v>6.6000000000000003E-2</v>
      </c>
    </row>
    <row r="88" spans="1:33" x14ac:dyDescent="0.75">
      <c r="A88" t="s">
        <v>149</v>
      </c>
      <c r="B88" t="s">
        <v>480</v>
      </c>
      <c r="C88" t="s">
        <v>479</v>
      </c>
      <c r="D88" t="s">
        <v>146</v>
      </c>
      <c r="F88">
        <v>51.546031999999997</v>
      </c>
      <c r="G88">
        <v>58.605991000000003</v>
      </c>
      <c r="H88">
        <v>65.769172999999995</v>
      </c>
      <c r="I88">
        <v>72.475723000000002</v>
      </c>
      <c r="J88">
        <v>79.327110000000005</v>
      </c>
      <c r="K88">
        <v>86.286323999999993</v>
      </c>
      <c r="L88">
        <v>93.697556000000006</v>
      </c>
      <c r="M88">
        <v>101.594688</v>
      </c>
      <c r="N88">
        <v>109.460548</v>
      </c>
      <c r="O88">
        <v>117.298531</v>
      </c>
      <c r="P88">
        <v>124.983452</v>
      </c>
      <c r="Q88">
        <v>130.98358200000001</v>
      </c>
      <c r="R88">
        <v>137.146683</v>
      </c>
      <c r="S88">
        <v>143.39390599999999</v>
      </c>
      <c r="T88">
        <v>149.88938899999999</v>
      </c>
      <c r="U88">
        <v>156.46949799999999</v>
      </c>
      <c r="V88">
        <v>163.18351699999999</v>
      </c>
      <c r="W88">
        <v>169.99115</v>
      </c>
      <c r="X88">
        <v>176.977768</v>
      </c>
      <c r="Y88">
        <v>184.07167100000001</v>
      </c>
      <c r="Z88">
        <v>191.30427599999999</v>
      </c>
      <c r="AA88">
        <v>198.75633199999999</v>
      </c>
      <c r="AB88">
        <v>206.39241000000001</v>
      </c>
      <c r="AC88">
        <v>214.20282</v>
      </c>
      <c r="AD88">
        <v>222.230377</v>
      </c>
      <c r="AE88">
        <v>230.41217</v>
      </c>
      <c r="AF88">
        <v>238.718842</v>
      </c>
      <c r="AG88" s="6">
        <v>6.0999999999999999E-2</v>
      </c>
    </row>
    <row r="89" spans="1:33" x14ac:dyDescent="0.75">
      <c r="A89" t="s">
        <v>150</v>
      </c>
    </row>
    <row r="90" spans="1:33" x14ac:dyDescent="0.75">
      <c r="A90" t="s">
        <v>141</v>
      </c>
      <c r="B90" t="s">
        <v>478</v>
      </c>
      <c r="C90" t="s">
        <v>477</v>
      </c>
      <c r="D90" t="s">
        <v>151</v>
      </c>
      <c r="F90">
        <v>5.2158999999999997E-2</v>
      </c>
      <c r="G90">
        <v>9.3352000000000004E-2</v>
      </c>
      <c r="H90">
        <v>9.3744999999999995E-2</v>
      </c>
      <c r="I90">
        <v>9.4137999999999999E-2</v>
      </c>
      <c r="J90">
        <v>9.4531000000000004E-2</v>
      </c>
      <c r="K90">
        <v>9.4923999999999994E-2</v>
      </c>
      <c r="L90">
        <v>9.5316999999999999E-2</v>
      </c>
      <c r="M90">
        <v>9.5710000000000003E-2</v>
      </c>
      <c r="N90">
        <v>9.6102999999999994E-2</v>
      </c>
      <c r="O90">
        <v>9.6495999999999998E-2</v>
      </c>
      <c r="P90">
        <v>9.6889000000000003E-2</v>
      </c>
      <c r="Q90">
        <v>9.7281999999999993E-2</v>
      </c>
      <c r="R90">
        <v>9.7674999999999998E-2</v>
      </c>
      <c r="S90">
        <v>9.8068000000000002E-2</v>
      </c>
      <c r="T90">
        <v>9.8461000000000007E-2</v>
      </c>
      <c r="U90">
        <v>9.8860000000000003E-2</v>
      </c>
      <c r="V90">
        <v>9.9283999999999997E-2</v>
      </c>
      <c r="W90">
        <v>9.9774000000000002E-2</v>
      </c>
      <c r="X90">
        <v>0.100407</v>
      </c>
      <c r="Y90">
        <v>0.101309</v>
      </c>
      <c r="Z90">
        <v>0.10273500000000001</v>
      </c>
      <c r="AA90">
        <v>0.105142</v>
      </c>
      <c r="AB90">
        <v>0.109371</v>
      </c>
      <c r="AC90">
        <v>0.113619</v>
      </c>
      <c r="AD90">
        <v>0.117891</v>
      </c>
      <c r="AE90">
        <v>0.122184</v>
      </c>
      <c r="AF90">
        <v>0.126495</v>
      </c>
      <c r="AG90" s="6">
        <v>3.5000000000000003E-2</v>
      </c>
    </row>
    <row r="91" spans="1:33" x14ac:dyDescent="0.75">
      <c r="A91" t="s">
        <v>143</v>
      </c>
      <c r="B91" t="s">
        <v>476</v>
      </c>
      <c r="C91" t="s">
        <v>475</v>
      </c>
      <c r="D91" t="s">
        <v>151</v>
      </c>
      <c r="F91">
        <v>213.92456100000001</v>
      </c>
      <c r="G91">
        <v>243.25592</v>
      </c>
      <c r="H91">
        <v>272.93600500000002</v>
      </c>
      <c r="I91">
        <v>300.86346400000002</v>
      </c>
      <c r="J91">
        <v>329.33810399999999</v>
      </c>
      <c r="K91">
        <v>358.15386999999998</v>
      </c>
      <c r="L91">
        <v>388.93511999999998</v>
      </c>
      <c r="M91">
        <v>422.00060999999999</v>
      </c>
      <c r="N91">
        <v>454.67974900000002</v>
      </c>
      <c r="O91">
        <v>488.55230699999998</v>
      </c>
      <c r="P91">
        <v>522.08343500000001</v>
      </c>
      <c r="Q91">
        <v>548.21447799999999</v>
      </c>
      <c r="R91">
        <v>575.13855000000001</v>
      </c>
      <c r="S91">
        <v>602.26739499999996</v>
      </c>
      <c r="T91">
        <v>630.71948199999997</v>
      </c>
      <c r="U91">
        <v>659.29394500000001</v>
      </c>
      <c r="V91">
        <v>688.399902</v>
      </c>
      <c r="W91">
        <v>717.65118399999994</v>
      </c>
      <c r="X91">
        <v>747.72436500000003</v>
      </c>
      <c r="Y91">
        <v>778.13476600000001</v>
      </c>
      <c r="Z91">
        <v>808.97296100000005</v>
      </c>
      <c r="AA91">
        <v>840.84301800000003</v>
      </c>
      <c r="AB91">
        <v>873.34674099999995</v>
      </c>
      <c r="AC91">
        <v>906.79150400000003</v>
      </c>
      <c r="AD91">
        <v>940.99224900000002</v>
      </c>
      <c r="AE91">
        <v>975.94445800000005</v>
      </c>
      <c r="AF91">
        <v>1011.261963</v>
      </c>
      <c r="AG91" s="6">
        <v>6.2E-2</v>
      </c>
    </row>
    <row r="92" spans="1:33" x14ac:dyDescent="0.75">
      <c r="A92" t="s">
        <v>144</v>
      </c>
      <c r="B92" t="s">
        <v>474</v>
      </c>
      <c r="C92" t="s">
        <v>473</v>
      </c>
      <c r="D92" t="s">
        <v>151</v>
      </c>
      <c r="F92">
        <v>1.2604599999999999</v>
      </c>
      <c r="G92">
        <v>2.1400079999999999</v>
      </c>
      <c r="H92">
        <v>3.0012729999999999</v>
      </c>
      <c r="I92">
        <v>3.4013070000000001</v>
      </c>
      <c r="J92">
        <v>3.848665</v>
      </c>
      <c r="K92">
        <v>4.3329079999999998</v>
      </c>
      <c r="L92">
        <v>5.2612310000000004</v>
      </c>
      <c r="M92">
        <v>6.483206</v>
      </c>
      <c r="N92">
        <v>7.7247459999999997</v>
      </c>
      <c r="O92">
        <v>8.1461970000000008</v>
      </c>
      <c r="P92">
        <v>8.3422479999999997</v>
      </c>
      <c r="Q92">
        <v>8.3469700000000007</v>
      </c>
      <c r="R92">
        <v>8.3526950000000006</v>
      </c>
      <c r="S92">
        <v>8.3593650000000004</v>
      </c>
      <c r="T92">
        <v>8.3670290000000005</v>
      </c>
      <c r="U92">
        <v>8.3754380000000008</v>
      </c>
      <c r="V92">
        <v>8.3846799999999995</v>
      </c>
      <c r="W92">
        <v>8.3948470000000004</v>
      </c>
      <c r="X92">
        <v>8.4056619999999995</v>
      </c>
      <c r="Y92">
        <v>8.4168839999999996</v>
      </c>
      <c r="Z92">
        <v>8.4285049999999995</v>
      </c>
      <c r="AA92">
        <v>8.4406239999999997</v>
      </c>
      <c r="AB92">
        <v>8.4533539999999991</v>
      </c>
      <c r="AC92">
        <v>8.46645</v>
      </c>
      <c r="AD92">
        <v>8.4800719999999998</v>
      </c>
      <c r="AE92">
        <v>8.4942320000000002</v>
      </c>
      <c r="AF92">
        <v>8.5089380000000006</v>
      </c>
      <c r="AG92" s="6">
        <v>7.5999999999999998E-2</v>
      </c>
    </row>
    <row r="93" spans="1:33" x14ac:dyDescent="0.75">
      <c r="A93" t="s">
        <v>1</v>
      </c>
      <c r="B93" t="s">
        <v>472</v>
      </c>
      <c r="C93" t="s">
        <v>471</v>
      </c>
      <c r="D93" t="s">
        <v>151</v>
      </c>
      <c r="F93">
        <v>215.237167</v>
      </c>
      <c r="G93">
        <v>245.48928799999999</v>
      </c>
      <c r="H93">
        <v>276.03103599999997</v>
      </c>
      <c r="I93">
        <v>304.35891700000002</v>
      </c>
      <c r="J93">
        <v>333.28131100000002</v>
      </c>
      <c r="K93">
        <v>362.58169600000002</v>
      </c>
      <c r="L93">
        <v>394.29165599999999</v>
      </c>
      <c r="M93">
        <v>428.57952899999998</v>
      </c>
      <c r="N93">
        <v>462.50058000000001</v>
      </c>
      <c r="O93">
        <v>496.79501299999998</v>
      </c>
      <c r="P93">
        <v>530.52252199999998</v>
      </c>
      <c r="Q93">
        <v>556.65875200000005</v>
      </c>
      <c r="R93">
        <v>583.58892800000001</v>
      </c>
      <c r="S93">
        <v>610.72485400000005</v>
      </c>
      <c r="T93">
        <v>639.18493699999999</v>
      </c>
      <c r="U93">
        <v>667.76824999999997</v>
      </c>
      <c r="V93">
        <v>696.88391100000001</v>
      </c>
      <c r="W93">
        <v>726.14581299999998</v>
      </c>
      <c r="X93">
        <v>756.23040800000001</v>
      </c>
      <c r="Y93">
        <v>786.65295400000002</v>
      </c>
      <c r="Z93">
        <v>817.50421100000005</v>
      </c>
      <c r="AA93">
        <v>849.38879399999996</v>
      </c>
      <c r="AB93">
        <v>881.90948500000002</v>
      </c>
      <c r="AC93">
        <v>915.37158199999999</v>
      </c>
      <c r="AD93">
        <v>949.59020999999996</v>
      </c>
      <c r="AE93">
        <v>984.56091300000003</v>
      </c>
      <c r="AF93">
        <v>1019.897339</v>
      </c>
      <c r="AG93" s="6">
        <v>6.2E-2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ED741-CB87-4FBD-AFE7-FC253679CA67}">
  <sheetPr>
    <tabColor theme="5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1"/>
  <sheetViews>
    <sheetView zoomScale="80" zoomScaleNormal="80" workbookViewId="0">
      <selection activeCell="A2" sqref="A2"/>
    </sheetView>
  </sheetViews>
  <sheetFormatPr defaultRowHeight="14.75" x14ac:dyDescent="0.75"/>
  <cols>
    <col min="1" max="1" width="19.54296875" customWidth="1"/>
    <col min="2" max="2" width="26.40625" customWidth="1"/>
    <col min="3" max="3" width="15" customWidth="1"/>
    <col min="4" max="4" width="10.26953125" customWidth="1"/>
    <col min="5" max="5" width="15" customWidth="1"/>
  </cols>
  <sheetData>
    <row r="1" spans="1:9" x14ac:dyDescent="0.75">
      <c r="A1" s="103" t="s">
        <v>331</v>
      </c>
      <c r="B1" s="103"/>
      <c r="C1" s="103"/>
      <c r="D1" s="103"/>
      <c r="E1" s="103"/>
      <c r="F1" s="103"/>
      <c r="G1" s="103"/>
      <c r="H1" s="103"/>
      <c r="I1" s="103"/>
    </row>
    <row r="2" spans="1:9" ht="44.25" x14ac:dyDescent="0.75">
      <c r="A2" s="2" t="s">
        <v>335</v>
      </c>
      <c r="B2" s="2" t="s">
        <v>334</v>
      </c>
      <c r="C2" s="47" t="s">
        <v>336</v>
      </c>
      <c r="D2" s="47" t="s">
        <v>400</v>
      </c>
      <c r="E2" s="47" t="s">
        <v>399</v>
      </c>
      <c r="I2" t="s">
        <v>333</v>
      </c>
    </row>
    <row r="3" spans="1:9" x14ac:dyDescent="0.75">
      <c r="A3" s="65" t="s">
        <v>293</v>
      </c>
      <c r="B3" s="65"/>
      <c r="C3" s="65"/>
      <c r="D3" s="65"/>
      <c r="E3" s="69">
        <f>SUM(C4:C10)/E43</f>
        <v>0.34719120903556966</v>
      </c>
    </row>
    <row r="4" spans="1:9" x14ac:dyDescent="0.75">
      <c r="A4" s="41" t="s">
        <v>293</v>
      </c>
      <c r="B4" t="s">
        <v>158</v>
      </c>
      <c r="C4">
        <f>IFERROR(INDEX(TableB39!$E$154:$K$159,MATCH('Summary_Com Appliances'!$A4,TableB39!$B$154:$B$159,0),MATCH('Summary_Com Appliances'!$B4,TableB39!$E$5:$K$5,0)),"")</f>
        <v>7215</v>
      </c>
      <c r="D4" s="66">
        <f t="shared" ref="D4:D42" si="0">IFERROR(C4/$D$43,"")</f>
        <v>6.0808589898104524E-2</v>
      </c>
      <c r="I4" t="str">
        <f>About!$B$14</f>
        <v>https://www.eia.gov/consumption/commercial/data/2012/#b38-b46</v>
      </c>
    </row>
    <row r="5" spans="1:9" x14ac:dyDescent="0.75">
      <c r="A5" s="64" t="s">
        <v>293</v>
      </c>
      <c r="B5" t="s">
        <v>159</v>
      </c>
      <c r="C5">
        <f>IFERROR(INDEX(TableB39!$E$154:$K$159,MATCH('Summary_Com Appliances'!$A5,TableB39!$B$154:$B$159,0),MATCH('Summary_Com Appliances'!$B5,TableB39!$E$5:$K$5,0)),"")</f>
        <v>2270</v>
      </c>
      <c r="D5" s="66">
        <f t="shared" si="0"/>
        <v>1.9131739302660745E-2</v>
      </c>
      <c r="I5" t="str">
        <f>About!$B$14</f>
        <v>https://www.eia.gov/consumption/commercial/data/2012/#b38-b46</v>
      </c>
    </row>
    <row r="6" spans="1:9" x14ac:dyDescent="0.75">
      <c r="A6" s="41" t="s">
        <v>293</v>
      </c>
      <c r="B6" t="s">
        <v>160</v>
      </c>
      <c r="C6">
        <f>IFERROR(INDEX(TableB39!$E$154:$K$159,MATCH('Summary_Com Appliances'!$A6,TableB39!$B$154:$B$159,0),MATCH('Summary_Com Appliances'!$B6,TableB39!$E$5:$K$5,0)),"")</f>
        <v>6035</v>
      </c>
      <c r="D6" s="66">
        <f t="shared" si="0"/>
        <v>5.0863456692316122E-2</v>
      </c>
      <c r="I6" t="str">
        <f>About!$B$14</f>
        <v>https://www.eia.gov/consumption/commercial/data/2012/#b38-b46</v>
      </c>
    </row>
    <row r="7" spans="1:9" x14ac:dyDescent="0.75">
      <c r="A7" s="41" t="s">
        <v>293</v>
      </c>
      <c r="B7" t="s">
        <v>161</v>
      </c>
      <c r="C7" t="str">
        <f>IFERROR(INDEX(TableB39!$E$154:$K$159,MATCH('Summary_Com Appliances'!$A7,TableB39!$B$154:$B$159,0),MATCH('Summary_Com Appliances'!$B7,TableB39!$E$5:$K$5,0)),"")</f>
        <v>Q</v>
      </c>
      <c r="D7" s="66" t="str">
        <f t="shared" si="0"/>
        <v/>
      </c>
      <c r="I7" t="str">
        <f>About!$B$14</f>
        <v>https://www.eia.gov/consumption/commercial/data/2012/#b38-b46</v>
      </c>
    </row>
    <row r="8" spans="1:9" x14ac:dyDescent="0.75">
      <c r="A8" s="64" t="s">
        <v>293</v>
      </c>
      <c r="B8" t="s">
        <v>162</v>
      </c>
      <c r="C8">
        <f>IFERROR(INDEX(TableB39!$E$154:$K$159,MATCH('Summary_Com Appliances'!$A8,TableB39!$B$154:$B$159,0),MATCH('Summary_Com Appliances'!$B8,TableB39!$E$5:$K$5,0)),"")</f>
        <v>2982</v>
      </c>
      <c r="D8" s="66">
        <f t="shared" si="0"/>
        <v>2.5132531542085612E-2</v>
      </c>
      <c r="I8" t="str">
        <f>About!$B$14</f>
        <v>https://www.eia.gov/consumption/commercial/data/2012/#b38-b46</v>
      </c>
    </row>
    <row r="9" spans="1:9" x14ac:dyDescent="0.75">
      <c r="A9" s="41" t="s">
        <v>293</v>
      </c>
      <c r="B9" t="s">
        <v>163</v>
      </c>
      <c r="C9">
        <f>IFERROR(INDEX(TableB39!$E$154:$K$159,MATCH('Summary_Com Appliances'!$A9,TableB39!$B$154:$B$159,0),MATCH('Summary_Com Appliances'!$B9,TableB39!$E$5:$K$5,0)),"")</f>
        <v>18523</v>
      </c>
      <c r="D9" s="66">
        <f t="shared" si="0"/>
        <v>0.15611330709391408</v>
      </c>
      <c r="I9" t="str">
        <f>About!$B$14</f>
        <v>https://www.eia.gov/consumption/commercial/data/2012/#b38-b46</v>
      </c>
    </row>
    <row r="10" spans="1:9" x14ac:dyDescent="0.75">
      <c r="A10" s="41" t="s">
        <v>293</v>
      </c>
      <c r="B10" t="s">
        <v>72</v>
      </c>
      <c r="C10">
        <f>IFERROR(INDEX(TableB39!$E$154:$K$159,MATCH('Summary_Com Appliances'!$A10,TableB39!$B$154:$B$159,0),MATCH('Summary_Com Appliances'!$B10,TableB39!$E$5:$K$5,0)),"")</f>
        <v>447</v>
      </c>
      <c r="D10" s="66">
        <f t="shared" si="0"/>
        <v>3.7673513076164548E-3</v>
      </c>
      <c r="I10" t="str">
        <f>About!$B$14</f>
        <v>https://www.eia.gov/consumption/commercial/data/2012/#b38-b46</v>
      </c>
    </row>
    <row r="11" spans="1:9" x14ac:dyDescent="0.75">
      <c r="A11" s="65" t="s">
        <v>294</v>
      </c>
      <c r="B11" s="67"/>
      <c r="C11" s="67" t="str">
        <f>IFERROR(INDEX(TableB39!$E$154:$K$159,MATCH('Summary_Com Appliances'!$A11,TableB39!$B$154:$B$159,0),MATCH('Summary_Com Appliances'!$B11,TableB39!$E$5:$K$5,0)),"")</f>
        <v/>
      </c>
      <c r="D11" s="67" t="str">
        <f t="shared" si="0"/>
        <v/>
      </c>
      <c r="E11" s="69">
        <f>SUM(C12:C18)/E43</f>
        <v>0.62252036060743632</v>
      </c>
      <c r="I11" t="str">
        <f>About!$B$14</f>
        <v>https://www.eia.gov/consumption/commercial/data/2012/#b38-b46</v>
      </c>
    </row>
    <row r="12" spans="1:9" x14ac:dyDescent="0.75">
      <c r="A12" s="41" t="s">
        <v>294</v>
      </c>
      <c r="B12" t="s">
        <v>158</v>
      </c>
      <c r="C12">
        <f>IFERROR(INDEX(TableB39!$E$154:$K$159,MATCH('Summary_Com Appliances'!$A12,TableB39!$B$154:$B$159,0),MATCH('Summary_Com Appliances'!$B12,TableB39!$E$5:$K$5,0)),"")</f>
        <v>3792</v>
      </c>
      <c r="D12" s="66">
        <f t="shared" si="0"/>
        <v>3.1959275522330195E-2</v>
      </c>
      <c r="I12" t="str">
        <f>About!$B$14</f>
        <v>https://www.eia.gov/consumption/commercial/data/2012/#b38-b46</v>
      </c>
    </row>
    <row r="13" spans="1:9" x14ac:dyDescent="0.75">
      <c r="A13" s="41" t="s">
        <v>294</v>
      </c>
      <c r="B13" t="s">
        <v>159</v>
      </c>
      <c r="C13">
        <f>IFERROR(INDEX(TableB39!$E$154:$K$159,MATCH('Summary_Com Appliances'!$A13,TableB39!$B$154:$B$159,0),MATCH('Summary_Com Appliances'!$B13,TableB39!$E$5:$K$5,0)),"")</f>
        <v>5778</v>
      </c>
      <c r="D13" s="66">
        <f t="shared" si="0"/>
        <v>4.8697440392411355E-2</v>
      </c>
      <c r="I13" t="str">
        <f>About!$B$14</f>
        <v>https://www.eia.gov/consumption/commercial/data/2012/#b38-b46</v>
      </c>
    </row>
    <row r="14" spans="1:9" x14ac:dyDescent="0.75">
      <c r="A14" s="41" t="s">
        <v>294</v>
      </c>
      <c r="B14" t="s">
        <v>160</v>
      </c>
      <c r="C14">
        <f>IFERROR(INDEX(TableB39!$E$154:$K$159,MATCH('Summary_Com Appliances'!$A14,TableB39!$B$154:$B$159,0),MATCH('Summary_Com Appliances'!$B14,TableB39!$E$5:$K$5,0)),"")</f>
        <v>11482</v>
      </c>
      <c r="D14" s="66">
        <f t="shared" si="0"/>
        <v>9.6771202939713946E-2</v>
      </c>
      <c r="I14" t="str">
        <f>About!$B$14</f>
        <v>https://www.eia.gov/consumption/commercial/data/2012/#b38-b46</v>
      </c>
    </row>
    <row r="15" spans="1:9" x14ac:dyDescent="0.75">
      <c r="A15" s="41" t="s">
        <v>294</v>
      </c>
      <c r="B15" t="s">
        <v>161</v>
      </c>
      <c r="C15" t="str">
        <f>IFERROR(INDEX(TableB39!$E$154:$K$159,MATCH('Summary_Com Appliances'!$A15,TableB39!$B$154:$B$159,0),MATCH('Summary_Com Appliances'!$B15,TableB39!$E$5:$K$5,0)),"")</f>
        <v>Q</v>
      </c>
      <c r="D15" s="66" t="str">
        <f t="shared" si="0"/>
        <v/>
      </c>
      <c r="I15" t="str">
        <f>About!$B$14</f>
        <v>https://www.eia.gov/consumption/commercial/data/2012/#b38-b46</v>
      </c>
    </row>
    <row r="16" spans="1:9" x14ac:dyDescent="0.75">
      <c r="A16" s="41" t="s">
        <v>294</v>
      </c>
      <c r="B16" t="s">
        <v>162</v>
      </c>
      <c r="C16">
        <f>IFERROR(INDEX(TableB39!$E$154:$K$159,MATCH('Summary_Com Appliances'!$A16,TableB39!$B$154:$B$159,0),MATCH('Summary_Com Appliances'!$B16,TableB39!$E$5:$K$5,0)),"")</f>
        <v>17437</v>
      </c>
      <c r="D16" s="66">
        <f t="shared" si="0"/>
        <v>0.14696041331299356</v>
      </c>
      <c r="I16" t="str">
        <f>About!$B$14</f>
        <v>https://www.eia.gov/consumption/commercial/data/2012/#b38-b46</v>
      </c>
    </row>
    <row r="17" spans="1:9" x14ac:dyDescent="0.75">
      <c r="A17" s="41" t="s">
        <v>294</v>
      </c>
      <c r="B17" t="s">
        <v>163</v>
      </c>
      <c r="C17">
        <f>IFERROR(INDEX(TableB39!$E$154:$K$159,MATCH('Summary_Com Appliances'!$A17,TableB39!$B$154:$B$159,0),MATCH('Summary_Com Appliances'!$B17,TableB39!$E$5:$K$5,0)),"")</f>
        <v>27826</v>
      </c>
      <c r="D17" s="66">
        <f t="shared" si="0"/>
        <v>0.23451972591887132</v>
      </c>
      <c r="I17" t="str">
        <f>About!$B$14</f>
        <v>https://www.eia.gov/consumption/commercial/data/2012/#b38-b46</v>
      </c>
    </row>
    <row r="18" spans="1:9" x14ac:dyDescent="0.75">
      <c r="A18" s="41" t="s">
        <v>294</v>
      </c>
      <c r="B18" t="s">
        <v>72</v>
      </c>
      <c r="C18">
        <f>IFERROR(INDEX(TableB39!$E$154:$K$159,MATCH('Summary_Com Appliances'!$A18,TableB39!$B$154:$B$159,0),MATCH('Summary_Com Appliances'!$B18,TableB39!$E$5:$K$5,0)),"")</f>
        <v>873</v>
      </c>
      <c r="D18" s="66">
        <f t="shared" si="0"/>
        <v>7.3577129564858278E-3</v>
      </c>
      <c r="I18" t="str">
        <f>About!$B$14</f>
        <v>https://www.eia.gov/consumption/commercial/data/2012/#b38-b46</v>
      </c>
    </row>
    <row r="19" spans="1:9" x14ac:dyDescent="0.75">
      <c r="A19" s="65" t="s">
        <v>295</v>
      </c>
      <c r="B19" s="67"/>
      <c r="C19" s="67" t="str">
        <f>IFERROR(INDEX(TableB39!$E$154:$K$159,MATCH('Summary_Com Appliances'!$A19,TableB39!$B$154:$B$159,0),MATCH('Summary_Com Appliances'!$B19,TableB39!$E$5:$K$5,0)),"")</f>
        <v/>
      </c>
      <c r="D19" s="67" t="str">
        <f t="shared" si="0"/>
        <v/>
      </c>
      <c r="E19" s="69">
        <f>SUM(C20:C26)/E43</f>
        <v>3.028843035699395E-2</v>
      </c>
      <c r="I19" t="str">
        <f>About!$B$14</f>
        <v>https://www.eia.gov/consumption/commercial/data/2012/#b38-b46</v>
      </c>
    </row>
    <row r="20" spans="1:9" x14ac:dyDescent="0.75">
      <c r="A20" s="41" t="s">
        <v>295</v>
      </c>
      <c r="B20" t="s">
        <v>158</v>
      </c>
      <c r="C20" t="str">
        <f>IFERROR(INDEX(TableB39!$E$154:$K$159,MATCH('Summary_Com Appliances'!$A20,TableB39!$B$154:$B$159,0),MATCH('Summary_Com Appliances'!$B20,TableB39!$E$5:$K$5,0)),"")</f>
        <v>Q</v>
      </c>
      <c r="D20" s="66" t="str">
        <f t="shared" si="0"/>
        <v/>
      </c>
      <c r="I20" t="str">
        <f>About!$B$14</f>
        <v>https://www.eia.gov/consumption/commercial/data/2012/#b38-b46</v>
      </c>
    </row>
    <row r="21" spans="1:9" x14ac:dyDescent="0.75">
      <c r="A21" s="41" t="s">
        <v>295</v>
      </c>
      <c r="B21" t="s">
        <v>159</v>
      </c>
      <c r="C21" t="str">
        <f>IFERROR(INDEX(TableB39!$E$154:$K$159,MATCH('Summary_Com Appliances'!$A21,TableB39!$B$154:$B$159,0),MATCH('Summary_Com Appliances'!$B21,TableB39!$E$5:$K$5,0)),"")</f>
        <v>Q</v>
      </c>
      <c r="D21" s="66" t="str">
        <f t="shared" si="0"/>
        <v/>
      </c>
      <c r="I21" t="str">
        <f>About!$B$14</f>
        <v>https://www.eia.gov/consumption/commercial/data/2012/#b38-b46</v>
      </c>
    </row>
    <row r="22" spans="1:9" x14ac:dyDescent="0.75">
      <c r="A22" s="41" t="s">
        <v>295</v>
      </c>
      <c r="B22" t="s">
        <v>160</v>
      </c>
      <c r="C22">
        <f>IFERROR(INDEX(TableB39!$E$154:$K$159,MATCH('Summary_Com Appliances'!$A22,TableB39!$B$154:$B$159,0),MATCH('Summary_Com Appliances'!$B22,TableB39!$E$5:$K$5,0)),"")</f>
        <v>1008</v>
      </c>
      <c r="D22" s="66">
        <f t="shared" si="0"/>
        <v>8.4955036198599253E-3</v>
      </c>
      <c r="I22" t="str">
        <f>About!$B$14</f>
        <v>https://www.eia.gov/consumption/commercial/data/2012/#b38-b46</v>
      </c>
    </row>
    <row r="23" spans="1:9" x14ac:dyDescent="0.75">
      <c r="A23" s="41" t="s">
        <v>295</v>
      </c>
      <c r="B23" t="s">
        <v>161</v>
      </c>
      <c r="C23" t="str">
        <f>IFERROR(INDEX(TableB39!$E$154:$K$159,MATCH('Summary_Com Appliances'!$A23,TableB39!$B$154:$B$159,0),MATCH('Summary_Com Appliances'!$B23,TableB39!$E$5:$K$5,0)),"")</f>
        <v>Q</v>
      </c>
      <c r="D23" s="66" t="str">
        <f t="shared" si="0"/>
        <v/>
      </c>
      <c r="I23" t="str">
        <f>About!$B$14</f>
        <v>https://www.eia.gov/consumption/commercial/data/2012/#b38-b46</v>
      </c>
    </row>
    <row r="24" spans="1:9" x14ac:dyDescent="0.75">
      <c r="A24" s="41" t="s">
        <v>295</v>
      </c>
      <c r="B24" t="s">
        <v>162</v>
      </c>
      <c r="C24">
        <f>IFERROR(INDEX(TableB39!$E$154:$K$159,MATCH('Summary_Com Appliances'!$A24,TableB39!$B$154:$B$159,0),MATCH('Summary_Com Appliances'!$B24,TableB39!$E$5:$K$5,0)),"")</f>
        <v>1504</v>
      </c>
      <c r="D24" s="66">
        <f t="shared" si="0"/>
        <v>1.2675830797886237E-2</v>
      </c>
      <c r="I24" t="str">
        <f>About!$B$14</f>
        <v>https://www.eia.gov/consumption/commercial/data/2012/#b38-b46</v>
      </c>
    </row>
    <row r="25" spans="1:9" x14ac:dyDescent="0.75">
      <c r="A25" s="41" t="s">
        <v>295</v>
      </c>
      <c r="B25" t="s">
        <v>163</v>
      </c>
      <c r="C25">
        <f>IFERROR(INDEX(TableB39!$E$154:$K$159,MATCH('Summary_Com Appliances'!$A25,TableB39!$B$154:$B$159,0),MATCH('Summary_Com Appliances'!$B25,TableB39!$E$5:$K$5,0)),"")</f>
        <v>757</v>
      </c>
      <c r="D25" s="66">
        <f t="shared" si="0"/>
        <v>6.3800557938829003E-3</v>
      </c>
      <c r="I25" t="str">
        <f>About!$B$14</f>
        <v>https://www.eia.gov/consumption/commercial/data/2012/#b38-b46</v>
      </c>
    </row>
    <row r="26" spans="1:9" x14ac:dyDescent="0.75">
      <c r="A26" s="41" t="s">
        <v>295</v>
      </c>
      <c r="B26" t="s">
        <v>72</v>
      </c>
      <c r="C26" t="str">
        <f>IFERROR(INDEX(TableB39!$E$154:$K$159,MATCH('Summary_Com Appliances'!$A26,TableB39!$B$154:$B$159,0),MATCH('Summary_Com Appliances'!$B26,TableB39!$E$5:$K$5,0)),"")</f>
        <v>Q</v>
      </c>
      <c r="D26" s="66" t="str">
        <f t="shared" si="0"/>
        <v/>
      </c>
      <c r="I26" t="str">
        <f>About!$B$14</f>
        <v>https://www.eia.gov/consumption/commercial/data/2012/#b38-b46</v>
      </c>
    </row>
    <row r="27" spans="1:9" x14ac:dyDescent="0.75">
      <c r="A27" s="65" t="s">
        <v>296</v>
      </c>
      <c r="B27" s="67"/>
      <c r="C27" s="67" t="str">
        <f>IFERROR(INDEX(TableB39!$E$154:$K$159,MATCH('Summary_Com Appliances'!$A27,TableB39!$B$154:$B$159,0),MATCH('Summary_Com Appliances'!$B27,TableB39!$E$5:$K$5,0)),"")</f>
        <v/>
      </c>
      <c r="D27" s="67" t="str">
        <f t="shared" si="0"/>
        <v/>
      </c>
      <c r="I27" t="str">
        <f>About!$B$14</f>
        <v>https://www.eia.gov/consumption/commercial/data/2012/#b38-b46</v>
      </c>
    </row>
    <row r="28" spans="1:9" x14ac:dyDescent="0.75">
      <c r="A28" s="41" t="s">
        <v>296</v>
      </c>
      <c r="B28" t="s">
        <v>158</v>
      </c>
      <c r="C28">
        <f>IFERROR(INDEX(TableB39!$E$154:$K$159,MATCH('Summary_Com Appliances'!$A28,TableB39!$B$154:$B$159,0),MATCH('Summary_Com Appliances'!$B28,TableB39!$E$5:$K$5,0)),"")</f>
        <v>464</v>
      </c>
      <c r="D28" s="66">
        <f t="shared" si="0"/>
        <v>3.9106286504117117E-3</v>
      </c>
      <c r="I28" t="str">
        <f>About!$B$14</f>
        <v>https://www.eia.gov/consumption/commercial/data/2012/#b38-b46</v>
      </c>
    </row>
    <row r="29" spans="1:9" x14ac:dyDescent="0.75">
      <c r="A29" s="41" t="s">
        <v>296</v>
      </c>
      <c r="B29" t="s">
        <v>159</v>
      </c>
      <c r="C29" t="str">
        <f>IFERROR(INDEX(TableB39!$E$154:$K$159,MATCH('Summary_Com Appliances'!$A29,TableB39!$B$154:$B$159,0),MATCH('Summary_Com Appliances'!$B29,TableB39!$E$5:$K$5,0)),"")</f>
        <v>Q</v>
      </c>
      <c r="D29" s="66" t="str">
        <f t="shared" si="0"/>
        <v/>
      </c>
      <c r="I29" t="str">
        <f>About!$B$14</f>
        <v>https://www.eia.gov/consumption/commercial/data/2012/#b38-b46</v>
      </c>
    </row>
    <row r="30" spans="1:9" x14ac:dyDescent="0.75">
      <c r="A30" s="41" t="s">
        <v>296</v>
      </c>
      <c r="B30" t="s">
        <v>160</v>
      </c>
      <c r="C30">
        <f>IFERROR(INDEX(TableB39!$E$154:$K$159,MATCH('Summary_Com Appliances'!$A30,TableB39!$B$154:$B$159,0),MATCH('Summary_Com Appliances'!$B30,TableB39!$E$5:$K$5,0)),"")</f>
        <v>1271</v>
      </c>
      <c r="D30" s="66">
        <f t="shared" si="0"/>
        <v>1.0712088393692426E-2</v>
      </c>
      <c r="I30" t="str">
        <f>About!$B$14</f>
        <v>https://www.eia.gov/consumption/commercial/data/2012/#b38-b46</v>
      </c>
    </row>
    <row r="31" spans="1:9" x14ac:dyDescent="0.75">
      <c r="A31" s="41" t="s">
        <v>296</v>
      </c>
      <c r="B31" t="s">
        <v>161</v>
      </c>
      <c r="C31">
        <f>IFERROR(INDEX(TableB39!$E$154:$K$159,MATCH('Summary_Com Appliances'!$A31,TableB39!$B$154:$B$159,0),MATCH('Summary_Com Appliances'!$B31,TableB39!$E$5:$K$5,0)),"")</f>
        <v>5797</v>
      </c>
      <c r="D31" s="66">
        <f t="shared" si="0"/>
        <v>4.8857573893182529E-2</v>
      </c>
      <c r="I31" t="str">
        <f>About!$B$14</f>
        <v>https://www.eia.gov/consumption/commercial/data/2012/#b38-b46</v>
      </c>
    </row>
    <row r="32" spans="1:9" x14ac:dyDescent="0.75">
      <c r="A32" s="41" t="s">
        <v>296</v>
      </c>
      <c r="B32" t="s">
        <v>162</v>
      </c>
      <c r="C32" t="str">
        <f>IFERROR(INDEX(TableB39!$E$154:$K$159,MATCH('Summary_Com Appliances'!$A32,TableB39!$B$154:$B$159,0),MATCH('Summary_Com Appliances'!$B32,TableB39!$E$5:$K$5,0)),"")</f>
        <v>Q</v>
      </c>
      <c r="D32" s="66" t="str">
        <f t="shared" si="0"/>
        <v/>
      </c>
      <c r="I32" t="str">
        <f>About!$B$14</f>
        <v>https://www.eia.gov/consumption/commercial/data/2012/#b38-b46</v>
      </c>
    </row>
    <row r="33" spans="1:9" x14ac:dyDescent="0.75">
      <c r="A33" s="41" t="s">
        <v>296</v>
      </c>
      <c r="B33" t="s">
        <v>163</v>
      </c>
      <c r="C33">
        <f>IFERROR(INDEX(TableB39!$E$154:$K$159,MATCH('Summary_Com Appliances'!$A33,TableB39!$B$154:$B$159,0),MATCH('Summary_Com Appliances'!$B33,TableB39!$E$5:$K$5,0)),"")</f>
        <v>650</v>
      </c>
      <c r="D33" s="66">
        <f t="shared" si="0"/>
        <v>5.4782513421715792E-3</v>
      </c>
      <c r="I33" t="str">
        <f>About!$B$14</f>
        <v>https://www.eia.gov/consumption/commercial/data/2012/#b38-b46</v>
      </c>
    </row>
    <row r="34" spans="1:9" x14ac:dyDescent="0.75">
      <c r="A34" s="41" t="s">
        <v>296</v>
      </c>
      <c r="B34" t="s">
        <v>72</v>
      </c>
      <c r="C34" t="str">
        <f>IFERROR(INDEX(TableB39!$E$154:$K$159,MATCH('Summary_Com Appliances'!$A34,TableB39!$B$154:$B$159,0),MATCH('Summary_Com Appliances'!$B34,TableB39!$E$5:$K$5,0)),"")</f>
        <v>Q</v>
      </c>
      <c r="D34" s="66" t="str">
        <f t="shared" si="0"/>
        <v/>
      </c>
      <c r="I34" t="str">
        <f>About!$B$14</f>
        <v>https://www.eia.gov/consumption/commercial/data/2012/#b38-b46</v>
      </c>
    </row>
    <row r="35" spans="1:9" x14ac:dyDescent="0.75">
      <c r="A35" s="65" t="s">
        <v>93</v>
      </c>
      <c r="B35" s="67"/>
      <c r="C35" s="67" t="str">
        <f>IFERROR(INDEX(TableB39!$E$154:$K$159,MATCH('Summary_Com Appliances'!$A35,TableB39!$B$154:$B$159,0),MATCH('Summary_Com Appliances'!$B35,TableB39!$E$5:$K$5,0)),"")</f>
        <v/>
      </c>
      <c r="D35" s="67" t="str">
        <f t="shared" si="0"/>
        <v/>
      </c>
      <c r="I35" t="str">
        <f>About!$B$14</f>
        <v>https://www.eia.gov/consumption/commercial/data/2012/#b38-b46</v>
      </c>
    </row>
    <row r="36" spans="1:9" x14ac:dyDescent="0.75">
      <c r="A36" s="41" t="s">
        <v>93</v>
      </c>
      <c r="B36" t="s">
        <v>158</v>
      </c>
      <c r="C36" t="str">
        <f>IFERROR(INDEX(TableB39!$E$154:$K$159,MATCH('Summary_Com Appliances'!$A36,TableB39!$B$154:$B$159,0),MATCH('Summary_Com Appliances'!$B36,TableB39!$E$5:$K$5,0)),"")</f>
        <v>Q</v>
      </c>
      <c r="D36" s="66" t="str">
        <f t="shared" si="0"/>
        <v/>
      </c>
      <c r="I36" t="str">
        <f>About!$B$14</f>
        <v>https://www.eia.gov/consumption/commercial/data/2012/#b38-b46</v>
      </c>
    </row>
    <row r="37" spans="1:9" x14ac:dyDescent="0.75">
      <c r="A37" s="41" t="s">
        <v>93</v>
      </c>
      <c r="B37" t="s">
        <v>159</v>
      </c>
      <c r="C37">
        <f>IFERROR(INDEX(TableB39!$E$154:$K$159,MATCH('Summary_Com Appliances'!$A37,TableB39!$B$154:$B$159,0),MATCH('Summary_Com Appliances'!$B37,TableB39!$E$5:$K$5,0)),"")</f>
        <v>405</v>
      </c>
      <c r="D37" s="66">
        <f t="shared" si="0"/>
        <v>3.4133719901222916E-3</v>
      </c>
      <c r="I37" t="str">
        <f>About!$B$14</f>
        <v>https://www.eia.gov/consumption/commercial/data/2012/#b38-b46</v>
      </c>
    </row>
    <row r="38" spans="1:9" x14ac:dyDescent="0.75">
      <c r="A38" s="41" t="s">
        <v>93</v>
      </c>
      <c r="B38" t="s">
        <v>160</v>
      </c>
      <c r="C38">
        <f>IFERROR(INDEX(TableB39!$E$154:$K$159,MATCH('Summary_Com Appliances'!$A38,TableB39!$B$154:$B$159,0),MATCH('Summary_Com Appliances'!$B38,TableB39!$E$5:$K$5,0)),"")</f>
        <v>666</v>
      </c>
      <c r="D38" s="66">
        <f t="shared" si="0"/>
        <v>5.6131006059788793E-3</v>
      </c>
      <c r="I38" t="str">
        <f>About!$B$14</f>
        <v>https://www.eia.gov/consumption/commercial/data/2012/#b38-b46</v>
      </c>
    </row>
    <row r="39" spans="1:9" x14ac:dyDescent="0.75">
      <c r="A39" s="41" t="s">
        <v>93</v>
      </c>
      <c r="B39" t="s">
        <v>161</v>
      </c>
      <c r="C39" t="str">
        <f>IFERROR(INDEX(TableB39!$E$154:$K$159,MATCH('Summary_Com Appliances'!$A39,TableB39!$B$154:$B$159,0),MATCH('Summary_Com Appliances'!$B39,TableB39!$E$5:$K$5,0)),"")</f>
        <v>N</v>
      </c>
      <c r="D39" s="66" t="str">
        <f t="shared" si="0"/>
        <v/>
      </c>
      <c r="I39" t="str">
        <f>About!$B$14</f>
        <v>https://www.eia.gov/consumption/commercial/data/2012/#b38-b46</v>
      </c>
    </row>
    <row r="40" spans="1:9" x14ac:dyDescent="0.75">
      <c r="A40" s="41" t="s">
        <v>93</v>
      </c>
      <c r="B40" t="s">
        <v>162</v>
      </c>
      <c r="C40">
        <f>IFERROR(INDEX(TableB39!$E$154:$K$159,MATCH('Summary_Com Appliances'!$A40,TableB39!$B$154:$B$159,0),MATCH('Summary_Com Appliances'!$B40,TableB39!$E$5:$K$5,0)),"")</f>
        <v>276</v>
      </c>
      <c r="D40" s="66">
        <f t="shared" si="0"/>
        <v>2.3261498006759318E-3</v>
      </c>
      <c r="I40" t="str">
        <f>About!$B$14</f>
        <v>https://www.eia.gov/consumption/commercial/data/2012/#b38-b46</v>
      </c>
    </row>
    <row r="41" spans="1:9" x14ac:dyDescent="0.75">
      <c r="A41" s="41" t="s">
        <v>93</v>
      </c>
      <c r="B41" t="s">
        <v>163</v>
      </c>
      <c r="C41">
        <f>IFERROR(INDEX(TableB39!$E$154:$K$159,MATCH('Summary_Com Appliances'!$A41,TableB39!$B$154:$B$159,0),MATCH('Summary_Com Appliances'!$B41,TableB39!$E$5:$K$5,0)),"")</f>
        <v>1193</v>
      </c>
      <c r="D41" s="66">
        <f t="shared" si="0"/>
        <v>1.0054698232631836E-2</v>
      </c>
      <c r="I41" t="str">
        <f>About!$B$14</f>
        <v>https://www.eia.gov/consumption/commercial/data/2012/#b38-b46</v>
      </c>
    </row>
    <row r="42" spans="1:9" x14ac:dyDescent="0.75">
      <c r="A42" s="41" t="s">
        <v>93</v>
      </c>
      <c r="B42" t="s">
        <v>72</v>
      </c>
      <c r="C42" t="str">
        <f>IFERROR(INDEX(TableB39!$E$154:$K$159,MATCH('Summary_Com Appliances'!$A42,TableB39!$B$154:$B$159,0),MATCH('Summary_Com Appliances'!$B42,TableB39!$E$5:$K$5,0)),"")</f>
        <v>Q</v>
      </c>
      <c r="D42" s="68" t="str">
        <f t="shared" si="0"/>
        <v/>
      </c>
      <c r="I42" t="str">
        <f>About!$B$14</f>
        <v>https://www.eia.gov/consumption/commercial/data/2012/#b38-b46</v>
      </c>
    </row>
    <row r="43" spans="1:9" x14ac:dyDescent="0.75">
      <c r="A43" s="41"/>
      <c r="D43" s="46">
        <f>SUM(C4:C42)</f>
        <v>118651</v>
      </c>
      <c r="E43" s="2">
        <f>SUM(C3:C26)</f>
        <v>107929</v>
      </c>
      <c r="I43" t="str">
        <f>About!$B$14</f>
        <v>https://www.eia.gov/consumption/commercial/data/2012/#b38-b46</v>
      </c>
    </row>
    <row r="44" spans="1:9" x14ac:dyDescent="0.75">
      <c r="A44" s="41"/>
    </row>
    <row r="45" spans="1:9" x14ac:dyDescent="0.75">
      <c r="A45" s="65" t="s">
        <v>335</v>
      </c>
      <c r="B45" s="65" t="s">
        <v>353</v>
      </c>
      <c r="C45" s="65" t="s">
        <v>336</v>
      </c>
      <c r="D45" s="65"/>
    </row>
    <row r="46" spans="1:9" x14ac:dyDescent="0.75">
      <c r="A46" s="2" t="s">
        <v>293</v>
      </c>
      <c r="B46" s="2" t="s">
        <v>302</v>
      </c>
      <c r="C46" s="2">
        <f>IFERROR(INDEX(TableB42!$H$147:$H$151,MATCH('Summary_Com Appliances'!$A46,TableB42!$A$147:$A$151,0),MATCH('Summary_Com Appliances'!$B46,TableB42!$H$4,0)),"")</f>
        <v>42755</v>
      </c>
      <c r="D46" s="57">
        <f>C46/$D$51</f>
        <v>0.47339866024469912</v>
      </c>
      <c r="E46" s="7">
        <f>C46/$E$51</f>
        <v>0.50784544299136469</v>
      </c>
      <c r="I46" t="str">
        <f>About!$B$14</f>
        <v>https://www.eia.gov/consumption/commercial/data/2012/#b38-b46</v>
      </c>
    </row>
    <row r="47" spans="1:9" x14ac:dyDescent="0.75">
      <c r="A47" s="2" t="s">
        <v>294</v>
      </c>
      <c r="B47" s="2" t="s">
        <v>302</v>
      </c>
      <c r="C47" s="2">
        <f>IFERROR(INDEX(TableB42!$H$147:$H$151,MATCH('Summary_Com Appliances'!$A47,TableB42!$A$147:$A$151,0),MATCH('Summary_Com Appliances'!$B47,TableB42!$H$4,0)),"")</f>
        <v>39523</v>
      </c>
      <c r="D47" s="57">
        <f>C47/$D$51</f>
        <v>0.43761279964568456</v>
      </c>
      <c r="E47" s="7">
        <f t="shared" ref="E47:E48" si="1">C47/$E$51</f>
        <v>0.46945562959531528</v>
      </c>
      <c r="I47" t="str">
        <f>About!$B$14</f>
        <v>https://www.eia.gov/consumption/commercial/data/2012/#b38-b46</v>
      </c>
    </row>
    <row r="48" spans="1:9" x14ac:dyDescent="0.75">
      <c r="A48" s="2" t="s">
        <v>295</v>
      </c>
      <c r="B48" s="2" t="s">
        <v>302</v>
      </c>
      <c r="C48" s="2">
        <f>IFERROR(INDEX(TableB42!$H$147:$H$151,MATCH('Summary_Com Appliances'!$A48,TableB42!$A$147:$A$151,0),MATCH('Summary_Com Appliances'!$B48,TableB42!$H$4,0)),"")</f>
        <v>1911</v>
      </c>
      <c r="D48" s="57">
        <f>C48/$D$51</f>
        <v>2.1159275867796049E-2</v>
      </c>
      <c r="E48" s="7">
        <f t="shared" si="1"/>
        <v>2.2698927413320032E-2</v>
      </c>
      <c r="I48" t="str">
        <f>About!$B$14</f>
        <v>https://www.eia.gov/consumption/commercial/data/2012/#b38-b46</v>
      </c>
    </row>
    <row r="49" spans="1:9" x14ac:dyDescent="0.75">
      <c r="A49" t="s">
        <v>296</v>
      </c>
      <c r="B49" t="s">
        <v>302</v>
      </c>
      <c r="C49">
        <f>IFERROR(INDEX(TableB42!$H$147:$H$151,MATCH('Summary_Com Appliances'!$A49,TableB42!$A$147:$A$151,0),MATCH('Summary_Com Appliances'!$B49,TableB42!$H$4,0)),"")</f>
        <v>4551</v>
      </c>
      <c r="D49" s="36">
        <f>C49/$D$51</f>
        <v>5.0390300614515861E-2</v>
      </c>
      <c r="I49" t="str">
        <f>About!$B$14</f>
        <v>https://www.eia.gov/consumption/commercial/data/2012/#b38-b46</v>
      </c>
    </row>
    <row r="50" spans="1:9" x14ac:dyDescent="0.75">
      <c r="A50" t="s">
        <v>93</v>
      </c>
      <c r="B50" t="s">
        <v>302</v>
      </c>
      <c r="C50">
        <f>IFERROR(INDEX(TableB42!$H$147:$H$151,MATCH('Summary_Com Appliances'!$A50,TableB42!$A$147:$A$151,0),MATCH('Summary_Com Appliances'!$B50,TableB42!$H$4,0)),"")</f>
        <v>1575</v>
      </c>
      <c r="D50" s="36">
        <f>C50/$D$51</f>
        <v>1.7438963627304436E-2</v>
      </c>
      <c r="I50" t="str">
        <f>About!$B$14</f>
        <v>https://www.eia.gov/consumption/commercial/data/2012/#b38-b46</v>
      </c>
    </row>
    <row r="51" spans="1:9" x14ac:dyDescent="0.75">
      <c r="C51" t="b">
        <f>SUM(C46:C50)=SUM(TableB42!H147:H151)</f>
        <v>1</v>
      </c>
      <c r="D51" s="2">
        <f>SUM(C46:C50)</f>
        <v>90315</v>
      </c>
      <c r="E51">
        <f>SUM(C46:C48)</f>
        <v>84189</v>
      </c>
    </row>
  </sheetData>
  <mergeCells count="1">
    <mergeCell ref="A1:I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1"/>
  <sheetViews>
    <sheetView zoomScale="90" zoomScaleNormal="90" workbookViewId="0">
      <selection activeCell="E4" sqref="E4"/>
    </sheetView>
  </sheetViews>
  <sheetFormatPr defaultColWidth="9.1328125" defaultRowHeight="14.75" x14ac:dyDescent="0.75"/>
  <cols>
    <col min="1" max="1" width="35.1328125" bestFit="1" customWidth="1"/>
    <col min="2" max="2" width="27.54296875" customWidth="1"/>
    <col min="3" max="3" width="42" customWidth="1"/>
    <col min="5" max="5" width="10" style="54" bestFit="1" customWidth="1"/>
    <col min="6" max="6" width="19.54296875" customWidth="1"/>
    <col min="7" max="7" width="16.26953125" customWidth="1"/>
  </cols>
  <sheetData>
    <row r="1" spans="1:9" x14ac:dyDescent="0.75">
      <c r="A1" s="104" t="s">
        <v>330</v>
      </c>
      <c r="B1" s="104"/>
      <c r="C1" s="104"/>
      <c r="D1" s="104"/>
      <c r="E1" s="104"/>
      <c r="F1" s="104"/>
      <c r="G1" s="104"/>
      <c r="H1" s="104"/>
      <c r="I1" s="104"/>
    </row>
    <row r="2" spans="1:9" x14ac:dyDescent="0.75">
      <c r="A2" s="40"/>
      <c r="B2" s="40"/>
      <c r="C2" s="40"/>
      <c r="D2" s="40"/>
      <c r="E2" s="100"/>
      <c r="F2" s="40" t="s">
        <v>332</v>
      </c>
      <c r="G2" s="40" t="s">
        <v>332</v>
      </c>
      <c r="H2" s="40"/>
      <c r="I2" s="2" t="s">
        <v>333</v>
      </c>
    </row>
    <row r="3" spans="1:9" ht="44.25" x14ac:dyDescent="0.75">
      <c r="B3" s="2" t="s">
        <v>82</v>
      </c>
      <c r="C3" s="2" t="s">
        <v>83</v>
      </c>
      <c r="D3" s="2" t="s">
        <v>84</v>
      </c>
      <c r="E3" s="102">
        <v>2024</v>
      </c>
      <c r="F3" s="47" t="s">
        <v>400</v>
      </c>
      <c r="G3" s="47" t="s">
        <v>399</v>
      </c>
      <c r="H3" s="2"/>
    </row>
    <row r="4" spans="1:9" x14ac:dyDescent="0.75">
      <c r="A4" t="s">
        <v>85</v>
      </c>
      <c r="H4" s="2"/>
      <c r="I4" t="str">
        <f>About!$B$21</f>
        <v>Scenario: High zero-carbon technology cost</v>
      </c>
    </row>
    <row r="5" spans="1:9" x14ac:dyDescent="0.75">
      <c r="A5" s="99" t="s">
        <v>86</v>
      </c>
      <c r="H5" s="2"/>
      <c r="I5" t="str">
        <f>About!$B$21</f>
        <v>Scenario: High zero-carbon technology cost</v>
      </c>
    </row>
    <row r="6" spans="1:9" x14ac:dyDescent="0.75">
      <c r="A6" s="2" t="s">
        <v>87</v>
      </c>
      <c r="B6" t="s">
        <v>605</v>
      </c>
      <c r="D6" s="2" t="s">
        <v>88</v>
      </c>
      <c r="E6" s="101">
        <f>IFERROR(INDEX('AEO25 Table 21'!$F$8:$AG$93,MATCH($B6,'AEO25 Table 21'!$B$8:$B$93,0),MATCH($E$3,'AEO25 Table 21'!$F$5:$AG$5,0)),"")</f>
        <v>16.645529</v>
      </c>
      <c r="F6" s="59">
        <f t="shared" ref="F6:F15" si="0">E6/$E$15</f>
        <v>0.13445699404718151</v>
      </c>
      <c r="G6" s="57">
        <f>E6/$G$15</f>
        <v>0.15289988916602992</v>
      </c>
      <c r="H6" s="2"/>
      <c r="I6" t="str">
        <f>About!$B$21</f>
        <v>Scenario: High zero-carbon technology cost</v>
      </c>
    </row>
    <row r="7" spans="1:9" x14ac:dyDescent="0.75">
      <c r="A7" s="2" t="s">
        <v>89</v>
      </c>
      <c r="B7" t="s">
        <v>603</v>
      </c>
      <c r="D7" s="2" t="s">
        <v>88</v>
      </c>
      <c r="E7" s="101">
        <f>IFERROR(INDEX('AEO25 Table 21'!$F$8:$AG$93,MATCH($B7,'AEO25 Table 21'!$B$8:$B$93,0),MATCH($E$3,'AEO25 Table 21'!$F$5:$AG$5,0)),"")</f>
        <v>26.605318</v>
      </c>
      <c r="F7" s="59">
        <f t="shared" si="0"/>
        <v>0.214908825303742</v>
      </c>
      <c r="G7" s="57">
        <f>E7/$G$15</f>
        <v>0.24438695660720552</v>
      </c>
      <c r="H7" s="2"/>
      <c r="I7" t="str">
        <f>About!$B$21</f>
        <v>Scenario: High zero-carbon technology cost</v>
      </c>
    </row>
    <row r="8" spans="1:9" x14ac:dyDescent="0.75">
      <c r="A8" t="s">
        <v>90</v>
      </c>
      <c r="B8" t="s">
        <v>601</v>
      </c>
      <c r="D8" t="s">
        <v>88</v>
      </c>
      <c r="E8" s="101">
        <f>IFERROR(INDEX('AEO25 Table 21'!$F$8:$AG$93,MATCH($B8,'AEO25 Table 21'!$B$8:$B$93,0),MATCH($E$3,'AEO25 Table 21'!$F$5:$AG$5,0)),"")</f>
        <v>1.3358559999999999</v>
      </c>
      <c r="F8" s="60">
        <f t="shared" si="0"/>
        <v>1.0790596215950342E-2</v>
      </c>
      <c r="G8" s="36"/>
      <c r="H8" s="2"/>
      <c r="I8" t="str">
        <f>About!$B$21</f>
        <v>Scenario: High zero-carbon technology cost</v>
      </c>
    </row>
    <row r="9" spans="1:9" x14ac:dyDescent="0.75">
      <c r="A9" s="2" t="s">
        <v>91</v>
      </c>
      <c r="B9" t="s">
        <v>599</v>
      </c>
      <c r="D9" s="2" t="s">
        <v>88</v>
      </c>
      <c r="E9" s="101">
        <f>IFERROR(INDEX('AEO25 Table 21'!$F$8:$AG$93,MATCH($B9,'AEO25 Table 21'!$B$8:$B$93,0),MATCH($E$3,'AEO25 Table 21'!$F$5:$AG$5,0)),"")</f>
        <v>65.614693000000003</v>
      </c>
      <c r="F9" s="59">
        <f t="shared" si="0"/>
        <v>0.53001345803480582</v>
      </c>
      <c r="G9" s="57">
        <f>E9/$G$15</f>
        <v>0.60271315422676452</v>
      </c>
      <c r="H9" s="2"/>
      <c r="I9" t="str">
        <f>About!$B$21</f>
        <v>Scenario: High zero-carbon technology cost</v>
      </c>
    </row>
    <row r="10" spans="1:9" x14ac:dyDescent="0.75">
      <c r="A10" t="s">
        <v>92</v>
      </c>
      <c r="B10" t="s">
        <v>597</v>
      </c>
      <c r="D10" t="s">
        <v>88</v>
      </c>
      <c r="E10" s="101">
        <f>IFERROR(INDEX('AEO25 Table 21'!$F$8:$AG$93,MATCH($B10,'AEO25 Table 21'!$B$8:$B$93,0),MATCH($E$3,'AEO25 Table 21'!$F$5:$AG$5,0)),"")</f>
        <v>4.7679400000000003</v>
      </c>
      <c r="F10" s="60">
        <f t="shared" si="0"/>
        <v>3.8513818347096003E-2</v>
      </c>
      <c r="G10" s="36"/>
      <c r="H10" s="2"/>
      <c r="I10" t="str">
        <f>About!$B$21</f>
        <v>Scenario: High zero-carbon technology cost</v>
      </c>
    </row>
    <row r="11" spans="1:9" x14ac:dyDescent="0.75">
      <c r="A11" t="s">
        <v>93</v>
      </c>
      <c r="B11" t="s">
        <v>595</v>
      </c>
      <c r="D11" t="s">
        <v>88</v>
      </c>
      <c r="E11" s="101">
        <f>IFERROR(INDEX('AEO25 Table 21'!$F$8:$AG$93,MATCH($B11,'AEO25 Table 21'!$B$8:$B$93,0),MATCH($E$3,'AEO25 Table 21'!$F$5:$AG$5,0)),"")</f>
        <v>5.242597</v>
      </c>
      <c r="F11" s="60">
        <f t="shared" si="0"/>
        <v>4.2347938213364779E-2</v>
      </c>
      <c r="G11" s="36"/>
      <c r="H11" s="2"/>
      <c r="I11" t="str">
        <f>About!$B$21</f>
        <v>Scenario: High zero-carbon technology cost</v>
      </c>
    </row>
    <row r="12" spans="1:9" x14ac:dyDescent="0.75">
      <c r="A12" t="s">
        <v>94</v>
      </c>
      <c r="B12" t="s">
        <v>593</v>
      </c>
      <c r="D12" t="s">
        <v>88</v>
      </c>
      <c r="E12" s="101">
        <f>IFERROR(INDEX('AEO25 Table 21'!$F$8:$AG$93,MATCH($B12,'AEO25 Table 21'!$B$8:$B$93,0),MATCH($E$3,'AEO25 Table 21'!$F$5:$AG$5,0)),"")</f>
        <v>4.9249999999999997E-3</v>
      </c>
      <c r="F12" s="60">
        <f t="shared" si="0"/>
        <v>3.9782496289686491E-5</v>
      </c>
      <c r="G12" s="36"/>
      <c r="H12" s="2"/>
      <c r="I12" t="str">
        <f>About!$B$21</f>
        <v>Scenario: High zero-carbon technology cost</v>
      </c>
    </row>
    <row r="13" spans="1:9" x14ac:dyDescent="0.75">
      <c r="A13" t="s">
        <v>95</v>
      </c>
      <c r="B13" t="s">
        <v>591</v>
      </c>
      <c r="D13" t="s">
        <v>88</v>
      </c>
      <c r="E13" s="101">
        <f>IFERROR(INDEX('AEO25 Table 21'!$F$8:$AG$93,MATCH($B13,'AEO25 Table 21'!$B$8:$B$93,0),MATCH($E$3,'AEO25 Table 21'!$F$5:$AG$5,0)),"")</f>
        <v>2.220637</v>
      </c>
      <c r="F13" s="60">
        <f t="shared" si="0"/>
        <v>1.7937560043297572E-2</v>
      </c>
      <c r="G13" s="36"/>
      <c r="H13" s="2"/>
      <c r="I13" t="str">
        <f>About!$B$21</f>
        <v>Scenario: High zero-carbon technology cost</v>
      </c>
    </row>
    <row r="14" spans="1:9" x14ac:dyDescent="0.75">
      <c r="A14" t="s">
        <v>96</v>
      </c>
      <c r="B14" t="s">
        <v>589</v>
      </c>
      <c r="D14" t="s">
        <v>88</v>
      </c>
      <c r="E14" s="101">
        <f>IFERROR(INDEX('AEO25 Table 21'!$F$8:$AG$93,MATCH($B14,'AEO25 Table 21'!$B$8:$B$93,0),MATCH($E$3,'AEO25 Table 21'!$F$5:$AG$5,0)),"")</f>
        <v>1.3606750000000001</v>
      </c>
      <c r="F14" s="60">
        <f t="shared" si="0"/>
        <v>1.09910757642577E-2</v>
      </c>
      <c r="G14" s="36"/>
      <c r="H14" s="2"/>
      <c r="I14" t="str">
        <f>About!$B$21</f>
        <v>Scenario: High zero-carbon technology cost</v>
      </c>
    </row>
    <row r="15" spans="1:9" x14ac:dyDescent="0.75">
      <c r="A15" t="s">
        <v>1</v>
      </c>
      <c r="B15" t="s">
        <v>587</v>
      </c>
      <c r="D15" t="s">
        <v>88</v>
      </c>
      <c r="E15" s="101">
        <f>IFERROR(INDEX('AEO25 Table 21'!$F$8:$AG$93,MATCH($B15,'AEO25 Table 21'!$B$8:$B$93,0),MATCH($E$3,'AEO25 Table 21'!$F$5:$AG$5,0)),"")</f>
        <v>123.798164</v>
      </c>
      <c r="F15" s="60">
        <f t="shared" si="0"/>
        <v>1</v>
      </c>
      <c r="G15" s="58">
        <f>SUM(E6:E7,E9)</f>
        <v>108.86554000000001</v>
      </c>
      <c r="H15" s="2"/>
      <c r="I15" t="str">
        <f>About!$B$21</f>
        <v>Scenario: High zero-carbon technology cost</v>
      </c>
    </row>
    <row r="16" spans="1:9" x14ac:dyDescent="0.75">
      <c r="A16" s="99" t="s">
        <v>97</v>
      </c>
      <c r="E16" s="101" t="str">
        <f>IFERROR(INDEX('AEO25 Table 21'!$F$8:$AG$93,MATCH($B16,'AEO25 Table 21'!$B$8:$B$93,0),MATCH($E$3,'AEO25 Table 21'!$F$5:$AG$5,0)),"")</f>
        <v/>
      </c>
      <c r="H16" s="2"/>
      <c r="I16" t="str">
        <f>About!$B$21</f>
        <v>Scenario: High zero-carbon technology cost</v>
      </c>
    </row>
    <row r="17" spans="1:9" x14ac:dyDescent="0.75">
      <c r="A17" s="2" t="s">
        <v>87</v>
      </c>
      <c r="B17" t="s">
        <v>585</v>
      </c>
      <c r="D17" s="2" t="s">
        <v>88</v>
      </c>
      <c r="E17" s="101">
        <f>IFERROR(INDEX('AEO25 Table 21'!$F$8:$AG$93,MATCH($B17,'AEO25 Table 21'!$B$8:$B$93,0),MATCH($E$3,'AEO25 Table 21'!$F$5:$AG$5,0)),"")</f>
        <v>16.645529</v>
      </c>
      <c r="F17" s="59">
        <f t="shared" ref="F17:F22" si="1">E17/$E$22</f>
        <v>0.11711315379260177</v>
      </c>
      <c r="G17" s="57">
        <f>E17/$G$22</f>
        <v>0.11937799507683439</v>
      </c>
      <c r="H17" s="2"/>
      <c r="I17" t="str">
        <f>About!$B$21</f>
        <v>Scenario: High zero-carbon technology cost</v>
      </c>
    </row>
    <row r="18" spans="1:9" x14ac:dyDescent="0.75">
      <c r="A18" t="s">
        <v>90</v>
      </c>
      <c r="B18" t="s">
        <v>583</v>
      </c>
      <c r="D18" t="s">
        <v>88</v>
      </c>
      <c r="E18" s="101">
        <f>IFERROR(INDEX('AEO25 Table 21'!$F$8:$AG$93,MATCH($B18,'AEO25 Table 21'!$B$8:$B$93,0),MATCH($E$3,'AEO25 Table 21'!$F$5:$AG$5,0)),"")</f>
        <v>1.3358559999999999</v>
      </c>
      <c r="F18" s="60">
        <f t="shared" si="1"/>
        <v>9.398698543781326E-3</v>
      </c>
      <c r="G18" s="57"/>
      <c r="H18" s="2"/>
      <c r="I18" t="str">
        <f>About!$B$21</f>
        <v>Scenario: High zero-carbon technology cost</v>
      </c>
    </row>
    <row r="19" spans="1:9" x14ac:dyDescent="0.75">
      <c r="A19" t="s">
        <v>96</v>
      </c>
      <c r="B19" t="s">
        <v>581</v>
      </c>
      <c r="D19" t="s">
        <v>88</v>
      </c>
      <c r="E19" s="101">
        <f>IFERROR(INDEX('AEO25 Table 21'!$F$8:$AG$93,MATCH($B19,'AEO25 Table 21'!$B$8:$B$93,0),MATCH($E$3,'AEO25 Table 21'!$F$5:$AG$5,0)),"")</f>
        <v>1.3606750000000001</v>
      </c>
      <c r="F19" s="60">
        <f t="shared" si="1"/>
        <v>9.5733178883499852E-3</v>
      </c>
      <c r="G19" s="57"/>
      <c r="H19" s="2"/>
      <c r="I19" t="str">
        <f>About!$B$21</f>
        <v>Scenario: High zero-carbon technology cost</v>
      </c>
    </row>
    <row r="20" spans="1:9" x14ac:dyDescent="0.75">
      <c r="A20" s="2" t="s">
        <v>98</v>
      </c>
      <c r="B20" t="s">
        <v>579</v>
      </c>
      <c r="D20" s="2" t="s">
        <v>88</v>
      </c>
      <c r="E20" s="101">
        <f>IFERROR(INDEX('AEO25 Table 21'!$F$8:$AG$93,MATCH($B20,'AEO25 Table 21'!$B$8:$B$93,0),MATCH($E$3,'AEO25 Table 21'!$F$5:$AG$5,0)),"")</f>
        <v>79.649451999999997</v>
      </c>
      <c r="F20" s="59">
        <f t="shared" si="1"/>
        <v>0.56039063231769037</v>
      </c>
      <c r="G20" s="57">
        <f>E20/$G$22</f>
        <v>0.57122797892025878</v>
      </c>
      <c r="H20" s="2"/>
      <c r="I20" t="str">
        <f>About!$B$21</f>
        <v>Scenario: High zero-carbon technology cost</v>
      </c>
    </row>
    <row r="21" spans="1:9" x14ac:dyDescent="0.75">
      <c r="A21" s="2" t="s">
        <v>99</v>
      </c>
      <c r="B21" t="s">
        <v>577</v>
      </c>
      <c r="D21" s="2" t="s">
        <v>88</v>
      </c>
      <c r="E21" s="101">
        <f>IFERROR(INDEX('AEO25 Table 21'!$F$8:$AG$93,MATCH($B21,'AEO25 Table 21'!$B$8:$B$93,0),MATCH($E$3,'AEO25 Table 21'!$F$5:$AG$5,0)),"")</f>
        <v>43.140506999999999</v>
      </c>
      <c r="F21" s="59">
        <f t="shared" si="1"/>
        <v>0.30352419745757636</v>
      </c>
      <c r="G21" s="57">
        <f>E21/$G$22</f>
        <v>0.30939402600290683</v>
      </c>
      <c r="H21" s="2"/>
      <c r="I21" t="str">
        <f>About!$B$21</f>
        <v>Scenario: High zero-carbon technology cost</v>
      </c>
    </row>
    <row r="22" spans="1:9" x14ac:dyDescent="0.75">
      <c r="A22" t="s">
        <v>1</v>
      </c>
      <c r="B22" t="s">
        <v>575</v>
      </c>
      <c r="D22" t="s">
        <v>88</v>
      </c>
      <c r="E22" s="101">
        <f>IFERROR(INDEX('AEO25 Table 21'!$F$8:$AG$93,MATCH($B22,'AEO25 Table 21'!$B$8:$B$93,0),MATCH($E$3,'AEO25 Table 21'!$F$5:$AG$5,0)),"")</f>
        <v>142.13201900000001</v>
      </c>
      <c r="F22" s="60">
        <f t="shared" si="1"/>
        <v>1</v>
      </c>
      <c r="G22" s="58">
        <f>SUM(E17,E20:E21)</f>
        <v>139.43548799999999</v>
      </c>
      <c r="H22" s="2"/>
      <c r="I22" t="str">
        <f>About!$B$21</f>
        <v>Scenario: High zero-carbon technology cost</v>
      </c>
    </row>
    <row r="23" spans="1:9" x14ac:dyDescent="0.75">
      <c r="A23" s="99" t="s">
        <v>100</v>
      </c>
      <c r="E23" s="101" t="str">
        <f>IFERROR(INDEX('AEO25 Table 21'!$F$8:$AG$93,MATCH($B23,'AEO25 Table 21'!$B$8:$B$93,0),MATCH($E$3,'AEO25 Table 21'!$F$5:$AG$5,0)),"")</f>
        <v/>
      </c>
      <c r="H23" s="2"/>
      <c r="I23" t="str">
        <f>About!$B$21</f>
        <v>Scenario: High zero-carbon technology cost</v>
      </c>
    </row>
    <row r="24" spans="1:9" x14ac:dyDescent="0.75">
      <c r="A24" s="2" t="s">
        <v>101</v>
      </c>
      <c r="B24" t="s">
        <v>573</v>
      </c>
      <c r="D24" s="2" t="s">
        <v>88</v>
      </c>
      <c r="E24" s="101">
        <f>IFERROR(INDEX('AEO25 Table 21'!$F$8:$AG$93,MATCH($B24,'AEO25 Table 21'!$B$8:$B$93,0),MATCH($E$3,'AEO25 Table 21'!$F$5:$AG$5,0)),"")</f>
        <v>62.064090999999998</v>
      </c>
      <c r="F24" s="59">
        <f t="shared" ref="F24:F29" si="2">E24/$E$29</f>
        <v>0.4602495892250259</v>
      </c>
      <c r="G24" s="57">
        <f>E24/$G$29</f>
        <v>0.48884629238426969</v>
      </c>
      <c r="H24" s="2"/>
      <c r="I24" t="str">
        <f>About!$B$21</f>
        <v>Scenario: High zero-carbon technology cost</v>
      </c>
    </row>
    <row r="25" spans="1:9" x14ac:dyDescent="0.75">
      <c r="A25" s="2" t="s">
        <v>102</v>
      </c>
      <c r="B25" t="s">
        <v>571</v>
      </c>
      <c r="D25" s="2" t="s">
        <v>88</v>
      </c>
      <c r="E25" s="101">
        <f>IFERROR(INDEX('AEO25 Table 21'!$F$8:$AG$93,MATCH($B25,'AEO25 Table 21'!$B$8:$B$93,0),MATCH($E$3,'AEO25 Table 21'!$F$5:$AG$5,0)),"")</f>
        <v>64.896248</v>
      </c>
      <c r="F25" s="59">
        <f t="shared" si="2"/>
        <v>0.48125205739733479</v>
      </c>
      <c r="G25" s="57">
        <f>E25/$G$29</f>
        <v>0.51115370761573031</v>
      </c>
      <c r="H25" s="2"/>
      <c r="I25" t="str">
        <f>About!$B$21</f>
        <v>Scenario: High zero-carbon technology cost</v>
      </c>
    </row>
    <row r="26" spans="1:9" x14ac:dyDescent="0.75">
      <c r="A26" t="s">
        <v>92</v>
      </c>
      <c r="B26" t="s">
        <v>569</v>
      </c>
      <c r="D26" t="s">
        <v>88</v>
      </c>
      <c r="E26" s="101">
        <f>IFERROR(INDEX('AEO25 Table 21'!$F$8:$AG$93,MATCH($B26,'AEO25 Table 21'!$B$8:$B$93,0),MATCH($E$3,'AEO25 Table 21'!$F$5:$AG$5,0)),"")</f>
        <v>2.3288120000000001</v>
      </c>
      <c r="F26" s="60">
        <f t="shared" si="2"/>
        <v>1.726980527890614E-2</v>
      </c>
      <c r="G26" s="36"/>
      <c r="H26" s="2"/>
      <c r="I26" t="str">
        <f>About!$B$21</f>
        <v>Scenario: High zero-carbon technology cost</v>
      </c>
    </row>
    <row r="27" spans="1:9" x14ac:dyDescent="0.75">
      <c r="A27" t="s">
        <v>93</v>
      </c>
      <c r="B27" t="s">
        <v>567</v>
      </c>
      <c r="D27" t="s">
        <v>88</v>
      </c>
      <c r="E27" s="101">
        <f>IFERROR(INDEX('AEO25 Table 21'!$F$8:$AG$93,MATCH($B27,'AEO25 Table 21'!$B$8:$B$93,0),MATCH($E$3,'AEO25 Table 21'!$F$5:$AG$5,0)),"")</f>
        <v>3.9946730000000001</v>
      </c>
      <c r="F27" s="60">
        <f t="shared" si="2"/>
        <v>2.9623355111062562E-2</v>
      </c>
      <c r="G27" s="36"/>
      <c r="H27" s="2"/>
      <c r="I27" t="str">
        <f>About!$B$21</f>
        <v>Scenario: High zero-carbon technology cost</v>
      </c>
    </row>
    <row r="28" spans="1:9" x14ac:dyDescent="0.75">
      <c r="A28" t="s">
        <v>70</v>
      </c>
      <c r="B28" t="s">
        <v>565</v>
      </c>
      <c r="D28" t="s">
        <v>88</v>
      </c>
      <c r="E28" s="101">
        <f>IFERROR(INDEX('AEO25 Table 21'!$F$8:$AG$93,MATCH($B28,'AEO25 Table 21'!$B$8:$B$93,0),MATCH($E$3,'AEO25 Table 21'!$F$5:$AG$5,0)),"")</f>
        <v>1.564945</v>
      </c>
      <c r="F28" s="60">
        <f t="shared" si="2"/>
        <v>1.1605185571955903E-2</v>
      </c>
      <c r="G28" s="36"/>
      <c r="H28" s="2"/>
      <c r="I28" t="str">
        <f>About!$B$21</f>
        <v>Scenario: High zero-carbon technology cost</v>
      </c>
    </row>
    <row r="29" spans="1:9" x14ac:dyDescent="0.75">
      <c r="A29" t="s">
        <v>1</v>
      </c>
      <c r="B29" t="s">
        <v>563</v>
      </c>
      <c r="D29" t="s">
        <v>88</v>
      </c>
      <c r="E29" s="101">
        <f>IFERROR(INDEX('AEO25 Table 21'!$F$8:$AG$93,MATCH($B29,'AEO25 Table 21'!$B$8:$B$93,0),MATCH($E$3,'AEO25 Table 21'!$F$5:$AG$5,0)),"")</f>
        <v>134.84877</v>
      </c>
      <c r="F29" s="60">
        <f t="shared" si="2"/>
        <v>1</v>
      </c>
      <c r="G29" s="58">
        <f>SUM(E24:E25)</f>
        <v>126.960339</v>
      </c>
      <c r="H29" s="2"/>
      <c r="I29" t="str">
        <f>About!$B$21</f>
        <v>Scenario: High zero-carbon technology cost</v>
      </c>
    </row>
    <row r="30" spans="1:9" x14ac:dyDescent="0.75">
      <c r="A30" s="99" t="s">
        <v>103</v>
      </c>
      <c r="E30" s="101" t="str">
        <f>IFERROR(INDEX('AEO25 Table 21'!$F$8:$AG$93,MATCH($B30,'AEO25 Table 21'!$B$8:$B$93,0),MATCH($E$3,'AEO25 Table 21'!$F$5:$AG$5,0)),"")</f>
        <v/>
      </c>
      <c r="H30" s="2"/>
      <c r="I30" t="str">
        <f>About!$B$21</f>
        <v>Scenario: High zero-carbon technology cost</v>
      </c>
    </row>
    <row r="31" spans="1:9" x14ac:dyDescent="0.75">
      <c r="A31" t="s">
        <v>101</v>
      </c>
      <c r="B31" t="s">
        <v>561</v>
      </c>
      <c r="D31" t="s">
        <v>88</v>
      </c>
      <c r="E31" s="101">
        <f>IFERROR(INDEX('AEO25 Table 21'!$F$8:$AG$93,MATCH($B31,'AEO25 Table 21'!$B$8:$B$93,0),MATCH($E$3,'AEO25 Table 21'!$F$5:$AG$5,0)),"")</f>
        <v>100.278122</v>
      </c>
      <c r="F31" s="60">
        <f>E31/$E$34</f>
        <v>0.6247847363501402</v>
      </c>
      <c r="G31" s="36"/>
      <c r="H31" s="2"/>
      <c r="I31" t="str">
        <f>About!$B$21</f>
        <v>Scenario: High zero-carbon technology cost</v>
      </c>
    </row>
    <row r="32" spans="1:9" x14ac:dyDescent="0.75">
      <c r="A32" s="2" t="s">
        <v>102</v>
      </c>
      <c r="B32" t="s">
        <v>559</v>
      </c>
      <c r="D32" s="2" t="s">
        <v>88</v>
      </c>
      <c r="E32" s="101">
        <f>IFERROR(INDEX('AEO25 Table 21'!$F$8:$AG$93,MATCH($B32,'AEO25 Table 21'!$B$8:$B$93,0),MATCH($E$3,'AEO25 Table 21'!$F$5:$AG$5,0)),"")</f>
        <v>53.972369999999998</v>
      </c>
      <c r="F32" s="59">
        <f>E32/$E$34</f>
        <v>0.33627587242451767</v>
      </c>
      <c r="G32" s="57">
        <v>1</v>
      </c>
      <c r="H32" s="2"/>
      <c r="I32" t="str">
        <f>About!$B$21</f>
        <v>Scenario: High zero-carbon technology cost</v>
      </c>
    </row>
    <row r="33" spans="1:9" x14ac:dyDescent="0.75">
      <c r="A33" t="s">
        <v>93</v>
      </c>
      <c r="B33" t="s">
        <v>557</v>
      </c>
      <c r="D33" t="s">
        <v>88</v>
      </c>
      <c r="E33" s="101">
        <f>IFERROR(INDEX('AEO25 Table 21'!$F$8:$AG$93,MATCH($B33,'AEO25 Table 21'!$B$8:$B$93,0),MATCH($E$3,'AEO25 Table 21'!$F$5:$AG$5,0)),"")</f>
        <v>6.2497920000000002</v>
      </c>
      <c r="F33" s="60">
        <f>E33/$E$34</f>
        <v>3.893944730001242E-2</v>
      </c>
      <c r="G33" s="36"/>
      <c r="H33" s="2"/>
      <c r="I33" t="str">
        <f>About!$B$21</f>
        <v>Scenario: High zero-carbon technology cost</v>
      </c>
    </row>
    <row r="34" spans="1:9" x14ac:dyDescent="0.75">
      <c r="A34" t="s">
        <v>1</v>
      </c>
      <c r="B34" t="s">
        <v>555</v>
      </c>
      <c r="D34" t="s">
        <v>88</v>
      </c>
      <c r="E34" s="101">
        <f>IFERROR(INDEX('AEO25 Table 21'!$F$8:$AG$93,MATCH($B34,'AEO25 Table 21'!$B$8:$B$93,0),MATCH($E$3,'AEO25 Table 21'!$F$5:$AG$5,0)),"")</f>
        <v>160.50027499999999</v>
      </c>
      <c r="F34" s="60">
        <f>E34/$E$34</f>
        <v>1</v>
      </c>
      <c r="G34" s="36"/>
      <c r="H34" s="2"/>
      <c r="I34" t="str">
        <f>About!$B$21</f>
        <v>Scenario: High zero-carbon technology cost</v>
      </c>
    </row>
    <row r="35" spans="1:9" x14ac:dyDescent="0.75">
      <c r="A35" s="99" t="s">
        <v>104</v>
      </c>
      <c r="E35" s="101" t="str">
        <f>IFERROR(INDEX('AEO25 Table 21'!$F$8:$AG$93,MATCH($B35,'AEO25 Table 21'!$B$8:$B$93,0),MATCH($E$3,'AEO25 Table 21'!$F$5:$AG$5,0)),"")</f>
        <v/>
      </c>
      <c r="H35" s="2"/>
      <c r="I35" t="str">
        <f>About!$B$21</f>
        <v>Scenario: High zero-carbon technology cost</v>
      </c>
    </row>
    <row r="36" spans="1:9" x14ac:dyDescent="0.75">
      <c r="A36" s="2" t="s">
        <v>101</v>
      </c>
      <c r="B36" t="s">
        <v>553</v>
      </c>
      <c r="D36" s="2" t="s">
        <v>88</v>
      </c>
      <c r="E36" s="101">
        <f>IFERROR(INDEX('AEO25 Table 21'!$F$8:$AG$93,MATCH($B36,'AEO25 Table 21'!$B$8:$B$93,0),MATCH($E$3,'AEO25 Table 21'!$F$5:$AG$5,0)),"")</f>
        <v>92.221107000000003</v>
      </c>
      <c r="F36" s="59">
        <f>E36/$E$38</f>
        <v>0.81919773327812273</v>
      </c>
      <c r="G36" s="57">
        <f>F36</f>
        <v>0.81919773327812273</v>
      </c>
      <c r="H36" s="2"/>
      <c r="I36" t="str">
        <f>About!$B$21</f>
        <v>Scenario: High zero-carbon technology cost</v>
      </c>
    </row>
    <row r="37" spans="1:9" x14ac:dyDescent="0.75">
      <c r="A37" s="2" t="s">
        <v>102</v>
      </c>
      <c r="B37" t="s">
        <v>551</v>
      </c>
      <c r="D37" s="2" t="s">
        <v>88</v>
      </c>
      <c r="E37" s="101">
        <f>IFERROR(INDEX('AEO25 Table 21'!$F$8:$AG$93,MATCH($B37,'AEO25 Table 21'!$B$8:$B$93,0),MATCH($E$3,'AEO25 Table 21'!$F$5:$AG$5,0)),"")</f>
        <v>20.353802000000002</v>
      </c>
      <c r="F37" s="59">
        <f>E37/$E$38</f>
        <v>0.18080230225377494</v>
      </c>
      <c r="G37" s="57">
        <f>F37</f>
        <v>0.18080230225377494</v>
      </c>
      <c r="H37" s="2"/>
      <c r="I37" t="str">
        <f>About!$B$21</f>
        <v>Scenario: High zero-carbon technology cost</v>
      </c>
    </row>
    <row r="38" spans="1:9" x14ac:dyDescent="0.75">
      <c r="A38" t="s">
        <v>1</v>
      </c>
      <c r="B38" t="s">
        <v>549</v>
      </c>
      <c r="D38" t="s">
        <v>88</v>
      </c>
      <c r="E38" s="101">
        <f>IFERROR(INDEX('AEO25 Table 21'!$F$8:$AG$93,MATCH($B38,'AEO25 Table 21'!$B$8:$B$93,0),MATCH($E$3,'AEO25 Table 21'!$F$5:$AG$5,0)),"")</f>
        <v>112.574905</v>
      </c>
      <c r="F38" s="60">
        <f>E38/$E$38</f>
        <v>1</v>
      </c>
      <c r="G38" s="58">
        <f>SUM(E36:E37)</f>
        <v>112.57490900000001</v>
      </c>
      <c r="H38" s="2"/>
      <c r="I38" t="str">
        <f>About!$B$21</f>
        <v>Scenario: High zero-carbon technology cost</v>
      </c>
    </row>
    <row r="39" spans="1:9" x14ac:dyDescent="0.75">
      <c r="A39" s="99" t="s">
        <v>105</v>
      </c>
      <c r="E39" s="101" t="str">
        <f>IFERROR(INDEX('AEO25 Table 21'!$F$8:$AG$93,MATCH($B39,'AEO25 Table 21'!$B$8:$B$93,0),MATCH($E$3,'AEO25 Table 21'!$F$5:$AG$5,0)),"")</f>
        <v/>
      </c>
      <c r="H39" s="2"/>
      <c r="I39" t="str">
        <f>About!$B$21</f>
        <v>Scenario: High zero-carbon technology cost</v>
      </c>
    </row>
    <row r="40" spans="1:9" x14ac:dyDescent="0.75">
      <c r="A40" t="s">
        <v>106</v>
      </c>
      <c r="B40" t="s">
        <v>547</v>
      </c>
      <c r="D40" t="s">
        <v>88</v>
      </c>
      <c r="E40" s="101">
        <f>IFERROR(INDEX('AEO25 Table 21'!$F$8:$AG$93,MATCH($B40,'AEO25 Table 21'!$B$8:$B$93,0),MATCH($E$3,'AEO25 Table 21'!$F$5:$AG$5,0)),"")</f>
        <v>185.51213100000001</v>
      </c>
      <c r="H40" s="2"/>
      <c r="I40" t="str">
        <f>About!$B$21</f>
        <v>Scenario: High zero-carbon technology cost</v>
      </c>
    </row>
    <row r="41" spans="1:9" x14ac:dyDescent="0.75">
      <c r="A41" t="s">
        <v>107</v>
      </c>
      <c r="B41" t="s">
        <v>545</v>
      </c>
      <c r="D41" t="s">
        <v>88</v>
      </c>
      <c r="E41" s="101">
        <f>IFERROR(INDEX('AEO25 Table 21'!$F$8:$AG$93,MATCH($B41,'AEO25 Table 21'!$B$8:$B$93,0),MATCH($E$3,'AEO25 Table 21'!$F$5:$AG$5,0)),"")</f>
        <v>48.421523999999998</v>
      </c>
      <c r="H41" s="2"/>
      <c r="I41" t="str">
        <f>About!$B$21</f>
        <v>Scenario: High zero-carbon technology cost</v>
      </c>
    </row>
  </sheetData>
  <mergeCells count="1">
    <mergeCell ref="A1:I1"/>
  </mergeCells>
  <conditionalFormatting sqref="B6:B15">
    <cfRule type="duplicateValues" dxfId="11" priority="11"/>
  </conditionalFormatting>
  <conditionalFormatting sqref="B17:B22">
    <cfRule type="duplicateValues" dxfId="10" priority="9"/>
  </conditionalFormatting>
  <conditionalFormatting sqref="B24:B29">
    <cfRule type="duplicateValues" dxfId="9" priority="7"/>
  </conditionalFormatting>
  <conditionalFormatting sqref="B31:B34">
    <cfRule type="duplicateValues" dxfId="8" priority="5"/>
  </conditionalFormatting>
  <conditionalFormatting sqref="B36:B38">
    <cfRule type="duplicateValues" dxfId="7" priority="3"/>
  </conditionalFormatting>
  <conditionalFormatting sqref="B40:B41">
    <cfRule type="duplicateValues" dxfId="6" priority="1"/>
  </conditionalFormatting>
  <conditionalFormatting sqref="C6:C15">
    <cfRule type="duplicateValues" dxfId="5" priority="12"/>
  </conditionalFormatting>
  <conditionalFormatting sqref="C17:C22">
    <cfRule type="duplicateValues" dxfId="4" priority="10"/>
  </conditionalFormatting>
  <conditionalFormatting sqref="C24:C29">
    <cfRule type="duplicateValues" dxfId="3" priority="8"/>
  </conditionalFormatting>
  <conditionalFormatting sqref="C31:C34">
    <cfRule type="duplicateValues" dxfId="2" priority="6"/>
  </conditionalFormatting>
  <conditionalFormatting sqref="C36:C38">
    <cfRule type="duplicateValues" dxfId="1" priority="4"/>
  </conditionalFormatting>
  <conditionalFormatting sqref="C40:C41">
    <cfRule type="duplicateValues" dxfId="0" priority="2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4"/>
  <sheetViews>
    <sheetView zoomScale="80" zoomScaleNormal="80" workbookViewId="0">
      <selection activeCell="D3" sqref="D3"/>
    </sheetView>
  </sheetViews>
  <sheetFormatPr defaultColWidth="9" defaultRowHeight="14.75" x14ac:dyDescent="0.75"/>
  <cols>
    <col min="1" max="1" width="11.40625" bestFit="1" customWidth="1"/>
    <col min="2" max="2" width="11.40625" customWidth="1"/>
    <col min="3" max="3" width="17.40625" style="86" bestFit="1" customWidth="1"/>
    <col min="4" max="4" width="16.54296875" style="86" bestFit="1" customWidth="1"/>
    <col min="5" max="5" width="11.7265625" style="86" bestFit="1" customWidth="1"/>
    <col min="6" max="6" width="12.26953125" bestFit="1" customWidth="1"/>
    <col min="7" max="7" width="38.54296875" customWidth="1"/>
  </cols>
  <sheetData>
    <row r="1" spans="1:7" s="38" customFormat="1" x14ac:dyDescent="0.75">
      <c r="A1" s="106" t="s">
        <v>430</v>
      </c>
      <c r="B1" s="88"/>
      <c r="C1" s="105" t="s">
        <v>431</v>
      </c>
      <c r="D1" s="105"/>
      <c r="E1" s="105"/>
      <c r="F1" s="106" t="s">
        <v>68</v>
      </c>
      <c r="G1" s="39" t="s">
        <v>0</v>
      </c>
    </row>
    <row r="2" spans="1:7" s="38" customFormat="1" x14ac:dyDescent="0.75">
      <c r="A2" s="106"/>
      <c r="B2" s="88"/>
      <c r="C2" s="84" t="s">
        <v>427</v>
      </c>
      <c r="D2" s="61" t="s">
        <v>428</v>
      </c>
      <c r="E2" s="61" t="s">
        <v>429</v>
      </c>
      <c r="F2" s="106"/>
      <c r="G2" s="85"/>
    </row>
    <row r="3" spans="1:7" x14ac:dyDescent="0.75">
      <c r="A3" s="2" t="s">
        <v>321</v>
      </c>
      <c r="B3" s="81" t="s">
        <v>2</v>
      </c>
      <c r="C3" s="86">
        <f>'Cost Summary New'!E$4</f>
        <v>0.54892318617077629</v>
      </c>
      <c r="D3" s="86">
        <f>'Cost Summary New'!E$4</f>
        <v>0.54892318617077629</v>
      </c>
      <c r="E3" s="86">
        <f>'Cost Summary New'!E45</f>
        <v>0.70398750275034405</v>
      </c>
      <c r="F3" t="str">
        <f>'ISIC Code Mapping'!B2</f>
        <v>ISIC 28</v>
      </c>
    </row>
    <row r="4" spans="1:7" x14ac:dyDescent="0.75">
      <c r="A4" s="2" t="s">
        <v>321</v>
      </c>
      <c r="B4" s="81" t="s">
        <v>3</v>
      </c>
      <c r="C4" s="86">
        <f>'Cost Summary New'!F$4</f>
        <v>0.45107681382922371</v>
      </c>
      <c r="D4" s="86">
        <f>'Cost Summary New'!F$4</f>
        <v>0.45107681382922371</v>
      </c>
      <c r="E4" s="86">
        <f>'Cost Summary New'!F45</f>
        <v>0.29601249724965595</v>
      </c>
      <c r="F4" t="str">
        <f>'ISIC Code Mapping'!B3</f>
        <v>ISIC 41T43</v>
      </c>
    </row>
    <row r="5" spans="1:7" x14ac:dyDescent="0.75">
      <c r="A5" s="2" t="s">
        <v>322</v>
      </c>
      <c r="B5" s="81" t="s">
        <v>2</v>
      </c>
      <c r="C5" s="86">
        <f>'Cost Summary New'!$E$14</f>
        <v>0.73664985363645663</v>
      </c>
      <c r="D5" s="86">
        <f>'Cost Summary New'!$E$14</f>
        <v>0.73664985363645663</v>
      </c>
      <c r="E5" s="86">
        <f>'Cost Summary New'!E95</f>
        <v>0.5798301102469372</v>
      </c>
      <c r="F5" t="str">
        <f>'ISIC Code Mapping'!C2</f>
        <v>ISIC 28</v>
      </c>
    </row>
    <row r="6" spans="1:7" x14ac:dyDescent="0.75">
      <c r="A6" s="2" t="s">
        <v>322</v>
      </c>
      <c r="B6" s="81" t="s">
        <v>3</v>
      </c>
      <c r="C6" s="86">
        <f>'Cost Summary New'!$F$14</f>
        <v>0.26335014636354337</v>
      </c>
      <c r="D6" s="86">
        <f>'Cost Summary New'!$F$14</f>
        <v>0.26335014636354337</v>
      </c>
      <c r="E6" s="86">
        <f>'Cost Summary New'!F95</f>
        <v>0.4201698897530628</v>
      </c>
      <c r="F6" t="str">
        <f>'ISIC Code Mapping'!C3</f>
        <v>ISIC 41T43</v>
      </c>
    </row>
    <row r="7" spans="1:7" x14ac:dyDescent="0.75">
      <c r="A7" s="2" t="s">
        <v>328</v>
      </c>
      <c r="B7" s="81" t="s">
        <v>2</v>
      </c>
      <c r="C7" s="86">
        <f>'Cost Summary New'!$E$39</f>
        <v>1</v>
      </c>
      <c r="D7" s="86">
        <f>'Cost Summary New'!$E$39</f>
        <v>1</v>
      </c>
      <c r="E7" s="86">
        <f>'Cost Summary New'!E100</f>
        <v>0.40766894664785691</v>
      </c>
      <c r="F7" t="str">
        <f>'ISIC Code Mapping'!E2</f>
        <v>ISIC 27</v>
      </c>
    </row>
    <row r="8" spans="1:7" x14ac:dyDescent="0.75">
      <c r="A8" s="2" t="s">
        <v>328</v>
      </c>
      <c r="B8" s="81" t="s">
        <v>3</v>
      </c>
      <c r="C8" s="86">
        <f>'Cost Summary New'!$F$39</f>
        <v>0</v>
      </c>
      <c r="D8" s="86">
        <f>'Cost Summary New'!$F$39</f>
        <v>0</v>
      </c>
      <c r="E8" s="86">
        <f>'Cost Summary New'!F100</f>
        <v>0.59233105335214309</v>
      </c>
      <c r="F8" t="str">
        <f>'ISIC Code Mapping'!E3</f>
        <v>ISIC 41T43</v>
      </c>
    </row>
    <row r="9" spans="1:7" x14ac:dyDescent="0.75">
      <c r="A9" s="2" t="s">
        <v>390</v>
      </c>
      <c r="B9" s="81" t="s">
        <v>2</v>
      </c>
      <c r="C9" s="86">
        <f>'Cost Summary New'!$E$41</f>
        <v>0.75430357943166571</v>
      </c>
      <c r="D9" s="86">
        <f>'Cost Summary New'!$E$41</f>
        <v>0.75430357943166571</v>
      </c>
      <c r="E9" s="86">
        <f>'Cost Summary New'!E88</f>
        <v>0.75439886948727197</v>
      </c>
      <c r="F9" t="str">
        <f>'ISIC Code Mapping'!F2</f>
        <v>ISIC 27</v>
      </c>
    </row>
    <row r="10" spans="1:7" x14ac:dyDescent="0.75">
      <c r="A10" s="2" t="s">
        <v>390</v>
      </c>
      <c r="B10" s="81" t="s">
        <v>3</v>
      </c>
      <c r="C10" s="86">
        <f>'Cost Summary New'!$F$41</f>
        <v>0.24569642056833429</v>
      </c>
      <c r="D10" s="86">
        <f>'Cost Summary New'!$F$41</f>
        <v>0.24569642056833429</v>
      </c>
      <c r="E10" s="86">
        <f>'Cost Summary New'!F88</f>
        <v>0.24560113051272803</v>
      </c>
      <c r="F10" t="str">
        <f>'ISIC Code Mapping'!F3</f>
        <v>ISIC 41T43</v>
      </c>
    </row>
    <row r="11" spans="1:7" x14ac:dyDescent="0.75">
      <c r="A11" s="2" t="s">
        <v>72</v>
      </c>
      <c r="B11" s="81" t="s">
        <v>2</v>
      </c>
      <c r="C11" s="86">
        <f>C9</f>
        <v>0.75430357943166571</v>
      </c>
      <c r="D11" s="86">
        <f t="shared" ref="D11:E11" si="0">D9</f>
        <v>0.75430357943166571</v>
      </c>
      <c r="E11" s="86">
        <f t="shared" si="0"/>
        <v>0.75439886948727197</v>
      </c>
      <c r="F11" t="str">
        <f>'ISIC Code Mapping'!G2</f>
        <v>ISIC 27</v>
      </c>
      <c r="G11" t="s">
        <v>447</v>
      </c>
    </row>
    <row r="12" spans="1:7" x14ac:dyDescent="0.75">
      <c r="A12" s="2" t="s">
        <v>72</v>
      </c>
      <c r="B12" s="81" t="s">
        <v>3</v>
      </c>
      <c r="C12" s="86">
        <f>C10</f>
        <v>0.24569642056833429</v>
      </c>
      <c r="D12" s="86">
        <f t="shared" ref="D12:E12" si="1">D10</f>
        <v>0.24569642056833429</v>
      </c>
      <c r="E12" s="86">
        <f t="shared" si="1"/>
        <v>0.24560113051272803</v>
      </c>
      <c r="F12" t="str">
        <f>'ISIC Code Mapping'!G3</f>
        <v>ISIC 41T43</v>
      </c>
      <c r="G12" t="s">
        <v>448</v>
      </c>
    </row>
    <row r="13" spans="1:7" x14ac:dyDescent="0.75">
      <c r="B13" s="81"/>
      <c r="C13"/>
      <c r="D13"/>
      <c r="E13"/>
    </row>
    <row r="14" spans="1:7" x14ac:dyDescent="0.75">
      <c r="C14"/>
      <c r="D14"/>
      <c r="E14"/>
    </row>
    <row r="15" spans="1:7" x14ac:dyDescent="0.75">
      <c r="C15"/>
      <c r="D15"/>
      <c r="E15"/>
    </row>
    <row r="16" spans="1:7" x14ac:dyDescent="0.75">
      <c r="C16"/>
      <c r="D16"/>
      <c r="E16"/>
    </row>
    <row r="17" customFormat="1" x14ac:dyDescent="0.75"/>
    <row r="18" customFormat="1" x14ac:dyDescent="0.75"/>
    <row r="19" customFormat="1" x14ac:dyDescent="0.75"/>
    <row r="20" customFormat="1" x14ac:dyDescent="0.75"/>
    <row r="21" customFormat="1" x14ac:dyDescent="0.75"/>
    <row r="22" customFormat="1" x14ac:dyDescent="0.75"/>
    <row r="23" customFormat="1" x14ac:dyDescent="0.75"/>
    <row r="24" customFormat="1" x14ac:dyDescent="0.75"/>
    <row r="25" customFormat="1" x14ac:dyDescent="0.75"/>
    <row r="26" customFormat="1" x14ac:dyDescent="0.75"/>
    <row r="27" customFormat="1" x14ac:dyDescent="0.75"/>
    <row r="28" customFormat="1" x14ac:dyDescent="0.75"/>
    <row r="29" customFormat="1" x14ac:dyDescent="0.75"/>
    <row r="30" customFormat="1" x14ac:dyDescent="0.75"/>
    <row r="31" customFormat="1" x14ac:dyDescent="0.75"/>
    <row r="32" customFormat="1" x14ac:dyDescent="0.75"/>
    <row r="33" customFormat="1" x14ac:dyDescent="0.75"/>
    <row r="34" customFormat="1" x14ac:dyDescent="0.75"/>
    <row r="35" customFormat="1" x14ac:dyDescent="0.75"/>
    <row r="36" customFormat="1" x14ac:dyDescent="0.75"/>
    <row r="37" customFormat="1" x14ac:dyDescent="0.75"/>
    <row r="38" customFormat="1" x14ac:dyDescent="0.75"/>
    <row r="39" customFormat="1" x14ac:dyDescent="0.75"/>
    <row r="40" customFormat="1" x14ac:dyDescent="0.75"/>
    <row r="41" customFormat="1" x14ac:dyDescent="0.75"/>
    <row r="42" customFormat="1" x14ac:dyDescent="0.75"/>
    <row r="43" customFormat="1" x14ac:dyDescent="0.75"/>
    <row r="44" customFormat="1" x14ac:dyDescent="0.75"/>
  </sheetData>
  <mergeCells count="3">
    <mergeCell ref="C1:E1"/>
    <mergeCell ref="A1:A2"/>
    <mergeCell ref="F1:F2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AQ7"/>
  <sheetViews>
    <sheetView topLeftCell="U1" workbookViewId="0">
      <selection activeCell="AG5" sqref="AG5"/>
    </sheetView>
  </sheetViews>
  <sheetFormatPr defaultRowHeight="14.75" x14ac:dyDescent="0.75"/>
  <cols>
    <col min="1" max="1" width="22.86328125" customWidth="1"/>
    <col min="2" max="43" width="11.1328125" customWidth="1"/>
  </cols>
  <sheetData>
    <row r="1" spans="1:43" x14ac:dyDescent="0.75">
      <c r="A1" s="81" t="s">
        <v>446</v>
      </c>
      <c r="B1" s="98" t="s">
        <v>35</v>
      </c>
      <c r="C1" s="98" t="s">
        <v>451</v>
      </c>
      <c r="D1" s="98" t="s">
        <v>452</v>
      </c>
      <c r="E1" s="98" t="s">
        <v>36</v>
      </c>
      <c r="F1" s="98" t="s">
        <v>37</v>
      </c>
      <c r="G1" s="98" t="s">
        <v>38</v>
      </c>
      <c r="H1" s="98" t="s">
        <v>39</v>
      </c>
      <c r="I1" s="98" t="s">
        <v>40</v>
      </c>
      <c r="J1" s="98" t="s">
        <v>41</v>
      </c>
      <c r="K1" s="98" t="s">
        <v>42</v>
      </c>
      <c r="L1" s="98" t="s">
        <v>449</v>
      </c>
      <c r="M1" s="98" t="s">
        <v>450</v>
      </c>
      <c r="N1" s="98" t="s">
        <v>43</v>
      </c>
      <c r="O1" s="98" t="s">
        <v>457</v>
      </c>
      <c r="P1" s="98" t="s">
        <v>458</v>
      </c>
      <c r="Q1" s="98" t="s">
        <v>461</v>
      </c>
      <c r="R1" s="98" t="s">
        <v>462</v>
      </c>
      <c r="S1" s="98" t="s">
        <v>44</v>
      </c>
      <c r="T1" s="98" t="s">
        <v>45</v>
      </c>
      <c r="U1" s="98" t="s">
        <v>46</v>
      </c>
      <c r="V1" s="98" t="s">
        <v>47</v>
      </c>
      <c r="W1" s="98" t="s">
        <v>48</v>
      </c>
      <c r="X1" s="98" t="s">
        <v>49</v>
      </c>
      <c r="Y1" s="98" t="s">
        <v>50</v>
      </c>
      <c r="Z1" s="98" t="s">
        <v>465</v>
      </c>
      <c r="AA1" s="98" t="s">
        <v>466</v>
      </c>
      <c r="AB1" s="98" t="s">
        <v>467</v>
      </c>
      <c r="AC1" s="98" t="s">
        <v>51</v>
      </c>
      <c r="AD1" s="98" t="s">
        <v>52</v>
      </c>
      <c r="AE1" s="98" t="s">
        <v>53</v>
      </c>
      <c r="AF1" s="98" t="s">
        <v>54</v>
      </c>
      <c r="AG1" s="98" t="s">
        <v>55</v>
      </c>
      <c r="AH1" s="98" t="s">
        <v>56</v>
      </c>
      <c r="AI1" s="98" t="s">
        <v>57</v>
      </c>
      <c r="AJ1" s="98" t="s">
        <v>58</v>
      </c>
      <c r="AK1" s="98" t="s">
        <v>59</v>
      </c>
      <c r="AL1" s="98" t="s">
        <v>60</v>
      </c>
      <c r="AM1" s="98" t="s">
        <v>61</v>
      </c>
      <c r="AN1" s="98" t="s">
        <v>62</v>
      </c>
      <c r="AO1" s="98" t="s">
        <v>63</v>
      </c>
      <c r="AP1" s="98" t="s">
        <v>64</v>
      </c>
      <c r="AQ1" s="98" t="s">
        <v>65</v>
      </c>
    </row>
    <row r="2" spans="1:43" x14ac:dyDescent="0.75">
      <c r="A2" t="s">
        <v>321</v>
      </c>
      <c r="B2">
        <f>SUMIFS('Cost Breakdowns'!$C$3:$C$12,'Cost Breakdowns'!$A$3:$A$12,'SoBCaICbIC-urbanresidential'!$A2,'Cost Breakdowns'!$F$3:$F$12,'SoBCaICbIC-urbanresidential'!B$1)</f>
        <v>0</v>
      </c>
      <c r="C2">
        <f>SUMIFS('Cost Breakdowns'!$C$3:$C$12,'Cost Breakdowns'!$A$3:$A$12,'SoBCaICbIC-urbanresidential'!$A2,'Cost Breakdowns'!$F$3:$F$12,'SoBCaICbIC-urbanresidential'!C$1)</f>
        <v>0</v>
      </c>
      <c r="D2">
        <f>SUMIFS('Cost Breakdowns'!$C$3:$C$12,'Cost Breakdowns'!$A$3:$A$12,'SoBCaICbIC-urbanresidential'!$A2,'Cost Breakdowns'!$F$3:$F$12,'SoBCaICbIC-urbanresidential'!D$1)</f>
        <v>0</v>
      </c>
      <c r="E2">
        <f>SUMIFS('Cost Breakdowns'!$C$3:$C$12,'Cost Breakdowns'!$A$3:$A$12,'SoBCaICbIC-urbanresidential'!$A2,'Cost Breakdowns'!$F$3:$F$12,'SoBCaICbIC-urbanresidential'!E$1)</f>
        <v>0</v>
      </c>
      <c r="F2">
        <f>SUMIFS('Cost Breakdowns'!$C$3:$C$12,'Cost Breakdowns'!$A$3:$A$12,'SoBCaICbIC-urbanresidential'!$A2,'Cost Breakdowns'!$F$3:$F$12,'SoBCaICbIC-urbanresidential'!F$1)</f>
        <v>0</v>
      </c>
      <c r="G2">
        <f>SUMIFS('Cost Breakdowns'!$C$3:$C$12,'Cost Breakdowns'!$A$3:$A$12,'SoBCaICbIC-urbanresidential'!$A2,'Cost Breakdowns'!$F$3:$F$12,'SoBCaICbIC-urbanresidential'!G$1)</f>
        <v>0</v>
      </c>
      <c r="H2">
        <f>SUMIFS('Cost Breakdowns'!$C$3:$C$12,'Cost Breakdowns'!$A$3:$A$12,'SoBCaICbIC-urbanresidential'!$A2,'Cost Breakdowns'!$F$3:$F$12,'SoBCaICbIC-urbanresidential'!H$1)</f>
        <v>0</v>
      </c>
      <c r="I2">
        <f>SUMIFS('Cost Breakdowns'!$C$3:$C$12,'Cost Breakdowns'!$A$3:$A$12,'SoBCaICbIC-urbanresidential'!$A2,'Cost Breakdowns'!$F$3:$F$12,'SoBCaICbIC-urbanresidential'!I$1)</f>
        <v>0</v>
      </c>
      <c r="J2">
        <f>SUMIFS('Cost Breakdowns'!$C$3:$C$12,'Cost Breakdowns'!$A$3:$A$12,'SoBCaICbIC-urbanresidential'!$A2,'Cost Breakdowns'!$F$3:$F$12,'SoBCaICbIC-urbanresidential'!J$1)</f>
        <v>0</v>
      </c>
      <c r="K2">
        <f>SUMIFS('Cost Breakdowns'!$C$3:$C$12,'Cost Breakdowns'!$A$3:$A$12,'SoBCaICbIC-urbanresidential'!$A2,'Cost Breakdowns'!$F$3:$F$12,'SoBCaICbIC-urbanresidential'!K$1)</f>
        <v>0</v>
      </c>
      <c r="L2">
        <f>SUMIFS('Cost Breakdowns'!$C$3:$C$12,'Cost Breakdowns'!$A$3:$A$12,'SoBCaICbIC-urbanresidential'!$A2,'Cost Breakdowns'!$F$3:$F$12,'SoBCaICbIC-urbanresidential'!L$1)</f>
        <v>0</v>
      </c>
      <c r="M2">
        <f>SUMIFS('Cost Breakdowns'!$C$3:$C$12,'Cost Breakdowns'!$A$3:$A$12,'SoBCaICbIC-urbanresidential'!$A2,'Cost Breakdowns'!$F$3:$F$12,'SoBCaICbIC-urbanresidential'!M$1)</f>
        <v>0</v>
      </c>
      <c r="N2">
        <f>SUMIFS('Cost Breakdowns'!$C$3:$C$12,'Cost Breakdowns'!$A$3:$A$12,'SoBCaICbIC-urbanresidential'!$A2,'Cost Breakdowns'!$F$3:$F$12,'SoBCaICbIC-urbanresidential'!N$1)</f>
        <v>0</v>
      </c>
      <c r="O2">
        <f>SUMIFS('Cost Breakdowns'!$C$3:$C$12,'Cost Breakdowns'!$A$3:$A$12,'SoBCaICbIC-urbanresidential'!$A2,'Cost Breakdowns'!$F$3:$F$12,'SoBCaICbIC-urbanresidential'!O$1)</f>
        <v>0</v>
      </c>
      <c r="P2">
        <f>SUMIFS('Cost Breakdowns'!$C$3:$C$12,'Cost Breakdowns'!$A$3:$A$12,'SoBCaICbIC-urbanresidential'!$A2,'Cost Breakdowns'!$F$3:$F$12,'SoBCaICbIC-urbanresidential'!P$1)</f>
        <v>0</v>
      </c>
      <c r="Q2">
        <f>SUMIFS('Cost Breakdowns'!$C$3:$C$12,'Cost Breakdowns'!$A$3:$A$12,'SoBCaICbIC-urbanresidential'!$A2,'Cost Breakdowns'!$F$3:$F$12,'SoBCaICbIC-urbanresidential'!Q$1)</f>
        <v>0</v>
      </c>
      <c r="R2">
        <f>SUMIFS('Cost Breakdowns'!$C$3:$C$12,'Cost Breakdowns'!$A$3:$A$12,'SoBCaICbIC-urbanresidential'!$A2,'Cost Breakdowns'!$F$3:$F$12,'SoBCaICbIC-urbanresidential'!R$1)</f>
        <v>0</v>
      </c>
      <c r="S2">
        <f>SUMIFS('Cost Breakdowns'!$C$3:$C$12,'Cost Breakdowns'!$A$3:$A$12,'SoBCaICbIC-urbanresidential'!$A2,'Cost Breakdowns'!$F$3:$F$12,'SoBCaICbIC-urbanresidential'!S$1)</f>
        <v>0</v>
      </c>
      <c r="T2">
        <f>SUMIFS('Cost Breakdowns'!$C$3:$C$12,'Cost Breakdowns'!$A$3:$A$12,'SoBCaICbIC-urbanresidential'!$A2,'Cost Breakdowns'!$F$3:$F$12,'SoBCaICbIC-urbanresidential'!T$1)</f>
        <v>0</v>
      </c>
      <c r="U2">
        <f>SUMIFS('Cost Breakdowns'!$C$3:$C$12,'Cost Breakdowns'!$A$3:$A$12,'SoBCaICbIC-urbanresidential'!$A2,'Cost Breakdowns'!$F$3:$F$12,'SoBCaICbIC-urbanresidential'!U$1)</f>
        <v>0</v>
      </c>
      <c r="V2">
        <f>SUMIFS('Cost Breakdowns'!$C$3:$C$12,'Cost Breakdowns'!$A$3:$A$12,'SoBCaICbIC-urbanresidential'!$A2,'Cost Breakdowns'!$F$3:$F$12,'SoBCaICbIC-urbanresidential'!V$1)</f>
        <v>0.54892318617077629</v>
      </c>
      <c r="W2">
        <f>SUMIFS('Cost Breakdowns'!$C$3:$C$12,'Cost Breakdowns'!$A$3:$A$12,'SoBCaICbIC-urbanresidential'!$A2,'Cost Breakdowns'!$F$3:$F$12,'SoBCaICbIC-urbanresidential'!W$1)</f>
        <v>0</v>
      </c>
      <c r="X2">
        <f>SUMIFS('Cost Breakdowns'!$C$3:$C$12,'Cost Breakdowns'!$A$3:$A$12,'SoBCaICbIC-urbanresidential'!$A2,'Cost Breakdowns'!$F$3:$F$12,'SoBCaICbIC-urbanresidential'!X$1)</f>
        <v>0</v>
      </c>
      <c r="Y2">
        <f>SUMIFS('Cost Breakdowns'!$C$3:$C$12,'Cost Breakdowns'!$A$3:$A$12,'SoBCaICbIC-urbanresidential'!$A2,'Cost Breakdowns'!$F$3:$F$12,'SoBCaICbIC-urbanresidential'!Y$1)</f>
        <v>0</v>
      </c>
      <c r="Z2">
        <f>SUMIFS('Cost Breakdowns'!$C$3:$C$12,'Cost Breakdowns'!$A$3:$A$12,'SoBCaICbIC-urbanresidential'!$A2,'Cost Breakdowns'!$F$3:$F$12,'SoBCaICbIC-urbanresidential'!Z$1)</f>
        <v>0</v>
      </c>
      <c r="AA2">
        <f>SUMIFS('Cost Breakdowns'!$C$3:$C$12,'Cost Breakdowns'!$A$3:$A$12,'SoBCaICbIC-urbanresidential'!$A2,'Cost Breakdowns'!$F$3:$F$12,'SoBCaICbIC-urbanresidential'!AA$1)</f>
        <v>0</v>
      </c>
      <c r="AB2">
        <f>SUMIFS('Cost Breakdowns'!$C$3:$C$12,'Cost Breakdowns'!$A$3:$A$12,'SoBCaICbIC-urbanresidential'!$A2,'Cost Breakdowns'!$F$3:$F$12,'SoBCaICbIC-urbanresidential'!AB$1)</f>
        <v>0</v>
      </c>
      <c r="AC2">
        <f>SUMIFS('Cost Breakdowns'!$C$3:$C$12,'Cost Breakdowns'!$A$3:$A$12,'SoBCaICbIC-urbanresidential'!$A2,'Cost Breakdowns'!$F$3:$F$12,'SoBCaICbIC-urbanresidential'!AC$1)</f>
        <v>0.45107681382922371</v>
      </c>
      <c r="AD2">
        <f>SUMIFS('Cost Breakdowns'!$C$3:$C$12,'Cost Breakdowns'!$A$3:$A$12,'SoBCaICbIC-urbanresidential'!$A2,'Cost Breakdowns'!$F$3:$F$12,'SoBCaICbIC-urbanresidential'!AD$1)</f>
        <v>0</v>
      </c>
      <c r="AE2">
        <f>SUMIFS('Cost Breakdowns'!$C$3:$C$12,'Cost Breakdowns'!$A$3:$A$12,'SoBCaICbIC-urbanresidential'!$A2,'Cost Breakdowns'!$F$3:$F$12,'SoBCaICbIC-urbanresidential'!AE$1)</f>
        <v>0</v>
      </c>
      <c r="AF2">
        <f>SUMIFS('Cost Breakdowns'!$C$3:$C$12,'Cost Breakdowns'!$A$3:$A$12,'SoBCaICbIC-urbanresidential'!$A2,'Cost Breakdowns'!$F$3:$F$12,'SoBCaICbIC-urbanresidential'!AF$1)</f>
        <v>0</v>
      </c>
      <c r="AG2">
        <f>SUMIFS('Cost Breakdowns'!$C$3:$C$12,'Cost Breakdowns'!$A$3:$A$12,'SoBCaICbIC-urbanresidential'!$A2,'Cost Breakdowns'!$F$3:$F$12,'SoBCaICbIC-urbanresidential'!AG$1)</f>
        <v>0</v>
      </c>
      <c r="AH2">
        <f>SUMIFS('Cost Breakdowns'!$C$3:$C$12,'Cost Breakdowns'!$A$3:$A$12,'SoBCaICbIC-urbanresidential'!$A2,'Cost Breakdowns'!$F$3:$F$12,'SoBCaICbIC-urbanresidential'!AH$1)</f>
        <v>0</v>
      </c>
      <c r="AI2">
        <f>SUMIFS('Cost Breakdowns'!$C$3:$C$12,'Cost Breakdowns'!$A$3:$A$12,'SoBCaICbIC-urbanresidential'!$A2,'Cost Breakdowns'!$F$3:$F$12,'SoBCaICbIC-urbanresidential'!AI$1)</f>
        <v>0</v>
      </c>
      <c r="AJ2">
        <f>SUMIFS('Cost Breakdowns'!$C$3:$C$12,'Cost Breakdowns'!$A$3:$A$12,'SoBCaICbIC-urbanresidential'!$A2,'Cost Breakdowns'!$F$3:$F$12,'SoBCaICbIC-urbanresidential'!AJ$1)</f>
        <v>0</v>
      </c>
      <c r="AK2">
        <f>SUMIFS('Cost Breakdowns'!$C$3:$C$12,'Cost Breakdowns'!$A$3:$A$12,'SoBCaICbIC-urbanresidential'!$A2,'Cost Breakdowns'!$F$3:$F$12,'SoBCaICbIC-urbanresidential'!AK$1)</f>
        <v>0</v>
      </c>
      <c r="AL2">
        <f>SUMIFS('Cost Breakdowns'!$C$3:$C$12,'Cost Breakdowns'!$A$3:$A$12,'SoBCaICbIC-urbanresidential'!$A2,'Cost Breakdowns'!$F$3:$F$12,'SoBCaICbIC-urbanresidential'!AL$1)</f>
        <v>0</v>
      </c>
      <c r="AM2">
        <f>SUMIFS('Cost Breakdowns'!$C$3:$C$12,'Cost Breakdowns'!$A$3:$A$12,'SoBCaICbIC-urbanresidential'!$A2,'Cost Breakdowns'!$F$3:$F$12,'SoBCaICbIC-urbanresidential'!AM$1)</f>
        <v>0</v>
      </c>
      <c r="AN2">
        <f>SUMIFS('Cost Breakdowns'!$C$3:$C$12,'Cost Breakdowns'!$A$3:$A$12,'SoBCaICbIC-urbanresidential'!$A2,'Cost Breakdowns'!$F$3:$F$12,'SoBCaICbIC-urbanresidential'!AN$1)</f>
        <v>0</v>
      </c>
      <c r="AO2">
        <f>SUMIFS('Cost Breakdowns'!$C$3:$C$12,'Cost Breakdowns'!$A$3:$A$12,'SoBCaICbIC-urbanresidential'!$A2,'Cost Breakdowns'!$F$3:$F$12,'SoBCaICbIC-urbanresidential'!AO$1)</f>
        <v>0</v>
      </c>
      <c r="AP2">
        <f>SUMIFS('Cost Breakdowns'!$C$3:$C$12,'Cost Breakdowns'!$A$3:$A$12,'SoBCaICbIC-urbanresidential'!$A2,'Cost Breakdowns'!$F$3:$F$12,'SoBCaICbIC-urbanresidential'!AP$1)</f>
        <v>0</v>
      </c>
      <c r="AQ2">
        <f>SUMIFS('Cost Breakdowns'!$C$3:$C$12,'Cost Breakdowns'!$A$3:$A$12,'SoBCaICbIC-urbanresidential'!$A2,'Cost Breakdowns'!$F$3:$F$12,'SoBCaICbIC-urbanresidential'!AQ$1)</f>
        <v>0</v>
      </c>
    </row>
    <row r="3" spans="1:43" x14ac:dyDescent="0.75">
      <c r="A3" t="s">
        <v>322</v>
      </c>
      <c r="B3">
        <f>SUMIFS('Cost Breakdowns'!$C$3:$C$12,'Cost Breakdowns'!$A$3:$A$12,'SoBCaICbIC-urbanresidential'!$A3,'Cost Breakdowns'!$F$3:$F$12,'SoBCaICbIC-urbanresidential'!B$1)</f>
        <v>0</v>
      </c>
      <c r="C3">
        <f>SUMIFS('Cost Breakdowns'!$C$3:$C$12,'Cost Breakdowns'!$A$3:$A$12,'SoBCaICbIC-urbanresidential'!$A3,'Cost Breakdowns'!$F$3:$F$12,'SoBCaICbIC-urbanresidential'!C$1)</f>
        <v>0</v>
      </c>
      <c r="D3">
        <f>SUMIFS('Cost Breakdowns'!$C$3:$C$12,'Cost Breakdowns'!$A$3:$A$12,'SoBCaICbIC-urbanresidential'!$A3,'Cost Breakdowns'!$F$3:$F$12,'SoBCaICbIC-urbanresidential'!D$1)</f>
        <v>0</v>
      </c>
      <c r="E3">
        <f>SUMIFS('Cost Breakdowns'!$C$3:$C$12,'Cost Breakdowns'!$A$3:$A$12,'SoBCaICbIC-urbanresidential'!$A3,'Cost Breakdowns'!$F$3:$F$12,'SoBCaICbIC-urbanresidential'!E$1)</f>
        <v>0</v>
      </c>
      <c r="F3">
        <f>SUMIFS('Cost Breakdowns'!$C$3:$C$12,'Cost Breakdowns'!$A$3:$A$12,'SoBCaICbIC-urbanresidential'!$A3,'Cost Breakdowns'!$F$3:$F$12,'SoBCaICbIC-urbanresidential'!F$1)</f>
        <v>0</v>
      </c>
      <c r="G3">
        <f>SUMIFS('Cost Breakdowns'!$C$3:$C$12,'Cost Breakdowns'!$A$3:$A$12,'SoBCaICbIC-urbanresidential'!$A3,'Cost Breakdowns'!$F$3:$F$12,'SoBCaICbIC-urbanresidential'!G$1)</f>
        <v>0</v>
      </c>
      <c r="H3">
        <f>SUMIFS('Cost Breakdowns'!$C$3:$C$12,'Cost Breakdowns'!$A$3:$A$12,'SoBCaICbIC-urbanresidential'!$A3,'Cost Breakdowns'!$F$3:$F$12,'SoBCaICbIC-urbanresidential'!H$1)</f>
        <v>0</v>
      </c>
      <c r="I3">
        <f>SUMIFS('Cost Breakdowns'!$C$3:$C$12,'Cost Breakdowns'!$A$3:$A$12,'SoBCaICbIC-urbanresidential'!$A3,'Cost Breakdowns'!$F$3:$F$12,'SoBCaICbIC-urbanresidential'!I$1)</f>
        <v>0</v>
      </c>
      <c r="J3">
        <f>SUMIFS('Cost Breakdowns'!$C$3:$C$12,'Cost Breakdowns'!$A$3:$A$12,'SoBCaICbIC-urbanresidential'!$A3,'Cost Breakdowns'!$F$3:$F$12,'SoBCaICbIC-urbanresidential'!J$1)</f>
        <v>0</v>
      </c>
      <c r="K3">
        <f>SUMIFS('Cost Breakdowns'!$C$3:$C$12,'Cost Breakdowns'!$A$3:$A$12,'SoBCaICbIC-urbanresidential'!$A3,'Cost Breakdowns'!$F$3:$F$12,'SoBCaICbIC-urbanresidential'!K$1)</f>
        <v>0</v>
      </c>
      <c r="L3">
        <f>SUMIFS('Cost Breakdowns'!$C$3:$C$12,'Cost Breakdowns'!$A$3:$A$12,'SoBCaICbIC-urbanresidential'!$A3,'Cost Breakdowns'!$F$3:$F$12,'SoBCaICbIC-urbanresidential'!L$1)</f>
        <v>0</v>
      </c>
      <c r="M3">
        <f>SUMIFS('Cost Breakdowns'!$C$3:$C$12,'Cost Breakdowns'!$A$3:$A$12,'SoBCaICbIC-urbanresidential'!$A3,'Cost Breakdowns'!$F$3:$F$12,'SoBCaICbIC-urbanresidential'!M$1)</f>
        <v>0</v>
      </c>
      <c r="N3">
        <f>SUMIFS('Cost Breakdowns'!$C$3:$C$12,'Cost Breakdowns'!$A$3:$A$12,'SoBCaICbIC-urbanresidential'!$A3,'Cost Breakdowns'!$F$3:$F$12,'SoBCaICbIC-urbanresidential'!N$1)</f>
        <v>0</v>
      </c>
      <c r="O3">
        <f>SUMIFS('Cost Breakdowns'!$C$3:$C$12,'Cost Breakdowns'!$A$3:$A$12,'SoBCaICbIC-urbanresidential'!$A3,'Cost Breakdowns'!$F$3:$F$12,'SoBCaICbIC-urbanresidential'!O$1)</f>
        <v>0</v>
      </c>
      <c r="P3">
        <f>SUMIFS('Cost Breakdowns'!$C$3:$C$12,'Cost Breakdowns'!$A$3:$A$12,'SoBCaICbIC-urbanresidential'!$A3,'Cost Breakdowns'!$F$3:$F$12,'SoBCaICbIC-urbanresidential'!P$1)</f>
        <v>0</v>
      </c>
      <c r="Q3">
        <f>SUMIFS('Cost Breakdowns'!$C$3:$C$12,'Cost Breakdowns'!$A$3:$A$12,'SoBCaICbIC-urbanresidential'!$A3,'Cost Breakdowns'!$F$3:$F$12,'SoBCaICbIC-urbanresidential'!Q$1)</f>
        <v>0</v>
      </c>
      <c r="R3">
        <f>SUMIFS('Cost Breakdowns'!$C$3:$C$12,'Cost Breakdowns'!$A$3:$A$12,'SoBCaICbIC-urbanresidential'!$A3,'Cost Breakdowns'!$F$3:$F$12,'SoBCaICbIC-urbanresidential'!R$1)</f>
        <v>0</v>
      </c>
      <c r="S3">
        <f>SUMIFS('Cost Breakdowns'!$C$3:$C$12,'Cost Breakdowns'!$A$3:$A$12,'SoBCaICbIC-urbanresidential'!$A3,'Cost Breakdowns'!$F$3:$F$12,'SoBCaICbIC-urbanresidential'!S$1)</f>
        <v>0</v>
      </c>
      <c r="T3">
        <f>SUMIFS('Cost Breakdowns'!$C$3:$C$12,'Cost Breakdowns'!$A$3:$A$12,'SoBCaICbIC-urbanresidential'!$A3,'Cost Breakdowns'!$F$3:$F$12,'SoBCaICbIC-urbanresidential'!T$1)</f>
        <v>0</v>
      </c>
      <c r="U3">
        <f>SUMIFS('Cost Breakdowns'!$C$3:$C$12,'Cost Breakdowns'!$A$3:$A$12,'SoBCaICbIC-urbanresidential'!$A3,'Cost Breakdowns'!$F$3:$F$12,'SoBCaICbIC-urbanresidential'!U$1)</f>
        <v>0</v>
      </c>
      <c r="V3">
        <f>SUMIFS('Cost Breakdowns'!$C$3:$C$12,'Cost Breakdowns'!$A$3:$A$12,'SoBCaICbIC-urbanresidential'!$A3,'Cost Breakdowns'!$F$3:$F$12,'SoBCaICbIC-urbanresidential'!V$1)</f>
        <v>0.73664985363645663</v>
      </c>
      <c r="W3">
        <f>SUMIFS('Cost Breakdowns'!$C$3:$C$12,'Cost Breakdowns'!$A$3:$A$12,'SoBCaICbIC-urbanresidential'!$A3,'Cost Breakdowns'!$F$3:$F$12,'SoBCaICbIC-urbanresidential'!W$1)</f>
        <v>0</v>
      </c>
      <c r="X3">
        <f>SUMIFS('Cost Breakdowns'!$C$3:$C$12,'Cost Breakdowns'!$A$3:$A$12,'SoBCaICbIC-urbanresidential'!$A3,'Cost Breakdowns'!$F$3:$F$12,'SoBCaICbIC-urbanresidential'!X$1)</f>
        <v>0</v>
      </c>
      <c r="Y3">
        <f>SUMIFS('Cost Breakdowns'!$C$3:$C$12,'Cost Breakdowns'!$A$3:$A$12,'SoBCaICbIC-urbanresidential'!$A3,'Cost Breakdowns'!$F$3:$F$12,'SoBCaICbIC-urbanresidential'!Y$1)</f>
        <v>0</v>
      </c>
      <c r="Z3">
        <f>SUMIFS('Cost Breakdowns'!$C$3:$C$12,'Cost Breakdowns'!$A$3:$A$12,'SoBCaICbIC-urbanresidential'!$A3,'Cost Breakdowns'!$F$3:$F$12,'SoBCaICbIC-urbanresidential'!Z$1)</f>
        <v>0</v>
      </c>
      <c r="AA3">
        <f>SUMIFS('Cost Breakdowns'!$C$3:$C$12,'Cost Breakdowns'!$A$3:$A$12,'SoBCaICbIC-urbanresidential'!$A3,'Cost Breakdowns'!$F$3:$F$12,'SoBCaICbIC-urbanresidential'!AA$1)</f>
        <v>0</v>
      </c>
      <c r="AB3">
        <f>SUMIFS('Cost Breakdowns'!$C$3:$C$12,'Cost Breakdowns'!$A$3:$A$12,'SoBCaICbIC-urbanresidential'!$A3,'Cost Breakdowns'!$F$3:$F$12,'SoBCaICbIC-urbanresidential'!AB$1)</f>
        <v>0</v>
      </c>
      <c r="AC3">
        <f>SUMIFS('Cost Breakdowns'!$C$3:$C$12,'Cost Breakdowns'!$A$3:$A$12,'SoBCaICbIC-urbanresidential'!$A3,'Cost Breakdowns'!$F$3:$F$12,'SoBCaICbIC-urbanresidential'!AC$1)</f>
        <v>0.26335014636354337</v>
      </c>
      <c r="AD3">
        <f>SUMIFS('Cost Breakdowns'!$C$3:$C$12,'Cost Breakdowns'!$A$3:$A$12,'SoBCaICbIC-urbanresidential'!$A3,'Cost Breakdowns'!$F$3:$F$12,'SoBCaICbIC-urbanresidential'!AD$1)</f>
        <v>0</v>
      </c>
      <c r="AE3">
        <f>SUMIFS('Cost Breakdowns'!$C$3:$C$12,'Cost Breakdowns'!$A$3:$A$12,'SoBCaICbIC-urbanresidential'!$A3,'Cost Breakdowns'!$F$3:$F$12,'SoBCaICbIC-urbanresidential'!AE$1)</f>
        <v>0</v>
      </c>
      <c r="AF3">
        <f>SUMIFS('Cost Breakdowns'!$C$3:$C$12,'Cost Breakdowns'!$A$3:$A$12,'SoBCaICbIC-urbanresidential'!$A3,'Cost Breakdowns'!$F$3:$F$12,'SoBCaICbIC-urbanresidential'!AF$1)</f>
        <v>0</v>
      </c>
      <c r="AG3">
        <f>SUMIFS('Cost Breakdowns'!$C$3:$C$12,'Cost Breakdowns'!$A$3:$A$12,'SoBCaICbIC-urbanresidential'!$A3,'Cost Breakdowns'!$F$3:$F$12,'SoBCaICbIC-urbanresidential'!AG$1)</f>
        <v>0</v>
      </c>
      <c r="AH3">
        <f>SUMIFS('Cost Breakdowns'!$C$3:$C$12,'Cost Breakdowns'!$A$3:$A$12,'SoBCaICbIC-urbanresidential'!$A3,'Cost Breakdowns'!$F$3:$F$12,'SoBCaICbIC-urbanresidential'!AH$1)</f>
        <v>0</v>
      </c>
      <c r="AI3">
        <f>SUMIFS('Cost Breakdowns'!$C$3:$C$12,'Cost Breakdowns'!$A$3:$A$12,'SoBCaICbIC-urbanresidential'!$A3,'Cost Breakdowns'!$F$3:$F$12,'SoBCaICbIC-urbanresidential'!AI$1)</f>
        <v>0</v>
      </c>
      <c r="AJ3">
        <f>SUMIFS('Cost Breakdowns'!$C$3:$C$12,'Cost Breakdowns'!$A$3:$A$12,'SoBCaICbIC-urbanresidential'!$A3,'Cost Breakdowns'!$F$3:$F$12,'SoBCaICbIC-urbanresidential'!AJ$1)</f>
        <v>0</v>
      </c>
      <c r="AK3">
        <f>SUMIFS('Cost Breakdowns'!$C$3:$C$12,'Cost Breakdowns'!$A$3:$A$12,'SoBCaICbIC-urbanresidential'!$A3,'Cost Breakdowns'!$F$3:$F$12,'SoBCaICbIC-urbanresidential'!AK$1)</f>
        <v>0</v>
      </c>
      <c r="AL3">
        <f>SUMIFS('Cost Breakdowns'!$C$3:$C$12,'Cost Breakdowns'!$A$3:$A$12,'SoBCaICbIC-urbanresidential'!$A3,'Cost Breakdowns'!$F$3:$F$12,'SoBCaICbIC-urbanresidential'!AL$1)</f>
        <v>0</v>
      </c>
      <c r="AM3">
        <f>SUMIFS('Cost Breakdowns'!$C$3:$C$12,'Cost Breakdowns'!$A$3:$A$12,'SoBCaICbIC-urbanresidential'!$A3,'Cost Breakdowns'!$F$3:$F$12,'SoBCaICbIC-urbanresidential'!AM$1)</f>
        <v>0</v>
      </c>
      <c r="AN3">
        <f>SUMIFS('Cost Breakdowns'!$C$3:$C$12,'Cost Breakdowns'!$A$3:$A$12,'SoBCaICbIC-urbanresidential'!$A3,'Cost Breakdowns'!$F$3:$F$12,'SoBCaICbIC-urbanresidential'!AN$1)</f>
        <v>0</v>
      </c>
      <c r="AO3">
        <f>SUMIFS('Cost Breakdowns'!$C$3:$C$12,'Cost Breakdowns'!$A$3:$A$12,'SoBCaICbIC-urbanresidential'!$A3,'Cost Breakdowns'!$F$3:$F$12,'SoBCaICbIC-urbanresidential'!AO$1)</f>
        <v>0</v>
      </c>
      <c r="AP3">
        <f>SUMIFS('Cost Breakdowns'!$C$3:$C$12,'Cost Breakdowns'!$A$3:$A$12,'SoBCaICbIC-urbanresidential'!$A3,'Cost Breakdowns'!$F$3:$F$12,'SoBCaICbIC-urbanresidential'!AP$1)</f>
        <v>0</v>
      </c>
      <c r="AQ3">
        <f>SUMIFS('Cost Breakdowns'!$C$3:$C$12,'Cost Breakdowns'!$A$3:$A$12,'SoBCaICbIC-urbanresidential'!$A3,'Cost Breakdowns'!$F$3:$F$12,'SoBCaICbIC-urbanresidential'!AQ$1)</f>
        <v>0</v>
      </c>
    </row>
    <row r="4" spans="1:43" x14ac:dyDescent="0.75">
      <c r="A4" t="s">
        <v>434</v>
      </c>
      <c r="B4">
        <f>SUMIFS('Cost Breakdowns'!$C$3:$C$12,'Cost Breakdowns'!$A$3:$A$12,'SoBCaICbIC-urbanresidential'!$A4,'Cost Breakdowns'!$F$3:$F$12,'SoBCaICbIC-urbanresidential'!B$1)</f>
        <v>0</v>
      </c>
      <c r="C4">
        <f>SUMIFS('Cost Breakdowns'!$C$3:$C$12,'Cost Breakdowns'!$A$3:$A$12,'SoBCaICbIC-urbanresidential'!$A4,'Cost Breakdowns'!$F$3:$F$12,'SoBCaICbIC-urbanresidential'!C$1)</f>
        <v>0</v>
      </c>
      <c r="D4">
        <f>SUMIFS('Cost Breakdowns'!$C$3:$C$12,'Cost Breakdowns'!$A$3:$A$12,'SoBCaICbIC-urbanresidential'!$A4,'Cost Breakdowns'!$F$3:$F$12,'SoBCaICbIC-urbanresidential'!D$1)</f>
        <v>0</v>
      </c>
      <c r="E4">
        <f>SUMIFS('Cost Breakdowns'!$C$3:$C$12,'Cost Breakdowns'!$A$3:$A$12,'SoBCaICbIC-urbanresidential'!$A4,'Cost Breakdowns'!$F$3:$F$12,'SoBCaICbIC-urbanresidential'!E$1)</f>
        <v>0</v>
      </c>
      <c r="F4">
        <f>SUMIFS('Cost Breakdowns'!$C$3:$C$12,'Cost Breakdowns'!$A$3:$A$12,'SoBCaICbIC-urbanresidential'!$A4,'Cost Breakdowns'!$F$3:$F$12,'SoBCaICbIC-urbanresidential'!F$1)</f>
        <v>0</v>
      </c>
      <c r="G4">
        <f>SUMIFS('Cost Breakdowns'!$C$3:$C$12,'Cost Breakdowns'!$A$3:$A$12,'SoBCaICbIC-urbanresidential'!$A4,'Cost Breakdowns'!$F$3:$F$12,'SoBCaICbIC-urbanresidential'!G$1)</f>
        <v>0</v>
      </c>
      <c r="H4">
        <f>SUMIFS('Cost Breakdowns'!$C$3:$C$12,'Cost Breakdowns'!$A$3:$A$12,'SoBCaICbIC-urbanresidential'!$A4,'Cost Breakdowns'!$F$3:$F$12,'SoBCaICbIC-urbanresidential'!H$1)</f>
        <v>0</v>
      </c>
      <c r="I4">
        <f>SUMIFS('Cost Breakdowns'!$C$3:$C$12,'Cost Breakdowns'!$A$3:$A$12,'SoBCaICbIC-urbanresidential'!$A4,'Cost Breakdowns'!$F$3:$F$12,'SoBCaICbIC-urbanresidential'!I$1)</f>
        <v>0</v>
      </c>
      <c r="J4">
        <f>SUMIFS('Cost Breakdowns'!$C$3:$C$12,'Cost Breakdowns'!$A$3:$A$12,'SoBCaICbIC-urbanresidential'!$A4,'Cost Breakdowns'!$F$3:$F$12,'SoBCaICbIC-urbanresidential'!J$1)</f>
        <v>0</v>
      </c>
      <c r="K4">
        <f>SUMIFS('Cost Breakdowns'!$C$3:$C$12,'Cost Breakdowns'!$A$3:$A$12,'SoBCaICbIC-urbanresidential'!$A4,'Cost Breakdowns'!$F$3:$F$12,'SoBCaICbIC-urbanresidential'!K$1)</f>
        <v>0</v>
      </c>
      <c r="L4">
        <f>SUMIFS('Cost Breakdowns'!$C$3:$C$12,'Cost Breakdowns'!$A$3:$A$12,'SoBCaICbIC-urbanresidential'!$A4,'Cost Breakdowns'!$F$3:$F$12,'SoBCaICbIC-urbanresidential'!L$1)</f>
        <v>0</v>
      </c>
      <c r="M4">
        <f>SUMIFS('Cost Breakdowns'!$C$3:$C$12,'Cost Breakdowns'!$A$3:$A$12,'SoBCaICbIC-urbanresidential'!$A4,'Cost Breakdowns'!$F$3:$F$12,'SoBCaICbIC-urbanresidential'!M$1)</f>
        <v>0</v>
      </c>
      <c r="N4">
        <f>SUMIFS('Cost Breakdowns'!$C$3:$C$12,'Cost Breakdowns'!$A$3:$A$12,'SoBCaICbIC-urbanresidential'!$A4,'Cost Breakdowns'!$F$3:$F$12,'SoBCaICbIC-urbanresidential'!N$1)</f>
        <v>0</v>
      </c>
      <c r="O4">
        <f>SUMIFS('Cost Breakdowns'!$C$3:$C$12,'Cost Breakdowns'!$A$3:$A$12,'SoBCaICbIC-urbanresidential'!$A4,'Cost Breakdowns'!$F$3:$F$12,'SoBCaICbIC-urbanresidential'!O$1)</f>
        <v>0</v>
      </c>
      <c r="P4">
        <f>SUMIFS('Cost Breakdowns'!$C$3:$C$12,'Cost Breakdowns'!$A$3:$A$12,'SoBCaICbIC-urbanresidential'!$A4,'Cost Breakdowns'!$F$3:$F$12,'SoBCaICbIC-urbanresidential'!P$1)</f>
        <v>0</v>
      </c>
      <c r="Q4">
        <f>SUMIFS('Cost Breakdowns'!$C$3:$C$12,'Cost Breakdowns'!$A$3:$A$12,'SoBCaICbIC-urbanresidential'!$A4,'Cost Breakdowns'!$F$3:$F$12,'SoBCaICbIC-urbanresidential'!Q$1)</f>
        <v>0</v>
      </c>
      <c r="R4">
        <f>SUMIFS('Cost Breakdowns'!$C$3:$C$12,'Cost Breakdowns'!$A$3:$A$12,'SoBCaICbIC-urbanresidential'!$A4,'Cost Breakdowns'!$F$3:$F$12,'SoBCaICbIC-urbanresidential'!R$1)</f>
        <v>0</v>
      </c>
      <c r="S4">
        <f>SUMIFS('Cost Breakdowns'!$C$3:$C$12,'Cost Breakdowns'!$A$3:$A$12,'SoBCaICbIC-urbanresidential'!$A4,'Cost Breakdowns'!$F$3:$F$12,'SoBCaICbIC-urbanresidential'!S$1)</f>
        <v>0</v>
      </c>
      <c r="T4">
        <f>SUMIFS('Cost Breakdowns'!$C$3:$C$12,'Cost Breakdowns'!$A$3:$A$12,'SoBCaICbIC-urbanresidential'!$A4,'Cost Breakdowns'!$F$3:$F$12,'SoBCaICbIC-urbanresidential'!T$1)</f>
        <v>0</v>
      </c>
      <c r="U4">
        <f>SUMIFS('Cost Breakdowns'!$C$3:$C$12,'Cost Breakdowns'!$A$3:$A$12,'SoBCaICbIC-urbanresidential'!$A4,'Cost Breakdowns'!$F$3:$F$12,'SoBCaICbIC-urbanresidential'!U$1)</f>
        <v>0</v>
      </c>
      <c r="V4">
        <f>SUMIFS('Cost Breakdowns'!$C$3:$C$12,'Cost Breakdowns'!$A$3:$A$12,'SoBCaICbIC-urbanresidential'!$A4,'Cost Breakdowns'!$F$3:$F$12,'SoBCaICbIC-urbanresidential'!V$1)</f>
        <v>0</v>
      </c>
      <c r="W4">
        <f>SUMIFS('Cost Breakdowns'!$C$3:$C$12,'Cost Breakdowns'!$A$3:$A$12,'SoBCaICbIC-urbanresidential'!$A4,'Cost Breakdowns'!$F$3:$F$12,'SoBCaICbIC-urbanresidential'!W$1)</f>
        <v>0</v>
      </c>
      <c r="X4">
        <f>SUMIFS('Cost Breakdowns'!$C$3:$C$12,'Cost Breakdowns'!$A$3:$A$12,'SoBCaICbIC-urbanresidential'!$A4,'Cost Breakdowns'!$F$3:$F$12,'SoBCaICbIC-urbanresidential'!X$1)</f>
        <v>0</v>
      </c>
      <c r="Y4">
        <f>SUMIFS('Cost Breakdowns'!$C$3:$C$12,'Cost Breakdowns'!$A$3:$A$12,'SoBCaICbIC-urbanresidential'!$A4,'Cost Breakdowns'!$F$3:$F$12,'SoBCaICbIC-urbanresidential'!Y$1)</f>
        <v>0</v>
      </c>
      <c r="Z4">
        <f>SUMIFS('Cost Breakdowns'!$C$3:$C$12,'Cost Breakdowns'!$A$3:$A$12,'SoBCaICbIC-urbanresidential'!$A4,'Cost Breakdowns'!$F$3:$F$12,'SoBCaICbIC-urbanresidential'!Z$1)</f>
        <v>0</v>
      </c>
      <c r="AA4">
        <f>SUMIFS('Cost Breakdowns'!$C$3:$C$12,'Cost Breakdowns'!$A$3:$A$12,'SoBCaICbIC-urbanresidential'!$A4,'Cost Breakdowns'!$F$3:$F$12,'SoBCaICbIC-urbanresidential'!AA$1)</f>
        <v>0</v>
      </c>
      <c r="AB4">
        <f>SUMIFS('Cost Breakdowns'!$C$3:$C$12,'Cost Breakdowns'!$A$3:$A$12,'SoBCaICbIC-urbanresidential'!$A4,'Cost Breakdowns'!$F$3:$F$12,'SoBCaICbIC-urbanresidential'!AB$1)</f>
        <v>0</v>
      </c>
      <c r="AC4">
        <f>SUMIFS('Cost Breakdowns'!$C$3:$C$12,'Cost Breakdowns'!$A$3:$A$12,'SoBCaICbIC-urbanresidential'!$A4,'Cost Breakdowns'!$F$3:$F$12,'SoBCaICbIC-urbanresidential'!AC$1)</f>
        <v>0</v>
      </c>
      <c r="AD4">
        <f>SUMIFS('Cost Breakdowns'!$C$3:$C$12,'Cost Breakdowns'!$A$3:$A$12,'SoBCaICbIC-urbanresidential'!$A4,'Cost Breakdowns'!$F$3:$F$12,'SoBCaICbIC-urbanresidential'!AD$1)</f>
        <v>0</v>
      </c>
      <c r="AE4">
        <f>SUMIFS('Cost Breakdowns'!$C$3:$C$12,'Cost Breakdowns'!$A$3:$A$12,'SoBCaICbIC-urbanresidential'!$A4,'Cost Breakdowns'!$F$3:$F$12,'SoBCaICbIC-urbanresidential'!AE$1)</f>
        <v>0</v>
      </c>
      <c r="AF4">
        <f>SUMIFS('Cost Breakdowns'!$C$3:$C$12,'Cost Breakdowns'!$A$3:$A$12,'SoBCaICbIC-urbanresidential'!$A4,'Cost Breakdowns'!$F$3:$F$12,'SoBCaICbIC-urbanresidential'!AF$1)</f>
        <v>0</v>
      </c>
      <c r="AG4">
        <f>SUMIFS('Cost Breakdowns'!$C$3:$C$12,'Cost Breakdowns'!$A$3:$A$12,'SoBCaICbIC-urbanresidential'!$A4,'Cost Breakdowns'!$F$3:$F$12,'SoBCaICbIC-urbanresidential'!AG$1)</f>
        <v>0</v>
      </c>
      <c r="AH4">
        <f>SUMIFS('Cost Breakdowns'!$C$3:$C$12,'Cost Breakdowns'!$A$3:$A$12,'SoBCaICbIC-urbanresidential'!$A4,'Cost Breakdowns'!$F$3:$F$12,'SoBCaICbIC-urbanresidential'!AH$1)</f>
        <v>0</v>
      </c>
      <c r="AI4">
        <f>SUMIFS('Cost Breakdowns'!$C$3:$C$12,'Cost Breakdowns'!$A$3:$A$12,'SoBCaICbIC-urbanresidential'!$A4,'Cost Breakdowns'!$F$3:$F$12,'SoBCaICbIC-urbanresidential'!AI$1)</f>
        <v>0</v>
      </c>
      <c r="AJ4">
        <f>SUMIFS('Cost Breakdowns'!$C$3:$C$12,'Cost Breakdowns'!$A$3:$A$12,'SoBCaICbIC-urbanresidential'!$A4,'Cost Breakdowns'!$F$3:$F$12,'SoBCaICbIC-urbanresidential'!AJ$1)</f>
        <v>0</v>
      </c>
      <c r="AK4">
        <f>SUMIFS('Cost Breakdowns'!$C$3:$C$12,'Cost Breakdowns'!$A$3:$A$12,'SoBCaICbIC-urbanresidential'!$A4,'Cost Breakdowns'!$F$3:$F$12,'SoBCaICbIC-urbanresidential'!AK$1)</f>
        <v>0</v>
      </c>
      <c r="AL4">
        <f>SUMIFS('Cost Breakdowns'!$C$3:$C$12,'Cost Breakdowns'!$A$3:$A$12,'SoBCaICbIC-urbanresidential'!$A4,'Cost Breakdowns'!$F$3:$F$12,'SoBCaICbIC-urbanresidential'!AL$1)</f>
        <v>0</v>
      </c>
      <c r="AM4">
        <f>SUMIFS('Cost Breakdowns'!$C$3:$C$12,'Cost Breakdowns'!$A$3:$A$12,'SoBCaICbIC-urbanresidential'!$A4,'Cost Breakdowns'!$F$3:$F$12,'SoBCaICbIC-urbanresidential'!AM$1)</f>
        <v>0</v>
      </c>
      <c r="AN4">
        <f>SUMIFS('Cost Breakdowns'!$C$3:$C$12,'Cost Breakdowns'!$A$3:$A$12,'SoBCaICbIC-urbanresidential'!$A4,'Cost Breakdowns'!$F$3:$F$12,'SoBCaICbIC-urbanresidential'!AN$1)</f>
        <v>0</v>
      </c>
      <c r="AO4">
        <f>SUMIFS('Cost Breakdowns'!$C$3:$C$12,'Cost Breakdowns'!$A$3:$A$12,'SoBCaICbIC-urbanresidential'!$A4,'Cost Breakdowns'!$F$3:$F$12,'SoBCaICbIC-urbanresidential'!AO$1)</f>
        <v>0</v>
      </c>
      <c r="AP4">
        <f>SUMIFS('Cost Breakdowns'!$C$3:$C$12,'Cost Breakdowns'!$A$3:$A$12,'SoBCaICbIC-urbanresidential'!$A4,'Cost Breakdowns'!$F$3:$F$12,'SoBCaICbIC-urbanresidential'!AP$1)</f>
        <v>0</v>
      </c>
      <c r="AQ4">
        <f>SUMIFS('Cost Breakdowns'!$C$3:$C$12,'Cost Breakdowns'!$A$3:$A$12,'SoBCaICbIC-urbanresidential'!$A4,'Cost Breakdowns'!$F$3:$F$12,'SoBCaICbIC-urbanresidential'!AQ$1)</f>
        <v>0</v>
      </c>
    </row>
    <row r="5" spans="1:43" x14ac:dyDescent="0.75">
      <c r="A5" t="s">
        <v>328</v>
      </c>
      <c r="B5">
        <f>SUMIFS('Cost Breakdowns'!$C$3:$C$12,'Cost Breakdowns'!$A$3:$A$12,'SoBCaICbIC-urbanresidential'!$A5,'Cost Breakdowns'!$F$3:$F$12,'SoBCaICbIC-urbanresidential'!B$1)</f>
        <v>0</v>
      </c>
      <c r="C5">
        <f>SUMIFS('Cost Breakdowns'!$C$3:$C$12,'Cost Breakdowns'!$A$3:$A$12,'SoBCaICbIC-urbanresidential'!$A5,'Cost Breakdowns'!$F$3:$F$12,'SoBCaICbIC-urbanresidential'!C$1)</f>
        <v>0</v>
      </c>
      <c r="D5">
        <f>SUMIFS('Cost Breakdowns'!$C$3:$C$12,'Cost Breakdowns'!$A$3:$A$12,'SoBCaICbIC-urbanresidential'!$A5,'Cost Breakdowns'!$F$3:$F$12,'SoBCaICbIC-urbanresidential'!D$1)</f>
        <v>0</v>
      </c>
      <c r="E5">
        <f>SUMIFS('Cost Breakdowns'!$C$3:$C$12,'Cost Breakdowns'!$A$3:$A$12,'SoBCaICbIC-urbanresidential'!$A5,'Cost Breakdowns'!$F$3:$F$12,'SoBCaICbIC-urbanresidential'!E$1)</f>
        <v>0</v>
      </c>
      <c r="F5">
        <f>SUMIFS('Cost Breakdowns'!$C$3:$C$12,'Cost Breakdowns'!$A$3:$A$12,'SoBCaICbIC-urbanresidential'!$A5,'Cost Breakdowns'!$F$3:$F$12,'SoBCaICbIC-urbanresidential'!F$1)</f>
        <v>0</v>
      </c>
      <c r="G5">
        <f>SUMIFS('Cost Breakdowns'!$C$3:$C$12,'Cost Breakdowns'!$A$3:$A$12,'SoBCaICbIC-urbanresidential'!$A5,'Cost Breakdowns'!$F$3:$F$12,'SoBCaICbIC-urbanresidential'!G$1)</f>
        <v>0</v>
      </c>
      <c r="H5">
        <f>SUMIFS('Cost Breakdowns'!$C$3:$C$12,'Cost Breakdowns'!$A$3:$A$12,'SoBCaICbIC-urbanresidential'!$A5,'Cost Breakdowns'!$F$3:$F$12,'SoBCaICbIC-urbanresidential'!H$1)</f>
        <v>0</v>
      </c>
      <c r="I5">
        <f>SUMIFS('Cost Breakdowns'!$C$3:$C$12,'Cost Breakdowns'!$A$3:$A$12,'SoBCaICbIC-urbanresidential'!$A5,'Cost Breakdowns'!$F$3:$F$12,'SoBCaICbIC-urbanresidential'!I$1)</f>
        <v>0</v>
      </c>
      <c r="J5">
        <f>SUMIFS('Cost Breakdowns'!$C$3:$C$12,'Cost Breakdowns'!$A$3:$A$12,'SoBCaICbIC-urbanresidential'!$A5,'Cost Breakdowns'!$F$3:$F$12,'SoBCaICbIC-urbanresidential'!J$1)</f>
        <v>0</v>
      </c>
      <c r="K5">
        <f>SUMIFS('Cost Breakdowns'!$C$3:$C$12,'Cost Breakdowns'!$A$3:$A$12,'SoBCaICbIC-urbanresidential'!$A5,'Cost Breakdowns'!$F$3:$F$12,'SoBCaICbIC-urbanresidential'!K$1)</f>
        <v>0</v>
      </c>
      <c r="L5">
        <f>SUMIFS('Cost Breakdowns'!$C$3:$C$12,'Cost Breakdowns'!$A$3:$A$12,'SoBCaICbIC-urbanresidential'!$A5,'Cost Breakdowns'!$F$3:$F$12,'SoBCaICbIC-urbanresidential'!L$1)</f>
        <v>0</v>
      </c>
      <c r="M5">
        <f>SUMIFS('Cost Breakdowns'!$C$3:$C$12,'Cost Breakdowns'!$A$3:$A$12,'SoBCaICbIC-urbanresidential'!$A5,'Cost Breakdowns'!$F$3:$F$12,'SoBCaICbIC-urbanresidential'!M$1)</f>
        <v>0</v>
      </c>
      <c r="N5">
        <f>SUMIFS('Cost Breakdowns'!$C$3:$C$12,'Cost Breakdowns'!$A$3:$A$12,'SoBCaICbIC-urbanresidential'!$A5,'Cost Breakdowns'!$F$3:$F$12,'SoBCaICbIC-urbanresidential'!N$1)</f>
        <v>0</v>
      </c>
      <c r="O5">
        <f>SUMIFS('Cost Breakdowns'!$C$3:$C$12,'Cost Breakdowns'!$A$3:$A$12,'SoBCaICbIC-urbanresidential'!$A5,'Cost Breakdowns'!$F$3:$F$12,'SoBCaICbIC-urbanresidential'!O$1)</f>
        <v>0</v>
      </c>
      <c r="P5">
        <f>SUMIFS('Cost Breakdowns'!$C$3:$C$12,'Cost Breakdowns'!$A$3:$A$12,'SoBCaICbIC-urbanresidential'!$A5,'Cost Breakdowns'!$F$3:$F$12,'SoBCaICbIC-urbanresidential'!P$1)</f>
        <v>0</v>
      </c>
      <c r="Q5">
        <f>SUMIFS('Cost Breakdowns'!$C$3:$C$12,'Cost Breakdowns'!$A$3:$A$12,'SoBCaICbIC-urbanresidential'!$A5,'Cost Breakdowns'!$F$3:$F$12,'SoBCaICbIC-urbanresidential'!Q$1)</f>
        <v>0</v>
      </c>
      <c r="R5">
        <f>SUMIFS('Cost Breakdowns'!$C$3:$C$12,'Cost Breakdowns'!$A$3:$A$12,'SoBCaICbIC-urbanresidential'!$A5,'Cost Breakdowns'!$F$3:$F$12,'SoBCaICbIC-urbanresidential'!R$1)</f>
        <v>0</v>
      </c>
      <c r="S5">
        <f>SUMIFS('Cost Breakdowns'!$C$3:$C$12,'Cost Breakdowns'!$A$3:$A$12,'SoBCaICbIC-urbanresidential'!$A5,'Cost Breakdowns'!$F$3:$F$12,'SoBCaICbIC-urbanresidential'!S$1)</f>
        <v>0</v>
      </c>
      <c r="T5">
        <f>SUMIFS('Cost Breakdowns'!$C$3:$C$12,'Cost Breakdowns'!$A$3:$A$12,'SoBCaICbIC-urbanresidential'!$A5,'Cost Breakdowns'!$F$3:$F$12,'SoBCaICbIC-urbanresidential'!T$1)</f>
        <v>0</v>
      </c>
      <c r="U5">
        <f>SUMIFS('Cost Breakdowns'!$C$3:$C$12,'Cost Breakdowns'!$A$3:$A$12,'SoBCaICbIC-urbanresidential'!$A5,'Cost Breakdowns'!$F$3:$F$12,'SoBCaICbIC-urbanresidential'!U$1)</f>
        <v>1</v>
      </c>
      <c r="V5">
        <f>SUMIFS('Cost Breakdowns'!$C$3:$C$12,'Cost Breakdowns'!$A$3:$A$12,'SoBCaICbIC-urbanresidential'!$A5,'Cost Breakdowns'!$F$3:$F$12,'SoBCaICbIC-urbanresidential'!V$1)</f>
        <v>0</v>
      </c>
      <c r="W5">
        <f>SUMIFS('Cost Breakdowns'!$C$3:$C$12,'Cost Breakdowns'!$A$3:$A$12,'SoBCaICbIC-urbanresidential'!$A5,'Cost Breakdowns'!$F$3:$F$12,'SoBCaICbIC-urbanresidential'!W$1)</f>
        <v>0</v>
      </c>
      <c r="X5">
        <f>SUMIFS('Cost Breakdowns'!$C$3:$C$12,'Cost Breakdowns'!$A$3:$A$12,'SoBCaICbIC-urbanresidential'!$A5,'Cost Breakdowns'!$F$3:$F$12,'SoBCaICbIC-urbanresidential'!X$1)</f>
        <v>0</v>
      </c>
      <c r="Y5">
        <f>SUMIFS('Cost Breakdowns'!$C$3:$C$12,'Cost Breakdowns'!$A$3:$A$12,'SoBCaICbIC-urbanresidential'!$A5,'Cost Breakdowns'!$F$3:$F$12,'SoBCaICbIC-urbanresidential'!Y$1)</f>
        <v>0</v>
      </c>
      <c r="Z5">
        <f>SUMIFS('Cost Breakdowns'!$C$3:$C$12,'Cost Breakdowns'!$A$3:$A$12,'SoBCaICbIC-urbanresidential'!$A5,'Cost Breakdowns'!$F$3:$F$12,'SoBCaICbIC-urbanresidential'!Z$1)</f>
        <v>0</v>
      </c>
      <c r="AA5">
        <f>SUMIFS('Cost Breakdowns'!$C$3:$C$12,'Cost Breakdowns'!$A$3:$A$12,'SoBCaICbIC-urbanresidential'!$A5,'Cost Breakdowns'!$F$3:$F$12,'SoBCaICbIC-urbanresidential'!AA$1)</f>
        <v>0</v>
      </c>
      <c r="AB5">
        <f>SUMIFS('Cost Breakdowns'!$C$3:$C$12,'Cost Breakdowns'!$A$3:$A$12,'SoBCaICbIC-urbanresidential'!$A5,'Cost Breakdowns'!$F$3:$F$12,'SoBCaICbIC-urbanresidential'!AB$1)</f>
        <v>0</v>
      </c>
      <c r="AC5">
        <f>SUMIFS('Cost Breakdowns'!$C$3:$C$12,'Cost Breakdowns'!$A$3:$A$12,'SoBCaICbIC-urbanresidential'!$A5,'Cost Breakdowns'!$F$3:$F$12,'SoBCaICbIC-urbanresidential'!AC$1)</f>
        <v>0</v>
      </c>
      <c r="AD5">
        <f>SUMIFS('Cost Breakdowns'!$C$3:$C$12,'Cost Breakdowns'!$A$3:$A$12,'SoBCaICbIC-urbanresidential'!$A5,'Cost Breakdowns'!$F$3:$F$12,'SoBCaICbIC-urbanresidential'!AD$1)</f>
        <v>0</v>
      </c>
      <c r="AE5">
        <f>SUMIFS('Cost Breakdowns'!$C$3:$C$12,'Cost Breakdowns'!$A$3:$A$12,'SoBCaICbIC-urbanresidential'!$A5,'Cost Breakdowns'!$F$3:$F$12,'SoBCaICbIC-urbanresidential'!AE$1)</f>
        <v>0</v>
      </c>
      <c r="AF5">
        <f>SUMIFS('Cost Breakdowns'!$C$3:$C$12,'Cost Breakdowns'!$A$3:$A$12,'SoBCaICbIC-urbanresidential'!$A5,'Cost Breakdowns'!$F$3:$F$12,'SoBCaICbIC-urbanresidential'!AF$1)</f>
        <v>0</v>
      </c>
      <c r="AG5">
        <f>SUMIFS('Cost Breakdowns'!$C$3:$C$12,'Cost Breakdowns'!$A$3:$A$12,'SoBCaICbIC-urbanresidential'!$A5,'Cost Breakdowns'!$F$3:$F$12,'SoBCaICbIC-urbanresidential'!AG$1)</f>
        <v>0</v>
      </c>
      <c r="AH5">
        <f>SUMIFS('Cost Breakdowns'!$C$3:$C$12,'Cost Breakdowns'!$A$3:$A$12,'SoBCaICbIC-urbanresidential'!$A5,'Cost Breakdowns'!$F$3:$F$12,'SoBCaICbIC-urbanresidential'!AH$1)</f>
        <v>0</v>
      </c>
      <c r="AI5">
        <f>SUMIFS('Cost Breakdowns'!$C$3:$C$12,'Cost Breakdowns'!$A$3:$A$12,'SoBCaICbIC-urbanresidential'!$A5,'Cost Breakdowns'!$F$3:$F$12,'SoBCaICbIC-urbanresidential'!AI$1)</f>
        <v>0</v>
      </c>
      <c r="AJ5">
        <f>SUMIFS('Cost Breakdowns'!$C$3:$C$12,'Cost Breakdowns'!$A$3:$A$12,'SoBCaICbIC-urbanresidential'!$A5,'Cost Breakdowns'!$F$3:$F$12,'SoBCaICbIC-urbanresidential'!AJ$1)</f>
        <v>0</v>
      </c>
      <c r="AK5">
        <f>SUMIFS('Cost Breakdowns'!$C$3:$C$12,'Cost Breakdowns'!$A$3:$A$12,'SoBCaICbIC-urbanresidential'!$A5,'Cost Breakdowns'!$F$3:$F$12,'SoBCaICbIC-urbanresidential'!AK$1)</f>
        <v>0</v>
      </c>
      <c r="AL5">
        <f>SUMIFS('Cost Breakdowns'!$C$3:$C$12,'Cost Breakdowns'!$A$3:$A$12,'SoBCaICbIC-urbanresidential'!$A5,'Cost Breakdowns'!$F$3:$F$12,'SoBCaICbIC-urbanresidential'!AL$1)</f>
        <v>0</v>
      </c>
      <c r="AM5">
        <f>SUMIFS('Cost Breakdowns'!$C$3:$C$12,'Cost Breakdowns'!$A$3:$A$12,'SoBCaICbIC-urbanresidential'!$A5,'Cost Breakdowns'!$F$3:$F$12,'SoBCaICbIC-urbanresidential'!AM$1)</f>
        <v>0</v>
      </c>
      <c r="AN5">
        <f>SUMIFS('Cost Breakdowns'!$C$3:$C$12,'Cost Breakdowns'!$A$3:$A$12,'SoBCaICbIC-urbanresidential'!$A5,'Cost Breakdowns'!$F$3:$F$12,'SoBCaICbIC-urbanresidential'!AN$1)</f>
        <v>0</v>
      </c>
      <c r="AO5">
        <f>SUMIFS('Cost Breakdowns'!$C$3:$C$12,'Cost Breakdowns'!$A$3:$A$12,'SoBCaICbIC-urbanresidential'!$A5,'Cost Breakdowns'!$F$3:$F$12,'SoBCaICbIC-urbanresidential'!AO$1)</f>
        <v>0</v>
      </c>
      <c r="AP5">
        <f>SUMIFS('Cost Breakdowns'!$C$3:$C$12,'Cost Breakdowns'!$A$3:$A$12,'SoBCaICbIC-urbanresidential'!$A5,'Cost Breakdowns'!$F$3:$F$12,'SoBCaICbIC-urbanresidential'!AP$1)</f>
        <v>0</v>
      </c>
      <c r="AQ5">
        <f>SUMIFS('Cost Breakdowns'!$C$3:$C$12,'Cost Breakdowns'!$A$3:$A$12,'SoBCaICbIC-urbanresidential'!$A5,'Cost Breakdowns'!$F$3:$F$12,'SoBCaICbIC-urbanresidential'!AQ$1)</f>
        <v>0</v>
      </c>
    </row>
    <row r="6" spans="1:43" x14ac:dyDescent="0.75">
      <c r="A6" t="s">
        <v>390</v>
      </c>
      <c r="B6">
        <f>SUMIFS('Cost Breakdowns'!$C$3:$C$12,'Cost Breakdowns'!$A$3:$A$12,'SoBCaICbIC-urbanresidential'!$A6,'Cost Breakdowns'!$F$3:$F$12,'SoBCaICbIC-urbanresidential'!B$1)</f>
        <v>0</v>
      </c>
      <c r="C6">
        <f>SUMIFS('Cost Breakdowns'!$C$3:$C$12,'Cost Breakdowns'!$A$3:$A$12,'SoBCaICbIC-urbanresidential'!$A6,'Cost Breakdowns'!$F$3:$F$12,'SoBCaICbIC-urbanresidential'!C$1)</f>
        <v>0</v>
      </c>
      <c r="D6">
        <f>SUMIFS('Cost Breakdowns'!$C$3:$C$12,'Cost Breakdowns'!$A$3:$A$12,'SoBCaICbIC-urbanresidential'!$A6,'Cost Breakdowns'!$F$3:$F$12,'SoBCaICbIC-urbanresidential'!D$1)</f>
        <v>0</v>
      </c>
      <c r="E6">
        <f>SUMIFS('Cost Breakdowns'!$C$3:$C$12,'Cost Breakdowns'!$A$3:$A$12,'SoBCaICbIC-urbanresidential'!$A6,'Cost Breakdowns'!$F$3:$F$12,'SoBCaICbIC-urbanresidential'!E$1)</f>
        <v>0</v>
      </c>
      <c r="F6">
        <f>SUMIFS('Cost Breakdowns'!$C$3:$C$12,'Cost Breakdowns'!$A$3:$A$12,'SoBCaICbIC-urbanresidential'!$A6,'Cost Breakdowns'!$F$3:$F$12,'SoBCaICbIC-urbanresidential'!F$1)</f>
        <v>0</v>
      </c>
      <c r="G6">
        <f>SUMIFS('Cost Breakdowns'!$C$3:$C$12,'Cost Breakdowns'!$A$3:$A$12,'SoBCaICbIC-urbanresidential'!$A6,'Cost Breakdowns'!$F$3:$F$12,'SoBCaICbIC-urbanresidential'!G$1)</f>
        <v>0</v>
      </c>
      <c r="H6">
        <f>SUMIFS('Cost Breakdowns'!$C$3:$C$12,'Cost Breakdowns'!$A$3:$A$12,'SoBCaICbIC-urbanresidential'!$A6,'Cost Breakdowns'!$F$3:$F$12,'SoBCaICbIC-urbanresidential'!H$1)</f>
        <v>0</v>
      </c>
      <c r="I6">
        <f>SUMIFS('Cost Breakdowns'!$C$3:$C$12,'Cost Breakdowns'!$A$3:$A$12,'SoBCaICbIC-urbanresidential'!$A6,'Cost Breakdowns'!$F$3:$F$12,'SoBCaICbIC-urbanresidential'!I$1)</f>
        <v>0</v>
      </c>
      <c r="J6">
        <f>SUMIFS('Cost Breakdowns'!$C$3:$C$12,'Cost Breakdowns'!$A$3:$A$12,'SoBCaICbIC-urbanresidential'!$A6,'Cost Breakdowns'!$F$3:$F$12,'SoBCaICbIC-urbanresidential'!J$1)</f>
        <v>0</v>
      </c>
      <c r="K6">
        <f>SUMIFS('Cost Breakdowns'!$C$3:$C$12,'Cost Breakdowns'!$A$3:$A$12,'SoBCaICbIC-urbanresidential'!$A6,'Cost Breakdowns'!$F$3:$F$12,'SoBCaICbIC-urbanresidential'!K$1)</f>
        <v>0</v>
      </c>
      <c r="L6">
        <f>SUMIFS('Cost Breakdowns'!$C$3:$C$12,'Cost Breakdowns'!$A$3:$A$12,'SoBCaICbIC-urbanresidential'!$A6,'Cost Breakdowns'!$F$3:$F$12,'SoBCaICbIC-urbanresidential'!L$1)</f>
        <v>0</v>
      </c>
      <c r="M6">
        <f>SUMIFS('Cost Breakdowns'!$C$3:$C$12,'Cost Breakdowns'!$A$3:$A$12,'SoBCaICbIC-urbanresidential'!$A6,'Cost Breakdowns'!$F$3:$F$12,'SoBCaICbIC-urbanresidential'!M$1)</f>
        <v>0</v>
      </c>
      <c r="N6">
        <f>SUMIFS('Cost Breakdowns'!$C$3:$C$12,'Cost Breakdowns'!$A$3:$A$12,'SoBCaICbIC-urbanresidential'!$A6,'Cost Breakdowns'!$F$3:$F$12,'SoBCaICbIC-urbanresidential'!N$1)</f>
        <v>0</v>
      </c>
      <c r="O6">
        <f>SUMIFS('Cost Breakdowns'!$C$3:$C$12,'Cost Breakdowns'!$A$3:$A$12,'SoBCaICbIC-urbanresidential'!$A6,'Cost Breakdowns'!$F$3:$F$12,'SoBCaICbIC-urbanresidential'!O$1)</f>
        <v>0</v>
      </c>
      <c r="P6">
        <f>SUMIFS('Cost Breakdowns'!$C$3:$C$12,'Cost Breakdowns'!$A$3:$A$12,'SoBCaICbIC-urbanresidential'!$A6,'Cost Breakdowns'!$F$3:$F$12,'SoBCaICbIC-urbanresidential'!P$1)</f>
        <v>0</v>
      </c>
      <c r="Q6">
        <f>SUMIFS('Cost Breakdowns'!$C$3:$C$12,'Cost Breakdowns'!$A$3:$A$12,'SoBCaICbIC-urbanresidential'!$A6,'Cost Breakdowns'!$F$3:$F$12,'SoBCaICbIC-urbanresidential'!Q$1)</f>
        <v>0</v>
      </c>
      <c r="R6">
        <f>SUMIFS('Cost Breakdowns'!$C$3:$C$12,'Cost Breakdowns'!$A$3:$A$12,'SoBCaICbIC-urbanresidential'!$A6,'Cost Breakdowns'!$F$3:$F$12,'SoBCaICbIC-urbanresidential'!R$1)</f>
        <v>0</v>
      </c>
      <c r="S6">
        <f>SUMIFS('Cost Breakdowns'!$C$3:$C$12,'Cost Breakdowns'!$A$3:$A$12,'SoBCaICbIC-urbanresidential'!$A6,'Cost Breakdowns'!$F$3:$F$12,'SoBCaICbIC-urbanresidential'!S$1)</f>
        <v>0</v>
      </c>
      <c r="T6">
        <f>SUMIFS('Cost Breakdowns'!$C$3:$C$12,'Cost Breakdowns'!$A$3:$A$12,'SoBCaICbIC-urbanresidential'!$A6,'Cost Breakdowns'!$F$3:$F$12,'SoBCaICbIC-urbanresidential'!T$1)</f>
        <v>0</v>
      </c>
      <c r="U6">
        <f>SUMIFS('Cost Breakdowns'!$C$3:$C$12,'Cost Breakdowns'!$A$3:$A$12,'SoBCaICbIC-urbanresidential'!$A6,'Cost Breakdowns'!$F$3:$F$12,'SoBCaICbIC-urbanresidential'!U$1)</f>
        <v>0.75430357943166571</v>
      </c>
      <c r="V6">
        <f>SUMIFS('Cost Breakdowns'!$C$3:$C$12,'Cost Breakdowns'!$A$3:$A$12,'SoBCaICbIC-urbanresidential'!$A6,'Cost Breakdowns'!$F$3:$F$12,'SoBCaICbIC-urbanresidential'!V$1)</f>
        <v>0</v>
      </c>
      <c r="W6">
        <f>SUMIFS('Cost Breakdowns'!$C$3:$C$12,'Cost Breakdowns'!$A$3:$A$12,'SoBCaICbIC-urbanresidential'!$A6,'Cost Breakdowns'!$F$3:$F$12,'SoBCaICbIC-urbanresidential'!W$1)</f>
        <v>0</v>
      </c>
      <c r="X6">
        <f>SUMIFS('Cost Breakdowns'!$C$3:$C$12,'Cost Breakdowns'!$A$3:$A$12,'SoBCaICbIC-urbanresidential'!$A6,'Cost Breakdowns'!$F$3:$F$12,'SoBCaICbIC-urbanresidential'!X$1)</f>
        <v>0</v>
      </c>
      <c r="Y6">
        <f>SUMIFS('Cost Breakdowns'!$C$3:$C$12,'Cost Breakdowns'!$A$3:$A$12,'SoBCaICbIC-urbanresidential'!$A6,'Cost Breakdowns'!$F$3:$F$12,'SoBCaICbIC-urbanresidential'!Y$1)</f>
        <v>0</v>
      </c>
      <c r="Z6">
        <f>SUMIFS('Cost Breakdowns'!$C$3:$C$12,'Cost Breakdowns'!$A$3:$A$12,'SoBCaICbIC-urbanresidential'!$A6,'Cost Breakdowns'!$F$3:$F$12,'SoBCaICbIC-urbanresidential'!Z$1)</f>
        <v>0</v>
      </c>
      <c r="AA6">
        <f>SUMIFS('Cost Breakdowns'!$C$3:$C$12,'Cost Breakdowns'!$A$3:$A$12,'SoBCaICbIC-urbanresidential'!$A6,'Cost Breakdowns'!$F$3:$F$12,'SoBCaICbIC-urbanresidential'!AA$1)</f>
        <v>0</v>
      </c>
      <c r="AB6">
        <f>SUMIFS('Cost Breakdowns'!$C$3:$C$12,'Cost Breakdowns'!$A$3:$A$12,'SoBCaICbIC-urbanresidential'!$A6,'Cost Breakdowns'!$F$3:$F$12,'SoBCaICbIC-urbanresidential'!AB$1)</f>
        <v>0</v>
      </c>
      <c r="AC6">
        <f>SUMIFS('Cost Breakdowns'!$C$3:$C$12,'Cost Breakdowns'!$A$3:$A$12,'SoBCaICbIC-urbanresidential'!$A6,'Cost Breakdowns'!$F$3:$F$12,'SoBCaICbIC-urbanresidential'!AC$1)</f>
        <v>0.24569642056833429</v>
      </c>
      <c r="AD6">
        <f>SUMIFS('Cost Breakdowns'!$C$3:$C$12,'Cost Breakdowns'!$A$3:$A$12,'SoBCaICbIC-urbanresidential'!$A6,'Cost Breakdowns'!$F$3:$F$12,'SoBCaICbIC-urbanresidential'!AD$1)</f>
        <v>0</v>
      </c>
      <c r="AE6">
        <f>SUMIFS('Cost Breakdowns'!$C$3:$C$12,'Cost Breakdowns'!$A$3:$A$12,'SoBCaICbIC-urbanresidential'!$A6,'Cost Breakdowns'!$F$3:$F$12,'SoBCaICbIC-urbanresidential'!AE$1)</f>
        <v>0</v>
      </c>
      <c r="AF6">
        <f>SUMIFS('Cost Breakdowns'!$C$3:$C$12,'Cost Breakdowns'!$A$3:$A$12,'SoBCaICbIC-urbanresidential'!$A6,'Cost Breakdowns'!$F$3:$F$12,'SoBCaICbIC-urbanresidential'!AF$1)</f>
        <v>0</v>
      </c>
      <c r="AG6">
        <f>SUMIFS('Cost Breakdowns'!$C$3:$C$12,'Cost Breakdowns'!$A$3:$A$12,'SoBCaICbIC-urbanresidential'!$A6,'Cost Breakdowns'!$F$3:$F$12,'SoBCaICbIC-urbanresidential'!AG$1)</f>
        <v>0</v>
      </c>
      <c r="AH6">
        <f>SUMIFS('Cost Breakdowns'!$C$3:$C$12,'Cost Breakdowns'!$A$3:$A$12,'SoBCaICbIC-urbanresidential'!$A6,'Cost Breakdowns'!$F$3:$F$12,'SoBCaICbIC-urbanresidential'!AH$1)</f>
        <v>0</v>
      </c>
      <c r="AI6">
        <f>SUMIFS('Cost Breakdowns'!$C$3:$C$12,'Cost Breakdowns'!$A$3:$A$12,'SoBCaICbIC-urbanresidential'!$A6,'Cost Breakdowns'!$F$3:$F$12,'SoBCaICbIC-urbanresidential'!AI$1)</f>
        <v>0</v>
      </c>
      <c r="AJ6">
        <f>SUMIFS('Cost Breakdowns'!$C$3:$C$12,'Cost Breakdowns'!$A$3:$A$12,'SoBCaICbIC-urbanresidential'!$A6,'Cost Breakdowns'!$F$3:$F$12,'SoBCaICbIC-urbanresidential'!AJ$1)</f>
        <v>0</v>
      </c>
      <c r="AK6">
        <f>SUMIFS('Cost Breakdowns'!$C$3:$C$12,'Cost Breakdowns'!$A$3:$A$12,'SoBCaICbIC-urbanresidential'!$A6,'Cost Breakdowns'!$F$3:$F$12,'SoBCaICbIC-urbanresidential'!AK$1)</f>
        <v>0</v>
      </c>
      <c r="AL6">
        <f>SUMIFS('Cost Breakdowns'!$C$3:$C$12,'Cost Breakdowns'!$A$3:$A$12,'SoBCaICbIC-urbanresidential'!$A6,'Cost Breakdowns'!$F$3:$F$12,'SoBCaICbIC-urbanresidential'!AL$1)</f>
        <v>0</v>
      </c>
      <c r="AM6">
        <f>SUMIFS('Cost Breakdowns'!$C$3:$C$12,'Cost Breakdowns'!$A$3:$A$12,'SoBCaICbIC-urbanresidential'!$A6,'Cost Breakdowns'!$F$3:$F$12,'SoBCaICbIC-urbanresidential'!AM$1)</f>
        <v>0</v>
      </c>
      <c r="AN6">
        <f>SUMIFS('Cost Breakdowns'!$C$3:$C$12,'Cost Breakdowns'!$A$3:$A$12,'SoBCaICbIC-urbanresidential'!$A6,'Cost Breakdowns'!$F$3:$F$12,'SoBCaICbIC-urbanresidential'!AN$1)</f>
        <v>0</v>
      </c>
      <c r="AO6">
        <f>SUMIFS('Cost Breakdowns'!$C$3:$C$12,'Cost Breakdowns'!$A$3:$A$12,'SoBCaICbIC-urbanresidential'!$A6,'Cost Breakdowns'!$F$3:$F$12,'SoBCaICbIC-urbanresidential'!AO$1)</f>
        <v>0</v>
      </c>
      <c r="AP6">
        <f>SUMIFS('Cost Breakdowns'!$C$3:$C$12,'Cost Breakdowns'!$A$3:$A$12,'SoBCaICbIC-urbanresidential'!$A6,'Cost Breakdowns'!$F$3:$F$12,'SoBCaICbIC-urbanresidential'!AP$1)</f>
        <v>0</v>
      </c>
      <c r="AQ6">
        <f>SUMIFS('Cost Breakdowns'!$C$3:$C$12,'Cost Breakdowns'!$A$3:$A$12,'SoBCaICbIC-urbanresidential'!$A6,'Cost Breakdowns'!$F$3:$F$12,'SoBCaICbIC-urbanresidential'!AQ$1)</f>
        <v>0</v>
      </c>
    </row>
    <row r="7" spans="1:43" x14ac:dyDescent="0.75">
      <c r="A7" t="s">
        <v>72</v>
      </c>
      <c r="B7">
        <f>SUMIFS('Cost Breakdowns'!$C$3:$C$12,'Cost Breakdowns'!$A$3:$A$12,'SoBCaICbIC-urbanresidential'!$A7,'Cost Breakdowns'!$F$3:$F$12,'SoBCaICbIC-urbanresidential'!B$1)</f>
        <v>0</v>
      </c>
      <c r="C7">
        <f>SUMIFS('Cost Breakdowns'!$C$3:$C$12,'Cost Breakdowns'!$A$3:$A$12,'SoBCaICbIC-urbanresidential'!$A7,'Cost Breakdowns'!$F$3:$F$12,'SoBCaICbIC-urbanresidential'!C$1)</f>
        <v>0</v>
      </c>
      <c r="D7">
        <f>SUMIFS('Cost Breakdowns'!$C$3:$C$12,'Cost Breakdowns'!$A$3:$A$12,'SoBCaICbIC-urbanresidential'!$A7,'Cost Breakdowns'!$F$3:$F$12,'SoBCaICbIC-urbanresidential'!D$1)</f>
        <v>0</v>
      </c>
      <c r="E7">
        <f>SUMIFS('Cost Breakdowns'!$C$3:$C$12,'Cost Breakdowns'!$A$3:$A$12,'SoBCaICbIC-urbanresidential'!$A7,'Cost Breakdowns'!$F$3:$F$12,'SoBCaICbIC-urbanresidential'!E$1)</f>
        <v>0</v>
      </c>
      <c r="F7">
        <f>SUMIFS('Cost Breakdowns'!$C$3:$C$12,'Cost Breakdowns'!$A$3:$A$12,'SoBCaICbIC-urbanresidential'!$A7,'Cost Breakdowns'!$F$3:$F$12,'SoBCaICbIC-urbanresidential'!F$1)</f>
        <v>0</v>
      </c>
      <c r="G7">
        <f>SUMIFS('Cost Breakdowns'!$C$3:$C$12,'Cost Breakdowns'!$A$3:$A$12,'SoBCaICbIC-urbanresidential'!$A7,'Cost Breakdowns'!$F$3:$F$12,'SoBCaICbIC-urbanresidential'!G$1)</f>
        <v>0</v>
      </c>
      <c r="H7">
        <f>SUMIFS('Cost Breakdowns'!$C$3:$C$12,'Cost Breakdowns'!$A$3:$A$12,'SoBCaICbIC-urbanresidential'!$A7,'Cost Breakdowns'!$F$3:$F$12,'SoBCaICbIC-urbanresidential'!H$1)</f>
        <v>0</v>
      </c>
      <c r="I7">
        <f>SUMIFS('Cost Breakdowns'!$C$3:$C$12,'Cost Breakdowns'!$A$3:$A$12,'SoBCaICbIC-urbanresidential'!$A7,'Cost Breakdowns'!$F$3:$F$12,'SoBCaICbIC-urbanresidential'!I$1)</f>
        <v>0</v>
      </c>
      <c r="J7">
        <f>SUMIFS('Cost Breakdowns'!$C$3:$C$12,'Cost Breakdowns'!$A$3:$A$12,'SoBCaICbIC-urbanresidential'!$A7,'Cost Breakdowns'!$F$3:$F$12,'SoBCaICbIC-urbanresidential'!J$1)</f>
        <v>0</v>
      </c>
      <c r="K7">
        <f>SUMIFS('Cost Breakdowns'!$C$3:$C$12,'Cost Breakdowns'!$A$3:$A$12,'SoBCaICbIC-urbanresidential'!$A7,'Cost Breakdowns'!$F$3:$F$12,'SoBCaICbIC-urbanresidential'!K$1)</f>
        <v>0</v>
      </c>
      <c r="L7">
        <f>SUMIFS('Cost Breakdowns'!$C$3:$C$12,'Cost Breakdowns'!$A$3:$A$12,'SoBCaICbIC-urbanresidential'!$A7,'Cost Breakdowns'!$F$3:$F$12,'SoBCaICbIC-urbanresidential'!L$1)</f>
        <v>0</v>
      </c>
      <c r="M7">
        <f>SUMIFS('Cost Breakdowns'!$C$3:$C$12,'Cost Breakdowns'!$A$3:$A$12,'SoBCaICbIC-urbanresidential'!$A7,'Cost Breakdowns'!$F$3:$F$12,'SoBCaICbIC-urbanresidential'!M$1)</f>
        <v>0</v>
      </c>
      <c r="N7">
        <f>SUMIFS('Cost Breakdowns'!$C$3:$C$12,'Cost Breakdowns'!$A$3:$A$12,'SoBCaICbIC-urbanresidential'!$A7,'Cost Breakdowns'!$F$3:$F$12,'SoBCaICbIC-urbanresidential'!N$1)</f>
        <v>0</v>
      </c>
      <c r="O7">
        <f>SUMIFS('Cost Breakdowns'!$C$3:$C$12,'Cost Breakdowns'!$A$3:$A$12,'SoBCaICbIC-urbanresidential'!$A7,'Cost Breakdowns'!$F$3:$F$12,'SoBCaICbIC-urbanresidential'!O$1)</f>
        <v>0</v>
      </c>
      <c r="P7">
        <f>SUMIFS('Cost Breakdowns'!$C$3:$C$12,'Cost Breakdowns'!$A$3:$A$12,'SoBCaICbIC-urbanresidential'!$A7,'Cost Breakdowns'!$F$3:$F$12,'SoBCaICbIC-urbanresidential'!P$1)</f>
        <v>0</v>
      </c>
      <c r="Q7">
        <f>SUMIFS('Cost Breakdowns'!$C$3:$C$12,'Cost Breakdowns'!$A$3:$A$12,'SoBCaICbIC-urbanresidential'!$A7,'Cost Breakdowns'!$F$3:$F$12,'SoBCaICbIC-urbanresidential'!Q$1)</f>
        <v>0</v>
      </c>
      <c r="R7">
        <f>SUMIFS('Cost Breakdowns'!$C$3:$C$12,'Cost Breakdowns'!$A$3:$A$12,'SoBCaICbIC-urbanresidential'!$A7,'Cost Breakdowns'!$F$3:$F$12,'SoBCaICbIC-urbanresidential'!R$1)</f>
        <v>0</v>
      </c>
      <c r="S7">
        <f>SUMIFS('Cost Breakdowns'!$C$3:$C$12,'Cost Breakdowns'!$A$3:$A$12,'SoBCaICbIC-urbanresidential'!$A7,'Cost Breakdowns'!$F$3:$F$12,'SoBCaICbIC-urbanresidential'!S$1)</f>
        <v>0</v>
      </c>
      <c r="T7">
        <f>SUMIFS('Cost Breakdowns'!$C$3:$C$12,'Cost Breakdowns'!$A$3:$A$12,'SoBCaICbIC-urbanresidential'!$A7,'Cost Breakdowns'!$F$3:$F$12,'SoBCaICbIC-urbanresidential'!T$1)</f>
        <v>0</v>
      </c>
      <c r="U7">
        <f>SUMIFS('Cost Breakdowns'!$C$3:$C$12,'Cost Breakdowns'!$A$3:$A$12,'SoBCaICbIC-urbanresidential'!$A7,'Cost Breakdowns'!$F$3:$F$12,'SoBCaICbIC-urbanresidential'!U$1)</f>
        <v>0.75430357943166571</v>
      </c>
      <c r="V7">
        <f>SUMIFS('Cost Breakdowns'!$C$3:$C$12,'Cost Breakdowns'!$A$3:$A$12,'SoBCaICbIC-urbanresidential'!$A7,'Cost Breakdowns'!$F$3:$F$12,'SoBCaICbIC-urbanresidential'!V$1)</f>
        <v>0</v>
      </c>
      <c r="W7">
        <f>SUMIFS('Cost Breakdowns'!$C$3:$C$12,'Cost Breakdowns'!$A$3:$A$12,'SoBCaICbIC-urbanresidential'!$A7,'Cost Breakdowns'!$F$3:$F$12,'SoBCaICbIC-urbanresidential'!W$1)</f>
        <v>0</v>
      </c>
      <c r="X7">
        <f>SUMIFS('Cost Breakdowns'!$C$3:$C$12,'Cost Breakdowns'!$A$3:$A$12,'SoBCaICbIC-urbanresidential'!$A7,'Cost Breakdowns'!$F$3:$F$12,'SoBCaICbIC-urbanresidential'!X$1)</f>
        <v>0</v>
      </c>
      <c r="Y7">
        <f>SUMIFS('Cost Breakdowns'!$C$3:$C$12,'Cost Breakdowns'!$A$3:$A$12,'SoBCaICbIC-urbanresidential'!$A7,'Cost Breakdowns'!$F$3:$F$12,'SoBCaICbIC-urbanresidential'!Y$1)</f>
        <v>0</v>
      </c>
      <c r="Z7">
        <f>SUMIFS('Cost Breakdowns'!$C$3:$C$12,'Cost Breakdowns'!$A$3:$A$12,'SoBCaICbIC-urbanresidential'!$A7,'Cost Breakdowns'!$F$3:$F$12,'SoBCaICbIC-urbanresidential'!Z$1)</f>
        <v>0</v>
      </c>
      <c r="AA7">
        <f>SUMIFS('Cost Breakdowns'!$C$3:$C$12,'Cost Breakdowns'!$A$3:$A$12,'SoBCaICbIC-urbanresidential'!$A7,'Cost Breakdowns'!$F$3:$F$12,'SoBCaICbIC-urbanresidential'!AA$1)</f>
        <v>0</v>
      </c>
      <c r="AB7">
        <f>SUMIFS('Cost Breakdowns'!$C$3:$C$12,'Cost Breakdowns'!$A$3:$A$12,'SoBCaICbIC-urbanresidential'!$A7,'Cost Breakdowns'!$F$3:$F$12,'SoBCaICbIC-urbanresidential'!AB$1)</f>
        <v>0</v>
      </c>
      <c r="AC7">
        <f>SUMIFS('Cost Breakdowns'!$C$3:$C$12,'Cost Breakdowns'!$A$3:$A$12,'SoBCaICbIC-urbanresidential'!$A7,'Cost Breakdowns'!$F$3:$F$12,'SoBCaICbIC-urbanresidential'!AC$1)</f>
        <v>0.24569642056833429</v>
      </c>
      <c r="AD7">
        <f>SUMIFS('Cost Breakdowns'!$C$3:$C$12,'Cost Breakdowns'!$A$3:$A$12,'SoBCaICbIC-urbanresidential'!$A7,'Cost Breakdowns'!$F$3:$F$12,'SoBCaICbIC-urbanresidential'!AD$1)</f>
        <v>0</v>
      </c>
      <c r="AE7">
        <f>SUMIFS('Cost Breakdowns'!$C$3:$C$12,'Cost Breakdowns'!$A$3:$A$12,'SoBCaICbIC-urbanresidential'!$A7,'Cost Breakdowns'!$F$3:$F$12,'SoBCaICbIC-urbanresidential'!AE$1)</f>
        <v>0</v>
      </c>
      <c r="AF7">
        <f>SUMIFS('Cost Breakdowns'!$C$3:$C$12,'Cost Breakdowns'!$A$3:$A$12,'SoBCaICbIC-urbanresidential'!$A7,'Cost Breakdowns'!$F$3:$F$12,'SoBCaICbIC-urbanresidential'!AF$1)</f>
        <v>0</v>
      </c>
      <c r="AG7">
        <f>SUMIFS('Cost Breakdowns'!$C$3:$C$12,'Cost Breakdowns'!$A$3:$A$12,'SoBCaICbIC-urbanresidential'!$A7,'Cost Breakdowns'!$F$3:$F$12,'SoBCaICbIC-urbanresidential'!AG$1)</f>
        <v>0</v>
      </c>
      <c r="AH7">
        <f>SUMIFS('Cost Breakdowns'!$C$3:$C$12,'Cost Breakdowns'!$A$3:$A$12,'SoBCaICbIC-urbanresidential'!$A7,'Cost Breakdowns'!$F$3:$F$12,'SoBCaICbIC-urbanresidential'!AH$1)</f>
        <v>0</v>
      </c>
      <c r="AI7">
        <f>SUMIFS('Cost Breakdowns'!$C$3:$C$12,'Cost Breakdowns'!$A$3:$A$12,'SoBCaICbIC-urbanresidential'!$A7,'Cost Breakdowns'!$F$3:$F$12,'SoBCaICbIC-urbanresidential'!AI$1)</f>
        <v>0</v>
      </c>
      <c r="AJ7">
        <f>SUMIFS('Cost Breakdowns'!$C$3:$C$12,'Cost Breakdowns'!$A$3:$A$12,'SoBCaICbIC-urbanresidential'!$A7,'Cost Breakdowns'!$F$3:$F$12,'SoBCaICbIC-urbanresidential'!AJ$1)</f>
        <v>0</v>
      </c>
      <c r="AK7">
        <f>SUMIFS('Cost Breakdowns'!$C$3:$C$12,'Cost Breakdowns'!$A$3:$A$12,'SoBCaICbIC-urbanresidential'!$A7,'Cost Breakdowns'!$F$3:$F$12,'SoBCaICbIC-urbanresidential'!AK$1)</f>
        <v>0</v>
      </c>
      <c r="AL7">
        <f>SUMIFS('Cost Breakdowns'!$C$3:$C$12,'Cost Breakdowns'!$A$3:$A$12,'SoBCaICbIC-urbanresidential'!$A7,'Cost Breakdowns'!$F$3:$F$12,'SoBCaICbIC-urbanresidential'!AL$1)</f>
        <v>0</v>
      </c>
      <c r="AM7">
        <f>SUMIFS('Cost Breakdowns'!$C$3:$C$12,'Cost Breakdowns'!$A$3:$A$12,'SoBCaICbIC-urbanresidential'!$A7,'Cost Breakdowns'!$F$3:$F$12,'SoBCaICbIC-urbanresidential'!AM$1)</f>
        <v>0</v>
      </c>
      <c r="AN7">
        <f>SUMIFS('Cost Breakdowns'!$C$3:$C$12,'Cost Breakdowns'!$A$3:$A$12,'SoBCaICbIC-urbanresidential'!$A7,'Cost Breakdowns'!$F$3:$F$12,'SoBCaICbIC-urbanresidential'!AN$1)</f>
        <v>0</v>
      </c>
      <c r="AO7">
        <f>SUMIFS('Cost Breakdowns'!$C$3:$C$12,'Cost Breakdowns'!$A$3:$A$12,'SoBCaICbIC-urbanresidential'!$A7,'Cost Breakdowns'!$F$3:$F$12,'SoBCaICbIC-urbanresidential'!AO$1)</f>
        <v>0</v>
      </c>
      <c r="AP7">
        <f>SUMIFS('Cost Breakdowns'!$C$3:$C$12,'Cost Breakdowns'!$A$3:$A$12,'SoBCaICbIC-urbanresidential'!$A7,'Cost Breakdowns'!$F$3:$F$12,'SoBCaICbIC-urbanresidential'!AP$1)</f>
        <v>0</v>
      </c>
      <c r="AQ7">
        <f>SUMIFS('Cost Breakdowns'!$C$3:$C$12,'Cost Breakdowns'!$A$3:$A$12,'SoBCaICbIC-urbanresidential'!$A7,'Cost Breakdowns'!$F$3:$F$12,'SoBCaICbIC-urbanresidential'!AQ$1)</f>
        <v>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AQ7"/>
  <sheetViews>
    <sheetView workbookViewId="0">
      <selection activeCell="Q4" sqref="Q4"/>
    </sheetView>
  </sheetViews>
  <sheetFormatPr defaultRowHeight="14.75" x14ac:dyDescent="0.75"/>
  <cols>
    <col min="1" max="1" width="22.86328125" customWidth="1"/>
    <col min="2" max="43" width="10.54296875" customWidth="1"/>
  </cols>
  <sheetData>
    <row r="1" spans="1:43" x14ac:dyDescent="0.75">
      <c r="A1" s="81" t="s">
        <v>446</v>
      </c>
      <c r="B1" s="98" t="s">
        <v>35</v>
      </c>
      <c r="C1" s="98" t="s">
        <v>451</v>
      </c>
      <c r="D1" s="98" t="s">
        <v>452</v>
      </c>
      <c r="E1" s="98" t="s">
        <v>36</v>
      </c>
      <c r="F1" s="98" t="s">
        <v>37</v>
      </c>
      <c r="G1" s="98" t="s">
        <v>38</v>
      </c>
      <c r="H1" s="98" t="s">
        <v>39</v>
      </c>
      <c r="I1" s="98" t="s">
        <v>40</v>
      </c>
      <c r="J1" s="98" t="s">
        <v>41</v>
      </c>
      <c r="K1" s="98" t="s">
        <v>42</v>
      </c>
      <c r="L1" s="98" t="s">
        <v>449</v>
      </c>
      <c r="M1" s="98" t="s">
        <v>450</v>
      </c>
      <c r="N1" s="98" t="s">
        <v>43</v>
      </c>
      <c r="O1" s="98" t="s">
        <v>457</v>
      </c>
      <c r="P1" s="98" t="s">
        <v>458</v>
      </c>
      <c r="Q1" s="98" t="s">
        <v>461</v>
      </c>
      <c r="R1" s="98" t="s">
        <v>462</v>
      </c>
      <c r="S1" s="98" t="s">
        <v>44</v>
      </c>
      <c r="T1" s="98" t="s">
        <v>45</v>
      </c>
      <c r="U1" s="98" t="s">
        <v>46</v>
      </c>
      <c r="V1" s="98" t="s">
        <v>47</v>
      </c>
      <c r="W1" s="98" t="s">
        <v>48</v>
      </c>
      <c r="X1" s="98" t="s">
        <v>49</v>
      </c>
      <c r="Y1" s="98" t="s">
        <v>50</v>
      </c>
      <c r="Z1" s="98" t="s">
        <v>465</v>
      </c>
      <c r="AA1" s="98" t="s">
        <v>466</v>
      </c>
      <c r="AB1" s="98" t="s">
        <v>467</v>
      </c>
      <c r="AC1" s="98" t="s">
        <v>51</v>
      </c>
      <c r="AD1" s="98" t="s">
        <v>52</v>
      </c>
      <c r="AE1" s="98" t="s">
        <v>53</v>
      </c>
      <c r="AF1" s="98" t="s">
        <v>54</v>
      </c>
      <c r="AG1" s="98" t="s">
        <v>55</v>
      </c>
      <c r="AH1" s="98" t="s">
        <v>56</v>
      </c>
      <c r="AI1" s="98" t="s">
        <v>57</v>
      </c>
      <c r="AJ1" s="98" t="s">
        <v>58</v>
      </c>
      <c r="AK1" s="98" t="s">
        <v>59</v>
      </c>
      <c r="AL1" s="98" t="s">
        <v>60</v>
      </c>
      <c r="AM1" s="98" t="s">
        <v>61</v>
      </c>
      <c r="AN1" s="98" t="s">
        <v>62</v>
      </c>
      <c r="AO1" s="98" t="s">
        <v>63</v>
      </c>
      <c r="AP1" s="98" t="s">
        <v>64</v>
      </c>
      <c r="AQ1" s="98" t="s">
        <v>65</v>
      </c>
    </row>
    <row r="2" spans="1:43" x14ac:dyDescent="0.75">
      <c r="A2" t="s">
        <v>321</v>
      </c>
      <c r="B2">
        <f>SUMIFS('Cost Breakdowns'!$D$3:$D$12,'Cost Breakdowns'!$A$3:$A$12,'SoBCaICbIC-urbanresidential'!$A2,'Cost Breakdowns'!$F$3:$F$12,'SoBCaICbIC-urbanresidential'!B$1)</f>
        <v>0</v>
      </c>
      <c r="C2">
        <f>SUMIFS('Cost Breakdowns'!$D$3:$D$12,'Cost Breakdowns'!$A$3:$A$12,'SoBCaICbIC-urbanresidential'!$A2,'Cost Breakdowns'!$F$3:$F$12,'SoBCaICbIC-urbanresidential'!C$1)</f>
        <v>0</v>
      </c>
      <c r="D2">
        <f>SUMIFS('Cost Breakdowns'!$D$3:$D$12,'Cost Breakdowns'!$A$3:$A$12,'SoBCaICbIC-urbanresidential'!$A2,'Cost Breakdowns'!$F$3:$F$12,'SoBCaICbIC-urbanresidential'!D$1)</f>
        <v>0</v>
      </c>
      <c r="E2">
        <f>SUMIFS('Cost Breakdowns'!$D$3:$D$12,'Cost Breakdowns'!$A$3:$A$12,'SoBCaICbIC-urbanresidential'!$A2,'Cost Breakdowns'!$F$3:$F$12,'SoBCaICbIC-urbanresidential'!E$1)</f>
        <v>0</v>
      </c>
      <c r="F2">
        <f>SUMIFS('Cost Breakdowns'!$D$3:$D$12,'Cost Breakdowns'!$A$3:$A$12,'SoBCaICbIC-urbanresidential'!$A2,'Cost Breakdowns'!$F$3:$F$12,'SoBCaICbIC-urbanresidential'!F$1)</f>
        <v>0</v>
      </c>
      <c r="G2">
        <f>SUMIFS('Cost Breakdowns'!$D$3:$D$12,'Cost Breakdowns'!$A$3:$A$12,'SoBCaICbIC-urbanresidential'!$A2,'Cost Breakdowns'!$F$3:$F$12,'SoBCaICbIC-urbanresidential'!G$1)</f>
        <v>0</v>
      </c>
      <c r="H2">
        <f>SUMIFS('Cost Breakdowns'!$D$3:$D$12,'Cost Breakdowns'!$A$3:$A$12,'SoBCaICbIC-urbanresidential'!$A2,'Cost Breakdowns'!$F$3:$F$12,'SoBCaICbIC-urbanresidential'!H$1)</f>
        <v>0</v>
      </c>
      <c r="I2">
        <f>SUMIFS('Cost Breakdowns'!$D$3:$D$12,'Cost Breakdowns'!$A$3:$A$12,'SoBCaICbIC-urbanresidential'!$A2,'Cost Breakdowns'!$F$3:$F$12,'SoBCaICbIC-urbanresidential'!I$1)</f>
        <v>0</v>
      </c>
      <c r="J2">
        <f>SUMIFS('Cost Breakdowns'!$D$3:$D$12,'Cost Breakdowns'!$A$3:$A$12,'SoBCaICbIC-urbanresidential'!$A2,'Cost Breakdowns'!$F$3:$F$12,'SoBCaICbIC-urbanresidential'!J$1)</f>
        <v>0</v>
      </c>
      <c r="K2">
        <f>SUMIFS('Cost Breakdowns'!$D$3:$D$12,'Cost Breakdowns'!$A$3:$A$12,'SoBCaICbIC-urbanresidential'!$A2,'Cost Breakdowns'!$F$3:$F$12,'SoBCaICbIC-urbanresidential'!K$1)</f>
        <v>0</v>
      </c>
      <c r="L2">
        <f>SUMIFS('Cost Breakdowns'!$D$3:$D$12,'Cost Breakdowns'!$A$3:$A$12,'SoBCaICbIC-urbanresidential'!$A2,'Cost Breakdowns'!$F$3:$F$12,'SoBCaICbIC-urbanresidential'!L$1)</f>
        <v>0</v>
      </c>
      <c r="M2">
        <f>SUMIFS('Cost Breakdowns'!$D$3:$D$12,'Cost Breakdowns'!$A$3:$A$12,'SoBCaICbIC-urbanresidential'!$A2,'Cost Breakdowns'!$F$3:$F$12,'SoBCaICbIC-urbanresidential'!M$1)</f>
        <v>0</v>
      </c>
      <c r="N2">
        <f>SUMIFS('Cost Breakdowns'!$D$3:$D$12,'Cost Breakdowns'!$A$3:$A$12,'SoBCaICbIC-urbanresidential'!$A2,'Cost Breakdowns'!$F$3:$F$12,'SoBCaICbIC-urbanresidential'!N$1)</f>
        <v>0</v>
      </c>
      <c r="O2">
        <f>SUMIFS('Cost Breakdowns'!$D$3:$D$12,'Cost Breakdowns'!$A$3:$A$12,'SoBCaICbIC-urbanresidential'!$A2,'Cost Breakdowns'!$F$3:$F$12,'SoBCaICbIC-urbanresidential'!O$1)</f>
        <v>0</v>
      </c>
      <c r="P2">
        <f>SUMIFS('Cost Breakdowns'!$D$3:$D$12,'Cost Breakdowns'!$A$3:$A$12,'SoBCaICbIC-urbanresidential'!$A2,'Cost Breakdowns'!$F$3:$F$12,'SoBCaICbIC-urbanresidential'!P$1)</f>
        <v>0</v>
      </c>
      <c r="Q2">
        <f>SUMIFS('Cost Breakdowns'!$D$3:$D$12,'Cost Breakdowns'!$A$3:$A$12,'SoBCaICbIC-urbanresidential'!$A2,'Cost Breakdowns'!$F$3:$F$12,'SoBCaICbIC-urbanresidential'!Q$1)</f>
        <v>0</v>
      </c>
      <c r="R2">
        <f>SUMIFS('Cost Breakdowns'!$D$3:$D$12,'Cost Breakdowns'!$A$3:$A$12,'SoBCaICbIC-urbanresidential'!$A2,'Cost Breakdowns'!$F$3:$F$12,'SoBCaICbIC-urbanresidential'!R$1)</f>
        <v>0</v>
      </c>
      <c r="S2">
        <f>SUMIFS('Cost Breakdowns'!$D$3:$D$12,'Cost Breakdowns'!$A$3:$A$12,'SoBCaICbIC-urbanresidential'!$A2,'Cost Breakdowns'!$F$3:$F$12,'SoBCaICbIC-urbanresidential'!S$1)</f>
        <v>0</v>
      </c>
      <c r="T2">
        <f>SUMIFS('Cost Breakdowns'!$D$3:$D$12,'Cost Breakdowns'!$A$3:$A$12,'SoBCaICbIC-urbanresidential'!$A2,'Cost Breakdowns'!$F$3:$F$12,'SoBCaICbIC-urbanresidential'!T$1)</f>
        <v>0</v>
      </c>
      <c r="U2">
        <f>SUMIFS('Cost Breakdowns'!$D$3:$D$12,'Cost Breakdowns'!$A$3:$A$12,'SoBCaICbIC-urbanresidential'!$A2,'Cost Breakdowns'!$F$3:$F$12,'SoBCaICbIC-urbanresidential'!U$1)</f>
        <v>0</v>
      </c>
      <c r="V2">
        <f>SUMIFS('Cost Breakdowns'!$D$3:$D$12,'Cost Breakdowns'!$A$3:$A$12,'SoBCaICbIC-urbanresidential'!$A2,'Cost Breakdowns'!$F$3:$F$12,'SoBCaICbIC-urbanresidential'!V$1)</f>
        <v>0.54892318617077629</v>
      </c>
      <c r="W2">
        <f>SUMIFS('Cost Breakdowns'!$D$3:$D$12,'Cost Breakdowns'!$A$3:$A$12,'SoBCaICbIC-urbanresidential'!$A2,'Cost Breakdowns'!$F$3:$F$12,'SoBCaICbIC-urbanresidential'!W$1)</f>
        <v>0</v>
      </c>
      <c r="X2">
        <f>SUMIFS('Cost Breakdowns'!$D$3:$D$12,'Cost Breakdowns'!$A$3:$A$12,'SoBCaICbIC-urbanresidential'!$A2,'Cost Breakdowns'!$F$3:$F$12,'SoBCaICbIC-urbanresidential'!X$1)</f>
        <v>0</v>
      </c>
      <c r="Y2">
        <f>SUMIFS('Cost Breakdowns'!$D$3:$D$12,'Cost Breakdowns'!$A$3:$A$12,'SoBCaICbIC-urbanresidential'!$A2,'Cost Breakdowns'!$F$3:$F$12,'SoBCaICbIC-urbanresidential'!Y$1)</f>
        <v>0</v>
      </c>
      <c r="Z2">
        <f>SUMIFS('Cost Breakdowns'!$D$3:$D$12,'Cost Breakdowns'!$A$3:$A$12,'SoBCaICbIC-urbanresidential'!$A2,'Cost Breakdowns'!$F$3:$F$12,'SoBCaICbIC-urbanresidential'!Z$1)</f>
        <v>0</v>
      </c>
      <c r="AA2">
        <f>SUMIFS('Cost Breakdowns'!$D$3:$D$12,'Cost Breakdowns'!$A$3:$A$12,'SoBCaICbIC-urbanresidential'!$A2,'Cost Breakdowns'!$F$3:$F$12,'SoBCaICbIC-urbanresidential'!AA$1)</f>
        <v>0</v>
      </c>
      <c r="AB2">
        <f>SUMIFS('Cost Breakdowns'!$D$3:$D$12,'Cost Breakdowns'!$A$3:$A$12,'SoBCaICbIC-urbanresidential'!$A2,'Cost Breakdowns'!$F$3:$F$12,'SoBCaICbIC-urbanresidential'!AB$1)</f>
        <v>0</v>
      </c>
      <c r="AC2">
        <f>SUMIFS('Cost Breakdowns'!$D$3:$D$12,'Cost Breakdowns'!$A$3:$A$12,'SoBCaICbIC-urbanresidential'!$A2,'Cost Breakdowns'!$F$3:$F$12,'SoBCaICbIC-urbanresidential'!AC$1)</f>
        <v>0.45107681382922371</v>
      </c>
      <c r="AD2">
        <f>SUMIFS('Cost Breakdowns'!$D$3:$D$12,'Cost Breakdowns'!$A$3:$A$12,'SoBCaICbIC-urbanresidential'!$A2,'Cost Breakdowns'!$F$3:$F$12,'SoBCaICbIC-urbanresidential'!AD$1)</f>
        <v>0</v>
      </c>
      <c r="AE2">
        <f>SUMIFS('Cost Breakdowns'!$D$3:$D$12,'Cost Breakdowns'!$A$3:$A$12,'SoBCaICbIC-urbanresidential'!$A2,'Cost Breakdowns'!$F$3:$F$12,'SoBCaICbIC-urbanresidential'!AE$1)</f>
        <v>0</v>
      </c>
      <c r="AF2">
        <f>SUMIFS('Cost Breakdowns'!$D$3:$D$12,'Cost Breakdowns'!$A$3:$A$12,'SoBCaICbIC-urbanresidential'!$A2,'Cost Breakdowns'!$F$3:$F$12,'SoBCaICbIC-urbanresidential'!AF$1)</f>
        <v>0</v>
      </c>
      <c r="AG2">
        <f>SUMIFS('Cost Breakdowns'!$D$3:$D$12,'Cost Breakdowns'!$A$3:$A$12,'SoBCaICbIC-urbanresidential'!$A2,'Cost Breakdowns'!$F$3:$F$12,'SoBCaICbIC-urbanresidential'!AG$1)</f>
        <v>0</v>
      </c>
      <c r="AH2">
        <f>SUMIFS('Cost Breakdowns'!$D$3:$D$12,'Cost Breakdowns'!$A$3:$A$12,'SoBCaICbIC-urbanresidential'!$A2,'Cost Breakdowns'!$F$3:$F$12,'SoBCaICbIC-urbanresidential'!AH$1)</f>
        <v>0</v>
      </c>
      <c r="AI2">
        <f>SUMIFS('Cost Breakdowns'!$D$3:$D$12,'Cost Breakdowns'!$A$3:$A$12,'SoBCaICbIC-urbanresidential'!$A2,'Cost Breakdowns'!$F$3:$F$12,'SoBCaICbIC-urbanresidential'!AI$1)</f>
        <v>0</v>
      </c>
      <c r="AJ2">
        <f>SUMIFS('Cost Breakdowns'!$D$3:$D$12,'Cost Breakdowns'!$A$3:$A$12,'SoBCaICbIC-urbanresidential'!$A2,'Cost Breakdowns'!$F$3:$F$12,'SoBCaICbIC-urbanresidential'!AJ$1)</f>
        <v>0</v>
      </c>
      <c r="AK2">
        <f>SUMIFS('Cost Breakdowns'!$D$3:$D$12,'Cost Breakdowns'!$A$3:$A$12,'SoBCaICbIC-urbanresidential'!$A2,'Cost Breakdowns'!$F$3:$F$12,'SoBCaICbIC-urbanresidential'!AK$1)</f>
        <v>0</v>
      </c>
      <c r="AL2">
        <f>SUMIFS('Cost Breakdowns'!$D$3:$D$12,'Cost Breakdowns'!$A$3:$A$12,'SoBCaICbIC-urbanresidential'!$A2,'Cost Breakdowns'!$F$3:$F$12,'SoBCaICbIC-urbanresidential'!AL$1)</f>
        <v>0</v>
      </c>
      <c r="AM2">
        <f>SUMIFS('Cost Breakdowns'!$D$3:$D$12,'Cost Breakdowns'!$A$3:$A$12,'SoBCaICbIC-urbanresidential'!$A2,'Cost Breakdowns'!$F$3:$F$12,'SoBCaICbIC-urbanresidential'!AM$1)</f>
        <v>0</v>
      </c>
      <c r="AN2">
        <f>SUMIFS('Cost Breakdowns'!$D$3:$D$12,'Cost Breakdowns'!$A$3:$A$12,'SoBCaICbIC-urbanresidential'!$A2,'Cost Breakdowns'!$F$3:$F$12,'SoBCaICbIC-urbanresidential'!AN$1)</f>
        <v>0</v>
      </c>
      <c r="AO2">
        <f>SUMIFS('Cost Breakdowns'!$D$3:$D$12,'Cost Breakdowns'!$A$3:$A$12,'SoBCaICbIC-urbanresidential'!$A2,'Cost Breakdowns'!$F$3:$F$12,'SoBCaICbIC-urbanresidential'!AO$1)</f>
        <v>0</v>
      </c>
      <c r="AP2">
        <f>SUMIFS('Cost Breakdowns'!$D$3:$D$12,'Cost Breakdowns'!$A$3:$A$12,'SoBCaICbIC-urbanresidential'!$A2,'Cost Breakdowns'!$F$3:$F$12,'SoBCaICbIC-urbanresidential'!AP$1)</f>
        <v>0</v>
      </c>
      <c r="AQ2">
        <f>SUMIFS('Cost Breakdowns'!$D$3:$D$12,'Cost Breakdowns'!$A$3:$A$12,'SoBCaICbIC-urbanresidential'!$A2,'Cost Breakdowns'!$F$3:$F$12,'SoBCaICbIC-urbanresidential'!AQ$1)</f>
        <v>0</v>
      </c>
    </row>
    <row r="3" spans="1:43" x14ac:dyDescent="0.75">
      <c r="A3" t="s">
        <v>322</v>
      </c>
      <c r="B3">
        <f>SUMIFS('Cost Breakdowns'!$D$3:$D$12,'Cost Breakdowns'!$A$3:$A$12,'SoBCaICbIC-urbanresidential'!$A3,'Cost Breakdowns'!$F$3:$F$12,'SoBCaICbIC-urbanresidential'!B$1)</f>
        <v>0</v>
      </c>
      <c r="C3">
        <f>SUMIFS('Cost Breakdowns'!$D$3:$D$12,'Cost Breakdowns'!$A$3:$A$12,'SoBCaICbIC-urbanresidential'!$A3,'Cost Breakdowns'!$F$3:$F$12,'SoBCaICbIC-urbanresidential'!C$1)</f>
        <v>0</v>
      </c>
      <c r="D3">
        <f>SUMIFS('Cost Breakdowns'!$D$3:$D$12,'Cost Breakdowns'!$A$3:$A$12,'SoBCaICbIC-urbanresidential'!$A3,'Cost Breakdowns'!$F$3:$F$12,'SoBCaICbIC-urbanresidential'!D$1)</f>
        <v>0</v>
      </c>
      <c r="E3">
        <f>SUMIFS('Cost Breakdowns'!$D$3:$D$12,'Cost Breakdowns'!$A$3:$A$12,'SoBCaICbIC-urbanresidential'!$A3,'Cost Breakdowns'!$F$3:$F$12,'SoBCaICbIC-urbanresidential'!E$1)</f>
        <v>0</v>
      </c>
      <c r="F3">
        <f>SUMIFS('Cost Breakdowns'!$D$3:$D$12,'Cost Breakdowns'!$A$3:$A$12,'SoBCaICbIC-urbanresidential'!$A3,'Cost Breakdowns'!$F$3:$F$12,'SoBCaICbIC-urbanresidential'!F$1)</f>
        <v>0</v>
      </c>
      <c r="G3">
        <f>SUMIFS('Cost Breakdowns'!$D$3:$D$12,'Cost Breakdowns'!$A$3:$A$12,'SoBCaICbIC-urbanresidential'!$A3,'Cost Breakdowns'!$F$3:$F$12,'SoBCaICbIC-urbanresidential'!G$1)</f>
        <v>0</v>
      </c>
      <c r="H3">
        <f>SUMIFS('Cost Breakdowns'!$D$3:$D$12,'Cost Breakdowns'!$A$3:$A$12,'SoBCaICbIC-urbanresidential'!$A3,'Cost Breakdowns'!$F$3:$F$12,'SoBCaICbIC-urbanresidential'!H$1)</f>
        <v>0</v>
      </c>
      <c r="I3">
        <f>SUMIFS('Cost Breakdowns'!$D$3:$D$12,'Cost Breakdowns'!$A$3:$A$12,'SoBCaICbIC-urbanresidential'!$A3,'Cost Breakdowns'!$F$3:$F$12,'SoBCaICbIC-urbanresidential'!I$1)</f>
        <v>0</v>
      </c>
      <c r="J3">
        <f>SUMIFS('Cost Breakdowns'!$D$3:$D$12,'Cost Breakdowns'!$A$3:$A$12,'SoBCaICbIC-urbanresidential'!$A3,'Cost Breakdowns'!$F$3:$F$12,'SoBCaICbIC-urbanresidential'!J$1)</f>
        <v>0</v>
      </c>
      <c r="K3">
        <f>SUMIFS('Cost Breakdowns'!$D$3:$D$12,'Cost Breakdowns'!$A$3:$A$12,'SoBCaICbIC-urbanresidential'!$A3,'Cost Breakdowns'!$F$3:$F$12,'SoBCaICbIC-urbanresidential'!K$1)</f>
        <v>0</v>
      </c>
      <c r="L3">
        <f>SUMIFS('Cost Breakdowns'!$D$3:$D$12,'Cost Breakdowns'!$A$3:$A$12,'SoBCaICbIC-urbanresidential'!$A3,'Cost Breakdowns'!$F$3:$F$12,'SoBCaICbIC-urbanresidential'!L$1)</f>
        <v>0</v>
      </c>
      <c r="M3">
        <f>SUMIFS('Cost Breakdowns'!$D$3:$D$12,'Cost Breakdowns'!$A$3:$A$12,'SoBCaICbIC-urbanresidential'!$A3,'Cost Breakdowns'!$F$3:$F$12,'SoBCaICbIC-urbanresidential'!M$1)</f>
        <v>0</v>
      </c>
      <c r="N3">
        <f>SUMIFS('Cost Breakdowns'!$D$3:$D$12,'Cost Breakdowns'!$A$3:$A$12,'SoBCaICbIC-urbanresidential'!$A3,'Cost Breakdowns'!$F$3:$F$12,'SoBCaICbIC-urbanresidential'!N$1)</f>
        <v>0</v>
      </c>
      <c r="O3">
        <f>SUMIFS('Cost Breakdowns'!$D$3:$D$12,'Cost Breakdowns'!$A$3:$A$12,'SoBCaICbIC-urbanresidential'!$A3,'Cost Breakdowns'!$F$3:$F$12,'SoBCaICbIC-urbanresidential'!O$1)</f>
        <v>0</v>
      </c>
      <c r="P3">
        <f>SUMIFS('Cost Breakdowns'!$D$3:$D$12,'Cost Breakdowns'!$A$3:$A$12,'SoBCaICbIC-urbanresidential'!$A3,'Cost Breakdowns'!$F$3:$F$12,'SoBCaICbIC-urbanresidential'!P$1)</f>
        <v>0</v>
      </c>
      <c r="Q3">
        <f>SUMIFS('Cost Breakdowns'!$D$3:$D$12,'Cost Breakdowns'!$A$3:$A$12,'SoBCaICbIC-urbanresidential'!$A3,'Cost Breakdowns'!$F$3:$F$12,'SoBCaICbIC-urbanresidential'!Q$1)</f>
        <v>0</v>
      </c>
      <c r="R3">
        <f>SUMIFS('Cost Breakdowns'!$D$3:$D$12,'Cost Breakdowns'!$A$3:$A$12,'SoBCaICbIC-urbanresidential'!$A3,'Cost Breakdowns'!$F$3:$F$12,'SoBCaICbIC-urbanresidential'!R$1)</f>
        <v>0</v>
      </c>
      <c r="S3">
        <f>SUMIFS('Cost Breakdowns'!$D$3:$D$12,'Cost Breakdowns'!$A$3:$A$12,'SoBCaICbIC-urbanresidential'!$A3,'Cost Breakdowns'!$F$3:$F$12,'SoBCaICbIC-urbanresidential'!S$1)</f>
        <v>0</v>
      </c>
      <c r="T3">
        <f>SUMIFS('Cost Breakdowns'!$D$3:$D$12,'Cost Breakdowns'!$A$3:$A$12,'SoBCaICbIC-urbanresidential'!$A3,'Cost Breakdowns'!$F$3:$F$12,'SoBCaICbIC-urbanresidential'!T$1)</f>
        <v>0</v>
      </c>
      <c r="U3">
        <f>SUMIFS('Cost Breakdowns'!$D$3:$D$12,'Cost Breakdowns'!$A$3:$A$12,'SoBCaICbIC-urbanresidential'!$A3,'Cost Breakdowns'!$F$3:$F$12,'SoBCaICbIC-urbanresidential'!U$1)</f>
        <v>0</v>
      </c>
      <c r="V3">
        <f>SUMIFS('Cost Breakdowns'!$D$3:$D$12,'Cost Breakdowns'!$A$3:$A$12,'SoBCaICbIC-urbanresidential'!$A3,'Cost Breakdowns'!$F$3:$F$12,'SoBCaICbIC-urbanresidential'!V$1)</f>
        <v>0.73664985363645663</v>
      </c>
      <c r="W3">
        <f>SUMIFS('Cost Breakdowns'!$D$3:$D$12,'Cost Breakdowns'!$A$3:$A$12,'SoBCaICbIC-urbanresidential'!$A3,'Cost Breakdowns'!$F$3:$F$12,'SoBCaICbIC-urbanresidential'!W$1)</f>
        <v>0</v>
      </c>
      <c r="X3">
        <f>SUMIFS('Cost Breakdowns'!$D$3:$D$12,'Cost Breakdowns'!$A$3:$A$12,'SoBCaICbIC-urbanresidential'!$A3,'Cost Breakdowns'!$F$3:$F$12,'SoBCaICbIC-urbanresidential'!X$1)</f>
        <v>0</v>
      </c>
      <c r="Y3">
        <f>SUMIFS('Cost Breakdowns'!$D$3:$D$12,'Cost Breakdowns'!$A$3:$A$12,'SoBCaICbIC-urbanresidential'!$A3,'Cost Breakdowns'!$F$3:$F$12,'SoBCaICbIC-urbanresidential'!Y$1)</f>
        <v>0</v>
      </c>
      <c r="Z3">
        <f>SUMIFS('Cost Breakdowns'!$D$3:$D$12,'Cost Breakdowns'!$A$3:$A$12,'SoBCaICbIC-urbanresidential'!$A3,'Cost Breakdowns'!$F$3:$F$12,'SoBCaICbIC-urbanresidential'!Z$1)</f>
        <v>0</v>
      </c>
      <c r="AA3">
        <f>SUMIFS('Cost Breakdowns'!$D$3:$D$12,'Cost Breakdowns'!$A$3:$A$12,'SoBCaICbIC-urbanresidential'!$A3,'Cost Breakdowns'!$F$3:$F$12,'SoBCaICbIC-urbanresidential'!AA$1)</f>
        <v>0</v>
      </c>
      <c r="AB3">
        <f>SUMIFS('Cost Breakdowns'!$D$3:$D$12,'Cost Breakdowns'!$A$3:$A$12,'SoBCaICbIC-urbanresidential'!$A3,'Cost Breakdowns'!$F$3:$F$12,'SoBCaICbIC-urbanresidential'!AB$1)</f>
        <v>0</v>
      </c>
      <c r="AC3">
        <f>SUMIFS('Cost Breakdowns'!$D$3:$D$12,'Cost Breakdowns'!$A$3:$A$12,'SoBCaICbIC-urbanresidential'!$A3,'Cost Breakdowns'!$F$3:$F$12,'SoBCaICbIC-urbanresidential'!AC$1)</f>
        <v>0.26335014636354337</v>
      </c>
      <c r="AD3">
        <f>SUMIFS('Cost Breakdowns'!$D$3:$D$12,'Cost Breakdowns'!$A$3:$A$12,'SoBCaICbIC-urbanresidential'!$A3,'Cost Breakdowns'!$F$3:$F$12,'SoBCaICbIC-urbanresidential'!AD$1)</f>
        <v>0</v>
      </c>
      <c r="AE3">
        <f>SUMIFS('Cost Breakdowns'!$D$3:$D$12,'Cost Breakdowns'!$A$3:$A$12,'SoBCaICbIC-urbanresidential'!$A3,'Cost Breakdowns'!$F$3:$F$12,'SoBCaICbIC-urbanresidential'!AE$1)</f>
        <v>0</v>
      </c>
      <c r="AF3">
        <f>SUMIFS('Cost Breakdowns'!$D$3:$D$12,'Cost Breakdowns'!$A$3:$A$12,'SoBCaICbIC-urbanresidential'!$A3,'Cost Breakdowns'!$F$3:$F$12,'SoBCaICbIC-urbanresidential'!AF$1)</f>
        <v>0</v>
      </c>
      <c r="AG3">
        <f>SUMIFS('Cost Breakdowns'!$D$3:$D$12,'Cost Breakdowns'!$A$3:$A$12,'SoBCaICbIC-urbanresidential'!$A3,'Cost Breakdowns'!$F$3:$F$12,'SoBCaICbIC-urbanresidential'!AG$1)</f>
        <v>0</v>
      </c>
      <c r="AH3">
        <f>SUMIFS('Cost Breakdowns'!$D$3:$D$12,'Cost Breakdowns'!$A$3:$A$12,'SoBCaICbIC-urbanresidential'!$A3,'Cost Breakdowns'!$F$3:$F$12,'SoBCaICbIC-urbanresidential'!AH$1)</f>
        <v>0</v>
      </c>
      <c r="AI3">
        <f>SUMIFS('Cost Breakdowns'!$D$3:$D$12,'Cost Breakdowns'!$A$3:$A$12,'SoBCaICbIC-urbanresidential'!$A3,'Cost Breakdowns'!$F$3:$F$12,'SoBCaICbIC-urbanresidential'!AI$1)</f>
        <v>0</v>
      </c>
      <c r="AJ3">
        <f>SUMIFS('Cost Breakdowns'!$D$3:$D$12,'Cost Breakdowns'!$A$3:$A$12,'SoBCaICbIC-urbanresidential'!$A3,'Cost Breakdowns'!$F$3:$F$12,'SoBCaICbIC-urbanresidential'!AJ$1)</f>
        <v>0</v>
      </c>
      <c r="AK3">
        <f>SUMIFS('Cost Breakdowns'!$D$3:$D$12,'Cost Breakdowns'!$A$3:$A$12,'SoBCaICbIC-urbanresidential'!$A3,'Cost Breakdowns'!$F$3:$F$12,'SoBCaICbIC-urbanresidential'!AK$1)</f>
        <v>0</v>
      </c>
      <c r="AL3">
        <f>SUMIFS('Cost Breakdowns'!$D$3:$D$12,'Cost Breakdowns'!$A$3:$A$12,'SoBCaICbIC-urbanresidential'!$A3,'Cost Breakdowns'!$F$3:$F$12,'SoBCaICbIC-urbanresidential'!AL$1)</f>
        <v>0</v>
      </c>
      <c r="AM3">
        <f>SUMIFS('Cost Breakdowns'!$D$3:$D$12,'Cost Breakdowns'!$A$3:$A$12,'SoBCaICbIC-urbanresidential'!$A3,'Cost Breakdowns'!$F$3:$F$12,'SoBCaICbIC-urbanresidential'!AM$1)</f>
        <v>0</v>
      </c>
      <c r="AN3">
        <f>SUMIFS('Cost Breakdowns'!$D$3:$D$12,'Cost Breakdowns'!$A$3:$A$12,'SoBCaICbIC-urbanresidential'!$A3,'Cost Breakdowns'!$F$3:$F$12,'SoBCaICbIC-urbanresidential'!AN$1)</f>
        <v>0</v>
      </c>
      <c r="AO3">
        <f>SUMIFS('Cost Breakdowns'!$D$3:$D$12,'Cost Breakdowns'!$A$3:$A$12,'SoBCaICbIC-urbanresidential'!$A3,'Cost Breakdowns'!$F$3:$F$12,'SoBCaICbIC-urbanresidential'!AO$1)</f>
        <v>0</v>
      </c>
      <c r="AP3">
        <f>SUMIFS('Cost Breakdowns'!$D$3:$D$12,'Cost Breakdowns'!$A$3:$A$12,'SoBCaICbIC-urbanresidential'!$A3,'Cost Breakdowns'!$F$3:$F$12,'SoBCaICbIC-urbanresidential'!AP$1)</f>
        <v>0</v>
      </c>
      <c r="AQ3">
        <f>SUMIFS('Cost Breakdowns'!$D$3:$D$12,'Cost Breakdowns'!$A$3:$A$12,'SoBCaICbIC-urbanresidential'!$A3,'Cost Breakdowns'!$F$3:$F$12,'SoBCaICbIC-urbanresidential'!AQ$1)</f>
        <v>0</v>
      </c>
    </row>
    <row r="4" spans="1:43" x14ac:dyDescent="0.75">
      <c r="A4" t="s">
        <v>434</v>
      </c>
      <c r="B4">
        <f>SUMIFS('Cost Breakdowns'!$D$3:$D$12,'Cost Breakdowns'!$A$3:$A$12,'SoBCaICbIC-urbanresidential'!$A4,'Cost Breakdowns'!$F$3:$F$12,'SoBCaICbIC-urbanresidential'!B$1)</f>
        <v>0</v>
      </c>
      <c r="C4">
        <f>SUMIFS('Cost Breakdowns'!$D$3:$D$12,'Cost Breakdowns'!$A$3:$A$12,'SoBCaICbIC-urbanresidential'!$A4,'Cost Breakdowns'!$F$3:$F$12,'SoBCaICbIC-urbanresidential'!C$1)</f>
        <v>0</v>
      </c>
      <c r="D4">
        <f>SUMIFS('Cost Breakdowns'!$D$3:$D$12,'Cost Breakdowns'!$A$3:$A$12,'SoBCaICbIC-urbanresidential'!$A4,'Cost Breakdowns'!$F$3:$F$12,'SoBCaICbIC-urbanresidential'!D$1)</f>
        <v>0</v>
      </c>
      <c r="E4">
        <f>SUMIFS('Cost Breakdowns'!$D$3:$D$12,'Cost Breakdowns'!$A$3:$A$12,'SoBCaICbIC-urbanresidential'!$A4,'Cost Breakdowns'!$F$3:$F$12,'SoBCaICbIC-urbanresidential'!E$1)</f>
        <v>0</v>
      </c>
      <c r="F4">
        <f>SUMIFS('Cost Breakdowns'!$D$3:$D$12,'Cost Breakdowns'!$A$3:$A$12,'SoBCaICbIC-urbanresidential'!$A4,'Cost Breakdowns'!$F$3:$F$12,'SoBCaICbIC-urbanresidential'!F$1)</f>
        <v>0</v>
      </c>
      <c r="G4">
        <f>SUMIFS('Cost Breakdowns'!$D$3:$D$12,'Cost Breakdowns'!$A$3:$A$12,'SoBCaICbIC-urbanresidential'!$A4,'Cost Breakdowns'!$F$3:$F$12,'SoBCaICbIC-urbanresidential'!G$1)</f>
        <v>0</v>
      </c>
      <c r="H4">
        <f>SUMIFS('Cost Breakdowns'!$D$3:$D$12,'Cost Breakdowns'!$A$3:$A$12,'SoBCaICbIC-urbanresidential'!$A4,'Cost Breakdowns'!$F$3:$F$12,'SoBCaICbIC-urbanresidential'!H$1)</f>
        <v>0</v>
      </c>
      <c r="I4">
        <f>SUMIFS('Cost Breakdowns'!$D$3:$D$12,'Cost Breakdowns'!$A$3:$A$12,'SoBCaICbIC-urbanresidential'!$A4,'Cost Breakdowns'!$F$3:$F$12,'SoBCaICbIC-urbanresidential'!I$1)</f>
        <v>0</v>
      </c>
      <c r="J4">
        <f>SUMIFS('Cost Breakdowns'!$D$3:$D$12,'Cost Breakdowns'!$A$3:$A$12,'SoBCaICbIC-urbanresidential'!$A4,'Cost Breakdowns'!$F$3:$F$12,'SoBCaICbIC-urbanresidential'!J$1)</f>
        <v>0</v>
      </c>
      <c r="K4">
        <f>SUMIFS('Cost Breakdowns'!$D$3:$D$12,'Cost Breakdowns'!$A$3:$A$12,'SoBCaICbIC-urbanresidential'!$A4,'Cost Breakdowns'!$F$3:$F$12,'SoBCaICbIC-urbanresidential'!K$1)</f>
        <v>0</v>
      </c>
      <c r="L4">
        <f>SUMIFS('Cost Breakdowns'!$D$3:$D$12,'Cost Breakdowns'!$A$3:$A$12,'SoBCaICbIC-urbanresidential'!$A4,'Cost Breakdowns'!$F$3:$F$12,'SoBCaICbIC-urbanresidential'!L$1)</f>
        <v>0</v>
      </c>
      <c r="M4">
        <f>SUMIFS('Cost Breakdowns'!$D$3:$D$12,'Cost Breakdowns'!$A$3:$A$12,'SoBCaICbIC-urbanresidential'!$A4,'Cost Breakdowns'!$F$3:$F$12,'SoBCaICbIC-urbanresidential'!M$1)</f>
        <v>0</v>
      </c>
      <c r="N4">
        <f>SUMIFS('Cost Breakdowns'!$D$3:$D$12,'Cost Breakdowns'!$A$3:$A$12,'SoBCaICbIC-urbanresidential'!$A4,'Cost Breakdowns'!$F$3:$F$12,'SoBCaICbIC-urbanresidential'!N$1)</f>
        <v>0</v>
      </c>
      <c r="O4">
        <f>SUMIFS('Cost Breakdowns'!$D$3:$D$12,'Cost Breakdowns'!$A$3:$A$12,'SoBCaICbIC-urbanresidential'!$A4,'Cost Breakdowns'!$F$3:$F$12,'SoBCaICbIC-urbanresidential'!O$1)</f>
        <v>0</v>
      </c>
      <c r="P4">
        <f>SUMIFS('Cost Breakdowns'!$D$3:$D$12,'Cost Breakdowns'!$A$3:$A$12,'SoBCaICbIC-urbanresidential'!$A4,'Cost Breakdowns'!$F$3:$F$12,'SoBCaICbIC-urbanresidential'!P$1)</f>
        <v>0</v>
      </c>
      <c r="Q4">
        <f>SUMIFS('Cost Breakdowns'!$D$3:$D$12,'Cost Breakdowns'!$A$3:$A$12,'SoBCaICbIC-urbanresidential'!$A4,'Cost Breakdowns'!$F$3:$F$12,'SoBCaICbIC-urbanresidential'!Q$1)</f>
        <v>0</v>
      </c>
      <c r="R4">
        <f>SUMIFS('Cost Breakdowns'!$D$3:$D$12,'Cost Breakdowns'!$A$3:$A$12,'SoBCaICbIC-urbanresidential'!$A4,'Cost Breakdowns'!$F$3:$F$12,'SoBCaICbIC-urbanresidential'!R$1)</f>
        <v>0</v>
      </c>
      <c r="S4">
        <f>SUMIFS('Cost Breakdowns'!$D$3:$D$12,'Cost Breakdowns'!$A$3:$A$12,'SoBCaICbIC-urbanresidential'!$A4,'Cost Breakdowns'!$F$3:$F$12,'SoBCaICbIC-urbanresidential'!S$1)</f>
        <v>0</v>
      </c>
      <c r="T4">
        <f>SUMIFS('Cost Breakdowns'!$D$3:$D$12,'Cost Breakdowns'!$A$3:$A$12,'SoBCaICbIC-urbanresidential'!$A4,'Cost Breakdowns'!$F$3:$F$12,'SoBCaICbIC-urbanresidential'!T$1)</f>
        <v>0</v>
      </c>
      <c r="U4">
        <f>SUMIFS('Cost Breakdowns'!$D$3:$D$12,'Cost Breakdowns'!$A$3:$A$12,'SoBCaICbIC-urbanresidential'!$A4,'Cost Breakdowns'!$F$3:$F$12,'SoBCaICbIC-urbanresidential'!U$1)</f>
        <v>0</v>
      </c>
      <c r="V4">
        <f>SUMIFS('Cost Breakdowns'!$D$3:$D$12,'Cost Breakdowns'!$A$3:$A$12,'SoBCaICbIC-urbanresidential'!$A4,'Cost Breakdowns'!$F$3:$F$12,'SoBCaICbIC-urbanresidential'!V$1)</f>
        <v>0</v>
      </c>
      <c r="W4">
        <f>SUMIFS('Cost Breakdowns'!$D$3:$D$12,'Cost Breakdowns'!$A$3:$A$12,'SoBCaICbIC-urbanresidential'!$A4,'Cost Breakdowns'!$F$3:$F$12,'SoBCaICbIC-urbanresidential'!W$1)</f>
        <v>0</v>
      </c>
      <c r="X4">
        <f>SUMIFS('Cost Breakdowns'!$D$3:$D$12,'Cost Breakdowns'!$A$3:$A$12,'SoBCaICbIC-urbanresidential'!$A4,'Cost Breakdowns'!$F$3:$F$12,'SoBCaICbIC-urbanresidential'!X$1)</f>
        <v>0</v>
      </c>
      <c r="Y4">
        <f>SUMIFS('Cost Breakdowns'!$D$3:$D$12,'Cost Breakdowns'!$A$3:$A$12,'SoBCaICbIC-urbanresidential'!$A4,'Cost Breakdowns'!$F$3:$F$12,'SoBCaICbIC-urbanresidential'!Y$1)</f>
        <v>0</v>
      </c>
      <c r="Z4">
        <f>SUMIFS('Cost Breakdowns'!$D$3:$D$12,'Cost Breakdowns'!$A$3:$A$12,'SoBCaICbIC-urbanresidential'!$A4,'Cost Breakdowns'!$F$3:$F$12,'SoBCaICbIC-urbanresidential'!Z$1)</f>
        <v>0</v>
      </c>
      <c r="AA4">
        <f>SUMIFS('Cost Breakdowns'!$D$3:$D$12,'Cost Breakdowns'!$A$3:$A$12,'SoBCaICbIC-urbanresidential'!$A4,'Cost Breakdowns'!$F$3:$F$12,'SoBCaICbIC-urbanresidential'!AA$1)</f>
        <v>0</v>
      </c>
      <c r="AB4">
        <f>SUMIFS('Cost Breakdowns'!$D$3:$D$12,'Cost Breakdowns'!$A$3:$A$12,'SoBCaICbIC-urbanresidential'!$A4,'Cost Breakdowns'!$F$3:$F$12,'SoBCaICbIC-urbanresidential'!AB$1)</f>
        <v>0</v>
      </c>
      <c r="AC4">
        <f>SUMIFS('Cost Breakdowns'!$D$3:$D$12,'Cost Breakdowns'!$A$3:$A$12,'SoBCaICbIC-urbanresidential'!$A4,'Cost Breakdowns'!$F$3:$F$12,'SoBCaICbIC-urbanresidential'!AC$1)</f>
        <v>0</v>
      </c>
      <c r="AD4">
        <f>SUMIFS('Cost Breakdowns'!$D$3:$D$12,'Cost Breakdowns'!$A$3:$A$12,'SoBCaICbIC-urbanresidential'!$A4,'Cost Breakdowns'!$F$3:$F$12,'SoBCaICbIC-urbanresidential'!AD$1)</f>
        <v>0</v>
      </c>
      <c r="AE4">
        <f>SUMIFS('Cost Breakdowns'!$D$3:$D$12,'Cost Breakdowns'!$A$3:$A$12,'SoBCaICbIC-urbanresidential'!$A4,'Cost Breakdowns'!$F$3:$F$12,'SoBCaICbIC-urbanresidential'!AE$1)</f>
        <v>0</v>
      </c>
      <c r="AF4">
        <f>SUMIFS('Cost Breakdowns'!$D$3:$D$12,'Cost Breakdowns'!$A$3:$A$12,'SoBCaICbIC-urbanresidential'!$A4,'Cost Breakdowns'!$F$3:$F$12,'SoBCaICbIC-urbanresidential'!AF$1)</f>
        <v>0</v>
      </c>
      <c r="AG4">
        <f>SUMIFS('Cost Breakdowns'!$D$3:$D$12,'Cost Breakdowns'!$A$3:$A$12,'SoBCaICbIC-urbanresidential'!$A4,'Cost Breakdowns'!$F$3:$F$12,'SoBCaICbIC-urbanresidential'!AG$1)</f>
        <v>0</v>
      </c>
      <c r="AH4">
        <f>SUMIFS('Cost Breakdowns'!$D$3:$D$12,'Cost Breakdowns'!$A$3:$A$12,'SoBCaICbIC-urbanresidential'!$A4,'Cost Breakdowns'!$F$3:$F$12,'SoBCaICbIC-urbanresidential'!AH$1)</f>
        <v>0</v>
      </c>
      <c r="AI4">
        <f>SUMIFS('Cost Breakdowns'!$D$3:$D$12,'Cost Breakdowns'!$A$3:$A$12,'SoBCaICbIC-urbanresidential'!$A4,'Cost Breakdowns'!$F$3:$F$12,'SoBCaICbIC-urbanresidential'!AI$1)</f>
        <v>0</v>
      </c>
      <c r="AJ4">
        <f>SUMIFS('Cost Breakdowns'!$D$3:$D$12,'Cost Breakdowns'!$A$3:$A$12,'SoBCaICbIC-urbanresidential'!$A4,'Cost Breakdowns'!$F$3:$F$12,'SoBCaICbIC-urbanresidential'!AJ$1)</f>
        <v>0</v>
      </c>
      <c r="AK4">
        <f>SUMIFS('Cost Breakdowns'!$D$3:$D$12,'Cost Breakdowns'!$A$3:$A$12,'SoBCaICbIC-urbanresidential'!$A4,'Cost Breakdowns'!$F$3:$F$12,'SoBCaICbIC-urbanresidential'!AK$1)</f>
        <v>0</v>
      </c>
      <c r="AL4">
        <f>SUMIFS('Cost Breakdowns'!$D$3:$D$12,'Cost Breakdowns'!$A$3:$A$12,'SoBCaICbIC-urbanresidential'!$A4,'Cost Breakdowns'!$F$3:$F$12,'SoBCaICbIC-urbanresidential'!AL$1)</f>
        <v>0</v>
      </c>
      <c r="AM4">
        <f>SUMIFS('Cost Breakdowns'!$D$3:$D$12,'Cost Breakdowns'!$A$3:$A$12,'SoBCaICbIC-urbanresidential'!$A4,'Cost Breakdowns'!$F$3:$F$12,'SoBCaICbIC-urbanresidential'!AM$1)</f>
        <v>0</v>
      </c>
      <c r="AN4">
        <f>SUMIFS('Cost Breakdowns'!$D$3:$D$12,'Cost Breakdowns'!$A$3:$A$12,'SoBCaICbIC-urbanresidential'!$A4,'Cost Breakdowns'!$F$3:$F$12,'SoBCaICbIC-urbanresidential'!AN$1)</f>
        <v>0</v>
      </c>
      <c r="AO4">
        <f>SUMIFS('Cost Breakdowns'!$D$3:$D$12,'Cost Breakdowns'!$A$3:$A$12,'SoBCaICbIC-urbanresidential'!$A4,'Cost Breakdowns'!$F$3:$F$12,'SoBCaICbIC-urbanresidential'!AO$1)</f>
        <v>0</v>
      </c>
      <c r="AP4">
        <f>SUMIFS('Cost Breakdowns'!$D$3:$D$12,'Cost Breakdowns'!$A$3:$A$12,'SoBCaICbIC-urbanresidential'!$A4,'Cost Breakdowns'!$F$3:$F$12,'SoBCaICbIC-urbanresidential'!AP$1)</f>
        <v>0</v>
      </c>
      <c r="AQ4">
        <f>SUMIFS('Cost Breakdowns'!$D$3:$D$12,'Cost Breakdowns'!$A$3:$A$12,'SoBCaICbIC-urbanresidential'!$A4,'Cost Breakdowns'!$F$3:$F$12,'SoBCaICbIC-urbanresidential'!AQ$1)</f>
        <v>0</v>
      </c>
    </row>
    <row r="5" spans="1:43" x14ac:dyDescent="0.75">
      <c r="A5" t="s">
        <v>328</v>
      </c>
      <c r="B5">
        <f>SUMIFS('Cost Breakdowns'!$D$3:$D$12,'Cost Breakdowns'!$A$3:$A$12,'SoBCaICbIC-urbanresidential'!$A5,'Cost Breakdowns'!$F$3:$F$12,'SoBCaICbIC-urbanresidential'!B$1)</f>
        <v>0</v>
      </c>
      <c r="C5">
        <f>SUMIFS('Cost Breakdowns'!$D$3:$D$12,'Cost Breakdowns'!$A$3:$A$12,'SoBCaICbIC-urbanresidential'!$A5,'Cost Breakdowns'!$F$3:$F$12,'SoBCaICbIC-urbanresidential'!C$1)</f>
        <v>0</v>
      </c>
      <c r="D5">
        <f>SUMIFS('Cost Breakdowns'!$D$3:$D$12,'Cost Breakdowns'!$A$3:$A$12,'SoBCaICbIC-urbanresidential'!$A5,'Cost Breakdowns'!$F$3:$F$12,'SoBCaICbIC-urbanresidential'!D$1)</f>
        <v>0</v>
      </c>
      <c r="E5">
        <f>SUMIFS('Cost Breakdowns'!$D$3:$D$12,'Cost Breakdowns'!$A$3:$A$12,'SoBCaICbIC-urbanresidential'!$A5,'Cost Breakdowns'!$F$3:$F$12,'SoBCaICbIC-urbanresidential'!E$1)</f>
        <v>0</v>
      </c>
      <c r="F5">
        <f>SUMIFS('Cost Breakdowns'!$D$3:$D$12,'Cost Breakdowns'!$A$3:$A$12,'SoBCaICbIC-urbanresidential'!$A5,'Cost Breakdowns'!$F$3:$F$12,'SoBCaICbIC-urbanresidential'!F$1)</f>
        <v>0</v>
      </c>
      <c r="G5">
        <f>SUMIFS('Cost Breakdowns'!$D$3:$D$12,'Cost Breakdowns'!$A$3:$A$12,'SoBCaICbIC-urbanresidential'!$A5,'Cost Breakdowns'!$F$3:$F$12,'SoBCaICbIC-urbanresidential'!G$1)</f>
        <v>0</v>
      </c>
      <c r="H5">
        <f>SUMIFS('Cost Breakdowns'!$D$3:$D$12,'Cost Breakdowns'!$A$3:$A$12,'SoBCaICbIC-urbanresidential'!$A5,'Cost Breakdowns'!$F$3:$F$12,'SoBCaICbIC-urbanresidential'!H$1)</f>
        <v>0</v>
      </c>
      <c r="I5">
        <f>SUMIFS('Cost Breakdowns'!$D$3:$D$12,'Cost Breakdowns'!$A$3:$A$12,'SoBCaICbIC-urbanresidential'!$A5,'Cost Breakdowns'!$F$3:$F$12,'SoBCaICbIC-urbanresidential'!I$1)</f>
        <v>0</v>
      </c>
      <c r="J5">
        <f>SUMIFS('Cost Breakdowns'!$D$3:$D$12,'Cost Breakdowns'!$A$3:$A$12,'SoBCaICbIC-urbanresidential'!$A5,'Cost Breakdowns'!$F$3:$F$12,'SoBCaICbIC-urbanresidential'!J$1)</f>
        <v>0</v>
      </c>
      <c r="K5">
        <f>SUMIFS('Cost Breakdowns'!$D$3:$D$12,'Cost Breakdowns'!$A$3:$A$12,'SoBCaICbIC-urbanresidential'!$A5,'Cost Breakdowns'!$F$3:$F$12,'SoBCaICbIC-urbanresidential'!K$1)</f>
        <v>0</v>
      </c>
      <c r="L5">
        <f>SUMIFS('Cost Breakdowns'!$D$3:$D$12,'Cost Breakdowns'!$A$3:$A$12,'SoBCaICbIC-urbanresidential'!$A5,'Cost Breakdowns'!$F$3:$F$12,'SoBCaICbIC-urbanresidential'!L$1)</f>
        <v>0</v>
      </c>
      <c r="M5">
        <f>SUMIFS('Cost Breakdowns'!$D$3:$D$12,'Cost Breakdowns'!$A$3:$A$12,'SoBCaICbIC-urbanresidential'!$A5,'Cost Breakdowns'!$F$3:$F$12,'SoBCaICbIC-urbanresidential'!M$1)</f>
        <v>0</v>
      </c>
      <c r="N5">
        <f>SUMIFS('Cost Breakdowns'!$D$3:$D$12,'Cost Breakdowns'!$A$3:$A$12,'SoBCaICbIC-urbanresidential'!$A5,'Cost Breakdowns'!$F$3:$F$12,'SoBCaICbIC-urbanresidential'!N$1)</f>
        <v>0</v>
      </c>
      <c r="O5">
        <f>SUMIFS('Cost Breakdowns'!$D$3:$D$12,'Cost Breakdowns'!$A$3:$A$12,'SoBCaICbIC-urbanresidential'!$A5,'Cost Breakdowns'!$F$3:$F$12,'SoBCaICbIC-urbanresidential'!O$1)</f>
        <v>0</v>
      </c>
      <c r="P5">
        <f>SUMIFS('Cost Breakdowns'!$D$3:$D$12,'Cost Breakdowns'!$A$3:$A$12,'SoBCaICbIC-urbanresidential'!$A5,'Cost Breakdowns'!$F$3:$F$12,'SoBCaICbIC-urbanresidential'!P$1)</f>
        <v>0</v>
      </c>
      <c r="Q5">
        <f>SUMIFS('Cost Breakdowns'!$D$3:$D$12,'Cost Breakdowns'!$A$3:$A$12,'SoBCaICbIC-urbanresidential'!$A5,'Cost Breakdowns'!$F$3:$F$12,'SoBCaICbIC-urbanresidential'!Q$1)</f>
        <v>0</v>
      </c>
      <c r="R5">
        <f>SUMIFS('Cost Breakdowns'!$D$3:$D$12,'Cost Breakdowns'!$A$3:$A$12,'SoBCaICbIC-urbanresidential'!$A5,'Cost Breakdowns'!$F$3:$F$12,'SoBCaICbIC-urbanresidential'!R$1)</f>
        <v>0</v>
      </c>
      <c r="S5">
        <f>SUMIFS('Cost Breakdowns'!$D$3:$D$12,'Cost Breakdowns'!$A$3:$A$12,'SoBCaICbIC-urbanresidential'!$A5,'Cost Breakdowns'!$F$3:$F$12,'SoBCaICbIC-urbanresidential'!S$1)</f>
        <v>0</v>
      </c>
      <c r="T5">
        <f>SUMIFS('Cost Breakdowns'!$D$3:$D$12,'Cost Breakdowns'!$A$3:$A$12,'SoBCaICbIC-urbanresidential'!$A5,'Cost Breakdowns'!$F$3:$F$12,'SoBCaICbIC-urbanresidential'!T$1)</f>
        <v>0</v>
      </c>
      <c r="U5">
        <f>SUMIFS('Cost Breakdowns'!$D$3:$D$12,'Cost Breakdowns'!$A$3:$A$12,'SoBCaICbIC-urbanresidential'!$A5,'Cost Breakdowns'!$F$3:$F$12,'SoBCaICbIC-urbanresidential'!U$1)</f>
        <v>1</v>
      </c>
      <c r="V5">
        <f>SUMIFS('Cost Breakdowns'!$D$3:$D$12,'Cost Breakdowns'!$A$3:$A$12,'SoBCaICbIC-urbanresidential'!$A5,'Cost Breakdowns'!$F$3:$F$12,'SoBCaICbIC-urbanresidential'!V$1)</f>
        <v>0</v>
      </c>
      <c r="W5">
        <f>SUMIFS('Cost Breakdowns'!$D$3:$D$12,'Cost Breakdowns'!$A$3:$A$12,'SoBCaICbIC-urbanresidential'!$A5,'Cost Breakdowns'!$F$3:$F$12,'SoBCaICbIC-urbanresidential'!W$1)</f>
        <v>0</v>
      </c>
      <c r="X5">
        <f>SUMIFS('Cost Breakdowns'!$D$3:$D$12,'Cost Breakdowns'!$A$3:$A$12,'SoBCaICbIC-urbanresidential'!$A5,'Cost Breakdowns'!$F$3:$F$12,'SoBCaICbIC-urbanresidential'!X$1)</f>
        <v>0</v>
      </c>
      <c r="Y5">
        <f>SUMIFS('Cost Breakdowns'!$D$3:$D$12,'Cost Breakdowns'!$A$3:$A$12,'SoBCaICbIC-urbanresidential'!$A5,'Cost Breakdowns'!$F$3:$F$12,'SoBCaICbIC-urbanresidential'!Y$1)</f>
        <v>0</v>
      </c>
      <c r="Z5">
        <f>SUMIFS('Cost Breakdowns'!$D$3:$D$12,'Cost Breakdowns'!$A$3:$A$12,'SoBCaICbIC-urbanresidential'!$A5,'Cost Breakdowns'!$F$3:$F$12,'SoBCaICbIC-urbanresidential'!Z$1)</f>
        <v>0</v>
      </c>
      <c r="AA5">
        <f>SUMIFS('Cost Breakdowns'!$D$3:$D$12,'Cost Breakdowns'!$A$3:$A$12,'SoBCaICbIC-urbanresidential'!$A5,'Cost Breakdowns'!$F$3:$F$12,'SoBCaICbIC-urbanresidential'!AA$1)</f>
        <v>0</v>
      </c>
      <c r="AB5">
        <f>SUMIFS('Cost Breakdowns'!$D$3:$D$12,'Cost Breakdowns'!$A$3:$A$12,'SoBCaICbIC-urbanresidential'!$A5,'Cost Breakdowns'!$F$3:$F$12,'SoBCaICbIC-urbanresidential'!AB$1)</f>
        <v>0</v>
      </c>
      <c r="AC5">
        <f>SUMIFS('Cost Breakdowns'!$D$3:$D$12,'Cost Breakdowns'!$A$3:$A$12,'SoBCaICbIC-urbanresidential'!$A5,'Cost Breakdowns'!$F$3:$F$12,'SoBCaICbIC-urbanresidential'!AC$1)</f>
        <v>0</v>
      </c>
      <c r="AD5">
        <f>SUMIFS('Cost Breakdowns'!$D$3:$D$12,'Cost Breakdowns'!$A$3:$A$12,'SoBCaICbIC-urbanresidential'!$A5,'Cost Breakdowns'!$F$3:$F$12,'SoBCaICbIC-urbanresidential'!AD$1)</f>
        <v>0</v>
      </c>
      <c r="AE5">
        <f>SUMIFS('Cost Breakdowns'!$D$3:$D$12,'Cost Breakdowns'!$A$3:$A$12,'SoBCaICbIC-urbanresidential'!$A5,'Cost Breakdowns'!$F$3:$F$12,'SoBCaICbIC-urbanresidential'!AE$1)</f>
        <v>0</v>
      </c>
      <c r="AF5">
        <f>SUMIFS('Cost Breakdowns'!$D$3:$D$12,'Cost Breakdowns'!$A$3:$A$12,'SoBCaICbIC-urbanresidential'!$A5,'Cost Breakdowns'!$F$3:$F$12,'SoBCaICbIC-urbanresidential'!AF$1)</f>
        <v>0</v>
      </c>
      <c r="AG5">
        <f>SUMIFS('Cost Breakdowns'!$D$3:$D$12,'Cost Breakdowns'!$A$3:$A$12,'SoBCaICbIC-urbanresidential'!$A5,'Cost Breakdowns'!$F$3:$F$12,'SoBCaICbIC-urbanresidential'!AG$1)</f>
        <v>0</v>
      </c>
      <c r="AH5">
        <f>SUMIFS('Cost Breakdowns'!$D$3:$D$12,'Cost Breakdowns'!$A$3:$A$12,'SoBCaICbIC-urbanresidential'!$A5,'Cost Breakdowns'!$F$3:$F$12,'SoBCaICbIC-urbanresidential'!AH$1)</f>
        <v>0</v>
      </c>
      <c r="AI5">
        <f>SUMIFS('Cost Breakdowns'!$D$3:$D$12,'Cost Breakdowns'!$A$3:$A$12,'SoBCaICbIC-urbanresidential'!$A5,'Cost Breakdowns'!$F$3:$F$12,'SoBCaICbIC-urbanresidential'!AI$1)</f>
        <v>0</v>
      </c>
      <c r="AJ5">
        <f>SUMIFS('Cost Breakdowns'!$D$3:$D$12,'Cost Breakdowns'!$A$3:$A$12,'SoBCaICbIC-urbanresidential'!$A5,'Cost Breakdowns'!$F$3:$F$12,'SoBCaICbIC-urbanresidential'!AJ$1)</f>
        <v>0</v>
      </c>
      <c r="AK5">
        <f>SUMIFS('Cost Breakdowns'!$D$3:$D$12,'Cost Breakdowns'!$A$3:$A$12,'SoBCaICbIC-urbanresidential'!$A5,'Cost Breakdowns'!$F$3:$F$12,'SoBCaICbIC-urbanresidential'!AK$1)</f>
        <v>0</v>
      </c>
      <c r="AL5">
        <f>SUMIFS('Cost Breakdowns'!$D$3:$D$12,'Cost Breakdowns'!$A$3:$A$12,'SoBCaICbIC-urbanresidential'!$A5,'Cost Breakdowns'!$F$3:$F$12,'SoBCaICbIC-urbanresidential'!AL$1)</f>
        <v>0</v>
      </c>
      <c r="AM5">
        <f>SUMIFS('Cost Breakdowns'!$D$3:$D$12,'Cost Breakdowns'!$A$3:$A$12,'SoBCaICbIC-urbanresidential'!$A5,'Cost Breakdowns'!$F$3:$F$12,'SoBCaICbIC-urbanresidential'!AM$1)</f>
        <v>0</v>
      </c>
      <c r="AN5">
        <f>SUMIFS('Cost Breakdowns'!$D$3:$D$12,'Cost Breakdowns'!$A$3:$A$12,'SoBCaICbIC-urbanresidential'!$A5,'Cost Breakdowns'!$F$3:$F$12,'SoBCaICbIC-urbanresidential'!AN$1)</f>
        <v>0</v>
      </c>
      <c r="AO5">
        <f>SUMIFS('Cost Breakdowns'!$D$3:$D$12,'Cost Breakdowns'!$A$3:$A$12,'SoBCaICbIC-urbanresidential'!$A5,'Cost Breakdowns'!$F$3:$F$12,'SoBCaICbIC-urbanresidential'!AO$1)</f>
        <v>0</v>
      </c>
      <c r="AP5">
        <f>SUMIFS('Cost Breakdowns'!$D$3:$D$12,'Cost Breakdowns'!$A$3:$A$12,'SoBCaICbIC-urbanresidential'!$A5,'Cost Breakdowns'!$F$3:$F$12,'SoBCaICbIC-urbanresidential'!AP$1)</f>
        <v>0</v>
      </c>
      <c r="AQ5">
        <f>SUMIFS('Cost Breakdowns'!$D$3:$D$12,'Cost Breakdowns'!$A$3:$A$12,'SoBCaICbIC-urbanresidential'!$A5,'Cost Breakdowns'!$F$3:$F$12,'SoBCaICbIC-urbanresidential'!AQ$1)</f>
        <v>0</v>
      </c>
    </row>
    <row r="6" spans="1:43" x14ac:dyDescent="0.75">
      <c r="A6" t="s">
        <v>390</v>
      </c>
      <c r="B6">
        <f>SUMIFS('Cost Breakdowns'!$D$3:$D$12,'Cost Breakdowns'!$A$3:$A$12,'SoBCaICbIC-urbanresidential'!$A6,'Cost Breakdowns'!$F$3:$F$12,'SoBCaICbIC-urbanresidential'!B$1)</f>
        <v>0</v>
      </c>
      <c r="C6">
        <f>SUMIFS('Cost Breakdowns'!$D$3:$D$12,'Cost Breakdowns'!$A$3:$A$12,'SoBCaICbIC-urbanresidential'!$A6,'Cost Breakdowns'!$F$3:$F$12,'SoBCaICbIC-urbanresidential'!C$1)</f>
        <v>0</v>
      </c>
      <c r="D6">
        <f>SUMIFS('Cost Breakdowns'!$D$3:$D$12,'Cost Breakdowns'!$A$3:$A$12,'SoBCaICbIC-urbanresidential'!$A6,'Cost Breakdowns'!$F$3:$F$12,'SoBCaICbIC-urbanresidential'!D$1)</f>
        <v>0</v>
      </c>
      <c r="E6">
        <f>SUMIFS('Cost Breakdowns'!$D$3:$D$12,'Cost Breakdowns'!$A$3:$A$12,'SoBCaICbIC-urbanresidential'!$A6,'Cost Breakdowns'!$F$3:$F$12,'SoBCaICbIC-urbanresidential'!E$1)</f>
        <v>0</v>
      </c>
      <c r="F6">
        <f>SUMIFS('Cost Breakdowns'!$D$3:$D$12,'Cost Breakdowns'!$A$3:$A$12,'SoBCaICbIC-urbanresidential'!$A6,'Cost Breakdowns'!$F$3:$F$12,'SoBCaICbIC-urbanresidential'!F$1)</f>
        <v>0</v>
      </c>
      <c r="G6">
        <f>SUMIFS('Cost Breakdowns'!$D$3:$D$12,'Cost Breakdowns'!$A$3:$A$12,'SoBCaICbIC-urbanresidential'!$A6,'Cost Breakdowns'!$F$3:$F$12,'SoBCaICbIC-urbanresidential'!G$1)</f>
        <v>0</v>
      </c>
      <c r="H6">
        <f>SUMIFS('Cost Breakdowns'!$D$3:$D$12,'Cost Breakdowns'!$A$3:$A$12,'SoBCaICbIC-urbanresidential'!$A6,'Cost Breakdowns'!$F$3:$F$12,'SoBCaICbIC-urbanresidential'!H$1)</f>
        <v>0</v>
      </c>
      <c r="I6">
        <f>SUMIFS('Cost Breakdowns'!$D$3:$D$12,'Cost Breakdowns'!$A$3:$A$12,'SoBCaICbIC-urbanresidential'!$A6,'Cost Breakdowns'!$F$3:$F$12,'SoBCaICbIC-urbanresidential'!I$1)</f>
        <v>0</v>
      </c>
      <c r="J6">
        <f>SUMIFS('Cost Breakdowns'!$D$3:$D$12,'Cost Breakdowns'!$A$3:$A$12,'SoBCaICbIC-urbanresidential'!$A6,'Cost Breakdowns'!$F$3:$F$12,'SoBCaICbIC-urbanresidential'!J$1)</f>
        <v>0</v>
      </c>
      <c r="K6">
        <f>SUMIFS('Cost Breakdowns'!$D$3:$D$12,'Cost Breakdowns'!$A$3:$A$12,'SoBCaICbIC-urbanresidential'!$A6,'Cost Breakdowns'!$F$3:$F$12,'SoBCaICbIC-urbanresidential'!K$1)</f>
        <v>0</v>
      </c>
      <c r="L6">
        <f>SUMIFS('Cost Breakdowns'!$D$3:$D$12,'Cost Breakdowns'!$A$3:$A$12,'SoBCaICbIC-urbanresidential'!$A6,'Cost Breakdowns'!$F$3:$F$12,'SoBCaICbIC-urbanresidential'!L$1)</f>
        <v>0</v>
      </c>
      <c r="M6">
        <f>SUMIFS('Cost Breakdowns'!$D$3:$D$12,'Cost Breakdowns'!$A$3:$A$12,'SoBCaICbIC-urbanresidential'!$A6,'Cost Breakdowns'!$F$3:$F$12,'SoBCaICbIC-urbanresidential'!M$1)</f>
        <v>0</v>
      </c>
      <c r="N6">
        <f>SUMIFS('Cost Breakdowns'!$D$3:$D$12,'Cost Breakdowns'!$A$3:$A$12,'SoBCaICbIC-urbanresidential'!$A6,'Cost Breakdowns'!$F$3:$F$12,'SoBCaICbIC-urbanresidential'!N$1)</f>
        <v>0</v>
      </c>
      <c r="O6">
        <f>SUMIFS('Cost Breakdowns'!$D$3:$D$12,'Cost Breakdowns'!$A$3:$A$12,'SoBCaICbIC-urbanresidential'!$A6,'Cost Breakdowns'!$F$3:$F$12,'SoBCaICbIC-urbanresidential'!O$1)</f>
        <v>0</v>
      </c>
      <c r="P6">
        <f>SUMIFS('Cost Breakdowns'!$D$3:$D$12,'Cost Breakdowns'!$A$3:$A$12,'SoBCaICbIC-urbanresidential'!$A6,'Cost Breakdowns'!$F$3:$F$12,'SoBCaICbIC-urbanresidential'!P$1)</f>
        <v>0</v>
      </c>
      <c r="Q6">
        <f>SUMIFS('Cost Breakdowns'!$D$3:$D$12,'Cost Breakdowns'!$A$3:$A$12,'SoBCaICbIC-urbanresidential'!$A6,'Cost Breakdowns'!$F$3:$F$12,'SoBCaICbIC-urbanresidential'!Q$1)</f>
        <v>0</v>
      </c>
      <c r="R6">
        <f>SUMIFS('Cost Breakdowns'!$D$3:$D$12,'Cost Breakdowns'!$A$3:$A$12,'SoBCaICbIC-urbanresidential'!$A6,'Cost Breakdowns'!$F$3:$F$12,'SoBCaICbIC-urbanresidential'!R$1)</f>
        <v>0</v>
      </c>
      <c r="S6">
        <f>SUMIFS('Cost Breakdowns'!$D$3:$D$12,'Cost Breakdowns'!$A$3:$A$12,'SoBCaICbIC-urbanresidential'!$A6,'Cost Breakdowns'!$F$3:$F$12,'SoBCaICbIC-urbanresidential'!S$1)</f>
        <v>0</v>
      </c>
      <c r="T6">
        <f>SUMIFS('Cost Breakdowns'!$D$3:$D$12,'Cost Breakdowns'!$A$3:$A$12,'SoBCaICbIC-urbanresidential'!$A6,'Cost Breakdowns'!$F$3:$F$12,'SoBCaICbIC-urbanresidential'!T$1)</f>
        <v>0</v>
      </c>
      <c r="U6">
        <f>SUMIFS('Cost Breakdowns'!$D$3:$D$12,'Cost Breakdowns'!$A$3:$A$12,'SoBCaICbIC-urbanresidential'!$A6,'Cost Breakdowns'!$F$3:$F$12,'SoBCaICbIC-urbanresidential'!U$1)</f>
        <v>0.75430357943166571</v>
      </c>
      <c r="V6">
        <f>SUMIFS('Cost Breakdowns'!$D$3:$D$12,'Cost Breakdowns'!$A$3:$A$12,'SoBCaICbIC-urbanresidential'!$A6,'Cost Breakdowns'!$F$3:$F$12,'SoBCaICbIC-urbanresidential'!V$1)</f>
        <v>0</v>
      </c>
      <c r="W6">
        <f>SUMIFS('Cost Breakdowns'!$D$3:$D$12,'Cost Breakdowns'!$A$3:$A$12,'SoBCaICbIC-urbanresidential'!$A6,'Cost Breakdowns'!$F$3:$F$12,'SoBCaICbIC-urbanresidential'!W$1)</f>
        <v>0</v>
      </c>
      <c r="X6">
        <f>SUMIFS('Cost Breakdowns'!$D$3:$D$12,'Cost Breakdowns'!$A$3:$A$12,'SoBCaICbIC-urbanresidential'!$A6,'Cost Breakdowns'!$F$3:$F$12,'SoBCaICbIC-urbanresidential'!X$1)</f>
        <v>0</v>
      </c>
      <c r="Y6">
        <f>SUMIFS('Cost Breakdowns'!$D$3:$D$12,'Cost Breakdowns'!$A$3:$A$12,'SoBCaICbIC-urbanresidential'!$A6,'Cost Breakdowns'!$F$3:$F$12,'SoBCaICbIC-urbanresidential'!Y$1)</f>
        <v>0</v>
      </c>
      <c r="Z6">
        <f>SUMIFS('Cost Breakdowns'!$D$3:$D$12,'Cost Breakdowns'!$A$3:$A$12,'SoBCaICbIC-urbanresidential'!$A6,'Cost Breakdowns'!$F$3:$F$12,'SoBCaICbIC-urbanresidential'!Z$1)</f>
        <v>0</v>
      </c>
      <c r="AA6">
        <f>SUMIFS('Cost Breakdowns'!$D$3:$D$12,'Cost Breakdowns'!$A$3:$A$12,'SoBCaICbIC-urbanresidential'!$A6,'Cost Breakdowns'!$F$3:$F$12,'SoBCaICbIC-urbanresidential'!AA$1)</f>
        <v>0</v>
      </c>
      <c r="AB6">
        <f>SUMIFS('Cost Breakdowns'!$D$3:$D$12,'Cost Breakdowns'!$A$3:$A$12,'SoBCaICbIC-urbanresidential'!$A6,'Cost Breakdowns'!$F$3:$F$12,'SoBCaICbIC-urbanresidential'!AB$1)</f>
        <v>0</v>
      </c>
      <c r="AC6">
        <f>SUMIFS('Cost Breakdowns'!$D$3:$D$12,'Cost Breakdowns'!$A$3:$A$12,'SoBCaICbIC-urbanresidential'!$A6,'Cost Breakdowns'!$F$3:$F$12,'SoBCaICbIC-urbanresidential'!AC$1)</f>
        <v>0.24569642056833429</v>
      </c>
      <c r="AD6">
        <f>SUMIFS('Cost Breakdowns'!$D$3:$D$12,'Cost Breakdowns'!$A$3:$A$12,'SoBCaICbIC-urbanresidential'!$A6,'Cost Breakdowns'!$F$3:$F$12,'SoBCaICbIC-urbanresidential'!AD$1)</f>
        <v>0</v>
      </c>
      <c r="AE6">
        <f>SUMIFS('Cost Breakdowns'!$D$3:$D$12,'Cost Breakdowns'!$A$3:$A$12,'SoBCaICbIC-urbanresidential'!$A6,'Cost Breakdowns'!$F$3:$F$12,'SoBCaICbIC-urbanresidential'!AE$1)</f>
        <v>0</v>
      </c>
      <c r="AF6">
        <f>SUMIFS('Cost Breakdowns'!$D$3:$D$12,'Cost Breakdowns'!$A$3:$A$12,'SoBCaICbIC-urbanresidential'!$A6,'Cost Breakdowns'!$F$3:$F$12,'SoBCaICbIC-urbanresidential'!AF$1)</f>
        <v>0</v>
      </c>
      <c r="AG6">
        <f>SUMIFS('Cost Breakdowns'!$D$3:$D$12,'Cost Breakdowns'!$A$3:$A$12,'SoBCaICbIC-urbanresidential'!$A6,'Cost Breakdowns'!$F$3:$F$12,'SoBCaICbIC-urbanresidential'!AG$1)</f>
        <v>0</v>
      </c>
      <c r="AH6">
        <f>SUMIFS('Cost Breakdowns'!$D$3:$D$12,'Cost Breakdowns'!$A$3:$A$12,'SoBCaICbIC-urbanresidential'!$A6,'Cost Breakdowns'!$F$3:$F$12,'SoBCaICbIC-urbanresidential'!AH$1)</f>
        <v>0</v>
      </c>
      <c r="AI6">
        <f>SUMIFS('Cost Breakdowns'!$D$3:$D$12,'Cost Breakdowns'!$A$3:$A$12,'SoBCaICbIC-urbanresidential'!$A6,'Cost Breakdowns'!$F$3:$F$12,'SoBCaICbIC-urbanresidential'!AI$1)</f>
        <v>0</v>
      </c>
      <c r="AJ6">
        <f>SUMIFS('Cost Breakdowns'!$D$3:$D$12,'Cost Breakdowns'!$A$3:$A$12,'SoBCaICbIC-urbanresidential'!$A6,'Cost Breakdowns'!$F$3:$F$12,'SoBCaICbIC-urbanresidential'!AJ$1)</f>
        <v>0</v>
      </c>
      <c r="AK6">
        <f>SUMIFS('Cost Breakdowns'!$D$3:$D$12,'Cost Breakdowns'!$A$3:$A$12,'SoBCaICbIC-urbanresidential'!$A6,'Cost Breakdowns'!$F$3:$F$12,'SoBCaICbIC-urbanresidential'!AK$1)</f>
        <v>0</v>
      </c>
      <c r="AL6">
        <f>SUMIFS('Cost Breakdowns'!$D$3:$D$12,'Cost Breakdowns'!$A$3:$A$12,'SoBCaICbIC-urbanresidential'!$A6,'Cost Breakdowns'!$F$3:$F$12,'SoBCaICbIC-urbanresidential'!AL$1)</f>
        <v>0</v>
      </c>
      <c r="AM6">
        <f>SUMIFS('Cost Breakdowns'!$D$3:$D$12,'Cost Breakdowns'!$A$3:$A$12,'SoBCaICbIC-urbanresidential'!$A6,'Cost Breakdowns'!$F$3:$F$12,'SoBCaICbIC-urbanresidential'!AM$1)</f>
        <v>0</v>
      </c>
      <c r="AN6">
        <f>SUMIFS('Cost Breakdowns'!$D$3:$D$12,'Cost Breakdowns'!$A$3:$A$12,'SoBCaICbIC-urbanresidential'!$A6,'Cost Breakdowns'!$F$3:$F$12,'SoBCaICbIC-urbanresidential'!AN$1)</f>
        <v>0</v>
      </c>
      <c r="AO6">
        <f>SUMIFS('Cost Breakdowns'!$D$3:$D$12,'Cost Breakdowns'!$A$3:$A$12,'SoBCaICbIC-urbanresidential'!$A6,'Cost Breakdowns'!$F$3:$F$12,'SoBCaICbIC-urbanresidential'!AO$1)</f>
        <v>0</v>
      </c>
      <c r="AP6">
        <f>SUMIFS('Cost Breakdowns'!$D$3:$D$12,'Cost Breakdowns'!$A$3:$A$12,'SoBCaICbIC-urbanresidential'!$A6,'Cost Breakdowns'!$F$3:$F$12,'SoBCaICbIC-urbanresidential'!AP$1)</f>
        <v>0</v>
      </c>
      <c r="AQ6">
        <f>SUMIFS('Cost Breakdowns'!$D$3:$D$12,'Cost Breakdowns'!$A$3:$A$12,'SoBCaICbIC-urbanresidential'!$A6,'Cost Breakdowns'!$F$3:$F$12,'SoBCaICbIC-urbanresidential'!AQ$1)</f>
        <v>0</v>
      </c>
    </row>
    <row r="7" spans="1:43" x14ac:dyDescent="0.75">
      <c r="A7" t="s">
        <v>72</v>
      </c>
      <c r="B7">
        <f>SUMIFS('Cost Breakdowns'!$D$3:$D$12,'Cost Breakdowns'!$A$3:$A$12,'SoBCaICbIC-urbanresidential'!$A7,'Cost Breakdowns'!$F$3:$F$12,'SoBCaICbIC-urbanresidential'!B$1)</f>
        <v>0</v>
      </c>
      <c r="C7">
        <f>SUMIFS('Cost Breakdowns'!$D$3:$D$12,'Cost Breakdowns'!$A$3:$A$12,'SoBCaICbIC-urbanresidential'!$A7,'Cost Breakdowns'!$F$3:$F$12,'SoBCaICbIC-urbanresidential'!C$1)</f>
        <v>0</v>
      </c>
      <c r="D7">
        <f>SUMIFS('Cost Breakdowns'!$D$3:$D$12,'Cost Breakdowns'!$A$3:$A$12,'SoBCaICbIC-urbanresidential'!$A7,'Cost Breakdowns'!$F$3:$F$12,'SoBCaICbIC-urbanresidential'!D$1)</f>
        <v>0</v>
      </c>
      <c r="E7">
        <f>SUMIFS('Cost Breakdowns'!$D$3:$D$12,'Cost Breakdowns'!$A$3:$A$12,'SoBCaICbIC-urbanresidential'!$A7,'Cost Breakdowns'!$F$3:$F$12,'SoBCaICbIC-urbanresidential'!E$1)</f>
        <v>0</v>
      </c>
      <c r="F7">
        <f>SUMIFS('Cost Breakdowns'!$D$3:$D$12,'Cost Breakdowns'!$A$3:$A$12,'SoBCaICbIC-urbanresidential'!$A7,'Cost Breakdowns'!$F$3:$F$12,'SoBCaICbIC-urbanresidential'!F$1)</f>
        <v>0</v>
      </c>
      <c r="G7">
        <f>SUMIFS('Cost Breakdowns'!$D$3:$D$12,'Cost Breakdowns'!$A$3:$A$12,'SoBCaICbIC-urbanresidential'!$A7,'Cost Breakdowns'!$F$3:$F$12,'SoBCaICbIC-urbanresidential'!G$1)</f>
        <v>0</v>
      </c>
      <c r="H7">
        <f>SUMIFS('Cost Breakdowns'!$D$3:$D$12,'Cost Breakdowns'!$A$3:$A$12,'SoBCaICbIC-urbanresidential'!$A7,'Cost Breakdowns'!$F$3:$F$12,'SoBCaICbIC-urbanresidential'!H$1)</f>
        <v>0</v>
      </c>
      <c r="I7">
        <f>SUMIFS('Cost Breakdowns'!$D$3:$D$12,'Cost Breakdowns'!$A$3:$A$12,'SoBCaICbIC-urbanresidential'!$A7,'Cost Breakdowns'!$F$3:$F$12,'SoBCaICbIC-urbanresidential'!I$1)</f>
        <v>0</v>
      </c>
      <c r="J7">
        <f>SUMIFS('Cost Breakdowns'!$D$3:$D$12,'Cost Breakdowns'!$A$3:$A$12,'SoBCaICbIC-urbanresidential'!$A7,'Cost Breakdowns'!$F$3:$F$12,'SoBCaICbIC-urbanresidential'!J$1)</f>
        <v>0</v>
      </c>
      <c r="K7">
        <f>SUMIFS('Cost Breakdowns'!$D$3:$D$12,'Cost Breakdowns'!$A$3:$A$12,'SoBCaICbIC-urbanresidential'!$A7,'Cost Breakdowns'!$F$3:$F$12,'SoBCaICbIC-urbanresidential'!K$1)</f>
        <v>0</v>
      </c>
      <c r="L7">
        <f>SUMIFS('Cost Breakdowns'!$D$3:$D$12,'Cost Breakdowns'!$A$3:$A$12,'SoBCaICbIC-urbanresidential'!$A7,'Cost Breakdowns'!$F$3:$F$12,'SoBCaICbIC-urbanresidential'!L$1)</f>
        <v>0</v>
      </c>
      <c r="M7">
        <f>SUMIFS('Cost Breakdowns'!$D$3:$D$12,'Cost Breakdowns'!$A$3:$A$12,'SoBCaICbIC-urbanresidential'!$A7,'Cost Breakdowns'!$F$3:$F$12,'SoBCaICbIC-urbanresidential'!M$1)</f>
        <v>0</v>
      </c>
      <c r="N7">
        <f>SUMIFS('Cost Breakdowns'!$D$3:$D$12,'Cost Breakdowns'!$A$3:$A$12,'SoBCaICbIC-urbanresidential'!$A7,'Cost Breakdowns'!$F$3:$F$12,'SoBCaICbIC-urbanresidential'!N$1)</f>
        <v>0</v>
      </c>
      <c r="O7">
        <f>SUMIFS('Cost Breakdowns'!$D$3:$D$12,'Cost Breakdowns'!$A$3:$A$12,'SoBCaICbIC-urbanresidential'!$A7,'Cost Breakdowns'!$F$3:$F$12,'SoBCaICbIC-urbanresidential'!O$1)</f>
        <v>0</v>
      </c>
      <c r="P7">
        <f>SUMIFS('Cost Breakdowns'!$D$3:$D$12,'Cost Breakdowns'!$A$3:$A$12,'SoBCaICbIC-urbanresidential'!$A7,'Cost Breakdowns'!$F$3:$F$12,'SoBCaICbIC-urbanresidential'!P$1)</f>
        <v>0</v>
      </c>
      <c r="Q7">
        <f>SUMIFS('Cost Breakdowns'!$D$3:$D$12,'Cost Breakdowns'!$A$3:$A$12,'SoBCaICbIC-urbanresidential'!$A7,'Cost Breakdowns'!$F$3:$F$12,'SoBCaICbIC-urbanresidential'!Q$1)</f>
        <v>0</v>
      </c>
      <c r="R7">
        <f>SUMIFS('Cost Breakdowns'!$D$3:$D$12,'Cost Breakdowns'!$A$3:$A$12,'SoBCaICbIC-urbanresidential'!$A7,'Cost Breakdowns'!$F$3:$F$12,'SoBCaICbIC-urbanresidential'!R$1)</f>
        <v>0</v>
      </c>
      <c r="S7">
        <f>SUMIFS('Cost Breakdowns'!$D$3:$D$12,'Cost Breakdowns'!$A$3:$A$12,'SoBCaICbIC-urbanresidential'!$A7,'Cost Breakdowns'!$F$3:$F$12,'SoBCaICbIC-urbanresidential'!S$1)</f>
        <v>0</v>
      </c>
      <c r="T7">
        <f>SUMIFS('Cost Breakdowns'!$D$3:$D$12,'Cost Breakdowns'!$A$3:$A$12,'SoBCaICbIC-urbanresidential'!$A7,'Cost Breakdowns'!$F$3:$F$12,'SoBCaICbIC-urbanresidential'!T$1)</f>
        <v>0</v>
      </c>
      <c r="U7">
        <f>SUMIFS('Cost Breakdowns'!$D$3:$D$12,'Cost Breakdowns'!$A$3:$A$12,'SoBCaICbIC-urbanresidential'!$A7,'Cost Breakdowns'!$F$3:$F$12,'SoBCaICbIC-urbanresidential'!U$1)</f>
        <v>0.75430357943166571</v>
      </c>
      <c r="V7">
        <f>SUMIFS('Cost Breakdowns'!$D$3:$D$12,'Cost Breakdowns'!$A$3:$A$12,'SoBCaICbIC-urbanresidential'!$A7,'Cost Breakdowns'!$F$3:$F$12,'SoBCaICbIC-urbanresidential'!V$1)</f>
        <v>0</v>
      </c>
      <c r="W7">
        <f>SUMIFS('Cost Breakdowns'!$D$3:$D$12,'Cost Breakdowns'!$A$3:$A$12,'SoBCaICbIC-urbanresidential'!$A7,'Cost Breakdowns'!$F$3:$F$12,'SoBCaICbIC-urbanresidential'!W$1)</f>
        <v>0</v>
      </c>
      <c r="X7">
        <f>SUMIFS('Cost Breakdowns'!$D$3:$D$12,'Cost Breakdowns'!$A$3:$A$12,'SoBCaICbIC-urbanresidential'!$A7,'Cost Breakdowns'!$F$3:$F$12,'SoBCaICbIC-urbanresidential'!X$1)</f>
        <v>0</v>
      </c>
      <c r="Y7">
        <f>SUMIFS('Cost Breakdowns'!$D$3:$D$12,'Cost Breakdowns'!$A$3:$A$12,'SoBCaICbIC-urbanresidential'!$A7,'Cost Breakdowns'!$F$3:$F$12,'SoBCaICbIC-urbanresidential'!Y$1)</f>
        <v>0</v>
      </c>
      <c r="Z7">
        <f>SUMIFS('Cost Breakdowns'!$D$3:$D$12,'Cost Breakdowns'!$A$3:$A$12,'SoBCaICbIC-urbanresidential'!$A7,'Cost Breakdowns'!$F$3:$F$12,'SoBCaICbIC-urbanresidential'!Z$1)</f>
        <v>0</v>
      </c>
      <c r="AA7">
        <f>SUMIFS('Cost Breakdowns'!$D$3:$D$12,'Cost Breakdowns'!$A$3:$A$12,'SoBCaICbIC-urbanresidential'!$A7,'Cost Breakdowns'!$F$3:$F$12,'SoBCaICbIC-urbanresidential'!AA$1)</f>
        <v>0</v>
      </c>
      <c r="AB7">
        <f>SUMIFS('Cost Breakdowns'!$D$3:$D$12,'Cost Breakdowns'!$A$3:$A$12,'SoBCaICbIC-urbanresidential'!$A7,'Cost Breakdowns'!$F$3:$F$12,'SoBCaICbIC-urbanresidential'!AB$1)</f>
        <v>0</v>
      </c>
      <c r="AC7">
        <f>SUMIFS('Cost Breakdowns'!$D$3:$D$12,'Cost Breakdowns'!$A$3:$A$12,'SoBCaICbIC-urbanresidential'!$A7,'Cost Breakdowns'!$F$3:$F$12,'SoBCaICbIC-urbanresidential'!AC$1)</f>
        <v>0.24569642056833429</v>
      </c>
      <c r="AD7">
        <f>SUMIFS('Cost Breakdowns'!$D$3:$D$12,'Cost Breakdowns'!$A$3:$A$12,'SoBCaICbIC-urbanresidential'!$A7,'Cost Breakdowns'!$F$3:$F$12,'SoBCaICbIC-urbanresidential'!AD$1)</f>
        <v>0</v>
      </c>
      <c r="AE7">
        <f>SUMIFS('Cost Breakdowns'!$D$3:$D$12,'Cost Breakdowns'!$A$3:$A$12,'SoBCaICbIC-urbanresidential'!$A7,'Cost Breakdowns'!$F$3:$F$12,'SoBCaICbIC-urbanresidential'!AE$1)</f>
        <v>0</v>
      </c>
      <c r="AF7">
        <f>SUMIFS('Cost Breakdowns'!$D$3:$D$12,'Cost Breakdowns'!$A$3:$A$12,'SoBCaICbIC-urbanresidential'!$A7,'Cost Breakdowns'!$F$3:$F$12,'SoBCaICbIC-urbanresidential'!AF$1)</f>
        <v>0</v>
      </c>
      <c r="AG7">
        <f>SUMIFS('Cost Breakdowns'!$D$3:$D$12,'Cost Breakdowns'!$A$3:$A$12,'SoBCaICbIC-urbanresidential'!$A7,'Cost Breakdowns'!$F$3:$F$12,'SoBCaICbIC-urbanresidential'!AG$1)</f>
        <v>0</v>
      </c>
      <c r="AH7">
        <f>SUMIFS('Cost Breakdowns'!$D$3:$D$12,'Cost Breakdowns'!$A$3:$A$12,'SoBCaICbIC-urbanresidential'!$A7,'Cost Breakdowns'!$F$3:$F$12,'SoBCaICbIC-urbanresidential'!AH$1)</f>
        <v>0</v>
      </c>
      <c r="AI7">
        <f>SUMIFS('Cost Breakdowns'!$D$3:$D$12,'Cost Breakdowns'!$A$3:$A$12,'SoBCaICbIC-urbanresidential'!$A7,'Cost Breakdowns'!$F$3:$F$12,'SoBCaICbIC-urbanresidential'!AI$1)</f>
        <v>0</v>
      </c>
      <c r="AJ7">
        <f>SUMIFS('Cost Breakdowns'!$D$3:$D$12,'Cost Breakdowns'!$A$3:$A$12,'SoBCaICbIC-urbanresidential'!$A7,'Cost Breakdowns'!$F$3:$F$12,'SoBCaICbIC-urbanresidential'!AJ$1)</f>
        <v>0</v>
      </c>
      <c r="AK7">
        <f>SUMIFS('Cost Breakdowns'!$D$3:$D$12,'Cost Breakdowns'!$A$3:$A$12,'SoBCaICbIC-urbanresidential'!$A7,'Cost Breakdowns'!$F$3:$F$12,'SoBCaICbIC-urbanresidential'!AK$1)</f>
        <v>0</v>
      </c>
      <c r="AL7">
        <f>SUMIFS('Cost Breakdowns'!$D$3:$D$12,'Cost Breakdowns'!$A$3:$A$12,'SoBCaICbIC-urbanresidential'!$A7,'Cost Breakdowns'!$F$3:$F$12,'SoBCaICbIC-urbanresidential'!AL$1)</f>
        <v>0</v>
      </c>
      <c r="AM7">
        <f>SUMIFS('Cost Breakdowns'!$D$3:$D$12,'Cost Breakdowns'!$A$3:$A$12,'SoBCaICbIC-urbanresidential'!$A7,'Cost Breakdowns'!$F$3:$F$12,'SoBCaICbIC-urbanresidential'!AM$1)</f>
        <v>0</v>
      </c>
      <c r="AN7">
        <f>SUMIFS('Cost Breakdowns'!$D$3:$D$12,'Cost Breakdowns'!$A$3:$A$12,'SoBCaICbIC-urbanresidential'!$A7,'Cost Breakdowns'!$F$3:$F$12,'SoBCaICbIC-urbanresidential'!AN$1)</f>
        <v>0</v>
      </c>
      <c r="AO7">
        <f>SUMIFS('Cost Breakdowns'!$D$3:$D$12,'Cost Breakdowns'!$A$3:$A$12,'SoBCaICbIC-urbanresidential'!$A7,'Cost Breakdowns'!$F$3:$F$12,'SoBCaICbIC-urbanresidential'!AO$1)</f>
        <v>0</v>
      </c>
      <c r="AP7">
        <f>SUMIFS('Cost Breakdowns'!$D$3:$D$12,'Cost Breakdowns'!$A$3:$A$12,'SoBCaICbIC-urbanresidential'!$A7,'Cost Breakdowns'!$F$3:$F$12,'SoBCaICbIC-urbanresidential'!AP$1)</f>
        <v>0</v>
      </c>
      <c r="AQ7">
        <f>SUMIFS('Cost Breakdowns'!$D$3:$D$12,'Cost Breakdowns'!$A$3:$A$12,'SoBCaICbIC-urbanresidential'!$A7,'Cost Breakdowns'!$F$3:$F$12,'SoBCaICbIC-urbanresidential'!AQ$1)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Q7"/>
  <sheetViews>
    <sheetView workbookViewId="0">
      <selection activeCell="AA4" sqref="AA4"/>
    </sheetView>
  </sheetViews>
  <sheetFormatPr defaultRowHeight="14.75" x14ac:dyDescent="0.75"/>
  <cols>
    <col min="1" max="1" width="22.86328125" customWidth="1"/>
    <col min="2" max="43" width="10.86328125" customWidth="1"/>
  </cols>
  <sheetData>
    <row r="1" spans="1:43" x14ac:dyDescent="0.75">
      <c r="A1" s="81" t="s">
        <v>446</v>
      </c>
      <c r="B1" s="98" t="s">
        <v>35</v>
      </c>
      <c r="C1" s="98" t="s">
        <v>451</v>
      </c>
      <c r="D1" s="98" t="s">
        <v>452</v>
      </c>
      <c r="E1" s="98" t="s">
        <v>36</v>
      </c>
      <c r="F1" s="98" t="s">
        <v>37</v>
      </c>
      <c r="G1" s="98" t="s">
        <v>38</v>
      </c>
      <c r="H1" s="98" t="s">
        <v>39</v>
      </c>
      <c r="I1" s="98" t="s">
        <v>40</v>
      </c>
      <c r="J1" s="98" t="s">
        <v>41</v>
      </c>
      <c r="K1" s="98" t="s">
        <v>42</v>
      </c>
      <c r="L1" s="98" t="s">
        <v>449</v>
      </c>
      <c r="M1" s="98" t="s">
        <v>450</v>
      </c>
      <c r="N1" s="98" t="s">
        <v>43</v>
      </c>
      <c r="O1" s="98" t="s">
        <v>457</v>
      </c>
      <c r="P1" s="98" t="s">
        <v>458</v>
      </c>
      <c r="Q1" s="98" t="s">
        <v>461</v>
      </c>
      <c r="R1" s="98" t="s">
        <v>462</v>
      </c>
      <c r="S1" s="98" t="s">
        <v>44</v>
      </c>
      <c r="T1" s="98" t="s">
        <v>45</v>
      </c>
      <c r="U1" s="98" t="s">
        <v>46</v>
      </c>
      <c r="V1" s="98" t="s">
        <v>47</v>
      </c>
      <c r="W1" s="98" t="s">
        <v>48</v>
      </c>
      <c r="X1" s="98" t="s">
        <v>49</v>
      </c>
      <c r="Y1" s="98" t="s">
        <v>50</v>
      </c>
      <c r="Z1" s="98" t="s">
        <v>465</v>
      </c>
      <c r="AA1" s="98" t="s">
        <v>466</v>
      </c>
      <c r="AB1" s="98" t="s">
        <v>467</v>
      </c>
      <c r="AC1" s="98" t="s">
        <v>51</v>
      </c>
      <c r="AD1" s="98" t="s">
        <v>52</v>
      </c>
      <c r="AE1" s="98" t="s">
        <v>53</v>
      </c>
      <c r="AF1" s="98" t="s">
        <v>54</v>
      </c>
      <c r="AG1" s="98" t="s">
        <v>55</v>
      </c>
      <c r="AH1" s="98" t="s">
        <v>56</v>
      </c>
      <c r="AI1" s="98" t="s">
        <v>57</v>
      </c>
      <c r="AJ1" s="98" t="s">
        <v>58</v>
      </c>
      <c r="AK1" s="98" t="s">
        <v>59</v>
      </c>
      <c r="AL1" s="98" t="s">
        <v>60</v>
      </c>
      <c r="AM1" s="98" t="s">
        <v>61</v>
      </c>
      <c r="AN1" s="98" t="s">
        <v>62</v>
      </c>
      <c r="AO1" s="98" t="s">
        <v>63</v>
      </c>
      <c r="AP1" s="98" t="s">
        <v>64</v>
      </c>
      <c r="AQ1" s="98" t="s">
        <v>65</v>
      </c>
    </row>
    <row r="2" spans="1:43" x14ac:dyDescent="0.75">
      <c r="A2" t="s">
        <v>321</v>
      </c>
      <c r="B2">
        <f>SUMIFS('Cost Breakdowns'!$E$3:$E$12,'Cost Breakdowns'!$A$3:$A$12,'SoBCaICbIC-urbanresidential'!$A2,'Cost Breakdowns'!$F$3:$F$12,'SoBCaICbIC-urbanresidential'!B$1)</f>
        <v>0</v>
      </c>
      <c r="C2">
        <f>SUMIFS('Cost Breakdowns'!$E$3:$E$12,'Cost Breakdowns'!$A$3:$A$12,'SoBCaICbIC-urbanresidential'!$A2,'Cost Breakdowns'!$F$3:$F$12,'SoBCaICbIC-urbanresidential'!C$1)</f>
        <v>0</v>
      </c>
      <c r="D2">
        <f>SUMIFS('Cost Breakdowns'!$E$3:$E$12,'Cost Breakdowns'!$A$3:$A$12,'SoBCaICbIC-urbanresidential'!$A2,'Cost Breakdowns'!$F$3:$F$12,'SoBCaICbIC-urbanresidential'!D$1)</f>
        <v>0</v>
      </c>
      <c r="E2">
        <f>SUMIFS('Cost Breakdowns'!$E$3:$E$12,'Cost Breakdowns'!$A$3:$A$12,'SoBCaICbIC-urbanresidential'!$A2,'Cost Breakdowns'!$F$3:$F$12,'SoBCaICbIC-urbanresidential'!E$1)</f>
        <v>0</v>
      </c>
      <c r="F2">
        <f>SUMIFS('Cost Breakdowns'!$E$3:$E$12,'Cost Breakdowns'!$A$3:$A$12,'SoBCaICbIC-urbanresidential'!$A2,'Cost Breakdowns'!$F$3:$F$12,'SoBCaICbIC-urbanresidential'!F$1)</f>
        <v>0</v>
      </c>
      <c r="G2">
        <f>SUMIFS('Cost Breakdowns'!$E$3:$E$12,'Cost Breakdowns'!$A$3:$A$12,'SoBCaICbIC-urbanresidential'!$A2,'Cost Breakdowns'!$F$3:$F$12,'SoBCaICbIC-urbanresidential'!G$1)</f>
        <v>0</v>
      </c>
      <c r="H2">
        <f>SUMIFS('Cost Breakdowns'!$E$3:$E$12,'Cost Breakdowns'!$A$3:$A$12,'SoBCaICbIC-urbanresidential'!$A2,'Cost Breakdowns'!$F$3:$F$12,'SoBCaICbIC-urbanresidential'!H$1)</f>
        <v>0</v>
      </c>
      <c r="I2">
        <f>SUMIFS('Cost Breakdowns'!$E$3:$E$12,'Cost Breakdowns'!$A$3:$A$12,'SoBCaICbIC-urbanresidential'!$A2,'Cost Breakdowns'!$F$3:$F$12,'SoBCaICbIC-urbanresidential'!I$1)</f>
        <v>0</v>
      </c>
      <c r="J2">
        <f>SUMIFS('Cost Breakdowns'!$E$3:$E$12,'Cost Breakdowns'!$A$3:$A$12,'SoBCaICbIC-urbanresidential'!$A2,'Cost Breakdowns'!$F$3:$F$12,'SoBCaICbIC-urbanresidential'!J$1)</f>
        <v>0</v>
      </c>
      <c r="K2">
        <f>SUMIFS('Cost Breakdowns'!$E$3:$E$12,'Cost Breakdowns'!$A$3:$A$12,'SoBCaICbIC-urbanresidential'!$A2,'Cost Breakdowns'!$F$3:$F$12,'SoBCaICbIC-urbanresidential'!K$1)</f>
        <v>0</v>
      </c>
      <c r="L2">
        <f>SUMIFS('Cost Breakdowns'!$E$3:$E$12,'Cost Breakdowns'!$A$3:$A$12,'SoBCaICbIC-urbanresidential'!$A2,'Cost Breakdowns'!$F$3:$F$12,'SoBCaICbIC-urbanresidential'!L$1)</f>
        <v>0</v>
      </c>
      <c r="M2">
        <f>SUMIFS('Cost Breakdowns'!$E$3:$E$12,'Cost Breakdowns'!$A$3:$A$12,'SoBCaICbIC-urbanresidential'!$A2,'Cost Breakdowns'!$F$3:$F$12,'SoBCaICbIC-urbanresidential'!M$1)</f>
        <v>0</v>
      </c>
      <c r="N2">
        <f>SUMIFS('Cost Breakdowns'!$E$3:$E$12,'Cost Breakdowns'!$A$3:$A$12,'SoBCaICbIC-urbanresidential'!$A2,'Cost Breakdowns'!$F$3:$F$12,'SoBCaICbIC-urbanresidential'!N$1)</f>
        <v>0</v>
      </c>
      <c r="O2">
        <f>SUMIFS('Cost Breakdowns'!$E$3:$E$12,'Cost Breakdowns'!$A$3:$A$12,'SoBCaICbIC-urbanresidential'!$A2,'Cost Breakdowns'!$F$3:$F$12,'SoBCaICbIC-urbanresidential'!O$1)</f>
        <v>0</v>
      </c>
      <c r="P2">
        <f>SUMIFS('Cost Breakdowns'!$E$3:$E$12,'Cost Breakdowns'!$A$3:$A$12,'SoBCaICbIC-urbanresidential'!$A2,'Cost Breakdowns'!$F$3:$F$12,'SoBCaICbIC-urbanresidential'!P$1)</f>
        <v>0</v>
      </c>
      <c r="Q2">
        <f>SUMIFS('Cost Breakdowns'!$E$3:$E$12,'Cost Breakdowns'!$A$3:$A$12,'SoBCaICbIC-urbanresidential'!$A2,'Cost Breakdowns'!$F$3:$F$12,'SoBCaICbIC-urbanresidential'!Q$1)</f>
        <v>0</v>
      </c>
      <c r="R2">
        <f>SUMIFS('Cost Breakdowns'!$E$3:$E$12,'Cost Breakdowns'!$A$3:$A$12,'SoBCaICbIC-urbanresidential'!$A2,'Cost Breakdowns'!$F$3:$F$12,'SoBCaICbIC-urbanresidential'!R$1)</f>
        <v>0</v>
      </c>
      <c r="S2">
        <f>SUMIFS('Cost Breakdowns'!$E$3:$E$12,'Cost Breakdowns'!$A$3:$A$12,'SoBCaICbIC-urbanresidential'!$A2,'Cost Breakdowns'!$F$3:$F$12,'SoBCaICbIC-urbanresidential'!S$1)</f>
        <v>0</v>
      </c>
      <c r="T2">
        <f>SUMIFS('Cost Breakdowns'!$E$3:$E$12,'Cost Breakdowns'!$A$3:$A$12,'SoBCaICbIC-urbanresidential'!$A2,'Cost Breakdowns'!$F$3:$F$12,'SoBCaICbIC-urbanresidential'!T$1)</f>
        <v>0</v>
      </c>
      <c r="U2">
        <f>SUMIFS('Cost Breakdowns'!$E$3:$E$12,'Cost Breakdowns'!$A$3:$A$12,'SoBCaICbIC-urbanresidential'!$A2,'Cost Breakdowns'!$F$3:$F$12,'SoBCaICbIC-urbanresidential'!U$1)</f>
        <v>0</v>
      </c>
      <c r="V2">
        <f>SUMIFS('Cost Breakdowns'!$E$3:$E$12,'Cost Breakdowns'!$A$3:$A$12,'SoBCaICbIC-urbanresidential'!$A2,'Cost Breakdowns'!$F$3:$F$12,'SoBCaICbIC-urbanresidential'!V$1)</f>
        <v>0.70398750275034405</v>
      </c>
      <c r="W2">
        <f>SUMIFS('Cost Breakdowns'!$E$3:$E$12,'Cost Breakdowns'!$A$3:$A$12,'SoBCaICbIC-urbanresidential'!$A2,'Cost Breakdowns'!$F$3:$F$12,'SoBCaICbIC-urbanresidential'!W$1)</f>
        <v>0</v>
      </c>
      <c r="X2">
        <f>SUMIFS('Cost Breakdowns'!$E$3:$E$12,'Cost Breakdowns'!$A$3:$A$12,'SoBCaICbIC-urbanresidential'!$A2,'Cost Breakdowns'!$F$3:$F$12,'SoBCaICbIC-urbanresidential'!X$1)</f>
        <v>0</v>
      </c>
      <c r="Y2">
        <f>SUMIFS('Cost Breakdowns'!$E$3:$E$12,'Cost Breakdowns'!$A$3:$A$12,'SoBCaICbIC-urbanresidential'!$A2,'Cost Breakdowns'!$F$3:$F$12,'SoBCaICbIC-urbanresidential'!Y$1)</f>
        <v>0</v>
      </c>
      <c r="Z2">
        <f>SUMIFS('Cost Breakdowns'!$E$3:$E$12,'Cost Breakdowns'!$A$3:$A$12,'SoBCaICbIC-urbanresidential'!$A2,'Cost Breakdowns'!$F$3:$F$12,'SoBCaICbIC-urbanresidential'!Z$1)</f>
        <v>0</v>
      </c>
      <c r="AA2">
        <f>SUMIFS('Cost Breakdowns'!$E$3:$E$12,'Cost Breakdowns'!$A$3:$A$12,'SoBCaICbIC-urbanresidential'!$A2,'Cost Breakdowns'!$F$3:$F$12,'SoBCaICbIC-urbanresidential'!AA$1)</f>
        <v>0</v>
      </c>
      <c r="AB2">
        <f>SUMIFS('Cost Breakdowns'!$E$3:$E$12,'Cost Breakdowns'!$A$3:$A$12,'SoBCaICbIC-urbanresidential'!$A2,'Cost Breakdowns'!$F$3:$F$12,'SoBCaICbIC-urbanresidential'!AB$1)</f>
        <v>0</v>
      </c>
      <c r="AC2">
        <f>SUMIFS('Cost Breakdowns'!$E$3:$E$12,'Cost Breakdowns'!$A$3:$A$12,'SoBCaICbIC-urbanresidential'!$A2,'Cost Breakdowns'!$F$3:$F$12,'SoBCaICbIC-urbanresidential'!AC$1)</f>
        <v>0.29601249724965595</v>
      </c>
      <c r="AD2">
        <f>SUMIFS('Cost Breakdowns'!$E$3:$E$12,'Cost Breakdowns'!$A$3:$A$12,'SoBCaICbIC-urbanresidential'!$A2,'Cost Breakdowns'!$F$3:$F$12,'SoBCaICbIC-urbanresidential'!AD$1)</f>
        <v>0</v>
      </c>
      <c r="AE2">
        <f>SUMIFS('Cost Breakdowns'!$E$3:$E$12,'Cost Breakdowns'!$A$3:$A$12,'SoBCaICbIC-urbanresidential'!$A2,'Cost Breakdowns'!$F$3:$F$12,'SoBCaICbIC-urbanresidential'!AE$1)</f>
        <v>0</v>
      </c>
      <c r="AF2">
        <f>SUMIFS('Cost Breakdowns'!$E$3:$E$12,'Cost Breakdowns'!$A$3:$A$12,'SoBCaICbIC-urbanresidential'!$A2,'Cost Breakdowns'!$F$3:$F$12,'SoBCaICbIC-urbanresidential'!AF$1)</f>
        <v>0</v>
      </c>
      <c r="AG2">
        <f>SUMIFS('Cost Breakdowns'!$E$3:$E$12,'Cost Breakdowns'!$A$3:$A$12,'SoBCaICbIC-urbanresidential'!$A2,'Cost Breakdowns'!$F$3:$F$12,'SoBCaICbIC-urbanresidential'!AG$1)</f>
        <v>0</v>
      </c>
      <c r="AH2">
        <f>SUMIFS('Cost Breakdowns'!$E$3:$E$12,'Cost Breakdowns'!$A$3:$A$12,'SoBCaICbIC-urbanresidential'!$A2,'Cost Breakdowns'!$F$3:$F$12,'SoBCaICbIC-urbanresidential'!AH$1)</f>
        <v>0</v>
      </c>
      <c r="AI2">
        <f>SUMIFS('Cost Breakdowns'!$E$3:$E$12,'Cost Breakdowns'!$A$3:$A$12,'SoBCaICbIC-urbanresidential'!$A2,'Cost Breakdowns'!$F$3:$F$12,'SoBCaICbIC-urbanresidential'!AI$1)</f>
        <v>0</v>
      </c>
      <c r="AJ2">
        <f>SUMIFS('Cost Breakdowns'!$E$3:$E$12,'Cost Breakdowns'!$A$3:$A$12,'SoBCaICbIC-urbanresidential'!$A2,'Cost Breakdowns'!$F$3:$F$12,'SoBCaICbIC-urbanresidential'!AJ$1)</f>
        <v>0</v>
      </c>
      <c r="AK2">
        <f>SUMIFS('Cost Breakdowns'!$E$3:$E$12,'Cost Breakdowns'!$A$3:$A$12,'SoBCaICbIC-urbanresidential'!$A2,'Cost Breakdowns'!$F$3:$F$12,'SoBCaICbIC-urbanresidential'!AK$1)</f>
        <v>0</v>
      </c>
      <c r="AL2">
        <f>SUMIFS('Cost Breakdowns'!$E$3:$E$12,'Cost Breakdowns'!$A$3:$A$12,'SoBCaICbIC-urbanresidential'!$A2,'Cost Breakdowns'!$F$3:$F$12,'SoBCaICbIC-urbanresidential'!AL$1)</f>
        <v>0</v>
      </c>
      <c r="AM2">
        <f>SUMIFS('Cost Breakdowns'!$E$3:$E$12,'Cost Breakdowns'!$A$3:$A$12,'SoBCaICbIC-urbanresidential'!$A2,'Cost Breakdowns'!$F$3:$F$12,'SoBCaICbIC-urbanresidential'!AM$1)</f>
        <v>0</v>
      </c>
      <c r="AN2">
        <f>SUMIFS('Cost Breakdowns'!$E$3:$E$12,'Cost Breakdowns'!$A$3:$A$12,'SoBCaICbIC-urbanresidential'!$A2,'Cost Breakdowns'!$F$3:$F$12,'SoBCaICbIC-urbanresidential'!AN$1)</f>
        <v>0</v>
      </c>
      <c r="AO2">
        <f>SUMIFS('Cost Breakdowns'!$E$3:$E$12,'Cost Breakdowns'!$A$3:$A$12,'SoBCaICbIC-urbanresidential'!$A2,'Cost Breakdowns'!$F$3:$F$12,'SoBCaICbIC-urbanresidential'!AO$1)</f>
        <v>0</v>
      </c>
      <c r="AP2">
        <f>SUMIFS('Cost Breakdowns'!$E$3:$E$12,'Cost Breakdowns'!$A$3:$A$12,'SoBCaICbIC-urbanresidential'!$A2,'Cost Breakdowns'!$F$3:$F$12,'SoBCaICbIC-urbanresidential'!AP$1)</f>
        <v>0</v>
      </c>
      <c r="AQ2">
        <f>SUMIFS('Cost Breakdowns'!$E$3:$E$12,'Cost Breakdowns'!$A$3:$A$12,'SoBCaICbIC-urbanresidential'!$A2,'Cost Breakdowns'!$F$3:$F$12,'SoBCaICbIC-urbanresidential'!AQ$1)</f>
        <v>0</v>
      </c>
    </row>
    <row r="3" spans="1:43" x14ac:dyDescent="0.75">
      <c r="A3" t="s">
        <v>322</v>
      </c>
      <c r="B3">
        <f>SUMIFS('Cost Breakdowns'!$E$3:$E$12,'Cost Breakdowns'!$A$3:$A$12,'SoBCaICbIC-urbanresidential'!$A3,'Cost Breakdowns'!$F$3:$F$12,'SoBCaICbIC-urbanresidential'!B$1)</f>
        <v>0</v>
      </c>
      <c r="C3">
        <f>SUMIFS('Cost Breakdowns'!$E$3:$E$12,'Cost Breakdowns'!$A$3:$A$12,'SoBCaICbIC-urbanresidential'!$A3,'Cost Breakdowns'!$F$3:$F$12,'SoBCaICbIC-urbanresidential'!C$1)</f>
        <v>0</v>
      </c>
      <c r="D3">
        <f>SUMIFS('Cost Breakdowns'!$E$3:$E$12,'Cost Breakdowns'!$A$3:$A$12,'SoBCaICbIC-urbanresidential'!$A3,'Cost Breakdowns'!$F$3:$F$12,'SoBCaICbIC-urbanresidential'!D$1)</f>
        <v>0</v>
      </c>
      <c r="E3">
        <f>SUMIFS('Cost Breakdowns'!$E$3:$E$12,'Cost Breakdowns'!$A$3:$A$12,'SoBCaICbIC-urbanresidential'!$A3,'Cost Breakdowns'!$F$3:$F$12,'SoBCaICbIC-urbanresidential'!E$1)</f>
        <v>0</v>
      </c>
      <c r="F3">
        <f>SUMIFS('Cost Breakdowns'!$E$3:$E$12,'Cost Breakdowns'!$A$3:$A$12,'SoBCaICbIC-urbanresidential'!$A3,'Cost Breakdowns'!$F$3:$F$12,'SoBCaICbIC-urbanresidential'!F$1)</f>
        <v>0</v>
      </c>
      <c r="G3">
        <f>SUMIFS('Cost Breakdowns'!$E$3:$E$12,'Cost Breakdowns'!$A$3:$A$12,'SoBCaICbIC-urbanresidential'!$A3,'Cost Breakdowns'!$F$3:$F$12,'SoBCaICbIC-urbanresidential'!G$1)</f>
        <v>0</v>
      </c>
      <c r="H3">
        <f>SUMIFS('Cost Breakdowns'!$E$3:$E$12,'Cost Breakdowns'!$A$3:$A$12,'SoBCaICbIC-urbanresidential'!$A3,'Cost Breakdowns'!$F$3:$F$12,'SoBCaICbIC-urbanresidential'!H$1)</f>
        <v>0</v>
      </c>
      <c r="I3">
        <f>SUMIFS('Cost Breakdowns'!$E$3:$E$12,'Cost Breakdowns'!$A$3:$A$12,'SoBCaICbIC-urbanresidential'!$A3,'Cost Breakdowns'!$F$3:$F$12,'SoBCaICbIC-urbanresidential'!I$1)</f>
        <v>0</v>
      </c>
      <c r="J3">
        <f>SUMIFS('Cost Breakdowns'!$E$3:$E$12,'Cost Breakdowns'!$A$3:$A$12,'SoBCaICbIC-urbanresidential'!$A3,'Cost Breakdowns'!$F$3:$F$12,'SoBCaICbIC-urbanresidential'!J$1)</f>
        <v>0</v>
      </c>
      <c r="K3">
        <f>SUMIFS('Cost Breakdowns'!$E$3:$E$12,'Cost Breakdowns'!$A$3:$A$12,'SoBCaICbIC-urbanresidential'!$A3,'Cost Breakdowns'!$F$3:$F$12,'SoBCaICbIC-urbanresidential'!K$1)</f>
        <v>0</v>
      </c>
      <c r="L3">
        <f>SUMIFS('Cost Breakdowns'!$E$3:$E$12,'Cost Breakdowns'!$A$3:$A$12,'SoBCaICbIC-urbanresidential'!$A3,'Cost Breakdowns'!$F$3:$F$12,'SoBCaICbIC-urbanresidential'!L$1)</f>
        <v>0</v>
      </c>
      <c r="M3">
        <f>SUMIFS('Cost Breakdowns'!$E$3:$E$12,'Cost Breakdowns'!$A$3:$A$12,'SoBCaICbIC-urbanresidential'!$A3,'Cost Breakdowns'!$F$3:$F$12,'SoBCaICbIC-urbanresidential'!M$1)</f>
        <v>0</v>
      </c>
      <c r="N3">
        <f>SUMIFS('Cost Breakdowns'!$E$3:$E$12,'Cost Breakdowns'!$A$3:$A$12,'SoBCaICbIC-urbanresidential'!$A3,'Cost Breakdowns'!$F$3:$F$12,'SoBCaICbIC-urbanresidential'!N$1)</f>
        <v>0</v>
      </c>
      <c r="O3">
        <f>SUMIFS('Cost Breakdowns'!$E$3:$E$12,'Cost Breakdowns'!$A$3:$A$12,'SoBCaICbIC-urbanresidential'!$A3,'Cost Breakdowns'!$F$3:$F$12,'SoBCaICbIC-urbanresidential'!O$1)</f>
        <v>0</v>
      </c>
      <c r="P3">
        <f>SUMIFS('Cost Breakdowns'!$E$3:$E$12,'Cost Breakdowns'!$A$3:$A$12,'SoBCaICbIC-urbanresidential'!$A3,'Cost Breakdowns'!$F$3:$F$12,'SoBCaICbIC-urbanresidential'!P$1)</f>
        <v>0</v>
      </c>
      <c r="Q3">
        <f>SUMIFS('Cost Breakdowns'!$E$3:$E$12,'Cost Breakdowns'!$A$3:$A$12,'SoBCaICbIC-urbanresidential'!$A3,'Cost Breakdowns'!$F$3:$F$12,'SoBCaICbIC-urbanresidential'!Q$1)</f>
        <v>0</v>
      </c>
      <c r="R3">
        <f>SUMIFS('Cost Breakdowns'!$E$3:$E$12,'Cost Breakdowns'!$A$3:$A$12,'SoBCaICbIC-urbanresidential'!$A3,'Cost Breakdowns'!$F$3:$F$12,'SoBCaICbIC-urbanresidential'!R$1)</f>
        <v>0</v>
      </c>
      <c r="S3">
        <f>SUMIFS('Cost Breakdowns'!$E$3:$E$12,'Cost Breakdowns'!$A$3:$A$12,'SoBCaICbIC-urbanresidential'!$A3,'Cost Breakdowns'!$F$3:$F$12,'SoBCaICbIC-urbanresidential'!S$1)</f>
        <v>0</v>
      </c>
      <c r="T3">
        <f>SUMIFS('Cost Breakdowns'!$E$3:$E$12,'Cost Breakdowns'!$A$3:$A$12,'SoBCaICbIC-urbanresidential'!$A3,'Cost Breakdowns'!$F$3:$F$12,'SoBCaICbIC-urbanresidential'!T$1)</f>
        <v>0</v>
      </c>
      <c r="U3">
        <f>SUMIFS('Cost Breakdowns'!$E$3:$E$12,'Cost Breakdowns'!$A$3:$A$12,'SoBCaICbIC-urbanresidential'!$A3,'Cost Breakdowns'!$F$3:$F$12,'SoBCaICbIC-urbanresidential'!U$1)</f>
        <v>0</v>
      </c>
      <c r="V3">
        <f>SUMIFS('Cost Breakdowns'!$E$3:$E$12,'Cost Breakdowns'!$A$3:$A$12,'SoBCaICbIC-urbanresidential'!$A3,'Cost Breakdowns'!$F$3:$F$12,'SoBCaICbIC-urbanresidential'!V$1)</f>
        <v>0.5798301102469372</v>
      </c>
      <c r="W3">
        <f>SUMIFS('Cost Breakdowns'!$E$3:$E$12,'Cost Breakdowns'!$A$3:$A$12,'SoBCaICbIC-urbanresidential'!$A3,'Cost Breakdowns'!$F$3:$F$12,'SoBCaICbIC-urbanresidential'!W$1)</f>
        <v>0</v>
      </c>
      <c r="X3">
        <f>SUMIFS('Cost Breakdowns'!$E$3:$E$12,'Cost Breakdowns'!$A$3:$A$12,'SoBCaICbIC-urbanresidential'!$A3,'Cost Breakdowns'!$F$3:$F$12,'SoBCaICbIC-urbanresidential'!X$1)</f>
        <v>0</v>
      </c>
      <c r="Y3">
        <f>SUMIFS('Cost Breakdowns'!$E$3:$E$12,'Cost Breakdowns'!$A$3:$A$12,'SoBCaICbIC-urbanresidential'!$A3,'Cost Breakdowns'!$F$3:$F$12,'SoBCaICbIC-urbanresidential'!Y$1)</f>
        <v>0</v>
      </c>
      <c r="Z3">
        <f>SUMIFS('Cost Breakdowns'!$E$3:$E$12,'Cost Breakdowns'!$A$3:$A$12,'SoBCaICbIC-urbanresidential'!$A3,'Cost Breakdowns'!$F$3:$F$12,'SoBCaICbIC-urbanresidential'!Z$1)</f>
        <v>0</v>
      </c>
      <c r="AA3">
        <f>SUMIFS('Cost Breakdowns'!$E$3:$E$12,'Cost Breakdowns'!$A$3:$A$12,'SoBCaICbIC-urbanresidential'!$A3,'Cost Breakdowns'!$F$3:$F$12,'SoBCaICbIC-urbanresidential'!AA$1)</f>
        <v>0</v>
      </c>
      <c r="AB3">
        <f>SUMIFS('Cost Breakdowns'!$E$3:$E$12,'Cost Breakdowns'!$A$3:$A$12,'SoBCaICbIC-urbanresidential'!$A3,'Cost Breakdowns'!$F$3:$F$12,'SoBCaICbIC-urbanresidential'!AB$1)</f>
        <v>0</v>
      </c>
      <c r="AC3">
        <f>SUMIFS('Cost Breakdowns'!$E$3:$E$12,'Cost Breakdowns'!$A$3:$A$12,'SoBCaICbIC-urbanresidential'!$A3,'Cost Breakdowns'!$F$3:$F$12,'SoBCaICbIC-urbanresidential'!AC$1)</f>
        <v>0.4201698897530628</v>
      </c>
      <c r="AD3">
        <f>SUMIFS('Cost Breakdowns'!$E$3:$E$12,'Cost Breakdowns'!$A$3:$A$12,'SoBCaICbIC-urbanresidential'!$A3,'Cost Breakdowns'!$F$3:$F$12,'SoBCaICbIC-urbanresidential'!AD$1)</f>
        <v>0</v>
      </c>
      <c r="AE3">
        <f>SUMIFS('Cost Breakdowns'!$E$3:$E$12,'Cost Breakdowns'!$A$3:$A$12,'SoBCaICbIC-urbanresidential'!$A3,'Cost Breakdowns'!$F$3:$F$12,'SoBCaICbIC-urbanresidential'!AE$1)</f>
        <v>0</v>
      </c>
      <c r="AF3">
        <f>SUMIFS('Cost Breakdowns'!$E$3:$E$12,'Cost Breakdowns'!$A$3:$A$12,'SoBCaICbIC-urbanresidential'!$A3,'Cost Breakdowns'!$F$3:$F$12,'SoBCaICbIC-urbanresidential'!AF$1)</f>
        <v>0</v>
      </c>
      <c r="AG3">
        <f>SUMIFS('Cost Breakdowns'!$E$3:$E$12,'Cost Breakdowns'!$A$3:$A$12,'SoBCaICbIC-urbanresidential'!$A3,'Cost Breakdowns'!$F$3:$F$12,'SoBCaICbIC-urbanresidential'!AG$1)</f>
        <v>0</v>
      </c>
      <c r="AH3">
        <f>SUMIFS('Cost Breakdowns'!$E$3:$E$12,'Cost Breakdowns'!$A$3:$A$12,'SoBCaICbIC-urbanresidential'!$A3,'Cost Breakdowns'!$F$3:$F$12,'SoBCaICbIC-urbanresidential'!AH$1)</f>
        <v>0</v>
      </c>
      <c r="AI3">
        <f>SUMIFS('Cost Breakdowns'!$E$3:$E$12,'Cost Breakdowns'!$A$3:$A$12,'SoBCaICbIC-urbanresidential'!$A3,'Cost Breakdowns'!$F$3:$F$12,'SoBCaICbIC-urbanresidential'!AI$1)</f>
        <v>0</v>
      </c>
      <c r="AJ3">
        <f>SUMIFS('Cost Breakdowns'!$E$3:$E$12,'Cost Breakdowns'!$A$3:$A$12,'SoBCaICbIC-urbanresidential'!$A3,'Cost Breakdowns'!$F$3:$F$12,'SoBCaICbIC-urbanresidential'!AJ$1)</f>
        <v>0</v>
      </c>
      <c r="AK3">
        <f>SUMIFS('Cost Breakdowns'!$E$3:$E$12,'Cost Breakdowns'!$A$3:$A$12,'SoBCaICbIC-urbanresidential'!$A3,'Cost Breakdowns'!$F$3:$F$12,'SoBCaICbIC-urbanresidential'!AK$1)</f>
        <v>0</v>
      </c>
      <c r="AL3">
        <f>SUMIFS('Cost Breakdowns'!$E$3:$E$12,'Cost Breakdowns'!$A$3:$A$12,'SoBCaICbIC-urbanresidential'!$A3,'Cost Breakdowns'!$F$3:$F$12,'SoBCaICbIC-urbanresidential'!AL$1)</f>
        <v>0</v>
      </c>
      <c r="AM3">
        <f>SUMIFS('Cost Breakdowns'!$E$3:$E$12,'Cost Breakdowns'!$A$3:$A$12,'SoBCaICbIC-urbanresidential'!$A3,'Cost Breakdowns'!$F$3:$F$12,'SoBCaICbIC-urbanresidential'!AM$1)</f>
        <v>0</v>
      </c>
      <c r="AN3">
        <f>SUMIFS('Cost Breakdowns'!$E$3:$E$12,'Cost Breakdowns'!$A$3:$A$12,'SoBCaICbIC-urbanresidential'!$A3,'Cost Breakdowns'!$F$3:$F$12,'SoBCaICbIC-urbanresidential'!AN$1)</f>
        <v>0</v>
      </c>
      <c r="AO3">
        <f>SUMIFS('Cost Breakdowns'!$E$3:$E$12,'Cost Breakdowns'!$A$3:$A$12,'SoBCaICbIC-urbanresidential'!$A3,'Cost Breakdowns'!$F$3:$F$12,'SoBCaICbIC-urbanresidential'!AO$1)</f>
        <v>0</v>
      </c>
      <c r="AP3">
        <f>SUMIFS('Cost Breakdowns'!$E$3:$E$12,'Cost Breakdowns'!$A$3:$A$12,'SoBCaICbIC-urbanresidential'!$A3,'Cost Breakdowns'!$F$3:$F$12,'SoBCaICbIC-urbanresidential'!AP$1)</f>
        <v>0</v>
      </c>
      <c r="AQ3">
        <f>SUMIFS('Cost Breakdowns'!$E$3:$E$12,'Cost Breakdowns'!$A$3:$A$12,'SoBCaICbIC-urbanresidential'!$A3,'Cost Breakdowns'!$F$3:$F$12,'SoBCaICbIC-urbanresidential'!AQ$1)</f>
        <v>0</v>
      </c>
    </row>
    <row r="4" spans="1:43" x14ac:dyDescent="0.75">
      <c r="A4" t="s">
        <v>434</v>
      </c>
      <c r="B4">
        <f>SUMIFS('Cost Breakdowns'!$E$3:$E$12,'Cost Breakdowns'!$A$3:$A$12,'SoBCaICbIC-urbanresidential'!$A4,'Cost Breakdowns'!$F$3:$F$12,'SoBCaICbIC-urbanresidential'!B$1)</f>
        <v>0</v>
      </c>
      <c r="C4">
        <f>SUMIFS('Cost Breakdowns'!$E$3:$E$12,'Cost Breakdowns'!$A$3:$A$12,'SoBCaICbIC-urbanresidential'!$A4,'Cost Breakdowns'!$F$3:$F$12,'SoBCaICbIC-urbanresidential'!C$1)</f>
        <v>0</v>
      </c>
      <c r="D4">
        <f>SUMIFS('Cost Breakdowns'!$E$3:$E$12,'Cost Breakdowns'!$A$3:$A$12,'SoBCaICbIC-urbanresidential'!$A4,'Cost Breakdowns'!$F$3:$F$12,'SoBCaICbIC-urbanresidential'!D$1)</f>
        <v>0</v>
      </c>
      <c r="E4">
        <f>SUMIFS('Cost Breakdowns'!$E$3:$E$12,'Cost Breakdowns'!$A$3:$A$12,'SoBCaICbIC-urbanresidential'!$A4,'Cost Breakdowns'!$F$3:$F$12,'SoBCaICbIC-urbanresidential'!E$1)</f>
        <v>0</v>
      </c>
      <c r="F4">
        <f>SUMIFS('Cost Breakdowns'!$E$3:$E$12,'Cost Breakdowns'!$A$3:$A$12,'SoBCaICbIC-urbanresidential'!$A4,'Cost Breakdowns'!$F$3:$F$12,'SoBCaICbIC-urbanresidential'!F$1)</f>
        <v>0</v>
      </c>
      <c r="G4">
        <f>SUMIFS('Cost Breakdowns'!$E$3:$E$12,'Cost Breakdowns'!$A$3:$A$12,'SoBCaICbIC-urbanresidential'!$A4,'Cost Breakdowns'!$F$3:$F$12,'SoBCaICbIC-urbanresidential'!G$1)</f>
        <v>0</v>
      </c>
      <c r="H4">
        <f>SUMIFS('Cost Breakdowns'!$E$3:$E$12,'Cost Breakdowns'!$A$3:$A$12,'SoBCaICbIC-urbanresidential'!$A4,'Cost Breakdowns'!$F$3:$F$12,'SoBCaICbIC-urbanresidential'!H$1)</f>
        <v>0</v>
      </c>
      <c r="I4">
        <f>SUMIFS('Cost Breakdowns'!$E$3:$E$12,'Cost Breakdowns'!$A$3:$A$12,'SoBCaICbIC-urbanresidential'!$A4,'Cost Breakdowns'!$F$3:$F$12,'SoBCaICbIC-urbanresidential'!I$1)</f>
        <v>0</v>
      </c>
      <c r="J4">
        <f>SUMIFS('Cost Breakdowns'!$E$3:$E$12,'Cost Breakdowns'!$A$3:$A$12,'SoBCaICbIC-urbanresidential'!$A4,'Cost Breakdowns'!$F$3:$F$12,'SoBCaICbIC-urbanresidential'!J$1)</f>
        <v>0</v>
      </c>
      <c r="K4">
        <f>SUMIFS('Cost Breakdowns'!$E$3:$E$12,'Cost Breakdowns'!$A$3:$A$12,'SoBCaICbIC-urbanresidential'!$A4,'Cost Breakdowns'!$F$3:$F$12,'SoBCaICbIC-urbanresidential'!K$1)</f>
        <v>0</v>
      </c>
      <c r="L4">
        <f>SUMIFS('Cost Breakdowns'!$E$3:$E$12,'Cost Breakdowns'!$A$3:$A$12,'SoBCaICbIC-urbanresidential'!$A4,'Cost Breakdowns'!$F$3:$F$12,'SoBCaICbIC-urbanresidential'!L$1)</f>
        <v>0</v>
      </c>
      <c r="M4">
        <f>SUMIFS('Cost Breakdowns'!$E$3:$E$12,'Cost Breakdowns'!$A$3:$A$12,'SoBCaICbIC-urbanresidential'!$A4,'Cost Breakdowns'!$F$3:$F$12,'SoBCaICbIC-urbanresidential'!M$1)</f>
        <v>0</v>
      </c>
      <c r="N4">
        <f>SUMIFS('Cost Breakdowns'!$E$3:$E$12,'Cost Breakdowns'!$A$3:$A$12,'SoBCaICbIC-urbanresidential'!$A4,'Cost Breakdowns'!$F$3:$F$12,'SoBCaICbIC-urbanresidential'!N$1)</f>
        <v>0</v>
      </c>
      <c r="O4">
        <f>SUMIFS('Cost Breakdowns'!$E$3:$E$12,'Cost Breakdowns'!$A$3:$A$12,'SoBCaICbIC-urbanresidential'!$A4,'Cost Breakdowns'!$F$3:$F$12,'SoBCaICbIC-urbanresidential'!O$1)</f>
        <v>0</v>
      </c>
      <c r="P4">
        <f>SUMIFS('Cost Breakdowns'!$E$3:$E$12,'Cost Breakdowns'!$A$3:$A$12,'SoBCaICbIC-urbanresidential'!$A4,'Cost Breakdowns'!$F$3:$F$12,'SoBCaICbIC-urbanresidential'!P$1)</f>
        <v>0</v>
      </c>
      <c r="Q4">
        <f>SUMIFS('Cost Breakdowns'!$E$3:$E$12,'Cost Breakdowns'!$A$3:$A$12,'SoBCaICbIC-urbanresidential'!$A4,'Cost Breakdowns'!$F$3:$F$12,'SoBCaICbIC-urbanresidential'!Q$1)</f>
        <v>0</v>
      </c>
      <c r="R4">
        <f>SUMIFS('Cost Breakdowns'!$E$3:$E$12,'Cost Breakdowns'!$A$3:$A$12,'SoBCaICbIC-urbanresidential'!$A4,'Cost Breakdowns'!$F$3:$F$12,'SoBCaICbIC-urbanresidential'!R$1)</f>
        <v>0</v>
      </c>
      <c r="S4">
        <f>SUMIFS('Cost Breakdowns'!$E$3:$E$12,'Cost Breakdowns'!$A$3:$A$12,'SoBCaICbIC-urbanresidential'!$A4,'Cost Breakdowns'!$F$3:$F$12,'SoBCaICbIC-urbanresidential'!S$1)</f>
        <v>0</v>
      </c>
      <c r="T4">
        <f>SUMIFS('Cost Breakdowns'!$E$3:$E$12,'Cost Breakdowns'!$A$3:$A$12,'SoBCaICbIC-urbanresidential'!$A4,'Cost Breakdowns'!$F$3:$F$12,'SoBCaICbIC-urbanresidential'!T$1)</f>
        <v>0</v>
      </c>
      <c r="U4">
        <f>SUMIFS('Cost Breakdowns'!$E$3:$E$12,'Cost Breakdowns'!$A$3:$A$12,'SoBCaICbIC-urbanresidential'!$A4,'Cost Breakdowns'!$F$3:$F$12,'SoBCaICbIC-urbanresidential'!U$1)</f>
        <v>0</v>
      </c>
      <c r="V4">
        <f>SUMIFS('Cost Breakdowns'!$E$3:$E$12,'Cost Breakdowns'!$A$3:$A$12,'SoBCaICbIC-urbanresidential'!$A4,'Cost Breakdowns'!$F$3:$F$12,'SoBCaICbIC-urbanresidential'!V$1)</f>
        <v>0</v>
      </c>
      <c r="W4">
        <f>SUMIFS('Cost Breakdowns'!$E$3:$E$12,'Cost Breakdowns'!$A$3:$A$12,'SoBCaICbIC-urbanresidential'!$A4,'Cost Breakdowns'!$F$3:$F$12,'SoBCaICbIC-urbanresidential'!W$1)</f>
        <v>0</v>
      </c>
      <c r="X4">
        <f>SUMIFS('Cost Breakdowns'!$E$3:$E$12,'Cost Breakdowns'!$A$3:$A$12,'SoBCaICbIC-urbanresidential'!$A4,'Cost Breakdowns'!$F$3:$F$12,'SoBCaICbIC-urbanresidential'!X$1)</f>
        <v>0</v>
      </c>
      <c r="Y4">
        <f>SUMIFS('Cost Breakdowns'!$E$3:$E$12,'Cost Breakdowns'!$A$3:$A$12,'SoBCaICbIC-urbanresidential'!$A4,'Cost Breakdowns'!$F$3:$F$12,'SoBCaICbIC-urbanresidential'!Y$1)</f>
        <v>0</v>
      </c>
      <c r="Z4">
        <f>SUMIFS('Cost Breakdowns'!$E$3:$E$12,'Cost Breakdowns'!$A$3:$A$12,'SoBCaICbIC-urbanresidential'!$A4,'Cost Breakdowns'!$F$3:$F$12,'SoBCaICbIC-urbanresidential'!Z$1)</f>
        <v>0</v>
      </c>
      <c r="AA4">
        <f>SUMIFS('Cost Breakdowns'!$E$3:$E$12,'Cost Breakdowns'!$A$3:$A$12,'SoBCaICbIC-urbanresidential'!$A4,'Cost Breakdowns'!$F$3:$F$12,'SoBCaICbIC-urbanresidential'!AA$1)</f>
        <v>0</v>
      </c>
      <c r="AB4">
        <f>SUMIFS('Cost Breakdowns'!$E$3:$E$12,'Cost Breakdowns'!$A$3:$A$12,'SoBCaICbIC-urbanresidential'!$A4,'Cost Breakdowns'!$F$3:$F$12,'SoBCaICbIC-urbanresidential'!AB$1)</f>
        <v>0</v>
      </c>
      <c r="AC4">
        <f>SUMIFS('Cost Breakdowns'!$E$3:$E$12,'Cost Breakdowns'!$A$3:$A$12,'SoBCaICbIC-urbanresidential'!$A4,'Cost Breakdowns'!$F$3:$F$12,'SoBCaICbIC-urbanresidential'!AC$1)</f>
        <v>0</v>
      </c>
      <c r="AD4">
        <f>SUMIFS('Cost Breakdowns'!$E$3:$E$12,'Cost Breakdowns'!$A$3:$A$12,'SoBCaICbIC-urbanresidential'!$A4,'Cost Breakdowns'!$F$3:$F$12,'SoBCaICbIC-urbanresidential'!AD$1)</f>
        <v>0</v>
      </c>
      <c r="AE4">
        <f>SUMIFS('Cost Breakdowns'!$E$3:$E$12,'Cost Breakdowns'!$A$3:$A$12,'SoBCaICbIC-urbanresidential'!$A4,'Cost Breakdowns'!$F$3:$F$12,'SoBCaICbIC-urbanresidential'!AE$1)</f>
        <v>0</v>
      </c>
      <c r="AF4">
        <f>SUMIFS('Cost Breakdowns'!$E$3:$E$12,'Cost Breakdowns'!$A$3:$A$12,'SoBCaICbIC-urbanresidential'!$A4,'Cost Breakdowns'!$F$3:$F$12,'SoBCaICbIC-urbanresidential'!AF$1)</f>
        <v>0</v>
      </c>
      <c r="AG4">
        <f>SUMIFS('Cost Breakdowns'!$E$3:$E$12,'Cost Breakdowns'!$A$3:$A$12,'SoBCaICbIC-urbanresidential'!$A4,'Cost Breakdowns'!$F$3:$F$12,'SoBCaICbIC-urbanresidential'!AG$1)</f>
        <v>0</v>
      </c>
      <c r="AH4">
        <f>SUMIFS('Cost Breakdowns'!$E$3:$E$12,'Cost Breakdowns'!$A$3:$A$12,'SoBCaICbIC-urbanresidential'!$A4,'Cost Breakdowns'!$F$3:$F$12,'SoBCaICbIC-urbanresidential'!AH$1)</f>
        <v>0</v>
      </c>
      <c r="AI4">
        <f>SUMIFS('Cost Breakdowns'!$E$3:$E$12,'Cost Breakdowns'!$A$3:$A$12,'SoBCaICbIC-urbanresidential'!$A4,'Cost Breakdowns'!$F$3:$F$12,'SoBCaICbIC-urbanresidential'!AI$1)</f>
        <v>0</v>
      </c>
      <c r="AJ4">
        <f>SUMIFS('Cost Breakdowns'!$E$3:$E$12,'Cost Breakdowns'!$A$3:$A$12,'SoBCaICbIC-urbanresidential'!$A4,'Cost Breakdowns'!$F$3:$F$12,'SoBCaICbIC-urbanresidential'!AJ$1)</f>
        <v>0</v>
      </c>
      <c r="AK4">
        <f>SUMIFS('Cost Breakdowns'!$E$3:$E$12,'Cost Breakdowns'!$A$3:$A$12,'SoBCaICbIC-urbanresidential'!$A4,'Cost Breakdowns'!$F$3:$F$12,'SoBCaICbIC-urbanresidential'!AK$1)</f>
        <v>0</v>
      </c>
      <c r="AL4">
        <f>SUMIFS('Cost Breakdowns'!$E$3:$E$12,'Cost Breakdowns'!$A$3:$A$12,'SoBCaICbIC-urbanresidential'!$A4,'Cost Breakdowns'!$F$3:$F$12,'SoBCaICbIC-urbanresidential'!AL$1)</f>
        <v>0</v>
      </c>
      <c r="AM4">
        <f>SUMIFS('Cost Breakdowns'!$E$3:$E$12,'Cost Breakdowns'!$A$3:$A$12,'SoBCaICbIC-urbanresidential'!$A4,'Cost Breakdowns'!$F$3:$F$12,'SoBCaICbIC-urbanresidential'!AM$1)</f>
        <v>0</v>
      </c>
      <c r="AN4">
        <f>SUMIFS('Cost Breakdowns'!$E$3:$E$12,'Cost Breakdowns'!$A$3:$A$12,'SoBCaICbIC-urbanresidential'!$A4,'Cost Breakdowns'!$F$3:$F$12,'SoBCaICbIC-urbanresidential'!AN$1)</f>
        <v>0</v>
      </c>
      <c r="AO4">
        <f>SUMIFS('Cost Breakdowns'!$E$3:$E$12,'Cost Breakdowns'!$A$3:$A$12,'SoBCaICbIC-urbanresidential'!$A4,'Cost Breakdowns'!$F$3:$F$12,'SoBCaICbIC-urbanresidential'!AO$1)</f>
        <v>0</v>
      </c>
      <c r="AP4">
        <f>SUMIFS('Cost Breakdowns'!$E$3:$E$12,'Cost Breakdowns'!$A$3:$A$12,'SoBCaICbIC-urbanresidential'!$A4,'Cost Breakdowns'!$F$3:$F$12,'SoBCaICbIC-urbanresidential'!AP$1)</f>
        <v>0</v>
      </c>
      <c r="AQ4">
        <f>SUMIFS('Cost Breakdowns'!$E$3:$E$12,'Cost Breakdowns'!$A$3:$A$12,'SoBCaICbIC-urbanresidential'!$A4,'Cost Breakdowns'!$F$3:$F$12,'SoBCaICbIC-urbanresidential'!AQ$1)</f>
        <v>0</v>
      </c>
    </row>
    <row r="5" spans="1:43" x14ac:dyDescent="0.75">
      <c r="A5" t="s">
        <v>328</v>
      </c>
      <c r="B5">
        <f>SUMIFS('Cost Breakdowns'!$E$3:$E$12,'Cost Breakdowns'!$A$3:$A$12,'SoBCaICbIC-urbanresidential'!$A5,'Cost Breakdowns'!$F$3:$F$12,'SoBCaICbIC-urbanresidential'!B$1)</f>
        <v>0</v>
      </c>
      <c r="C5">
        <f>SUMIFS('Cost Breakdowns'!$E$3:$E$12,'Cost Breakdowns'!$A$3:$A$12,'SoBCaICbIC-urbanresidential'!$A5,'Cost Breakdowns'!$F$3:$F$12,'SoBCaICbIC-urbanresidential'!C$1)</f>
        <v>0</v>
      </c>
      <c r="D5">
        <f>SUMIFS('Cost Breakdowns'!$E$3:$E$12,'Cost Breakdowns'!$A$3:$A$12,'SoBCaICbIC-urbanresidential'!$A5,'Cost Breakdowns'!$F$3:$F$12,'SoBCaICbIC-urbanresidential'!D$1)</f>
        <v>0</v>
      </c>
      <c r="E5">
        <f>SUMIFS('Cost Breakdowns'!$E$3:$E$12,'Cost Breakdowns'!$A$3:$A$12,'SoBCaICbIC-urbanresidential'!$A5,'Cost Breakdowns'!$F$3:$F$12,'SoBCaICbIC-urbanresidential'!E$1)</f>
        <v>0</v>
      </c>
      <c r="F5">
        <f>SUMIFS('Cost Breakdowns'!$E$3:$E$12,'Cost Breakdowns'!$A$3:$A$12,'SoBCaICbIC-urbanresidential'!$A5,'Cost Breakdowns'!$F$3:$F$12,'SoBCaICbIC-urbanresidential'!F$1)</f>
        <v>0</v>
      </c>
      <c r="G5">
        <f>SUMIFS('Cost Breakdowns'!$E$3:$E$12,'Cost Breakdowns'!$A$3:$A$12,'SoBCaICbIC-urbanresidential'!$A5,'Cost Breakdowns'!$F$3:$F$12,'SoBCaICbIC-urbanresidential'!G$1)</f>
        <v>0</v>
      </c>
      <c r="H5">
        <f>SUMIFS('Cost Breakdowns'!$E$3:$E$12,'Cost Breakdowns'!$A$3:$A$12,'SoBCaICbIC-urbanresidential'!$A5,'Cost Breakdowns'!$F$3:$F$12,'SoBCaICbIC-urbanresidential'!H$1)</f>
        <v>0</v>
      </c>
      <c r="I5">
        <f>SUMIFS('Cost Breakdowns'!$E$3:$E$12,'Cost Breakdowns'!$A$3:$A$12,'SoBCaICbIC-urbanresidential'!$A5,'Cost Breakdowns'!$F$3:$F$12,'SoBCaICbIC-urbanresidential'!I$1)</f>
        <v>0</v>
      </c>
      <c r="J5">
        <f>SUMIFS('Cost Breakdowns'!$E$3:$E$12,'Cost Breakdowns'!$A$3:$A$12,'SoBCaICbIC-urbanresidential'!$A5,'Cost Breakdowns'!$F$3:$F$12,'SoBCaICbIC-urbanresidential'!J$1)</f>
        <v>0</v>
      </c>
      <c r="K5">
        <f>SUMIFS('Cost Breakdowns'!$E$3:$E$12,'Cost Breakdowns'!$A$3:$A$12,'SoBCaICbIC-urbanresidential'!$A5,'Cost Breakdowns'!$F$3:$F$12,'SoBCaICbIC-urbanresidential'!K$1)</f>
        <v>0</v>
      </c>
      <c r="L5">
        <f>SUMIFS('Cost Breakdowns'!$E$3:$E$12,'Cost Breakdowns'!$A$3:$A$12,'SoBCaICbIC-urbanresidential'!$A5,'Cost Breakdowns'!$F$3:$F$12,'SoBCaICbIC-urbanresidential'!L$1)</f>
        <v>0</v>
      </c>
      <c r="M5">
        <f>SUMIFS('Cost Breakdowns'!$E$3:$E$12,'Cost Breakdowns'!$A$3:$A$12,'SoBCaICbIC-urbanresidential'!$A5,'Cost Breakdowns'!$F$3:$F$12,'SoBCaICbIC-urbanresidential'!M$1)</f>
        <v>0</v>
      </c>
      <c r="N5">
        <f>SUMIFS('Cost Breakdowns'!$E$3:$E$12,'Cost Breakdowns'!$A$3:$A$12,'SoBCaICbIC-urbanresidential'!$A5,'Cost Breakdowns'!$F$3:$F$12,'SoBCaICbIC-urbanresidential'!N$1)</f>
        <v>0</v>
      </c>
      <c r="O5">
        <f>SUMIFS('Cost Breakdowns'!$E$3:$E$12,'Cost Breakdowns'!$A$3:$A$12,'SoBCaICbIC-urbanresidential'!$A5,'Cost Breakdowns'!$F$3:$F$12,'SoBCaICbIC-urbanresidential'!O$1)</f>
        <v>0</v>
      </c>
      <c r="P5">
        <f>SUMIFS('Cost Breakdowns'!$E$3:$E$12,'Cost Breakdowns'!$A$3:$A$12,'SoBCaICbIC-urbanresidential'!$A5,'Cost Breakdowns'!$F$3:$F$12,'SoBCaICbIC-urbanresidential'!P$1)</f>
        <v>0</v>
      </c>
      <c r="Q5">
        <f>SUMIFS('Cost Breakdowns'!$E$3:$E$12,'Cost Breakdowns'!$A$3:$A$12,'SoBCaICbIC-urbanresidential'!$A5,'Cost Breakdowns'!$F$3:$F$12,'SoBCaICbIC-urbanresidential'!Q$1)</f>
        <v>0</v>
      </c>
      <c r="R5">
        <f>SUMIFS('Cost Breakdowns'!$E$3:$E$12,'Cost Breakdowns'!$A$3:$A$12,'SoBCaICbIC-urbanresidential'!$A5,'Cost Breakdowns'!$F$3:$F$12,'SoBCaICbIC-urbanresidential'!R$1)</f>
        <v>0</v>
      </c>
      <c r="S5">
        <f>SUMIFS('Cost Breakdowns'!$E$3:$E$12,'Cost Breakdowns'!$A$3:$A$12,'SoBCaICbIC-urbanresidential'!$A5,'Cost Breakdowns'!$F$3:$F$12,'SoBCaICbIC-urbanresidential'!S$1)</f>
        <v>0</v>
      </c>
      <c r="T5">
        <f>SUMIFS('Cost Breakdowns'!$E$3:$E$12,'Cost Breakdowns'!$A$3:$A$12,'SoBCaICbIC-urbanresidential'!$A5,'Cost Breakdowns'!$F$3:$F$12,'SoBCaICbIC-urbanresidential'!T$1)</f>
        <v>0</v>
      </c>
      <c r="U5">
        <f>SUMIFS('Cost Breakdowns'!$E$3:$E$12,'Cost Breakdowns'!$A$3:$A$12,'SoBCaICbIC-urbanresidential'!$A5,'Cost Breakdowns'!$F$3:$F$12,'SoBCaICbIC-urbanresidential'!U$1)</f>
        <v>0.40766894664785691</v>
      </c>
      <c r="V5">
        <f>SUMIFS('Cost Breakdowns'!$E$3:$E$12,'Cost Breakdowns'!$A$3:$A$12,'SoBCaICbIC-urbanresidential'!$A5,'Cost Breakdowns'!$F$3:$F$12,'SoBCaICbIC-urbanresidential'!V$1)</f>
        <v>0</v>
      </c>
      <c r="W5">
        <f>SUMIFS('Cost Breakdowns'!$E$3:$E$12,'Cost Breakdowns'!$A$3:$A$12,'SoBCaICbIC-urbanresidential'!$A5,'Cost Breakdowns'!$F$3:$F$12,'SoBCaICbIC-urbanresidential'!W$1)</f>
        <v>0</v>
      </c>
      <c r="X5">
        <f>SUMIFS('Cost Breakdowns'!$E$3:$E$12,'Cost Breakdowns'!$A$3:$A$12,'SoBCaICbIC-urbanresidential'!$A5,'Cost Breakdowns'!$F$3:$F$12,'SoBCaICbIC-urbanresidential'!X$1)</f>
        <v>0</v>
      </c>
      <c r="Y5">
        <f>SUMIFS('Cost Breakdowns'!$E$3:$E$12,'Cost Breakdowns'!$A$3:$A$12,'SoBCaICbIC-urbanresidential'!$A5,'Cost Breakdowns'!$F$3:$F$12,'SoBCaICbIC-urbanresidential'!Y$1)</f>
        <v>0</v>
      </c>
      <c r="Z5">
        <f>SUMIFS('Cost Breakdowns'!$E$3:$E$12,'Cost Breakdowns'!$A$3:$A$12,'SoBCaICbIC-urbanresidential'!$A5,'Cost Breakdowns'!$F$3:$F$12,'SoBCaICbIC-urbanresidential'!Z$1)</f>
        <v>0</v>
      </c>
      <c r="AA5">
        <f>SUMIFS('Cost Breakdowns'!$E$3:$E$12,'Cost Breakdowns'!$A$3:$A$12,'SoBCaICbIC-urbanresidential'!$A5,'Cost Breakdowns'!$F$3:$F$12,'SoBCaICbIC-urbanresidential'!AA$1)</f>
        <v>0</v>
      </c>
      <c r="AB5">
        <f>SUMIFS('Cost Breakdowns'!$E$3:$E$12,'Cost Breakdowns'!$A$3:$A$12,'SoBCaICbIC-urbanresidential'!$A5,'Cost Breakdowns'!$F$3:$F$12,'SoBCaICbIC-urbanresidential'!AB$1)</f>
        <v>0</v>
      </c>
      <c r="AC5">
        <f>SUMIFS('Cost Breakdowns'!$E$3:$E$12,'Cost Breakdowns'!$A$3:$A$12,'SoBCaICbIC-urbanresidential'!$A5,'Cost Breakdowns'!$F$3:$F$12,'SoBCaICbIC-urbanresidential'!AC$1)</f>
        <v>0.59233105335214309</v>
      </c>
      <c r="AD5">
        <f>SUMIFS('Cost Breakdowns'!$E$3:$E$12,'Cost Breakdowns'!$A$3:$A$12,'SoBCaICbIC-urbanresidential'!$A5,'Cost Breakdowns'!$F$3:$F$12,'SoBCaICbIC-urbanresidential'!AD$1)</f>
        <v>0</v>
      </c>
      <c r="AE5">
        <f>SUMIFS('Cost Breakdowns'!$E$3:$E$12,'Cost Breakdowns'!$A$3:$A$12,'SoBCaICbIC-urbanresidential'!$A5,'Cost Breakdowns'!$F$3:$F$12,'SoBCaICbIC-urbanresidential'!AE$1)</f>
        <v>0</v>
      </c>
      <c r="AF5">
        <f>SUMIFS('Cost Breakdowns'!$E$3:$E$12,'Cost Breakdowns'!$A$3:$A$12,'SoBCaICbIC-urbanresidential'!$A5,'Cost Breakdowns'!$F$3:$F$12,'SoBCaICbIC-urbanresidential'!AF$1)</f>
        <v>0</v>
      </c>
      <c r="AG5">
        <f>SUMIFS('Cost Breakdowns'!$E$3:$E$12,'Cost Breakdowns'!$A$3:$A$12,'SoBCaICbIC-urbanresidential'!$A5,'Cost Breakdowns'!$F$3:$F$12,'SoBCaICbIC-urbanresidential'!AG$1)</f>
        <v>0</v>
      </c>
      <c r="AH5">
        <f>SUMIFS('Cost Breakdowns'!$E$3:$E$12,'Cost Breakdowns'!$A$3:$A$12,'SoBCaICbIC-urbanresidential'!$A5,'Cost Breakdowns'!$F$3:$F$12,'SoBCaICbIC-urbanresidential'!AH$1)</f>
        <v>0</v>
      </c>
      <c r="AI5">
        <f>SUMIFS('Cost Breakdowns'!$E$3:$E$12,'Cost Breakdowns'!$A$3:$A$12,'SoBCaICbIC-urbanresidential'!$A5,'Cost Breakdowns'!$F$3:$F$12,'SoBCaICbIC-urbanresidential'!AI$1)</f>
        <v>0</v>
      </c>
      <c r="AJ5">
        <f>SUMIFS('Cost Breakdowns'!$E$3:$E$12,'Cost Breakdowns'!$A$3:$A$12,'SoBCaICbIC-urbanresidential'!$A5,'Cost Breakdowns'!$F$3:$F$12,'SoBCaICbIC-urbanresidential'!AJ$1)</f>
        <v>0</v>
      </c>
      <c r="AK5">
        <f>SUMIFS('Cost Breakdowns'!$E$3:$E$12,'Cost Breakdowns'!$A$3:$A$12,'SoBCaICbIC-urbanresidential'!$A5,'Cost Breakdowns'!$F$3:$F$12,'SoBCaICbIC-urbanresidential'!AK$1)</f>
        <v>0</v>
      </c>
      <c r="AL5">
        <f>SUMIFS('Cost Breakdowns'!$E$3:$E$12,'Cost Breakdowns'!$A$3:$A$12,'SoBCaICbIC-urbanresidential'!$A5,'Cost Breakdowns'!$F$3:$F$12,'SoBCaICbIC-urbanresidential'!AL$1)</f>
        <v>0</v>
      </c>
      <c r="AM5">
        <f>SUMIFS('Cost Breakdowns'!$E$3:$E$12,'Cost Breakdowns'!$A$3:$A$12,'SoBCaICbIC-urbanresidential'!$A5,'Cost Breakdowns'!$F$3:$F$12,'SoBCaICbIC-urbanresidential'!AM$1)</f>
        <v>0</v>
      </c>
      <c r="AN5">
        <f>SUMIFS('Cost Breakdowns'!$E$3:$E$12,'Cost Breakdowns'!$A$3:$A$12,'SoBCaICbIC-urbanresidential'!$A5,'Cost Breakdowns'!$F$3:$F$12,'SoBCaICbIC-urbanresidential'!AN$1)</f>
        <v>0</v>
      </c>
      <c r="AO5">
        <f>SUMIFS('Cost Breakdowns'!$E$3:$E$12,'Cost Breakdowns'!$A$3:$A$12,'SoBCaICbIC-urbanresidential'!$A5,'Cost Breakdowns'!$F$3:$F$12,'SoBCaICbIC-urbanresidential'!AO$1)</f>
        <v>0</v>
      </c>
      <c r="AP5">
        <f>SUMIFS('Cost Breakdowns'!$E$3:$E$12,'Cost Breakdowns'!$A$3:$A$12,'SoBCaICbIC-urbanresidential'!$A5,'Cost Breakdowns'!$F$3:$F$12,'SoBCaICbIC-urbanresidential'!AP$1)</f>
        <v>0</v>
      </c>
      <c r="AQ5">
        <f>SUMIFS('Cost Breakdowns'!$E$3:$E$12,'Cost Breakdowns'!$A$3:$A$12,'SoBCaICbIC-urbanresidential'!$A5,'Cost Breakdowns'!$F$3:$F$12,'SoBCaICbIC-urbanresidential'!AQ$1)</f>
        <v>0</v>
      </c>
    </row>
    <row r="6" spans="1:43" x14ac:dyDescent="0.75">
      <c r="A6" t="s">
        <v>390</v>
      </c>
      <c r="B6">
        <f>SUMIFS('Cost Breakdowns'!$E$3:$E$12,'Cost Breakdowns'!$A$3:$A$12,'SoBCaICbIC-urbanresidential'!$A6,'Cost Breakdowns'!$F$3:$F$12,'SoBCaICbIC-urbanresidential'!B$1)</f>
        <v>0</v>
      </c>
      <c r="C6">
        <f>SUMIFS('Cost Breakdowns'!$E$3:$E$12,'Cost Breakdowns'!$A$3:$A$12,'SoBCaICbIC-urbanresidential'!$A6,'Cost Breakdowns'!$F$3:$F$12,'SoBCaICbIC-urbanresidential'!C$1)</f>
        <v>0</v>
      </c>
      <c r="D6">
        <f>SUMIFS('Cost Breakdowns'!$E$3:$E$12,'Cost Breakdowns'!$A$3:$A$12,'SoBCaICbIC-urbanresidential'!$A6,'Cost Breakdowns'!$F$3:$F$12,'SoBCaICbIC-urbanresidential'!D$1)</f>
        <v>0</v>
      </c>
      <c r="E6">
        <f>SUMIFS('Cost Breakdowns'!$E$3:$E$12,'Cost Breakdowns'!$A$3:$A$12,'SoBCaICbIC-urbanresidential'!$A6,'Cost Breakdowns'!$F$3:$F$12,'SoBCaICbIC-urbanresidential'!E$1)</f>
        <v>0</v>
      </c>
      <c r="F6">
        <f>SUMIFS('Cost Breakdowns'!$E$3:$E$12,'Cost Breakdowns'!$A$3:$A$12,'SoBCaICbIC-urbanresidential'!$A6,'Cost Breakdowns'!$F$3:$F$12,'SoBCaICbIC-urbanresidential'!F$1)</f>
        <v>0</v>
      </c>
      <c r="G6">
        <f>SUMIFS('Cost Breakdowns'!$E$3:$E$12,'Cost Breakdowns'!$A$3:$A$12,'SoBCaICbIC-urbanresidential'!$A6,'Cost Breakdowns'!$F$3:$F$12,'SoBCaICbIC-urbanresidential'!G$1)</f>
        <v>0</v>
      </c>
      <c r="H6">
        <f>SUMIFS('Cost Breakdowns'!$E$3:$E$12,'Cost Breakdowns'!$A$3:$A$12,'SoBCaICbIC-urbanresidential'!$A6,'Cost Breakdowns'!$F$3:$F$12,'SoBCaICbIC-urbanresidential'!H$1)</f>
        <v>0</v>
      </c>
      <c r="I6">
        <f>SUMIFS('Cost Breakdowns'!$E$3:$E$12,'Cost Breakdowns'!$A$3:$A$12,'SoBCaICbIC-urbanresidential'!$A6,'Cost Breakdowns'!$F$3:$F$12,'SoBCaICbIC-urbanresidential'!I$1)</f>
        <v>0</v>
      </c>
      <c r="J6">
        <f>SUMIFS('Cost Breakdowns'!$E$3:$E$12,'Cost Breakdowns'!$A$3:$A$12,'SoBCaICbIC-urbanresidential'!$A6,'Cost Breakdowns'!$F$3:$F$12,'SoBCaICbIC-urbanresidential'!J$1)</f>
        <v>0</v>
      </c>
      <c r="K6">
        <f>SUMIFS('Cost Breakdowns'!$E$3:$E$12,'Cost Breakdowns'!$A$3:$A$12,'SoBCaICbIC-urbanresidential'!$A6,'Cost Breakdowns'!$F$3:$F$12,'SoBCaICbIC-urbanresidential'!K$1)</f>
        <v>0</v>
      </c>
      <c r="L6">
        <f>SUMIFS('Cost Breakdowns'!$E$3:$E$12,'Cost Breakdowns'!$A$3:$A$12,'SoBCaICbIC-urbanresidential'!$A6,'Cost Breakdowns'!$F$3:$F$12,'SoBCaICbIC-urbanresidential'!L$1)</f>
        <v>0</v>
      </c>
      <c r="M6">
        <f>SUMIFS('Cost Breakdowns'!$E$3:$E$12,'Cost Breakdowns'!$A$3:$A$12,'SoBCaICbIC-urbanresidential'!$A6,'Cost Breakdowns'!$F$3:$F$12,'SoBCaICbIC-urbanresidential'!M$1)</f>
        <v>0</v>
      </c>
      <c r="N6">
        <f>SUMIFS('Cost Breakdowns'!$E$3:$E$12,'Cost Breakdowns'!$A$3:$A$12,'SoBCaICbIC-urbanresidential'!$A6,'Cost Breakdowns'!$F$3:$F$12,'SoBCaICbIC-urbanresidential'!N$1)</f>
        <v>0</v>
      </c>
      <c r="O6">
        <f>SUMIFS('Cost Breakdowns'!$E$3:$E$12,'Cost Breakdowns'!$A$3:$A$12,'SoBCaICbIC-urbanresidential'!$A6,'Cost Breakdowns'!$F$3:$F$12,'SoBCaICbIC-urbanresidential'!O$1)</f>
        <v>0</v>
      </c>
      <c r="P6">
        <f>SUMIFS('Cost Breakdowns'!$E$3:$E$12,'Cost Breakdowns'!$A$3:$A$12,'SoBCaICbIC-urbanresidential'!$A6,'Cost Breakdowns'!$F$3:$F$12,'SoBCaICbIC-urbanresidential'!P$1)</f>
        <v>0</v>
      </c>
      <c r="Q6">
        <f>SUMIFS('Cost Breakdowns'!$E$3:$E$12,'Cost Breakdowns'!$A$3:$A$12,'SoBCaICbIC-urbanresidential'!$A6,'Cost Breakdowns'!$F$3:$F$12,'SoBCaICbIC-urbanresidential'!Q$1)</f>
        <v>0</v>
      </c>
      <c r="R6">
        <f>SUMIFS('Cost Breakdowns'!$E$3:$E$12,'Cost Breakdowns'!$A$3:$A$12,'SoBCaICbIC-urbanresidential'!$A6,'Cost Breakdowns'!$F$3:$F$12,'SoBCaICbIC-urbanresidential'!R$1)</f>
        <v>0</v>
      </c>
      <c r="S6">
        <f>SUMIFS('Cost Breakdowns'!$E$3:$E$12,'Cost Breakdowns'!$A$3:$A$12,'SoBCaICbIC-urbanresidential'!$A6,'Cost Breakdowns'!$F$3:$F$12,'SoBCaICbIC-urbanresidential'!S$1)</f>
        <v>0</v>
      </c>
      <c r="T6">
        <f>SUMIFS('Cost Breakdowns'!$E$3:$E$12,'Cost Breakdowns'!$A$3:$A$12,'SoBCaICbIC-urbanresidential'!$A6,'Cost Breakdowns'!$F$3:$F$12,'SoBCaICbIC-urbanresidential'!T$1)</f>
        <v>0</v>
      </c>
      <c r="U6">
        <f>SUMIFS('Cost Breakdowns'!$E$3:$E$12,'Cost Breakdowns'!$A$3:$A$12,'SoBCaICbIC-urbanresidential'!$A6,'Cost Breakdowns'!$F$3:$F$12,'SoBCaICbIC-urbanresidential'!U$1)</f>
        <v>0.75439886948727197</v>
      </c>
      <c r="V6">
        <f>SUMIFS('Cost Breakdowns'!$E$3:$E$12,'Cost Breakdowns'!$A$3:$A$12,'SoBCaICbIC-urbanresidential'!$A6,'Cost Breakdowns'!$F$3:$F$12,'SoBCaICbIC-urbanresidential'!V$1)</f>
        <v>0</v>
      </c>
      <c r="W6">
        <f>SUMIFS('Cost Breakdowns'!$E$3:$E$12,'Cost Breakdowns'!$A$3:$A$12,'SoBCaICbIC-urbanresidential'!$A6,'Cost Breakdowns'!$F$3:$F$12,'SoBCaICbIC-urbanresidential'!W$1)</f>
        <v>0</v>
      </c>
      <c r="X6">
        <f>SUMIFS('Cost Breakdowns'!$E$3:$E$12,'Cost Breakdowns'!$A$3:$A$12,'SoBCaICbIC-urbanresidential'!$A6,'Cost Breakdowns'!$F$3:$F$12,'SoBCaICbIC-urbanresidential'!X$1)</f>
        <v>0</v>
      </c>
      <c r="Y6">
        <f>SUMIFS('Cost Breakdowns'!$E$3:$E$12,'Cost Breakdowns'!$A$3:$A$12,'SoBCaICbIC-urbanresidential'!$A6,'Cost Breakdowns'!$F$3:$F$12,'SoBCaICbIC-urbanresidential'!Y$1)</f>
        <v>0</v>
      </c>
      <c r="Z6">
        <f>SUMIFS('Cost Breakdowns'!$E$3:$E$12,'Cost Breakdowns'!$A$3:$A$12,'SoBCaICbIC-urbanresidential'!$A6,'Cost Breakdowns'!$F$3:$F$12,'SoBCaICbIC-urbanresidential'!Z$1)</f>
        <v>0</v>
      </c>
      <c r="AA6">
        <f>SUMIFS('Cost Breakdowns'!$E$3:$E$12,'Cost Breakdowns'!$A$3:$A$12,'SoBCaICbIC-urbanresidential'!$A6,'Cost Breakdowns'!$F$3:$F$12,'SoBCaICbIC-urbanresidential'!AA$1)</f>
        <v>0</v>
      </c>
      <c r="AB6">
        <f>SUMIFS('Cost Breakdowns'!$E$3:$E$12,'Cost Breakdowns'!$A$3:$A$12,'SoBCaICbIC-urbanresidential'!$A6,'Cost Breakdowns'!$F$3:$F$12,'SoBCaICbIC-urbanresidential'!AB$1)</f>
        <v>0</v>
      </c>
      <c r="AC6">
        <f>SUMIFS('Cost Breakdowns'!$E$3:$E$12,'Cost Breakdowns'!$A$3:$A$12,'SoBCaICbIC-urbanresidential'!$A6,'Cost Breakdowns'!$F$3:$F$12,'SoBCaICbIC-urbanresidential'!AC$1)</f>
        <v>0.24560113051272803</v>
      </c>
      <c r="AD6">
        <f>SUMIFS('Cost Breakdowns'!$E$3:$E$12,'Cost Breakdowns'!$A$3:$A$12,'SoBCaICbIC-urbanresidential'!$A6,'Cost Breakdowns'!$F$3:$F$12,'SoBCaICbIC-urbanresidential'!AD$1)</f>
        <v>0</v>
      </c>
      <c r="AE6">
        <f>SUMIFS('Cost Breakdowns'!$E$3:$E$12,'Cost Breakdowns'!$A$3:$A$12,'SoBCaICbIC-urbanresidential'!$A6,'Cost Breakdowns'!$F$3:$F$12,'SoBCaICbIC-urbanresidential'!AE$1)</f>
        <v>0</v>
      </c>
      <c r="AF6">
        <f>SUMIFS('Cost Breakdowns'!$E$3:$E$12,'Cost Breakdowns'!$A$3:$A$12,'SoBCaICbIC-urbanresidential'!$A6,'Cost Breakdowns'!$F$3:$F$12,'SoBCaICbIC-urbanresidential'!AF$1)</f>
        <v>0</v>
      </c>
      <c r="AG6">
        <f>SUMIFS('Cost Breakdowns'!$E$3:$E$12,'Cost Breakdowns'!$A$3:$A$12,'SoBCaICbIC-urbanresidential'!$A6,'Cost Breakdowns'!$F$3:$F$12,'SoBCaICbIC-urbanresidential'!AG$1)</f>
        <v>0</v>
      </c>
      <c r="AH6">
        <f>SUMIFS('Cost Breakdowns'!$E$3:$E$12,'Cost Breakdowns'!$A$3:$A$12,'SoBCaICbIC-urbanresidential'!$A6,'Cost Breakdowns'!$F$3:$F$12,'SoBCaICbIC-urbanresidential'!AH$1)</f>
        <v>0</v>
      </c>
      <c r="AI6">
        <f>SUMIFS('Cost Breakdowns'!$E$3:$E$12,'Cost Breakdowns'!$A$3:$A$12,'SoBCaICbIC-urbanresidential'!$A6,'Cost Breakdowns'!$F$3:$F$12,'SoBCaICbIC-urbanresidential'!AI$1)</f>
        <v>0</v>
      </c>
      <c r="AJ6">
        <f>SUMIFS('Cost Breakdowns'!$E$3:$E$12,'Cost Breakdowns'!$A$3:$A$12,'SoBCaICbIC-urbanresidential'!$A6,'Cost Breakdowns'!$F$3:$F$12,'SoBCaICbIC-urbanresidential'!AJ$1)</f>
        <v>0</v>
      </c>
      <c r="AK6">
        <f>SUMIFS('Cost Breakdowns'!$E$3:$E$12,'Cost Breakdowns'!$A$3:$A$12,'SoBCaICbIC-urbanresidential'!$A6,'Cost Breakdowns'!$F$3:$F$12,'SoBCaICbIC-urbanresidential'!AK$1)</f>
        <v>0</v>
      </c>
      <c r="AL6">
        <f>SUMIFS('Cost Breakdowns'!$E$3:$E$12,'Cost Breakdowns'!$A$3:$A$12,'SoBCaICbIC-urbanresidential'!$A6,'Cost Breakdowns'!$F$3:$F$12,'SoBCaICbIC-urbanresidential'!AL$1)</f>
        <v>0</v>
      </c>
      <c r="AM6">
        <f>SUMIFS('Cost Breakdowns'!$E$3:$E$12,'Cost Breakdowns'!$A$3:$A$12,'SoBCaICbIC-urbanresidential'!$A6,'Cost Breakdowns'!$F$3:$F$12,'SoBCaICbIC-urbanresidential'!AM$1)</f>
        <v>0</v>
      </c>
      <c r="AN6">
        <f>SUMIFS('Cost Breakdowns'!$E$3:$E$12,'Cost Breakdowns'!$A$3:$A$12,'SoBCaICbIC-urbanresidential'!$A6,'Cost Breakdowns'!$F$3:$F$12,'SoBCaICbIC-urbanresidential'!AN$1)</f>
        <v>0</v>
      </c>
      <c r="AO6">
        <f>SUMIFS('Cost Breakdowns'!$E$3:$E$12,'Cost Breakdowns'!$A$3:$A$12,'SoBCaICbIC-urbanresidential'!$A6,'Cost Breakdowns'!$F$3:$F$12,'SoBCaICbIC-urbanresidential'!AO$1)</f>
        <v>0</v>
      </c>
      <c r="AP6">
        <f>SUMIFS('Cost Breakdowns'!$E$3:$E$12,'Cost Breakdowns'!$A$3:$A$12,'SoBCaICbIC-urbanresidential'!$A6,'Cost Breakdowns'!$F$3:$F$12,'SoBCaICbIC-urbanresidential'!AP$1)</f>
        <v>0</v>
      </c>
      <c r="AQ6">
        <f>SUMIFS('Cost Breakdowns'!$E$3:$E$12,'Cost Breakdowns'!$A$3:$A$12,'SoBCaICbIC-urbanresidential'!$A6,'Cost Breakdowns'!$F$3:$F$12,'SoBCaICbIC-urbanresidential'!AQ$1)</f>
        <v>0</v>
      </c>
    </row>
    <row r="7" spans="1:43" x14ac:dyDescent="0.75">
      <c r="A7" t="s">
        <v>72</v>
      </c>
      <c r="B7">
        <f>SUMIFS('Cost Breakdowns'!$E$3:$E$12,'Cost Breakdowns'!$A$3:$A$12,'SoBCaICbIC-urbanresidential'!$A7,'Cost Breakdowns'!$F$3:$F$12,'SoBCaICbIC-urbanresidential'!B$1)</f>
        <v>0</v>
      </c>
      <c r="C7">
        <f>SUMIFS('Cost Breakdowns'!$E$3:$E$12,'Cost Breakdowns'!$A$3:$A$12,'SoBCaICbIC-urbanresidential'!$A7,'Cost Breakdowns'!$F$3:$F$12,'SoBCaICbIC-urbanresidential'!C$1)</f>
        <v>0</v>
      </c>
      <c r="D7">
        <f>SUMIFS('Cost Breakdowns'!$E$3:$E$12,'Cost Breakdowns'!$A$3:$A$12,'SoBCaICbIC-urbanresidential'!$A7,'Cost Breakdowns'!$F$3:$F$12,'SoBCaICbIC-urbanresidential'!D$1)</f>
        <v>0</v>
      </c>
      <c r="E7">
        <f>SUMIFS('Cost Breakdowns'!$E$3:$E$12,'Cost Breakdowns'!$A$3:$A$12,'SoBCaICbIC-urbanresidential'!$A7,'Cost Breakdowns'!$F$3:$F$12,'SoBCaICbIC-urbanresidential'!E$1)</f>
        <v>0</v>
      </c>
      <c r="F7">
        <f>SUMIFS('Cost Breakdowns'!$E$3:$E$12,'Cost Breakdowns'!$A$3:$A$12,'SoBCaICbIC-urbanresidential'!$A7,'Cost Breakdowns'!$F$3:$F$12,'SoBCaICbIC-urbanresidential'!F$1)</f>
        <v>0</v>
      </c>
      <c r="G7">
        <f>SUMIFS('Cost Breakdowns'!$E$3:$E$12,'Cost Breakdowns'!$A$3:$A$12,'SoBCaICbIC-urbanresidential'!$A7,'Cost Breakdowns'!$F$3:$F$12,'SoBCaICbIC-urbanresidential'!G$1)</f>
        <v>0</v>
      </c>
      <c r="H7">
        <f>SUMIFS('Cost Breakdowns'!$E$3:$E$12,'Cost Breakdowns'!$A$3:$A$12,'SoBCaICbIC-urbanresidential'!$A7,'Cost Breakdowns'!$F$3:$F$12,'SoBCaICbIC-urbanresidential'!H$1)</f>
        <v>0</v>
      </c>
      <c r="I7">
        <f>SUMIFS('Cost Breakdowns'!$E$3:$E$12,'Cost Breakdowns'!$A$3:$A$12,'SoBCaICbIC-urbanresidential'!$A7,'Cost Breakdowns'!$F$3:$F$12,'SoBCaICbIC-urbanresidential'!I$1)</f>
        <v>0</v>
      </c>
      <c r="J7">
        <f>SUMIFS('Cost Breakdowns'!$E$3:$E$12,'Cost Breakdowns'!$A$3:$A$12,'SoBCaICbIC-urbanresidential'!$A7,'Cost Breakdowns'!$F$3:$F$12,'SoBCaICbIC-urbanresidential'!J$1)</f>
        <v>0</v>
      </c>
      <c r="K7">
        <f>SUMIFS('Cost Breakdowns'!$E$3:$E$12,'Cost Breakdowns'!$A$3:$A$12,'SoBCaICbIC-urbanresidential'!$A7,'Cost Breakdowns'!$F$3:$F$12,'SoBCaICbIC-urbanresidential'!K$1)</f>
        <v>0</v>
      </c>
      <c r="L7">
        <f>SUMIFS('Cost Breakdowns'!$E$3:$E$12,'Cost Breakdowns'!$A$3:$A$12,'SoBCaICbIC-urbanresidential'!$A7,'Cost Breakdowns'!$F$3:$F$12,'SoBCaICbIC-urbanresidential'!L$1)</f>
        <v>0</v>
      </c>
      <c r="M7">
        <f>SUMIFS('Cost Breakdowns'!$E$3:$E$12,'Cost Breakdowns'!$A$3:$A$12,'SoBCaICbIC-urbanresidential'!$A7,'Cost Breakdowns'!$F$3:$F$12,'SoBCaICbIC-urbanresidential'!M$1)</f>
        <v>0</v>
      </c>
      <c r="N7">
        <f>SUMIFS('Cost Breakdowns'!$E$3:$E$12,'Cost Breakdowns'!$A$3:$A$12,'SoBCaICbIC-urbanresidential'!$A7,'Cost Breakdowns'!$F$3:$F$12,'SoBCaICbIC-urbanresidential'!N$1)</f>
        <v>0</v>
      </c>
      <c r="O7">
        <f>SUMIFS('Cost Breakdowns'!$E$3:$E$12,'Cost Breakdowns'!$A$3:$A$12,'SoBCaICbIC-urbanresidential'!$A7,'Cost Breakdowns'!$F$3:$F$12,'SoBCaICbIC-urbanresidential'!O$1)</f>
        <v>0</v>
      </c>
      <c r="P7">
        <f>SUMIFS('Cost Breakdowns'!$E$3:$E$12,'Cost Breakdowns'!$A$3:$A$12,'SoBCaICbIC-urbanresidential'!$A7,'Cost Breakdowns'!$F$3:$F$12,'SoBCaICbIC-urbanresidential'!P$1)</f>
        <v>0</v>
      </c>
      <c r="Q7">
        <f>SUMIFS('Cost Breakdowns'!$E$3:$E$12,'Cost Breakdowns'!$A$3:$A$12,'SoBCaICbIC-urbanresidential'!$A7,'Cost Breakdowns'!$F$3:$F$12,'SoBCaICbIC-urbanresidential'!Q$1)</f>
        <v>0</v>
      </c>
      <c r="R7">
        <f>SUMIFS('Cost Breakdowns'!$E$3:$E$12,'Cost Breakdowns'!$A$3:$A$12,'SoBCaICbIC-urbanresidential'!$A7,'Cost Breakdowns'!$F$3:$F$12,'SoBCaICbIC-urbanresidential'!R$1)</f>
        <v>0</v>
      </c>
      <c r="S7">
        <f>SUMIFS('Cost Breakdowns'!$E$3:$E$12,'Cost Breakdowns'!$A$3:$A$12,'SoBCaICbIC-urbanresidential'!$A7,'Cost Breakdowns'!$F$3:$F$12,'SoBCaICbIC-urbanresidential'!S$1)</f>
        <v>0</v>
      </c>
      <c r="T7">
        <f>SUMIFS('Cost Breakdowns'!$E$3:$E$12,'Cost Breakdowns'!$A$3:$A$12,'SoBCaICbIC-urbanresidential'!$A7,'Cost Breakdowns'!$F$3:$F$12,'SoBCaICbIC-urbanresidential'!T$1)</f>
        <v>0</v>
      </c>
      <c r="U7">
        <f>SUMIFS('Cost Breakdowns'!$E$3:$E$12,'Cost Breakdowns'!$A$3:$A$12,'SoBCaICbIC-urbanresidential'!$A7,'Cost Breakdowns'!$F$3:$F$12,'SoBCaICbIC-urbanresidential'!U$1)</f>
        <v>0.75439886948727197</v>
      </c>
      <c r="V7">
        <f>SUMIFS('Cost Breakdowns'!$E$3:$E$12,'Cost Breakdowns'!$A$3:$A$12,'SoBCaICbIC-urbanresidential'!$A7,'Cost Breakdowns'!$F$3:$F$12,'SoBCaICbIC-urbanresidential'!V$1)</f>
        <v>0</v>
      </c>
      <c r="W7">
        <f>SUMIFS('Cost Breakdowns'!$E$3:$E$12,'Cost Breakdowns'!$A$3:$A$12,'SoBCaICbIC-urbanresidential'!$A7,'Cost Breakdowns'!$F$3:$F$12,'SoBCaICbIC-urbanresidential'!W$1)</f>
        <v>0</v>
      </c>
      <c r="X7">
        <f>SUMIFS('Cost Breakdowns'!$E$3:$E$12,'Cost Breakdowns'!$A$3:$A$12,'SoBCaICbIC-urbanresidential'!$A7,'Cost Breakdowns'!$F$3:$F$12,'SoBCaICbIC-urbanresidential'!X$1)</f>
        <v>0</v>
      </c>
      <c r="Y7">
        <f>SUMIFS('Cost Breakdowns'!$E$3:$E$12,'Cost Breakdowns'!$A$3:$A$12,'SoBCaICbIC-urbanresidential'!$A7,'Cost Breakdowns'!$F$3:$F$12,'SoBCaICbIC-urbanresidential'!Y$1)</f>
        <v>0</v>
      </c>
      <c r="Z7">
        <f>SUMIFS('Cost Breakdowns'!$E$3:$E$12,'Cost Breakdowns'!$A$3:$A$12,'SoBCaICbIC-urbanresidential'!$A7,'Cost Breakdowns'!$F$3:$F$12,'SoBCaICbIC-urbanresidential'!Z$1)</f>
        <v>0</v>
      </c>
      <c r="AA7">
        <f>SUMIFS('Cost Breakdowns'!$E$3:$E$12,'Cost Breakdowns'!$A$3:$A$12,'SoBCaICbIC-urbanresidential'!$A7,'Cost Breakdowns'!$F$3:$F$12,'SoBCaICbIC-urbanresidential'!AA$1)</f>
        <v>0</v>
      </c>
      <c r="AB7">
        <f>SUMIFS('Cost Breakdowns'!$E$3:$E$12,'Cost Breakdowns'!$A$3:$A$12,'SoBCaICbIC-urbanresidential'!$A7,'Cost Breakdowns'!$F$3:$F$12,'SoBCaICbIC-urbanresidential'!AB$1)</f>
        <v>0</v>
      </c>
      <c r="AC7">
        <f>SUMIFS('Cost Breakdowns'!$E$3:$E$12,'Cost Breakdowns'!$A$3:$A$12,'SoBCaICbIC-urbanresidential'!$A7,'Cost Breakdowns'!$F$3:$F$12,'SoBCaICbIC-urbanresidential'!AC$1)</f>
        <v>0.24560113051272803</v>
      </c>
      <c r="AD7">
        <f>SUMIFS('Cost Breakdowns'!$E$3:$E$12,'Cost Breakdowns'!$A$3:$A$12,'SoBCaICbIC-urbanresidential'!$A7,'Cost Breakdowns'!$F$3:$F$12,'SoBCaICbIC-urbanresidential'!AD$1)</f>
        <v>0</v>
      </c>
      <c r="AE7">
        <f>SUMIFS('Cost Breakdowns'!$E$3:$E$12,'Cost Breakdowns'!$A$3:$A$12,'SoBCaICbIC-urbanresidential'!$A7,'Cost Breakdowns'!$F$3:$F$12,'SoBCaICbIC-urbanresidential'!AE$1)</f>
        <v>0</v>
      </c>
      <c r="AF7">
        <f>SUMIFS('Cost Breakdowns'!$E$3:$E$12,'Cost Breakdowns'!$A$3:$A$12,'SoBCaICbIC-urbanresidential'!$A7,'Cost Breakdowns'!$F$3:$F$12,'SoBCaICbIC-urbanresidential'!AF$1)</f>
        <v>0</v>
      </c>
      <c r="AG7">
        <f>SUMIFS('Cost Breakdowns'!$E$3:$E$12,'Cost Breakdowns'!$A$3:$A$12,'SoBCaICbIC-urbanresidential'!$A7,'Cost Breakdowns'!$F$3:$F$12,'SoBCaICbIC-urbanresidential'!AG$1)</f>
        <v>0</v>
      </c>
      <c r="AH7">
        <f>SUMIFS('Cost Breakdowns'!$E$3:$E$12,'Cost Breakdowns'!$A$3:$A$12,'SoBCaICbIC-urbanresidential'!$A7,'Cost Breakdowns'!$F$3:$F$12,'SoBCaICbIC-urbanresidential'!AH$1)</f>
        <v>0</v>
      </c>
      <c r="AI7">
        <f>SUMIFS('Cost Breakdowns'!$E$3:$E$12,'Cost Breakdowns'!$A$3:$A$12,'SoBCaICbIC-urbanresidential'!$A7,'Cost Breakdowns'!$F$3:$F$12,'SoBCaICbIC-urbanresidential'!AI$1)</f>
        <v>0</v>
      </c>
      <c r="AJ7">
        <f>SUMIFS('Cost Breakdowns'!$E$3:$E$12,'Cost Breakdowns'!$A$3:$A$12,'SoBCaICbIC-urbanresidential'!$A7,'Cost Breakdowns'!$F$3:$F$12,'SoBCaICbIC-urbanresidential'!AJ$1)</f>
        <v>0</v>
      </c>
      <c r="AK7">
        <f>SUMIFS('Cost Breakdowns'!$E$3:$E$12,'Cost Breakdowns'!$A$3:$A$12,'SoBCaICbIC-urbanresidential'!$A7,'Cost Breakdowns'!$F$3:$F$12,'SoBCaICbIC-urbanresidential'!AK$1)</f>
        <v>0</v>
      </c>
      <c r="AL7">
        <f>SUMIFS('Cost Breakdowns'!$E$3:$E$12,'Cost Breakdowns'!$A$3:$A$12,'SoBCaICbIC-urbanresidential'!$A7,'Cost Breakdowns'!$F$3:$F$12,'SoBCaICbIC-urbanresidential'!AL$1)</f>
        <v>0</v>
      </c>
      <c r="AM7">
        <f>SUMIFS('Cost Breakdowns'!$E$3:$E$12,'Cost Breakdowns'!$A$3:$A$12,'SoBCaICbIC-urbanresidential'!$A7,'Cost Breakdowns'!$F$3:$F$12,'SoBCaICbIC-urbanresidential'!AM$1)</f>
        <v>0</v>
      </c>
      <c r="AN7">
        <f>SUMIFS('Cost Breakdowns'!$E$3:$E$12,'Cost Breakdowns'!$A$3:$A$12,'SoBCaICbIC-urbanresidential'!$A7,'Cost Breakdowns'!$F$3:$F$12,'SoBCaICbIC-urbanresidential'!AN$1)</f>
        <v>0</v>
      </c>
      <c r="AO7">
        <f>SUMIFS('Cost Breakdowns'!$E$3:$E$12,'Cost Breakdowns'!$A$3:$A$12,'SoBCaICbIC-urbanresidential'!$A7,'Cost Breakdowns'!$F$3:$F$12,'SoBCaICbIC-urbanresidential'!AO$1)</f>
        <v>0</v>
      </c>
      <c r="AP7">
        <f>SUMIFS('Cost Breakdowns'!$E$3:$E$12,'Cost Breakdowns'!$A$3:$A$12,'SoBCaICbIC-urbanresidential'!$A7,'Cost Breakdowns'!$F$3:$F$12,'SoBCaICbIC-urbanresidential'!AP$1)</f>
        <v>0</v>
      </c>
      <c r="AQ7">
        <f>SUMIFS('Cost Breakdowns'!$E$3:$E$12,'Cost Breakdowns'!$A$3:$A$12,'SoBCaICbIC-urbanresidential'!$A7,'Cost Breakdowns'!$F$3:$F$12,'SoBCaICbIC-urbanresidential'!AQ$1)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N202"/>
  <sheetViews>
    <sheetView workbookViewId="0"/>
  </sheetViews>
  <sheetFormatPr defaultRowHeight="14.75" x14ac:dyDescent="0.75"/>
  <cols>
    <col min="2" max="2" width="28.7265625" customWidth="1"/>
    <col min="3" max="11" width="7.7265625" style="9" customWidth="1"/>
  </cols>
  <sheetData>
    <row r="1" spans="2:11" ht="29.5" x14ac:dyDescent="0.75">
      <c r="B1" s="8" t="s">
        <v>152</v>
      </c>
    </row>
    <row r="2" spans="2:11" ht="26.25" customHeight="1" x14ac:dyDescent="0.8">
      <c r="B2" s="109" t="s">
        <v>153</v>
      </c>
      <c r="C2" s="110"/>
      <c r="D2" s="110"/>
      <c r="E2" s="110"/>
      <c r="F2" s="110"/>
      <c r="G2" s="110"/>
      <c r="H2" s="110"/>
      <c r="I2" s="110"/>
      <c r="J2" s="110"/>
      <c r="K2" s="110"/>
    </row>
    <row r="3" spans="2:11" ht="24" customHeight="1" thickBot="1" x14ac:dyDescent="0.95">
      <c r="B3" s="10"/>
      <c r="C3" s="111" t="s">
        <v>154</v>
      </c>
      <c r="D3" s="112"/>
      <c r="E3" s="112"/>
      <c r="F3" s="112"/>
      <c r="G3" s="112"/>
      <c r="H3" s="113"/>
      <c r="I3" s="113"/>
      <c r="J3" s="113"/>
      <c r="K3" s="113"/>
    </row>
    <row r="4" spans="2:11" ht="27" customHeight="1" thickTop="1" x14ac:dyDescent="0.8">
      <c r="B4" s="10"/>
      <c r="C4" s="114" t="s">
        <v>155</v>
      </c>
      <c r="D4" s="116" t="s">
        <v>156</v>
      </c>
      <c r="E4" s="118" t="s">
        <v>157</v>
      </c>
      <c r="F4" s="119"/>
      <c r="G4" s="119"/>
      <c r="H4" s="119"/>
      <c r="I4" s="119"/>
      <c r="J4" s="119"/>
      <c r="K4" s="119"/>
    </row>
    <row r="5" spans="2:11" ht="63.75" customHeight="1" thickBot="1" x14ac:dyDescent="0.9">
      <c r="B5" s="11"/>
      <c r="C5" s="115" t="s">
        <v>155</v>
      </c>
      <c r="D5" s="117"/>
      <c r="E5" s="12" t="s">
        <v>158</v>
      </c>
      <c r="F5" s="12" t="s">
        <v>159</v>
      </c>
      <c r="G5" s="12" t="s">
        <v>160</v>
      </c>
      <c r="H5" s="12" t="s">
        <v>161</v>
      </c>
      <c r="I5" s="12" t="s">
        <v>162</v>
      </c>
      <c r="J5" s="12" t="s">
        <v>163</v>
      </c>
      <c r="K5" s="12" t="s">
        <v>72</v>
      </c>
    </row>
    <row r="6" spans="2:11" ht="24" customHeight="1" thickTop="1" x14ac:dyDescent="0.75">
      <c r="B6" s="13" t="s">
        <v>164</v>
      </c>
      <c r="C6" s="14">
        <v>87093</v>
      </c>
      <c r="D6" s="15">
        <v>80078</v>
      </c>
      <c r="E6" s="15">
        <v>11846</v>
      </c>
      <c r="F6" s="15">
        <v>8654</v>
      </c>
      <c r="G6" s="15">
        <v>20766</v>
      </c>
      <c r="H6" s="15">
        <v>5925</v>
      </c>
      <c r="I6" s="15">
        <v>22443</v>
      </c>
      <c r="J6" s="15">
        <v>49188</v>
      </c>
      <c r="K6" s="15">
        <v>1574</v>
      </c>
    </row>
    <row r="7" spans="2:11" ht="24" customHeight="1" x14ac:dyDescent="0.75">
      <c r="B7" s="16" t="s">
        <v>165</v>
      </c>
      <c r="C7" s="17" t="s">
        <v>166</v>
      </c>
      <c r="D7" s="17" t="s">
        <v>166</v>
      </c>
      <c r="E7" s="17" t="s">
        <v>166</v>
      </c>
      <c r="F7" s="17" t="s">
        <v>166</v>
      </c>
      <c r="G7" s="17" t="s">
        <v>166</v>
      </c>
      <c r="H7" s="17" t="s">
        <v>166</v>
      </c>
      <c r="I7" s="17" t="s">
        <v>166</v>
      </c>
      <c r="J7" s="17" t="s">
        <v>166</v>
      </c>
      <c r="K7" s="17" t="s">
        <v>166</v>
      </c>
    </row>
    <row r="8" spans="2:11" ht="15" customHeight="1" x14ac:dyDescent="0.75">
      <c r="B8" s="18" t="s">
        <v>167</v>
      </c>
      <c r="C8" s="15">
        <v>8041</v>
      </c>
      <c r="D8" s="15">
        <v>6699</v>
      </c>
      <c r="E8" s="15">
        <v>868</v>
      </c>
      <c r="F8" s="15">
        <v>1091</v>
      </c>
      <c r="G8" s="15">
        <v>1747</v>
      </c>
      <c r="H8" s="15" t="s">
        <v>168</v>
      </c>
      <c r="I8" s="15">
        <v>400</v>
      </c>
      <c r="J8" s="15">
        <v>3809</v>
      </c>
      <c r="K8" s="15" t="s">
        <v>168</v>
      </c>
    </row>
    <row r="9" spans="2:11" ht="15" customHeight="1" x14ac:dyDescent="0.75">
      <c r="B9" s="18" t="s">
        <v>169</v>
      </c>
      <c r="C9" s="15">
        <v>8900</v>
      </c>
      <c r="D9" s="15">
        <v>7590</v>
      </c>
      <c r="E9" s="15">
        <v>1038</v>
      </c>
      <c r="F9" s="15">
        <v>1416</v>
      </c>
      <c r="G9" s="15">
        <v>2025</v>
      </c>
      <c r="H9" s="15" t="s">
        <v>168</v>
      </c>
      <c r="I9" s="15">
        <v>734</v>
      </c>
      <c r="J9" s="15">
        <v>4622</v>
      </c>
      <c r="K9" s="15" t="s">
        <v>168</v>
      </c>
    </row>
    <row r="10" spans="2:11" ht="15" customHeight="1" x14ac:dyDescent="0.75">
      <c r="B10" s="18" t="s">
        <v>170</v>
      </c>
      <c r="C10" s="15">
        <v>14105</v>
      </c>
      <c r="D10" s="15">
        <v>12744</v>
      </c>
      <c r="E10" s="15">
        <v>1477</v>
      </c>
      <c r="F10" s="15">
        <v>2233</v>
      </c>
      <c r="G10" s="15">
        <v>3115</v>
      </c>
      <c r="H10" s="15" t="s">
        <v>168</v>
      </c>
      <c r="I10" s="15">
        <v>2008</v>
      </c>
      <c r="J10" s="15">
        <v>8246</v>
      </c>
      <c r="K10" s="15" t="s">
        <v>168</v>
      </c>
    </row>
    <row r="11" spans="2:11" ht="15" customHeight="1" x14ac:dyDescent="0.75">
      <c r="B11" s="18" t="s">
        <v>171</v>
      </c>
      <c r="C11" s="15">
        <v>11917</v>
      </c>
      <c r="D11" s="15">
        <v>10911</v>
      </c>
      <c r="E11" s="15">
        <v>1642</v>
      </c>
      <c r="F11" s="15">
        <v>1439</v>
      </c>
      <c r="G11" s="15">
        <v>3021</v>
      </c>
      <c r="H11" s="15">
        <v>213</v>
      </c>
      <c r="I11" s="15">
        <v>2707</v>
      </c>
      <c r="J11" s="15">
        <v>7237</v>
      </c>
      <c r="K11" s="15" t="s">
        <v>168</v>
      </c>
    </row>
    <row r="12" spans="2:11" ht="15" customHeight="1" x14ac:dyDescent="0.75">
      <c r="B12" s="18" t="s">
        <v>172</v>
      </c>
      <c r="C12" s="15">
        <v>13918</v>
      </c>
      <c r="D12" s="15">
        <v>13114</v>
      </c>
      <c r="E12" s="15">
        <v>2664</v>
      </c>
      <c r="F12" s="15">
        <v>1042</v>
      </c>
      <c r="G12" s="15">
        <v>2763</v>
      </c>
      <c r="H12" s="15">
        <v>704</v>
      </c>
      <c r="I12" s="15">
        <v>4938</v>
      </c>
      <c r="J12" s="15">
        <v>8489</v>
      </c>
      <c r="K12" s="15">
        <v>541</v>
      </c>
    </row>
    <row r="13" spans="2:11" ht="15" customHeight="1" x14ac:dyDescent="0.75">
      <c r="B13" s="18" t="s">
        <v>173</v>
      </c>
      <c r="C13" s="15">
        <v>12415</v>
      </c>
      <c r="D13" s="15">
        <v>11941</v>
      </c>
      <c r="E13" s="15">
        <v>1549</v>
      </c>
      <c r="F13" s="15">
        <v>683</v>
      </c>
      <c r="G13" s="15">
        <v>2915</v>
      </c>
      <c r="H13" s="15">
        <v>1313</v>
      </c>
      <c r="I13" s="15">
        <v>4258</v>
      </c>
      <c r="J13" s="15">
        <v>7569</v>
      </c>
      <c r="K13" s="15" t="s">
        <v>168</v>
      </c>
    </row>
    <row r="14" spans="2:11" ht="15" customHeight="1" x14ac:dyDescent="0.75">
      <c r="B14" s="18" t="s">
        <v>174</v>
      </c>
      <c r="C14" s="15">
        <v>10724</v>
      </c>
      <c r="D14" s="15">
        <v>10348</v>
      </c>
      <c r="E14" s="15">
        <v>1527</v>
      </c>
      <c r="F14" s="15">
        <v>466</v>
      </c>
      <c r="G14" s="15">
        <v>2970</v>
      </c>
      <c r="H14" s="15">
        <v>1553</v>
      </c>
      <c r="I14" s="15">
        <v>4970</v>
      </c>
      <c r="J14" s="15">
        <v>5991</v>
      </c>
      <c r="K14" s="15" t="s">
        <v>168</v>
      </c>
    </row>
    <row r="15" spans="2:11" ht="15" customHeight="1" x14ac:dyDescent="0.75">
      <c r="B15" s="18" t="s">
        <v>175</v>
      </c>
      <c r="C15" s="15">
        <v>7074</v>
      </c>
      <c r="D15" s="15">
        <v>6730</v>
      </c>
      <c r="E15" s="15">
        <v>1080</v>
      </c>
      <c r="F15" s="15">
        <v>284</v>
      </c>
      <c r="G15" s="15">
        <v>2211</v>
      </c>
      <c r="H15" s="15">
        <v>1974</v>
      </c>
      <c r="I15" s="15">
        <v>2430</v>
      </c>
      <c r="J15" s="15">
        <v>3225</v>
      </c>
      <c r="K15" s="15" t="s">
        <v>168</v>
      </c>
    </row>
    <row r="16" spans="2:11" ht="24" customHeight="1" x14ac:dyDescent="0.75">
      <c r="B16" s="16" t="s">
        <v>176</v>
      </c>
      <c r="C16" s="16" t="s">
        <v>166</v>
      </c>
      <c r="D16" s="16" t="s">
        <v>166</v>
      </c>
      <c r="E16" s="16" t="s">
        <v>166</v>
      </c>
      <c r="F16" s="16" t="s">
        <v>166</v>
      </c>
      <c r="G16" s="16" t="s">
        <v>166</v>
      </c>
      <c r="H16" s="16" t="s">
        <v>166</v>
      </c>
      <c r="I16" s="16" t="s">
        <v>166</v>
      </c>
      <c r="J16" s="16" t="s">
        <v>166</v>
      </c>
      <c r="K16" s="16" t="s">
        <v>166</v>
      </c>
    </row>
    <row r="17" spans="2:14" x14ac:dyDescent="0.75">
      <c r="B17" s="18" t="s">
        <v>177</v>
      </c>
      <c r="C17" s="15">
        <v>12239</v>
      </c>
      <c r="D17" s="15">
        <v>12099</v>
      </c>
      <c r="E17" s="15">
        <v>2209</v>
      </c>
      <c r="F17" s="15">
        <v>564</v>
      </c>
      <c r="G17" s="15">
        <v>1750</v>
      </c>
      <c r="H17" s="15">
        <v>1155</v>
      </c>
      <c r="I17" s="15">
        <v>6637</v>
      </c>
      <c r="J17" s="15">
        <v>6107</v>
      </c>
      <c r="K17" s="15" t="s">
        <v>168</v>
      </c>
    </row>
    <row r="18" spans="2:14" x14ac:dyDescent="0.75">
      <c r="B18" s="18" t="s">
        <v>178</v>
      </c>
      <c r="C18" s="15">
        <v>1252</v>
      </c>
      <c r="D18" s="15">
        <v>1196</v>
      </c>
      <c r="E18" s="15" t="s">
        <v>168</v>
      </c>
      <c r="F18" s="15" t="s">
        <v>168</v>
      </c>
      <c r="G18" s="15">
        <v>336</v>
      </c>
      <c r="H18" s="15" t="s">
        <v>179</v>
      </c>
      <c r="I18" s="15" t="s">
        <v>168</v>
      </c>
      <c r="J18" s="15">
        <v>944</v>
      </c>
      <c r="K18" s="15" t="s">
        <v>168</v>
      </c>
    </row>
    <row r="19" spans="2:14" x14ac:dyDescent="0.75">
      <c r="B19" s="18" t="s">
        <v>180</v>
      </c>
      <c r="C19" s="15">
        <v>1819</v>
      </c>
      <c r="D19" s="15">
        <v>1762</v>
      </c>
      <c r="E19" s="15">
        <v>146</v>
      </c>
      <c r="F19" s="15">
        <v>266</v>
      </c>
      <c r="G19" s="15">
        <v>256</v>
      </c>
      <c r="H19" s="15" t="s">
        <v>168</v>
      </c>
      <c r="I19" s="15">
        <v>145</v>
      </c>
      <c r="J19" s="15">
        <v>1296</v>
      </c>
      <c r="K19" s="15" t="s">
        <v>168</v>
      </c>
    </row>
    <row r="20" spans="2:14" x14ac:dyDescent="0.75">
      <c r="B20" s="18" t="s">
        <v>181</v>
      </c>
      <c r="C20" s="15">
        <v>4155</v>
      </c>
      <c r="D20" s="15">
        <v>4109</v>
      </c>
      <c r="E20" s="15">
        <v>739</v>
      </c>
      <c r="F20" s="15">
        <v>258</v>
      </c>
      <c r="G20" s="15">
        <v>967</v>
      </c>
      <c r="H20" s="15">
        <v>671</v>
      </c>
      <c r="I20" s="15">
        <v>2285</v>
      </c>
      <c r="J20" s="15">
        <v>2085</v>
      </c>
      <c r="K20" s="15" t="s">
        <v>168</v>
      </c>
    </row>
    <row r="21" spans="2:14" x14ac:dyDescent="0.75">
      <c r="B21" s="19" t="s">
        <v>182</v>
      </c>
      <c r="C21" s="15">
        <v>2374</v>
      </c>
      <c r="D21" s="15">
        <v>2354</v>
      </c>
      <c r="E21" s="15">
        <v>506</v>
      </c>
      <c r="F21" s="15">
        <v>124</v>
      </c>
      <c r="G21" s="15">
        <v>501</v>
      </c>
      <c r="H21" s="15">
        <v>563</v>
      </c>
      <c r="I21" s="15">
        <v>1698</v>
      </c>
      <c r="J21" s="15">
        <v>1073</v>
      </c>
      <c r="K21" s="15" t="s">
        <v>168</v>
      </c>
    </row>
    <row r="22" spans="2:14" x14ac:dyDescent="0.75">
      <c r="B22" s="19" t="s">
        <v>183</v>
      </c>
      <c r="C22" s="15">
        <v>1781</v>
      </c>
      <c r="D22" s="15">
        <v>1754</v>
      </c>
      <c r="E22" s="15">
        <v>233</v>
      </c>
      <c r="F22" s="15">
        <v>133</v>
      </c>
      <c r="G22" s="15">
        <v>466</v>
      </c>
      <c r="H22" s="15" t="s">
        <v>168</v>
      </c>
      <c r="I22" s="15">
        <v>588</v>
      </c>
      <c r="J22" s="15">
        <v>1012</v>
      </c>
      <c r="K22" s="15" t="s">
        <v>179</v>
      </c>
    </row>
    <row r="23" spans="2:14" x14ac:dyDescent="0.75">
      <c r="B23" s="18" t="s">
        <v>184</v>
      </c>
      <c r="C23" s="15">
        <v>5826</v>
      </c>
      <c r="D23" s="15">
        <v>5696</v>
      </c>
      <c r="E23" s="15">
        <v>1259</v>
      </c>
      <c r="F23" s="15">
        <v>638</v>
      </c>
      <c r="G23" s="15">
        <v>2168</v>
      </c>
      <c r="H23" s="15">
        <v>621</v>
      </c>
      <c r="I23" s="15">
        <v>2105</v>
      </c>
      <c r="J23" s="15">
        <v>2561</v>
      </c>
      <c r="K23" s="15" t="s">
        <v>168</v>
      </c>
    </row>
    <row r="24" spans="2:14" x14ac:dyDescent="0.75">
      <c r="B24" s="18" t="s">
        <v>185</v>
      </c>
      <c r="C24" s="15">
        <v>11330</v>
      </c>
      <c r="D24" s="15">
        <v>10794</v>
      </c>
      <c r="E24" s="15">
        <v>1419</v>
      </c>
      <c r="F24" s="15">
        <v>1423</v>
      </c>
      <c r="G24" s="15">
        <v>2568</v>
      </c>
      <c r="H24" s="15" t="s">
        <v>168</v>
      </c>
      <c r="I24" s="15">
        <v>1138</v>
      </c>
      <c r="J24" s="15">
        <v>9434</v>
      </c>
      <c r="K24" s="15">
        <v>872</v>
      </c>
      <c r="N24" s="20"/>
    </row>
    <row r="25" spans="2:14" ht="15" customHeight="1" x14ac:dyDescent="0.75">
      <c r="B25" s="21" t="s">
        <v>186</v>
      </c>
      <c r="C25" s="15">
        <v>5439</v>
      </c>
      <c r="D25" s="15">
        <v>5088</v>
      </c>
      <c r="E25" s="15">
        <v>441</v>
      </c>
      <c r="F25" s="15">
        <v>590</v>
      </c>
      <c r="G25" s="15">
        <v>1007</v>
      </c>
      <c r="H25" s="15" t="s">
        <v>168</v>
      </c>
      <c r="I25" s="15">
        <v>312</v>
      </c>
      <c r="J25" s="15">
        <v>3964</v>
      </c>
      <c r="K25" s="15" t="s">
        <v>168</v>
      </c>
    </row>
    <row r="26" spans="2:14" ht="15" customHeight="1" x14ac:dyDescent="0.75">
      <c r="B26" s="21" t="s">
        <v>187</v>
      </c>
      <c r="C26" s="15">
        <v>5890</v>
      </c>
      <c r="D26" s="15">
        <v>5706</v>
      </c>
      <c r="E26" s="15">
        <v>978</v>
      </c>
      <c r="F26" s="15">
        <v>832</v>
      </c>
      <c r="G26" s="15">
        <v>1561</v>
      </c>
      <c r="H26" s="15" t="s">
        <v>168</v>
      </c>
      <c r="I26" s="15">
        <v>826</v>
      </c>
      <c r="J26" s="15">
        <v>5470</v>
      </c>
      <c r="K26" s="15">
        <v>860</v>
      </c>
    </row>
    <row r="27" spans="2:14" ht="15" customHeight="1" x14ac:dyDescent="0.75">
      <c r="B27" s="18" t="s">
        <v>188</v>
      </c>
      <c r="C27" s="15">
        <v>15952</v>
      </c>
      <c r="D27" s="15">
        <v>15753</v>
      </c>
      <c r="E27" s="15">
        <v>2667</v>
      </c>
      <c r="F27" s="15">
        <v>1691</v>
      </c>
      <c r="G27" s="15">
        <v>3727</v>
      </c>
      <c r="H27" s="15">
        <v>1794</v>
      </c>
      <c r="I27" s="15">
        <v>4650</v>
      </c>
      <c r="J27" s="15">
        <v>8407</v>
      </c>
      <c r="K27" s="15" t="s">
        <v>168</v>
      </c>
    </row>
    <row r="28" spans="2:14" ht="15" customHeight="1" x14ac:dyDescent="0.75">
      <c r="B28" s="18" t="s">
        <v>189</v>
      </c>
      <c r="C28" s="15">
        <v>5559</v>
      </c>
      <c r="D28" s="15">
        <v>5323</v>
      </c>
      <c r="E28" s="15">
        <v>727</v>
      </c>
      <c r="F28" s="15">
        <v>582</v>
      </c>
      <c r="G28" s="15">
        <v>1560</v>
      </c>
      <c r="H28" s="15">
        <v>888</v>
      </c>
      <c r="I28" s="15">
        <v>1621</v>
      </c>
      <c r="J28" s="15">
        <v>3016</v>
      </c>
      <c r="K28" s="15" t="s">
        <v>168</v>
      </c>
    </row>
    <row r="29" spans="2:14" ht="15" customHeight="1" x14ac:dyDescent="0.75">
      <c r="B29" s="18" t="s">
        <v>190</v>
      </c>
      <c r="C29" s="15">
        <v>1440</v>
      </c>
      <c r="D29" s="15">
        <v>1391</v>
      </c>
      <c r="E29" s="15" t="s">
        <v>168</v>
      </c>
      <c r="F29" s="15" t="s">
        <v>168</v>
      </c>
      <c r="G29" s="15">
        <v>253</v>
      </c>
      <c r="H29" s="15" t="s">
        <v>168</v>
      </c>
      <c r="I29" s="15">
        <v>466</v>
      </c>
      <c r="J29" s="15">
        <v>601</v>
      </c>
      <c r="K29" s="15" t="s">
        <v>168</v>
      </c>
    </row>
    <row r="30" spans="2:14" ht="15" customHeight="1" x14ac:dyDescent="0.75">
      <c r="B30" s="18" t="s">
        <v>191</v>
      </c>
      <c r="C30" s="15">
        <v>4557</v>
      </c>
      <c r="D30" s="15">
        <v>4511</v>
      </c>
      <c r="E30" s="15">
        <v>581</v>
      </c>
      <c r="F30" s="15">
        <v>927</v>
      </c>
      <c r="G30" s="15">
        <v>859</v>
      </c>
      <c r="H30" s="15" t="s">
        <v>179</v>
      </c>
      <c r="I30" s="15">
        <v>1359</v>
      </c>
      <c r="J30" s="15">
        <v>2801</v>
      </c>
      <c r="K30" s="15" t="s">
        <v>168</v>
      </c>
    </row>
    <row r="31" spans="2:14" ht="15" customHeight="1" x14ac:dyDescent="0.75">
      <c r="B31" s="18" t="s">
        <v>192</v>
      </c>
      <c r="C31" s="15">
        <v>4630</v>
      </c>
      <c r="D31" s="15">
        <v>4157</v>
      </c>
      <c r="E31" s="15">
        <v>356</v>
      </c>
      <c r="F31" s="15">
        <v>497</v>
      </c>
      <c r="G31" s="15">
        <v>1919</v>
      </c>
      <c r="H31" s="15" t="s">
        <v>168</v>
      </c>
      <c r="I31" s="15">
        <v>433</v>
      </c>
      <c r="J31" s="15">
        <v>2498</v>
      </c>
      <c r="K31" s="15" t="s">
        <v>168</v>
      </c>
    </row>
    <row r="32" spans="2:14" ht="15" customHeight="1" x14ac:dyDescent="0.75">
      <c r="B32" s="18" t="s">
        <v>193</v>
      </c>
      <c r="C32" s="15">
        <v>13077</v>
      </c>
      <c r="D32" s="15">
        <v>9987</v>
      </c>
      <c r="E32" s="15">
        <v>1138</v>
      </c>
      <c r="F32" s="15">
        <v>1294</v>
      </c>
      <c r="G32" s="15">
        <v>3480</v>
      </c>
      <c r="H32" s="15" t="s">
        <v>168</v>
      </c>
      <c r="I32" s="15">
        <v>841</v>
      </c>
      <c r="J32" s="15">
        <v>7297</v>
      </c>
      <c r="K32" s="15" t="s">
        <v>168</v>
      </c>
    </row>
    <row r="33" spans="2:11" ht="15" customHeight="1" x14ac:dyDescent="0.75">
      <c r="B33" s="18" t="s">
        <v>194</v>
      </c>
      <c r="C33" s="15">
        <v>2002</v>
      </c>
      <c r="D33" s="15">
        <v>1886</v>
      </c>
      <c r="E33" s="15" t="s">
        <v>168</v>
      </c>
      <c r="F33" s="15" t="s">
        <v>168</v>
      </c>
      <c r="G33" s="15">
        <v>737</v>
      </c>
      <c r="H33" s="15" t="s">
        <v>168</v>
      </c>
      <c r="I33" s="15">
        <v>408</v>
      </c>
      <c r="J33" s="15">
        <v>1257</v>
      </c>
      <c r="K33" s="15" t="s">
        <v>168</v>
      </c>
    </row>
    <row r="34" spans="2:11" ht="15" customHeight="1" x14ac:dyDescent="0.75">
      <c r="B34" s="18" t="s">
        <v>195</v>
      </c>
      <c r="C34" s="15">
        <v>3256</v>
      </c>
      <c r="D34" s="15">
        <v>1415</v>
      </c>
      <c r="E34" s="15" t="s">
        <v>168</v>
      </c>
      <c r="F34" s="15" t="s">
        <v>168</v>
      </c>
      <c r="G34" s="15" t="s">
        <v>168</v>
      </c>
      <c r="H34" s="15" t="s">
        <v>168</v>
      </c>
      <c r="I34" s="15">
        <v>296</v>
      </c>
      <c r="J34" s="15">
        <v>886</v>
      </c>
      <c r="K34" s="15" t="s">
        <v>168</v>
      </c>
    </row>
    <row r="35" spans="2:11" ht="24" customHeight="1" x14ac:dyDescent="0.75">
      <c r="B35" s="16" t="s">
        <v>196</v>
      </c>
      <c r="C35" s="16" t="s">
        <v>166</v>
      </c>
      <c r="D35" s="16" t="s">
        <v>166</v>
      </c>
      <c r="E35" s="16" t="s">
        <v>166</v>
      </c>
      <c r="F35" s="16" t="s">
        <v>166</v>
      </c>
      <c r="G35" s="16" t="s">
        <v>166</v>
      </c>
      <c r="H35" s="16" t="s">
        <v>166</v>
      </c>
      <c r="I35" s="16" t="s">
        <v>166</v>
      </c>
      <c r="J35" s="16" t="s">
        <v>166</v>
      </c>
      <c r="K35" s="16" t="s">
        <v>166</v>
      </c>
    </row>
    <row r="36" spans="2:11" ht="15" customHeight="1" x14ac:dyDescent="0.75">
      <c r="B36" s="18" t="s">
        <v>197</v>
      </c>
      <c r="C36" s="15">
        <v>3983</v>
      </c>
      <c r="D36" s="15">
        <v>3583</v>
      </c>
      <c r="E36" s="15">
        <v>371</v>
      </c>
      <c r="F36" s="15">
        <v>524</v>
      </c>
      <c r="G36" s="15">
        <v>1442</v>
      </c>
      <c r="H36" s="15">
        <v>523</v>
      </c>
      <c r="I36" s="15">
        <v>1221</v>
      </c>
      <c r="J36" s="15">
        <v>1380</v>
      </c>
      <c r="K36" s="15" t="s">
        <v>168</v>
      </c>
    </row>
    <row r="37" spans="2:11" ht="15" customHeight="1" x14ac:dyDescent="0.75">
      <c r="B37" s="18" t="s">
        <v>198</v>
      </c>
      <c r="C37" s="15">
        <v>6025</v>
      </c>
      <c r="D37" s="15">
        <v>5527</v>
      </c>
      <c r="E37" s="15">
        <v>744</v>
      </c>
      <c r="F37" s="15">
        <v>393</v>
      </c>
      <c r="G37" s="15">
        <v>1717</v>
      </c>
      <c r="H37" s="15">
        <v>888</v>
      </c>
      <c r="I37" s="15">
        <v>2016</v>
      </c>
      <c r="J37" s="15">
        <v>2589</v>
      </c>
      <c r="K37" s="15" t="s">
        <v>168</v>
      </c>
    </row>
    <row r="38" spans="2:11" ht="15" customHeight="1" x14ac:dyDescent="0.75">
      <c r="B38" s="18" t="s">
        <v>199</v>
      </c>
      <c r="C38" s="15">
        <v>7381</v>
      </c>
      <c r="D38" s="15">
        <v>6895</v>
      </c>
      <c r="E38" s="15">
        <v>907</v>
      </c>
      <c r="F38" s="15">
        <v>685</v>
      </c>
      <c r="G38" s="15">
        <v>2277</v>
      </c>
      <c r="H38" s="15">
        <v>446</v>
      </c>
      <c r="I38" s="15">
        <v>2659</v>
      </c>
      <c r="J38" s="15">
        <v>3715</v>
      </c>
      <c r="K38" s="15" t="s">
        <v>168</v>
      </c>
    </row>
    <row r="39" spans="2:11" ht="15" customHeight="1" x14ac:dyDescent="0.75">
      <c r="B39" s="18" t="s">
        <v>200</v>
      </c>
      <c r="C39" s="15">
        <v>10362</v>
      </c>
      <c r="D39" s="15">
        <v>9730</v>
      </c>
      <c r="E39" s="15">
        <v>1295</v>
      </c>
      <c r="F39" s="15">
        <v>1168</v>
      </c>
      <c r="G39" s="15">
        <v>2586</v>
      </c>
      <c r="H39" s="15">
        <v>1002</v>
      </c>
      <c r="I39" s="15">
        <v>3506</v>
      </c>
      <c r="J39" s="15">
        <v>5670</v>
      </c>
      <c r="K39" s="15" t="s">
        <v>168</v>
      </c>
    </row>
    <row r="40" spans="2:11" ht="15" customHeight="1" x14ac:dyDescent="0.75">
      <c r="B40" s="18" t="s">
        <v>201</v>
      </c>
      <c r="C40" s="15">
        <v>10846</v>
      </c>
      <c r="D40" s="15">
        <v>10045</v>
      </c>
      <c r="E40" s="15">
        <v>1198</v>
      </c>
      <c r="F40" s="15">
        <v>1345</v>
      </c>
      <c r="G40" s="15">
        <v>2923</v>
      </c>
      <c r="H40" s="15">
        <v>930</v>
      </c>
      <c r="I40" s="15">
        <v>2763</v>
      </c>
      <c r="J40" s="15">
        <v>6156</v>
      </c>
      <c r="K40" s="15" t="s">
        <v>168</v>
      </c>
    </row>
    <row r="41" spans="2:11" ht="15" customHeight="1" x14ac:dyDescent="0.75">
      <c r="B41" s="18" t="s">
        <v>202</v>
      </c>
      <c r="C41" s="15">
        <v>15230</v>
      </c>
      <c r="D41" s="15">
        <v>13723</v>
      </c>
      <c r="E41" s="15">
        <v>2386</v>
      </c>
      <c r="F41" s="15">
        <v>1763</v>
      </c>
      <c r="G41" s="15">
        <v>3424</v>
      </c>
      <c r="H41" s="15">
        <v>446</v>
      </c>
      <c r="I41" s="15">
        <v>2973</v>
      </c>
      <c r="J41" s="15">
        <v>9037</v>
      </c>
      <c r="K41" s="15" t="s">
        <v>168</v>
      </c>
    </row>
    <row r="42" spans="2:11" ht="15" customHeight="1" x14ac:dyDescent="0.75">
      <c r="B42" s="18" t="s">
        <v>203</v>
      </c>
      <c r="C42" s="15">
        <v>13803</v>
      </c>
      <c r="D42" s="15">
        <v>12389</v>
      </c>
      <c r="E42" s="15">
        <v>2136</v>
      </c>
      <c r="F42" s="15">
        <v>1266</v>
      </c>
      <c r="G42" s="15">
        <v>2996</v>
      </c>
      <c r="H42" s="15">
        <v>642</v>
      </c>
      <c r="I42" s="15">
        <v>2970</v>
      </c>
      <c r="J42" s="15">
        <v>8544</v>
      </c>
      <c r="K42" s="15">
        <v>397</v>
      </c>
    </row>
    <row r="43" spans="2:11" ht="15" customHeight="1" x14ac:dyDescent="0.75">
      <c r="B43" s="18" t="s">
        <v>204</v>
      </c>
      <c r="C43" s="15">
        <v>7215</v>
      </c>
      <c r="D43" s="15">
        <v>6707</v>
      </c>
      <c r="E43" s="15">
        <v>808</v>
      </c>
      <c r="F43" s="15">
        <v>551</v>
      </c>
      <c r="G43" s="15">
        <v>1292</v>
      </c>
      <c r="H43" s="15" t="s">
        <v>168</v>
      </c>
      <c r="I43" s="15">
        <v>1636</v>
      </c>
      <c r="J43" s="15">
        <v>4281</v>
      </c>
      <c r="K43" s="15" t="s">
        <v>168</v>
      </c>
    </row>
    <row r="44" spans="2:11" ht="15" customHeight="1" x14ac:dyDescent="0.75">
      <c r="B44" s="18" t="s">
        <v>205</v>
      </c>
      <c r="C44" s="15">
        <v>6524</v>
      </c>
      <c r="D44" s="15">
        <v>5972</v>
      </c>
      <c r="E44" s="15">
        <v>1174</v>
      </c>
      <c r="F44" s="15">
        <v>516</v>
      </c>
      <c r="G44" s="15">
        <v>1160</v>
      </c>
      <c r="H44" s="15" t="s">
        <v>168</v>
      </c>
      <c r="I44" s="15">
        <v>1395</v>
      </c>
      <c r="J44" s="15">
        <v>4076</v>
      </c>
      <c r="K44" s="15" t="s">
        <v>168</v>
      </c>
    </row>
    <row r="45" spans="2:11" ht="15" customHeight="1" x14ac:dyDescent="0.75">
      <c r="B45" s="18" t="s">
        <v>206</v>
      </c>
      <c r="C45" s="15">
        <v>5723</v>
      </c>
      <c r="D45" s="15">
        <v>5505</v>
      </c>
      <c r="E45" s="15">
        <v>826</v>
      </c>
      <c r="F45" s="15">
        <v>442</v>
      </c>
      <c r="G45" s="15">
        <v>948</v>
      </c>
      <c r="H45" s="15" t="s">
        <v>168</v>
      </c>
      <c r="I45" s="15">
        <v>1303</v>
      </c>
      <c r="J45" s="15">
        <v>3741</v>
      </c>
      <c r="K45" s="15" t="s">
        <v>168</v>
      </c>
    </row>
    <row r="46" spans="2:11" ht="24" customHeight="1" x14ac:dyDescent="0.75">
      <c r="B46" s="16" t="s">
        <v>207</v>
      </c>
      <c r="C46" s="17" t="s">
        <v>166</v>
      </c>
      <c r="D46" s="17" t="s">
        <v>166</v>
      </c>
      <c r="E46" s="17" t="s">
        <v>166</v>
      </c>
      <c r="F46" s="17" t="s">
        <v>166</v>
      </c>
      <c r="G46" s="17" t="s">
        <v>166</v>
      </c>
      <c r="H46" s="17" t="s">
        <v>166</v>
      </c>
      <c r="I46" s="17" t="s">
        <v>166</v>
      </c>
      <c r="J46" s="17" t="s">
        <v>166</v>
      </c>
      <c r="K46" s="17" t="s">
        <v>166</v>
      </c>
    </row>
    <row r="47" spans="2:11" ht="15" customHeight="1" x14ac:dyDescent="0.75">
      <c r="B47" s="18" t="s">
        <v>208</v>
      </c>
      <c r="C47" s="15">
        <v>15534</v>
      </c>
      <c r="D47" s="15">
        <v>15053</v>
      </c>
      <c r="E47" s="15">
        <v>1397</v>
      </c>
      <c r="F47" s="15">
        <v>1244</v>
      </c>
      <c r="G47" s="15">
        <v>4918</v>
      </c>
      <c r="H47" s="15">
        <v>1981</v>
      </c>
      <c r="I47" s="15">
        <v>6447</v>
      </c>
      <c r="J47" s="15">
        <v>7186</v>
      </c>
      <c r="K47" s="15" t="s">
        <v>168</v>
      </c>
    </row>
    <row r="48" spans="2:11" ht="15" customHeight="1" x14ac:dyDescent="0.75">
      <c r="B48" s="19" t="s">
        <v>209</v>
      </c>
      <c r="C48" s="15">
        <v>4302</v>
      </c>
      <c r="D48" s="15">
        <v>4090</v>
      </c>
      <c r="E48" s="15">
        <v>400</v>
      </c>
      <c r="F48" s="15">
        <v>323</v>
      </c>
      <c r="G48" s="15">
        <v>1529</v>
      </c>
      <c r="H48" s="15" t="s">
        <v>168</v>
      </c>
      <c r="I48" s="15">
        <v>1823</v>
      </c>
      <c r="J48" s="15">
        <v>1769</v>
      </c>
      <c r="K48" s="15" t="s">
        <v>168</v>
      </c>
    </row>
    <row r="49" spans="2:11" ht="15" customHeight="1" x14ac:dyDescent="0.75">
      <c r="B49" s="19" t="s">
        <v>210</v>
      </c>
      <c r="C49" s="15">
        <v>11232</v>
      </c>
      <c r="D49" s="15">
        <v>10963</v>
      </c>
      <c r="E49" s="15">
        <v>998</v>
      </c>
      <c r="F49" s="15">
        <v>922</v>
      </c>
      <c r="G49" s="15">
        <v>3389</v>
      </c>
      <c r="H49" s="15">
        <v>1628</v>
      </c>
      <c r="I49" s="15">
        <v>4624</v>
      </c>
      <c r="J49" s="15">
        <v>5417</v>
      </c>
      <c r="K49" s="15" t="s">
        <v>168</v>
      </c>
    </row>
    <row r="50" spans="2:11" ht="15" customHeight="1" x14ac:dyDescent="0.75">
      <c r="B50" s="18" t="s">
        <v>211</v>
      </c>
      <c r="C50" s="15">
        <v>18919</v>
      </c>
      <c r="D50" s="15">
        <v>18055</v>
      </c>
      <c r="E50" s="15">
        <v>1068</v>
      </c>
      <c r="F50" s="15">
        <v>2511</v>
      </c>
      <c r="G50" s="15">
        <v>5735</v>
      </c>
      <c r="H50" s="15">
        <v>906</v>
      </c>
      <c r="I50" s="15">
        <v>6666</v>
      </c>
      <c r="J50" s="15">
        <v>10894</v>
      </c>
      <c r="K50" s="15">
        <v>370</v>
      </c>
    </row>
    <row r="51" spans="2:11" ht="15" customHeight="1" x14ac:dyDescent="0.75">
      <c r="B51" s="19" t="s">
        <v>212</v>
      </c>
      <c r="C51" s="15">
        <v>12742</v>
      </c>
      <c r="D51" s="15">
        <v>12240</v>
      </c>
      <c r="E51" s="15">
        <v>632</v>
      </c>
      <c r="F51" s="15">
        <v>1756</v>
      </c>
      <c r="G51" s="15">
        <v>3668</v>
      </c>
      <c r="H51" s="15">
        <v>574</v>
      </c>
      <c r="I51" s="15">
        <v>5083</v>
      </c>
      <c r="J51" s="15">
        <v>7347</v>
      </c>
      <c r="K51" s="15" t="s">
        <v>168</v>
      </c>
    </row>
    <row r="52" spans="2:11" ht="15" customHeight="1" x14ac:dyDescent="0.75">
      <c r="B52" s="19" t="s">
        <v>213</v>
      </c>
      <c r="C52" s="15">
        <v>6178</v>
      </c>
      <c r="D52" s="15">
        <v>5815</v>
      </c>
      <c r="E52" s="15">
        <v>436</v>
      </c>
      <c r="F52" s="15">
        <v>755</v>
      </c>
      <c r="G52" s="15">
        <v>2066</v>
      </c>
      <c r="H52" s="15">
        <v>332</v>
      </c>
      <c r="I52" s="15">
        <v>1583</v>
      </c>
      <c r="J52" s="15">
        <v>3547</v>
      </c>
      <c r="K52" s="15" t="s">
        <v>168</v>
      </c>
    </row>
    <row r="53" spans="2:11" ht="15" customHeight="1" x14ac:dyDescent="0.75">
      <c r="B53" s="18" t="s">
        <v>214</v>
      </c>
      <c r="C53" s="15">
        <v>34279</v>
      </c>
      <c r="D53" s="15">
        <v>30499</v>
      </c>
      <c r="E53" s="15">
        <v>6927</v>
      </c>
      <c r="F53" s="15">
        <v>3363</v>
      </c>
      <c r="G53" s="15">
        <v>6519</v>
      </c>
      <c r="H53" s="15">
        <v>2171</v>
      </c>
      <c r="I53" s="15">
        <v>5784</v>
      </c>
      <c r="J53" s="15">
        <v>20049</v>
      </c>
      <c r="K53" s="15">
        <v>550</v>
      </c>
    </row>
    <row r="54" spans="2:11" ht="15" customHeight="1" x14ac:dyDescent="0.75">
      <c r="B54" s="19" t="s">
        <v>215</v>
      </c>
      <c r="C54" s="15">
        <v>17981</v>
      </c>
      <c r="D54" s="15">
        <v>15883</v>
      </c>
      <c r="E54" s="15">
        <v>4909</v>
      </c>
      <c r="F54" s="15">
        <v>1234</v>
      </c>
      <c r="G54" s="15">
        <v>3328</v>
      </c>
      <c r="H54" s="15">
        <v>1148</v>
      </c>
      <c r="I54" s="15">
        <v>3247</v>
      </c>
      <c r="J54" s="15">
        <v>10168</v>
      </c>
      <c r="K54" s="15" t="s">
        <v>168</v>
      </c>
    </row>
    <row r="55" spans="2:11" ht="15" customHeight="1" x14ac:dyDescent="0.75">
      <c r="B55" s="19" t="s">
        <v>216</v>
      </c>
      <c r="C55" s="15">
        <v>4904</v>
      </c>
      <c r="D55" s="15">
        <v>4692</v>
      </c>
      <c r="E55" s="15">
        <v>844</v>
      </c>
      <c r="F55" s="15">
        <v>530</v>
      </c>
      <c r="G55" s="15">
        <v>1295</v>
      </c>
      <c r="H55" s="15" t="s">
        <v>168</v>
      </c>
      <c r="I55" s="15">
        <v>1077</v>
      </c>
      <c r="J55" s="15">
        <v>3136</v>
      </c>
      <c r="K55" s="15" t="s">
        <v>168</v>
      </c>
    </row>
    <row r="56" spans="2:11" ht="15" customHeight="1" x14ac:dyDescent="0.75">
      <c r="B56" s="19" t="s">
        <v>217</v>
      </c>
      <c r="C56" s="15">
        <v>11394</v>
      </c>
      <c r="D56" s="15">
        <v>9923</v>
      </c>
      <c r="E56" s="15">
        <v>1174</v>
      </c>
      <c r="F56" s="15">
        <v>1599</v>
      </c>
      <c r="G56" s="15">
        <v>1896</v>
      </c>
      <c r="H56" s="15">
        <v>637</v>
      </c>
      <c r="I56" s="15">
        <v>1460</v>
      </c>
      <c r="J56" s="15">
        <v>6745</v>
      </c>
      <c r="K56" s="15" t="s">
        <v>168</v>
      </c>
    </row>
    <row r="57" spans="2:11" ht="15" customHeight="1" x14ac:dyDescent="0.75">
      <c r="B57" s="18" t="s">
        <v>218</v>
      </c>
      <c r="C57" s="15">
        <v>18360</v>
      </c>
      <c r="D57" s="15">
        <v>16471</v>
      </c>
      <c r="E57" s="15">
        <v>2453</v>
      </c>
      <c r="F57" s="15">
        <v>1536</v>
      </c>
      <c r="G57" s="15">
        <v>3594</v>
      </c>
      <c r="H57" s="15">
        <v>867</v>
      </c>
      <c r="I57" s="15">
        <v>3545</v>
      </c>
      <c r="J57" s="15">
        <v>11059</v>
      </c>
      <c r="K57" s="15">
        <v>339</v>
      </c>
    </row>
    <row r="58" spans="2:11" ht="15" customHeight="1" x14ac:dyDescent="0.75">
      <c r="B58" s="19" t="s">
        <v>219</v>
      </c>
      <c r="C58" s="15">
        <v>4981</v>
      </c>
      <c r="D58" s="15">
        <v>4704</v>
      </c>
      <c r="E58" s="15">
        <v>498</v>
      </c>
      <c r="F58" s="15">
        <v>554</v>
      </c>
      <c r="G58" s="15">
        <v>1197</v>
      </c>
      <c r="H58" s="15">
        <v>482</v>
      </c>
      <c r="I58" s="15">
        <v>1150</v>
      </c>
      <c r="J58" s="15">
        <v>2967</v>
      </c>
      <c r="K58" s="15" t="s">
        <v>168</v>
      </c>
    </row>
    <row r="59" spans="2:11" ht="15" customHeight="1" x14ac:dyDescent="0.75">
      <c r="B59" s="19" t="s">
        <v>220</v>
      </c>
      <c r="C59" s="15">
        <v>13379</v>
      </c>
      <c r="D59" s="15">
        <v>11767</v>
      </c>
      <c r="E59" s="15">
        <v>1955</v>
      </c>
      <c r="F59" s="15">
        <v>983</v>
      </c>
      <c r="G59" s="15">
        <v>2397</v>
      </c>
      <c r="H59" s="15">
        <v>385</v>
      </c>
      <c r="I59" s="15">
        <v>2395</v>
      </c>
      <c r="J59" s="15">
        <v>8092</v>
      </c>
      <c r="K59" s="15">
        <v>242</v>
      </c>
    </row>
    <row r="60" spans="2:11" ht="24" customHeight="1" x14ac:dyDescent="0.75">
      <c r="B60" s="16" t="s">
        <v>221</v>
      </c>
      <c r="C60" s="16" t="s">
        <v>166</v>
      </c>
      <c r="D60" s="16" t="s">
        <v>166</v>
      </c>
      <c r="E60" s="16" t="s">
        <v>166</v>
      </c>
      <c r="F60" s="16" t="s">
        <v>166</v>
      </c>
      <c r="G60" s="16" t="s">
        <v>166</v>
      </c>
      <c r="H60" s="16" t="s">
        <v>166</v>
      </c>
      <c r="I60" s="16" t="s">
        <v>166</v>
      </c>
      <c r="J60" s="16" t="s">
        <v>166</v>
      </c>
      <c r="K60" s="16" t="s">
        <v>166</v>
      </c>
    </row>
    <row r="61" spans="2:11" x14ac:dyDescent="0.75">
      <c r="B61" s="18" t="s">
        <v>222</v>
      </c>
      <c r="C61" s="15">
        <v>31898</v>
      </c>
      <c r="D61" s="15">
        <v>30469</v>
      </c>
      <c r="E61" s="15">
        <v>2150</v>
      </c>
      <c r="F61" s="15">
        <v>3558</v>
      </c>
      <c r="G61" s="15">
        <v>10128</v>
      </c>
      <c r="H61" s="15">
        <v>1926</v>
      </c>
      <c r="I61" s="15">
        <v>11556</v>
      </c>
      <c r="J61" s="15">
        <v>17640</v>
      </c>
      <c r="K61" s="15">
        <v>824</v>
      </c>
    </row>
    <row r="62" spans="2:11" x14ac:dyDescent="0.75">
      <c r="B62" s="18" t="s">
        <v>223</v>
      </c>
      <c r="C62" s="15">
        <v>27873</v>
      </c>
      <c r="D62" s="15">
        <v>26716</v>
      </c>
      <c r="E62" s="15">
        <v>6182</v>
      </c>
      <c r="F62" s="15">
        <v>3009</v>
      </c>
      <c r="G62" s="15">
        <v>6697</v>
      </c>
      <c r="H62" s="15">
        <v>3002</v>
      </c>
      <c r="I62" s="15">
        <v>7029</v>
      </c>
      <c r="J62" s="15">
        <v>15485</v>
      </c>
      <c r="K62" s="15">
        <v>487</v>
      </c>
    </row>
    <row r="63" spans="2:11" x14ac:dyDescent="0.75">
      <c r="B63" s="18" t="s">
        <v>224</v>
      </c>
      <c r="C63" s="15">
        <v>12037</v>
      </c>
      <c r="D63" s="15">
        <v>10484</v>
      </c>
      <c r="E63" s="15">
        <v>1669</v>
      </c>
      <c r="F63" s="15">
        <v>995</v>
      </c>
      <c r="G63" s="15">
        <v>1703</v>
      </c>
      <c r="H63" s="15" t="s">
        <v>168</v>
      </c>
      <c r="I63" s="15">
        <v>1777</v>
      </c>
      <c r="J63" s="15">
        <v>7351</v>
      </c>
      <c r="K63" s="15" t="s">
        <v>168</v>
      </c>
    </row>
    <row r="64" spans="2:11" x14ac:dyDescent="0.75">
      <c r="B64" s="18" t="s">
        <v>225</v>
      </c>
      <c r="C64" s="15">
        <v>12831</v>
      </c>
      <c r="D64" s="15">
        <v>10090</v>
      </c>
      <c r="E64" s="15">
        <v>1387</v>
      </c>
      <c r="F64" s="15">
        <v>937</v>
      </c>
      <c r="G64" s="15">
        <v>1607</v>
      </c>
      <c r="H64" s="15">
        <v>362</v>
      </c>
      <c r="I64" s="15">
        <v>1499</v>
      </c>
      <c r="J64" s="15">
        <v>7217</v>
      </c>
      <c r="K64" s="15" t="s">
        <v>168</v>
      </c>
    </row>
    <row r="65" spans="2:11" x14ac:dyDescent="0.75">
      <c r="B65" s="18" t="s">
        <v>226</v>
      </c>
      <c r="C65" s="15">
        <v>2454</v>
      </c>
      <c r="D65" s="15">
        <v>2319</v>
      </c>
      <c r="E65" s="15">
        <v>458</v>
      </c>
      <c r="F65" s="15" t="s">
        <v>168</v>
      </c>
      <c r="G65" s="15">
        <v>631</v>
      </c>
      <c r="H65" s="15" t="s">
        <v>168</v>
      </c>
      <c r="I65" s="15">
        <v>581</v>
      </c>
      <c r="J65" s="15">
        <v>1495</v>
      </c>
      <c r="K65" s="15" t="s">
        <v>168</v>
      </c>
    </row>
    <row r="66" spans="2:11" ht="24" customHeight="1" x14ac:dyDescent="0.75">
      <c r="B66" s="16" t="s">
        <v>227</v>
      </c>
      <c r="C66" s="16" t="s">
        <v>166</v>
      </c>
      <c r="D66" s="16" t="s">
        <v>166</v>
      </c>
      <c r="E66" s="16" t="s">
        <v>166</v>
      </c>
      <c r="F66" s="16" t="s">
        <v>166</v>
      </c>
      <c r="G66" s="16" t="s">
        <v>166</v>
      </c>
      <c r="H66" s="16" t="s">
        <v>166</v>
      </c>
      <c r="I66" s="16" t="s">
        <v>166</v>
      </c>
      <c r="J66" s="16" t="s">
        <v>166</v>
      </c>
      <c r="K66" s="16" t="s">
        <v>166</v>
      </c>
    </row>
    <row r="67" spans="2:11" x14ac:dyDescent="0.75">
      <c r="B67" s="18" t="s">
        <v>228</v>
      </c>
      <c r="C67" s="15">
        <v>39809</v>
      </c>
      <c r="D67" s="15">
        <v>34513</v>
      </c>
      <c r="E67" s="15">
        <v>4642</v>
      </c>
      <c r="F67" s="15">
        <v>4356</v>
      </c>
      <c r="G67" s="15">
        <v>8857</v>
      </c>
      <c r="H67" s="15" t="s">
        <v>168</v>
      </c>
      <c r="I67" s="15">
        <v>4257</v>
      </c>
      <c r="J67" s="15">
        <v>24999</v>
      </c>
      <c r="K67" s="15">
        <v>1127</v>
      </c>
    </row>
    <row r="68" spans="2:11" x14ac:dyDescent="0.75">
      <c r="B68" s="18" t="s">
        <v>229</v>
      </c>
      <c r="C68" s="15">
        <v>20206</v>
      </c>
      <c r="D68" s="15">
        <v>19411</v>
      </c>
      <c r="E68" s="15">
        <v>2844</v>
      </c>
      <c r="F68" s="15">
        <v>2518</v>
      </c>
      <c r="G68" s="15">
        <v>4987</v>
      </c>
      <c r="H68" s="15" t="s">
        <v>168</v>
      </c>
      <c r="I68" s="15">
        <v>5762</v>
      </c>
      <c r="J68" s="15">
        <v>13422</v>
      </c>
      <c r="K68" s="15">
        <v>297</v>
      </c>
    </row>
    <row r="69" spans="2:11" x14ac:dyDescent="0.75">
      <c r="B69" s="18" t="s">
        <v>230</v>
      </c>
      <c r="C69" s="15">
        <v>8140</v>
      </c>
      <c r="D69" s="15">
        <v>7896</v>
      </c>
      <c r="E69" s="15">
        <v>1229</v>
      </c>
      <c r="F69" s="15">
        <v>857</v>
      </c>
      <c r="G69" s="15">
        <v>2150</v>
      </c>
      <c r="H69" s="15">
        <v>544</v>
      </c>
      <c r="I69" s="15">
        <v>3667</v>
      </c>
      <c r="J69" s="15">
        <v>3918</v>
      </c>
      <c r="K69" s="15" t="s">
        <v>168</v>
      </c>
    </row>
    <row r="70" spans="2:11" x14ac:dyDescent="0.75">
      <c r="B70" s="18" t="s">
        <v>231</v>
      </c>
      <c r="C70" s="15">
        <v>13535</v>
      </c>
      <c r="D70" s="15">
        <v>12992</v>
      </c>
      <c r="E70" s="15">
        <v>2089</v>
      </c>
      <c r="F70" s="15">
        <v>826</v>
      </c>
      <c r="G70" s="15">
        <v>3398</v>
      </c>
      <c r="H70" s="15">
        <v>2791</v>
      </c>
      <c r="I70" s="15">
        <v>6521</v>
      </c>
      <c r="J70" s="15">
        <v>5180</v>
      </c>
      <c r="K70" s="15" t="s">
        <v>168</v>
      </c>
    </row>
    <row r="71" spans="2:11" x14ac:dyDescent="0.75">
      <c r="B71" s="18" t="s">
        <v>232</v>
      </c>
      <c r="C71" s="15">
        <v>5404</v>
      </c>
      <c r="D71" s="15">
        <v>5265</v>
      </c>
      <c r="E71" s="15">
        <v>1041</v>
      </c>
      <c r="F71" s="15" t="s">
        <v>168</v>
      </c>
      <c r="G71" s="15">
        <v>1374</v>
      </c>
      <c r="H71" s="15">
        <v>1900</v>
      </c>
      <c r="I71" s="15">
        <v>2236</v>
      </c>
      <c r="J71" s="15">
        <v>1669</v>
      </c>
      <c r="K71" s="15" t="s">
        <v>168</v>
      </c>
    </row>
    <row r="72" spans="2:11" ht="24" customHeight="1" x14ac:dyDescent="0.75">
      <c r="B72" s="16" t="s">
        <v>233</v>
      </c>
      <c r="C72" s="22" t="s">
        <v>166</v>
      </c>
      <c r="D72" s="22" t="s">
        <v>166</v>
      </c>
      <c r="E72" s="22" t="s">
        <v>166</v>
      </c>
      <c r="F72" s="22" t="s">
        <v>166</v>
      </c>
      <c r="G72" s="22" t="s">
        <v>166</v>
      </c>
      <c r="H72" s="22" t="s">
        <v>166</v>
      </c>
      <c r="I72" s="22" t="s">
        <v>166</v>
      </c>
      <c r="J72" s="22" t="s">
        <v>166</v>
      </c>
      <c r="K72" s="22" t="s">
        <v>166</v>
      </c>
    </row>
    <row r="73" spans="2:11" ht="15" customHeight="1" x14ac:dyDescent="0.75">
      <c r="B73" s="18" t="s">
        <v>234</v>
      </c>
      <c r="C73" s="15">
        <v>17751</v>
      </c>
      <c r="D73" s="15">
        <v>12931</v>
      </c>
      <c r="E73" s="15">
        <v>1366</v>
      </c>
      <c r="F73" s="15">
        <v>1921</v>
      </c>
      <c r="G73" s="15">
        <v>3710</v>
      </c>
      <c r="H73" s="15" t="s">
        <v>168</v>
      </c>
      <c r="I73" s="15">
        <v>1908</v>
      </c>
      <c r="J73" s="15">
        <v>6967</v>
      </c>
      <c r="K73" s="15" t="s">
        <v>168</v>
      </c>
    </row>
    <row r="74" spans="2:11" ht="15" customHeight="1" x14ac:dyDescent="0.75">
      <c r="B74" s="18" t="s">
        <v>235</v>
      </c>
      <c r="C74" s="15">
        <v>8973</v>
      </c>
      <c r="D74" s="15">
        <v>8492</v>
      </c>
      <c r="E74" s="15">
        <v>1230</v>
      </c>
      <c r="F74" s="15">
        <v>1264</v>
      </c>
      <c r="G74" s="15">
        <v>2274</v>
      </c>
      <c r="H74" s="15" t="s">
        <v>168</v>
      </c>
      <c r="I74" s="15">
        <v>982</v>
      </c>
      <c r="J74" s="15">
        <v>5320</v>
      </c>
      <c r="K74" s="15" t="s">
        <v>168</v>
      </c>
    </row>
    <row r="75" spans="2:11" ht="15" customHeight="1" x14ac:dyDescent="0.75">
      <c r="B75" s="18" t="s">
        <v>236</v>
      </c>
      <c r="C75" s="15">
        <v>9623</v>
      </c>
      <c r="D75" s="15">
        <v>8970</v>
      </c>
      <c r="E75" s="15">
        <v>1234</v>
      </c>
      <c r="F75" s="15">
        <v>1758</v>
      </c>
      <c r="G75" s="15">
        <v>2219</v>
      </c>
      <c r="H75" s="15" t="s">
        <v>168</v>
      </c>
      <c r="I75" s="15">
        <v>1219</v>
      </c>
      <c r="J75" s="15">
        <v>6041</v>
      </c>
      <c r="K75" s="15" t="s">
        <v>168</v>
      </c>
    </row>
    <row r="76" spans="2:11" ht="15" customHeight="1" x14ac:dyDescent="0.75">
      <c r="B76" s="18" t="s">
        <v>237</v>
      </c>
      <c r="C76" s="15">
        <v>14514</v>
      </c>
      <c r="D76" s="15">
        <v>14126</v>
      </c>
      <c r="E76" s="15">
        <v>2268</v>
      </c>
      <c r="F76" s="15">
        <v>1678</v>
      </c>
      <c r="G76" s="15">
        <v>3752</v>
      </c>
      <c r="H76" s="15">
        <v>623</v>
      </c>
      <c r="I76" s="15">
        <v>3764</v>
      </c>
      <c r="J76" s="15">
        <v>9817</v>
      </c>
      <c r="K76" s="15">
        <v>448</v>
      </c>
    </row>
    <row r="77" spans="2:11" ht="15" customHeight="1" x14ac:dyDescent="0.75">
      <c r="B77" s="18" t="s">
        <v>238</v>
      </c>
      <c r="C77" s="15">
        <v>13476</v>
      </c>
      <c r="D77" s="15">
        <v>13184</v>
      </c>
      <c r="E77" s="15">
        <v>2409</v>
      </c>
      <c r="F77" s="15">
        <v>1278</v>
      </c>
      <c r="G77" s="15">
        <v>3323</v>
      </c>
      <c r="H77" s="15">
        <v>669</v>
      </c>
      <c r="I77" s="15">
        <v>4610</v>
      </c>
      <c r="J77" s="15">
        <v>9055</v>
      </c>
      <c r="K77" s="15" t="s">
        <v>168</v>
      </c>
    </row>
    <row r="78" spans="2:11" ht="15" customHeight="1" x14ac:dyDescent="0.75">
      <c r="B78" s="18" t="s">
        <v>239</v>
      </c>
      <c r="C78" s="15">
        <v>10941</v>
      </c>
      <c r="D78" s="15">
        <v>10805</v>
      </c>
      <c r="E78" s="15">
        <v>1490</v>
      </c>
      <c r="F78" s="15">
        <v>387</v>
      </c>
      <c r="G78" s="15">
        <v>2390</v>
      </c>
      <c r="H78" s="15">
        <v>1096</v>
      </c>
      <c r="I78" s="15">
        <v>4938</v>
      </c>
      <c r="J78" s="15">
        <v>6596</v>
      </c>
      <c r="K78" s="15">
        <v>422</v>
      </c>
    </row>
    <row r="79" spans="2:11" ht="15" customHeight="1" x14ac:dyDescent="0.75">
      <c r="B79" s="18" t="s">
        <v>240</v>
      </c>
      <c r="C79" s="15">
        <v>11815</v>
      </c>
      <c r="D79" s="15">
        <v>11570</v>
      </c>
      <c r="E79" s="15">
        <v>1849</v>
      </c>
      <c r="F79" s="15">
        <v>367</v>
      </c>
      <c r="G79" s="15">
        <v>3097</v>
      </c>
      <c r="H79" s="15">
        <v>3053</v>
      </c>
      <c r="I79" s="15">
        <v>5021</v>
      </c>
      <c r="J79" s="15">
        <v>5393</v>
      </c>
      <c r="K79" s="15" t="s">
        <v>168</v>
      </c>
    </row>
    <row r="80" spans="2:11" ht="24" customHeight="1" x14ac:dyDescent="0.75">
      <c r="B80" s="16" t="s">
        <v>241</v>
      </c>
      <c r="C80" s="22" t="s">
        <v>166</v>
      </c>
      <c r="D80" s="22" t="s">
        <v>166</v>
      </c>
      <c r="E80" s="22" t="s">
        <v>166</v>
      </c>
      <c r="F80" s="22" t="s">
        <v>166</v>
      </c>
      <c r="G80" s="22" t="s">
        <v>166</v>
      </c>
      <c r="H80" s="22" t="s">
        <v>166</v>
      </c>
      <c r="I80" s="22" t="s">
        <v>166</v>
      </c>
      <c r="J80" s="22" t="s">
        <v>166</v>
      </c>
      <c r="K80" s="22" t="s">
        <v>166</v>
      </c>
    </row>
    <row r="81" spans="2:11" ht="15" customHeight="1" x14ac:dyDescent="0.75">
      <c r="B81" s="18" t="s">
        <v>242</v>
      </c>
      <c r="C81" s="15">
        <v>8220</v>
      </c>
      <c r="D81" s="15">
        <v>5763</v>
      </c>
      <c r="E81" s="15">
        <v>617</v>
      </c>
      <c r="F81" s="15">
        <v>980</v>
      </c>
      <c r="G81" s="15">
        <v>1222</v>
      </c>
      <c r="H81" s="15" t="s">
        <v>168</v>
      </c>
      <c r="I81" s="15">
        <v>1180</v>
      </c>
      <c r="J81" s="15">
        <v>3012</v>
      </c>
      <c r="K81" s="15" t="s">
        <v>168</v>
      </c>
    </row>
    <row r="82" spans="2:11" ht="15" customHeight="1" x14ac:dyDescent="0.75">
      <c r="B82" s="18" t="s">
        <v>243</v>
      </c>
      <c r="C82" s="15">
        <v>15828</v>
      </c>
      <c r="D82" s="15">
        <v>14867</v>
      </c>
      <c r="E82" s="15">
        <v>2230</v>
      </c>
      <c r="F82" s="15">
        <v>2020</v>
      </c>
      <c r="G82" s="15">
        <v>3696</v>
      </c>
      <c r="H82" s="15">
        <v>403</v>
      </c>
      <c r="I82" s="15">
        <v>3907</v>
      </c>
      <c r="J82" s="15">
        <v>8633</v>
      </c>
      <c r="K82" s="15" t="s">
        <v>168</v>
      </c>
    </row>
    <row r="83" spans="2:11" ht="15" customHeight="1" x14ac:dyDescent="0.75">
      <c r="B83" s="18" t="s">
        <v>244</v>
      </c>
      <c r="C83" s="15">
        <v>20529</v>
      </c>
      <c r="D83" s="15">
        <v>19365</v>
      </c>
      <c r="E83" s="15">
        <v>3183</v>
      </c>
      <c r="F83" s="15">
        <v>2268</v>
      </c>
      <c r="G83" s="15">
        <v>4971</v>
      </c>
      <c r="H83" s="15">
        <v>1099</v>
      </c>
      <c r="I83" s="15">
        <v>5496</v>
      </c>
      <c r="J83" s="15">
        <v>11950</v>
      </c>
      <c r="K83" s="15" t="s">
        <v>168</v>
      </c>
    </row>
    <row r="84" spans="2:11" ht="15" customHeight="1" x14ac:dyDescent="0.75">
      <c r="B84" s="18" t="s">
        <v>245</v>
      </c>
      <c r="C84" s="15">
        <v>15867</v>
      </c>
      <c r="D84" s="15">
        <v>15148</v>
      </c>
      <c r="E84" s="15">
        <v>2427</v>
      </c>
      <c r="F84" s="15">
        <v>1262</v>
      </c>
      <c r="G84" s="15">
        <v>3999</v>
      </c>
      <c r="H84" s="15">
        <v>828</v>
      </c>
      <c r="I84" s="15">
        <v>3993</v>
      </c>
      <c r="J84" s="15">
        <v>10640</v>
      </c>
      <c r="K84" s="15">
        <v>443</v>
      </c>
    </row>
    <row r="85" spans="2:11" ht="15" customHeight="1" x14ac:dyDescent="0.75">
      <c r="B85" s="18" t="s">
        <v>246</v>
      </c>
      <c r="C85" s="15">
        <v>9395</v>
      </c>
      <c r="D85" s="15">
        <v>8711</v>
      </c>
      <c r="E85" s="15">
        <v>724</v>
      </c>
      <c r="F85" s="15">
        <v>878</v>
      </c>
      <c r="G85" s="15">
        <v>2183</v>
      </c>
      <c r="H85" s="15">
        <v>631</v>
      </c>
      <c r="I85" s="15">
        <v>2266</v>
      </c>
      <c r="J85" s="15">
        <v>6372</v>
      </c>
      <c r="K85" s="15">
        <v>364</v>
      </c>
    </row>
    <row r="86" spans="2:11" ht="15" customHeight="1" x14ac:dyDescent="0.75">
      <c r="B86" s="18" t="s">
        <v>247</v>
      </c>
      <c r="C86" s="15">
        <v>17253</v>
      </c>
      <c r="D86" s="15">
        <v>16224</v>
      </c>
      <c r="E86" s="15">
        <v>2666</v>
      </c>
      <c r="F86" s="15">
        <v>1246</v>
      </c>
      <c r="G86" s="15">
        <v>4696</v>
      </c>
      <c r="H86" s="15">
        <v>2792</v>
      </c>
      <c r="I86" s="15">
        <v>5601</v>
      </c>
      <c r="J86" s="15">
        <v>8582</v>
      </c>
      <c r="K86" s="15" t="s">
        <v>168</v>
      </c>
    </row>
    <row r="87" spans="2:11" ht="24" customHeight="1" x14ac:dyDescent="0.75">
      <c r="B87" s="16" t="s">
        <v>248</v>
      </c>
      <c r="C87" s="22" t="s">
        <v>166</v>
      </c>
      <c r="D87" s="22" t="s">
        <v>166</v>
      </c>
      <c r="E87" s="22" t="s">
        <v>166</v>
      </c>
      <c r="F87" s="22" t="s">
        <v>166</v>
      </c>
      <c r="G87" s="22" t="s">
        <v>166</v>
      </c>
      <c r="H87" s="22" t="s">
        <v>166</v>
      </c>
      <c r="I87" s="22" t="s">
        <v>166</v>
      </c>
      <c r="J87" s="22" t="s">
        <v>166</v>
      </c>
      <c r="K87" s="22" t="s">
        <v>166</v>
      </c>
    </row>
    <row r="88" spans="2:11" ht="15" customHeight="1" x14ac:dyDescent="0.75">
      <c r="B88" s="18" t="s">
        <v>249</v>
      </c>
      <c r="C88" s="15">
        <v>67550</v>
      </c>
      <c r="D88" s="15">
        <v>61341</v>
      </c>
      <c r="E88" s="15">
        <v>8500</v>
      </c>
      <c r="F88" s="15">
        <v>7472</v>
      </c>
      <c r="G88" s="15">
        <v>16206</v>
      </c>
      <c r="H88" s="15">
        <v>3119</v>
      </c>
      <c r="I88" s="15">
        <v>13405</v>
      </c>
      <c r="J88" s="15">
        <v>40336</v>
      </c>
      <c r="K88" s="15">
        <v>1316</v>
      </c>
    </row>
    <row r="89" spans="2:11" ht="15" customHeight="1" x14ac:dyDescent="0.75">
      <c r="B89" s="19" t="s">
        <v>250</v>
      </c>
      <c r="C89" s="15">
        <v>30637</v>
      </c>
      <c r="D89" s="15">
        <v>28745</v>
      </c>
      <c r="E89" s="15">
        <v>3841</v>
      </c>
      <c r="F89" s="15">
        <v>3629</v>
      </c>
      <c r="G89" s="15">
        <v>7363</v>
      </c>
      <c r="H89" s="15">
        <v>1825</v>
      </c>
      <c r="I89" s="15">
        <v>6663</v>
      </c>
      <c r="J89" s="15">
        <v>17635</v>
      </c>
      <c r="K89" s="15">
        <v>214</v>
      </c>
    </row>
    <row r="90" spans="2:11" ht="15" customHeight="1" x14ac:dyDescent="0.75">
      <c r="B90" s="19" t="s">
        <v>251</v>
      </c>
      <c r="C90" s="15">
        <v>26115</v>
      </c>
      <c r="D90" s="15">
        <v>23766</v>
      </c>
      <c r="E90" s="15">
        <v>3022</v>
      </c>
      <c r="F90" s="15">
        <v>2880</v>
      </c>
      <c r="G90" s="15">
        <v>6507</v>
      </c>
      <c r="H90" s="15">
        <v>730</v>
      </c>
      <c r="I90" s="15">
        <v>4091</v>
      </c>
      <c r="J90" s="15">
        <v>17239</v>
      </c>
      <c r="K90" s="15">
        <v>1021</v>
      </c>
    </row>
    <row r="91" spans="2:11" ht="15" customHeight="1" x14ac:dyDescent="0.75">
      <c r="B91" s="19" t="s">
        <v>252</v>
      </c>
      <c r="C91" s="15">
        <v>8873</v>
      </c>
      <c r="D91" s="15">
        <v>8328</v>
      </c>
      <c r="E91" s="15">
        <v>1597</v>
      </c>
      <c r="F91" s="15">
        <v>900</v>
      </c>
      <c r="G91" s="15">
        <v>2284</v>
      </c>
      <c r="H91" s="15">
        <v>557</v>
      </c>
      <c r="I91" s="15">
        <v>2590</v>
      </c>
      <c r="J91" s="15">
        <v>5102</v>
      </c>
      <c r="K91" s="15" t="s">
        <v>168</v>
      </c>
    </row>
    <row r="92" spans="2:11" ht="15" customHeight="1" x14ac:dyDescent="0.75">
      <c r="B92" s="19" t="s">
        <v>253</v>
      </c>
      <c r="C92" s="15">
        <v>1925</v>
      </c>
      <c r="D92" s="15">
        <v>502</v>
      </c>
      <c r="E92" s="15" t="s">
        <v>168</v>
      </c>
      <c r="F92" s="15" t="s">
        <v>168</v>
      </c>
      <c r="G92" s="15" t="s">
        <v>168</v>
      </c>
      <c r="H92" s="15" t="s">
        <v>168</v>
      </c>
      <c r="I92" s="15" t="s">
        <v>168</v>
      </c>
      <c r="J92" s="15">
        <v>360</v>
      </c>
      <c r="K92" s="15" t="s">
        <v>168</v>
      </c>
    </row>
    <row r="93" spans="2:11" ht="15" customHeight="1" x14ac:dyDescent="0.75">
      <c r="B93" s="18" t="s">
        <v>254</v>
      </c>
      <c r="C93" s="15">
        <v>19543</v>
      </c>
      <c r="D93" s="15">
        <v>18736</v>
      </c>
      <c r="E93" s="15">
        <v>3346</v>
      </c>
      <c r="F93" s="15">
        <v>1182</v>
      </c>
      <c r="G93" s="15">
        <v>4561</v>
      </c>
      <c r="H93" s="15">
        <v>2807</v>
      </c>
      <c r="I93" s="15">
        <v>9038</v>
      </c>
      <c r="J93" s="15">
        <v>8852</v>
      </c>
      <c r="K93" s="15" t="s">
        <v>168</v>
      </c>
    </row>
    <row r="94" spans="2:11" ht="15" customHeight="1" x14ac:dyDescent="0.75">
      <c r="B94" s="19" t="s">
        <v>255</v>
      </c>
      <c r="C94" s="15">
        <v>1573</v>
      </c>
      <c r="D94" s="15">
        <v>1557</v>
      </c>
      <c r="E94" s="15">
        <v>212</v>
      </c>
      <c r="F94" s="15" t="s">
        <v>168</v>
      </c>
      <c r="G94" s="15">
        <v>558</v>
      </c>
      <c r="H94" s="15">
        <v>697</v>
      </c>
      <c r="I94" s="15">
        <v>471</v>
      </c>
      <c r="J94" s="15">
        <v>495</v>
      </c>
      <c r="K94" s="15" t="s">
        <v>168</v>
      </c>
    </row>
    <row r="95" spans="2:11" ht="15" customHeight="1" x14ac:dyDescent="0.75">
      <c r="B95" s="19" t="s">
        <v>256</v>
      </c>
      <c r="C95" s="15">
        <v>5539</v>
      </c>
      <c r="D95" s="15">
        <v>5411</v>
      </c>
      <c r="E95" s="15">
        <v>636</v>
      </c>
      <c r="F95" s="15">
        <v>378</v>
      </c>
      <c r="G95" s="15">
        <v>1375</v>
      </c>
      <c r="H95" s="15">
        <v>1526</v>
      </c>
      <c r="I95" s="15">
        <v>2305</v>
      </c>
      <c r="J95" s="15">
        <v>2213</v>
      </c>
      <c r="K95" s="15" t="s">
        <v>168</v>
      </c>
    </row>
    <row r="96" spans="2:11" ht="15" customHeight="1" x14ac:dyDescent="0.75">
      <c r="B96" s="19" t="s">
        <v>257</v>
      </c>
      <c r="C96" s="15">
        <v>12431</v>
      </c>
      <c r="D96" s="15">
        <v>11768</v>
      </c>
      <c r="E96" s="15">
        <v>2497</v>
      </c>
      <c r="F96" s="15">
        <v>753</v>
      </c>
      <c r="G96" s="15">
        <v>2628</v>
      </c>
      <c r="H96" s="15">
        <v>584</v>
      </c>
      <c r="I96" s="15">
        <v>6263</v>
      </c>
      <c r="J96" s="15">
        <v>6144</v>
      </c>
      <c r="K96" s="15" t="s">
        <v>168</v>
      </c>
    </row>
    <row r="97" spans="2:11" ht="45.95" customHeight="1" x14ac:dyDescent="0.75">
      <c r="B97" s="16" t="s">
        <v>258</v>
      </c>
      <c r="C97" s="22" t="s">
        <v>166</v>
      </c>
      <c r="D97" s="22" t="s">
        <v>166</v>
      </c>
      <c r="E97" s="22" t="s">
        <v>166</v>
      </c>
      <c r="F97" s="22" t="s">
        <v>166</v>
      </c>
      <c r="G97" s="22" t="s">
        <v>166</v>
      </c>
      <c r="H97" s="22" t="s">
        <v>166</v>
      </c>
      <c r="I97" s="22" t="s">
        <v>166</v>
      </c>
      <c r="J97" s="22" t="s">
        <v>166</v>
      </c>
      <c r="K97" s="22" t="s">
        <v>166</v>
      </c>
    </row>
    <row r="98" spans="2:11" ht="15" customHeight="1" x14ac:dyDescent="0.75">
      <c r="B98" s="18" t="s">
        <v>259</v>
      </c>
      <c r="C98" s="15">
        <v>73702</v>
      </c>
      <c r="D98" s="15">
        <v>67644</v>
      </c>
      <c r="E98" s="15">
        <v>10210</v>
      </c>
      <c r="F98" s="15">
        <v>7076</v>
      </c>
      <c r="G98" s="15">
        <v>17425</v>
      </c>
      <c r="H98" s="15">
        <v>5737</v>
      </c>
      <c r="I98" s="15">
        <v>20588</v>
      </c>
      <c r="J98" s="15">
        <v>39517</v>
      </c>
      <c r="K98" s="15">
        <v>1008</v>
      </c>
    </row>
    <row r="99" spans="2:11" ht="15" customHeight="1" x14ac:dyDescent="0.75">
      <c r="B99" s="18" t="s">
        <v>260</v>
      </c>
      <c r="C99" s="15">
        <v>11309</v>
      </c>
      <c r="D99" s="15">
        <v>10534</v>
      </c>
      <c r="E99" s="15">
        <v>1240</v>
      </c>
      <c r="F99" s="15">
        <v>1325</v>
      </c>
      <c r="G99" s="15">
        <v>2895</v>
      </c>
      <c r="H99" s="15" t="s">
        <v>168</v>
      </c>
      <c r="I99" s="15">
        <v>1363</v>
      </c>
      <c r="J99" s="15">
        <v>8598</v>
      </c>
      <c r="K99" s="15">
        <v>549</v>
      </c>
    </row>
    <row r="100" spans="2:11" ht="15" customHeight="1" x14ac:dyDescent="0.75">
      <c r="B100" s="18" t="s">
        <v>261</v>
      </c>
      <c r="C100" s="15">
        <v>1250</v>
      </c>
      <c r="D100" s="15">
        <v>1073</v>
      </c>
      <c r="E100" s="15" t="s">
        <v>168</v>
      </c>
      <c r="F100" s="15" t="s">
        <v>168</v>
      </c>
      <c r="G100" s="15">
        <v>227</v>
      </c>
      <c r="H100" s="15" t="s">
        <v>168</v>
      </c>
      <c r="I100" s="15">
        <v>273</v>
      </c>
      <c r="J100" s="15">
        <v>652</v>
      </c>
      <c r="K100" s="15" t="s">
        <v>168</v>
      </c>
    </row>
    <row r="101" spans="2:11" ht="15" customHeight="1" x14ac:dyDescent="0.75">
      <c r="B101" s="18" t="s">
        <v>72</v>
      </c>
      <c r="C101" s="15">
        <v>832</v>
      </c>
      <c r="D101" s="15">
        <v>826</v>
      </c>
      <c r="E101" s="15" t="s">
        <v>168</v>
      </c>
      <c r="F101" s="15" t="s">
        <v>168</v>
      </c>
      <c r="G101" s="15" t="s">
        <v>168</v>
      </c>
      <c r="H101" s="15" t="s">
        <v>168</v>
      </c>
      <c r="I101" s="15">
        <v>219</v>
      </c>
      <c r="J101" s="15">
        <v>422</v>
      </c>
      <c r="K101" s="15" t="s">
        <v>179</v>
      </c>
    </row>
    <row r="102" spans="2:11" ht="33.950000000000003" customHeight="1" x14ac:dyDescent="0.75">
      <c r="B102" s="16" t="s">
        <v>262</v>
      </c>
      <c r="C102" s="22" t="s">
        <v>166</v>
      </c>
      <c r="D102" s="22" t="s">
        <v>166</v>
      </c>
      <c r="E102" s="22" t="s">
        <v>166</v>
      </c>
      <c r="F102" s="22" t="s">
        <v>166</v>
      </c>
      <c r="G102" s="22" t="s">
        <v>166</v>
      </c>
      <c r="H102" s="22" t="s">
        <v>166</v>
      </c>
      <c r="I102" s="22" t="s">
        <v>166</v>
      </c>
      <c r="J102" s="22" t="s">
        <v>166</v>
      </c>
      <c r="K102" s="22" t="s">
        <v>166</v>
      </c>
    </row>
    <row r="103" spans="2:11" ht="15" customHeight="1" x14ac:dyDescent="0.75">
      <c r="B103" s="18" t="s">
        <v>259</v>
      </c>
      <c r="C103" s="23">
        <v>76271</v>
      </c>
      <c r="D103" s="23">
        <v>70099</v>
      </c>
      <c r="E103" s="23">
        <v>10579</v>
      </c>
      <c r="F103" s="23">
        <v>7554</v>
      </c>
      <c r="G103" s="23">
        <v>17932</v>
      </c>
      <c r="H103" s="23">
        <v>5694</v>
      </c>
      <c r="I103" s="23">
        <v>20908</v>
      </c>
      <c r="J103" s="23">
        <v>41565</v>
      </c>
      <c r="K103" s="23">
        <v>1041</v>
      </c>
    </row>
    <row r="104" spans="2:11" ht="15" customHeight="1" x14ac:dyDescent="0.75">
      <c r="B104" s="18" t="s">
        <v>260</v>
      </c>
      <c r="C104" s="15">
        <v>8256</v>
      </c>
      <c r="D104" s="15">
        <v>7685</v>
      </c>
      <c r="E104" s="15">
        <v>800</v>
      </c>
      <c r="F104" s="15">
        <v>812</v>
      </c>
      <c r="G104" s="15">
        <v>2297</v>
      </c>
      <c r="H104" s="15" t="s">
        <v>168</v>
      </c>
      <c r="I104" s="15">
        <v>1058</v>
      </c>
      <c r="J104" s="15">
        <v>6096</v>
      </c>
      <c r="K104" s="15">
        <v>366</v>
      </c>
    </row>
    <row r="105" spans="2:11" ht="15" customHeight="1" x14ac:dyDescent="0.75">
      <c r="B105" s="18" t="s">
        <v>261</v>
      </c>
      <c r="C105" s="15">
        <v>880</v>
      </c>
      <c r="D105" s="15">
        <v>722</v>
      </c>
      <c r="E105" s="15" t="s">
        <v>168</v>
      </c>
      <c r="F105" s="15" t="s">
        <v>168</v>
      </c>
      <c r="G105" s="15">
        <v>201</v>
      </c>
      <c r="H105" s="15" t="s">
        <v>168</v>
      </c>
      <c r="I105" s="15" t="s">
        <v>168</v>
      </c>
      <c r="J105" s="15">
        <v>469</v>
      </c>
      <c r="K105" s="15" t="s">
        <v>168</v>
      </c>
    </row>
    <row r="106" spans="2:11" ht="15" customHeight="1" x14ac:dyDescent="0.75">
      <c r="B106" s="18" t="s">
        <v>72</v>
      </c>
      <c r="C106" s="15">
        <v>1686</v>
      </c>
      <c r="D106" s="15">
        <v>1571</v>
      </c>
      <c r="E106" s="15">
        <v>369</v>
      </c>
      <c r="F106" s="15" t="s">
        <v>168</v>
      </c>
      <c r="G106" s="15">
        <v>337</v>
      </c>
      <c r="H106" s="15" t="s">
        <v>168</v>
      </c>
      <c r="I106" s="15">
        <v>301</v>
      </c>
      <c r="J106" s="15">
        <v>1058</v>
      </c>
      <c r="K106" s="15" t="s">
        <v>168</v>
      </c>
    </row>
    <row r="107" spans="2:11" ht="24" customHeight="1" x14ac:dyDescent="0.75">
      <c r="B107" s="16" t="s">
        <v>263</v>
      </c>
      <c r="C107" s="17" t="s">
        <v>166</v>
      </c>
      <c r="D107" s="17" t="s">
        <v>166</v>
      </c>
      <c r="E107" s="17" t="s">
        <v>166</v>
      </c>
      <c r="F107" s="17" t="s">
        <v>166</v>
      </c>
      <c r="G107" s="17" t="s">
        <v>166</v>
      </c>
      <c r="H107" s="17" t="s">
        <v>166</v>
      </c>
      <c r="I107" s="17" t="s">
        <v>166</v>
      </c>
      <c r="J107" s="17" t="s">
        <v>166</v>
      </c>
      <c r="K107" s="17" t="s">
        <v>166</v>
      </c>
    </row>
    <row r="108" spans="2:11" ht="15" customHeight="1" x14ac:dyDescent="0.75">
      <c r="B108" s="18" t="s">
        <v>264</v>
      </c>
      <c r="C108" s="15">
        <v>52275</v>
      </c>
      <c r="D108" s="15">
        <v>48779</v>
      </c>
      <c r="E108" s="15">
        <v>6741</v>
      </c>
      <c r="F108" s="15">
        <v>5649</v>
      </c>
      <c r="G108" s="15">
        <v>12576</v>
      </c>
      <c r="H108" s="15">
        <v>960</v>
      </c>
      <c r="I108" s="15">
        <v>13400</v>
      </c>
      <c r="J108" s="15">
        <v>32001</v>
      </c>
      <c r="K108" s="15">
        <v>828</v>
      </c>
    </row>
    <row r="109" spans="2:11" ht="15" customHeight="1" x14ac:dyDescent="0.75">
      <c r="B109" s="18" t="s">
        <v>265</v>
      </c>
      <c r="C109" s="15">
        <v>4616</v>
      </c>
      <c r="D109" s="15">
        <v>4486</v>
      </c>
      <c r="E109" s="15">
        <v>986</v>
      </c>
      <c r="F109" s="15">
        <v>344</v>
      </c>
      <c r="G109" s="15">
        <v>647</v>
      </c>
      <c r="H109" s="15" t="s">
        <v>168</v>
      </c>
      <c r="I109" s="15">
        <v>1979</v>
      </c>
      <c r="J109" s="15">
        <v>2868</v>
      </c>
      <c r="K109" s="15" t="s">
        <v>168</v>
      </c>
    </row>
    <row r="110" spans="2:11" ht="15" customHeight="1" x14ac:dyDescent="0.75">
      <c r="B110" s="18" t="s">
        <v>266</v>
      </c>
      <c r="C110" s="15">
        <v>4068</v>
      </c>
      <c r="D110" s="15">
        <v>4008</v>
      </c>
      <c r="E110" s="15">
        <v>379</v>
      </c>
      <c r="F110" s="15" t="s">
        <v>168</v>
      </c>
      <c r="G110" s="15">
        <v>574</v>
      </c>
      <c r="H110" s="15">
        <v>2185</v>
      </c>
      <c r="I110" s="15">
        <v>1163</v>
      </c>
      <c r="J110" s="15">
        <v>758</v>
      </c>
      <c r="K110" s="15" t="s">
        <v>168</v>
      </c>
    </row>
    <row r="111" spans="2:11" ht="15" customHeight="1" x14ac:dyDescent="0.75">
      <c r="B111" s="18" t="s">
        <v>267</v>
      </c>
      <c r="C111" s="15">
        <v>3456</v>
      </c>
      <c r="D111" s="15">
        <v>3377</v>
      </c>
      <c r="E111" s="15">
        <v>681</v>
      </c>
      <c r="F111" s="15">
        <v>208</v>
      </c>
      <c r="G111" s="15">
        <v>699</v>
      </c>
      <c r="H111" s="15" t="s">
        <v>168</v>
      </c>
      <c r="I111" s="15">
        <v>894</v>
      </c>
      <c r="J111" s="15">
        <v>1754</v>
      </c>
      <c r="K111" s="15" t="s">
        <v>168</v>
      </c>
    </row>
    <row r="112" spans="2:11" ht="15" customHeight="1" x14ac:dyDescent="0.75">
      <c r="B112" s="18" t="s">
        <v>268</v>
      </c>
      <c r="C112" s="15">
        <v>5159</v>
      </c>
      <c r="D112" s="15">
        <v>4805</v>
      </c>
      <c r="E112" s="15">
        <v>675</v>
      </c>
      <c r="F112" s="15">
        <v>668</v>
      </c>
      <c r="G112" s="15">
        <v>1508</v>
      </c>
      <c r="H112" s="15" t="s">
        <v>179</v>
      </c>
      <c r="I112" s="15">
        <v>516</v>
      </c>
      <c r="J112" s="15">
        <v>4330</v>
      </c>
      <c r="K112" s="15">
        <v>598</v>
      </c>
    </row>
    <row r="113" spans="2:11" ht="15" customHeight="1" x14ac:dyDescent="0.75">
      <c r="B113" s="18" t="s">
        <v>269</v>
      </c>
      <c r="C113" s="15">
        <v>3212</v>
      </c>
      <c r="D113" s="15">
        <v>1285</v>
      </c>
      <c r="E113" s="15" t="s">
        <v>168</v>
      </c>
      <c r="F113" s="15" t="s">
        <v>168</v>
      </c>
      <c r="G113" s="15">
        <v>560</v>
      </c>
      <c r="H113" s="15" t="s">
        <v>179</v>
      </c>
      <c r="I113" s="15" t="s">
        <v>168</v>
      </c>
      <c r="J113" s="15">
        <v>691</v>
      </c>
      <c r="K113" s="15" t="s">
        <v>179</v>
      </c>
    </row>
    <row r="114" spans="2:11" ht="15" customHeight="1" x14ac:dyDescent="0.75">
      <c r="B114" s="18" t="s">
        <v>270</v>
      </c>
      <c r="C114" s="15">
        <v>1932</v>
      </c>
      <c r="D114" s="15">
        <v>1896</v>
      </c>
      <c r="E114" s="15">
        <v>207</v>
      </c>
      <c r="F114" s="15">
        <v>308</v>
      </c>
      <c r="G114" s="15">
        <v>242</v>
      </c>
      <c r="H114" s="15" t="s">
        <v>168</v>
      </c>
      <c r="I114" s="15">
        <v>565</v>
      </c>
      <c r="J114" s="15">
        <v>1152</v>
      </c>
      <c r="K114" s="15" t="s">
        <v>179</v>
      </c>
    </row>
    <row r="115" spans="2:11" ht="15" customHeight="1" x14ac:dyDescent="0.75">
      <c r="B115" s="18" t="s">
        <v>271</v>
      </c>
      <c r="C115" s="15">
        <v>3362</v>
      </c>
      <c r="D115" s="15">
        <v>3296</v>
      </c>
      <c r="E115" s="15">
        <v>592</v>
      </c>
      <c r="F115" s="15">
        <v>250</v>
      </c>
      <c r="G115" s="15">
        <v>882</v>
      </c>
      <c r="H115" s="15">
        <v>968</v>
      </c>
      <c r="I115" s="15">
        <v>1668</v>
      </c>
      <c r="J115" s="15">
        <v>1509</v>
      </c>
      <c r="K115" s="15" t="s">
        <v>168</v>
      </c>
    </row>
    <row r="116" spans="2:11" ht="15" customHeight="1" x14ac:dyDescent="0.75">
      <c r="B116" s="18" t="s">
        <v>272</v>
      </c>
      <c r="C116" s="15">
        <v>1295</v>
      </c>
      <c r="D116" s="15">
        <v>1181</v>
      </c>
      <c r="E116" s="15">
        <v>255</v>
      </c>
      <c r="F116" s="15" t="s">
        <v>168</v>
      </c>
      <c r="G116" s="15">
        <v>456</v>
      </c>
      <c r="H116" s="15" t="s">
        <v>168</v>
      </c>
      <c r="I116" s="15">
        <v>350</v>
      </c>
      <c r="J116" s="15">
        <v>383</v>
      </c>
      <c r="K116" s="15" t="s">
        <v>179</v>
      </c>
    </row>
    <row r="117" spans="2:11" ht="15" customHeight="1" x14ac:dyDescent="0.75">
      <c r="B117" s="18" t="s">
        <v>273</v>
      </c>
      <c r="C117" s="15">
        <v>554</v>
      </c>
      <c r="D117" s="15">
        <v>496</v>
      </c>
      <c r="E117" s="15" t="s">
        <v>168</v>
      </c>
      <c r="F117" s="15" t="s">
        <v>168</v>
      </c>
      <c r="G117" s="15">
        <v>282</v>
      </c>
      <c r="H117" s="15" t="s">
        <v>168</v>
      </c>
      <c r="I117" s="15" t="s">
        <v>168</v>
      </c>
      <c r="J117" s="15">
        <v>233</v>
      </c>
      <c r="K117" s="15" t="s">
        <v>179</v>
      </c>
    </row>
    <row r="118" spans="2:11" ht="15" customHeight="1" x14ac:dyDescent="0.75">
      <c r="B118" s="18" t="s">
        <v>274</v>
      </c>
      <c r="C118" s="15">
        <v>2107</v>
      </c>
      <c r="D118" s="15">
        <v>1992</v>
      </c>
      <c r="E118" s="15">
        <v>259</v>
      </c>
      <c r="F118" s="15" t="s">
        <v>168</v>
      </c>
      <c r="G118" s="15">
        <v>872</v>
      </c>
      <c r="H118" s="15">
        <v>720</v>
      </c>
      <c r="I118" s="15">
        <v>715</v>
      </c>
      <c r="J118" s="15">
        <v>711</v>
      </c>
      <c r="K118" s="15" t="s">
        <v>168</v>
      </c>
    </row>
    <row r="119" spans="2:11" ht="15" customHeight="1" x14ac:dyDescent="0.75">
      <c r="B119" s="18" t="s">
        <v>72</v>
      </c>
      <c r="C119" s="15">
        <v>5057</v>
      </c>
      <c r="D119" s="15">
        <v>4478</v>
      </c>
      <c r="E119" s="15">
        <v>876</v>
      </c>
      <c r="F119" s="15">
        <v>769</v>
      </c>
      <c r="G119" s="15">
        <v>1468</v>
      </c>
      <c r="H119" s="15" t="s">
        <v>168</v>
      </c>
      <c r="I119" s="15">
        <v>915</v>
      </c>
      <c r="J119" s="15">
        <v>2799</v>
      </c>
      <c r="K119" s="15" t="s">
        <v>168</v>
      </c>
    </row>
    <row r="120" spans="2:11" ht="44.15" customHeight="1" x14ac:dyDescent="0.75">
      <c r="B120" s="16" t="s">
        <v>275</v>
      </c>
      <c r="C120" s="22" t="s">
        <v>166</v>
      </c>
      <c r="D120" s="22" t="s">
        <v>166</v>
      </c>
      <c r="E120" s="22" t="s">
        <v>166</v>
      </c>
      <c r="F120" s="22" t="s">
        <v>166</v>
      </c>
      <c r="G120" s="22" t="s">
        <v>166</v>
      </c>
      <c r="H120" s="22" t="s">
        <v>166</v>
      </c>
      <c r="I120" s="22" t="s">
        <v>166</v>
      </c>
      <c r="J120" s="22" t="s">
        <v>166</v>
      </c>
      <c r="K120" s="22" t="s">
        <v>166</v>
      </c>
    </row>
    <row r="121" spans="2:11" ht="15" customHeight="1" x14ac:dyDescent="0.75">
      <c r="B121" s="18" t="s">
        <v>276</v>
      </c>
      <c r="C121" s="15">
        <v>42216</v>
      </c>
      <c r="D121" s="15">
        <v>40692</v>
      </c>
      <c r="E121" s="15">
        <v>6295</v>
      </c>
      <c r="F121" s="15">
        <v>4399</v>
      </c>
      <c r="G121" s="15">
        <v>12371</v>
      </c>
      <c r="H121" s="15">
        <v>3964</v>
      </c>
      <c r="I121" s="15">
        <v>13377</v>
      </c>
      <c r="J121" s="15">
        <v>25179</v>
      </c>
      <c r="K121" s="15">
        <v>783</v>
      </c>
    </row>
    <row r="122" spans="2:11" ht="15" customHeight="1" x14ac:dyDescent="0.75">
      <c r="B122" s="19" t="s">
        <v>277</v>
      </c>
      <c r="C122" s="15">
        <v>13022</v>
      </c>
      <c r="D122" s="15">
        <v>12822</v>
      </c>
      <c r="E122" s="15">
        <v>2127</v>
      </c>
      <c r="F122" s="15">
        <v>1526</v>
      </c>
      <c r="G122" s="15">
        <v>3745</v>
      </c>
      <c r="H122" s="15">
        <v>1254</v>
      </c>
      <c r="I122" s="15">
        <v>5423</v>
      </c>
      <c r="J122" s="15">
        <v>8320</v>
      </c>
      <c r="K122" s="15" t="s">
        <v>168</v>
      </c>
    </row>
    <row r="123" spans="2:11" ht="15" customHeight="1" x14ac:dyDescent="0.75">
      <c r="B123" s="19" t="s">
        <v>278</v>
      </c>
      <c r="C123" s="15">
        <v>1753</v>
      </c>
      <c r="D123" s="15">
        <v>1659</v>
      </c>
      <c r="E123" s="15">
        <v>303</v>
      </c>
      <c r="F123" s="15" t="s">
        <v>168</v>
      </c>
      <c r="G123" s="15">
        <v>519</v>
      </c>
      <c r="H123" s="15" t="s">
        <v>168</v>
      </c>
      <c r="I123" s="15">
        <v>381</v>
      </c>
      <c r="J123" s="15">
        <v>991</v>
      </c>
      <c r="K123" s="15" t="s">
        <v>168</v>
      </c>
    </row>
    <row r="124" spans="2:11" ht="15" customHeight="1" x14ac:dyDescent="0.75">
      <c r="B124" s="19" t="s">
        <v>279</v>
      </c>
      <c r="C124" s="15">
        <v>20917</v>
      </c>
      <c r="D124" s="15">
        <v>20344</v>
      </c>
      <c r="E124" s="15">
        <v>3033</v>
      </c>
      <c r="F124" s="15">
        <v>2181</v>
      </c>
      <c r="G124" s="15">
        <v>6534</v>
      </c>
      <c r="H124" s="15">
        <v>2010</v>
      </c>
      <c r="I124" s="15">
        <v>8067</v>
      </c>
      <c r="J124" s="15">
        <v>12038</v>
      </c>
      <c r="K124" s="15">
        <v>381</v>
      </c>
    </row>
    <row r="125" spans="2:11" ht="15" customHeight="1" x14ac:dyDescent="0.75">
      <c r="B125" s="19" t="s">
        <v>280</v>
      </c>
      <c r="C125" s="15">
        <v>4230</v>
      </c>
      <c r="D125" s="15">
        <v>4136</v>
      </c>
      <c r="E125" s="15">
        <v>751</v>
      </c>
      <c r="F125" s="15">
        <v>466</v>
      </c>
      <c r="G125" s="15">
        <v>1361</v>
      </c>
      <c r="H125" s="15">
        <v>353</v>
      </c>
      <c r="I125" s="15">
        <v>1463</v>
      </c>
      <c r="J125" s="15">
        <v>2706</v>
      </c>
      <c r="K125" s="15" t="s">
        <v>168</v>
      </c>
    </row>
    <row r="126" spans="2:11" ht="15" customHeight="1" x14ac:dyDescent="0.75">
      <c r="B126" s="19" t="s">
        <v>281</v>
      </c>
      <c r="C126" s="15">
        <v>21340</v>
      </c>
      <c r="D126" s="15">
        <v>20750</v>
      </c>
      <c r="E126" s="15">
        <v>3207</v>
      </c>
      <c r="F126" s="15">
        <v>2233</v>
      </c>
      <c r="G126" s="15">
        <v>6598</v>
      </c>
      <c r="H126" s="15">
        <v>2571</v>
      </c>
      <c r="I126" s="15">
        <v>6940</v>
      </c>
      <c r="J126" s="15">
        <v>13025</v>
      </c>
      <c r="K126" s="15">
        <v>313</v>
      </c>
    </row>
    <row r="127" spans="2:11" ht="15" customHeight="1" x14ac:dyDescent="0.75">
      <c r="B127" s="19" t="s">
        <v>282</v>
      </c>
      <c r="C127" s="15">
        <v>12265</v>
      </c>
      <c r="D127" s="15">
        <v>12011</v>
      </c>
      <c r="E127" s="15">
        <v>1850</v>
      </c>
      <c r="F127" s="15">
        <v>1377</v>
      </c>
      <c r="G127" s="15">
        <v>3770</v>
      </c>
      <c r="H127" s="15">
        <v>1431</v>
      </c>
      <c r="I127" s="15">
        <v>4758</v>
      </c>
      <c r="J127" s="15">
        <v>6742</v>
      </c>
      <c r="K127" s="15" t="s">
        <v>168</v>
      </c>
    </row>
    <row r="128" spans="2:11" ht="15" customHeight="1" x14ac:dyDescent="0.75">
      <c r="B128" s="19" t="s">
        <v>283</v>
      </c>
      <c r="C128" s="15">
        <v>26779</v>
      </c>
      <c r="D128" s="15">
        <v>26066</v>
      </c>
      <c r="E128" s="15">
        <v>4440</v>
      </c>
      <c r="F128" s="15">
        <v>3075</v>
      </c>
      <c r="G128" s="15">
        <v>8259</v>
      </c>
      <c r="H128" s="15">
        <v>2986</v>
      </c>
      <c r="I128" s="15">
        <v>9286</v>
      </c>
      <c r="J128" s="15">
        <v>16158</v>
      </c>
      <c r="K128" s="15">
        <v>499</v>
      </c>
    </row>
    <row r="129" spans="2:11" ht="15" customHeight="1" x14ac:dyDescent="0.75">
      <c r="B129" s="19" t="s">
        <v>284</v>
      </c>
      <c r="C129" s="15">
        <v>25503</v>
      </c>
      <c r="D129" s="15">
        <v>24896</v>
      </c>
      <c r="E129" s="15">
        <v>3933</v>
      </c>
      <c r="F129" s="15">
        <v>2514</v>
      </c>
      <c r="G129" s="15">
        <v>8132</v>
      </c>
      <c r="H129" s="15">
        <v>3037</v>
      </c>
      <c r="I129" s="15">
        <v>8908</v>
      </c>
      <c r="J129" s="15">
        <v>15008</v>
      </c>
      <c r="K129" s="15">
        <v>492</v>
      </c>
    </row>
    <row r="130" spans="2:11" ht="15" customHeight="1" x14ac:dyDescent="0.75">
      <c r="B130" s="19" t="s">
        <v>285</v>
      </c>
      <c r="C130" s="15">
        <v>16160</v>
      </c>
      <c r="D130" s="15">
        <v>15661</v>
      </c>
      <c r="E130" s="15">
        <v>2772</v>
      </c>
      <c r="F130" s="15">
        <v>1773</v>
      </c>
      <c r="G130" s="15">
        <v>5398</v>
      </c>
      <c r="H130" s="15">
        <v>2032</v>
      </c>
      <c r="I130" s="15">
        <v>5693</v>
      </c>
      <c r="J130" s="15">
        <v>9467</v>
      </c>
      <c r="K130" s="15" t="s">
        <v>168</v>
      </c>
    </row>
    <row r="131" spans="2:11" ht="15" customHeight="1" x14ac:dyDescent="0.75">
      <c r="B131" s="19" t="s">
        <v>286</v>
      </c>
      <c r="C131" s="15">
        <v>13828</v>
      </c>
      <c r="D131" s="15">
        <v>13537</v>
      </c>
      <c r="E131" s="15">
        <v>2344</v>
      </c>
      <c r="F131" s="15">
        <v>1500</v>
      </c>
      <c r="G131" s="15">
        <v>4666</v>
      </c>
      <c r="H131" s="15">
        <v>1724</v>
      </c>
      <c r="I131" s="15">
        <v>4987</v>
      </c>
      <c r="J131" s="15">
        <v>8052</v>
      </c>
      <c r="K131" s="15" t="s">
        <v>168</v>
      </c>
    </row>
    <row r="132" spans="2:11" ht="15" customHeight="1" x14ac:dyDescent="0.75">
      <c r="B132" s="19" t="s">
        <v>287</v>
      </c>
      <c r="C132" s="15">
        <v>7607</v>
      </c>
      <c r="D132" s="15">
        <v>7371</v>
      </c>
      <c r="E132" s="15">
        <v>1450</v>
      </c>
      <c r="F132" s="15">
        <v>1172</v>
      </c>
      <c r="G132" s="15">
        <v>2509</v>
      </c>
      <c r="H132" s="15">
        <v>1070</v>
      </c>
      <c r="I132" s="15">
        <v>2421</v>
      </c>
      <c r="J132" s="15">
        <v>4417</v>
      </c>
      <c r="K132" s="15" t="s">
        <v>168</v>
      </c>
    </row>
    <row r="133" spans="2:11" ht="15" customHeight="1" x14ac:dyDescent="0.75">
      <c r="B133" s="19" t="s">
        <v>288</v>
      </c>
      <c r="C133" s="15">
        <v>17196</v>
      </c>
      <c r="D133" s="15">
        <v>16676</v>
      </c>
      <c r="E133" s="15">
        <v>3139</v>
      </c>
      <c r="F133" s="15">
        <v>1736</v>
      </c>
      <c r="G133" s="15">
        <v>5566</v>
      </c>
      <c r="H133" s="15">
        <v>2073</v>
      </c>
      <c r="I133" s="15">
        <v>6630</v>
      </c>
      <c r="J133" s="15">
        <v>9806</v>
      </c>
      <c r="K133" s="15" t="s">
        <v>168</v>
      </c>
    </row>
    <row r="134" spans="2:11" ht="15" customHeight="1" x14ac:dyDescent="0.75">
      <c r="B134" s="19" t="s">
        <v>289</v>
      </c>
      <c r="C134" s="15">
        <v>3913</v>
      </c>
      <c r="D134" s="15">
        <v>3864</v>
      </c>
      <c r="E134" s="15">
        <v>836</v>
      </c>
      <c r="F134" s="15">
        <v>449</v>
      </c>
      <c r="G134" s="15">
        <v>1043</v>
      </c>
      <c r="H134" s="15">
        <v>697</v>
      </c>
      <c r="I134" s="15">
        <v>1208</v>
      </c>
      <c r="J134" s="15">
        <v>2317</v>
      </c>
      <c r="K134" s="15" t="s">
        <v>168</v>
      </c>
    </row>
    <row r="135" spans="2:11" ht="15" customHeight="1" x14ac:dyDescent="0.75">
      <c r="B135" s="19" t="s">
        <v>72</v>
      </c>
      <c r="C135" s="15">
        <v>848</v>
      </c>
      <c r="D135" s="15">
        <v>751</v>
      </c>
      <c r="E135" s="15" t="s">
        <v>168</v>
      </c>
      <c r="F135" s="15" t="s">
        <v>168</v>
      </c>
      <c r="G135" s="15">
        <v>411</v>
      </c>
      <c r="H135" s="15" t="s">
        <v>168</v>
      </c>
      <c r="I135" s="15" t="s">
        <v>168</v>
      </c>
      <c r="J135" s="15">
        <v>388</v>
      </c>
      <c r="K135" s="15" t="s">
        <v>168</v>
      </c>
    </row>
    <row r="136" spans="2:11" ht="15" customHeight="1" x14ac:dyDescent="0.75">
      <c r="B136" s="18" t="s">
        <v>290</v>
      </c>
      <c r="C136" s="15">
        <v>39154</v>
      </c>
      <c r="D136" s="15">
        <v>33880</v>
      </c>
      <c r="E136" s="15">
        <v>4725</v>
      </c>
      <c r="F136" s="15">
        <v>3813</v>
      </c>
      <c r="G136" s="15">
        <v>7447</v>
      </c>
      <c r="H136" s="15">
        <v>1770</v>
      </c>
      <c r="I136" s="15">
        <v>7763</v>
      </c>
      <c r="J136" s="15">
        <v>20268</v>
      </c>
      <c r="K136" s="15">
        <v>723</v>
      </c>
    </row>
    <row r="137" spans="2:11" ht="15" customHeight="1" x14ac:dyDescent="0.75">
      <c r="B137" s="24" t="s">
        <v>291</v>
      </c>
      <c r="C137" s="25">
        <v>5723</v>
      </c>
      <c r="D137" s="25">
        <v>5505</v>
      </c>
      <c r="E137" s="25">
        <v>826</v>
      </c>
      <c r="F137" s="25">
        <v>442</v>
      </c>
      <c r="G137" s="25">
        <v>948</v>
      </c>
      <c r="H137" s="25" t="s">
        <v>168</v>
      </c>
      <c r="I137" s="25">
        <v>1303</v>
      </c>
      <c r="J137" s="25">
        <v>3741</v>
      </c>
      <c r="K137" s="25" t="s">
        <v>168</v>
      </c>
    </row>
    <row r="138" spans="2:11" ht="33.950000000000003" customHeight="1" x14ac:dyDescent="0.75">
      <c r="B138" s="42" t="s">
        <v>292</v>
      </c>
      <c r="C138" s="43" t="s">
        <v>166</v>
      </c>
      <c r="D138" s="43" t="s">
        <v>166</v>
      </c>
      <c r="E138" s="43" t="s">
        <v>166</v>
      </c>
      <c r="F138" s="43" t="s">
        <v>166</v>
      </c>
      <c r="G138" s="43" t="s">
        <v>166</v>
      </c>
      <c r="H138" s="43" t="s">
        <v>166</v>
      </c>
      <c r="I138" s="43" t="s">
        <v>166</v>
      </c>
      <c r="J138" s="43" t="s">
        <v>166</v>
      </c>
      <c r="K138" s="43" t="s">
        <v>166</v>
      </c>
    </row>
    <row r="139" spans="2:11" ht="15" customHeight="1" x14ac:dyDescent="0.75">
      <c r="B139" s="24" t="s">
        <v>293</v>
      </c>
      <c r="C139" s="25">
        <v>84869</v>
      </c>
      <c r="D139" s="25">
        <v>80053</v>
      </c>
      <c r="E139" s="25">
        <v>11846</v>
      </c>
      <c r="F139" s="25">
        <v>8654</v>
      </c>
      <c r="G139" s="25">
        <v>20751</v>
      </c>
      <c r="H139" s="25">
        <v>5925</v>
      </c>
      <c r="I139" s="25">
        <v>22438</v>
      </c>
      <c r="J139" s="25">
        <v>49188</v>
      </c>
      <c r="K139" s="25">
        <v>1570</v>
      </c>
    </row>
    <row r="140" spans="2:11" ht="15" customHeight="1" x14ac:dyDescent="0.75">
      <c r="B140" s="24" t="s">
        <v>294</v>
      </c>
      <c r="C140" s="25">
        <v>58725</v>
      </c>
      <c r="D140" s="25">
        <v>58129</v>
      </c>
      <c r="E140" s="25">
        <v>7560</v>
      </c>
      <c r="F140" s="25">
        <v>7046</v>
      </c>
      <c r="G140" s="25">
        <v>15808</v>
      </c>
      <c r="H140" s="25">
        <v>2833</v>
      </c>
      <c r="I140" s="25">
        <v>20019</v>
      </c>
      <c r="J140" s="25">
        <v>37569</v>
      </c>
      <c r="K140" s="25">
        <v>1194</v>
      </c>
    </row>
    <row r="141" spans="2:11" ht="15" customHeight="1" x14ac:dyDescent="0.75">
      <c r="B141" s="24" t="s">
        <v>295</v>
      </c>
      <c r="C141" s="25">
        <v>20200</v>
      </c>
      <c r="D141" s="25">
        <v>19670</v>
      </c>
      <c r="E141" s="25">
        <v>3047</v>
      </c>
      <c r="F141" s="25">
        <v>870</v>
      </c>
      <c r="G141" s="25">
        <v>5874</v>
      </c>
      <c r="H141" s="25">
        <v>3088</v>
      </c>
      <c r="I141" s="25">
        <v>9340</v>
      </c>
      <c r="J141" s="25">
        <v>9580</v>
      </c>
      <c r="K141" s="25" t="s">
        <v>168</v>
      </c>
    </row>
    <row r="142" spans="2:11" ht="15" customHeight="1" x14ac:dyDescent="0.75">
      <c r="B142" s="24" t="s">
        <v>296</v>
      </c>
      <c r="C142" s="25">
        <v>5964</v>
      </c>
      <c r="D142" s="25">
        <v>5962</v>
      </c>
      <c r="E142" s="25">
        <v>556</v>
      </c>
      <c r="F142" s="25" t="s">
        <v>168</v>
      </c>
      <c r="G142" s="25">
        <v>1354</v>
      </c>
      <c r="H142" s="25">
        <v>5925</v>
      </c>
      <c r="I142" s="25" t="s">
        <v>168</v>
      </c>
      <c r="J142" s="25">
        <v>742</v>
      </c>
      <c r="K142" s="25" t="s">
        <v>168</v>
      </c>
    </row>
    <row r="143" spans="2:11" ht="15" customHeight="1" x14ac:dyDescent="0.75">
      <c r="B143" s="24" t="s">
        <v>297</v>
      </c>
      <c r="C143" s="25">
        <v>4608</v>
      </c>
      <c r="D143" s="25">
        <v>4561</v>
      </c>
      <c r="E143" s="25">
        <v>325</v>
      </c>
      <c r="F143" s="25" t="s">
        <v>168</v>
      </c>
      <c r="G143" s="25">
        <v>888</v>
      </c>
      <c r="H143" s="25">
        <v>3718</v>
      </c>
      <c r="I143" s="25">
        <v>582</v>
      </c>
      <c r="J143" s="25">
        <v>756</v>
      </c>
      <c r="K143" s="25" t="s">
        <v>168</v>
      </c>
    </row>
    <row r="144" spans="2:11" ht="15" customHeight="1" x14ac:dyDescent="0.75">
      <c r="B144" s="24" t="s">
        <v>93</v>
      </c>
      <c r="C144" s="25">
        <v>7706</v>
      </c>
      <c r="D144" s="25">
        <v>7332</v>
      </c>
      <c r="E144" s="25">
        <v>884</v>
      </c>
      <c r="F144" s="25">
        <v>757</v>
      </c>
      <c r="G144" s="25">
        <v>2742</v>
      </c>
      <c r="H144" s="25" t="s">
        <v>168</v>
      </c>
      <c r="I144" s="25">
        <v>1772</v>
      </c>
      <c r="J144" s="25">
        <v>4689</v>
      </c>
      <c r="K144" s="25">
        <v>277</v>
      </c>
    </row>
    <row r="145" spans="2:11" ht="15" customHeight="1" x14ac:dyDescent="0.75">
      <c r="B145" s="24" t="s">
        <v>72</v>
      </c>
      <c r="C145" s="25">
        <v>3826</v>
      </c>
      <c r="D145" s="25">
        <v>3826</v>
      </c>
      <c r="E145" s="25">
        <v>544</v>
      </c>
      <c r="F145" s="25">
        <v>429</v>
      </c>
      <c r="G145" s="25">
        <v>1353</v>
      </c>
      <c r="H145" s="25">
        <v>335</v>
      </c>
      <c r="I145" s="25">
        <v>1411</v>
      </c>
      <c r="J145" s="25">
        <v>2348</v>
      </c>
      <c r="K145" s="25" t="s">
        <v>168</v>
      </c>
    </row>
    <row r="146" spans="2:11" ht="33.950000000000003" customHeight="1" x14ac:dyDescent="0.75">
      <c r="B146" s="16" t="s">
        <v>298</v>
      </c>
      <c r="C146" s="22" t="s">
        <v>166</v>
      </c>
      <c r="D146" s="22" t="s">
        <v>166</v>
      </c>
      <c r="E146" s="22" t="s">
        <v>166</v>
      </c>
      <c r="F146" s="22" t="s">
        <v>166</v>
      </c>
      <c r="G146" s="22" t="s">
        <v>166</v>
      </c>
      <c r="H146" s="22" t="s">
        <v>166</v>
      </c>
      <c r="I146" s="22" t="s">
        <v>166</v>
      </c>
      <c r="J146" s="22" t="s">
        <v>166</v>
      </c>
      <c r="K146" s="22" t="s">
        <v>166</v>
      </c>
    </row>
    <row r="147" spans="2:11" ht="15" customHeight="1" x14ac:dyDescent="0.75">
      <c r="B147" s="18" t="s">
        <v>293</v>
      </c>
      <c r="C147" s="15">
        <v>49030</v>
      </c>
      <c r="D147" s="15">
        <v>49030</v>
      </c>
      <c r="E147" s="15">
        <v>11482</v>
      </c>
      <c r="F147" s="15">
        <v>5040</v>
      </c>
      <c r="G147" s="15">
        <v>16235</v>
      </c>
      <c r="H147" s="15">
        <v>1869</v>
      </c>
      <c r="I147" s="15">
        <v>10721</v>
      </c>
      <c r="J147" s="15">
        <v>35389</v>
      </c>
      <c r="K147" s="15">
        <v>1352</v>
      </c>
    </row>
    <row r="148" spans="2:11" ht="15" customHeight="1" x14ac:dyDescent="0.75">
      <c r="B148" s="18" t="s">
        <v>294</v>
      </c>
      <c r="C148" s="15">
        <v>49511</v>
      </c>
      <c r="D148" s="15">
        <v>49511</v>
      </c>
      <c r="E148" s="15">
        <v>5928</v>
      </c>
      <c r="F148" s="15">
        <v>6837</v>
      </c>
      <c r="G148" s="15">
        <v>13893</v>
      </c>
      <c r="H148" s="15">
        <v>350</v>
      </c>
      <c r="I148" s="15">
        <v>18893</v>
      </c>
      <c r="J148" s="15">
        <v>32966</v>
      </c>
      <c r="K148" s="15">
        <v>1094</v>
      </c>
    </row>
    <row r="149" spans="2:11" ht="15" customHeight="1" x14ac:dyDescent="0.75">
      <c r="B149" s="18" t="s">
        <v>295</v>
      </c>
      <c r="C149" s="15">
        <v>4351</v>
      </c>
      <c r="D149" s="15">
        <v>4351</v>
      </c>
      <c r="E149" s="15">
        <v>527</v>
      </c>
      <c r="F149" s="15">
        <v>183</v>
      </c>
      <c r="G149" s="15">
        <v>1648</v>
      </c>
      <c r="H149" s="15" t="s">
        <v>168</v>
      </c>
      <c r="I149" s="15">
        <v>2556</v>
      </c>
      <c r="J149" s="15">
        <v>1746</v>
      </c>
      <c r="K149" s="15" t="s">
        <v>168</v>
      </c>
    </row>
    <row r="150" spans="2:11" ht="15" customHeight="1" x14ac:dyDescent="0.75">
      <c r="B150" s="18" t="s">
        <v>296</v>
      </c>
      <c r="C150" s="15">
        <v>5925</v>
      </c>
      <c r="D150" s="15">
        <v>5925</v>
      </c>
      <c r="E150" s="15">
        <v>556</v>
      </c>
      <c r="F150" s="15" t="s">
        <v>168</v>
      </c>
      <c r="G150" s="15">
        <v>1334</v>
      </c>
      <c r="H150" s="15">
        <v>5925</v>
      </c>
      <c r="I150" s="15" t="s">
        <v>168</v>
      </c>
      <c r="J150" s="15">
        <v>725</v>
      </c>
      <c r="K150" s="15" t="s">
        <v>168</v>
      </c>
    </row>
    <row r="151" spans="2:11" ht="15" customHeight="1" x14ac:dyDescent="0.75">
      <c r="B151" s="18" t="s">
        <v>93</v>
      </c>
      <c r="C151" s="15">
        <v>3067</v>
      </c>
      <c r="D151" s="15">
        <v>3067</v>
      </c>
      <c r="E151" s="15">
        <v>385</v>
      </c>
      <c r="F151" s="15">
        <v>481</v>
      </c>
      <c r="G151" s="15">
        <v>1217</v>
      </c>
      <c r="H151" s="15" t="s">
        <v>168</v>
      </c>
      <c r="I151" s="15">
        <v>565</v>
      </c>
      <c r="J151" s="15">
        <v>1963</v>
      </c>
      <c r="K151" s="15" t="s">
        <v>168</v>
      </c>
    </row>
    <row r="152" spans="2:11" ht="15" customHeight="1" thickBot="1" x14ac:dyDescent="0.9">
      <c r="B152" s="24" t="s">
        <v>72</v>
      </c>
      <c r="C152" s="25">
        <v>1010</v>
      </c>
      <c r="D152" s="25">
        <v>1010</v>
      </c>
      <c r="E152" s="25" t="s">
        <v>168</v>
      </c>
      <c r="F152" s="25" t="s">
        <v>168</v>
      </c>
      <c r="G152" s="25">
        <v>590</v>
      </c>
      <c r="H152" s="25" t="s">
        <v>168</v>
      </c>
      <c r="I152" s="25" t="s">
        <v>168</v>
      </c>
      <c r="J152" s="25">
        <v>411</v>
      </c>
      <c r="K152" s="25" t="s">
        <v>168</v>
      </c>
    </row>
    <row r="153" spans="2:11" ht="33.950000000000003" customHeight="1" x14ac:dyDescent="0.75">
      <c r="B153" s="26" t="s">
        <v>299</v>
      </c>
      <c r="C153" s="27" t="s">
        <v>166</v>
      </c>
      <c r="D153" s="27" t="s">
        <v>166</v>
      </c>
      <c r="E153" s="27" t="s">
        <v>166</v>
      </c>
      <c r="F153" s="27" t="s">
        <v>166</v>
      </c>
      <c r="G153" s="27" t="s">
        <v>166</v>
      </c>
      <c r="H153" s="27" t="s">
        <v>166</v>
      </c>
      <c r="I153" s="27" t="s">
        <v>166</v>
      </c>
      <c r="J153" s="27" t="s">
        <v>166</v>
      </c>
      <c r="K153" s="28" t="s">
        <v>166</v>
      </c>
    </row>
    <row r="154" spans="2:11" ht="15" customHeight="1" x14ac:dyDescent="0.75">
      <c r="B154" s="29" t="s">
        <v>293</v>
      </c>
      <c r="C154" s="30">
        <v>26205</v>
      </c>
      <c r="D154" s="30">
        <v>26205</v>
      </c>
      <c r="E154" s="30">
        <v>7215</v>
      </c>
      <c r="F154" s="30">
        <v>2270</v>
      </c>
      <c r="G154" s="30">
        <v>6035</v>
      </c>
      <c r="H154" s="30" t="s">
        <v>168</v>
      </c>
      <c r="I154" s="30">
        <v>2982</v>
      </c>
      <c r="J154" s="30">
        <v>18523</v>
      </c>
      <c r="K154" s="31">
        <v>447</v>
      </c>
    </row>
    <row r="155" spans="2:11" ht="15" customHeight="1" x14ac:dyDescent="0.75">
      <c r="B155" s="29" t="s">
        <v>294</v>
      </c>
      <c r="C155" s="30">
        <v>42988</v>
      </c>
      <c r="D155" s="30">
        <v>42988</v>
      </c>
      <c r="E155" s="30">
        <v>3792</v>
      </c>
      <c r="F155" s="30">
        <v>5778</v>
      </c>
      <c r="G155" s="30">
        <v>11482</v>
      </c>
      <c r="H155" s="30" t="s">
        <v>168</v>
      </c>
      <c r="I155" s="30">
        <v>17437</v>
      </c>
      <c r="J155" s="30">
        <v>27826</v>
      </c>
      <c r="K155" s="31">
        <v>873</v>
      </c>
    </row>
    <row r="156" spans="2:11" ht="15" customHeight="1" x14ac:dyDescent="0.75">
      <c r="B156" s="29" t="s">
        <v>295</v>
      </c>
      <c r="C156" s="30">
        <v>2542</v>
      </c>
      <c r="D156" s="30">
        <v>2542</v>
      </c>
      <c r="E156" s="30" t="s">
        <v>168</v>
      </c>
      <c r="F156" s="30" t="s">
        <v>168</v>
      </c>
      <c r="G156" s="30">
        <v>1008</v>
      </c>
      <c r="H156" s="30" t="s">
        <v>168</v>
      </c>
      <c r="I156" s="30">
        <v>1504</v>
      </c>
      <c r="J156" s="30">
        <v>757</v>
      </c>
      <c r="K156" s="31" t="s">
        <v>168</v>
      </c>
    </row>
    <row r="157" spans="2:11" ht="15" customHeight="1" x14ac:dyDescent="0.75">
      <c r="B157" s="29" t="s">
        <v>296</v>
      </c>
      <c r="C157" s="30">
        <v>5797</v>
      </c>
      <c r="D157" s="30">
        <v>5797</v>
      </c>
      <c r="E157" s="30">
        <v>464</v>
      </c>
      <c r="F157" s="30" t="s">
        <v>168</v>
      </c>
      <c r="G157" s="30">
        <v>1271</v>
      </c>
      <c r="H157" s="30">
        <v>5797</v>
      </c>
      <c r="I157" s="30" t="s">
        <v>168</v>
      </c>
      <c r="J157" s="30">
        <v>650</v>
      </c>
      <c r="K157" s="31" t="s">
        <v>168</v>
      </c>
    </row>
    <row r="158" spans="2:11" ht="15" customHeight="1" x14ac:dyDescent="0.75">
      <c r="B158" s="29" t="s">
        <v>93</v>
      </c>
      <c r="C158" s="30">
        <v>1948</v>
      </c>
      <c r="D158" s="30">
        <v>1948</v>
      </c>
      <c r="E158" s="30" t="s">
        <v>168</v>
      </c>
      <c r="F158" s="30">
        <v>405</v>
      </c>
      <c r="G158" s="30">
        <v>666</v>
      </c>
      <c r="H158" s="30" t="s">
        <v>179</v>
      </c>
      <c r="I158" s="30">
        <v>276</v>
      </c>
      <c r="J158" s="30">
        <v>1193</v>
      </c>
      <c r="K158" s="31" t="s">
        <v>168</v>
      </c>
    </row>
    <row r="159" spans="2:11" ht="15" customHeight="1" thickBot="1" x14ac:dyDescent="0.9">
      <c r="B159" s="32" t="s">
        <v>72</v>
      </c>
      <c r="C159" s="33">
        <v>598</v>
      </c>
      <c r="D159" s="33">
        <v>598</v>
      </c>
      <c r="E159" s="33" t="s">
        <v>168</v>
      </c>
      <c r="F159" s="33" t="s">
        <v>168</v>
      </c>
      <c r="G159" s="33">
        <v>305</v>
      </c>
      <c r="H159" s="33" t="s">
        <v>179</v>
      </c>
      <c r="I159" s="33" t="s">
        <v>168</v>
      </c>
      <c r="J159" s="33" t="s">
        <v>168</v>
      </c>
      <c r="K159" s="34" t="s">
        <v>168</v>
      </c>
    </row>
    <row r="160" spans="2:11" ht="33.950000000000003" customHeight="1" x14ac:dyDescent="0.75">
      <c r="B160" s="16" t="s">
        <v>300</v>
      </c>
      <c r="C160" s="22" t="s">
        <v>166</v>
      </c>
      <c r="D160" s="22" t="s">
        <v>166</v>
      </c>
      <c r="E160" s="22" t="s">
        <v>166</v>
      </c>
      <c r="F160" s="22" t="s">
        <v>166</v>
      </c>
      <c r="G160" s="22" t="s">
        <v>166</v>
      </c>
      <c r="H160" s="22" t="s">
        <v>166</v>
      </c>
      <c r="I160" s="22" t="s">
        <v>166</v>
      </c>
      <c r="J160" s="22" t="s">
        <v>166</v>
      </c>
      <c r="K160" s="22" t="s">
        <v>166</v>
      </c>
    </row>
    <row r="161" spans="2:11" ht="15" customHeight="1" x14ac:dyDescent="0.75">
      <c r="B161" s="18" t="s">
        <v>156</v>
      </c>
      <c r="C161" s="15">
        <v>80078</v>
      </c>
      <c r="D161" s="15">
        <v>80078</v>
      </c>
      <c r="E161" s="15">
        <v>11846</v>
      </c>
      <c r="F161" s="15">
        <v>8654</v>
      </c>
      <c r="G161" s="15">
        <v>20766</v>
      </c>
      <c r="H161" s="15">
        <v>5925</v>
      </c>
      <c r="I161" s="15">
        <v>22443</v>
      </c>
      <c r="J161" s="15">
        <v>49188</v>
      </c>
      <c r="K161" s="15">
        <v>1574</v>
      </c>
    </row>
    <row r="162" spans="2:11" ht="15" customHeight="1" x14ac:dyDescent="0.75">
      <c r="B162" s="18" t="s">
        <v>301</v>
      </c>
      <c r="C162" s="15">
        <v>79294</v>
      </c>
      <c r="D162" s="15">
        <v>76834</v>
      </c>
      <c r="E162" s="15">
        <v>11772</v>
      </c>
      <c r="F162" s="15">
        <v>8514</v>
      </c>
      <c r="G162" s="15">
        <v>19159</v>
      </c>
      <c r="H162" s="15">
        <v>5864</v>
      </c>
      <c r="I162" s="15">
        <v>21579</v>
      </c>
      <c r="J162" s="15">
        <v>48053</v>
      </c>
      <c r="K162" s="15">
        <v>1534</v>
      </c>
    </row>
    <row r="163" spans="2:11" ht="15" customHeight="1" x14ac:dyDescent="0.75">
      <c r="B163" s="18" t="s">
        <v>302</v>
      </c>
      <c r="C163" s="15">
        <v>79015</v>
      </c>
      <c r="D163" s="15">
        <v>76584</v>
      </c>
      <c r="E163" s="15">
        <v>11576</v>
      </c>
      <c r="F163" s="15">
        <v>8420</v>
      </c>
      <c r="G163" s="15">
        <v>19548</v>
      </c>
      <c r="H163" s="15">
        <v>5783</v>
      </c>
      <c r="I163" s="15">
        <v>22020</v>
      </c>
      <c r="J163" s="15">
        <v>47297</v>
      </c>
      <c r="K163" s="15">
        <v>1532</v>
      </c>
    </row>
    <row r="164" spans="2:11" ht="15" customHeight="1" x14ac:dyDescent="0.75">
      <c r="B164" s="18" t="s">
        <v>303</v>
      </c>
      <c r="C164" s="15">
        <v>38546</v>
      </c>
      <c r="D164" s="15">
        <v>37771</v>
      </c>
      <c r="E164" s="15">
        <v>6592</v>
      </c>
      <c r="F164" s="15">
        <v>4005</v>
      </c>
      <c r="G164" s="15">
        <v>9590</v>
      </c>
      <c r="H164" s="15">
        <v>3116</v>
      </c>
      <c r="I164" s="15">
        <v>14847</v>
      </c>
      <c r="J164" s="15">
        <v>23131</v>
      </c>
      <c r="K164" s="15">
        <v>1306</v>
      </c>
    </row>
    <row r="165" spans="2:11" ht="15" customHeight="1" x14ac:dyDescent="0.75">
      <c r="B165" s="18" t="s">
        <v>304</v>
      </c>
      <c r="C165" s="15">
        <v>5078</v>
      </c>
      <c r="D165" s="15">
        <v>4790</v>
      </c>
      <c r="E165" s="15">
        <v>596</v>
      </c>
      <c r="F165" s="15">
        <v>671</v>
      </c>
      <c r="G165" s="15">
        <v>2219</v>
      </c>
      <c r="H165" s="15" t="s">
        <v>168</v>
      </c>
      <c r="I165" s="15">
        <v>795</v>
      </c>
      <c r="J165" s="15">
        <v>3538</v>
      </c>
      <c r="K165" s="15" t="s">
        <v>168</v>
      </c>
    </row>
    <row r="166" spans="2:11" ht="27.95" customHeight="1" x14ac:dyDescent="0.75">
      <c r="B166" s="18" t="s">
        <v>305</v>
      </c>
      <c r="C166" s="15">
        <v>25642</v>
      </c>
      <c r="D166" s="15">
        <v>25155</v>
      </c>
      <c r="E166" s="15">
        <v>4035</v>
      </c>
      <c r="F166" s="15">
        <v>1414</v>
      </c>
      <c r="G166" s="15">
        <v>6857</v>
      </c>
      <c r="H166" s="15">
        <v>3710</v>
      </c>
      <c r="I166" s="15">
        <v>11356</v>
      </c>
      <c r="J166" s="15">
        <v>13943</v>
      </c>
      <c r="K166" s="15">
        <v>626</v>
      </c>
    </row>
    <row r="167" spans="2:11" ht="24" customHeight="1" x14ac:dyDescent="0.75">
      <c r="B167" s="16" t="s">
        <v>306</v>
      </c>
      <c r="C167" s="22" t="s">
        <v>166</v>
      </c>
      <c r="D167" s="22" t="s">
        <v>166</v>
      </c>
      <c r="E167" s="22" t="s">
        <v>166</v>
      </c>
      <c r="F167" s="22" t="s">
        <v>166</v>
      </c>
      <c r="G167" s="22" t="s">
        <v>166</v>
      </c>
      <c r="H167" s="22" t="s">
        <v>166</v>
      </c>
      <c r="I167" s="22" t="s">
        <v>166</v>
      </c>
      <c r="J167" s="22" t="s">
        <v>166</v>
      </c>
      <c r="K167" s="22" t="s">
        <v>166</v>
      </c>
    </row>
    <row r="168" spans="2:11" ht="15" customHeight="1" x14ac:dyDescent="0.75">
      <c r="B168" s="18" t="s">
        <v>307</v>
      </c>
      <c r="C168" s="15">
        <v>7015</v>
      </c>
      <c r="D168" s="15" t="s">
        <v>179</v>
      </c>
      <c r="E168" s="15" t="s">
        <v>179</v>
      </c>
      <c r="F168" s="15" t="s">
        <v>179</v>
      </c>
      <c r="G168" s="15" t="s">
        <v>179</v>
      </c>
      <c r="H168" s="15" t="s">
        <v>179</v>
      </c>
      <c r="I168" s="15" t="s">
        <v>179</v>
      </c>
      <c r="J168" s="15" t="s">
        <v>179</v>
      </c>
      <c r="K168" s="15" t="s">
        <v>179</v>
      </c>
    </row>
    <row r="169" spans="2:11" ht="15" customHeight="1" x14ac:dyDescent="0.75">
      <c r="B169" s="18" t="s">
        <v>308</v>
      </c>
      <c r="C169" s="15">
        <v>10130</v>
      </c>
      <c r="D169" s="15">
        <v>10130</v>
      </c>
      <c r="E169" s="15">
        <v>1390</v>
      </c>
      <c r="F169" s="15">
        <v>931</v>
      </c>
      <c r="G169" s="15">
        <v>2964</v>
      </c>
      <c r="H169" s="15" t="s">
        <v>168</v>
      </c>
      <c r="I169" s="15">
        <v>1016</v>
      </c>
      <c r="J169" s="15">
        <v>6769</v>
      </c>
      <c r="K169" s="15" t="s">
        <v>168</v>
      </c>
    </row>
    <row r="170" spans="2:11" ht="15" customHeight="1" x14ac:dyDescent="0.75">
      <c r="B170" s="18" t="s">
        <v>309</v>
      </c>
      <c r="C170" s="15">
        <v>14650</v>
      </c>
      <c r="D170" s="15">
        <v>14650</v>
      </c>
      <c r="E170" s="15">
        <v>2531</v>
      </c>
      <c r="F170" s="15">
        <v>1628</v>
      </c>
      <c r="G170" s="15">
        <v>4499</v>
      </c>
      <c r="H170" s="15">
        <v>1126</v>
      </c>
      <c r="I170" s="15">
        <v>4532</v>
      </c>
      <c r="J170" s="15">
        <v>9295</v>
      </c>
      <c r="K170" s="15">
        <v>550</v>
      </c>
    </row>
    <row r="171" spans="2:11" ht="15" customHeight="1" x14ac:dyDescent="0.75">
      <c r="B171" s="35" t="s">
        <v>310</v>
      </c>
      <c r="C171" s="15">
        <v>55298</v>
      </c>
      <c r="D171" s="15">
        <v>55298</v>
      </c>
      <c r="E171" s="15">
        <v>7925</v>
      </c>
      <c r="F171" s="15">
        <v>6095</v>
      </c>
      <c r="G171" s="15">
        <v>13303</v>
      </c>
      <c r="H171" s="15">
        <v>4683</v>
      </c>
      <c r="I171" s="15">
        <v>16895</v>
      </c>
      <c r="J171" s="15">
        <v>33125</v>
      </c>
      <c r="K171" s="15">
        <v>980</v>
      </c>
    </row>
    <row r="172" spans="2:11" ht="33.950000000000003" customHeight="1" x14ac:dyDescent="0.75">
      <c r="B172" s="16" t="s">
        <v>157</v>
      </c>
      <c r="C172" s="22" t="s">
        <v>166</v>
      </c>
      <c r="D172" s="22" t="s">
        <v>166</v>
      </c>
      <c r="E172" s="22" t="s">
        <v>166</v>
      </c>
      <c r="F172" s="22" t="s">
        <v>166</v>
      </c>
      <c r="G172" s="22" t="s">
        <v>166</v>
      </c>
      <c r="H172" s="22" t="s">
        <v>166</v>
      </c>
      <c r="I172" s="22" t="s">
        <v>166</v>
      </c>
      <c r="J172" s="22" t="s">
        <v>166</v>
      </c>
      <c r="K172" s="22" t="s">
        <v>166</v>
      </c>
    </row>
    <row r="173" spans="2:11" ht="15" customHeight="1" x14ac:dyDescent="0.75">
      <c r="B173" s="18" t="s">
        <v>311</v>
      </c>
      <c r="C173" s="15">
        <v>11846</v>
      </c>
      <c r="D173" s="15">
        <v>11846</v>
      </c>
      <c r="E173" s="15">
        <v>11846</v>
      </c>
      <c r="F173" s="15">
        <v>1347</v>
      </c>
      <c r="G173" s="15">
        <v>2961</v>
      </c>
      <c r="H173" s="15">
        <v>556</v>
      </c>
      <c r="I173" s="15">
        <v>3225</v>
      </c>
      <c r="J173" s="15">
        <v>5597</v>
      </c>
      <c r="K173" s="15" t="s">
        <v>168</v>
      </c>
    </row>
    <row r="174" spans="2:11" ht="15" customHeight="1" x14ac:dyDescent="0.75">
      <c r="B174" s="18" t="s">
        <v>159</v>
      </c>
      <c r="C174" s="15">
        <v>8654</v>
      </c>
      <c r="D174" s="15">
        <v>8654</v>
      </c>
      <c r="E174" s="15">
        <v>1347</v>
      </c>
      <c r="F174" s="15">
        <v>8654</v>
      </c>
      <c r="G174" s="15">
        <v>2865</v>
      </c>
      <c r="H174" s="15" t="s">
        <v>168</v>
      </c>
      <c r="I174" s="15">
        <v>1053</v>
      </c>
      <c r="J174" s="15">
        <v>4165</v>
      </c>
      <c r="K174" s="15" t="s">
        <v>168</v>
      </c>
    </row>
    <row r="175" spans="2:11" ht="15" customHeight="1" x14ac:dyDescent="0.75">
      <c r="B175" s="18" t="s">
        <v>312</v>
      </c>
      <c r="C175" s="15">
        <v>20766</v>
      </c>
      <c r="D175" s="15">
        <v>20766</v>
      </c>
      <c r="E175" s="15">
        <v>2961</v>
      </c>
      <c r="F175" s="15">
        <v>2865</v>
      </c>
      <c r="G175" s="15">
        <v>20766</v>
      </c>
      <c r="H175" s="15">
        <v>1334</v>
      </c>
      <c r="I175" s="15">
        <v>5203</v>
      </c>
      <c r="J175" s="15">
        <v>11474</v>
      </c>
      <c r="K175" s="15">
        <v>667</v>
      </c>
    </row>
    <row r="176" spans="2:11" ht="15" customHeight="1" x14ac:dyDescent="0.75">
      <c r="B176" s="18" t="s">
        <v>296</v>
      </c>
      <c r="C176" s="15">
        <v>5925</v>
      </c>
      <c r="D176" s="15">
        <v>5925</v>
      </c>
      <c r="E176" s="15">
        <v>556</v>
      </c>
      <c r="F176" s="15" t="s">
        <v>168</v>
      </c>
      <c r="G176" s="15">
        <v>1334</v>
      </c>
      <c r="H176" s="15">
        <v>5925</v>
      </c>
      <c r="I176" s="15" t="s">
        <v>168</v>
      </c>
      <c r="J176" s="15">
        <v>725</v>
      </c>
      <c r="K176" s="15" t="s">
        <v>168</v>
      </c>
    </row>
    <row r="177" spans="2:11" ht="15" customHeight="1" x14ac:dyDescent="0.75">
      <c r="B177" s="18" t="s">
        <v>162</v>
      </c>
      <c r="C177" s="15">
        <v>22443</v>
      </c>
      <c r="D177" s="15">
        <v>22443</v>
      </c>
      <c r="E177" s="15">
        <v>3225</v>
      </c>
      <c r="F177" s="15">
        <v>1053</v>
      </c>
      <c r="G177" s="15">
        <v>5203</v>
      </c>
      <c r="H177" s="15" t="s">
        <v>168</v>
      </c>
      <c r="I177" s="15">
        <v>22443</v>
      </c>
      <c r="J177" s="15">
        <v>8817</v>
      </c>
      <c r="K177" s="15" t="s">
        <v>168</v>
      </c>
    </row>
    <row r="178" spans="2:11" ht="15" customHeight="1" x14ac:dyDescent="0.75">
      <c r="B178" s="18" t="s">
        <v>313</v>
      </c>
      <c r="C178" s="15">
        <v>49188</v>
      </c>
      <c r="D178" s="15">
        <v>49188</v>
      </c>
      <c r="E178" s="15">
        <v>5597</v>
      </c>
      <c r="F178" s="15">
        <v>4165</v>
      </c>
      <c r="G178" s="15">
        <v>11474</v>
      </c>
      <c r="H178" s="15">
        <v>725</v>
      </c>
      <c r="I178" s="15">
        <v>8817</v>
      </c>
      <c r="J178" s="15">
        <v>49188</v>
      </c>
      <c r="K178" s="15">
        <v>1147</v>
      </c>
    </row>
    <row r="179" spans="2:11" ht="15" customHeight="1" x14ac:dyDescent="0.75">
      <c r="B179" s="24" t="s">
        <v>72</v>
      </c>
      <c r="C179" s="25">
        <v>1574</v>
      </c>
      <c r="D179" s="15">
        <v>1574</v>
      </c>
      <c r="E179" s="15" t="s">
        <v>168</v>
      </c>
      <c r="F179" s="15" t="s">
        <v>168</v>
      </c>
      <c r="G179" s="15">
        <v>667</v>
      </c>
      <c r="H179" s="15" t="s">
        <v>168</v>
      </c>
      <c r="I179" s="15" t="s">
        <v>168</v>
      </c>
      <c r="J179" s="15">
        <v>1147</v>
      </c>
      <c r="K179" s="15">
        <v>1574</v>
      </c>
    </row>
    <row r="180" spans="2:11" ht="33.950000000000003" customHeight="1" x14ac:dyDescent="0.75">
      <c r="B180" s="42" t="s">
        <v>314</v>
      </c>
      <c r="C180" s="43" t="s">
        <v>166</v>
      </c>
      <c r="D180" s="22" t="s">
        <v>166</v>
      </c>
      <c r="E180" s="22" t="s">
        <v>166</v>
      </c>
      <c r="F180" s="22" t="s">
        <v>166</v>
      </c>
      <c r="G180" s="22" t="s">
        <v>166</v>
      </c>
      <c r="H180" s="22" t="s">
        <v>166</v>
      </c>
      <c r="I180" s="22" t="s">
        <v>166</v>
      </c>
      <c r="J180" s="22" t="s">
        <v>166</v>
      </c>
      <c r="K180" s="22" t="s">
        <v>166</v>
      </c>
    </row>
    <row r="181" spans="2:11" ht="27.95" customHeight="1" x14ac:dyDescent="0.75">
      <c r="B181" s="24" t="s">
        <v>315</v>
      </c>
      <c r="C181" s="25">
        <v>14765</v>
      </c>
      <c r="D181" s="15">
        <v>14158</v>
      </c>
      <c r="E181" s="15">
        <v>1516</v>
      </c>
      <c r="F181" s="15">
        <v>4906</v>
      </c>
      <c r="G181" s="15">
        <v>3884</v>
      </c>
      <c r="H181" s="15" t="s">
        <v>168</v>
      </c>
      <c r="I181" s="15">
        <v>2073</v>
      </c>
      <c r="J181" s="15">
        <v>8975</v>
      </c>
      <c r="K181" s="15">
        <v>356</v>
      </c>
    </row>
    <row r="182" spans="2:11" ht="15" customHeight="1" x14ac:dyDescent="0.75">
      <c r="B182" s="24" t="s">
        <v>311</v>
      </c>
      <c r="C182" s="25">
        <v>12538</v>
      </c>
      <c r="D182" s="15">
        <v>12464</v>
      </c>
      <c r="E182" s="15">
        <v>10037</v>
      </c>
      <c r="F182" s="15">
        <v>1365</v>
      </c>
      <c r="G182" s="15">
        <v>3016</v>
      </c>
      <c r="H182" s="15">
        <v>556</v>
      </c>
      <c r="I182" s="15">
        <v>3179</v>
      </c>
      <c r="J182" s="15">
        <v>6851</v>
      </c>
      <c r="K182" s="15" t="s">
        <v>168</v>
      </c>
    </row>
    <row r="183" spans="2:11" ht="15" customHeight="1" x14ac:dyDescent="0.75">
      <c r="B183" s="24" t="s">
        <v>316</v>
      </c>
      <c r="C183" s="25">
        <v>12420</v>
      </c>
      <c r="D183" s="15">
        <v>11953</v>
      </c>
      <c r="E183" s="15">
        <v>2015</v>
      </c>
      <c r="F183" s="15">
        <v>1318</v>
      </c>
      <c r="G183" s="15">
        <v>6038</v>
      </c>
      <c r="H183" s="15">
        <v>902</v>
      </c>
      <c r="I183" s="15">
        <v>5083</v>
      </c>
      <c r="J183" s="15">
        <v>6096</v>
      </c>
      <c r="K183" s="15" t="s">
        <v>168</v>
      </c>
    </row>
    <row r="184" spans="2:11" ht="15" customHeight="1" x14ac:dyDescent="0.75">
      <c r="B184" s="24" t="s">
        <v>297</v>
      </c>
      <c r="C184" s="25">
        <v>4608</v>
      </c>
      <c r="D184" s="15">
        <v>4561</v>
      </c>
      <c r="E184" s="15">
        <v>325</v>
      </c>
      <c r="F184" s="15" t="s">
        <v>168</v>
      </c>
      <c r="G184" s="15">
        <v>888</v>
      </c>
      <c r="H184" s="15">
        <v>3718</v>
      </c>
      <c r="I184" s="15">
        <v>582</v>
      </c>
      <c r="J184" s="15">
        <v>756</v>
      </c>
      <c r="K184" s="15" t="s">
        <v>168</v>
      </c>
    </row>
    <row r="185" spans="2:11" ht="15" customHeight="1" x14ac:dyDescent="0.75">
      <c r="B185" s="24" t="s">
        <v>317</v>
      </c>
      <c r="C185" s="25">
        <v>17041</v>
      </c>
      <c r="D185" s="15">
        <v>16685</v>
      </c>
      <c r="E185" s="15">
        <v>2333</v>
      </c>
      <c r="F185" s="15">
        <v>579</v>
      </c>
      <c r="G185" s="15">
        <v>4128</v>
      </c>
      <c r="H185" s="15">
        <v>1948</v>
      </c>
      <c r="I185" s="15">
        <v>11683</v>
      </c>
      <c r="J185" s="15">
        <v>7259</v>
      </c>
      <c r="K185" s="15" t="s">
        <v>168</v>
      </c>
    </row>
    <row r="186" spans="2:11" ht="15" customHeight="1" x14ac:dyDescent="0.75">
      <c r="B186" s="24" t="s">
        <v>318</v>
      </c>
      <c r="C186" s="25">
        <v>45153</v>
      </c>
      <c r="D186" s="15">
        <v>43820</v>
      </c>
      <c r="E186" s="15">
        <v>5282</v>
      </c>
      <c r="F186" s="15">
        <v>4004</v>
      </c>
      <c r="G186" s="15">
        <v>11336</v>
      </c>
      <c r="H186" s="15">
        <v>2056</v>
      </c>
      <c r="I186" s="15">
        <v>11510</v>
      </c>
      <c r="J186" s="15">
        <v>35944</v>
      </c>
      <c r="K186" s="15">
        <v>1228</v>
      </c>
    </row>
    <row r="187" spans="2:11" ht="15" customHeight="1" x14ac:dyDescent="0.75">
      <c r="B187" s="24" t="s">
        <v>319</v>
      </c>
      <c r="C187" s="25">
        <v>1918</v>
      </c>
      <c r="D187" s="15">
        <v>1879</v>
      </c>
      <c r="E187" s="15">
        <v>379</v>
      </c>
      <c r="F187" s="15" t="s">
        <v>168</v>
      </c>
      <c r="G187" s="15">
        <v>713</v>
      </c>
      <c r="H187" s="15" t="s">
        <v>168</v>
      </c>
      <c r="I187" s="15">
        <v>486</v>
      </c>
      <c r="J187" s="15">
        <v>1416</v>
      </c>
      <c r="K187" s="15" t="s">
        <v>168</v>
      </c>
    </row>
    <row r="188" spans="2:11" ht="15" customHeight="1" x14ac:dyDescent="0.75">
      <c r="B188" s="24" t="s">
        <v>72</v>
      </c>
      <c r="C188" s="25">
        <v>328</v>
      </c>
      <c r="D188" s="15">
        <v>328</v>
      </c>
      <c r="E188" s="15" t="s">
        <v>168</v>
      </c>
      <c r="F188" s="15" t="s">
        <v>168</v>
      </c>
      <c r="G188" s="15" t="s">
        <v>168</v>
      </c>
      <c r="H188" s="15" t="s">
        <v>168</v>
      </c>
      <c r="I188" s="15" t="s">
        <v>168</v>
      </c>
      <c r="J188" s="15" t="s">
        <v>168</v>
      </c>
      <c r="K188" s="15" t="s">
        <v>179</v>
      </c>
    </row>
    <row r="189" spans="2:11" ht="33.950000000000003" customHeight="1" x14ac:dyDescent="0.75">
      <c r="B189" s="16" t="s">
        <v>320</v>
      </c>
      <c r="C189" s="22" t="s">
        <v>166</v>
      </c>
      <c r="D189" s="22" t="s">
        <v>166</v>
      </c>
      <c r="E189" s="22" t="s">
        <v>166</v>
      </c>
      <c r="F189" s="22" t="s">
        <v>166</v>
      </c>
      <c r="G189" s="22" t="s">
        <v>166</v>
      </c>
      <c r="H189" s="22" t="s">
        <v>166</v>
      </c>
      <c r="I189" s="22" t="s">
        <v>166</v>
      </c>
      <c r="J189" s="22" t="s">
        <v>166</v>
      </c>
      <c r="K189" s="22" t="s">
        <v>166</v>
      </c>
    </row>
    <row r="190" spans="2:11" ht="15" customHeight="1" x14ac:dyDescent="0.75">
      <c r="B190" s="18" t="s">
        <v>321</v>
      </c>
      <c r="C190" s="15">
        <v>27558</v>
      </c>
      <c r="D190" s="15">
        <v>27558</v>
      </c>
      <c r="E190" s="15">
        <v>4825</v>
      </c>
      <c r="F190" s="15">
        <v>3745</v>
      </c>
      <c r="G190" s="15">
        <v>8591</v>
      </c>
      <c r="H190" s="15" t="s">
        <v>168</v>
      </c>
      <c r="I190" s="15">
        <v>8332</v>
      </c>
      <c r="J190" s="15">
        <v>17733</v>
      </c>
      <c r="K190" s="15">
        <v>461</v>
      </c>
    </row>
    <row r="191" spans="2:11" ht="15" customHeight="1" x14ac:dyDescent="0.75">
      <c r="B191" s="18" t="s">
        <v>322</v>
      </c>
      <c r="C191" s="15">
        <v>30702</v>
      </c>
      <c r="D191" s="15">
        <v>29713</v>
      </c>
      <c r="E191" s="15">
        <v>5199</v>
      </c>
      <c r="F191" s="15">
        <v>4192</v>
      </c>
      <c r="G191" s="15">
        <v>9048</v>
      </c>
      <c r="H191" s="15">
        <v>1231</v>
      </c>
      <c r="I191" s="15">
        <v>9016</v>
      </c>
      <c r="J191" s="15">
        <v>18452</v>
      </c>
      <c r="K191" s="15">
        <v>510</v>
      </c>
    </row>
    <row r="192" spans="2:11" ht="33.950000000000003" customHeight="1" x14ac:dyDescent="0.75">
      <c r="B192" s="16" t="s">
        <v>323</v>
      </c>
      <c r="C192" s="22" t="s">
        <v>166</v>
      </c>
      <c r="D192" s="22" t="s">
        <v>166</v>
      </c>
      <c r="E192" s="22" t="s">
        <v>166</v>
      </c>
      <c r="F192" s="22" t="s">
        <v>166</v>
      </c>
      <c r="G192" s="22" t="s">
        <v>166</v>
      </c>
      <c r="H192" s="22" t="s">
        <v>166</v>
      </c>
      <c r="I192" s="22" t="s">
        <v>166</v>
      </c>
      <c r="J192" s="22" t="s">
        <v>166</v>
      </c>
      <c r="K192" s="22" t="s">
        <v>166</v>
      </c>
    </row>
    <row r="193" spans="2:11" ht="15" customHeight="1" x14ac:dyDescent="0.75">
      <c r="B193" s="18" t="s">
        <v>324</v>
      </c>
      <c r="C193" s="15">
        <v>30749</v>
      </c>
      <c r="D193" s="15">
        <v>30454</v>
      </c>
      <c r="E193" s="15">
        <v>4726</v>
      </c>
      <c r="F193" s="15">
        <v>2221</v>
      </c>
      <c r="G193" s="15">
        <v>7496</v>
      </c>
      <c r="H193" s="15">
        <v>4063</v>
      </c>
      <c r="I193" s="15">
        <v>12065</v>
      </c>
      <c r="J193" s="15">
        <v>19411</v>
      </c>
      <c r="K193" s="15">
        <v>707</v>
      </c>
    </row>
    <row r="194" spans="2:11" ht="15" customHeight="1" x14ac:dyDescent="0.75">
      <c r="B194" s="18" t="s">
        <v>325</v>
      </c>
      <c r="C194" s="15">
        <v>69244</v>
      </c>
      <c r="D194" s="15">
        <v>67518</v>
      </c>
      <c r="E194" s="15">
        <v>10742</v>
      </c>
      <c r="F194" s="15">
        <v>6994</v>
      </c>
      <c r="G194" s="15">
        <v>15683</v>
      </c>
      <c r="H194" s="15">
        <v>5591</v>
      </c>
      <c r="I194" s="15">
        <v>20967</v>
      </c>
      <c r="J194" s="15">
        <v>42471</v>
      </c>
      <c r="K194" s="15">
        <v>1340</v>
      </c>
    </row>
    <row r="195" spans="2:11" ht="15" customHeight="1" x14ac:dyDescent="0.75">
      <c r="B195" s="18" t="s">
        <v>326</v>
      </c>
      <c r="C195" s="15">
        <v>37051</v>
      </c>
      <c r="D195" s="15">
        <v>36511</v>
      </c>
      <c r="E195" s="15">
        <v>5652</v>
      </c>
      <c r="F195" s="15">
        <v>2267</v>
      </c>
      <c r="G195" s="15">
        <v>7757</v>
      </c>
      <c r="H195" s="15">
        <v>4967</v>
      </c>
      <c r="I195" s="15">
        <v>14726</v>
      </c>
      <c r="J195" s="15">
        <v>21943</v>
      </c>
      <c r="K195" s="15">
        <v>1047</v>
      </c>
    </row>
    <row r="196" spans="2:11" ht="44.15" customHeight="1" x14ac:dyDescent="0.75">
      <c r="B196" s="16" t="s">
        <v>327</v>
      </c>
      <c r="C196" s="22" t="s">
        <v>166</v>
      </c>
      <c r="D196" s="22" t="s">
        <v>166</v>
      </c>
      <c r="E196" s="22" t="s">
        <v>166</v>
      </c>
      <c r="F196" s="22" t="s">
        <v>166</v>
      </c>
      <c r="G196" s="22" t="s">
        <v>166</v>
      </c>
      <c r="H196" s="22" t="s">
        <v>166</v>
      </c>
      <c r="I196" s="22" t="s">
        <v>166</v>
      </c>
      <c r="J196" s="22" t="s">
        <v>166</v>
      </c>
      <c r="K196" s="22" t="s">
        <v>166</v>
      </c>
    </row>
    <row r="197" spans="2:11" ht="15" customHeight="1" x14ac:dyDescent="0.75">
      <c r="B197" s="18" t="s">
        <v>321</v>
      </c>
      <c r="C197" s="15">
        <v>63167</v>
      </c>
      <c r="D197" s="15">
        <v>63167</v>
      </c>
      <c r="E197" s="15">
        <v>9415</v>
      </c>
      <c r="F197" s="15">
        <v>7390</v>
      </c>
      <c r="G197" s="15">
        <v>16076</v>
      </c>
      <c r="H197" s="15">
        <v>4011</v>
      </c>
      <c r="I197" s="15">
        <v>17877</v>
      </c>
      <c r="J197" s="15">
        <v>40078</v>
      </c>
      <c r="K197" s="15">
        <v>1334</v>
      </c>
    </row>
    <row r="198" spans="2:11" ht="15" customHeight="1" x14ac:dyDescent="0.75">
      <c r="B198" s="18" t="s">
        <v>322</v>
      </c>
      <c r="C198" s="15">
        <v>62516</v>
      </c>
      <c r="D198" s="15">
        <v>60904</v>
      </c>
      <c r="E198" s="15">
        <v>9350</v>
      </c>
      <c r="F198" s="15">
        <v>7194</v>
      </c>
      <c r="G198" s="15">
        <v>15084</v>
      </c>
      <c r="H198" s="15">
        <v>4029</v>
      </c>
      <c r="I198" s="15">
        <v>17152</v>
      </c>
      <c r="J198" s="15">
        <v>39291</v>
      </c>
      <c r="K198" s="15">
        <v>1306</v>
      </c>
    </row>
    <row r="199" spans="2:11" ht="15" customHeight="1" x14ac:dyDescent="0.75">
      <c r="B199" s="18" t="s">
        <v>328</v>
      </c>
      <c r="C199" s="15">
        <v>78594</v>
      </c>
      <c r="D199" s="15">
        <v>74955</v>
      </c>
      <c r="E199" s="15">
        <v>11191</v>
      </c>
      <c r="F199" s="15">
        <v>8237</v>
      </c>
      <c r="G199" s="15">
        <v>19658</v>
      </c>
      <c r="H199" s="15">
        <v>5470</v>
      </c>
      <c r="I199" s="15">
        <v>21363</v>
      </c>
      <c r="J199" s="15">
        <v>45948</v>
      </c>
      <c r="K199" s="15">
        <v>1465</v>
      </c>
    </row>
    <row r="200" spans="2:11" ht="15" customHeight="1" thickBot="1" x14ac:dyDescent="0.9">
      <c r="B200" s="19"/>
    </row>
    <row r="201" spans="2:11" ht="136.5" customHeight="1" x14ac:dyDescent="0.75">
      <c r="B201" s="107" t="s">
        <v>329</v>
      </c>
      <c r="C201" s="107"/>
      <c r="D201" s="107"/>
      <c r="E201" s="107"/>
      <c r="F201" s="107"/>
      <c r="G201" s="107"/>
      <c r="H201" s="107"/>
      <c r="I201" s="108"/>
      <c r="J201" s="108"/>
      <c r="K201" s="108"/>
    </row>
    <row r="202" spans="2:11" ht="14.25" customHeight="1" x14ac:dyDescent="0.75"/>
  </sheetData>
  <mergeCells count="6">
    <mergeCell ref="B201:K201"/>
    <mergeCell ref="B2:K2"/>
    <mergeCell ref="C3:K3"/>
    <mergeCell ref="C4:C5"/>
    <mergeCell ref="D4:D5"/>
    <mergeCell ref="E4:K4"/>
  </mergeCells>
  <pageMargins left="0.7" right="0.7" top="0.6" bottom="0.6" header="0.3" footer="0.3"/>
  <pageSetup scale="85" fitToHeight="0" orientation="portrait" r:id="rId1"/>
  <rowBreaks count="3" manualBreakCount="3">
    <brk id="45" max="16383" man="1"/>
    <brk id="86" max="16383" man="1"/>
    <brk id="119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90"/>
  <sheetViews>
    <sheetView workbookViewId="0">
      <selection activeCell="N11" sqref="N11"/>
    </sheetView>
  </sheetViews>
  <sheetFormatPr defaultRowHeight="14.75" x14ac:dyDescent="0.75"/>
  <cols>
    <col min="1" max="1" width="28.7265625" customWidth="1"/>
    <col min="2" max="9" width="7.7265625" style="9" customWidth="1"/>
  </cols>
  <sheetData>
    <row r="1" spans="1:9" ht="29.5" x14ac:dyDescent="0.75">
      <c r="A1" s="8" t="s">
        <v>152</v>
      </c>
    </row>
    <row r="2" spans="1:9" ht="26.25" customHeight="1" x14ac:dyDescent="0.8">
      <c r="A2" s="109" t="s">
        <v>354</v>
      </c>
      <c r="B2" s="110"/>
      <c r="C2" s="110"/>
      <c r="D2" s="110"/>
      <c r="E2" s="110"/>
      <c r="F2" s="110"/>
      <c r="G2" s="110"/>
      <c r="H2" s="110"/>
      <c r="I2" s="110"/>
    </row>
    <row r="3" spans="1:9" ht="24" customHeight="1" thickBot="1" x14ac:dyDescent="0.95">
      <c r="A3" s="10"/>
      <c r="B3" s="111" t="s">
        <v>154</v>
      </c>
      <c r="C3" s="111"/>
      <c r="D3" s="111"/>
      <c r="E3" s="111"/>
      <c r="F3" s="111"/>
      <c r="G3" s="120"/>
      <c r="H3" s="120"/>
      <c r="I3" s="120"/>
    </row>
    <row r="4" spans="1:9" ht="27" customHeight="1" thickTop="1" x14ac:dyDescent="0.8">
      <c r="A4" s="10"/>
      <c r="B4" s="114" t="s">
        <v>155</v>
      </c>
      <c r="C4" s="114" t="s">
        <v>355</v>
      </c>
      <c r="D4" s="122" t="s">
        <v>356</v>
      </c>
      <c r="E4" s="123"/>
      <c r="F4" s="123"/>
      <c r="G4" s="123"/>
      <c r="H4" s="123"/>
      <c r="I4" s="123"/>
    </row>
    <row r="5" spans="1:9" ht="63.75" customHeight="1" thickBot="1" x14ac:dyDescent="0.9">
      <c r="A5" s="49"/>
      <c r="B5" s="121" t="s">
        <v>155</v>
      </c>
      <c r="C5" s="121"/>
      <c r="D5" s="45" t="s">
        <v>357</v>
      </c>
      <c r="E5" s="45" t="s">
        <v>358</v>
      </c>
      <c r="F5" s="45" t="s">
        <v>359</v>
      </c>
      <c r="G5" s="45" t="s">
        <v>360</v>
      </c>
      <c r="H5" s="45" t="s">
        <v>361</v>
      </c>
      <c r="I5" s="45" t="s">
        <v>362</v>
      </c>
    </row>
    <row r="6" spans="1:9" ht="24" customHeight="1" thickBot="1" x14ac:dyDescent="0.9">
      <c r="A6" s="50" t="s">
        <v>164</v>
      </c>
      <c r="B6" s="51">
        <v>87093</v>
      </c>
      <c r="C6" s="51">
        <v>83569</v>
      </c>
      <c r="D6" s="51">
        <v>38406</v>
      </c>
      <c r="E6" s="51">
        <v>80081</v>
      </c>
      <c r="F6" s="51">
        <v>53816</v>
      </c>
      <c r="G6" s="51">
        <v>23396</v>
      </c>
      <c r="H6" s="51">
        <v>28059</v>
      </c>
      <c r="I6" s="52">
        <v>22071</v>
      </c>
    </row>
    <row r="7" spans="1:9" ht="24" customHeight="1" x14ac:dyDescent="0.75">
      <c r="A7" s="16" t="s">
        <v>165</v>
      </c>
      <c r="B7" s="17" t="s">
        <v>166</v>
      </c>
      <c r="C7" s="17" t="s">
        <v>166</v>
      </c>
      <c r="D7" s="17" t="s">
        <v>166</v>
      </c>
      <c r="E7" s="17" t="s">
        <v>166</v>
      </c>
      <c r="F7" s="17" t="s">
        <v>166</v>
      </c>
      <c r="G7" s="17" t="s">
        <v>166</v>
      </c>
      <c r="H7" s="17" t="s">
        <v>166</v>
      </c>
      <c r="I7" s="17" t="s">
        <v>166</v>
      </c>
    </row>
    <row r="8" spans="1:9" ht="15" customHeight="1" x14ac:dyDescent="0.75">
      <c r="A8" s="18" t="s">
        <v>167</v>
      </c>
      <c r="B8" s="15">
        <v>8041</v>
      </c>
      <c r="C8" s="15">
        <v>7130</v>
      </c>
      <c r="D8" s="15">
        <v>2453</v>
      </c>
      <c r="E8" s="15">
        <v>6466</v>
      </c>
      <c r="F8" s="15">
        <v>2815</v>
      </c>
      <c r="G8" s="15">
        <v>373</v>
      </c>
      <c r="H8" s="15">
        <v>944</v>
      </c>
      <c r="I8" s="15">
        <v>348</v>
      </c>
    </row>
    <row r="9" spans="1:9" ht="15" customHeight="1" x14ac:dyDescent="0.75">
      <c r="A9" s="18" t="s">
        <v>169</v>
      </c>
      <c r="B9" s="15">
        <v>8900</v>
      </c>
      <c r="C9" s="15">
        <v>8152</v>
      </c>
      <c r="D9" s="15">
        <v>2917</v>
      </c>
      <c r="E9" s="15">
        <v>7589</v>
      </c>
      <c r="F9" s="15">
        <v>3740</v>
      </c>
      <c r="G9" s="15">
        <v>736</v>
      </c>
      <c r="H9" s="15">
        <v>1487</v>
      </c>
      <c r="I9" s="15">
        <v>714</v>
      </c>
    </row>
    <row r="10" spans="1:9" ht="15" customHeight="1" x14ac:dyDescent="0.75">
      <c r="A10" s="18" t="s">
        <v>170</v>
      </c>
      <c r="B10" s="15">
        <v>14105</v>
      </c>
      <c r="C10" s="15">
        <v>13250</v>
      </c>
      <c r="D10" s="15">
        <v>4987</v>
      </c>
      <c r="E10" s="15">
        <v>12533</v>
      </c>
      <c r="F10" s="15">
        <v>6767</v>
      </c>
      <c r="G10" s="15">
        <v>2175</v>
      </c>
      <c r="H10" s="15">
        <v>2903</v>
      </c>
      <c r="I10" s="15">
        <v>1882</v>
      </c>
    </row>
    <row r="11" spans="1:9" ht="15" customHeight="1" x14ac:dyDescent="0.75">
      <c r="A11" s="18" t="s">
        <v>171</v>
      </c>
      <c r="B11" s="15">
        <v>11917</v>
      </c>
      <c r="C11" s="15">
        <v>11542</v>
      </c>
      <c r="D11" s="15">
        <v>4788</v>
      </c>
      <c r="E11" s="15">
        <v>11063</v>
      </c>
      <c r="F11" s="15">
        <v>6970</v>
      </c>
      <c r="G11" s="15">
        <v>2712</v>
      </c>
      <c r="H11" s="15">
        <v>3556</v>
      </c>
      <c r="I11" s="15">
        <v>2252</v>
      </c>
    </row>
    <row r="12" spans="1:9" ht="15" customHeight="1" x14ac:dyDescent="0.75">
      <c r="A12" s="18" t="s">
        <v>172</v>
      </c>
      <c r="B12" s="15">
        <v>13918</v>
      </c>
      <c r="C12" s="15">
        <v>13564</v>
      </c>
      <c r="D12" s="15">
        <v>6218</v>
      </c>
      <c r="E12" s="15">
        <v>13217</v>
      </c>
      <c r="F12" s="15">
        <v>9652</v>
      </c>
      <c r="G12" s="15">
        <v>3766</v>
      </c>
      <c r="H12" s="15">
        <v>4989</v>
      </c>
      <c r="I12" s="15">
        <v>3479</v>
      </c>
    </row>
    <row r="13" spans="1:9" ht="15" customHeight="1" x14ac:dyDescent="0.75">
      <c r="A13" s="18" t="s">
        <v>173</v>
      </c>
      <c r="B13" s="15">
        <v>12415</v>
      </c>
      <c r="C13" s="15">
        <v>12282</v>
      </c>
      <c r="D13" s="15">
        <v>6239</v>
      </c>
      <c r="E13" s="15">
        <v>11745</v>
      </c>
      <c r="F13" s="15">
        <v>9078</v>
      </c>
      <c r="G13" s="15">
        <v>4244</v>
      </c>
      <c r="H13" s="15">
        <v>4605</v>
      </c>
      <c r="I13" s="15">
        <v>3919</v>
      </c>
    </row>
    <row r="14" spans="1:9" ht="15" customHeight="1" x14ac:dyDescent="0.75">
      <c r="A14" s="18" t="s">
        <v>174</v>
      </c>
      <c r="B14" s="15">
        <v>10724</v>
      </c>
      <c r="C14" s="15">
        <v>10634</v>
      </c>
      <c r="D14" s="15">
        <v>6002</v>
      </c>
      <c r="E14" s="15">
        <v>10552</v>
      </c>
      <c r="F14" s="15">
        <v>8775</v>
      </c>
      <c r="G14" s="15">
        <v>4981</v>
      </c>
      <c r="H14" s="15">
        <v>5161</v>
      </c>
      <c r="I14" s="15">
        <v>4866</v>
      </c>
    </row>
    <row r="15" spans="1:9" ht="15" customHeight="1" x14ac:dyDescent="0.75">
      <c r="A15" s="18" t="s">
        <v>175</v>
      </c>
      <c r="B15" s="15">
        <v>7074</v>
      </c>
      <c r="C15" s="15">
        <v>7014</v>
      </c>
      <c r="D15" s="15">
        <v>4803</v>
      </c>
      <c r="E15" s="15">
        <v>6915</v>
      </c>
      <c r="F15" s="15">
        <v>6021</v>
      </c>
      <c r="G15" s="15">
        <v>4409</v>
      </c>
      <c r="H15" s="15">
        <v>4413</v>
      </c>
      <c r="I15" s="15">
        <v>4612</v>
      </c>
    </row>
    <row r="16" spans="1:9" ht="24" customHeight="1" x14ac:dyDescent="0.75">
      <c r="A16" s="16" t="s">
        <v>176</v>
      </c>
      <c r="B16" s="16" t="s">
        <v>166</v>
      </c>
      <c r="C16" s="16" t="s">
        <v>166</v>
      </c>
      <c r="D16" s="16" t="s">
        <v>166</v>
      </c>
      <c r="E16" s="16" t="s">
        <v>166</v>
      </c>
      <c r="F16" s="16" t="s">
        <v>166</v>
      </c>
      <c r="G16" s="16" t="s">
        <v>166</v>
      </c>
      <c r="H16" s="16" t="s">
        <v>166</v>
      </c>
      <c r="I16" s="16" t="s">
        <v>166</v>
      </c>
    </row>
    <row r="17" spans="1:11" x14ac:dyDescent="0.75">
      <c r="A17" s="18" t="s">
        <v>177</v>
      </c>
      <c r="B17" s="15">
        <v>12239</v>
      </c>
      <c r="C17" s="15">
        <v>12239</v>
      </c>
      <c r="D17" s="15">
        <v>5004</v>
      </c>
      <c r="E17" s="15">
        <v>12180</v>
      </c>
      <c r="F17" s="15">
        <v>8559</v>
      </c>
      <c r="G17" s="15">
        <v>4376</v>
      </c>
      <c r="H17" s="15">
        <v>3069</v>
      </c>
      <c r="I17" s="15">
        <v>2135</v>
      </c>
    </row>
    <row r="18" spans="1:11" x14ac:dyDescent="0.75">
      <c r="A18" s="18" t="s">
        <v>178</v>
      </c>
      <c r="B18" s="15">
        <v>1252</v>
      </c>
      <c r="C18" s="15">
        <v>1252</v>
      </c>
      <c r="D18" s="15">
        <v>443</v>
      </c>
      <c r="E18" s="15">
        <v>1232</v>
      </c>
      <c r="F18" s="15">
        <v>560</v>
      </c>
      <c r="G18" s="15" t="s">
        <v>168</v>
      </c>
      <c r="H18" s="15">
        <v>271</v>
      </c>
      <c r="I18" s="15">
        <v>323</v>
      </c>
    </row>
    <row r="19" spans="1:11" x14ac:dyDescent="0.75">
      <c r="A19" s="18" t="s">
        <v>180</v>
      </c>
      <c r="B19" s="15">
        <v>1819</v>
      </c>
      <c r="C19" s="15">
        <v>1819</v>
      </c>
      <c r="D19" s="15">
        <v>924</v>
      </c>
      <c r="E19" s="15">
        <v>1671</v>
      </c>
      <c r="F19" s="15">
        <v>1177</v>
      </c>
      <c r="G19" s="15">
        <v>121</v>
      </c>
      <c r="H19" s="15">
        <v>496</v>
      </c>
      <c r="I19" s="15">
        <v>275</v>
      </c>
    </row>
    <row r="20" spans="1:11" x14ac:dyDescent="0.75">
      <c r="A20" s="18" t="s">
        <v>181</v>
      </c>
      <c r="B20" s="15">
        <v>4155</v>
      </c>
      <c r="C20" s="15">
        <v>4155</v>
      </c>
      <c r="D20" s="15">
        <v>2391</v>
      </c>
      <c r="E20" s="15">
        <v>4074</v>
      </c>
      <c r="F20" s="15">
        <v>3535</v>
      </c>
      <c r="G20" s="15">
        <v>1448</v>
      </c>
      <c r="H20" s="15">
        <v>1875</v>
      </c>
      <c r="I20" s="15">
        <v>2245</v>
      </c>
    </row>
    <row r="21" spans="1:11" x14ac:dyDescent="0.75">
      <c r="A21" s="19" t="s">
        <v>182</v>
      </c>
      <c r="B21" s="15">
        <v>2374</v>
      </c>
      <c r="C21" s="15">
        <v>2374</v>
      </c>
      <c r="D21" s="15">
        <v>1745</v>
      </c>
      <c r="E21" s="15">
        <v>2373</v>
      </c>
      <c r="F21" s="15">
        <v>2260</v>
      </c>
      <c r="G21" s="15">
        <v>1217</v>
      </c>
      <c r="H21" s="15">
        <v>1452</v>
      </c>
      <c r="I21" s="15">
        <v>1647</v>
      </c>
    </row>
    <row r="22" spans="1:11" x14ac:dyDescent="0.75">
      <c r="A22" s="19" t="s">
        <v>183</v>
      </c>
      <c r="B22" s="15">
        <v>1781</v>
      </c>
      <c r="C22" s="15">
        <v>1781</v>
      </c>
      <c r="D22" s="15">
        <v>646</v>
      </c>
      <c r="E22" s="15">
        <v>1701</v>
      </c>
      <c r="F22" s="15">
        <v>1275</v>
      </c>
      <c r="G22" s="15">
        <v>231</v>
      </c>
      <c r="H22" s="15">
        <v>423</v>
      </c>
      <c r="I22" s="15">
        <v>598</v>
      </c>
    </row>
    <row r="23" spans="1:11" x14ac:dyDescent="0.75">
      <c r="A23" s="18" t="s">
        <v>184</v>
      </c>
      <c r="B23" s="15">
        <v>5826</v>
      </c>
      <c r="C23" s="15">
        <v>5817</v>
      </c>
      <c r="D23" s="15">
        <v>3585</v>
      </c>
      <c r="E23" s="15">
        <v>5409</v>
      </c>
      <c r="F23" s="15">
        <v>5258</v>
      </c>
      <c r="G23" s="15">
        <v>1848</v>
      </c>
      <c r="H23" s="15">
        <v>2696</v>
      </c>
      <c r="I23" s="15">
        <v>2024</v>
      </c>
    </row>
    <row r="24" spans="1:11" x14ac:dyDescent="0.75">
      <c r="A24" s="18" t="s">
        <v>185</v>
      </c>
      <c r="B24" s="15">
        <v>11330</v>
      </c>
      <c r="C24" s="15">
        <v>11320</v>
      </c>
      <c r="D24" s="15">
        <v>6646</v>
      </c>
      <c r="E24" s="15">
        <v>10714</v>
      </c>
      <c r="F24" s="15">
        <v>8053</v>
      </c>
      <c r="G24" s="15">
        <v>3959</v>
      </c>
      <c r="H24" s="15">
        <v>5925</v>
      </c>
      <c r="I24" s="15">
        <v>5118</v>
      </c>
      <c r="K24" s="20"/>
    </row>
    <row r="25" spans="1:11" ht="15" customHeight="1" x14ac:dyDescent="0.75">
      <c r="A25" s="21" t="s">
        <v>186</v>
      </c>
      <c r="B25" s="15">
        <v>5439</v>
      </c>
      <c r="C25" s="15">
        <v>5430</v>
      </c>
      <c r="D25" s="15">
        <v>1671</v>
      </c>
      <c r="E25" s="15">
        <v>4864</v>
      </c>
      <c r="F25" s="15">
        <v>2712</v>
      </c>
      <c r="G25" s="15">
        <v>891</v>
      </c>
      <c r="H25" s="15">
        <v>1608</v>
      </c>
      <c r="I25" s="15">
        <v>1295</v>
      </c>
    </row>
    <row r="26" spans="1:11" ht="15" customHeight="1" x14ac:dyDescent="0.75">
      <c r="A26" s="21" t="s">
        <v>187</v>
      </c>
      <c r="B26" s="15">
        <v>5890</v>
      </c>
      <c r="C26" s="15">
        <v>5890</v>
      </c>
      <c r="D26" s="15">
        <v>4975</v>
      </c>
      <c r="E26" s="15">
        <v>5850</v>
      </c>
      <c r="F26" s="15">
        <v>5341</v>
      </c>
      <c r="G26" s="15">
        <v>3069</v>
      </c>
      <c r="H26" s="15">
        <v>4317</v>
      </c>
      <c r="I26" s="15">
        <v>3824</v>
      </c>
    </row>
    <row r="27" spans="1:11" ht="15" customHeight="1" x14ac:dyDescent="0.75">
      <c r="A27" s="18" t="s">
        <v>188</v>
      </c>
      <c r="B27" s="15">
        <v>15952</v>
      </c>
      <c r="C27" s="15">
        <v>15952</v>
      </c>
      <c r="D27" s="15">
        <v>7541</v>
      </c>
      <c r="E27" s="15">
        <v>15547</v>
      </c>
      <c r="F27" s="15">
        <v>11438</v>
      </c>
      <c r="G27" s="15">
        <v>3858</v>
      </c>
      <c r="H27" s="15">
        <v>5598</v>
      </c>
      <c r="I27" s="15">
        <v>5034</v>
      </c>
    </row>
    <row r="28" spans="1:11" ht="15" customHeight="1" x14ac:dyDescent="0.75">
      <c r="A28" s="18" t="s">
        <v>189</v>
      </c>
      <c r="B28" s="15">
        <v>5559</v>
      </c>
      <c r="C28" s="15">
        <v>5527</v>
      </c>
      <c r="D28" s="15">
        <v>3035</v>
      </c>
      <c r="E28" s="15">
        <v>5208</v>
      </c>
      <c r="F28" s="15">
        <v>4125</v>
      </c>
      <c r="G28" s="15">
        <v>1922</v>
      </c>
      <c r="H28" s="15">
        <v>2172</v>
      </c>
      <c r="I28" s="15">
        <v>1955</v>
      </c>
    </row>
    <row r="29" spans="1:11" ht="15" customHeight="1" x14ac:dyDescent="0.75">
      <c r="A29" s="18" t="s">
        <v>190</v>
      </c>
      <c r="B29" s="15">
        <v>1440</v>
      </c>
      <c r="C29" s="15">
        <v>1414</v>
      </c>
      <c r="D29" s="15">
        <v>623</v>
      </c>
      <c r="E29" s="15">
        <v>1375</v>
      </c>
      <c r="F29" s="15">
        <v>1086</v>
      </c>
      <c r="G29" s="15">
        <v>404</v>
      </c>
      <c r="H29" s="15">
        <v>416</v>
      </c>
      <c r="I29" s="15">
        <v>360</v>
      </c>
    </row>
    <row r="30" spans="1:11" ht="15" customHeight="1" x14ac:dyDescent="0.75">
      <c r="A30" s="18" t="s">
        <v>191</v>
      </c>
      <c r="B30" s="15">
        <v>4557</v>
      </c>
      <c r="C30" s="15">
        <v>4557</v>
      </c>
      <c r="D30" s="15">
        <v>3015</v>
      </c>
      <c r="E30" s="15">
        <v>4293</v>
      </c>
      <c r="F30" s="15">
        <v>3187</v>
      </c>
      <c r="G30" s="15">
        <v>839</v>
      </c>
      <c r="H30" s="15">
        <v>1540</v>
      </c>
      <c r="I30" s="15">
        <v>902</v>
      </c>
    </row>
    <row r="31" spans="1:11" ht="15" customHeight="1" x14ac:dyDescent="0.75">
      <c r="A31" s="18" t="s">
        <v>192</v>
      </c>
      <c r="B31" s="15">
        <v>4630</v>
      </c>
      <c r="C31" s="15">
        <v>4379</v>
      </c>
      <c r="D31" s="15">
        <v>1026</v>
      </c>
      <c r="E31" s="15">
        <v>4142</v>
      </c>
      <c r="F31" s="15">
        <v>1569</v>
      </c>
      <c r="G31" s="15">
        <v>980</v>
      </c>
      <c r="H31" s="15">
        <v>1024</v>
      </c>
      <c r="I31" s="15" t="s">
        <v>168</v>
      </c>
    </row>
    <row r="32" spans="1:11" ht="15" customHeight="1" x14ac:dyDescent="0.75">
      <c r="A32" s="18" t="s">
        <v>193</v>
      </c>
      <c r="B32" s="15">
        <v>13077</v>
      </c>
      <c r="C32" s="15">
        <v>12079</v>
      </c>
      <c r="D32" s="15">
        <v>3094</v>
      </c>
      <c r="E32" s="15">
        <v>11280</v>
      </c>
      <c r="F32" s="15">
        <v>4040</v>
      </c>
      <c r="G32" s="15">
        <v>2934</v>
      </c>
      <c r="H32" s="15">
        <v>2438</v>
      </c>
      <c r="I32" s="15">
        <v>998</v>
      </c>
    </row>
    <row r="33" spans="1:9" ht="15" customHeight="1" x14ac:dyDescent="0.75">
      <c r="A33" s="18" t="s">
        <v>194</v>
      </c>
      <c r="B33" s="15">
        <v>2002</v>
      </c>
      <c r="C33" s="15">
        <v>1930</v>
      </c>
      <c r="D33" s="15">
        <v>790</v>
      </c>
      <c r="E33" s="15">
        <v>1880</v>
      </c>
      <c r="F33" s="15">
        <v>783</v>
      </c>
      <c r="G33" s="15">
        <v>383</v>
      </c>
      <c r="H33" s="15">
        <v>344</v>
      </c>
      <c r="I33" s="15">
        <v>290</v>
      </c>
    </row>
    <row r="34" spans="1:9" ht="15" customHeight="1" x14ac:dyDescent="0.75">
      <c r="A34" s="18" t="s">
        <v>195</v>
      </c>
      <c r="B34" s="15">
        <v>3256</v>
      </c>
      <c r="C34" s="15">
        <v>1128</v>
      </c>
      <c r="D34" s="15">
        <v>288</v>
      </c>
      <c r="E34" s="15">
        <v>1076</v>
      </c>
      <c r="F34" s="15">
        <v>445</v>
      </c>
      <c r="G34" s="15" t="s">
        <v>168</v>
      </c>
      <c r="H34" s="15" t="s">
        <v>168</v>
      </c>
      <c r="I34" s="15" t="s">
        <v>168</v>
      </c>
    </row>
    <row r="35" spans="1:9" ht="24" customHeight="1" x14ac:dyDescent="0.75">
      <c r="A35" s="16" t="s">
        <v>196</v>
      </c>
      <c r="B35" s="16" t="s">
        <v>166</v>
      </c>
      <c r="C35" s="16" t="s">
        <v>166</v>
      </c>
      <c r="D35" s="16" t="s">
        <v>166</v>
      </c>
      <c r="E35" s="16" t="s">
        <v>166</v>
      </c>
      <c r="F35" s="16" t="s">
        <v>166</v>
      </c>
      <c r="G35" s="16" t="s">
        <v>166</v>
      </c>
      <c r="H35" s="16" t="s">
        <v>166</v>
      </c>
      <c r="I35" s="16" t="s">
        <v>166</v>
      </c>
    </row>
    <row r="36" spans="1:9" ht="15" customHeight="1" x14ac:dyDescent="0.75">
      <c r="A36" s="18" t="s">
        <v>197</v>
      </c>
      <c r="B36" s="15">
        <v>3983</v>
      </c>
      <c r="C36" s="15">
        <v>3715</v>
      </c>
      <c r="D36" s="15">
        <v>2292</v>
      </c>
      <c r="E36" s="15">
        <v>3280</v>
      </c>
      <c r="F36" s="15">
        <v>2346</v>
      </c>
      <c r="G36" s="15">
        <v>763</v>
      </c>
      <c r="H36" s="15">
        <v>1208</v>
      </c>
      <c r="I36" s="15">
        <v>744</v>
      </c>
    </row>
    <row r="37" spans="1:9" ht="15" customHeight="1" x14ac:dyDescent="0.75">
      <c r="A37" s="18" t="s">
        <v>198</v>
      </c>
      <c r="B37" s="15">
        <v>6025</v>
      </c>
      <c r="C37" s="15">
        <v>5774</v>
      </c>
      <c r="D37" s="15">
        <v>2750</v>
      </c>
      <c r="E37" s="15">
        <v>5472</v>
      </c>
      <c r="F37" s="15">
        <v>3714</v>
      </c>
      <c r="G37" s="15">
        <v>1337</v>
      </c>
      <c r="H37" s="15">
        <v>1948</v>
      </c>
      <c r="I37" s="15">
        <v>1528</v>
      </c>
    </row>
    <row r="38" spans="1:9" ht="15" customHeight="1" x14ac:dyDescent="0.75">
      <c r="A38" s="18" t="s">
        <v>199</v>
      </c>
      <c r="B38" s="15">
        <v>7381</v>
      </c>
      <c r="C38" s="15">
        <v>7087</v>
      </c>
      <c r="D38" s="15">
        <v>3494</v>
      </c>
      <c r="E38" s="15">
        <v>6860</v>
      </c>
      <c r="F38" s="15">
        <v>4340</v>
      </c>
      <c r="G38" s="15">
        <v>1785</v>
      </c>
      <c r="H38" s="15">
        <v>2028</v>
      </c>
      <c r="I38" s="15">
        <v>1306</v>
      </c>
    </row>
    <row r="39" spans="1:9" ht="15" customHeight="1" x14ac:dyDescent="0.75">
      <c r="A39" s="18" t="s">
        <v>200</v>
      </c>
      <c r="B39" s="15">
        <v>10362</v>
      </c>
      <c r="C39" s="15">
        <v>10061</v>
      </c>
      <c r="D39" s="15">
        <v>4629</v>
      </c>
      <c r="E39" s="15">
        <v>9857</v>
      </c>
      <c r="F39" s="15">
        <v>6463</v>
      </c>
      <c r="G39" s="15">
        <v>2525</v>
      </c>
      <c r="H39" s="15">
        <v>2948</v>
      </c>
      <c r="I39" s="15">
        <v>2224</v>
      </c>
    </row>
    <row r="40" spans="1:9" ht="15" customHeight="1" x14ac:dyDescent="0.75">
      <c r="A40" s="18" t="s">
        <v>201</v>
      </c>
      <c r="B40" s="15">
        <v>10846</v>
      </c>
      <c r="C40" s="15">
        <v>10354</v>
      </c>
      <c r="D40" s="15">
        <v>5560</v>
      </c>
      <c r="E40" s="15">
        <v>9992</v>
      </c>
      <c r="F40" s="15">
        <v>6913</v>
      </c>
      <c r="G40" s="15">
        <v>3311</v>
      </c>
      <c r="H40" s="15">
        <v>3418</v>
      </c>
      <c r="I40" s="15">
        <v>2632</v>
      </c>
    </row>
    <row r="41" spans="1:9" ht="15" customHeight="1" x14ac:dyDescent="0.75">
      <c r="A41" s="18" t="s">
        <v>202</v>
      </c>
      <c r="B41" s="15">
        <v>15230</v>
      </c>
      <c r="C41" s="15">
        <v>14688</v>
      </c>
      <c r="D41" s="15">
        <v>6972</v>
      </c>
      <c r="E41" s="15">
        <v>14263</v>
      </c>
      <c r="F41" s="15">
        <v>9199</v>
      </c>
      <c r="G41" s="15">
        <v>4591</v>
      </c>
      <c r="H41" s="15">
        <v>5124</v>
      </c>
      <c r="I41" s="15">
        <v>4374</v>
      </c>
    </row>
    <row r="42" spans="1:9" ht="15" customHeight="1" x14ac:dyDescent="0.75">
      <c r="A42" s="18" t="s">
        <v>203</v>
      </c>
      <c r="B42" s="15">
        <v>13803</v>
      </c>
      <c r="C42" s="15">
        <v>12856</v>
      </c>
      <c r="D42" s="15">
        <v>5494</v>
      </c>
      <c r="E42" s="15">
        <v>12267</v>
      </c>
      <c r="F42" s="15">
        <v>8327</v>
      </c>
      <c r="G42" s="15">
        <v>4127</v>
      </c>
      <c r="H42" s="15">
        <v>4364</v>
      </c>
      <c r="I42" s="15">
        <v>3489</v>
      </c>
    </row>
    <row r="43" spans="1:9" ht="15" customHeight="1" x14ac:dyDescent="0.75">
      <c r="A43" s="18" t="s">
        <v>204</v>
      </c>
      <c r="B43" s="15">
        <v>7215</v>
      </c>
      <c r="C43" s="15">
        <v>7100</v>
      </c>
      <c r="D43" s="15">
        <v>2874</v>
      </c>
      <c r="E43" s="15">
        <v>6810</v>
      </c>
      <c r="F43" s="15">
        <v>4692</v>
      </c>
      <c r="G43" s="15">
        <v>2072</v>
      </c>
      <c r="H43" s="15">
        <v>2580</v>
      </c>
      <c r="I43" s="15">
        <v>1915</v>
      </c>
    </row>
    <row r="44" spans="1:9" ht="15" customHeight="1" x14ac:dyDescent="0.75">
      <c r="A44" s="18" t="s">
        <v>205</v>
      </c>
      <c r="B44" s="15">
        <v>6524</v>
      </c>
      <c r="C44" s="15">
        <v>6378</v>
      </c>
      <c r="D44" s="15">
        <v>2745</v>
      </c>
      <c r="E44" s="15">
        <v>6209</v>
      </c>
      <c r="F44" s="15">
        <v>4249</v>
      </c>
      <c r="G44" s="15">
        <v>1770</v>
      </c>
      <c r="H44" s="15">
        <v>2514</v>
      </c>
      <c r="I44" s="15">
        <v>2113</v>
      </c>
    </row>
    <row r="45" spans="1:9" ht="15" customHeight="1" x14ac:dyDescent="0.75">
      <c r="A45" s="18" t="s">
        <v>206</v>
      </c>
      <c r="B45" s="15">
        <v>5723</v>
      </c>
      <c r="C45" s="15">
        <v>5556</v>
      </c>
      <c r="D45" s="15">
        <v>1595</v>
      </c>
      <c r="E45" s="15">
        <v>5070</v>
      </c>
      <c r="F45" s="15">
        <v>3574</v>
      </c>
      <c r="G45" s="15">
        <v>1116</v>
      </c>
      <c r="H45" s="15">
        <v>1929</v>
      </c>
      <c r="I45" s="15">
        <v>1747</v>
      </c>
    </row>
    <row r="46" spans="1:9" ht="24" customHeight="1" x14ac:dyDescent="0.75">
      <c r="A46" s="16" t="s">
        <v>207</v>
      </c>
      <c r="B46" s="17" t="s">
        <v>166</v>
      </c>
      <c r="C46" s="17" t="s">
        <v>166</v>
      </c>
      <c r="D46" s="17" t="s">
        <v>166</v>
      </c>
      <c r="E46" s="17" t="s">
        <v>166</v>
      </c>
      <c r="F46" s="17" t="s">
        <v>166</v>
      </c>
      <c r="G46" s="17" t="s">
        <v>166</v>
      </c>
      <c r="H46" s="17" t="s">
        <v>166</v>
      </c>
      <c r="I46" s="17" t="s">
        <v>166</v>
      </c>
    </row>
    <row r="47" spans="1:9" ht="15" customHeight="1" x14ac:dyDescent="0.75">
      <c r="A47" s="18" t="s">
        <v>208</v>
      </c>
      <c r="B47" s="15">
        <v>15534</v>
      </c>
      <c r="C47" s="15">
        <v>15071</v>
      </c>
      <c r="D47" s="15">
        <v>7565</v>
      </c>
      <c r="E47" s="15">
        <v>14473</v>
      </c>
      <c r="F47" s="15">
        <v>10771</v>
      </c>
      <c r="G47" s="15">
        <v>4510</v>
      </c>
      <c r="H47" s="15">
        <v>5267</v>
      </c>
      <c r="I47" s="15">
        <v>4752</v>
      </c>
    </row>
    <row r="48" spans="1:9" ht="15" customHeight="1" x14ac:dyDescent="0.75">
      <c r="A48" s="19" t="s">
        <v>209</v>
      </c>
      <c r="B48" s="15">
        <v>4302</v>
      </c>
      <c r="C48" s="15">
        <v>4062</v>
      </c>
      <c r="D48" s="15">
        <v>2046</v>
      </c>
      <c r="E48" s="15">
        <v>3771</v>
      </c>
      <c r="F48" s="15">
        <v>2886</v>
      </c>
      <c r="G48" s="15">
        <v>1161</v>
      </c>
      <c r="H48" s="15">
        <v>1494</v>
      </c>
      <c r="I48" s="15">
        <v>1363</v>
      </c>
    </row>
    <row r="49" spans="1:9" ht="15" customHeight="1" x14ac:dyDescent="0.75">
      <c r="A49" s="19" t="s">
        <v>210</v>
      </c>
      <c r="B49" s="15">
        <v>11232</v>
      </c>
      <c r="C49" s="15">
        <v>11009</v>
      </c>
      <c r="D49" s="15">
        <v>5520</v>
      </c>
      <c r="E49" s="15">
        <v>10702</v>
      </c>
      <c r="F49" s="15">
        <v>7886</v>
      </c>
      <c r="G49" s="15">
        <v>3349</v>
      </c>
      <c r="H49" s="15">
        <v>3774</v>
      </c>
      <c r="I49" s="15">
        <v>3388</v>
      </c>
    </row>
    <row r="50" spans="1:9" ht="15" customHeight="1" x14ac:dyDescent="0.75">
      <c r="A50" s="18" t="s">
        <v>211</v>
      </c>
      <c r="B50" s="15">
        <v>18919</v>
      </c>
      <c r="C50" s="15">
        <v>18190</v>
      </c>
      <c r="D50" s="15">
        <v>9038</v>
      </c>
      <c r="E50" s="15">
        <v>17514</v>
      </c>
      <c r="F50" s="15">
        <v>11841</v>
      </c>
      <c r="G50" s="15">
        <v>5357</v>
      </c>
      <c r="H50" s="15">
        <v>6169</v>
      </c>
      <c r="I50" s="15">
        <v>5148</v>
      </c>
    </row>
    <row r="51" spans="1:9" ht="15" customHeight="1" x14ac:dyDescent="0.75">
      <c r="A51" s="19" t="s">
        <v>212</v>
      </c>
      <c r="B51" s="15">
        <v>12742</v>
      </c>
      <c r="C51" s="15">
        <v>12323</v>
      </c>
      <c r="D51" s="15">
        <v>6180</v>
      </c>
      <c r="E51" s="15">
        <v>11880</v>
      </c>
      <c r="F51" s="15">
        <v>8336</v>
      </c>
      <c r="G51" s="15">
        <v>4102</v>
      </c>
      <c r="H51" s="15">
        <v>4590</v>
      </c>
      <c r="I51" s="15">
        <v>3759</v>
      </c>
    </row>
    <row r="52" spans="1:9" ht="15" customHeight="1" x14ac:dyDescent="0.75">
      <c r="A52" s="19" t="s">
        <v>213</v>
      </c>
      <c r="B52" s="15">
        <v>6178</v>
      </c>
      <c r="C52" s="15">
        <v>5867</v>
      </c>
      <c r="D52" s="15">
        <v>2858</v>
      </c>
      <c r="E52" s="15">
        <v>5634</v>
      </c>
      <c r="F52" s="15">
        <v>3505</v>
      </c>
      <c r="G52" s="15">
        <v>1255</v>
      </c>
      <c r="H52" s="15">
        <v>1578</v>
      </c>
      <c r="I52" s="15">
        <v>1389</v>
      </c>
    </row>
    <row r="53" spans="1:9" ht="15" customHeight="1" x14ac:dyDescent="0.75">
      <c r="A53" s="18" t="s">
        <v>214</v>
      </c>
      <c r="B53" s="15">
        <v>34279</v>
      </c>
      <c r="C53" s="15">
        <v>32621</v>
      </c>
      <c r="D53" s="15">
        <v>14581</v>
      </c>
      <c r="E53" s="15">
        <v>31363</v>
      </c>
      <c r="F53" s="15">
        <v>20042</v>
      </c>
      <c r="G53" s="15">
        <v>9347</v>
      </c>
      <c r="H53" s="15">
        <v>10970</v>
      </c>
      <c r="I53" s="15">
        <v>7559</v>
      </c>
    </row>
    <row r="54" spans="1:9" ht="15" customHeight="1" x14ac:dyDescent="0.75">
      <c r="A54" s="19" t="s">
        <v>215</v>
      </c>
      <c r="B54" s="15">
        <v>17981</v>
      </c>
      <c r="C54" s="15">
        <v>17449</v>
      </c>
      <c r="D54" s="15">
        <v>7828</v>
      </c>
      <c r="E54" s="15">
        <v>16888</v>
      </c>
      <c r="F54" s="15">
        <v>10855</v>
      </c>
      <c r="G54" s="15">
        <v>5325</v>
      </c>
      <c r="H54" s="15">
        <v>6161</v>
      </c>
      <c r="I54" s="15">
        <v>4553</v>
      </c>
    </row>
    <row r="55" spans="1:9" ht="15" customHeight="1" x14ac:dyDescent="0.75">
      <c r="A55" s="19" t="s">
        <v>216</v>
      </c>
      <c r="B55" s="15">
        <v>4904</v>
      </c>
      <c r="C55" s="15">
        <v>4726</v>
      </c>
      <c r="D55" s="15">
        <v>2468</v>
      </c>
      <c r="E55" s="15">
        <v>4573</v>
      </c>
      <c r="F55" s="15">
        <v>2923</v>
      </c>
      <c r="G55" s="15">
        <v>1182</v>
      </c>
      <c r="H55" s="15">
        <v>1349</v>
      </c>
      <c r="I55" s="15">
        <v>1232</v>
      </c>
    </row>
    <row r="56" spans="1:9" ht="15" customHeight="1" x14ac:dyDescent="0.75">
      <c r="A56" s="19" t="s">
        <v>217</v>
      </c>
      <c r="B56" s="15">
        <v>11394</v>
      </c>
      <c r="C56" s="15">
        <v>10446</v>
      </c>
      <c r="D56" s="15">
        <v>4286</v>
      </c>
      <c r="E56" s="15">
        <v>9901</v>
      </c>
      <c r="F56" s="15">
        <v>6263</v>
      </c>
      <c r="G56" s="15">
        <v>2841</v>
      </c>
      <c r="H56" s="15">
        <v>3459</v>
      </c>
      <c r="I56" s="15">
        <v>1774</v>
      </c>
    </row>
    <row r="57" spans="1:9" ht="15" customHeight="1" x14ac:dyDescent="0.75">
      <c r="A57" s="18" t="s">
        <v>218</v>
      </c>
      <c r="B57" s="15">
        <v>18360</v>
      </c>
      <c r="C57" s="15">
        <v>17687</v>
      </c>
      <c r="D57" s="15">
        <v>7222</v>
      </c>
      <c r="E57" s="15">
        <v>16732</v>
      </c>
      <c r="F57" s="15">
        <v>11163</v>
      </c>
      <c r="G57" s="15">
        <v>4182</v>
      </c>
      <c r="H57" s="15">
        <v>5653</v>
      </c>
      <c r="I57" s="15">
        <v>4612</v>
      </c>
    </row>
    <row r="58" spans="1:9" ht="15" customHeight="1" x14ac:dyDescent="0.75">
      <c r="A58" s="19" t="s">
        <v>219</v>
      </c>
      <c r="B58" s="15">
        <v>4981</v>
      </c>
      <c r="C58" s="15">
        <v>4677</v>
      </c>
      <c r="D58" s="15">
        <v>2253</v>
      </c>
      <c r="E58" s="15">
        <v>4529</v>
      </c>
      <c r="F58" s="15">
        <v>3007</v>
      </c>
      <c r="G58" s="15">
        <v>1314</v>
      </c>
      <c r="H58" s="15">
        <v>1663</v>
      </c>
      <c r="I58" s="15">
        <v>1513</v>
      </c>
    </row>
    <row r="59" spans="1:9" ht="15" customHeight="1" x14ac:dyDescent="0.75">
      <c r="A59" s="19" t="s">
        <v>220</v>
      </c>
      <c r="B59" s="15">
        <v>13379</v>
      </c>
      <c r="C59" s="15">
        <v>13010</v>
      </c>
      <c r="D59" s="15">
        <v>4969</v>
      </c>
      <c r="E59" s="15">
        <v>12203</v>
      </c>
      <c r="F59" s="15">
        <v>8156</v>
      </c>
      <c r="G59" s="15">
        <v>2868</v>
      </c>
      <c r="H59" s="15">
        <v>3990</v>
      </c>
      <c r="I59" s="15">
        <v>3099</v>
      </c>
    </row>
    <row r="60" spans="1:9" ht="24" customHeight="1" x14ac:dyDescent="0.75">
      <c r="A60" s="16" t="s">
        <v>221</v>
      </c>
      <c r="B60" s="16" t="s">
        <v>166</v>
      </c>
      <c r="C60" s="16" t="s">
        <v>166</v>
      </c>
      <c r="D60" s="16" t="s">
        <v>166</v>
      </c>
      <c r="E60" s="16" t="s">
        <v>166</v>
      </c>
      <c r="F60" s="16" t="s">
        <v>166</v>
      </c>
      <c r="G60" s="16" t="s">
        <v>166</v>
      </c>
      <c r="H60" s="16" t="s">
        <v>166</v>
      </c>
      <c r="I60" s="16" t="s">
        <v>166</v>
      </c>
    </row>
    <row r="61" spans="1:9" x14ac:dyDescent="0.75">
      <c r="A61" s="18" t="s">
        <v>222</v>
      </c>
      <c r="B61" s="15">
        <v>31898</v>
      </c>
      <c r="C61" s="15">
        <v>30542</v>
      </c>
      <c r="D61" s="15">
        <v>14837</v>
      </c>
      <c r="E61" s="15">
        <v>29315</v>
      </c>
      <c r="F61" s="15">
        <v>20485</v>
      </c>
      <c r="G61" s="15">
        <v>8734</v>
      </c>
      <c r="H61" s="15">
        <v>10366</v>
      </c>
      <c r="I61" s="15">
        <v>9156</v>
      </c>
    </row>
    <row r="62" spans="1:9" x14ac:dyDescent="0.75">
      <c r="A62" s="18" t="s">
        <v>223</v>
      </c>
      <c r="B62" s="15">
        <v>27873</v>
      </c>
      <c r="C62" s="15">
        <v>27096</v>
      </c>
      <c r="D62" s="15">
        <v>13429</v>
      </c>
      <c r="E62" s="15">
        <v>26407</v>
      </c>
      <c r="F62" s="15">
        <v>17410</v>
      </c>
      <c r="G62" s="15">
        <v>8547</v>
      </c>
      <c r="H62" s="15">
        <v>9391</v>
      </c>
      <c r="I62" s="15">
        <v>6936</v>
      </c>
    </row>
    <row r="63" spans="1:9" x14ac:dyDescent="0.75">
      <c r="A63" s="18" t="s">
        <v>224</v>
      </c>
      <c r="B63" s="15">
        <v>12037</v>
      </c>
      <c r="C63" s="15">
        <v>11670</v>
      </c>
      <c r="D63" s="15">
        <v>4139</v>
      </c>
      <c r="E63" s="15">
        <v>11018</v>
      </c>
      <c r="F63" s="15">
        <v>6692</v>
      </c>
      <c r="G63" s="15">
        <v>2661</v>
      </c>
      <c r="H63" s="15">
        <v>3257</v>
      </c>
      <c r="I63" s="15">
        <v>2514</v>
      </c>
    </row>
    <row r="64" spans="1:9" x14ac:dyDescent="0.75">
      <c r="A64" s="18" t="s">
        <v>225</v>
      </c>
      <c r="B64" s="15">
        <v>12831</v>
      </c>
      <c r="C64" s="15">
        <v>11881</v>
      </c>
      <c r="D64" s="15">
        <v>4769</v>
      </c>
      <c r="E64" s="15">
        <v>11096</v>
      </c>
      <c r="F64" s="15">
        <v>7285</v>
      </c>
      <c r="G64" s="15">
        <v>3035</v>
      </c>
      <c r="H64" s="15">
        <v>4152</v>
      </c>
      <c r="I64" s="15">
        <v>2733</v>
      </c>
    </row>
    <row r="65" spans="1:9" x14ac:dyDescent="0.75">
      <c r="A65" s="18" t="s">
        <v>226</v>
      </c>
      <c r="B65" s="15">
        <v>2454</v>
      </c>
      <c r="C65" s="15">
        <v>2381</v>
      </c>
      <c r="D65" s="15">
        <v>1232</v>
      </c>
      <c r="E65" s="15">
        <v>2246</v>
      </c>
      <c r="F65" s="15">
        <v>1944</v>
      </c>
      <c r="G65" s="15">
        <v>420</v>
      </c>
      <c r="H65" s="15">
        <v>893</v>
      </c>
      <c r="I65" s="15">
        <v>732</v>
      </c>
    </row>
    <row r="66" spans="1:9" ht="24" customHeight="1" x14ac:dyDescent="0.75">
      <c r="A66" s="16" t="s">
        <v>227</v>
      </c>
      <c r="B66" s="16" t="s">
        <v>166</v>
      </c>
      <c r="C66" s="16" t="s">
        <v>166</v>
      </c>
      <c r="D66" s="16" t="s">
        <v>166</v>
      </c>
      <c r="E66" s="16" t="s">
        <v>166</v>
      </c>
      <c r="F66" s="16" t="s">
        <v>166</v>
      </c>
      <c r="G66" s="16" t="s">
        <v>166</v>
      </c>
      <c r="H66" s="16" t="s">
        <v>166</v>
      </c>
      <c r="I66" s="16" t="s">
        <v>166</v>
      </c>
    </row>
    <row r="67" spans="1:9" x14ac:dyDescent="0.75">
      <c r="A67" s="18" t="s">
        <v>228</v>
      </c>
      <c r="B67" s="15">
        <v>39809</v>
      </c>
      <c r="C67" s="15">
        <v>37113</v>
      </c>
      <c r="D67" s="15">
        <v>13966</v>
      </c>
      <c r="E67" s="15">
        <v>34818</v>
      </c>
      <c r="F67" s="15">
        <v>18664</v>
      </c>
      <c r="G67" s="15">
        <v>8474</v>
      </c>
      <c r="H67" s="15">
        <v>9952</v>
      </c>
      <c r="I67" s="15">
        <v>6930</v>
      </c>
    </row>
    <row r="68" spans="1:9" x14ac:dyDescent="0.75">
      <c r="A68" s="18" t="s">
        <v>229</v>
      </c>
      <c r="B68" s="15">
        <v>20206</v>
      </c>
      <c r="C68" s="15">
        <v>19726</v>
      </c>
      <c r="D68" s="15">
        <v>9208</v>
      </c>
      <c r="E68" s="15">
        <v>19068</v>
      </c>
      <c r="F68" s="15">
        <v>12629</v>
      </c>
      <c r="G68" s="15">
        <v>5326</v>
      </c>
      <c r="H68" s="15">
        <v>5781</v>
      </c>
      <c r="I68" s="15">
        <v>3905</v>
      </c>
    </row>
    <row r="69" spans="1:9" x14ac:dyDescent="0.75">
      <c r="A69" s="18" t="s">
        <v>230</v>
      </c>
      <c r="B69" s="15">
        <v>8140</v>
      </c>
      <c r="C69" s="15">
        <v>8055</v>
      </c>
      <c r="D69" s="15">
        <v>3886</v>
      </c>
      <c r="E69" s="15">
        <v>7767</v>
      </c>
      <c r="F69" s="15">
        <v>5761</v>
      </c>
      <c r="G69" s="15">
        <v>2239</v>
      </c>
      <c r="H69" s="15">
        <v>2789</v>
      </c>
      <c r="I69" s="15">
        <v>1950</v>
      </c>
    </row>
    <row r="70" spans="1:9" x14ac:dyDescent="0.75">
      <c r="A70" s="18" t="s">
        <v>231</v>
      </c>
      <c r="B70" s="15">
        <v>13535</v>
      </c>
      <c r="C70" s="15">
        <v>13307</v>
      </c>
      <c r="D70" s="15">
        <v>7842</v>
      </c>
      <c r="E70" s="15">
        <v>13083</v>
      </c>
      <c r="F70" s="15">
        <v>11610</v>
      </c>
      <c r="G70" s="15">
        <v>4469</v>
      </c>
      <c r="H70" s="15">
        <v>6053</v>
      </c>
      <c r="I70" s="15">
        <v>5642</v>
      </c>
    </row>
    <row r="71" spans="1:9" x14ac:dyDescent="0.75">
      <c r="A71" s="18" t="s">
        <v>232</v>
      </c>
      <c r="B71" s="15">
        <v>5404</v>
      </c>
      <c r="C71" s="15">
        <v>5368</v>
      </c>
      <c r="D71" s="15">
        <v>3504</v>
      </c>
      <c r="E71" s="15">
        <v>5344</v>
      </c>
      <c r="F71" s="15">
        <v>5152</v>
      </c>
      <c r="G71" s="15">
        <v>2888</v>
      </c>
      <c r="H71" s="15">
        <v>3484</v>
      </c>
      <c r="I71" s="15">
        <v>3645</v>
      </c>
    </row>
    <row r="72" spans="1:9" ht="24" customHeight="1" x14ac:dyDescent="0.75">
      <c r="A72" s="16" t="s">
        <v>233</v>
      </c>
      <c r="B72" s="22" t="s">
        <v>166</v>
      </c>
      <c r="C72" s="22" t="s">
        <v>166</v>
      </c>
      <c r="D72" s="22" t="s">
        <v>166</v>
      </c>
      <c r="E72" s="22" t="s">
        <v>166</v>
      </c>
      <c r="F72" s="22" t="s">
        <v>166</v>
      </c>
      <c r="G72" s="22" t="s">
        <v>166</v>
      </c>
      <c r="H72" s="22" t="s">
        <v>166</v>
      </c>
      <c r="I72" s="22" t="s">
        <v>166</v>
      </c>
    </row>
    <row r="73" spans="1:9" ht="15" customHeight="1" x14ac:dyDescent="0.75">
      <c r="A73" s="18" t="s">
        <v>234</v>
      </c>
      <c r="B73" s="15">
        <v>17751</v>
      </c>
      <c r="C73" s="15">
        <v>14286</v>
      </c>
      <c r="D73" s="15">
        <v>4834</v>
      </c>
      <c r="E73" s="15">
        <v>12622</v>
      </c>
      <c r="F73" s="15">
        <v>6162</v>
      </c>
      <c r="G73" s="15">
        <v>1664</v>
      </c>
      <c r="H73" s="15">
        <v>2418</v>
      </c>
      <c r="I73" s="15">
        <v>993</v>
      </c>
    </row>
    <row r="74" spans="1:9" ht="15" customHeight="1" x14ac:dyDescent="0.75">
      <c r="A74" s="18" t="s">
        <v>235</v>
      </c>
      <c r="B74" s="15">
        <v>8973</v>
      </c>
      <c r="C74" s="15">
        <v>8925</v>
      </c>
      <c r="D74" s="15">
        <v>3346</v>
      </c>
      <c r="E74" s="15">
        <v>8446</v>
      </c>
      <c r="F74" s="15">
        <v>4404</v>
      </c>
      <c r="G74" s="15">
        <v>1445</v>
      </c>
      <c r="H74" s="15">
        <v>1953</v>
      </c>
      <c r="I74" s="15">
        <v>902</v>
      </c>
    </row>
    <row r="75" spans="1:9" ht="15" customHeight="1" x14ac:dyDescent="0.75">
      <c r="A75" s="18" t="s">
        <v>236</v>
      </c>
      <c r="B75" s="15">
        <v>9623</v>
      </c>
      <c r="C75" s="15">
        <v>9614</v>
      </c>
      <c r="D75" s="15">
        <v>3753</v>
      </c>
      <c r="E75" s="15">
        <v>9292</v>
      </c>
      <c r="F75" s="15">
        <v>5181</v>
      </c>
      <c r="G75" s="15">
        <v>1673</v>
      </c>
      <c r="H75" s="15">
        <v>2355</v>
      </c>
      <c r="I75" s="15">
        <v>1360</v>
      </c>
    </row>
    <row r="76" spans="1:9" ht="15" customHeight="1" x14ac:dyDescent="0.75">
      <c r="A76" s="18" t="s">
        <v>237</v>
      </c>
      <c r="B76" s="15">
        <v>14514</v>
      </c>
      <c r="C76" s="15">
        <v>14512</v>
      </c>
      <c r="D76" s="15">
        <v>6370</v>
      </c>
      <c r="E76" s="15">
        <v>14195</v>
      </c>
      <c r="F76" s="15">
        <v>9078</v>
      </c>
      <c r="G76" s="15">
        <v>3603</v>
      </c>
      <c r="H76" s="15">
        <v>4800</v>
      </c>
      <c r="I76" s="15">
        <v>3548</v>
      </c>
    </row>
    <row r="77" spans="1:9" ht="15" customHeight="1" x14ac:dyDescent="0.75">
      <c r="A77" s="18" t="s">
        <v>238</v>
      </c>
      <c r="B77" s="15">
        <v>13476</v>
      </c>
      <c r="C77" s="15">
        <v>13476</v>
      </c>
      <c r="D77" s="15">
        <v>6902</v>
      </c>
      <c r="E77" s="15">
        <v>13040</v>
      </c>
      <c r="F77" s="15">
        <v>9597</v>
      </c>
      <c r="G77" s="15">
        <v>4563</v>
      </c>
      <c r="H77" s="15">
        <v>5243</v>
      </c>
      <c r="I77" s="15">
        <v>4223</v>
      </c>
    </row>
    <row r="78" spans="1:9" ht="15" customHeight="1" x14ac:dyDescent="0.75">
      <c r="A78" s="18" t="s">
        <v>239</v>
      </c>
      <c r="B78" s="15">
        <v>10941</v>
      </c>
      <c r="C78" s="15">
        <v>10941</v>
      </c>
      <c r="D78" s="15">
        <v>5568</v>
      </c>
      <c r="E78" s="15">
        <v>10782</v>
      </c>
      <c r="F78" s="15">
        <v>8461</v>
      </c>
      <c r="G78" s="15">
        <v>4441</v>
      </c>
      <c r="H78" s="15">
        <v>4227</v>
      </c>
      <c r="I78" s="15">
        <v>4231</v>
      </c>
    </row>
    <row r="79" spans="1:9" ht="15" customHeight="1" x14ac:dyDescent="0.75">
      <c r="A79" s="18" t="s">
        <v>240</v>
      </c>
      <c r="B79" s="15">
        <v>11815</v>
      </c>
      <c r="C79" s="15">
        <v>11815</v>
      </c>
      <c r="D79" s="15">
        <v>7633</v>
      </c>
      <c r="E79" s="15">
        <v>11704</v>
      </c>
      <c r="F79" s="15">
        <v>10933</v>
      </c>
      <c r="G79" s="15">
        <v>6007</v>
      </c>
      <c r="H79" s="15">
        <v>7062</v>
      </c>
      <c r="I79" s="15">
        <v>6814</v>
      </c>
    </row>
    <row r="80" spans="1:9" ht="24" customHeight="1" x14ac:dyDescent="0.75">
      <c r="A80" s="16" t="s">
        <v>241</v>
      </c>
      <c r="B80" s="22" t="s">
        <v>166</v>
      </c>
      <c r="C80" s="22" t="s">
        <v>166</v>
      </c>
      <c r="D80" s="22" t="s">
        <v>166</v>
      </c>
      <c r="E80" s="22" t="s">
        <v>166</v>
      </c>
      <c r="F80" s="22" t="s">
        <v>166</v>
      </c>
      <c r="G80" s="22" t="s">
        <v>166</v>
      </c>
      <c r="H80" s="22" t="s">
        <v>166</v>
      </c>
      <c r="I80" s="22" t="s">
        <v>166</v>
      </c>
    </row>
    <row r="81" spans="1:9" ht="15" customHeight="1" x14ac:dyDescent="0.75">
      <c r="A81" s="18" t="s">
        <v>242</v>
      </c>
      <c r="B81" s="15">
        <v>8220</v>
      </c>
      <c r="C81" s="15">
        <v>5514</v>
      </c>
      <c r="D81" s="15">
        <v>2684</v>
      </c>
      <c r="E81" s="15">
        <v>5037</v>
      </c>
      <c r="F81" s="15">
        <v>2645</v>
      </c>
      <c r="G81" s="15">
        <v>754</v>
      </c>
      <c r="H81" s="15">
        <v>1073</v>
      </c>
      <c r="I81" s="15">
        <v>445</v>
      </c>
    </row>
    <row r="82" spans="1:9" ht="15" customHeight="1" x14ac:dyDescent="0.75">
      <c r="A82" s="18" t="s">
        <v>243</v>
      </c>
      <c r="B82" s="15">
        <v>15828</v>
      </c>
      <c r="C82" s="15">
        <v>15693</v>
      </c>
      <c r="D82" s="15">
        <v>6209</v>
      </c>
      <c r="E82" s="15">
        <v>15156</v>
      </c>
      <c r="F82" s="15">
        <v>7767</v>
      </c>
      <c r="G82" s="15">
        <v>3063</v>
      </c>
      <c r="H82" s="15">
        <v>3615</v>
      </c>
      <c r="I82" s="15">
        <v>1876</v>
      </c>
    </row>
    <row r="83" spans="1:9" ht="15" customHeight="1" x14ac:dyDescent="0.75">
      <c r="A83" s="18" t="s">
        <v>244</v>
      </c>
      <c r="B83" s="15">
        <v>20529</v>
      </c>
      <c r="C83" s="15">
        <v>20401</v>
      </c>
      <c r="D83" s="15">
        <v>7753</v>
      </c>
      <c r="E83" s="15">
        <v>19671</v>
      </c>
      <c r="F83" s="15">
        <v>12581</v>
      </c>
      <c r="G83" s="15">
        <v>5227</v>
      </c>
      <c r="H83" s="15">
        <v>5702</v>
      </c>
      <c r="I83" s="15">
        <v>4094</v>
      </c>
    </row>
    <row r="84" spans="1:9" ht="15" customHeight="1" x14ac:dyDescent="0.75">
      <c r="A84" s="18" t="s">
        <v>245</v>
      </c>
      <c r="B84" s="15">
        <v>15867</v>
      </c>
      <c r="C84" s="15">
        <v>15773</v>
      </c>
      <c r="D84" s="15">
        <v>8805</v>
      </c>
      <c r="E84" s="15">
        <v>15372</v>
      </c>
      <c r="F84" s="15">
        <v>11430</v>
      </c>
      <c r="G84" s="15">
        <v>5341</v>
      </c>
      <c r="H84" s="15">
        <v>6696</v>
      </c>
      <c r="I84" s="15">
        <v>6080</v>
      </c>
    </row>
    <row r="85" spans="1:9" ht="15" customHeight="1" x14ac:dyDescent="0.75">
      <c r="A85" s="18" t="s">
        <v>246</v>
      </c>
      <c r="B85" s="15">
        <v>9395</v>
      </c>
      <c r="C85" s="15">
        <v>9336</v>
      </c>
      <c r="D85" s="15">
        <v>4289</v>
      </c>
      <c r="E85" s="15">
        <v>8702</v>
      </c>
      <c r="F85" s="15">
        <v>6225</v>
      </c>
      <c r="G85" s="15">
        <v>2726</v>
      </c>
      <c r="H85" s="15">
        <v>3544</v>
      </c>
      <c r="I85" s="15">
        <v>2832</v>
      </c>
    </row>
    <row r="86" spans="1:9" ht="15" customHeight="1" x14ac:dyDescent="0.75">
      <c r="A86" s="18" t="s">
        <v>247</v>
      </c>
      <c r="B86" s="15">
        <v>17253</v>
      </c>
      <c r="C86" s="15">
        <v>16852</v>
      </c>
      <c r="D86" s="15">
        <v>8667</v>
      </c>
      <c r="E86" s="15">
        <v>16144</v>
      </c>
      <c r="F86" s="15">
        <v>13169</v>
      </c>
      <c r="G86" s="15">
        <v>6286</v>
      </c>
      <c r="H86" s="15">
        <v>7428</v>
      </c>
      <c r="I86" s="15">
        <v>6745</v>
      </c>
    </row>
    <row r="87" spans="1:9" ht="24" customHeight="1" x14ac:dyDescent="0.75">
      <c r="A87" s="16" t="s">
        <v>248</v>
      </c>
      <c r="B87" s="22" t="s">
        <v>166</v>
      </c>
      <c r="C87" s="22" t="s">
        <v>166</v>
      </c>
      <c r="D87" s="22" t="s">
        <v>166</v>
      </c>
      <c r="E87" s="22" t="s">
        <v>166</v>
      </c>
      <c r="F87" s="22" t="s">
        <v>166</v>
      </c>
      <c r="G87" s="22" t="s">
        <v>166</v>
      </c>
      <c r="H87" s="22" t="s">
        <v>166</v>
      </c>
      <c r="I87" s="22" t="s">
        <v>166</v>
      </c>
    </row>
    <row r="88" spans="1:9" ht="15" customHeight="1" x14ac:dyDescent="0.75">
      <c r="A88" s="18" t="s">
        <v>249</v>
      </c>
      <c r="B88" s="15">
        <v>67550</v>
      </c>
      <c r="C88" s="15">
        <v>64509</v>
      </c>
      <c r="D88" s="15">
        <v>29885</v>
      </c>
      <c r="E88" s="15">
        <v>61330</v>
      </c>
      <c r="F88" s="15">
        <v>40348</v>
      </c>
      <c r="G88" s="15">
        <v>16399</v>
      </c>
      <c r="H88" s="15">
        <v>22488</v>
      </c>
      <c r="I88" s="15">
        <v>17210</v>
      </c>
    </row>
    <row r="89" spans="1:9" ht="15" customHeight="1" x14ac:dyDescent="0.75">
      <c r="A89" s="19" t="s">
        <v>250</v>
      </c>
      <c r="B89" s="15">
        <v>30637</v>
      </c>
      <c r="C89" s="15">
        <v>29949</v>
      </c>
      <c r="D89" s="15">
        <v>13181</v>
      </c>
      <c r="E89" s="15">
        <v>28109</v>
      </c>
      <c r="F89" s="15">
        <v>18432</v>
      </c>
      <c r="G89" s="15">
        <v>6238</v>
      </c>
      <c r="H89" s="15">
        <v>8652</v>
      </c>
      <c r="I89" s="15">
        <v>6135</v>
      </c>
    </row>
    <row r="90" spans="1:9" ht="15" customHeight="1" x14ac:dyDescent="0.75">
      <c r="A90" s="19" t="s">
        <v>251</v>
      </c>
      <c r="B90" s="15">
        <v>26115</v>
      </c>
      <c r="C90" s="15">
        <v>25543</v>
      </c>
      <c r="D90" s="15">
        <v>11650</v>
      </c>
      <c r="E90" s="15">
        <v>24494</v>
      </c>
      <c r="F90" s="15">
        <v>15538</v>
      </c>
      <c r="G90" s="15">
        <v>6932</v>
      </c>
      <c r="H90" s="15">
        <v>9504</v>
      </c>
      <c r="I90" s="15">
        <v>7422</v>
      </c>
    </row>
    <row r="91" spans="1:9" ht="15" customHeight="1" x14ac:dyDescent="0.75">
      <c r="A91" s="19" t="s">
        <v>252</v>
      </c>
      <c r="B91" s="15">
        <v>8873</v>
      </c>
      <c r="C91" s="15">
        <v>8778</v>
      </c>
      <c r="D91" s="15">
        <v>5011</v>
      </c>
      <c r="E91" s="15">
        <v>8508</v>
      </c>
      <c r="F91" s="15">
        <v>6323</v>
      </c>
      <c r="G91" s="15">
        <v>3190</v>
      </c>
      <c r="H91" s="15">
        <v>4293</v>
      </c>
      <c r="I91" s="15">
        <v>3647</v>
      </c>
    </row>
    <row r="92" spans="1:9" ht="15" customHeight="1" x14ac:dyDescent="0.75">
      <c r="A92" s="19" t="s">
        <v>253</v>
      </c>
      <c r="B92" s="15">
        <v>1925</v>
      </c>
      <c r="C92" s="15">
        <v>239</v>
      </c>
      <c r="D92" s="15" t="s">
        <v>168</v>
      </c>
      <c r="E92" s="15">
        <v>219</v>
      </c>
      <c r="F92" s="15" t="s">
        <v>168</v>
      </c>
      <c r="G92" s="15" t="s">
        <v>168</v>
      </c>
      <c r="H92" s="15" t="s">
        <v>168</v>
      </c>
      <c r="I92" s="15" t="s">
        <v>168</v>
      </c>
    </row>
    <row r="93" spans="1:9" ht="15" customHeight="1" x14ac:dyDescent="0.75">
      <c r="A93" s="18" t="s">
        <v>254</v>
      </c>
      <c r="B93" s="15">
        <v>19543</v>
      </c>
      <c r="C93" s="15">
        <v>19060</v>
      </c>
      <c r="D93" s="15">
        <v>8522</v>
      </c>
      <c r="E93" s="15">
        <v>18751</v>
      </c>
      <c r="F93" s="15">
        <v>13469</v>
      </c>
      <c r="G93" s="15">
        <v>6998</v>
      </c>
      <c r="H93" s="15">
        <v>5571</v>
      </c>
      <c r="I93" s="15">
        <v>4862</v>
      </c>
    </row>
    <row r="94" spans="1:9" ht="15" customHeight="1" x14ac:dyDescent="0.75">
      <c r="A94" s="19" t="s">
        <v>255</v>
      </c>
      <c r="B94" s="15">
        <v>1573</v>
      </c>
      <c r="C94" s="15">
        <v>1573</v>
      </c>
      <c r="D94" s="15">
        <v>761</v>
      </c>
      <c r="E94" s="15">
        <v>1572</v>
      </c>
      <c r="F94" s="15">
        <v>1288</v>
      </c>
      <c r="G94" s="15">
        <v>804</v>
      </c>
      <c r="H94" s="15">
        <v>949</v>
      </c>
      <c r="I94" s="15">
        <v>798</v>
      </c>
    </row>
    <row r="95" spans="1:9" ht="15" customHeight="1" x14ac:dyDescent="0.75">
      <c r="A95" s="19" t="s">
        <v>256</v>
      </c>
      <c r="B95" s="15">
        <v>5539</v>
      </c>
      <c r="C95" s="15">
        <v>5412</v>
      </c>
      <c r="D95" s="15">
        <v>2581</v>
      </c>
      <c r="E95" s="15">
        <v>5320</v>
      </c>
      <c r="F95" s="15">
        <v>4009</v>
      </c>
      <c r="G95" s="15">
        <v>1955</v>
      </c>
      <c r="H95" s="15">
        <v>1716</v>
      </c>
      <c r="I95" s="15">
        <v>1480</v>
      </c>
    </row>
    <row r="96" spans="1:9" ht="15" customHeight="1" x14ac:dyDescent="0.75">
      <c r="A96" s="19" t="s">
        <v>257</v>
      </c>
      <c r="B96" s="15">
        <v>12431</v>
      </c>
      <c r="C96" s="15">
        <v>12074</v>
      </c>
      <c r="D96" s="15">
        <v>5180</v>
      </c>
      <c r="E96" s="15">
        <v>11859</v>
      </c>
      <c r="F96" s="15">
        <v>8171</v>
      </c>
      <c r="G96" s="15">
        <v>4238</v>
      </c>
      <c r="H96" s="15">
        <v>2906</v>
      </c>
      <c r="I96" s="15">
        <v>2584</v>
      </c>
    </row>
    <row r="97" spans="1:9" ht="45.95" customHeight="1" x14ac:dyDescent="0.75">
      <c r="A97" s="16" t="s">
        <v>258</v>
      </c>
      <c r="B97" s="22" t="s">
        <v>166</v>
      </c>
      <c r="C97" s="22" t="s">
        <v>166</v>
      </c>
      <c r="D97" s="22" t="s">
        <v>166</v>
      </c>
      <c r="E97" s="22" t="s">
        <v>166</v>
      </c>
      <c r="F97" s="22" t="s">
        <v>166</v>
      </c>
      <c r="G97" s="22" t="s">
        <v>166</v>
      </c>
      <c r="H97" s="22" t="s">
        <v>166</v>
      </c>
      <c r="I97" s="22" t="s">
        <v>166</v>
      </c>
    </row>
    <row r="98" spans="1:9" ht="15" customHeight="1" x14ac:dyDescent="0.75">
      <c r="A98" s="18" t="s">
        <v>259</v>
      </c>
      <c r="B98" s="15">
        <v>73702</v>
      </c>
      <c r="C98" s="15">
        <v>70469</v>
      </c>
      <c r="D98" s="15">
        <v>31846</v>
      </c>
      <c r="E98" s="15">
        <v>67399</v>
      </c>
      <c r="F98" s="15">
        <v>46163</v>
      </c>
      <c r="G98" s="15">
        <v>19310</v>
      </c>
      <c r="H98" s="15">
        <v>22602</v>
      </c>
      <c r="I98" s="15">
        <v>17924</v>
      </c>
    </row>
    <row r="99" spans="1:9" ht="15" customHeight="1" x14ac:dyDescent="0.75">
      <c r="A99" s="18" t="s">
        <v>260</v>
      </c>
      <c r="B99" s="15">
        <v>11309</v>
      </c>
      <c r="C99" s="15">
        <v>11045</v>
      </c>
      <c r="D99" s="15">
        <v>5466</v>
      </c>
      <c r="E99" s="15">
        <v>10748</v>
      </c>
      <c r="F99" s="15">
        <v>6369</v>
      </c>
      <c r="G99" s="15">
        <v>3351</v>
      </c>
      <c r="H99" s="15">
        <v>4596</v>
      </c>
      <c r="I99" s="15">
        <v>3455</v>
      </c>
    </row>
    <row r="100" spans="1:9" ht="15" customHeight="1" x14ac:dyDescent="0.75">
      <c r="A100" s="18" t="s">
        <v>261</v>
      </c>
      <c r="B100" s="15">
        <v>1250</v>
      </c>
      <c r="C100" s="15">
        <v>1230</v>
      </c>
      <c r="D100" s="15">
        <v>681</v>
      </c>
      <c r="E100" s="15">
        <v>1127</v>
      </c>
      <c r="F100" s="15">
        <v>841</v>
      </c>
      <c r="G100" s="15">
        <v>462</v>
      </c>
      <c r="H100" s="15">
        <v>628</v>
      </c>
      <c r="I100" s="15">
        <v>502</v>
      </c>
    </row>
    <row r="101" spans="1:9" ht="15" customHeight="1" x14ac:dyDescent="0.75">
      <c r="A101" s="18" t="s">
        <v>72</v>
      </c>
      <c r="B101" s="15">
        <v>832</v>
      </c>
      <c r="C101" s="15">
        <v>825</v>
      </c>
      <c r="D101" s="15">
        <v>413</v>
      </c>
      <c r="E101" s="15">
        <v>807</v>
      </c>
      <c r="F101" s="15">
        <v>444</v>
      </c>
      <c r="G101" s="15" t="s">
        <v>168</v>
      </c>
      <c r="H101" s="15" t="s">
        <v>168</v>
      </c>
      <c r="I101" s="15" t="s">
        <v>168</v>
      </c>
    </row>
    <row r="102" spans="1:9" ht="33.950000000000003" customHeight="1" x14ac:dyDescent="0.75">
      <c r="A102" s="16" t="s">
        <v>262</v>
      </c>
      <c r="B102" s="22" t="s">
        <v>166</v>
      </c>
      <c r="C102" s="22" t="s">
        <v>166</v>
      </c>
      <c r="D102" s="22" t="s">
        <v>166</v>
      </c>
      <c r="E102" s="22" t="s">
        <v>166</v>
      </c>
      <c r="F102" s="22" t="s">
        <v>166</v>
      </c>
      <c r="G102" s="22" t="s">
        <v>166</v>
      </c>
      <c r="H102" s="22" t="s">
        <v>166</v>
      </c>
      <c r="I102" s="22" t="s">
        <v>166</v>
      </c>
    </row>
    <row r="103" spans="1:9" ht="15" customHeight="1" x14ac:dyDescent="0.75">
      <c r="A103" s="18" t="s">
        <v>259</v>
      </c>
      <c r="B103" s="23">
        <v>76271</v>
      </c>
      <c r="C103" s="23">
        <v>72961</v>
      </c>
      <c r="D103" s="23">
        <v>33177</v>
      </c>
      <c r="E103" s="23">
        <v>69883</v>
      </c>
      <c r="F103" s="23">
        <v>47361</v>
      </c>
      <c r="G103" s="23">
        <v>19929</v>
      </c>
      <c r="H103" s="23">
        <v>23577</v>
      </c>
      <c r="I103" s="23">
        <v>18671</v>
      </c>
    </row>
    <row r="104" spans="1:9" ht="15" customHeight="1" x14ac:dyDescent="0.75">
      <c r="A104" s="18" t="s">
        <v>260</v>
      </c>
      <c r="B104" s="15">
        <v>8256</v>
      </c>
      <c r="C104" s="15">
        <v>8059</v>
      </c>
      <c r="D104" s="15">
        <v>3996</v>
      </c>
      <c r="E104" s="15">
        <v>7819</v>
      </c>
      <c r="F104" s="15">
        <v>4871</v>
      </c>
      <c r="G104" s="15">
        <v>2621</v>
      </c>
      <c r="H104" s="15">
        <v>3448</v>
      </c>
      <c r="I104" s="15">
        <v>2431</v>
      </c>
    </row>
    <row r="105" spans="1:9" ht="15" customHeight="1" x14ac:dyDescent="0.75">
      <c r="A105" s="18" t="s">
        <v>261</v>
      </c>
      <c r="B105" s="15">
        <v>880</v>
      </c>
      <c r="C105" s="15">
        <v>880</v>
      </c>
      <c r="D105" s="15">
        <v>411</v>
      </c>
      <c r="E105" s="15">
        <v>733</v>
      </c>
      <c r="F105" s="15">
        <v>573</v>
      </c>
      <c r="G105" s="15">
        <v>330</v>
      </c>
      <c r="H105" s="15">
        <v>453</v>
      </c>
      <c r="I105" s="15">
        <v>360</v>
      </c>
    </row>
    <row r="106" spans="1:9" ht="15" customHeight="1" x14ac:dyDescent="0.75">
      <c r="A106" s="18" t="s">
        <v>72</v>
      </c>
      <c r="B106" s="15">
        <v>1686</v>
      </c>
      <c r="C106" s="15">
        <v>1668</v>
      </c>
      <c r="D106" s="15">
        <v>822</v>
      </c>
      <c r="E106" s="15">
        <v>1647</v>
      </c>
      <c r="F106" s="15">
        <v>1012</v>
      </c>
      <c r="G106" s="15">
        <v>517</v>
      </c>
      <c r="H106" s="15">
        <v>581</v>
      </c>
      <c r="I106" s="15">
        <v>609</v>
      </c>
    </row>
    <row r="107" spans="1:9" ht="24" customHeight="1" x14ac:dyDescent="0.75">
      <c r="A107" s="16" t="s">
        <v>263</v>
      </c>
      <c r="B107" s="17" t="s">
        <v>166</v>
      </c>
      <c r="C107" s="17" t="s">
        <v>166</v>
      </c>
      <c r="D107" s="17" t="s">
        <v>166</v>
      </c>
      <c r="E107" s="17" t="s">
        <v>166</v>
      </c>
      <c r="F107" s="17" t="s">
        <v>166</v>
      </c>
      <c r="G107" s="17" t="s">
        <v>166</v>
      </c>
      <c r="H107" s="17" t="s">
        <v>166</v>
      </c>
      <c r="I107" s="17" t="s">
        <v>166</v>
      </c>
    </row>
    <row r="108" spans="1:9" ht="15" customHeight="1" x14ac:dyDescent="0.75">
      <c r="A108" s="18" t="s">
        <v>264</v>
      </c>
      <c r="B108" s="15">
        <v>52275</v>
      </c>
      <c r="C108" s="15">
        <v>50347</v>
      </c>
      <c r="D108" s="15">
        <v>23510</v>
      </c>
      <c r="E108" s="15">
        <v>48384</v>
      </c>
      <c r="F108" s="15">
        <v>31219</v>
      </c>
      <c r="G108" s="15">
        <v>12969</v>
      </c>
      <c r="H108" s="15">
        <v>16382</v>
      </c>
      <c r="I108" s="15">
        <v>11924</v>
      </c>
    </row>
    <row r="109" spans="1:9" ht="15" customHeight="1" x14ac:dyDescent="0.75">
      <c r="A109" s="18" t="s">
        <v>265</v>
      </c>
      <c r="B109" s="15">
        <v>4616</v>
      </c>
      <c r="C109" s="15">
        <v>4580</v>
      </c>
      <c r="D109" s="15">
        <v>1947</v>
      </c>
      <c r="E109" s="15">
        <v>4534</v>
      </c>
      <c r="F109" s="15">
        <v>2857</v>
      </c>
      <c r="G109" s="15">
        <v>1742</v>
      </c>
      <c r="H109" s="15">
        <v>1103</v>
      </c>
      <c r="I109" s="15">
        <v>792</v>
      </c>
    </row>
    <row r="110" spans="1:9" ht="15" customHeight="1" x14ac:dyDescent="0.75">
      <c r="A110" s="18" t="s">
        <v>266</v>
      </c>
      <c r="B110" s="15">
        <v>4068</v>
      </c>
      <c r="C110" s="15">
        <v>3990</v>
      </c>
      <c r="D110" s="15">
        <v>1216</v>
      </c>
      <c r="E110" s="15">
        <v>3928</v>
      </c>
      <c r="F110" s="15">
        <v>3521</v>
      </c>
      <c r="G110" s="15">
        <v>876</v>
      </c>
      <c r="H110" s="15">
        <v>1147</v>
      </c>
      <c r="I110" s="15">
        <v>1197</v>
      </c>
    </row>
    <row r="111" spans="1:9" ht="15" customHeight="1" x14ac:dyDescent="0.75">
      <c r="A111" s="18" t="s">
        <v>267</v>
      </c>
      <c r="B111" s="15">
        <v>3456</v>
      </c>
      <c r="C111" s="15">
        <v>3383</v>
      </c>
      <c r="D111" s="15">
        <v>1586</v>
      </c>
      <c r="E111" s="15">
        <v>3281</v>
      </c>
      <c r="F111" s="15">
        <v>2536</v>
      </c>
      <c r="G111" s="15">
        <v>910</v>
      </c>
      <c r="H111" s="15">
        <v>1329</v>
      </c>
      <c r="I111" s="15">
        <v>1204</v>
      </c>
    </row>
    <row r="112" spans="1:9" ht="15" customHeight="1" x14ac:dyDescent="0.75">
      <c r="A112" s="18" t="s">
        <v>268</v>
      </c>
      <c r="B112" s="15">
        <v>5159</v>
      </c>
      <c r="C112" s="15">
        <v>5011</v>
      </c>
      <c r="D112" s="15">
        <v>3088</v>
      </c>
      <c r="E112" s="15">
        <v>4795</v>
      </c>
      <c r="F112" s="15">
        <v>3723</v>
      </c>
      <c r="G112" s="15">
        <v>1995</v>
      </c>
      <c r="H112" s="15">
        <v>2705</v>
      </c>
      <c r="I112" s="15">
        <v>2325</v>
      </c>
    </row>
    <row r="113" spans="1:9" ht="15" customHeight="1" x14ac:dyDescent="0.75">
      <c r="A113" s="18" t="s">
        <v>269</v>
      </c>
      <c r="B113" s="15">
        <v>3212</v>
      </c>
      <c r="C113" s="15">
        <v>2360</v>
      </c>
      <c r="D113" s="15">
        <v>397</v>
      </c>
      <c r="E113" s="15">
        <v>1951</v>
      </c>
      <c r="F113" s="15">
        <v>695</v>
      </c>
      <c r="G113" s="15">
        <v>566</v>
      </c>
      <c r="H113" s="15" t="s">
        <v>168</v>
      </c>
      <c r="I113" s="15" t="s">
        <v>168</v>
      </c>
    </row>
    <row r="114" spans="1:9" ht="15" customHeight="1" x14ac:dyDescent="0.75">
      <c r="A114" s="18" t="s">
        <v>270</v>
      </c>
      <c r="B114" s="15">
        <v>1932</v>
      </c>
      <c r="C114" s="15">
        <v>1911</v>
      </c>
      <c r="D114" s="15">
        <v>1294</v>
      </c>
      <c r="E114" s="15">
        <v>1704</v>
      </c>
      <c r="F114" s="15">
        <v>1189</v>
      </c>
      <c r="G114" s="15">
        <v>379</v>
      </c>
      <c r="H114" s="15">
        <v>666</v>
      </c>
      <c r="I114" s="15">
        <v>438</v>
      </c>
    </row>
    <row r="115" spans="1:9" ht="15" customHeight="1" x14ac:dyDescent="0.75">
      <c r="A115" s="18" t="s">
        <v>271</v>
      </c>
      <c r="B115" s="15">
        <v>3362</v>
      </c>
      <c r="C115" s="15">
        <v>3302</v>
      </c>
      <c r="D115" s="15">
        <v>2212</v>
      </c>
      <c r="E115" s="15">
        <v>3289</v>
      </c>
      <c r="F115" s="15">
        <v>2973</v>
      </c>
      <c r="G115" s="15">
        <v>1372</v>
      </c>
      <c r="H115" s="15">
        <v>1671</v>
      </c>
      <c r="I115" s="15">
        <v>1810</v>
      </c>
    </row>
    <row r="116" spans="1:9" ht="15" customHeight="1" x14ac:dyDescent="0.75">
      <c r="A116" s="18" t="s">
        <v>272</v>
      </c>
      <c r="B116" s="15">
        <v>1295</v>
      </c>
      <c r="C116" s="15">
        <v>1284</v>
      </c>
      <c r="D116" s="15">
        <v>675</v>
      </c>
      <c r="E116" s="15">
        <v>1088</v>
      </c>
      <c r="F116" s="15">
        <v>1113</v>
      </c>
      <c r="G116" s="15">
        <v>520</v>
      </c>
      <c r="H116" s="15">
        <v>573</v>
      </c>
      <c r="I116" s="15" t="s">
        <v>168</v>
      </c>
    </row>
    <row r="117" spans="1:9" ht="15" customHeight="1" x14ac:dyDescent="0.75">
      <c r="A117" s="18" t="s">
        <v>273</v>
      </c>
      <c r="B117" s="15">
        <v>554</v>
      </c>
      <c r="C117" s="15">
        <v>526</v>
      </c>
      <c r="D117" s="15">
        <v>231</v>
      </c>
      <c r="E117" s="15">
        <v>499</v>
      </c>
      <c r="F117" s="15">
        <v>356</v>
      </c>
      <c r="G117" s="15">
        <v>223</v>
      </c>
      <c r="H117" s="15">
        <v>209</v>
      </c>
      <c r="I117" s="15">
        <v>211</v>
      </c>
    </row>
    <row r="118" spans="1:9" ht="15" customHeight="1" x14ac:dyDescent="0.75">
      <c r="A118" s="18" t="s">
        <v>274</v>
      </c>
      <c r="B118" s="15">
        <v>2107</v>
      </c>
      <c r="C118" s="15">
        <v>2087</v>
      </c>
      <c r="D118" s="15">
        <v>798</v>
      </c>
      <c r="E118" s="15">
        <v>2005</v>
      </c>
      <c r="F118" s="15">
        <v>1436</v>
      </c>
      <c r="G118" s="15">
        <v>660</v>
      </c>
      <c r="H118" s="15">
        <v>683</v>
      </c>
      <c r="I118" s="15">
        <v>608</v>
      </c>
    </row>
    <row r="119" spans="1:9" ht="15" customHeight="1" x14ac:dyDescent="0.75">
      <c r="A119" s="18" t="s">
        <v>72</v>
      </c>
      <c r="B119" s="15">
        <v>5057</v>
      </c>
      <c r="C119" s="15">
        <v>4787</v>
      </c>
      <c r="D119" s="15">
        <v>1453</v>
      </c>
      <c r="E119" s="15">
        <v>4622</v>
      </c>
      <c r="F119" s="15">
        <v>2199</v>
      </c>
      <c r="G119" s="15">
        <v>1184</v>
      </c>
      <c r="H119" s="15">
        <v>1371</v>
      </c>
      <c r="I119" s="15">
        <v>953</v>
      </c>
    </row>
    <row r="120" spans="1:9" ht="44.15" customHeight="1" x14ac:dyDescent="0.75">
      <c r="A120" s="16" t="s">
        <v>275</v>
      </c>
      <c r="B120" s="22" t="s">
        <v>166</v>
      </c>
      <c r="C120" s="22" t="s">
        <v>166</v>
      </c>
      <c r="D120" s="22" t="s">
        <v>166</v>
      </c>
      <c r="E120" s="22" t="s">
        <v>166</v>
      </c>
      <c r="F120" s="22" t="s">
        <v>166</v>
      </c>
      <c r="G120" s="22" t="s">
        <v>166</v>
      </c>
      <c r="H120" s="22" t="s">
        <v>166</v>
      </c>
      <c r="I120" s="22" t="s">
        <v>166</v>
      </c>
    </row>
    <row r="121" spans="1:9" ht="15" customHeight="1" x14ac:dyDescent="0.75">
      <c r="A121" s="18" t="s">
        <v>276</v>
      </c>
      <c r="B121" s="15">
        <v>42216</v>
      </c>
      <c r="C121" s="15">
        <v>41479</v>
      </c>
      <c r="D121" s="15">
        <v>21682</v>
      </c>
      <c r="E121" s="15">
        <v>40110</v>
      </c>
      <c r="F121" s="15">
        <v>29853</v>
      </c>
      <c r="G121" s="15">
        <v>13577</v>
      </c>
      <c r="H121" s="15">
        <v>16029</v>
      </c>
      <c r="I121" s="15">
        <v>13577</v>
      </c>
    </row>
    <row r="122" spans="1:9" ht="15" customHeight="1" x14ac:dyDescent="0.75">
      <c r="A122" s="19" t="s">
        <v>277</v>
      </c>
      <c r="B122" s="15">
        <v>13022</v>
      </c>
      <c r="C122" s="15">
        <v>12924</v>
      </c>
      <c r="D122" s="15">
        <v>7595</v>
      </c>
      <c r="E122" s="15">
        <v>12770</v>
      </c>
      <c r="F122" s="15">
        <v>9867</v>
      </c>
      <c r="G122" s="15">
        <v>5170</v>
      </c>
      <c r="H122" s="15">
        <v>5328</v>
      </c>
      <c r="I122" s="15">
        <v>4711</v>
      </c>
    </row>
    <row r="123" spans="1:9" ht="15" customHeight="1" x14ac:dyDescent="0.75">
      <c r="A123" s="19" t="s">
        <v>278</v>
      </c>
      <c r="B123" s="15">
        <v>1753</v>
      </c>
      <c r="C123" s="15">
        <v>1718</v>
      </c>
      <c r="D123" s="15">
        <v>1071</v>
      </c>
      <c r="E123" s="15">
        <v>1652</v>
      </c>
      <c r="F123" s="15">
        <v>1287</v>
      </c>
      <c r="G123" s="15">
        <v>738</v>
      </c>
      <c r="H123" s="15">
        <v>581</v>
      </c>
      <c r="I123" s="15">
        <v>603</v>
      </c>
    </row>
    <row r="124" spans="1:9" ht="15" customHeight="1" x14ac:dyDescent="0.75">
      <c r="A124" s="19" t="s">
        <v>279</v>
      </c>
      <c r="B124" s="15">
        <v>20917</v>
      </c>
      <c r="C124" s="15">
        <v>20674</v>
      </c>
      <c r="D124" s="15">
        <v>11459</v>
      </c>
      <c r="E124" s="15">
        <v>20154</v>
      </c>
      <c r="F124" s="15">
        <v>15616</v>
      </c>
      <c r="G124" s="15">
        <v>7578</v>
      </c>
      <c r="H124" s="15">
        <v>8126</v>
      </c>
      <c r="I124" s="15">
        <v>7492</v>
      </c>
    </row>
    <row r="125" spans="1:9" ht="15" customHeight="1" x14ac:dyDescent="0.75">
      <c r="A125" s="19" t="s">
        <v>280</v>
      </c>
      <c r="B125" s="15">
        <v>4230</v>
      </c>
      <c r="C125" s="15">
        <v>4197</v>
      </c>
      <c r="D125" s="15">
        <v>2231</v>
      </c>
      <c r="E125" s="15">
        <v>4118</v>
      </c>
      <c r="F125" s="15">
        <v>3247</v>
      </c>
      <c r="G125" s="15">
        <v>1569</v>
      </c>
      <c r="H125" s="15">
        <v>1951</v>
      </c>
      <c r="I125" s="15">
        <v>1725</v>
      </c>
    </row>
    <row r="126" spans="1:9" ht="15" customHeight="1" x14ac:dyDescent="0.75">
      <c r="A126" s="19" t="s">
        <v>281</v>
      </c>
      <c r="B126" s="15">
        <v>21340</v>
      </c>
      <c r="C126" s="15">
        <v>21006</v>
      </c>
      <c r="D126" s="15">
        <v>11613</v>
      </c>
      <c r="E126" s="15">
        <v>20643</v>
      </c>
      <c r="F126" s="15">
        <v>16528</v>
      </c>
      <c r="G126" s="15">
        <v>7193</v>
      </c>
      <c r="H126" s="15">
        <v>9477</v>
      </c>
      <c r="I126" s="15">
        <v>8549</v>
      </c>
    </row>
    <row r="127" spans="1:9" ht="15" customHeight="1" x14ac:dyDescent="0.75">
      <c r="A127" s="19" t="s">
        <v>282</v>
      </c>
      <c r="B127" s="15">
        <v>12265</v>
      </c>
      <c r="C127" s="15">
        <v>12193</v>
      </c>
      <c r="D127" s="15">
        <v>6862</v>
      </c>
      <c r="E127" s="15">
        <v>11805</v>
      </c>
      <c r="F127" s="15">
        <v>9675</v>
      </c>
      <c r="G127" s="15">
        <v>4328</v>
      </c>
      <c r="H127" s="15">
        <v>5358</v>
      </c>
      <c r="I127" s="15">
        <v>4526</v>
      </c>
    </row>
    <row r="128" spans="1:9" ht="15" customHeight="1" x14ac:dyDescent="0.75">
      <c r="A128" s="19" t="s">
        <v>283</v>
      </c>
      <c r="B128" s="15">
        <v>26779</v>
      </c>
      <c r="C128" s="15">
        <v>26504</v>
      </c>
      <c r="D128" s="15">
        <v>14715</v>
      </c>
      <c r="E128" s="15">
        <v>25911</v>
      </c>
      <c r="F128" s="15">
        <v>20410</v>
      </c>
      <c r="G128" s="15">
        <v>9918</v>
      </c>
      <c r="H128" s="15">
        <v>11421</v>
      </c>
      <c r="I128" s="15">
        <v>9614</v>
      </c>
    </row>
    <row r="129" spans="1:9" ht="15" customHeight="1" x14ac:dyDescent="0.75">
      <c r="A129" s="19" t="s">
        <v>284</v>
      </c>
      <c r="B129" s="15">
        <v>25503</v>
      </c>
      <c r="C129" s="15">
        <v>25268</v>
      </c>
      <c r="D129" s="15">
        <v>13502</v>
      </c>
      <c r="E129" s="15">
        <v>24681</v>
      </c>
      <c r="F129" s="15">
        <v>19342</v>
      </c>
      <c r="G129" s="15">
        <v>8933</v>
      </c>
      <c r="H129" s="15">
        <v>10688</v>
      </c>
      <c r="I129" s="15">
        <v>9803</v>
      </c>
    </row>
    <row r="130" spans="1:9" ht="15" customHeight="1" x14ac:dyDescent="0.75">
      <c r="A130" s="19" t="s">
        <v>285</v>
      </c>
      <c r="B130" s="15">
        <v>16160</v>
      </c>
      <c r="C130" s="15">
        <v>15948</v>
      </c>
      <c r="D130" s="15">
        <v>9523</v>
      </c>
      <c r="E130" s="15">
        <v>15553</v>
      </c>
      <c r="F130" s="15">
        <v>12613</v>
      </c>
      <c r="G130" s="15">
        <v>5533</v>
      </c>
      <c r="H130" s="15">
        <v>7293</v>
      </c>
      <c r="I130" s="15">
        <v>6345</v>
      </c>
    </row>
    <row r="131" spans="1:9" ht="15" customHeight="1" x14ac:dyDescent="0.75">
      <c r="A131" s="19" t="s">
        <v>286</v>
      </c>
      <c r="B131" s="15">
        <v>13828</v>
      </c>
      <c r="C131" s="15">
        <v>13701</v>
      </c>
      <c r="D131" s="15">
        <v>8026</v>
      </c>
      <c r="E131" s="15">
        <v>13354</v>
      </c>
      <c r="F131" s="15">
        <v>11096</v>
      </c>
      <c r="G131" s="15">
        <v>4748</v>
      </c>
      <c r="H131" s="15">
        <v>6417</v>
      </c>
      <c r="I131" s="15">
        <v>5653</v>
      </c>
    </row>
    <row r="132" spans="1:9" ht="15" customHeight="1" x14ac:dyDescent="0.75">
      <c r="A132" s="19" t="s">
        <v>287</v>
      </c>
      <c r="B132" s="15">
        <v>7607</v>
      </c>
      <c r="C132" s="15">
        <v>7471</v>
      </c>
      <c r="D132" s="15">
        <v>4343</v>
      </c>
      <c r="E132" s="15">
        <v>7377</v>
      </c>
      <c r="F132" s="15">
        <v>5782</v>
      </c>
      <c r="G132" s="15">
        <v>2503</v>
      </c>
      <c r="H132" s="15">
        <v>3255</v>
      </c>
      <c r="I132" s="15">
        <v>3303</v>
      </c>
    </row>
    <row r="133" spans="1:9" ht="15" customHeight="1" x14ac:dyDescent="0.75">
      <c r="A133" s="19" t="s">
        <v>288</v>
      </c>
      <c r="B133" s="15">
        <v>17196</v>
      </c>
      <c r="C133" s="15">
        <v>17108</v>
      </c>
      <c r="D133" s="15">
        <v>9766</v>
      </c>
      <c r="E133" s="15">
        <v>16727</v>
      </c>
      <c r="F133" s="15">
        <v>13892</v>
      </c>
      <c r="G133" s="15">
        <v>6325</v>
      </c>
      <c r="H133" s="15">
        <v>7996</v>
      </c>
      <c r="I133" s="15">
        <v>7226</v>
      </c>
    </row>
    <row r="134" spans="1:9" ht="15" customHeight="1" x14ac:dyDescent="0.75">
      <c r="A134" s="19" t="s">
        <v>289</v>
      </c>
      <c r="B134" s="15">
        <v>3913</v>
      </c>
      <c r="C134" s="15">
        <v>3876</v>
      </c>
      <c r="D134" s="15">
        <v>2199</v>
      </c>
      <c r="E134" s="15">
        <v>3791</v>
      </c>
      <c r="F134" s="15">
        <v>3152</v>
      </c>
      <c r="G134" s="15">
        <v>1316</v>
      </c>
      <c r="H134" s="15">
        <v>1902</v>
      </c>
      <c r="I134" s="15">
        <v>1672</v>
      </c>
    </row>
    <row r="135" spans="1:9" ht="15" customHeight="1" x14ac:dyDescent="0.75">
      <c r="A135" s="19" t="s">
        <v>72</v>
      </c>
      <c r="B135" s="15">
        <v>848</v>
      </c>
      <c r="C135" s="15">
        <v>848</v>
      </c>
      <c r="D135" s="15">
        <v>499</v>
      </c>
      <c r="E135" s="15">
        <v>848</v>
      </c>
      <c r="F135" s="15">
        <v>656</v>
      </c>
      <c r="G135" s="15" t="s">
        <v>168</v>
      </c>
      <c r="H135" s="15">
        <v>492</v>
      </c>
      <c r="I135" s="15">
        <v>391</v>
      </c>
    </row>
    <row r="136" spans="1:9" ht="15" customHeight="1" x14ac:dyDescent="0.75">
      <c r="A136" s="18" t="s">
        <v>290</v>
      </c>
      <c r="B136" s="15">
        <v>39154</v>
      </c>
      <c r="C136" s="15">
        <v>36534</v>
      </c>
      <c r="D136" s="15">
        <v>15129</v>
      </c>
      <c r="E136" s="15">
        <v>34901</v>
      </c>
      <c r="F136" s="15">
        <v>20389</v>
      </c>
      <c r="G136" s="15">
        <v>8704</v>
      </c>
      <c r="H136" s="15">
        <v>10101</v>
      </c>
      <c r="I136" s="15">
        <v>6748</v>
      </c>
    </row>
    <row r="137" spans="1:9" ht="15" customHeight="1" x14ac:dyDescent="0.75">
      <c r="A137" s="18" t="s">
        <v>291</v>
      </c>
      <c r="B137" s="15">
        <v>5723</v>
      </c>
      <c r="C137" s="15">
        <v>5556</v>
      </c>
      <c r="D137" s="15">
        <v>1595</v>
      </c>
      <c r="E137" s="15">
        <v>5070</v>
      </c>
      <c r="F137" s="15">
        <v>3574</v>
      </c>
      <c r="G137" s="15">
        <v>1116</v>
      </c>
      <c r="H137" s="15">
        <v>1929</v>
      </c>
      <c r="I137" s="15">
        <v>1747</v>
      </c>
    </row>
    <row r="138" spans="1:9" ht="33.950000000000003" customHeight="1" x14ac:dyDescent="0.75">
      <c r="A138" s="16" t="s">
        <v>292</v>
      </c>
      <c r="B138" s="22" t="s">
        <v>166</v>
      </c>
      <c r="C138" s="22" t="s">
        <v>166</v>
      </c>
      <c r="D138" s="22" t="s">
        <v>166</v>
      </c>
      <c r="E138" s="22" t="s">
        <v>166</v>
      </c>
      <c r="F138" s="22" t="s">
        <v>166</v>
      </c>
      <c r="G138" s="22" t="s">
        <v>166</v>
      </c>
      <c r="H138" s="22" t="s">
        <v>166</v>
      </c>
      <c r="I138" s="22" t="s">
        <v>166</v>
      </c>
    </row>
    <row r="139" spans="1:9" ht="15" customHeight="1" x14ac:dyDescent="0.75">
      <c r="A139" s="18" t="s">
        <v>293</v>
      </c>
      <c r="B139" s="15">
        <v>84869</v>
      </c>
      <c r="C139" s="15">
        <v>83569</v>
      </c>
      <c r="D139" s="15">
        <v>38406</v>
      </c>
      <c r="E139" s="15">
        <v>80081</v>
      </c>
      <c r="F139" s="15">
        <v>53816</v>
      </c>
      <c r="G139" s="15">
        <v>23396</v>
      </c>
      <c r="H139" s="15">
        <v>28059</v>
      </c>
      <c r="I139" s="15">
        <v>22071</v>
      </c>
    </row>
    <row r="140" spans="1:9" ht="15" customHeight="1" x14ac:dyDescent="0.75">
      <c r="A140" s="18" t="s">
        <v>294</v>
      </c>
      <c r="B140" s="15">
        <v>58725</v>
      </c>
      <c r="C140" s="15">
        <v>58278</v>
      </c>
      <c r="D140" s="15">
        <v>29672</v>
      </c>
      <c r="E140" s="15">
        <v>56575</v>
      </c>
      <c r="F140" s="15">
        <v>40392</v>
      </c>
      <c r="G140" s="15">
        <v>18328</v>
      </c>
      <c r="H140" s="15">
        <v>21261</v>
      </c>
      <c r="I140" s="15">
        <v>17539</v>
      </c>
    </row>
    <row r="141" spans="1:9" ht="15" customHeight="1" x14ac:dyDescent="0.75">
      <c r="A141" s="18" t="s">
        <v>295</v>
      </c>
      <c r="B141" s="15">
        <v>20200</v>
      </c>
      <c r="C141" s="15">
        <v>20120</v>
      </c>
      <c r="D141" s="15">
        <v>11355</v>
      </c>
      <c r="E141" s="15">
        <v>19742</v>
      </c>
      <c r="F141" s="15">
        <v>16251</v>
      </c>
      <c r="G141" s="15">
        <v>8782</v>
      </c>
      <c r="H141" s="15">
        <v>9690</v>
      </c>
      <c r="I141" s="15">
        <v>8933</v>
      </c>
    </row>
    <row r="142" spans="1:9" ht="15" customHeight="1" x14ac:dyDescent="0.75">
      <c r="A142" s="18" t="s">
        <v>296</v>
      </c>
      <c r="B142" s="15">
        <v>5964</v>
      </c>
      <c r="C142" s="15">
        <v>5873</v>
      </c>
      <c r="D142" s="15">
        <v>3161</v>
      </c>
      <c r="E142" s="15">
        <v>5781</v>
      </c>
      <c r="F142" s="15">
        <v>5314</v>
      </c>
      <c r="G142" s="15">
        <v>2555</v>
      </c>
      <c r="H142" s="15">
        <v>2769</v>
      </c>
      <c r="I142" s="15">
        <v>2871</v>
      </c>
    </row>
    <row r="143" spans="1:9" ht="15" customHeight="1" x14ac:dyDescent="0.75">
      <c r="A143" s="18" t="s">
        <v>297</v>
      </c>
      <c r="B143" s="15">
        <v>4608</v>
      </c>
      <c r="C143" s="15">
        <v>4545</v>
      </c>
      <c r="D143" s="15">
        <v>2284</v>
      </c>
      <c r="E143" s="15">
        <v>4516</v>
      </c>
      <c r="F143" s="15">
        <v>4071</v>
      </c>
      <c r="G143" s="15">
        <v>1729</v>
      </c>
      <c r="H143" s="15">
        <v>1805</v>
      </c>
      <c r="I143" s="15">
        <v>1941</v>
      </c>
    </row>
    <row r="144" spans="1:9" ht="15" customHeight="1" x14ac:dyDescent="0.75">
      <c r="A144" s="18" t="s">
        <v>93</v>
      </c>
      <c r="B144" s="15">
        <v>7706</v>
      </c>
      <c r="C144" s="15">
        <v>7652</v>
      </c>
      <c r="D144" s="15">
        <v>3803</v>
      </c>
      <c r="E144" s="15">
        <v>7281</v>
      </c>
      <c r="F144" s="15">
        <v>4622</v>
      </c>
      <c r="G144" s="15">
        <v>2584</v>
      </c>
      <c r="H144" s="15">
        <v>2865</v>
      </c>
      <c r="I144" s="15">
        <v>2098</v>
      </c>
    </row>
    <row r="145" spans="1:9" ht="15" customHeight="1" x14ac:dyDescent="0.75">
      <c r="A145" s="18" t="s">
        <v>72</v>
      </c>
      <c r="B145" s="15">
        <v>3826</v>
      </c>
      <c r="C145" s="15">
        <v>3784</v>
      </c>
      <c r="D145" s="15">
        <v>1735</v>
      </c>
      <c r="E145" s="15">
        <v>3685</v>
      </c>
      <c r="F145" s="15">
        <v>2664</v>
      </c>
      <c r="G145" s="15">
        <v>957</v>
      </c>
      <c r="H145" s="15">
        <v>1466</v>
      </c>
      <c r="I145" s="15">
        <v>1247</v>
      </c>
    </row>
    <row r="146" spans="1:9" ht="33.950000000000003" customHeight="1" x14ac:dyDescent="0.75">
      <c r="A146" s="16" t="s">
        <v>300</v>
      </c>
      <c r="B146" s="22" t="s">
        <v>166</v>
      </c>
      <c r="C146" s="22" t="s">
        <v>166</v>
      </c>
      <c r="D146" s="22" t="s">
        <v>166</v>
      </c>
      <c r="E146" s="22" t="s">
        <v>166</v>
      </c>
      <c r="F146" s="22" t="s">
        <v>166</v>
      </c>
      <c r="G146" s="22" t="s">
        <v>166</v>
      </c>
      <c r="H146" s="22" t="s">
        <v>166</v>
      </c>
      <c r="I146" s="22" t="s">
        <v>166</v>
      </c>
    </row>
    <row r="147" spans="1:9" ht="15" customHeight="1" x14ac:dyDescent="0.75">
      <c r="A147" s="18" t="s">
        <v>156</v>
      </c>
      <c r="B147" s="15">
        <v>80078</v>
      </c>
      <c r="C147" s="15">
        <v>79384</v>
      </c>
      <c r="D147" s="15">
        <v>37292</v>
      </c>
      <c r="E147" s="15">
        <v>76646</v>
      </c>
      <c r="F147" s="15">
        <v>52287</v>
      </c>
      <c r="G147" s="15">
        <v>22631</v>
      </c>
      <c r="H147" s="15">
        <v>27225</v>
      </c>
      <c r="I147" s="15">
        <v>21503</v>
      </c>
    </row>
    <row r="148" spans="1:9" ht="15" customHeight="1" x14ac:dyDescent="0.75">
      <c r="A148" s="18" t="s">
        <v>301</v>
      </c>
      <c r="B148" s="15">
        <v>79294</v>
      </c>
      <c r="C148" s="15">
        <v>78876</v>
      </c>
      <c r="D148" s="15">
        <v>37119</v>
      </c>
      <c r="E148" s="15">
        <v>76125</v>
      </c>
      <c r="F148" s="15">
        <v>52285</v>
      </c>
      <c r="G148" s="15">
        <v>22734</v>
      </c>
      <c r="H148" s="15">
        <v>27618</v>
      </c>
      <c r="I148" s="15">
        <v>21869</v>
      </c>
    </row>
    <row r="149" spans="1:9" ht="15" customHeight="1" x14ac:dyDescent="0.75">
      <c r="A149" s="18" t="s">
        <v>302</v>
      </c>
      <c r="B149" s="15">
        <v>79015</v>
      </c>
      <c r="C149" s="15">
        <v>78622</v>
      </c>
      <c r="D149" s="15">
        <v>37160</v>
      </c>
      <c r="E149" s="15">
        <v>75803</v>
      </c>
      <c r="F149" s="15">
        <v>52606</v>
      </c>
      <c r="G149" s="15">
        <v>22834</v>
      </c>
      <c r="H149" s="15">
        <v>27589</v>
      </c>
      <c r="I149" s="15">
        <v>21894</v>
      </c>
    </row>
    <row r="150" spans="1:9" ht="15" customHeight="1" x14ac:dyDescent="0.75">
      <c r="A150" s="18" t="s">
        <v>303</v>
      </c>
      <c r="B150" s="15">
        <v>38546</v>
      </c>
      <c r="C150" s="15">
        <v>38494</v>
      </c>
      <c r="D150" s="15">
        <v>23469</v>
      </c>
      <c r="E150" s="15">
        <v>37728</v>
      </c>
      <c r="F150" s="15">
        <v>30809</v>
      </c>
      <c r="G150" s="15">
        <v>14810</v>
      </c>
      <c r="H150" s="15">
        <v>17558</v>
      </c>
      <c r="I150" s="15">
        <v>15043</v>
      </c>
    </row>
    <row r="151" spans="1:9" ht="15" customHeight="1" x14ac:dyDescent="0.75">
      <c r="A151" s="18" t="s">
        <v>304</v>
      </c>
      <c r="B151" s="15">
        <v>5078</v>
      </c>
      <c r="C151" s="15">
        <v>5044</v>
      </c>
      <c r="D151" s="15">
        <v>2387</v>
      </c>
      <c r="E151" s="15">
        <v>4928</v>
      </c>
      <c r="F151" s="15">
        <v>2363</v>
      </c>
      <c r="G151" s="15">
        <v>1421</v>
      </c>
      <c r="H151" s="15">
        <v>1506</v>
      </c>
      <c r="I151" s="15">
        <v>751</v>
      </c>
    </row>
    <row r="152" spans="1:9" ht="27.95" customHeight="1" x14ac:dyDescent="0.75">
      <c r="A152" s="18" t="s">
        <v>305</v>
      </c>
      <c r="B152" s="15">
        <v>25642</v>
      </c>
      <c r="C152" s="15">
        <v>25605</v>
      </c>
      <c r="D152" s="15">
        <v>13305</v>
      </c>
      <c r="E152" s="15">
        <v>25096</v>
      </c>
      <c r="F152" s="15">
        <v>21247</v>
      </c>
      <c r="G152" s="15">
        <v>10397</v>
      </c>
      <c r="H152" s="15">
        <v>12027</v>
      </c>
      <c r="I152" s="15">
        <v>11434</v>
      </c>
    </row>
    <row r="153" spans="1:9" ht="24" customHeight="1" x14ac:dyDescent="0.75">
      <c r="A153" s="16" t="s">
        <v>363</v>
      </c>
      <c r="B153" s="22" t="s">
        <v>166</v>
      </c>
      <c r="C153" s="22" t="s">
        <v>166</v>
      </c>
      <c r="D153" s="22" t="s">
        <v>166</v>
      </c>
      <c r="E153" s="22" t="s">
        <v>166</v>
      </c>
      <c r="F153" s="22" t="s">
        <v>166</v>
      </c>
      <c r="G153" s="22" t="s">
        <v>166</v>
      </c>
      <c r="H153" s="22" t="s">
        <v>166</v>
      </c>
      <c r="I153" s="22" t="s">
        <v>166</v>
      </c>
    </row>
    <row r="154" spans="1:9" ht="15" customHeight="1" x14ac:dyDescent="0.75">
      <c r="A154" s="18" t="s">
        <v>364</v>
      </c>
      <c r="B154" s="15">
        <v>322</v>
      </c>
      <c r="C154" s="15" t="s">
        <v>168</v>
      </c>
      <c r="D154" s="15" t="s">
        <v>168</v>
      </c>
      <c r="E154" s="15" t="s">
        <v>168</v>
      </c>
      <c r="F154" s="15" t="s">
        <v>168</v>
      </c>
      <c r="G154" s="15" t="s">
        <v>179</v>
      </c>
      <c r="H154" s="15" t="s">
        <v>179</v>
      </c>
      <c r="I154" s="15" t="s">
        <v>168</v>
      </c>
    </row>
    <row r="155" spans="1:9" ht="15" customHeight="1" x14ac:dyDescent="0.75">
      <c r="A155" s="18" t="s">
        <v>308</v>
      </c>
      <c r="B155" s="15">
        <v>12628</v>
      </c>
      <c r="C155" s="15">
        <v>12628</v>
      </c>
      <c r="D155" s="15">
        <v>4867</v>
      </c>
      <c r="E155" s="15">
        <v>11798</v>
      </c>
      <c r="F155" s="15">
        <v>6202</v>
      </c>
      <c r="G155" s="15">
        <v>2418</v>
      </c>
      <c r="H155" s="15">
        <v>2884</v>
      </c>
      <c r="I155" s="15">
        <v>1937</v>
      </c>
    </row>
    <row r="156" spans="1:9" ht="15" customHeight="1" x14ac:dyDescent="0.75">
      <c r="A156" s="18" t="s">
        <v>309</v>
      </c>
      <c r="B156" s="15">
        <v>34814</v>
      </c>
      <c r="C156" s="15">
        <v>34814</v>
      </c>
      <c r="D156" s="15">
        <v>19106</v>
      </c>
      <c r="E156" s="15">
        <v>33816</v>
      </c>
      <c r="F156" s="15">
        <v>25376</v>
      </c>
      <c r="G156" s="15">
        <v>11003</v>
      </c>
      <c r="H156" s="15">
        <v>15045</v>
      </c>
      <c r="I156" s="15">
        <v>11847</v>
      </c>
    </row>
    <row r="157" spans="1:9" ht="15" customHeight="1" x14ac:dyDescent="0.75">
      <c r="A157" s="35" t="s">
        <v>310</v>
      </c>
      <c r="B157" s="15">
        <v>35726</v>
      </c>
      <c r="C157" s="15">
        <v>35726</v>
      </c>
      <c r="D157" s="15">
        <v>14283</v>
      </c>
      <c r="E157" s="15">
        <v>34132</v>
      </c>
      <c r="F157" s="15">
        <v>22087</v>
      </c>
      <c r="G157" s="15">
        <v>9929</v>
      </c>
      <c r="H157" s="15">
        <v>10084</v>
      </c>
      <c r="I157" s="15">
        <v>8278</v>
      </c>
    </row>
    <row r="158" spans="1:9" ht="27.95" customHeight="1" x14ac:dyDescent="0.75">
      <c r="A158" s="35" t="s">
        <v>365</v>
      </c>
      <c r="B158" s="15">
        <v>3603</v>
      </c>
      <c r="C158" s="15">
        <v>371</v>
      </c>
      <c r="D158" s="15" t="s">
        <v>168</v>
      </c>
      <c r="E158" s="15">
        <v>326</v>
      </c>
      <c r="F158" s="15" t="s">
        <v>168</v>
      </c>
      <c r="G158" s="15" t="s">
        <v>168</v>
      </c>
      <c r="H158" s="15" t="s">
        <v>168</v>
      </c>
      <c r="I158" s="15" t="s">
        <v>168</v>
      </c>
    </row>
    <row r="159" spans="1:9" ht="24" customHeight="1" x14ac:dyDescent="0.75">
      <c r="A159" s="16" t="s">
        <v>366</v>
      </c>
      <c r="B159" s="22" t="s">
        <v>166</v>
      </c>
      <c r="C159" s="22" t="s">
        <v>166</v>
      </c>
      <c r="D159" s="22" t="s">
        <v>166</v>
      </c>
      <c r="E159" s="22" t="s">
        <v>166</v>
      </c>
      <c r="F159" s="22" t="s">
        <v>166</v>
      </c>
      <c r="G159" s="22" t="s">
        <v>166</v>
      </c>
      <c r="H159" s="22" t="s">
        <v>166</v>
      </c>
      <c r="I159" s="22" t="s">
        <v>166</v>
      </c>
    </row>
    <row r="160" spans="1:9" ht="15" customHeight="1" x14ac:dyDescent="0.75">
      <c r="A160" s="18" t="s">
        <v>364</v>
      </c>
      <c r="B160" s="15">
        <v>24746</v>
      </c>
      <c r="C160" s="15">
        <v>23500</v>
      </c>
      <c r="D160" s="15">
        <v>8122</v>
      </c>
      <c r="E160" s="15">
        <v>21910</v>
      </c>
      <c r="F160" s="15">
        <v>11540</v>
      </c>
      <c r="G160" s="15">
        <v>4722</v>
      </c>
      <c r="H160" s="15">
        <v>4692</v>
      </c>
      <c r="I160" s="15">
        <v>3038</v>
      </c>
    </row>
    <row r="161" spans="1:9" ht="15" customHeight="1" x14ac:dyDescent="0.75">
      <c r="A161" s="18" t="s">
        <v>308</v>
      </c>
      <c r="B161" s="15">
        <v>50753</v>
      </c>
      <c r="C161" s="15">
        <v>50753</v>
      </c>
      <c r="D161" s="15">
        <v>25337</v>
      </c>
      <c r="E161" s="15">
        <v>49312</v>
      </c>
      <c r="F161" s="15">
        <v>35189</v>
      </c>
      <c r="G161" s="15">
        <v>15141</v>
      </c>
      <c r="H161" s="15">
        <v>19374</v>
      </c>
      <c r="I161" s="15">
        <v>15404</v>
      </c>
    </row>
    <row r="162" spans="1:9" ht="15" customHeight="1" x14ac:dyDescent="0.75">
      <c r="A162" s="18" t="s">
        <v>367</v>
      </c>
      <c r="B162" s="15">
        <v>6926</v>
      </c>
      <c r="C162" s="15">
        <v>6926</v>
      </c>
      <c r="D162" s="15">
        <v>3936</v>
      </c>
      <c r="E162" s="15">
        <v>6568</v>
      </c>
      <c r="F162" s="15">
        <v>5611</v>
      </c>
      <c r="G162" s="15">
        <v>2627</v>
      </c>
      <c r="H162" s="15">
        <v>3022</v>
      </c>
      <c r="I162" s="15">
        <v>2712</v>
      </c>
    </row>
    <row r="163" spans="1:9" ht="27.95" customHeight="1" x14ac:dyDescent="0.75">
      <c r="A163" s="35" t="s">
        <v>368</v>
      </c>
      <c r="B163" s="15">
        <v>2443</v>
      </c>
      <c r="C163" s="15">
        <v>2390</v>
      </c>
      <c r="D163" s="15">
        <v>1012</v>
      </c>
      <c r="E163" s="15">
        <v>2291</v>
      </c>
      <c r="F163" s="15">
        <v>1477</v>
      </c>
      <c r="G163" s="15">
        <v>906</v>
      </c>
      <c r="H163" s="15">
        <v>970</v>
      </c>
      <c r="I163" s="15">
        <v>917</v>
      </c>
    </row>
    <row r="164" spans="1:9" ht="15" customHeight="1" x14ac:dyDescent="0.75">
      <c r="A164" s="35" t="s">
        <v>369</v>
      </c>
      <c r="B164" s="15">
        <v>2225</v>
      </c>
      <c r="C164" s="15" t="s">
        <v>179</v>
      </c>
      <c r="D164" s="15" t="s">
        <v>179</v>
      </c>
      <c r="E164" s="15" t="s">
        <v>179</v>
      </c>
      <c r="F164" s="15" t="s">
        <v>179</v>
      </c>
      <c r="G164" s="15" t="s">
        <v>179</v>
      </c>
      <c r="H164" s="15" t="s">
        <v>179</v>
      </c>
      <c r="I164" s="15" t="s">
        <v>179</v>
      </c>
    </row>
    <row r="165" spans="1:9" ht="33.950000000000003" customHeight="1" x14ac:dyDescent="0.75">
      <c r="A165" s="16" t="s">
        <v>370</v>
      </c>
      <c r="B165" s="22" t="s">
        <v>166</v>
      </c>
      <c r="C165" s="22" t="s">
        <v>166</v>
      </c>
      <c r="D165" s="22" t="s">
        <v>166</v>
      </c>
      <c r="E165" s="22" t="s">
        <v>166</v>
      </c>
      <c r="F165" s="22" t="s">
        <v>166</v>
      </c>
      <c r="G165" s="22" t="s">
        <v>166</v>
      </c>
      <c r="H165" s="22" t="s">
        <v>166</v>
      </c>
      <c r="I165" s="22" t="s">
        <v>166</v>
      </c>
    </row>
    <row r="166" spans="1:9" ht="15" customHeight="1" x14ac:dyDescent="0.75">
      <c r="A166" s="18" t="s">
        <v>371</v>
      </c>
      <c r="B166" s="15">
        <v>38406</v>
      </c>
      <c r="C166" s="15">
        <v>38406</v>
      </c>
      <c r="D166" s="15">
        <v>38406</v>
      </c>
      <c r="E166" s="15">
        <v>37447</v>
      </c>
      <c r="F166" s="15">
        <v>30603</v>
      </c>
      <c r="G166" s="15">
        <v>15324</v>
      </c>
      <c r="H166" s="15">
        <v>19550</v>
      </c>
      <c r="I166" s="15">
        <v>15118</v>
      </c>
    </row>
    <row r="167" spans="1:9" ht="15" customHeight="1" x14ac:dyDescent="0.75">
      <c r="A167" s="18" t="s">
        <v>372</v>
      </c>
      <c r="B167" s="15">
        <v>80081</v>
      </c>
      <c r="C167" s="15">
        <v>80081</v>
      </c>
      <c r="D167" s="15">
        <v>37447</v>
      </c>
      <c r="E167" s="15">
        <v>80081</v>
      </c>
      <c r="F167" s="15">
        <v>51568</v>
      </c>
      <c r="G167" s="15">
        <v>22703</v>
      </c>
      <c r="H167" s="15">
        <v>27403</v>
      </c>
      <c r="I167" s="15">
        <v>21386</v>
      </c>
    </row>
    <row r="168" spans="1:9" ht="15" customHeight="1" x14ac:dyDescent="0.75">
      <c r="A168" s="18" t="s">
        <v>373</v>
      </c>
      <c r="B168" s="15">
        <v>53816</v>
      </c>
      <c r="C168" s="15">
        <v>53816</v>
      </c>
      <c r="D168" s="15">
        <v>30603</v>
      </c>
      <c r="E168" s="15">
        <v>51568</v>
      </c>
      <c r="F168" s="15">
        <v>53816</v>
      </c>
      <c r="G168" s="15">
        <v>18808</v>
      </c>
      <c r="H168" s="15">
        <v>23433</v>
      </c>
      <c r="I168" s="15">
        <v>19584</v>
      </c>
    </row>
    <row r="169" spans="1:9" ht="15" customHeight="1" x14ac:dyDescent="0.75">
      <c r="A169" s="18" t="s">
        <v>374</v>
      </c>
      <c r="B169" s="15">
        <v>23396</v>
      </c>
      <c r="C169" s="15">
        <v>23396</v>
      </c>
      <c r="D169" s="15">
        <v>15324</v>
      </c>
      <c r="E169" s="15">
        <v>22703</v>
      </c>
      <c r="F169" s="15">
        <v>18808</v>
      </c>
      <c r="G169" s="15">
        <v>23396</v>
      </c>
      <c r="H169" s="15">
        <v>13211</v>
      </c>
      <c r="I169" s="15">
        <v>10729</v>
      </c>
    </row>
    <row r="170" spans="1:9" ht="15" customHeight="1" x14ac:dyDescent="0.75">
      <c r="A170" s="18" t="s">
        <v>361</v>
      </c>
      <c r="B170" s="15">
        <v>28059</v>
      </c>
      <c r="C170" s="15">
        <v>28059</v>
      </c>
      <c r="D170" s="15">
        <v>19550</v>
      </c>
      <c r="E170" s="15">
        <v>27403</v>
      </c>
      <c r="F170" s="15">
        <v>23433</v>
      </c>
      <c r="G170" s="15">
        <v>13211</v>
      </c>
      <c r="H170" s="15">
        <v>28059</v>
      </c>
      <c r="I170" s="15">
        <v>13934</v>
      </c>
    </row>
    <row r="171" spans="1:9" ht="15" customHeight="1" x14ac:dyDescent="0.75">
      <c r="A171" s="18" t="s">
        <v>362</v>
      </c>
      <c r="B171" s="15">
        <v>22071</v>
      </c>
      <c r="C171" s="15">
        <v>22071</v>
      </c>
      <c r="D171" s="15">
        <v>15118</v>
      </c>
      <c r="E171" s="15">
        <v>21386</v>
      </c>
      <c r="F171" s="15">
        <v>19584</v>
      </c>
      <c r="G171" s="15">
        <v>10729</v>
      </c>
      <c r="H171" s="15">
        <v>13934</v>
      </c>
      <c r="I171" s="15">
        <v>22071</v>
      </c>
    </row>
    <row r="172" spans="1:9" ht="15" customHeight="1" x14ac:dyDescent="0.75">
      <c r="A172" s="18" t="s">
        <v>72</v>
      </c>
      <c r="B172" s="15">
        <v>446</v>
      </c>
      <c r="C172" s="15">
        <v>446</v>
      </c>
      <c r="D172" s="15">
        <v>390</v>
      </c>
      <c r="E172" s="15">
        <v>446</v>
      </c>
      <c r="F172" s="15">
        <v>446</v>
      </c>
      <c r="G172" s="15" t="s">
        <v>168</v>
      </c>
      <c r="H172" s="15">
        <v>361</v>
      </c>
      <c r="I172" s="15">
        <v>357</v>
      </c>
    </row>
    <row r="173" spans="1:9" ht="44.15" customHeight="1" x14ac:dyDescent="0.75">
      <c r="A173" s="16" t="s">
        <v>375</v>
      </c>
      <c r="B173" s="22" t="s">
        <v>166</v>
      </c>
      <c r="C173" s="22" t="s">
        <v>166</v>
      </c>
      <c r="D173" s="22" t="s">
        <v>166</v>
      </c>
      <c r="E173" s="22" t="s">
        <v>166</v>
      </c>
      <c r="F173" s="22" t="s">
        <v>166</v>
      </c>
      <c r="G173" s="22" t="s">
        <v>166</v>
      </c>
      <c r="H173" s="22" t="s">
        <v>166</v>
      </c>
      <c r="I173" s="22" t="s">
        <v>166</v>
      </c>
    </row>
    <row r="174" spans="1:9" ht="15" customHeight="1" x14ac:dyDescent="0.75">
      <c r="A174" s="18" t="s">
        <v>376</v>
      </c>
      <c r="B174" s="15">
        <v>60362</v>
      </c>
      <c r="C174" s="15">
        <v>59205</v>
      </c>
      <c r="D174" s="15">
        <v>29012</v>
      </c>
      <c r="E174" s="15">
        <v>57237</v>
      </c>
      <c r="F174" s="15">
        <v>41014</v>
      </c>
      <c r="G174" s="15">
        <v>18216</v>
      </c>
      <c r="H174" s="15">
        <v>21614</v>
      </c>
      <c r="I174" s="15">
        <v>17864</v>
      </c>
    </row>
    <row r="175" spans="1:9" ht="15" customHeight="1" x14ac:dyDescent="0.75">
      <c r="A175" s="18" t="s">
        <v>377</v>
      </c>
      <c r="B175" s="15">
        <v>45025</v>
      </c>
      <c r="C175" s="15">
        <v>44068</v>
      </c>
      <c r="D175" s="15">
        <v>21931</v>
      </c>
      <c r="E175" s="15">
        <v>42856</v>
      </c>
      <c r="F175" s="15">
        <v>31503</v>
      </c>
      <c r="G175" s="15">
        <v>15006</v>
      </c>
      <c r="H175" s="15">
        <v>17327</v>
      </c>
      <c r="I175" s="15">
        <v>14758</v>
      </c>
    </row>
    <row r="176" spans="1:9" ht="15" customHeight="1" x14ac:dyDescent="0.75">
      <c r="A176" s="18" t="s">
        <v>378</v>
      </c>
      <c r="B176" s="15">
        <v>15908</v>
      </c>
      <c r="C176" s="15">
        <v>15759</v>
      </c>
      <c r="D176" s="15">
        <v>8748</v>
      </c>
      <c r="E176" s="15">
        <v>15232</v>
      </c>
      <c r="F176" s="15">
        <v>12668</v>
      </c>
      <c r="G176" s="15">
        <v>6287</v>
      </c>
      <c r="H176" s="15">
        <v>7896</v>
      </c>
      <c r="I176" s="15">
        <v>6873</v>
      </c>
    </row>
    <row r="177" spans="1:9" ht="15" customHeight="1" x14ac:dyDescent="0.75">
      <c r="A177" s="18" t="s">
        <v>379</v>
      </c>
      <c r="B177" s="15">
        <v>32188</v>
      </c>
      <c r="C177" s="15">
        <v>31869</v>
      </c>
      <c r="D177" s="15">
        <v>17405</v>
      </c>
      <c r="E177" s="15">
        <v>30762</v>
      </c>
      <c r="F177" s="15">
        <v>23268</v>
      </c>
      <c r="G177" s="15">
        <v>10433</v>
      </c>
      <c r="H177" s="15">
        <v>13417</v>
      </c>
      <c r="I177" s="15">
        <v>10694</v>
      </c>
    </row>
    <row r="178" spans="1:9" ht="15" customHeight="1" x14ac:dyDescent="0.75">
      <c r="A178" s="18" t="s">
        <v>380</v>
      </c>
      <c r="B178" s="15">
        <v>22261</v>
      </c>
      <c r="C178" s="15">
        <v>21902</v>
      </c>
      <c r="D178" s="15">
        <v>11479</v>
      </c>
      <c r="E178" s="15">
        <v>21291</v>
      </c>
      <c r="F178" s="15">
        <v>16651</v>
      </c>
      <c r="G178" s="15">
        <v>8534</v>
      </c>
      <c r="H178" s="15">
        <v>10239</v>
      </c>
      <c r="I178" s="15">
        <v>8409</v>
      </c>
    </row>
    <row r="179" spans="1:9" ht="15" customHeight="1" x14ac:dyDescent="0.75">
      <c r="A179" s="18" t="s">
        <v>381</v>
      </c>
      <c r="B179" s="15">
        <v>30263</v>
      </c>
      <c r="C179" s="15">
        <v>30263</v>
      </c>
      <c r="D179" s="15">
        <v>16639</v>
      </c>
      <c r="E179" s="15">
        <v>29056</v>
      </c>
      <c r="F179" s="15">
        <v>24267</v>
      </c>
      <c r="G179" s="15">
        <v>12845</v>
      </c>
      <c r="H179" s="15">
        <v>15175</v>
      </c>
      <c r="I179" s="15">
        <v>12888</v>
      </c>
    </row>
    <row r="180" spans="1:9" ht="15" customHeight="1" x14ac:dyDescent="0.75">
      <c r="A180" s="18" t="s">
        <v>382</v>
      </c>
      <c r="B180" s="15">
        <v>35871</v>
      </c>
      <c r="C180" s="15">
        <v>35871</v>
      </c>
      <c r="D180" s="15">
        <v>18510</v>
      </c>
      <c r="E180" s="15">
        <v>34858</v>
      </c>
      <c r="F180" s="15">
        <v>28252</v>
      </c>
      <c r="G180" s="15">
        <v>13754</v>
      </c>
      <c r="H180" s="15">
        <v>16401</v>
      </c>
      <c r="I180" s="15">
        <v>15662</v>
      </c>
    </row>
    <row r="181" spans="1:9" ht="15" customHeight="1" x14ac:dyDescent="0.75">
      <c r="A181" s="18" t="s">
        <v>383</v>
      </c>
      <c r="B181" s="15">
        <v>14534</v>
      </c>
      <c r="C181" s="15">
        <v>14534</v>
      </c>
      <c r="D181" s="15">
        <v>9302</v>
      </c>
      <c r="E181" s="15">
        <v>13971</v>
      </c>
      <c r="F181" s="15">
        <v>12688</v>
      </c>
      <c r="G181" s="15">
        <v>6520</v>
      </c>
      <c r="H181" s="15">
        <v>8888</v>
      </c>
      <c r="I181" s="15">
        <v>7984</v>
      </c>
    </row>
    <row r="182" spans="1:9" ht="15" customHeight="1" x14ac:dyDescent="0.75">
      <c r="A182" s="18" t="s">
        <v>384</v>
      </c>
      <c r="B182" s="15">
        <v>6114</v>
      </c>
      <c r="C182" s="15">
        <v>6114</v>
      </c>
      <c r="D182" s="15">
        <v>3387</v>
      </c>
      <c r="E182" s="15">
        <v>6032</v>
      </c>
      <c r="F182" s="15">
        <v>4887</v>
      </c>
      <c r="G182" s="15">
        <v>2868</v>
      </c>
      <c r="H182" s="15">
        <v>3341</v>
      </c>
      <c r="I182" s="15">
        <v>3980</v>
      </c>
    </row>
    <row r="183" spans="1:9" ht="15" customHeight="1" x14ac:dyDescent="0.75">
      <c r="A183" s="18" t="s">
        <v>385</v>
      </c>
      <c r="B183" s="15">
        <v>4738</v>
      </c>
      <c r="C183" s="15">
        <v>4738</v>
      </c>
      <c r="D183" s="15">
        <v>2946</v>
      </c>
      <c r="E183" s="15">
        <v>4506</v>
      </c>
      <c r="F183" s="15">
        <v>3502</v>
      </c>
      <c r="G183" s="15">
        <v>2061</v>
      </c>
      <c r="H183" s="15">
        <v>2437</v>
      </c>
      <c r="I183" s="15">
        <v>2251</v>
      </c>
    </row>
    <row r="184" spans="1:9" ht="27.95" customHeight="1" x14ac:dyDescent="0.75">
      <c r="A184" s="18" t="s">
        <v>386</v>
      </c>
      <c r="B184" s="15">
        <v>12068</v>
      </c>
      <c r="C184" s="15">
        <v>12068</v>
      </c>
      <c r="D184" s="15">
        <v>6984</v>
      </c>
      <c r="E184" s="15">
        <v>11721</v>
      </c>
      <c r="F184" s="15">
        <v>10143</v>
      </c>
      <c r="G184" s="15">
        <v>5684</v>
      </c>
      <c r="H184" s="15">
        <v>6577</v>
      </c>
      <c r="I184" s="15">
        <v>6766</v>
      </c>
    </row>
    <row r="185" spans="1:9" ht="44.15" customHeight="1" x14ac:dyDescent="0.75">
      <c r="A185" s="16" t="s">
        <v>327</v>
      </c>
      <c r="B185" s="22" t="s">
        <v>166</v>
      </c>
      <c r="C185" s="22" t="s">
        <v>166</v>
      </c>
      <c r="D185" s="22" t="s">
        <v>166</v>
      </c>
      <c r="E185" s="22" t="s">
        <v>166</v>
      </c>
      <c r="F185" s="22" t="s">
        <v>166</v>
      </c>
      <c r="G185" s="22" t="s">
        <v>166</v>
      </c>
      <c r="H185" s="22" t="s">
        <v>166</v>
      </c>
      <c r="I185" s="22" t="s">
        <v>166</v>
      </c>
    </row>
    <row r="186" spans="1:9" ht="15" customHeight="1" x14ac:dyDescent="0.75">
      <c r="A186" s="18" t="s">
        <v>321</v>
      </c>
      <c r="B186" s="15">
        <v>63167</v>
      </c>
      <c r="C186" s="15">
        <v>62669</v>
      </c>
      <c r="D186" s="15">
        <v>30314</v>
      </c>
      <c r="E186" s="15">
        <v>60546</v>
      </c>
      <c r="F186" s="15">
        <v>42331</v>
      </c>
      <c r="G186" s="15">
        <v>18572</v>
      </c>
      <c r="H186" s="15">
        <v>21904</v>
      </c>
      <c r="I186" s="15">
        <v>17671</v>
      </c>
    </row>
    <row r="187" spans="1:9" ht="15" customHeight="1" x14ac:dyDescent="0.75">
      <c r="A187" s="18" t="s">
        <v>322</v>
      </c>
      <c r="B187" s="15">
        <v>62516</v>
      </c>
      <c r="C187" s="15">
        <v>62156</v>
      </c>
      <c r="D187" s="15">
        <v>30210</v>
      </c>
      <c r="E187" s="15">
        <v>59941</v>
      </c>
      <c r="F187" s="15">
        <v>42180</v>
      </c>
      <c r="G187" s="15">
        <v>18424</v>
      </c>
      <c r="H187" s="15">
        <v>22268</v>
      </c>
      <c r="I187" s="15">
        <v>17939</v>
      </c>
    </row>
    <row r="188" spans="1:9" ht="15" customHeight="1" x14ac:dyDescent="0.75">
      <c r="A188" s="18" t="s">
        <v>328</v>
      </c>
      <c r="B188" s="15">
        <v>78594</v>
      </c>
      <c r="C188" s="15">
        <v>78594</v>
      </c>
      <c r="D188" s="15">
        <v>36405</v>
      </c>
      <c r="E188" s="15">
        <v>75380</v>
      </c>
      <c r="F188" s="15">
        <v>51068</v>
      </c>
      <c r="G188" s="15">
        <v>21872</v>
      </c>
      <c r="H188" s="15">
        <v>26646</v>
      </c>
      <c r="I188" s="15">
        <v>20668</v>
      </c>
    </row>
    <row r="189" spans="1:9" ht="15" customHeight="1" thickBot="1" x14ac:dyDescent="0.9">
      <c r="A189" s="19"/>
    </row>
    <row r="190" spans="1:9" ht="140.25" customHeight="1" x14ac:dyDescent="0.75">
      <c r="A190" s="107" t="s">
        <v>329</v>
      </c>
      <c r="B190" s="107"/>
      <c r="C190" s="107"/>
      <c r="D190" s="107"/>
      <c r="E190" s="107"/>
      <c r="F190" s="107"/>
      <c r="G190" s="107"/>
      <c r="H190" s="108"/>
      <c r="I190" s="108"/>
    </row>
  </sheetData>
  <mergeCells count="6">
    <mergeCell ref="A190:I190"/>
    <mergeCell ref="A2:I2"/>
    <mergeCell ref="B3:I3"/>
    <mergeCell ref="B4:B5"/>
    <mergeCell ref="C4:C5"/>
    <mergeCell ref="D4:I4"/>
  </mergeCells>
  <pageMargins left="0.7" right="0.7" top="0.6" bottom="0.6" header="0.3" footer="0.3"/>
  <pageSetup scale="85" fitToHeight="0" orientation="portrait" r:id="rId1"/>
  <rowBreaks count="3" manualBreakCount="3">
    <brk id="45" max="16383" man="1"/>
    <brk id="86" max="16383" man="1"/>
    <brk id="119" max="1638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N166"/>
  <sheetViews>
    <sheetView workbookViewId="0"/>
  </sheetViews>
  <sheetFormatPr defaultRowHeight="14.75" x14ac:dyDescent="0.75"/>
  <cols>
    <col min="1" max="1" width="28.7265625" customWidth="1"/>
    <col min="2" max="11" width="7.7265625" style="9" customWidth="1"/>
  </cols>
  <sheetData>
    <row r="1" spans="1:11" ht="29.5" x14ac:dyDescent="0.75">
      <c r="A1" s="8" t="s">
        <v>152</v>
      </c>
    </row>
    <row r="2" spans="1:11" ht="26.25" customHeight="1" x14ac:dyDescent="0.8">
      <c r="A2" s="109" t="s">
        <v>337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</row>
    <row r="3" spans="1:11" ht="24" customHeight="1" x14ac:dyDescent="0.8">
      <c r="A3" s="10"/>
      <c r="B3" s="124" t="s">
        <v>338</v>
      </c>
      <c r="C3" s="125"/>
      <c r="D3" s="125"/>
      <c r="E3" s="125"/>
      <c r="F3" s="126"/>
      <c r="G3" s="124" t="s">
        <v>154</v>
      </c>
      <c r="H3" s="125"/>
      <c r="I3" s="125"/>
      <c r="J3" s="125"/>
      <c r="K3" s="125"/>
    </row>
    <row r="4" spans="1:11" ht="36.75" customHeight="1" x14ac:dyDescent="0.8">
      <c r="A4" s="10"/>
      <c r="B4" s="127" t="s">
        <v>155</v>
      </c>
      <c r="C4" s="127" t="s">
        <v>302</v>
      </c>
      <c r="D4" s="128" t="s">
        <v>339</v>
      </c>
      <c r="E4" s="129"/>
      <c r="F4" s="129"/>
      <c r="G4" s="127" t="s">
        <v>155</v>
      </c>
      <c r="H4" s="127" t="s">
        <v>302</v>
      </c>
      <c r="I4" s="128" t="s">
        <v>339</v>
      </c>
      <c r="J4" s="129"/>
      <c r="K4" s="129"/>
    </row>
    <row r="5" spans="1:11" ht="89.25" customHeight="1" thickBot="1" x14ac:dyDescent="0.9">
      <c r="A5" s="11"/>
      <c r="B5" s="115" t="s">
        <v>155</v>
      </c>
      <c r="C5" s="115"/>
      <c r="D5" s="44" t="s">
        <v>340</v>
      </c>
      <c r="E5" s="44" t="s">
        <v>341</v>
      </c>
      <c r="F5" s="44" t="s">
        <v>342</v>
      </c>
      <c r="G5" s="115" t="s">
        <v>155</v>
      </c>
      <c r="H5" s="115"/>
      <c r="I5" s="44" t="s">
        <v>340</v>
      </c>
      <c r="J5" s="44" t="s">
        <v>341</v>
      </c>
      <c r="K5" s="44" t="s">
        <v>342</v>
      </c>
    </row>
    <row r="6" spans="1:11" ht="24" customHeight="1" thickTop="1" x14ac:dyDescent="0.75">
      <c r="A6" s="13" t="s">
        <v>164</v>
      </c>
      <c r="B6" s="14">
        <v>5557</v>
      </c>
      <c r="C6" s="14">
        <v>4423</v>
      </c>
      <c r="D6" s="14">
        <v>3348</v>
      </c>
      <c r="E6" s="14">
        <v>690</v>
      </c>
      <c r="F6" s="14">
        <v>385</v>
      </c>
      <c r="G6" s="14">
        <v>87093</v>
      </c>
      <c r="H6" s="14">
        <v>79015</v>
      </c>
      <c r="I6" s="14">
        <v>47534</v>
      </c>
      <c r="J6" s="14">
        <v>12688</v>
      </c>
      <c r="K6" s="14">
        <v>18793</v>
      </c>
    </row>
    <row r="7" spans="1:11" ht="24" customHeight="1" x14ac:dyDescent="0.75">
      <c r="A7" s="16" t="s">
        <v>165</v>
      </c>
      <c r="B7" s="17" t="s">
        <v>166</v>
      </c>
      <c r="C7" s="17" t="s">
        <v>166</v>
      </c>
      <c r="D7" s="17" t="s">
        <v>166</v>
      </c>
      <c r="E7" s="17" t="s">
        <v>166</v>
      </c>
      <c r="F7" s="17" t="s">
        <v>166</v>
      </c>
      <c r="G7" s="17" t="s">
        <v>166</v>
      </c>
      <c r="H7" s="17" t="s">
        <v>166</v>
      </c>
      <c r="I7" s="17" t="s">
        <v>166</v>
      </c>
      <c r="J7" s="17" t="s">
        <v>166</v>
      </c>
      <c r="K7" s="17" t="s">
        <v>166</v>
      </c>
    </row>
    <row r="8" spans="1:11" ht="15" customHeight="1" x14ac:dyDescent="0.75">
      <c r="A8" s="18" t="s">
        <v>167</v>
      </c>
      <c r="B8" s="15">
        <v>2777</v>
      </c>
      <c r="C8" s="15">
        <v>2032</v>
      </c>
      <c r="D8" s="15">
        <v>1653</v>
      </c>
      <c r="E8" s="15">
        <v>322</v>
      </c>
      <c r="F8" s="15">
        <v>57</v>
      </c>
      <c r="G8" s="15">
        <v>8041</v>
      </c>
      <c r="H8" s="15">
        <v>6102</v>
      </c>
      <c r="I8" s="15">
        <v>4906</v>
      </c>
      <c r="J8" s="15">
        <v>1011</v>
      </c>
      <c r="K8" s="15">
        <v>185</v>
      </c>
    </row>
    <row r="9" spans="1:11" ht="15" customHeight="1" x14ac:dyDescent="0.75">
      <c r="A9" s="18" t="s">
        <v>169</v>
      </c>
      <c r="B9" s="15">
        <v>1229</v>
      </c>
      <c r="C9" s="15">
        <v>992</v>
      </c>
      <c r="D9" s="15">
        <v>789</v>
      </c>
      <c r="E9" s="15">
        <v>120</v>
      </c>
      <c r="F9" s="15">
        <v>82</v>
      </c>
      <c r="G9" s="15">
        <v>8900</v>
      </c>
      <c r="H9" s="15">
        <v>7236</v>
      </c>
      <c r="I9" s="15">
        <v>5731</v>
      </c>
      <c r="J9" s="15">
        <v>890</v>
      </c>
      <c r="K9" s="15">
        <v>615</v>
      </c>
    </row>
    <row r="10" spans="1:11" ht="15" customHeight="1" x14ac:dyDescent="0.75">
      <c r="A10" s="18" t="s">
        <v>170</v>
      </c>
      <c r="B10" s="15">
        <v>884</v>
      </c>
      <c r="C10" s="15">
        <v>775</v>
      </c>
      <c r="D10" s="15">
        <v>538</v>
      </c>
      <c r="E10" s="15">
        <v>143</v>
      </c>
      <c r="F10" s="15">
        <v>93</v>
      </c>
      <c r="G10" s="15">
        <v>14105</v>
      </c>
      <c r="H10" s="15">
        <v>12401</v>
      </c>
      <c r="I10" s="15">
        <v>8549</v>
      </c>
      <c r="J10" s="15">
        <v>2318</v>
      </c>
      <c r="K10" s="15">
        <v>1534</v>
      </c>
    </row>
    <row r="11" spans="1:11" ht="15" customHeight="1" x14ac:dyDescent="0.75">
      <c r="A11" s="18" t="s">
        <v>171</v>
      </c>
      <c r="B11" s="15">
        <v>332</v>
      </c>
      <c r="C11" s="15">
        <v>307</v>
      </c>
      <c r="D11" s="15">
        <v>198</v>
      </c>
      <c r="E11" s="15">
        <v>57</v>
      </c>
      <c r="F11" s="15">
        <v>51</v>
      </c>
      <c r="G11" s="15">
        <v>11917</v>
      </c>
      <c r="H11" s="15">
        <v>11007</v>
      </c>
      <c r="I11" s="15">
        <v>7125</v>
      </c>
      <c r="J11" s="15">
        <v>1983</v>
      </c>
      <c r="K11" s="15">
        <v>1899</v>
      </c>
    </row>
    <row r="12" spans="1:11" ht="15" customHeight="1" x14ac:dyDescent="0.75">
      <c r="A12" s="18" t="s">
        <v>172</v>
      </c>
      <c r="B12" s="15">
        <v>199</v>
      </c>
      <c r="C12" s="15">
        <v>186</v>
      </c>
      <c r="D12" s="15">
        <v>103</v>
      </c>
      <c r="E12" s="15">
        <v>28</v>
      </c>
      <c r="F12" s="15">
        <v>55</v>
      </c>
      <c r="G12" s="15">
        <v>13918</v>
      </c>
      <c r="H12" s="15">
        <v>13063</v>
      </c>
      <c r="I12" s="15">
        <v>7181</v>
      </c>
      <c r="J12" s="15">
        <v>1904</v>
      </c>
      <c r="K12" s="15">
        <v>3978</v>
      </c>
    </row>
    <row r="13" spans="1:11" ht="15" customHeight="1" x14ac:dyDescent="0.75">
      <c r="A13" s="18" t="s">
        <v>173</v>
      </c>
      <c r="B13" s="15">
        <v>90</v>
      </c>
      <c r="C13" s="15">
        <v>86</v>
      </c>
      <c r="D13" s="15">
        <v>45</v>
      </c>
      <c r="E13" s="15">
        <v>13</v>
      </c>
      <c r="F13" s="15">
        <v>29</v>
      </c>
      <c r="G13" s="15">
        <v>12415</v>
      </c>
      <c r="H13" s="15">
        <v>11903</v>
      </c>
      <c r="I13" s="15">
        <v>6120</v>
      </c>
      <c r="J13" s="15">
        <v>1846</v>
      </c>
      <c r="K13" s="15">
        <v>3937</v>
      </c>
    </row>
    <row r="14" spans="1:11" ht="15" customHeight="1" x14ac:dyDescent="0.75">
      <c r="A14" s="18" t="s">
        <v>174</v>
      </c>
      <c r="B14" s="15">
        <v>38</v>
      </c>
      <c r="C14" s="15">
        <v>36</v>
      </c>
      <c r="D14" s="15">
        <v>17</v>
      </c>
      <c r="E14" s="15">
        <v>5</v>
      </c>
      <c r="F14" s="15">
        <v>14</v>
      </c>
      <c r="G14" s="15">
        <v>10724</v>
      </c>
      <c r="H14" s="15">
        <v>10351</v>
      </c>
      <c r="I14" s="15">
        <v>4924</v>
      </c>
      <c r="J14" s="15">
        <v>1516</v>
      </c>
      <c r="K14" s="15">
        <v>3911</v>
      </c>
    </row>
    <row r="15" spans="1:11" ht="15" customHeight="1" x14ac:dyDescent="0.75">
      <c r="A15" s="18" t="s">
        <v>175</v>
      </c>
      <c r="B15" s="15">
        <v>8</v>
      </c>
      <c r="C15" s="15">
        <v>8</v>
      </c>
      <c r="D15" s="15">
        <v>4</v>
      </c>
      <c r="E15" s="15">
        <v>1</v>
      </c>
      <c r="F15" s="15">
        <v>3</v>
      </c>
      <c r="G15" s="15">
        <v>7074</v>
      </c>
      <c r="H15" s="15">
        <v>6951</v>
      </c>
      <c r="I15" s="15">
        <v>2998</v>
      </c>
      <c r="J15" s="15">
        <v>1220</v>
      </c>
      <c r="K15" s="15">
        <v>2734</v>
      </c>
    </row>
    <row r="16" spans="1:11" ht="24" customHeight="1" x14ac:dyDescent="0.75">
      <c r="A16" s="16" t="s">
        <v>176</v>
      </c>
      <c r="B16" s="16" t="s">
        <v>166</v>
      </c>
      <c r="C16" s="16" t="s">
        <v>166</v>
      </c>
      <c r="D16" s="16" t="s">
        <v>166</v>
      </c>
      <c r="E16" s="16" t="s">
        <v>166</v>
      </c>
      <c r="F16" s="16" t="s">
        <v>166</v>
      </c>
      <c r="G16" s="16" t="s">
        <v>166</v>
      </c>
      <c r="H16" s="16" t="s">
        <v>166</v>
      </c>
      <c r="I16" s="16" t="s">
        <v>166</v>
      </c>
      <c r="J16" s="16" t="s">
        <v>166</v>
      </c>
      <c r="K16" s="16" t="s">
        <v>166</v>
      </c>
    </row>
    <row r="17" spans="1:14" x14ac:dyDescent="0.75">
      <c r="A17" s="18" t="s">
        <v>177</v>
      </c>
      <c r="B17" s="15">
        <v>389</v>
      </c>
      <c r="C17" s="15">
        <v>332</v>
      </c>
      <c r="D17" s="15">
        <v>244</v>
      </c>
      <c r="E17" s="15">
        <v>51</v>
      </c>
      <c r="F17" s="15">
        <v>38</v>
      </c>
      <c r="G17" s="15">
        <v>12239</v>
      </c>
      <c r="H17" s="15">
        <v>11905</v>
      </c>
      <c r="I17" s="15">
        <v>7580</v>
      </c>
      <c r="J17" s="15">
        <v>1269</v>
      </c>
      <c r="K17" s="15">
        <v>3057</v>
      </c>
    </row>
    <row r="18" spans="1:14" x14ac:dyDescent="0.75">
      <c r="A18" s="18" t="s">
        <v>178</v>
      </c>
      <c r="B18" s="15">
        <v>177</v>
      </c>
      <c r="C18" s="15">
        <v>177</v>
      </c>
      <c r="D18" s="15">
        <v>155</v>
      </c>
      <c r="E18" s="15" t="s">
        <v>168</v>
      </c>
      <c r="F18" s="15" t="s">
        <v>168</v>
      </c>
      <c r="G18" s="15">
        <v>1252</v>
      </c>
      <c r="H18" s="15">
        <v>1252</v>
      </c>
      <c r="I18" s="15">
        <v>883</v>
      </c>
      <c r="J18" s="15" t="s">
        <v>168</v>
      </c>
      <c r="K18" s="15" t="s">
        <v>168</v>
      </c>
    </row>
    <row r="19" spans="1:14" x14ac:dyDescent="0.75">
      <c r="A19" s="18" t="s">
        <v>180</v>
      </c>
      <c r="B19" s="15">
        <v>380</v>
      </c>
      <c r="C19" s="15">
        <v>379</v>
      </c>
      <c r="D19" s="15">
        <v>307</v>
      </c>
      <c r="E19" s="15">
        <v>33</v>
      </c>
      <c r="F19" s="15">
        <v>39</v>
      </c>
      <c r="G19" s="15">
        <v>1819</v>
      </c>
      <c r="H19" s="15">
        <v>1817</v>
      </c>
      <c r="I19" s="15">
        <v>1449</v>
      </c>
      <c r="J19" s="15">
        <v>130</v>
      </c>
      <c r="K19" s="15">
        <v>237</v>
      </c>
    </row>
    <row r="20" spans="1:14" x14ac:dyDescent="0.75">
      <c r="A20" s="18" t="s">
        <v>181</v>
      </c>
      <c r="B20" s="15">
        <v>157</v>
      </c>
      <c r="C20" s="15">
        <v>156</v>
      </c>
      <c r="D20" s="15">
        <v>124</v>
      </c>
      <c r="E20" s="15">
        <v>22</v>
      </c>
      <c r="F20" s="15">
        <v>10</v>
      </c>
      <c r="G20" s="15">
        <v>4155</v>
      </c>
      <c r="H20" s="15">
        <v>4153</v>
      </c>
      <c r="I20" s="15">
        <v>2630</v>
      </c>
      <c r="J20" s="15">
        <v>449</v>
      </c>
      <c r="K20" s="15">
        <v>1074</v>
      </c>
    </row>
    <row r="21" spans="1:14" x14ac:dyDescent="0.75">
      <c r="A21" s="19" t="s">
        <v>182</v>
      </c>
      <c r="B21" s="15">
        <v>10</v>
      </c>
      <c r="C21" s="15">
        <v>10</v>
      </c>
      <c r="D21" s="15">
        <v>6</v>
      </c>
      <c r="E21" s="15" t="s">
        <v>168</v>
      </c>
      <c r="F21" s="15">
        <v>2</v>
      </c>
      <c r="G21" s="15">
        <v>2374</v>
      </c>
      <c r="H21" s="15">
        <v>2374</v>
      </c>
      <c r="I21" s="15">
        <v>1419</v>
      </c>
      <c r="J21" s="15" t="s">
        <v>168</v>
      </c>
      <c r="K21" s="15">
        <v>860</v>
      </c>
    </row>
    <row r="22" spans="1:14" x14ac:dyDescent="0.75">
      <c r="A22" s="19" t="s">
        <v>183</v>
      </c>
      <c r="B22" s="15">
        <v>147</v>
      </c>
      <c r="C22" s="15">
        <v>146</v>
      </c>
      <c r="D22" s="15">
        <v>118</v>
      </c>
      <c r="E22" s="15">
        <v>21</v>
      </c>
      <c r="F22" s="15" t="s">
        <v>168</v>
      </c>
      <c r="G22" s="15">
        <v>1781</v>
      </c>
      <c r="H22" s="15">
        <v>1779</v>
      </c>
      <c r="I22" s="15">
        <v>1211</v>
      </c>
      <c r="J22" s="15">
        <v>354</v>
      </c>
      <c r="K22" s="15" t="s">
        <v>168</v>
      </c>
    </row>
    <row r="23" spans="1:14" x14ac:dyDescent="0.75">
      <c r="A23" s="18" t="s">
        <v>184</v>
      </c>
      <c r="B23" s="15">
        <v>158</v>
      </c>
      <c r="C23" s="15">
        <v>158</v>
      </c>
      <c r="D23" s="15">
        <v>132</v>
      </c>
      <c r="E23" s="15">
        <v>7</v>
      </c>
      <c r="F23" s="15">
        <v>19</v>
      </c>
      <c r="G23" s="15">
        <v>5826</v>
      </c>
      <c r="H23" s="15">
        <v>5821</v>
      </c>
      <c r="I23" s="15">
        <v>4418</v>
      </c>
      <c r="J23" s="15">
        <v>369</v>
      </c>
      <c r="K23" s="15">
        <v>1034</v>
      </c>
    </row>
    <row r="24" spans="1:14" x14ac:dyDescent="0.75">
      <c r="A24" s="18" t="s">
        <v>185</v>
      </c>
      <c r="B24" s="15">
        <v>602</v>
      </c>
      <c r="C24" s="15">
        <v>531</v>
      </c>
      <c r="D24" s="15">
        <v>342</v>
      </c>
      <c r="E24" s="15">
        <v>90</v>
      </c>
      <c r="F24" s="15">
        <v>99</v>
      </c>
      <c r="G24" s="15">
        <v>11330</v>
      </c>
      <c r="H24" s="15">
        <v>10960</v>
      </c>
      <c r="I24" s="15">
        <v>4705</v>
      </c>
      <c r="J24" s="15">
        <v>1492</v>
      </c>
      <c r="K24" s="15">
        <v>4763</v>
      </c>
      <c r="N24" s="20"/>
    </row>
    <row r="25" spans="1:14" ht="15" customHeight="1" x14ac:dyDescent="0.75">
      <c r="A25" s="21" t="s">
        <v>186</v>
      </c>
      <c r="B25" s="15">
        <v>438</v>
      </c>
      <c r="C25" s="15">
        <v>367</v>
      </c>
      <c r="D25" s="15">
        <v>270</v>
      </c>
      <c r="E25" s="15">
        <v>80</v>
      </c>
      <c r="F25" s="15">
        <v>17</v>
      </c>
      <c r="G25" s="15">
        <v>5439</v>
      </c>
      <c r="H25" s="15">
        <v>5070</v>
      </c>
      <c r="I25" s="15">
        <v>2932</v>
      </c>
      <c r="J25" s="15">
        <v>1013</v>
      </c>
      <c r="K25" s="15">
        <v>1125</v>
      </c>
    </row>
    <row r="26" spans="1:14" ht="15" customHeight="1" x14ac:dyDescent="0.75">
      <c r="A26" s="21" t="s">
        <v>187</v>
      </c>
      <c r="B26" s="15">
        <v>164</v>
      </c>
      <c r="C26" s="15">
        <v>164</v>
      </c>
      <c r="D26" s="15">
        <v>72</v>
      </c>
      <c r="E26" s="15">
        <v>10</v>
      </c>
      <c r="F26" s="15">
        <v>82</v>
      </c>
      <c r="G26" s="15">
        <v>5890</v>
      </c>
      <c r="H26" s="15">
        <v>5890</v>
      </c>
      <c r="I26" s="15">
        <v>1773</v>
      </c>
      <c r="J26" s="15">
        <v>479</v>
      </c>
      <c r="K26" s="15">
        <v>3638</v>
      </c>
    </row>
    <row r="27" spans="1:14" ht="15" customHeight="1" x14ac:dyDescent="0.75">
      <c r="A27" s="18" t="s">
        <v>188</v>
      </c>
      <c r="B27" s="15">
        <v>1012</v>
      </c>
      <c r="C27" s="15">
        <v>943</v>
      </c>
      <c r="D27" s="15">
        <v>713</v>
      </c>
      <c r="E27" s="15">
        <v>160</v>
      </c>
      <c r="F27" s="15">
        <v>71</v>
      </c>
      <c r="G27" s="15">
        <v>15952</v>
      </c>
      <c r="H27" s="15">
        <v>15663</v>
      </c>
      <c r="I27" s="15">
        <v>8724</v>
      </c>
      <c r="J27" s="15">
        <v>2934</v>
      </c>
      <c r="K27" s="15">
        <v>4006</v>
      </c>
    </row>
    <row r="28" spans="1:14" ht="15" customHeight="1" x14ac:dyDescent="0.75">
      <c r="A28" s="18" t="s">
        <v>189</v>
      </c>
      <c r="B28" s="15">
        <v>352</v>
      </c>
      <c r="C28" s="15">
        <v>317</v>
      </c>
      <c r="D28" s="15">
        <v>248</v>
      </c>
      <c r="E28" s="15">
        <v>41</v>
      </c>
      <c r="F28" s="15">
        <v>28</v>
      </c>
      <c r="G28" s="15">
        <v>5559</v>
      </c>
      <c r="H28" s="15">
        <v>5318</v>
      </c>
      <c r="I28" s="15">
        <v>3389</v>
      </c>
      <c r="J28" s="15">
        <v>514</v>
      </c>
      <c r="K28" s="15">
        <v>1415</v>
      </c>
    </row>
    <row r="29" spans="1:14" ht="15" customHeight="1" x14ac:dyDescent="0.75">
      <c r="A29" s="18" t="s">
        <v>190</v>
      </c>
      <c r="B29" s="15">
        <v>84</v>
      </c>
      <c r="C29" s="15">
        <v>80</v>
      </c>
      <c r="D29" s="15">
        <v>72</v>
      </c>
      <c r="E29" s="15" t="s">
        <v>168</v>
      </c>
      <c r="F29" s="15" t="s">
        <v>168</v>
      </c>
      <c r="G29" s="15">
        <v>1440</v>
      </c>
      <c r="H29" s="15">
        <v>1341</v>
      </c>
      <c r="I29" s="15">
        <v>1139</v>
      </c>
      <c r="J29" s="15" t="s">
        <v>168</v>
      </c>
      <c r="K29" s="15" t="s">
        <v>168</v>
      </c>
    </row>
    <row r="30" spans="1:14" ht="15" customHeight="1" x14ac:dyDescent="0.75">
      <c r="A30" s="18" t="s">
        <v>191</v>
      </c>
      <c r="B30" s="15">
        <v>412</v>
      </c>
      <c r="C30" s="15">
        <v>383</v>
      </c>
      <c r="D30" s="15">
        <v>290</v>
      </c>
      <c r="E30" s="15">
        <v>70</v>
      </c>
      <c r="F30" s="15">
        <v>23</v>
      </c>
      <c r="G30" s="15">
        <v>4557</v>
      </c>
      <c r="H30" s="15">
        <v>4337</v>
      </c>
      <c r="I30" s="15">
        <v>2850</v>
      </c>
      <c r="J30" s="15">
        <v>711</v>
      </c>
      <c r="K30" s="15">
        <v>776</v>
      </c>
    </row>
    <row r="31" spans="1:14" ht="15" customHeight="1" x14ac:dyDescent="0.75">
      <c r="A31" s="18" t="s">
        <v>192</v>
      </c>
      <c r="B31" s="15">
        <v>619</v>
      </c>
      <c r="C31" s="15">
        <v>442</v>
      </c>
      <c r="D31" s="15">
        <v>347</v>
      </c>
      <c r="E31" s="15">
        <v>80</v>
      </c>
      <c r="F31" s="15" t="s">
        <v>168</v>
      </c>
      <c r="G31" s="15">
        <v>4630</v>
      </c>
      <c r="H31" s="15">
        <v>3763</v>
      </c>
      <c r="I31" s="15">
        <v>2695</v>
      </c>
      <c r="J31" s="15">
        <v>669</v>
      </c>
      <c r="K31" s="15" t="s">
        <v>168</v>
      </c>
    </row>
    <row r="32" spans="1:14" ht="15" customHeight="1" x14ac:dyDescent="0.75">
      <c r="A32" s="18" t="s">
        <v>193</v>
      </c>
      <c r="B32" s="15">
        <v>796</v>
      </c>
      <c r="C32" s="15">
        <v>370</v>
      </c>
      <c r="D32" s="15">
        <v>252</v>
      </c>
      <c r="E32" s="15">
        <v>93</v>
      </c>
      <c r="F32" s="15">
        <v>26</v>
      </c>
      <c r="G32" s="15">
        <v>13077</v>
      </c>
      <c r="H32" s="15">
        <v>10041</v>
      </c>
      <c r="I32" s="15">
        <v>5204</v>
      </c>
      <c r="J32" s="15">
        <v>3449</v>
      </c>
      <c r="K32" s="15">
        <v>1388</v>
      </c>
    </row>
    <row r="33" spans="1:11" ht="15" customHeight="1" x14ac:dyDescent="0.75">
      <c r="A33" s="18" t="s">
        <v>194</v>
      </c>
      <c r="B33" s="15">
        <v>125</v>
      </c>
      <c r="C33" s="15">
        <v>98</v>
      </c>
      <c r="D33" s="15">
        <v>81</v>
      </c>
      <c r="E33" s="15" t="s">
        <v>168</v>
      </c>
      <c r="F33" s="15" t="s">
        <v>168</v>
      </c>
      <c r="G33" s="15">
        <v>2002</v>
      </c>
      <c r="H33" s="15">
        <v>1614</v>
      </c>
      <c r="I33" s="15">
        <v>1170</v>
      </c>
      <c r="J33" s="15" t="s">
        <v>168</v>
      </c>
      <c r="K33" s="15" t="s">
        <v>168</v>
      </c>
    </row>
    <row r="34" spans="1:11" ht="15" customHeight="1" x14ac:dyDescent="0.75">
      <c r="A34" s="18" t="s">
        <v>195</v>
      </c>
      <c r="B34" s="15">
        <v>296</v>
      </c>
      <c r="C34" s="15">
        <v>56</v>
      </c>
      <c r="D34" s="15">
        <v>44</v>
      </c>
      <c r="E34" s="15" t="s">
        <v>168</v>
      </c>
      <c r="F34" s="15" t="s">
        <v>168</v>
      </c>
      <c r="G34" s="15">
        <v>3256</v>
      </c>
      <c r="H34" s="15">
        <v>1031</v>
      </c>
      <c r="I34" s="15">
        <v>700</v>
      </c>
      <c r="J34" s="15" t="s">
        <v>168</v>
      </c>
      <c r="K34" s="15" t="s">
        <v>168</v>
      </c>
    </row>
    <row r="35" spans="1:11" ht="24" customHeight="1" x14ac:dyDescent="0.75">
      <c r="A35" s="16" t="s">
        <v>196</v>
      </c>
      <c r="B35" s="16" t="s">
        <v>166</v>
      </c>
      <c r="C35" s="16" t="s">
        <v>166</v>
      </c>
      <c r="D35" s="16" t="s">
        <v>166</v>
      </c>
      <c r="E35" s="16" t="s">
        <v>166</v>
      </c>
      <c r="F35" s="16" t="s">
        <v>166</v>
      </c>
      <c r="G35" s="16" t="s">
        <v>166</v>
      </c>
      <c r="H35" s="16" t="s">
        <v>166</v>
      </c>
      <c r="I35" s="16" t="s">
        <v>166</v>
      </c>
      <c r="J35" s="16" t="s">
        <v>166</v>
      </c>
      <c r="K35" s="16" t="s">
        <v>166</v>
      </c>
    </row>
    <row r="36" spans="1:11" ht="15" customHeight="1" x14ac:dyDescent="0.75">
      <c r="A36" s="18" t="s">
        <v>197</v>
      </c>
      <c r="B36" s="15">
        <v>362</v>
      </c>
      <c r="C36" s="15">
        <v>286</v>
      </c>
      <c r="D36" s="15">
        <v>232</v>
      </c>
      <c r="E36" s="15">
        <v>39</v>
      </c>
      <c r="F36" s="15">
        <v>15</v>
      </c>
      <c r="G36" s="15">
        <v>3983</v>
      </c>
      <c r="H36" s="15">
        <v>3403</v>
      </c>
      <c r="I36" s="15">
        <v>2287</v>
      </c>
      <c r="J36" s="15">
        <v>526</v>
      </c>
      <c r="K36" s="15">
        <v>590</v>
      </c>
    </row>
    <row r="37" spans="1:11" ht="15" customHeight="1" x14ac:dyDescent="0.75">
      <c r="A37" s="18" t="s">
        <v>198</v>
      </c>
      <c r="B37" s="15">
        <v>488</v>
      </c>
      <c r="C37" s="15">
        <v>383</v>
      </c>
      <c r="D37" s="15">
        <v>288</v>
      </c>
      <c r="E37" s="15">
        <v>69</v>
      </c>
      <c r="F37" s="15">
        <v>26</v>
      </c>
      <c r="G37" s="15">
        <v>6025</v>
      </c>
      <c r="H37" s="15">
        <v>5299</v>
      </c>
      <c r="I37" s="15">
        <v>2918</v>
      </c>
      <c r="J37" s="15">
        <v>743</v>
      </c>
      <c r="K37" s="15">
        <v>1638</v>
      </c>
    </row>
    <row r="38" spans="1:11" ht="15" customHeight="1" x14ac:dyDescent="0.75">
      <c r="A38" s="18" t="s">
        <v>199</v>
      </c>
      <c r="B38" s="15">
        <v>599</v>
      </c>
      <c r="C38" s="15">
        <v>460</v>
      </c>
      <c r="D38" s="15">
        <v>356</v>
      </c>
      <c r="E38" s="15">
        <v>78</v>
      </c>
      <c r="F38" s="15">
        <v>26</v>
      </c>
      <c r="G38" s="15">
        <v>7381</v>
      </c>
      <c r="H38" s="15">
        <v>6410</v>
      </c>
      <c r="I38" s="15">
        <v>4305</v>
      </c>
      <c r="J38" s="15">
        <v>943</v>
      </c>
      <c r="K38" s="15">
        <v>1162</v>
      </c>
    </row>
    <row r="39" spans="1:11" ht="15" customHeight="1" x14ac:dyDescent="0.75">
      <c r="A39" s="18" t="s">
        <v>200</v>
      </c>
      <c r="B39" s="15">
        <v>639</v>
      </c>
      <c r="C39" s="15">
        <v>540</v>
      </c>
      <c r="D39" s="15">
        <v>427</v>
      </c>
      <c r="E39" s="15">
        <v>60</v>
      </c>
      <c r="F39" s="15">
        <v>53</v>
      </c>
      <c r="G39" s="15">
        <v>10362</v>
      </c>
      <c r="H39" s="15">
        <v>9699</v>
      </c>
      <c r="I39" s="15">
        <v>6252</v>
      </c>
      <c r="J39" s="15">
        <v>1005</v>
      </c>
      <c r="K39" s="15">
        <v>2442</v>
      </c>
    </row>
    <row r="40" spans="1:11" ht="15" customHeight="1" x14ac:dyDescent="0.75">
      <c r="A40" s="18" t="s">
        <v>201</v>
      </c>
      <c r="B40" s="15">
        <v>684</v>
      </c>
      <c r="C40" s="15">
        <v>577</v>
      </c>
      <c r="D40" s="15">
        <v>435</v>
      </c>
      <c r="E40" s="15">
        <v>87</v>
      </c>
      <c r="F40" s="15">
        <v>55</v>
      </c>
      <c r="G40" s="15">
        <v>10846</v>
      </c>
      <c r="H40" s="15">
        <v>10158</v>
      </c>
      <c r="I40" s="15">
        <v>6298</v>
      </c>
      <c r="J40" s="15">
        <v>1773</v>
      </c>
      <c r="K40" s="15">
        <v>2087</v>
      </c>
    </row>
    <row r="41" spans="1:11" ht="15" customHeight="1" x14ac:dyDescent="0.75">
      <c r="A41" s="18" t="s">
        <v>202</v>
      </c>
      <c r="B41" s="15">
        <v>915</v>
      </c>
      <c r="C41" s="15">
        <v>727</v>
      </c>
      <c r="D41" s="15">
        <v>527</v>
      </c>
      <c r="E41" s="15">
        <v>139</v>
      </c>
      <c r="F41" s="15">
        <v>61</v>
      </c>
      <c r="G41" s="15">
        <v>15230</v>
      </c>
      <c r="H41" s="15">
        <v>13831</v>
      </c>
      <c r="I41" s="15">
        <v>7338</v>
      </c>
      <c r="J41" s="15">
        <v>2888</v>
      </c>
      <c r="K41" s="15">
        <v>3605</v>
      </c>
    </row>
    <row r="42" spans="1:11" ht="15" customHeight="1" x14ac:dyDescent="0.75">
      <c r="A42" s="18" t="s">
        <v>203</v>
      </c>
      <c r="B42" s="15">
        <v>845</v>
      </c>
      <c r="C42" s="15">
        <v>631</v>
      </c>
      <c r="D42" s="15">
        <v>498</v>
      </c>
      <c r="E42" s="15">
        <v>86</v>
      </c>
      <c r="F42" s="15">
        <v>48</v>
      </c>
      <c r="G42" s="15">
        <v>13803</v>
      </c>
      <c r="H42" s="15">
        <v>12209</v>
      </c>
      <c r="I42" s="15">
        <v>7417</v>
      </c>
      <c r="J42" s="15">
        <v>1724</v>
      </c>
      <c r="K42" s="15">
        <v>3069</v>
      </c>
    </row>
    <row r="43" spans="1:11" ht="15" customHeight="1" x14ac:dyDescent="0.75">
      <c r="A43" s="18" t="s">
        <v>204</v>
      </c>
      <c r="B43" s="15">
        <v>375</v>
      </c>
      <c r="C43" s="15">
        <v>312</v>
      </c>
      <c r="D43" s="15">
        <v>235</v>
      </c>
      <c r="E43" s="15">
        <v>45</v>
      </c>
      <c r="F43" s="15">
        <v>32</v>
      </c>
      <c r="G43" s="15">
        <v>7215</v>
      </c>
      <c r="H43" s="15">
        <v>6889</v>
      </c>
      <c r="I43" s="15">
        <v>4098</v>
      </c>
      <c r="J43" s="15">
        <v>1145</v>
      </c>
      <c r="K43" s="15">
        <v>1646</v>
      </c>
    </row>
    <row r="44" spans="1:11" ht="15" customHeight="1" x14ac:dyDescent="0.75">
      <c r="A44" s="18" t="s">
        <v>205</v>
      </c>
      <c r="B44" s="15">
        <v>347</v>
      </c>
      <c r="C44" s="15">
        <v>275</v>
      </c>
      <c r="D44" s="15">
        <v>190</v>
      </c>
      <c r="E44" s="15">
        <v>47</v>
      </c>
      <c r="F44" s="15">
        <v>38</v>
      </c>
      <c r="G44" s="15">
        <v>6524</v>
      </c>
      <c r="H44" s="15">
        <v>5955</v>
      </c>
      <c r="I44" s="15">
        <v>3445</v>
      </c>
      <c r="J44" s="15">
        <v>1007</v>
      </c>
      <c r="K44" s="15">
        <v>1503</v>
      </c>
    </row>
    <row r="45" spans="1:11" ht="15" customHeight="1" x14ac:dyDescent="0.75">
      <c r="A45" s="18" t="s">
        <v>206</v>
      </c>
      <c r="B45" s="15">
        <v>303</v>
      </c>
      <c r="C45" s="15">
        <v>231</v>
      </c>
      <c r="D45" s="15">
        <v>161</v>
      </c>
      <c r="E45" s="15">
        <v>39</v>
      </c>
      <c r="F45" s="15">
        <v>30</v>
      </c>
      <c r="G45" s="15">
        <v>5723</v>
      </c>
      <c r="H45" s="15">
        <v>5162</v>
      </c>
      <c r="I45" s="15">
        <v>3176</v>
      </c>
      <c r="J45" s="15">
        <v>933</v>
      </c>
      <c r="K45" s="15">
        <v>1053</v>
      </c>
    </row>
    <row r="46" spans="1:11" ht="24" customHeight="1" x14ac:dyDescent="0.75">
      <c r="A46" s="16" t="s">
        <v>207</v>
      </c>
      <c r="B46" s="17" t="s">
        <v>166</v>
      </c>
      <c r="C46" s="17" t="s">
        <v>166</v>
      </c>
      <c r="D46" s="17" t="s">
        <v>166</v>
      </c>
      <c r="E46" s="17" t="s">
        <v>166</v>
      </c>
      <c r="F46" s="17" t="s">
        <v>166</v>
      </c>
      <c r="G46" s="17" t="s">
        <v>166</v>
      </c>
      <c r="H46" s="17" t="s">
        <v>166</v>
      </c>
      <c r="I46" s="17" t="s">
        <v>166</v>
      </c>
      <c r="J46" s="17" t="s">
        <v>166</v>
      </c>
      <c r="K46" s="17" t="s">
        <v>166</v>
      </c>
    </row>
    <row r="47" spans="1:11" ht="15" customHeight="1" x14ac:dyDescent="0.75">
      <c r="A47" s="18" t="s">
        <v>208</v>
      </c>
      <c r="B47" s="15">
        <v>805</v>
      </c>
      <c r="C47" s="15">
        <v>671</v>
      </c>
      <c r="D47" s="15">
        <v>493</v>
      </c>
      <c r="E47" s="15">
        <v>123</v>
      </c>
      <c r="F47" s="15">
        <v>56</v>
      </c>
      <c r="G47" s="15">
        <v>15534</v>
      </c>
      <c r="H47" s="15">
        <v>14633</v>
      </c>
      <c r="I47" s="15">
        <v>9128</v>
      </c>
      <c r="J47" s="15">
        <v>2383</v>
      </c>
      <c r="K47" s="15">
        <v>3122</v>
      </c>
    </row>
    <row r="48" spans="1:11" ht="15" customHeight="1" x14ac:dyDescent="0.75">
      <c r="A48" s="19" t="s">
        <v>209</v>
      </c>
      <c r="B48" s="15">
        <v>302</v>
      </c>
      <c r="C48" s="15">
        <v>235</v>
      </c>
      <c r="D48" s="15">
        <v>166</v>
      </c>
      <c r="E48" s="15">
        <v>40</v>
      </c>
      <c r="F48" s="15">
        <v>30</v>
      </c>
      <c r="G48" s="15">
        <v>4302</v>
      </c>
      <c r="H48" s="15">
        <v>3915</v>
      </c>
      <c r="I48" s="15">
        <v>2487</v>
      </c>
      <c r="J48" s="15">
        <v>586</v>
      </c>
      <c r="K48" s="15">
        <v>843</v>
      </c>
    </row>
    <row r="49" spans="1:11" ht="15" customHeight="1" x14ac:dyDescent="0.75">
      <c r="A49" s="19" t="s">
        <v>210</v>
      </c>
      <c r="B49" s="15">
        <v>504</v>
      </c>
      <c r="C49" s="15">
        <v>436</v>
      </c>
      <c r="D49" s="15">
        <v>327</v>
      </c>
      <c r="E49" s="15">
        <v>83</v>
      </c>
      <c r="F49" s="15">
        <v>26</v>
      </c>
      <c r="G49" s="15">
        <v>11232</v>
      </c>
      <c r="H49" s="15">
        <v>10718</v>
      </c>
      <c r="I49" s="15">
        <v>6641</v>
      </c>
      <c r="J49" s="15">
        <v>1797</v>
      </c>
      <c r="K49" s="15">
        <v>2279</v>
      </c>
    </row>
    <row r="50" spans="1:11" ht="15" customHeight="1" x14ac:dyDescent="0.75">
      <c r="A50" s="18" t="s">
        <v>211</v>
      </c>
      <c r="B50" s="15">
        <v>1237</v>
      </c>
      <c r="C50" s="15">
        <v>1014</v>
      </c>
      <c r="D50" s="15">
        <v>806</v>
      </c>
      <c r="E50" s="15">
        <v>133</v>
      </c>
      <c r="F50" s="15">
        <v>76</v>
      </c>
      <c r="G50" s="15">
        <v>18919</v>
      </c>
      <c r="H50" s="15">
        <v>17592</v>
      </c>
      <c r="I50" s="15">
        <v>11316</v>
      </c>
      <c r="J50" s="15">
        <v>2335</v>
      </c>
      <c r="K50" s="15">
        <v>3942</v>
      </c>
    </row>
    <row r="51" spans="1:11" ht="15" customHeight="1" x14ac:dyDescent="0.75">
      <c r="A51" s="19" t="s">
        <v>212</v>
      </c>
      <c r="B51" s="15">
        <v>735</v>
      </c>
      <c r="C51" s="15">
        <v>629</v>
      </c>
      <c r="D51" s="15">
        <v>490</v>
      </c>
      <c r="E51" s="15">
        <v>90</v>
      </c>
      <c r="F51" s="15">
        <v>49</v>
      </c>
      <c r="G51" s="15">
        <v>12742</v>
      </c>
      <c r="H51" s="15">
        <v>12082</v>
      </c>
      <c r="I51" s="15">
        <v>7606</v>
      </c>
      <c r="J51" s="15">
        <v>1671</v>
      </c>
      <c r="K51" s="15">
        <v>2804</v>
      </c>
    </row>
    <row r="52" spans="1:11" ht="15" customHeight="1" x14ac:dyDescent="0.75">
      <c r="A52" s="19" t="s">
        <v>213</v>
      </c>
      <c r="B52" s="15">
        <v>502</v>
      </c>
      <c r="C52" s="15">
        <v>385</v>
      </c>
      <c r="D52" s="15">
        <v>316</v>
      </c>
      <c r="E52" s="15">
        <v>43</v>
      </c>
      <c r="F52" s="15">
        <v>27</v>
      </c>
      <c r="G52" s="15">
        <v>6178</v>
      </c>
      <c r="H52" s="15">
        <v>5510</v>
      </c>
      <c r="I52" s="15">
        <v>3710</v>
      </c>
      <c r="J52" s="15">
        <v>663</v>
      </c>
      <c r="K52" s="15">
        <v>1137</v>
      </c>
    </row>
    <row r="53" spans="1:11" ht="15" customHeight="1" x14ac:dyDescent="0.75">
      <c r="A53" s="18" t="s">
        <v>214</v>
      </c>
      <c r="B53" s="15">
        <v>2247</v>
      </c>
      <c r="C53" s="15">
        <v>1740</v>
      </c>
      <c r="D53" s="15">
        <v>1322</v>
      </c>
      <c r="E53" s="15">
        <v>264</v>
      </c>
      <c r="F53" s="15">
        <v>154</v>
      </c>
      <c r="G53" s="15">
        <v>34279</v>
      </c>
      <c r="H53" s="15">
        <v>30261</v>
      </c>
      <c r="I53" s="15">
        <v>17460</v>
      </c>
      <c r="J53" s="15">
        <v>4938</v>
      </c>
      <c r="K53" s="15">
        <v>7863</v>
      </c>
    </row>
    <row r="54" spans="1:11" ht="15" customHeight="1" x14ac:dyDescent="0.75">
      <c r="A54" s="19" t="s">
        <v>215</v>
      </c>
      <c r="B54" s="15">
        <v>1091</v>
      </c>
      <c r="C54" s="15">
        <v>856</v>
      </c>
      <c r="D54" s="15">
        <v>617</v>
      </c>
      <c r="E54" s="15">
        <v>160</v>
      </c>
      <c r="F54" s="15">
        <v>79</v>
      </c>
      <c r="G54" s="15">
        <v>17981</v>
      </c>
      <c r="H54" s="15">
        <v>16144</v>
      </c>
      <c r="I54" s="15">
        <v>8889</v>
      </c>
      <c r="J54" s="15">
        <v>3030</v>
      </c>
      <c r="K54" s="15">
        <v>4226</v>
      </c>
    </row>
    <row r="55" spans="1:11" ht="15" customHeight="1" x14ac:dyDescent="0.75">
      <c r="A55" s="19" t="s">
        <v>216</v>
      </c>
      <c r="B55" s="15">
        <v>370</v>
      </c>
      <c r="C55" s="15">
        <v>325</v>
      </c>
      <c r="D55" s="15">
        <v>268</v>
      </c>
      <c r="E55" s="15">
        <v>28</v>
      </c>
      <c r="F55" s="15">
        <v>29</v>
      </c>
      <c r="G55" s="15">
        <v>4904</v>
      </c>
      <c r="H55" s="15">
        <v>4598</v>
      </c>
      <c r="I55" s="15">
        <v>2745</v>
      </c>
      <c r="J55" s="15">
        <v>437</v>
      </c>
      <c r="K55" s="15">
        <v>1416</v>
      </c>
    </row>
    <row r="56" spans="1:11" ht="15" customHeight="1" x14ac:dyDescent="0.75">
      <c r="A56" s="19" t="s">
        <v>217</v>
      </c>
      <c r="B56" s="15">
        <v>786</v>
      </c>
      <c r="C56" s="15">
        <v>560</v>
      </c>
      <c r="D56" s="15">
        <v>437</v>
      </c>
      <c r="E56" s="15">
        <v>76</v>
      </c>
      <c r="F56" s="15">
        <v>46</v>
      </c>
      <c r="G56" s="15">
        <v>11394</v>
      </c>
      <c r="H56" s="15">
        <v>9519</v>
      </c>
      <c r="I56" s="15">
        <v>5826</v>
      </c>
      <c r="J56" s="15">
        <v>1471</v>
      </c>
      <c r="K56" s="15">
        <v>2222</v>
      </c>
    </row>
    <row r="57" spans="1:11" ht="15" customHeight="1" x14ac:dyDescent="0.75">
      <c r="A57" s="18" t="s">
        <v>218</v>
      </c>
      <c r="B57" s="15">
        <v>1267</v>
      </c>
      <c r="C57" s="15">
        <v>997</v>
      </c>
      <c r="D57" s="15">
        <v>728</v>
      </c>
      <c r="E57" s="15">
        <v>170</v>
      </c>
      <c r="F57" s="15">
        <v>99</v>
      </c>
      <c r="G57" s="15">
        <v>18360</v>
      </c>
      <c r="H57" s="15">
        <v>16529</v>
      </c>
      <c r="I57" s="15">
        <v>9631</v>
      </c>
      <c r="J57" s="15">
        <v>3032</v>
      </c>
      <c r="K57" s="15">
        <v>3866</v>
      </c>
    </row>
    <row r="58" spans="1:11" ht="15" customHeight="1" x14ac:dyDescent="0.75">
      <c r="A58" s="19" t="s">
        <v>219</v>
      </c>
      <c r="B58" s="15">
        <v>338</v>
      </c>
      <c r="C58" s="15">
        <v>260</v>
      </c>
      <c r="D58" s="15">
        <v>195</v>
      </c>
      <c r="E58" s="15">
        <v>36</v>
      </c>
      <c r="F58" s="15">
        <v>29</v>
      </c>
      <c r="G58" s="15">
        <v>4981</v>
      </c>
      <c r="H58" s="15">
        <v>4440</v>
      </c>
      <c r="I58" s="15">
        <v>2573</v>
      </c>
      <c r="J58" s="15">
        <v>699</v>
      </c>
      <c r="K58" s="15">
        <v>1168</v>
      </c>
    </row>
    <row r="59" spans="1:11" ht="15" customHeight="1" x14ac:dyDescent="0.75">
      <c r="A59" s="19" t="s">
        <v>220</v>
      </c>
      <c r="B59" s="15">
        <v>929</v>
      </c>
      <c r="C59" s="15">
        <v>737</v>
      </c>
      <c r="D59" s="15">
        <v>533</v>
      </c>
      <c r="E59" s="15">
        <v>135</v>
      </c>
      <c r="F59" s="15">
        <v>69</v>
      </c>
      <c r="G59" s="15">
        <v>13379</v>
      </c>
      <c r="H59" s="15">
        <v>12089</v>
      </c>
      <c r="I59" s="15">
        <v>7058</v>
      </c>
      <c r="J59" s="15">
        <v>2333</v>
      </c>
      <c r="K59" s="15">
        <v>2698</v>
      </c>
    </row>
    <row r="60" spans="1:11" ht="24" customHeight="1" x14ac:dyDescent="0.75">
      <c r="A60" s="16" t="s">
        <v>221</v>
      </c>
      <c r="B60" s="16" t="s">
        <v>166</v>
      </c>
      <c r="C60" s="16" t="s">
        <v>166</v>
      </c>
      <c r="D60" s="16" t="s">
        <v>166</v>
      </c>
      <c r="E60" s="16" t="s">
        <v>166</v>
      </c>
      <c r="F60" s="16" t="s">
        <v>166</v>
      </c>
      <c r="G60" s="16" t="s">
        <v>166</v>
      </c>
      <c r="H60" s="16" t="s">
        <v>166</v>
      </c>
      <c r="I60" s="16" t="s">
        <v>166</v>
      </c>
      <c r="J60" s="16" t="s">
        <v>166</v>
      </c>
      <c r="K60" s="16" t="s">
        <v>166</v>
      </c>
    </row>
    <row r="61" spans="1:11" x14ac:dyDescent="0.75">
      <c r="A61" s="18" t="s">
        <v>222</v>
      </c>
      <c r="B61" s="15">
        <v>2031</v>
      </c>
      <c r="C61" s="15">
        <v>1639</v>
      </c>
      <c r="D61" s="15">
        <v>1261</v>
      </c>
      <c r="E61" s="15">
        <v>242</v>
      </c>
      <c r="F61" s="15">
        <v>136</v>
      </c>
      <c r="G61" s="15">
        <v>31898</v>
      </c>
      <c r="H61" s="15">
        <v>29567</v>
      </c>
      <c r="I61" s="15">
        <v>18894</v>
      </c>
      <c r="J61" s="15">
        <v>4184</v>
      </c>
      <c r="K61" s="15">
        <v>6489</v>
      </c>
    </row>
    <row r="62" spans="1:11" x14ac:dyDescent="0.75">
      <c r="A62" s="18" t="s">
        <v>223</v>
      </c>
      <c r="B62" s="15">
        <v>1743</v>
      </c>
      <c r="C62" s="15">
        <v>1445</v>
      </c>
      <c r="D62" s="15">
        <v>1120</v>
      </c>
      <c r="E62" s="15">
        <v>201</v>
      </c>
      <c r="F62" s="15">
        <v>124</v>
      </c>
      <c r="G62" s="15">
        <v>27873</v>
      </c>
      <c r="H62" s="15">
        <v>25772</v>
      </c>
      <c r="I62" s="15">
        <v>15231</v>
      </c>
      <c r="J62" s="15">
        <v>3619</v>
      </c>
      <c r="K62" s="15">
        <v>6922</v>
      </c>
    </row>
    <row r="63" spans="1:11" x14ac:dyDescent="0.75">
      <c r="A63" s="18" t="s">
        <v>224</v>
      </c>
      <c r="B63" s="15">
        <v>837</v>
      </c>
      <c r="C63" s="15">
        <v>635</v>
      </c>
      <c r="D63" s="15">
        <v>457</v>
      </c>
      <c r="E63" s="15">
        <v>124</v>
      </c>
      <c r="F63" s="15">
        <v>54</v>
      </c>
      <c r="G63" s="15">
        <v>12037</v>
      </c>
      <c r="H63" s="15">
        <v>10585</v>
      </c>
      <c r="I63" s="15">
        <v>6259</v>
      </c>
      <c r="J63" s="15">
        <v>2221</v>
      </c>
      <c r="K63" s="15">
        <v>2105</v>
      </c>
    </row>
    <row r="64" spans="1:11" x14ac:dyDescent="0.75">
      <c r="A64" s="18" t="s">
        <v>225</v>
      </c>
      <c r="B64" s="15">
        <v>799</v>
      </c>
      <c r="C64" s="15">
        <v>590</v>
      </c>
      <c r="D64" s="15">
        <v>431</v>
      </c>
      <c r="E64" s="15">
        <v>104</v>
      </c>
      <c r="F64" s="15">
        <v>55</v>
      </c>
      <c r="G64" s="15">
        <v>12831</v>
      </c>
      <c r="H64" s="15">
        <v>10837</v>
      </c>
      <c r="I64" s="15">
        <v>5983</v>
      </c>
      <c r="J64" s="15">
        <v>2298</v>
      </c>
      <c r="K64" s="15">
        <v>2556</v>
      </c>
    </row>
    <row r="65" spans="1:11" x14ac:dyDescent="0.75">
      <c r="A65" s="18" t="s">
        <v>226</v>
      </c>
      <c r="B65" s="15">
        <v>147</v>
      </c>
      <c r="C65" s="15">
        <v>113</v>
      </c>
      <c r="D65" s="15">
        <v>78</v>
      </c>
      <c r="E65" s="15" t="s">
        <v>168</v>
      </c>
      <c r="F65" s="15">
        <v>16</v>
      </c>
      <c r="G65" s="15">
        <v>2454</v>
      </c>
      <c r="H65" s="15">
        <v>2255</v>
      </c>
      <c r="I65" s="15">
        <v>1168</v>
      </c>
      <c r="J65" s="15">
        <v>366</v>
      </c>
      <c r="K65" s="15">
        <v>721</v>
      </c>
    </row>
    <row r="66" spans="1:11" ht="24" customHeight="1" x14ac:dyDescent="0.75">
      <c r="A66" s="16" t="s">
        <v>227</v>
      </c>
      <c r="B66" s="16" t="s">
        <v>166</v>
      </c>
      <c r="C66" s="16" t="s">
        <v>166</v>
      </c>
      <c r="D66" s="16" t="s">
        <v>166</v>
      </c>
      <c r="E66" s="16" t="s">
        <v>166</v>
      </c>
      <c r="F66" s="16" t="s">
        <v>166</v>
      </c>
      <c r="G66" s="16" t="s">
        <v>166</v>
      </c>
      <c r="H66" s="16" t="s">
        <v>166</v>
      </c>
      <c r="I66" s="16" t="s">
        <v>166</v>
      </c>
      <c r="J66" s="16" t="s">
        <v>166</v>
      </c>
      <c r="K66" s="16" t="s">
        <v>166</v>
      </c>
    </row>
    <row r="67" spans="1:11" x14ac:dyDescent="0.75">
      <c r="A67" s="18" t="s">
        <v>228</v>
      </c>
      <c r="B67" s="15">
        <v>3836</v>
      </c>
      <c r="C67" s="15">
        <v>2862</v>
      </c>
      <c r="D67" s="15">
        <v>2179</v>
      </c>
      <c r="E67" s="15">
        <v>451</v>
      </c>
      <c r="F67" s="15">
        <v>231</v>
      </c>
      <c r="G67" s="15">
        <v>39809</v>
      </c>
      <c r="H67" s="15">
        <v>33591</v>
      </c>
      <c r="I67" s="15">
        <v>20177</v>
      </c>
      <c r="J67" s="15">
        <v>6094</v>
      </c>
      <c r="K67" s="15">
        <v>7321</v>
      </c>
    </row>
    <row r="68" spans="1:11" x14ac:dyDescent="0.75">
      <c r="A68" s="18" t="s">
        <v>229</v>
      </c>
      <c r="B68" s="15">
        <v>1158</v>
      </c>
      <c r="C68" s="15">
        <v>1039</v>
      </c>
      <c r="D68" s="15">
        <v>786</v>
      </c>
      <c r="E68" s="15">
        <v>156</v>
      </c>
      <c r="F68" s="15">
        <v>97</v>
      </c>
      <c r="G68" s="15">
        <v>20206</v>
      </c>
      <c r="H68" s="15">
        <v>19088</v>
      </c>
      <c r="I68" s="15">
        <v>11762</v>
      </c>
      <c r="J68" s="15">
        <v>3133</v>
      </c>
      <c r="K68" s="15">
        <v>4194</v>
      </c>
    </row>
    <row r="69" spans="1:11" x14ac:dyDescent="0.75">
      <c r="A69" s="18" t="s">
        <v>230</v>
      </c>
      <c r="B69" s="15">
        <v>374</v>
      </c>
      <c r="C69" s="15">
        <v>344</v>
      </c>
      <c r="D69" s="15">
        <v>259</v>
      </c>
      <c r="E69" s="15">
        <v>58</v>
      </c>
      <c r="F69" s="15">
        <v>26</v>
      </c>
      <c r="G69" s="15">
        <v>8140</v>
      </c>
      <c r="H69" s="15">
        <v>7932</v>
      </c>
      <c r="I69" s="15">
        <v>5148</v>
      </c>
      <c r="J69" s="15">
        <v>1181</v>
      </c>
      <c r="K69" s="15">
        <v>1602</v>
      </c>
    </row>
    <row r="70" spans="1:11" x14ac:dyDescent="0.75">
      <c r="A70" s="18" t="s">
        <v>231</v>
      </c>
      <c r="B70" s="15">
        <v>177</v>
      </c>
      <c r="C70" s="15">
        <v>166</v>
      </c>
      <c r="D70" s="15">
        <v>118</v>
      </c>
      <c r="E70" s="15">
        <v>23</v>
      </c>
      <c r="F70" s="15">
        <v>26</v>
      </c>
      <c r="G70" s="15">
        <v>13535</v>
      </c>
      <c r="H70" s="15">
        <v>13141</v>
      </c>
      <c r="I70" s="15">
        <v>7998</v>
      </c>
      <c r="J70" s="15">
        <v>1646</v>
      </c>
      <c r="K70" s="15">
        <v>3497</v>
      </c>
    </row>
    <row r="71" spans="1:11" x14ac:dyDescent="0.75">
      <c r="A71" s="18" t="s">
        <v>232</v>
      </c>
      <c r="B71" s="15">
        <v>13</v>
      </c>
      <c r="C71" s="15">
        <v>12</v>
      </c>
      <c r="D71" s="15">
        <v>6</v>
      </c>
      <c r="E71" s="15">
        <v>2</v>
      </c>
      <c r="F71" s="15">
        <v>5</v>
      </c>
      <c r="G71" s="15">
        <v>5404</v>
      </c>
      <c r="H71" s="15">
        <v>5264</v>
      </c>
      <c r="I71" s="15">
        <v>2450</v>
      </c>
      <c r="J71" s="15">
        <v>635</v>
      </c>
      <c r="K71" s="15">
        <v>2179</v>
      </c>
    </row>
    <row r="72" spans="1:11" ht="24" customHeight="1" x14ac:dyDescent="0.75">
      <c r="A72" s="16" t="s">
        <v>233</v>
      </c>
      <c r="B72" s="22" t="s">
        <v>166</v>
      </c>
      <c r="C72" s="22" t="s">
        <v>166</v>
      </c>
      <c r="D72" s="22" t="s">
        <v>166</v>
      </c>
      <c r="E72" s="22" t="s">
        <v>166</v>
      </c>
      <c r="F72" s="22" t="s">
        <v>166</v>
      </c>
      <c r="G72" s="22" t="s">
        <v>166</v>
      </c>
      <c r="H72" s="22" t="s">
        <v>166</v>
      </c>
      <c r="I72" s="22" t="s">
        <v>166</v>
      </c>
      <c r="J72" s="22" t="s">
        <v>166</v>
      </c>
      <c r="K72" s="22" t="s">
        <v>166</v>
      </c>
    </row>
    <row r="73" spans="1:11" ht="15" customHeight="1" x14ac:dyDescent="0.75">
      <c r="A73" s="18" t="s">
        <v>234</v>
      </c>
      <c r="B73" s="15">
        <v>2892</v>
      </c>
      <c r="C73" s="15">
        <v>1917</v>
      </c>
      <c r="D73" s="15">
        <v>1547</v>
      </c>
      <c r="E73" s="15">
        <v>292</v>
      </c>
      <c r="F73" s="15">
        <v>78</v>
      </c>
      <c r="G73" s="15">
        <v>17751</v>
      </c>
      <c r="H73" s="15">
        <v>11783</v>
      </c>
      <c r="I73" s="15">
        <v>8984</v>
      </c>
      <c r="J73" s="15">
        <v>1713</v>
      </c>
      <c r="K73" s="15">
        <v>1086</v>
      </c>
    </row>
    <row r="74" spans="1:11" ht="15" customHeight="1" x14ac:dyDescent="0.75">
      <c r="A74" s="18" t="s">
        <v>235</v>
      </c>
      <c r="B74" s="15">
        <v>1085</v>
      </c>
      <c r="C74" s="15">
        <v>977</v>
      </c>
      <c r="D74" s="15">
        <v>777</v>
      </c>
      <c r="E74" s="15">
        <v>140</v>
      </c>
      <c r="F74" s="15">
        <v>61</v>
      </c>
      <c r="G74" s="15">
        <v>8973</v>
      </c>
      <c r="H74" s="15">
        <v>8205</v>
      </c>
      <c r="I74" s="15">
        <v>6262</v>
      </c>
      <c r="J74" s="15">
        <v>1188</v>
      </c>
      <c r="K74" s="15">
        <v>755</v>
      </c>
    </row>
    <row r="75" spans="1:11" ht="15" customHeight="1" x14ac:dyDescent="0.75">
      <c r="A75" s="18" t="s">
        <v>236</v>
      </c>
      <c r="B75" s="15">
        <v>731</v>
      </c>
      <c r="C75" s="15">
        <v>700</v>
      </c>
      <c r="D75" s="15">
        <v>515</v>
      </c>
      <c r="E75" s="15">
        <v>118</v>
      </c>
      <c r="F75" s="15">
        <v>66</v>
      </c>
      <c r="G75" s="15">
        <v>9623</v>
      </c>
      <c r="H75" s="15">
        <v>9137</v>
      </c>
      <c r="I75" s="15">
        <v>6320</v>
      </c>
      <c r="J75" s="15">
        <v>1690</v>
      </c>
      <c r="K75" s="15">
        <v>1126</v>
      </c>
    </row>
    <row r="76" spans="1:11" ht="15" customHeight="1" x14ac:dyDescent="0.75">
      <c r="A76" s="18" t="s">
        <v>237</v>
      </c>
      <c r="B76" s="15">
        <v>513</v>
      </c>
      <c r="C76" s="15">
        <v>495</v>
      </c>
      <c r="D76" s="15">
        <v>319</v>
      </c>
      <c r="E76" s="15">
        <v>78</v>
      </c>
      <c r="F76" s="15">
        <v>98</v>
      </c>
      <c r="G76" s="15">
        <v>14514</v>
      </c>
      <c r="H76" s="15">
        <v>14097</v>
      </c>
      <c r="I76" s="15">
        <v>7957</v>
      </c>
      <c r="J76" s="15">
        <v>2282</v>
      </c>
      <c r="K76" s="15">
        <v>3859</v>
      </c>
    </row>
    <row r="77" spans="1:11" ht="15" customHeight="1" x14ac:dyDescent="0.75">
      <c r="A77" s="18" t="s">
        <v>238</v>
      </c>
      <c r="B77" s="15">
        <v>206</v>
      </c>
      <c r="C77" s="15">
        <v>203</v>
      </c>
      <c r="D77" s="15">
        <v>122</v>
      </c>
      <c r="E77" s="15">
        <v>36</v>
      </c>
      <c r="F77" s="15">
        <v>46</v>
      </c>
      <c r="G77" s="15">
        <v>13476</v>
      </c>
      <c r="H77" s="15">
        <v>13171</v>
      </c>
      <c r="I77" s="15">
        <v>7105</v>
      </c>
      <c r="J77" s="15">
        <v>2192</v>
      </c>
      <c r="K77" s="15">
        <v>3873</v>
      </c>
    </row>
    <row r="78" spans="1:11" ht="15" customHeight="1" x14ac:dyDescent="0.75">
      <c r="A78" s="18" t="s">
        <v>239</v>
      </c>
      <c r="B78" s="15">
        <v>93</v>
      </c>
      <c r="C78" s="15">
        <v>93</v>
      </c>
      <c r="D78" s="15">
        <v>51</v>
      </c>
      <c r="E78" s="15">
        <v>20</v>
      </c>
      <c r="F78" s="15">
        <v>23</v>
      </c>
      <c r="G78" s="15">
        <v>10941</v>
      </c>
      <c r="H78" s="15">
        <v>10912</v>
      </c>
      <c r="I78" s="15">
        <v>5614</v>
      </c>
      <c r="J78" s="15">
        <v>1893</v>
      </c>
      <c r="K78" s="15">
        <v>3404</v>
      </c>
    </row>
    <row r="79" spans="1:11" ht="15" customHeight="1" x14ac:dyDescent="0.75">
      <c r="A79" s="18" t="s">
        <v>240</v>
      </c>
      <c r="B79" s="15">
        <v>37</v>
      </c>
      <c r="C79" s="15">
        <v>37</v>
      </c>
      <c r="D79" s="15">
        <v>17</v>
      </c>
      <c r="E79" s="15">
        <v>6</v>
      </c>
      <c r="F79" s="15">
        <v>14</v>
      </c>
      <c r="G79" s="15">
        <v>11815</v>
      </c>
      <c r="H79" s="15">
        <v>11711</v>
      </c>
      <c r="I79" s="15">
        <v>5292</v>
      </c>
      <c r="J79" s="15">
        <v>1730</v>
      </c>
      <c r="K79" s="15">
        <v>4689</v>
      </c>
    </row>
    <row r="80" spans="1:11" ht="24" customHeight="1" x14ac:dyDescent="0.75">
      <c r="A80" s="16" t="s">
        <v>241</v>
      </c>
      <c r="B80" s="22" t="s">
        <v>166</v>
      </c>
      <c r="C80" s="22" t="s">
        <v>166</v>
      </c>
      <c r="D80" s="22" t="s">
        <v>166</v>
      </c>
      <c r="E80" s="22" t="s">
        <v>166</v>
      </c>
      <c r="F80" s="22" t="s">
        <v>166</v>
      </c>
      <c r="G80" s="22" t="s">
        <v>166</v>
      </c>
      <c r="H80" s="22" t="s">
        <v>166</v>
      </c>
      <c r="I80" s="22" t="s">
        <v>166</v>
      </c>
      <c r="J80" s="22" t="s">
        <v>166</v>
      </c>
      <c r="K80" s="22" t="s">
        <v>166</v>
      </c>
    </row>
    <row r="81" spans="1:11" ht="15" customHeight="1" x14ac:dyDescent="0.75">
      <c r="A81" s="18" t="s">
        <v>242</v>
      </c>
      <c r="B81" s="15">
        <v>1149</v>
      </c>
      <c r="C81" s="15">
        <v>703</v>
      </c>
      <c r="D81" s="15">
        <v>575</v>
      </c>
      <c r="E81" s="15">
        <v>97</v>
      </c>
      <c r="F81" s="15">
        <v>31</v>
      </c>
      <c r="G81" s="15">
        <v>8220</v>
      </c>
      <c r="H81" s="15">
        <v>5137</v>
      </c>
      <c r="I81" s="15">
        <v>3777</v>
      </c>
      <c r="J81" s="15">
        <v>659</v>
      </c>
      <c r="K81" s="15">
        <v>701</v>
      </c>
    </row>
    <row r="82" spans="1:11" ht="15" customHeight="1" x14ac:dyDescent="0.75">
      <c r="A82" s="18" t="s">
        <v>243</v>
      </c>
      <c r="B82" s="15">
        <v>1346</v>
      </c>
      <c r="C82" s="15">
        <v>1107</v>
      </c>
      <c r="D82" s="15">
        <v>843</v>
      </c>
      <c r="E82" s="15">
        <v>193</v>
      </c>
      <c r="F82" s="15">
        <v>71</v>
      </c>
      <c r="G82" s="15">
        <v>15828</v>
      </c>
      <c r="H82" s="15">
        <v>14388</v>
      </c>
      <c r="I82" s="15">
        <v>9155</v>
      </c>
      <c r="J82" s="15">
        <v>2631</v>
      </c>
      <c r="K82" s="15">
        <v>2602</v>
      </c>
    </row>
    <row r="83" spans="1:11" ht="15" customHeight="1" x14ac:dyDescent="0.75">
      <c r="A83" s="18" t="s">
        <v>244</v>
      </c>
      <c r="B83" s="15">
        <v>1244</v>
      </c>
      <c r="C83" s="15">
        <v>1063</v>
      </c>
      <c r="D83" s="15">
        <v>789</v>
      </c>
      <c r="E83" s="15">
        <v>184</v>
      </c>
      <c r="F83" s="15">
        <v>89</v>
      </c>
      <c r="G83" s="15">
        <v>20529</v>
      </c>
      <c r="H83" s="15">
        <v>18878</v>
      </c>
      <c r="I83" s="15">
        <v>11623</v>
      </c>
      <c r="J83" s="15">
        <v>3487</v>
      </c>
      <c r="K83" s="15">
        <v>3768</v>
      </c>
    </row>
    <row r="84" spans="1:11" ht="15" customHeight="1" x14ac:dyDescent="0.75">
      <c r="A84" s="18" t="s">
        <v>245</v>
      </c>
      <c r="B84" s="15">
        <v>764</v>
      </c>
      <c r="C84" s="15">
        <v>676</v>
      </c>
      <c r="D84" s="15">
        <v>467</v>
      </c>
      <c r="E84" s="15">
        <v>111</v>
      </c>
      <c r="F84" s="15">
        <v>98</v>
      </c>
      <c r="G84" s="15">
        <v>15867</v>
      </c>
      <c r="H84" s="15">
        <v>15304</v>
      </c>
      <c r="I84" s="15">
        <v>7601</v>
      </c>
      <c r="J84" s="15">
        <v>2621</v>
      </c>
      <c r="K84" s="15">
        <v>5082</v>
      </c>
    </row>
    <row r="85" spans="1:11" ht="15" customHeight="1" x14ac:dyDescent="0.75">
      <c r="A85" s="18" t="s">
        <v>246</v>
      </c>
      <c r="B85" s="15">
        <v>479</v>
      </c>
      <c r="C85" s="15">
        <v>428</v>
      </c>
      <c r="D85" s="15">
        <v>315</v>
      </c>
      <c r="E85" s="15">
        <v>67</v>
      </c>
      <c r="F85" s="15">
        <v>46</v>
      </c>
      <c r="G85" s="15">
        <v>9395</v>
      </c>
      <c r="H85" s="15">
        <v>8937</v>
      </c>
      <c r="I85" s="15">
        <v>5247</v>
      </c>
      <c r="J85" s="15">
        <v>1470</v>
      </c>
      <c r="K85" s="15">
        <v>2220</v>
      </c>
    </row>
    <row r="86" spans="1:11" ht="15" customHeight="1" x14ac:dyDescent="0.75">
      <c r="A86" s="18" t="s">
        <v>247</v>
      </c>
      <c r="B86" s="15">
        <v>575</v>
      </c>
      <c r="C86" s="15">
        <v>447</v>
      </c>
      <c r="D86" s="15">
        <v>359</v>
      </c>
      <c r="E86" s="15">
        <v>38</v>
      </c>
      <c r="F86" s="15">
        <v>49</v>
      </c>
      <c r="G86" s="15">
        <v>17253</v>
      </c>
      <c r="H86" s="15">
        <v>16371</v>
      </c>
      <c r="I86" s="15">
        <v>10131</v>
      </c>
      <c r="J86" s="15">
        <v>1820</v>
      </c>
      <c r="K86" s="15">
        <v>4420</v>
      </c>
    </row>
    <row r="87" spans="1:11" ht="24" customHeight="1" x14ac:dyDescent="0.75">
      <c r="A87" s="16" t="s">
        <v>248</v>
      </c>
      <c r="B87" s="22" t="s">
        <v>166</v>
      </c>
      <c r="C87" s="22" t="s">
        <v>166</v>
      </c>
      <c r="D87" s="22" t="s">
        <v>166</v>
      </c>
      <c r="E87" s="22" t="s">
        <v>166</v>
      </c>
      <c r="F87" s="22" t="s">
        <v>166</v>
      </c>
      <c r="G87" s="22" t="s">
        <v>166</v>
      </c>
      <c r="H87" s="22" t="s">
        <v>166</v>
      </c>
      <c r="I87" s="22" t="s">
        <v>166</v>
      </c>
      <c r="J87" s="22" t="s">
        <v>166</v>
      </c>
      <c r="K87" s="22" t="s">
        <v>166</v>
      </c>
    </row>
    <row r="88" spans="1:11" ht="15" customHeight="1" x14ac:dyDescent="0.75">
      <c r="A88" s="18" t="s">
        <v>249</v>
      </c>
      <c r="B88" s="15">
        <v>4781</v>
      </c>
      <c r="C88" s="15">
        <v>3791</v>
      </c>
      <c r="D88" s="15">
        <v>2851</v>
      </c>
      <c r="E88" s="15">
        <v>617</v>
      </c>
      <c r="F88" s="15">
        <v>323</v>
      </c>
      <c r="G88" s="15">
        <v>67550</v>
      </c>
      <c r="H88" s="15">
        <v>60645</v>
      </c>
      <c r="I88" s="15">
        <v>35837</v>
      </c>
      <c r="J88" s="15">
        <v>11091</v>
      </c>
      <c r="K88" s="15">
        <v>13717</v>
      </c>
    </row>
    <row r="89" spans="1:11" ht="15" customHeight="1" x14ac:dyDescent="0.75">
      <c r="A89" s="19" t="s">
        <v>250</v>
      </c>
      <c r="B89" s="15">
        <v>2466</v>
      </c>
      <c r="C89" s="15">
        <v>2048</v>
      </c>
      <c r="D89" s="15">
        <v>1634</v>
      </c>
      <c r="E89" s="15">
        <v>289</v>
      </c>
      <c r="F89" s="15">
        <v>125</v>
      </c>
      <c r="G89" s="15">
        <v>30637</v>
      </c>
      <c r="H89" s="15">
        <v>27869</v>
      </c>
      <c r="I89" s="15">
        <v>19154</v>
      </c>
      <c r="J89" s="15">
        <v>4090</v>
      </c>
      <c r="K89" s="15">
        <v>4626</v>
      </c>
    </row>
    <row r="90" spans="1:11" ht="15" customHeight="1" x14ac:dyDescent="0.75">
      <c r="A90" s="19" t="s">
        <v>251</v>
      </c>
      <c r="B90" s="15">
        <v>1745</v>
      </c>
      <c r="C90" s="15">
        <v>1401</v>
      </c>
      <c r="D90" s="15">
        <v>1001</v>
      </c>
      <c r="E90" s="15">
        <v>251</v>
      </c>
      <c r="F90" s="15">
        <v>149</v>
      </c>
      <c r="G90" s="15">
        <v>26115</v>
      </c>
      <c r="H90" s="15">
        <v>23900</v>
      </c>
      <c r="I90" s="15">
        <v>12749</v>
      </c>
      <c r="J90" s="15">
        <v>4804</v>
      </c>
      <c r="K90" s="15">
        <v>6347</v>
      </c>
    </row>
    <row r="91" spans="1:11" ht="15" customHeight="1" x14ac:dyDescent="0.75">
      <c r="A91" s="19" t="s">
        <v>252</v>
      </c>
      <c r="B91" s="15">
        <v>349</v>
      </c>
      <c r="C91" s="15">
        <v>316</v>
      </c>
      <c r="D91" s="15">
        <v>195</v>
      </c>
      <c r="E91" s="15">
        <v>75</v>
      </c>
      <c r="F91" s="15">
        <v>46</v>
      </c>
      <c r="G91" s="15">
        <v>8873</v>
      </c>
      <c r="H91" s="15">
        <v>8544</v>
      </c>
      <c r="I91" s="15">
        <v>3698</v>
      </c>
      <c r="J91" s="15">
        <v>2181</v>
      </c>
      <c r="K91" s="15">
        <v>2665</v>
      </c>
    </row>
    <row r="92" spans="1:11" ht="15" customHeight="1" x14ac:dyDescent="0.75">
      <c r="A92" s="19" t="s">
        <v>253</v>
      </c>
      <c r="B92" s="15">
        <v>221</v>
      </c>
      <c r="C92" s="15">
        <v>26</v>
      </c>
      <c r="D92" s="15">
        <v>21</v>
      </c>
      <c r="E92" s="15" t="s">
        <v>168</v>
      </c>
      <c r="F92" s="15" t="s">
        <v>168</v>
      </c>
      <c r="G92" s="15">
        <v>1925</v>
      </c>
      <c r="H92" s="15">
        <v>332</v>
      </c>
      <c r="I92" s="15">
        <v>237</v>
      </c>
      <c r="J92" s="15" t="s">
        <v>168</v>
      </c>
      <c r="K92" s="15" t="s">
        <v>168</v>
      </c>
    </row>
    <row r="93" spans="1:11" ht="15" customHeight="1" x14ac:dyDescent="0.75">
      <c r="A93" s="18" t="s">
        <v>254</v>
      </c>
      <c r="B93" s="15">
        <v>776</v>
      </c>
      <c r="C93" s="15">
        <v>632</v>
      </c>
      <c r="D93" s="15">
        <v>497</v>
      </c>
      <c r="E93" s="15">
        <v>72</v>
      </c>
      <c r="F93" s="15">
        <v>62</v>
      </c>
      <c r="G93" s="15">
        <v>19543</v>
      </c>
      <c r="H93" s="15">
        <v>18370</v>
      </c>
      <c r="I93" s="15">
        <v>11697</v>
      </c>
      <c r="J93" s="15">
        <v>1596</v>
      </c>
      <c r="K93" s="15">
        <v>5076</v>
      </c>
    </row>
    <row r="94" spans="1:11" ht="15" customHeight="1" x14ac:dyDescent="0.75">
      <c r="A94" s="19" t="s">
        <v>255</v>
      </c>
      <c r="B94" s="15">
        <v>33</v>
      </c>
      <c r="C94" s="15">
        <v>33</v>
      </c>
      <c r="D94" s="15">
        <v>29</v>
      </c>
      <c r="E94" s="15" t="s">
        <v>168</v>
      </c>
      <c r="F94" s="15">
        <v>3</v>
      </c>
      <c r="G94" s="15">
        <v>1573</v>
      </c>
      <c r="H94" s="15">
        <v>1565</v>
      </c>
      <c r="I94" s="15">
        <v>837</v>
      </c>
      <c r="J94" s="15" t="s">
        <v>168</v>
      </c>
      <c r="K94" s="15">
        <v>626</v>
      </c>
    </row>
    <row r="95" spans="1:11" ht="15" customHeight="1" x14ac:dyDescent="0.75">
      <c r="A95" s="19" t="s">
        <v>256</v>
      </c>
      <c r="B95" s="15">
        <v>185</v>
      </c>
      <c r="C95" s="15">
        <v>146</v>
      </c>
      <c r="D95" s="15">
        <v>106</v>
      </c>
      <c r="E95" s="15">
        <v>22</v>
      </c>
      <c r="F95" s="15">
        <v>19</v>
      </c>
      <c r="G95" s="15">
        <v>5539</v>
      </c>
      <c r="H95" s="15">
        <v>5270</v>
      </c>
      <c r="I95" s="15">
        <v>3188</v>
      </c>
      <c r="J95" s="15">
        <v>746</v>
      </c>
      <c r="K95" s="15">
        <v>1336</v>
      </c>
    </row>
    <row r="96" spans="1:11" ht="15" customHeight="1" x14ac:dyDescent="0.75">
      <c r="A96" s="19" t="s">
        <v>257</v>
      </c>
      <c r="B96" s="15">
        <v>558</v>
      </c>
      <c r="C96" s="15">
        <v>452</v>
      </c>
      <c r="D96" s="15">
        <v>362</v>
      </c>
      <c r="E96" s="15">
        <v>50</v>
      </c>
      <c r="F96" s="15">
        <v>40</v>
      </c>
      <c r="G96" s="15">
        <v>12431</v>
      </c>
      <c r="H96" s="15">
        <v>11535</v>
      </c>
      <c r="I96" s="15">
        <v>7672</v>
      </c>
      <c r="J96" s="15">
        <v>749</v>
      </c>
      <c r="K96" s="15">
        <v>3115</v>
      </c>
    </row>
    <row r="97" spans="1:11" ht="45.95" customHeight="1" x14ac:dyDescent="0.75">
      <c r="A97" s="16" t="s">
        <v>258</v>
      </c>
      <c r="B97" s="22" t="s">
        <v>166</v>
      </c>
      <c r="C97" s="22" t="s">
        <v>166</v>
      </c>
      <c r="D97" s="22" t="s">
        <v>166</v>
      </c>
      <c r="E97" s="22" t="s">
        <v>166</v>
      </c>
      <c r="F97" s="22" t="s">
        <v>166</v>
      </c>
      <c r="G97" s="22" t="s">
        <v>166</v>
      </c>
      <c r="H97" s="22" t="s">
        <v>166</v>
      </c>
      <c r="I97" s="22" t="s">
        <v>166</v>
      </c>
      <c r="J97" s="22" t="s">
        <v>166</v>
      </c>
      <c r="K97" s="22" t="s">
        <v>166</v>
      </c>
    </row>
    <row r="98" spans="1:11" ht="15" customHeight="1" x14ac:dyDescent="0.75">
      <c r="A98" s="18" t="s">
        <v>259</v>
      </c>
      <c r="B98" s="15">
        <v>4715</v>
      </c>
      <c r="C98" s="15">
        <v>3706</v>
      </c>
      <c r="D98" s="15">
        <v>2841</v>
      </c>
      <c r="E98" s="15">
        <v>580</v>
      </c>
      <c r="F98" s="15">
        <v>285</v>
      </c>
      <c r="G98" s="15">
        <v>73702</v>
      </c>
      <c r="H98" s="15">
        <v>66462</v>
      </c>
      <c r="I98" s="15">
        <v>41135</v>
      </c>
      <c r="J98" s="15">
        <v>10474</v>
      </c>
      <c r="K98" s="15">
        <v>14852</v>
      </c>
    </row>
    <row r="99" spans="1:11" ht="15" customHeight="1" x14ac:dyDescent="0.75">
      <c r="A99" s="18" t="s">
        <v>260</v>
      </c>
      <c r="B99" s="15">
        <v>724</v>
      </c>
      <c r="C99" s="15">
        <v>617</v>
      </c>
      <c r="D99" s="15">
        <v>432</v>
      </c>
      <c r="E99" s="15">
        <v>98</v>
      </c>
      <c r="F99" s="15">
        <v>87</v>
      </c>
      <c r="G99" s="15">
        <v>11309</v>
      </c>
      <c r="H99" s="15">
        <v>10617</v>
      </c>
      <c r="I99" s="15">
        <v>5269</v>
      </c>
      <c r="J99" s="15">
        <v>1896</v>
      </c>
      <c r="K99" s="15">
        <v>3452</v>
      </c>
    </row>
    <row r="100" spans="1:11" ht="15" customHeight="1" x14ac:dyDescent="0.75">
      <c r="A100" s="18" t="s">
        <v>261</v>
      </c>
      <c r="B100" s="15">
        <v>54</v>
      </c>
      <c r="C100" s="15">
        <v>42</v>
      </c>
      <c r="D100" s="15">
        <v>29</v>
      </c>
      <c r="E100" s="15" t="s">
        <v>168</v>
      </c>
      <c r="F100" s="15">
        <v>7</v>
      </c>
      <c r="G100" s="15">
        <v>1250</v>
      </c>
      <c r="H100" s="15">
        <v>1177</v>
      </c>
      <c r="I100" s="15">
        <v>600</v>
      </c>
      <c r="J100" s="15" t="s">
        <v>168</v>
      </c>
      <c r="K100" s="15">
        <v>400</v>
      </c>
    </row>
    <row r="101" spans="1:11" ht="15" customHeight="1" x14ac:dyDescent="0.75">
      <c r="A101" s="18" t="s">
        <v>72</v>
      </c>
      <c r="B101" s="15">
        <v>64</v>
      </c>
      <c r="C101" s="15">
        <v>57</v>
      </c>
      <c r="D101" s="15">
        <v>46</v>
      </c>
      <c r="E101" s="15" t="s">
        <v>168</v>
      </c>
      <c r="F101" s="15" t="s">
        <v>168</v>
      </c>
      <c r="G101" s="15">
        <v>832</v>
      </c>
      <c r="H101" s="15">
        <v>759</v>
      </c>
      <c r="I101" s="15">
        <v>531</v>
      </c>
      <c r="J101" s="15" t="s">
        <v>168</v>
      </c>
      <c r="K101" s="15" t="s">
        <v>168</v>
      </c>
    </row>
    <row r="102" spans="1:11" ht="33.950000000000003" customHeight="1" x14ac:dyDescent="0.75">
      <c r="A102" s="16" t="s">
        <v>262</v>
      </c>
      <c r="B102" s="22" t="s">
        <v>166</v>
      </c>
      <c r="C102" s="22" t="s">
        <v>166</v>
      </c>
      <c r="D102" s="22" t="s">
        <v>166</v>
      </c>
      <c r="E102" s="22" t="s">
        <v>166</v>
      </c>
      <c r="F102" s="22" t="s">
        <v>166</v>
      </c>
      <c r="G102" s="22" t="s">
        <v>166</v>
      </c>
      <c r="H102" s="22" t="s">
        <v>166</v>
      </c>
      <c r="I102" s="22" t="s">
        <v>166</v>
      </c>
      <c r="J102" s="22" t="s">
        <v>166</v>
      </c>
      <c r="K102" s="22" t="s">
        <v>166</v>
      </c>
    </row>
    <row r="103" spans="1:11" ht="15" customHeight="1" x14ac:dyDescent="0.75">
      <c r="A103" s="18" t="s">
        <v>259</v>
      </c>
      <c r="B103" s="23">
        <v>4876</v>
      </c>
      <c r="C103" s="23">
        <v>3830</v>
      </c>
      <c r="D103" s="23">
        <v>2933</v>
      </c>
      <c r="E103" s="23">
        <v>591</v>
      </c>
      <c r="F103" s="23">
        <v>306</v>
      </c>
      <c r="G103" s="23">
        <v>76271</v>
      </c>
      <c r="H103" s="23">
        <v>68848</v>
      </c>
      <c r="I103" s="23">
        <v>42370</v>
      </c>
      <c r="J103" s="23">
        <v>10971</v>
      </c>
      <c r="K103" s="23">
        <v>15507</v>
      </c>
    </row>
    <row r="104" spans="1:11" ht="15" customHeight="1" x14ac:dyDescent="0.75">
      <c r="A104" s="18" t="s">
        <v>260</v>
      </c>
      <c r="B104" s="15">
        <v>540</v>
      </c>
      <c r="C104" s="15">
        <v>466</v>
      </c>
      <c r="D104" s="15">
        <v>317</v>
      </c>
      <c r="E104" s="15">
        <v>85</v>
      </c>
      <c r="F104" s="15">
        <v>64</v>
      </c>
      <c r="G104" s="15">
        <v>8256</v>
      </c>
      <c r="H104" s="15">
        <v>7779</v>
      </c>
      <c r="I104" s="15">
        <v>3962</v>
      </c>
      <c r="J104" s="15">
        <v>1345</v>
      </c>
      <c r="K104" s="15">
        <v>2471</v>
      </c>
    </row>
    <row r="105" spans="1:11" ht="15" customHeight="1" x14ac:dyDescent="0.75">
      <c r="A105" s="18" t="s">
        <v>261</v>
      </c>
      <c r="B105" s="15">
        <v>35</v>
      </c>
      <c r="C105" s="15">
        <v>29</v>
      </c>
      <c r="D105" s="15">
        <v>23</v>
      </c>
      <c r="E105" s="15" t="s">
        <v>168</v>
      </c>
      <c r="F105" s="15" t="s">
        <v>168</v>
      </c>
      <c r="G105" s="15">
        <v>880</v>
      </c>
      <c r="H105" s="15">
        <v>784</v>
      </c>
      <c r="I105" s="15">
        <v>378</v>
      </c>
      <c r="J105" s="15" t="s">
        <v>168</v>
      </c>
      <c r="K105" s="15" t="s">
        <v>168</v>
      </c>
    </row>
    <row r="106" spans="1:11" ht="15" customHeight="1" x14ac:dyDescent="0.75">
      <c r="A106" s="18" t="s">
        <v>72</v>
      </c>
      <c r="B106" s="15">
        <v>106</v>
      </c>
      <c r="C106" s="15">
        <v>98</v>
      </c>
      <c r="D106" s="15">
        <v>75</v>
      </c>
      <c r="E106" s="15" t="s">
        <v>168</v>
      </c>
      <c r="F106" s="15">
        <v>12</v>
      </c>
      <c r="G106" s="15">
        <v>1686</v>
      </c>
      <c r="H106" s="15">
        <v>1605</v>
      </c>
      <c r="I106" s="15">
        <v>824</v>
      </c>
      <c r="J106" s="15" t="s">
        <v>168</v>
      </c>
      <c r="K106" s="15">
        <v>549</v>
      </c>
    </row>
    <row r="107" spans="1:11" ht="24" customHeight="1" x14ac:dyDescent="0.75">
      <c r="A107" s="16" t="s">
        <v>263</v>
      </c>
      <c r="B107" s="17" t="s">
        <v>166</v>
      </c>
      <c r="C107" s="17" t="s">
        <v>166</v>
      </c>
      <c r="D107" s="17" t="s">
        <v>166</v>
      </c>
      <c r="E107" s="17" t="s">
        <v>166</v>
      </c>
      <c r="F107" s="17" t="s">
        <v>166</v>
      </c>
      <c r="G107" s="17" t="s">
        <v>166</v>
      </c>
      <c r="H107" s="17" t="s">
        <v>166</v>
      </c>
      <c r="I107" s="17" t="s">
        <v>166</v>
      </c>
      <c r="J107" s="17" t="s">
        <v>166</v>
      </c>
      <c r="K107" s="17" t="s">
        <v>166</v>
      </c>
    </row>
    <row r="108" spans="1:11" ht="15" customHeight="1" x14ac:dyDescent="0.75">
      <c r="A108" s="18" t="s">
        <v>264</v>
      </c>
      <c r="B108" s="15">
        <v>3683</v>
      </c>
      <c r="C108" s="15">
        <v>3084</v>
      </c>
      <c r="D108" s="15">
        <v>2369</v>
      </c>
      <c r="E108" s="15">
        <v>467</v>
      </c>
      <c r="F108" s="15">
        <v>248</v>
      </c>
      <c r="G108" s="15">
        <v>52275</v>
      </c>
      <c r="H108" s="15">
        <v>47942</v>
      </c>
      <c r="I108" s="15">
        <v>29176</v>
      </c>
      <c r="J108" s="15">
        <v>8061</v>
      </c>
      <c r="K108" s="15">
        <v>10705</v>
      </c>
    </row>
    <row r="109" spans="1:11" ht="15" customHeight="1" x14ac:dyDescent="0.75">
      <c r="A109" s="18" t="s">
        <v>265</v>
      </c>
      <c r="B109" s="15">
        <v>237</v>
      </c>
      <c r="C109" s="15">
        <v>165</v>
      </c>
      <c r="D109" s="15">
        <v>115</v>
      </c>
      <c r="E109" s="15">
        <v>32</v>
      </c>
      <c r="F109" s="15">
        <v>19</v>
      </c>
      <c r="G109" s="15">
        <v>4616</v>
      </c>
      <c r="H109" s="15">
        <v>4214</v>
      </c>
      <c r="I109" s="15">
        <v>2522</v>
      </c>
      <c r="J109" s="15">
        <v>496</v>
      </c>
      <c r="K109" s="15">
        <v>1196</v>
      </c>
    </row>
    <row r="110" spans="1:11" ht="15" customHeight="1" x14ac:dyDescent="0.75">
      <c r="A110" s="18" t="s">
        <v>266</v>
      </c>
      <c r="B110" s="15">
        <v>84</v>
      </c>
      <c r="C110" s="15">
        <v>79</v>
      </c>
      <c r="D110" s="15">
        <v>63</v>
      </c>
      <c r="E110" s="15">
        <v>8</v>
      </c>
      <c r="F110" s="15">
        <v>8</v>
      </c>
      <c r="G110" s="15">
        <v>4068</v>
      </c>
      <c r="H110" s="15">
        <v>4010</v>
      </c>
      <c r="I110" s="15">
        <v>2951</v>
      </c>
      <c r="J110" s="15">
        <v>472</v>
      </c>
      <c r="K110" s="15">
        <v>587</v>
      </c>
    </row>
    <row r="111" spans="1:11" ht="15" customHeight="1" x14ac:dyDescent="0.75">
      <c r="A111" s="18" t="s">
        <v>267</v>
      </c>
      <c r="B111" s="15">
        <v>154</v>
      </c>
      <c r="C111" s="15">
        <v>141</v>
      </c>
      <c r="D111" s="15">
        <v>93</v>
      </c>
      <c r="E111" s="15">
        <v>33</v>
      </c>
      <c r="F111" s="15">
        <v>15</v>
      </c>
      <c r="G111" s="15">
        <v>3456</v>
      </c>
      <c r="H111" s="15">
        <v>3395</v>
      </c>
      <c r="I111" s="15">
        <v>1606</v>
      </c>
      <c r="J111" s="15">
        <v>691</v>
      </c>
      <c r="K111" s="15">
        <v>1097</v>
      </c>
    </row>
    <row r="112" spans="1:11" ht="15" customHeight="1" x14ac:dyDescent="0.75">
      <c r="A112" s="18" t="s">
        <v>268</v>
      </c>
      <c r="B112" s="15">
        <v>258</v>
      </c>
      <c r="C112" s="15">
        <v>218</v>
      </c>
      <c r="D112" s="15">
        <v>139</v>
      </c>
      <c r="E112" s="15">
        <v>26</v>
      </c>
      <c r="F112" s="15">
        <v>53</v>
      </c>
      <c r="G112" s="15">
        <v>5159</v>
      </c>
      <c r="H112" s="15">
        <v>4921</v>
      </c>
      <c r="I112" s="15">
        <v>2014</v>
      </c>
      <c r="J112" s="15">
        <v>482</v>
      </c>
      <c r="K112" s="15">
        <v>2425</v>
      </c>
    </row>
    <row r="113" spans="1:11" ht="15" customHeight="1" x14ac:dyDescent="0.75">
      <c r="A113" s="18" t="s">
        <v>269</v>
      </c>
      <c r="B113" s="15">
        <v>314</v>
      </c>
      <c r="C113" s="15">
        <v>52</v>
      </c>
      <c r="D113" s="15">
        <v>29</v>
      </c>
      <c r="E113" s="15">
        <v>22</v>
      </c>
      <c r="F113" s="15" t="s">
        <v>168</v>
      </c>
      <c r="G113" s="15">
        <v>3212</v>
      </c>
      <c r="H113" s="15">
        <v>1284</v>
      </c>
      <c r="I113" s="15">
        <v>643</v>
      </c>
      <c r="J113" s="15">
        <v>545</v>
      </c>
      <c r="K113" s="15" t="s">
        <v>168</v>
      </c>
    </row>
    <row r="114" spans="1:11" ht="15" customHeight="1" x14ac:dyDescent="0.75">
      <c r="A114" s="18" t="s">
        <v>270</v>
      </c>
      <c r="B114" s="15">
        <v>197</v>
      </c>
      <c r="C114" s="15">
        <v>181</v>
      </c>
      <c r="D114" s="15">
        <v>136</v>
      </c>
      <c r="E114" s="15">
        <v>36</v>
      </c>
      <c r="F114" s="15" t="s">
        <v>168</v>
      </c>
      <c r="G114" s="15">
        <v>1932</v>
      </c>
      <c r="H114" s="15">
        <v>1810</v>
      </c>
      <c r="I114" s="15">
        <v>1159</v>
      </c>
      <c r="J114" s="15">
        <v>344</v>
      </c>
      <c r="K114" s="15" t="s">
        <v>168</v>
      </c>
    </row>
    <row r="115" spans="1:11" ht="15" customHeight="1" x14ac:dyDescent="0.75">
      <c r="A115" s="18" t="s">
        <v>271</v>
      </c>
      <c r="B115" s="15">
        <v>52</v>
      </c>
      <c r="C115" s="15">
        <v>50</v>
      </c>
      <c r="D115" s="15">
        <v>42</v>
      </c>
      <c r="E115" s="15" t="s">
        <v>168</v>
      </c>
      <c r="F115" s="15">
        <v>7</v>
      </c>
      <c r="G115" s="15">
        <v>3362</v>
      </c>
      <c r="H115" s="15">
        <v>3314</v>
      </c>
      <c r="I115" s="15">
        <v>2278</v>
      </c>
      <c r="J115" s="15" t="s">
        <v>168</v>
      </c>
      <c r="K115" s="15">
        <v>912</v>
      </c>
    </row>
    <row r="116" spans="1:11" ht="15" customHeight="1" x14ac:dyDescent="0.75">
      <c r="A116" s="18" t="s">
        <v>272</v>
      </c>
      <c r="B116" s="15">
        <v>65</v>
      </c>
      <c r="C116" s="15">
        <v>61</v>
      </c>
      <c r="D116" s="15">
        <v>53</v>
      </c>
      <c r="E116" s="15" t="s">
        <v>168</v>
      </c>
      <c r="F116" s="15" t="s">
        <v>168</v>
      </c>
      <c r="G116" s="15">
        <v>1295</v>
      </c>
      <c r="H116" s="15">
        <v>1275</v>
      </c>
      <c r="I116" s="15">
        <v>1048</v>
      </c>
      <c r="J116" s="15" t="s">
        <v>168</v>
      </c>
      <c r="K116" s="15" t="s">
        <v>168</v>
      </c>
    </row>
    <row r="117" spans="1:11" ht="15" customHeight="1" x14ac:dyDescent="0.75">
      <c r="A117" s="18" t="s">
        <v>273</v>
      </c>
      <c r="B117" s="15">
        <v>35</v>
      </c>
      <c r="C117" s="15">
        <v>32</v>
      </c>
      <c r="D117" s="15">
        <v>27</v>
      </c>
      <c r="E117" s="15" t="s">
        <v>168</v>
      </c>
      <c r="F117" s="15" t="s">
        <v>343</v>
      </c>
      <c r="G117" s="15">
        <v>554</v>
      </c>
      <c r="H117" s="15">
        <v>494</v>
      </c>
      <c r="I117" s="15">
        <v>193</v>
      </c>
      <c r="J117" s="15" t="s">
        <v>168</v>
      </c>
      <c r="K117" s="15">
        <v>200</v>
      </c>
    </row>
    <row r="118" spans="1:11" ht="15" customHeight="1" x14ac:dyDescent="0.75">
      <c r="A118" s="18" t="s">
        <v>274</v>
      </c>
      <c r="B118" s="15">
        <v>104</v>
      </c>
      <c r="C118" s="15">
        <v>81</v>
      </c>
      <c r="D118" s="15">
        <v>71</v>
      </c>
      <c r="E118" s="15" t="s">
        <v>168</v>
      </c>
      <c r="F118" s="15">
        <v>2</v>
      </c>
      <c r="G118" s="15">
        <v>2107</v>
      </c>
      <c r="H118" s="15">
        <v>1886</v>
      </c>
      <c r="I118" s="15">
        <v>1359</v>
      </c>
      <c r="J118" s="15" t="s">
        <v>168</v>
      </c>
      <c r="K118" s="15">
        <v>415</v>
      </c>
    </row>
    <row r="119" spans="1:11" ht="15" customHeight="1" x14ac:dyDescent="0.75">
      <c r="A119" s="18" t="s">
        <v>72</v>
      </c>
      <c r="B119" s="15">
        <v>371</v>
      </c>
      <c r="C119" s="15">
        <v>278</v>
      </c>
      <c r="D119" s="15">
        <v>209</v>
      </c>
      <c r="E119" s="15">
        <v>49</v>
      </c>
      <c r="F119" s="15">
        <v>20</v>
      </c>
      <c r="G119" s="15">
        <v>5057</v>
      </c>
      <c r="H119" s="15">
        <v>4470</v>
      </c>
      <c r="I119" s="15">
        <v>2584</v>
      </c>
      <c r="J119" s="15">
        <v>1228</v>
      </c>
      <c r="K119" s="15">
        <v>658</v>
      </c>
    </row>
    <row r="120" spans="1:11" ht="44.15" customHeight="1" x14ac:dyDescent="0.75">
      <c r="A120" s="16" t="s">
        <v>275</v>
      </c>
      <c r="B120" s="22" t="s">
        <v>166</v>
      </c>
      <c r="C120" s="22" t="s">
        <v>166</v>
      </c>
      <c r="D120" s="22" t="s">
        <v>166</v>
      </c>
      <c r="E120" s="22" t="s">
        <v>166</v>
      </c>
      <c r="F120" s="22" t="s">
        <v>166</v>
      </c>
      <c r="G120" s="22" t="s">
        <v>166</v>
      </c>
      <c r="H120" s="22" t="s">
        <v>166</v>
      </c>
      <c r="I120" s="22" t="s">
        <v>166</v>
      </c>
      <c r="J120" s="22" t="s">
        <v>166</v>
      </c>
      <c r="K120" s="22" t="s">
        <v>166</v>
      </c>
    </row>
    <row r="121" spans="1:11" ht="15" customHeight="1" x14ac:dyDescent="0.75">
      <c r="A121" s="18" t="s">
        <v>276</v>
      </c>
      <c r="B121" s="15">
        <v>2094</v>
      </c>
      <c r="C121" s="15">
        <v>1886</v>
      </c>
      <c r="D121" s="15">
        <v>1393</v>
      </c>
      <c r="E121" s="15">
        <v>297</v>
      </c>
      <c r="F121" s="15">
        <v>196</v>
      </c>
      <c r="G121" s="15">
        <v>42216</v>
      </c>
      <c r="H121" s="15">
        <v>40289</v>
      </c>
      <c r="I121" s="15">
        <v>22231</v>
      </c>
      <c r="J121" s="15">
        <v>6390</v>
      </c>
      <c r="K121" s="15">
        <v>11668</v>
      </c>
    </row>
    <row r="122" spans="1:11" ht="15" customHeight="1" x14ac:dyDescent="0.75">
      <c r="A122" s="19" t="s">
        <v>277</v>
      </c>
      <c r="B122" s="15">
        <v>444</v>
      </c>
      <c r="C122" s="15">
        <v>424</v>
      </c>
      <c r="D122" s="15">
        <v>296</v>
      </c>
      <c r="E122" s="15">
        <v>74</v>
      </c>
      <c r="F122" s="15">
        <v>54</v>
      </c>
      <c r="G122" s="15">
        <v>13022</v>
      </c>
      <c r="H122" s="15">
        <v>12835</v>
      </c>
      <c r="I122" s="15">
        <v>7022</v>
      </c>
      <c r="J122" s="15">
        <v>1819</v>
      </c>
      <c r="K122" s="15">
        <v>3994</v>
      </c>
    </row>
    <row r="123" spans="1:11" ht="15" customHeight="1" x14ac:dyDescent="0.75">
      <c r="A123" s="19" t="s">
        <v>278</v>
      </c>
      <c r="B123" s="15">
        <v>71</v>
      </c>
      <c r="C123" s="15">
        <v>62</v>
      </c>
      <c r="D123" s="15">
        <v>52</v>
      </c>
      <c r="E123" s="15" t="s">
        <v>168</v>
      </c>
      <c r="F123" s="15">
        <v>5</v>
      </c>
      <c r="G123" s="15">
        <v>1753</v>
      </c>
      <c r="H123" s="15">
        <v>1715</v>
      </c>
      <c r="I123" s="15">
        <v>935</v>
      </c>
      <c r="J123" s="15" t="s">
        <v>168</v>
      </c>
      <c r="K123" s="15">
        <v>485</v>
      </c>
    </row>
    <row r="124" spans="1:11" ht="15" customHeight="1" x14ac:dyDescent="0.75">
      <c r="A124" s="19" t="s">
        <v>279</v>
      </c>
      <c r="B124" s="15">
        <v>987</v>
      </c>
      <c r="C124" s="15">
        <v>881</v>
      </c>
      <c r="D124" s="15">
        <v>654</v>
      </c>
      <c r="E124" s="15">
        <v>133</v>
      </c>
      <c r="F124" s="15">
        <v>94</v>
      </c>
      <c r="G124" s="15">
        <v>20917</v>
      </c>
      <c r="H124" s="15">
        <v>20189</v>
      </c>
      <c r="I124" s="15">
        <v>10907</v>
      </c>
      <c r="J124" s="15">
        <v>3186</v>
      </c>
      <c r="K124" s="15">
        <v>6095</v>
      </c>
    </row>
    <row r="125" spans="1:11" ht="15" customHeight="1" x14ac:dyDescent="0.75">
      <c r="A125" s="19" t="s">
        <v>280</v>
      </c>
      <c r="B125" s="15">
        <v>194</v>
      </c>
      <c r="C125" s="15">
        <v>174</v>
      </c>
      <c r="D125" s="15">
        <v>130</v>
      </c>
      <c r="E125" s="15">
        <v>27</v>
      </c>
      <c r="F125" s="15">
        <v>17</v>
      </c>
      <c r="G125" s="15">
        <v>4230</v>
      </c>
      <c r="H125" s="15">
        <v>4144</v>
      </c>
      <c r="I125" s="15">
        <v>2261</v>
      </c>
      <c r="J125" s="15">
        <v>788</v>
      </c>
      <c r="K125" s="15">
        <v>1096</v>
      </c>
    </row>
    <row r="126" spans="1:11" ht="15" customHeight="1" x14ac:dyDescent="0.75">
      <c r="A126" s="19" t="s">
        <v>281</v>
      </c>
      <c r="B126" s="15">
        <v>889</v>
      </c>
      <c r="C126" s="15">
        <v>813</v>
      </c>
      <c r="D126" s="15">
        <v>563</v>
      </c>
      <c r="E126" s="15">
        <v>136</v>
      </c>
      <c r="F126" s="15">
        <v>114</v>
      </c>
      <c r="G126" s="15">
        <v>21340</v>
      </c>
      <c r="H126" s="15">
        <v>20777</v>
      </c>
      <c r="I126" s="15">
        <v>10449</v>
      </c>
      <c r="J126" s="15">
        <v>3418</v>
      </c>
      <c r="K126" s="15">
        <v>6911</v>
      </c>
    </row>
    <row r="127" spans="1:11" ht="15" customHeight="1" x14ac:dyDescent="0.75">
      <c r="A127" s="19" t="s">
        <v>282</v>
      </c>
      <c r="B127" s="15">
        <v>560</v>
      </c>
      <c r="C127" s="15">
        <v>526</v>
      </c>
      <c r="D127" s="15">
        <v>352</v>
      </c>
      <c r="E127" s="15">
        <v>107</v>
      </c>
      <c r="F127" s="15">
        <v>66</v>
      </c>
      <c r="G127" s="15">
        <v>12265</v>
      </c>
      <c r="H127" s="15">
        <v>11984</v>
      </c>
      <c r="I127" s="15">
        <v>6237</v>
      </c>
      <c r="J127" s="15">
        <v>1983</v>
      </c>
      <c r="K127" s="15">
        <v>3765</v>
      </c>
    </row>
    <row r="128" spans="1:11" ht="15" customHeight="1" x14ac:dyDescent="0.75">
      <c r="A128" s="19" t="s">
        <v>283</v>
      </c>
      <c r="B128" s="15">
        <v>1101</v>
      </c>
      <c r="C128" s="15">
        <v>1019</v>
      </c>
      <c r="D128" s="15">
        <v>722</v>
      </c>
      <c r="E128" s="15">
        <v>173</v>
      </c>
      <c r="F128" s="15">
        <v>123</v>
      </c>
      <c r="G128" s="15">
        <v>26779</v>
      </c>
      <c r="H128" s="15">
        <v>26061</v>
      </c>
      <c r="I128" s="15">
        <v>13578</v>
      </c>
      <c r="J128" s="15">
        <v>4230</v>
      </c>
      <c r="K128" s="15">
        <v>8253</v>
      </c>
    </row>
    <row r="129" spans="1:11" ht="15" customHeight="1" x14ac:dyDescent="0.75">
      <c r="A129" s="19" t="s">
        <v>284</v>
      </c>
      <c r="B129" s="15">
        <v>982</v>
      </c>
      <c r="C129" s="15">
        <v>920</v>
      </c>
      <c r="D129" s="15">
        <v>660</v>
      </c>
      <c r="E129" s="15">
        <v>150</v>
      </c>
      <c r="F129" s="15">
        <v>110</v>
      </c>
      <c r="G129" s="15">
        <v>25503</v>
      </c>
      <c r="H129" s="15">
        <v>24671</v>
      </c>
      <c r="I129" s="15">
        <v>12695</v>
      </c>
      <c r="J129" s="15">
        <v>3900</v>
      </c>
      <c r="K129" s="15">
        <v>8076</v>
      </c>
    </row>
    <row r="130" spans="1:11" ht="15" customHeight="1" x14ac:dyDescent="0.75">
      <c r="A130" s="19" t="s">
        <v>285</v>
      </c>
      <c r="B130" s="15">
        <v>747</v>
      </c>
      <c r="C130" s="15">
        <v>681</v>
      </c>
      <c r="D130" s="15">
        <v>487</v>
      </c>
      <c r="E130" s="15">
        <v>109</v>
      </c>
      <c r="F130" s="15">
        <v>85</v>
      </c>
      <c r="G130" s="15">
        <v>16160</v>
      </c>
      <c r="H130" s="15">
        <v>15675</v>
      </c>
      <c r="I130" s="15">
        <v>8123</v>
      </c>
      <c r="J130" s="15">
        <v>2398</v>
      </c>
      <c r="K130" s="15">
        <v>5154</v>
      </c>
    </row>
    <row r="131" spans="1:11" ht="15" customHeight="1" x14ac:dyDescent="0.75">
      <c r="A131" s="19" t="s">
        <v>286</v>
      </c>
      <c r="B131" s="15">
        <v>644</v>
      </c>
      <c r="C131" s="15">
        <v>601</v>
      </c>
      <c r="D131" s="15">
        <v>422</v>
      </c>
      <c r="E131" s="15">
        <v>98</v>
      </c>
      <c r="F131" s="15">
        <v>81</v>
      </c>
      <c r="G131" s="15">
        <v>13828</v>
      </c>
      <c r="H131" s="15">
        <v>13544</v>
      </c>
      <c r="I131" s="15">
        <v>7147</v>
      </c>
      <c r="J131" s="15">
        <v>1944</v>
      </c>
      <c r="K131" s="15">
        <v>4452</v>
      </c>
    </row>
    <row r="132" spans="1:11" ht="15" customHeight="1" x14ac:dyDescent="0.75">
      <c r="A132" s="19" t="s">
        <v>287</v>
      </c>
      <c r="B132" s="15">
        <v>382</v>
      </c>
      <c r="C132" s="15">
        <v>353</v>
      </c>
      <c r="D132" s="15">
        <v>248</v>
      </c>
      <c r="E132" s="15">
        <v>61</v>
      </c>
      <c r="F132" s="15">
        <v>44</v>
      </c>
      <c r="G132" s="15">
        <v>7607</v>
      </c>
      <c r="H132" s="15">
        <v>7331</v>
      </c>
      <c r="I132" s="15">
        <v>3785</v>
      </c>
      <c r="J132" s="15">
        <v>1176</v>
      </c>
      <c r="K132" s="15">
        <v>2370</v>
      </c>
    </row>
    <row r="133" spans="1:11" ht="15" customHeight="1" x14ac:dyDescent="0.75">
      <c r="A133" s="19" t="s">
        <v>288</v>
      </c>
      <c r="B133" s="15">
        <v>616</v>
      </c>
      <c r="C133" s="15">
        <v>585</v>
      </c>
      <c r="D133" s="15">
        <v>407</v>
      </c>
      <c r="E133" s="15">
        <v>101</v>
      </c>
      <c r="F133" s="15">
        <v>77</v>
      </c>
      <c r="G133" s="15">
        <v>17196</v>
      </c>
      <c r="H133" s="15">
        <v>16864</v>
      </c>
      <c r="I133" s="15">
        <v>8874</v>
      </c>
      <c r="J133" s="15">
        <v>2709</v>
      </c>
      <c r="K133" s="15">
        <v>5281</v>
      </c>
    </row>
    <row r="134" spans="1:11" ht="15" customHeight="1" x14ac:dyDescent="0.75">
      <c r="A134" s="19" t="s">
        <v>289</v>
      </c>
      <c r="B134" s="15">
        <v>152</v>
      </c>
      <c r="C134" s="15">
        <v>144</v>
      </c>
      <c r="D134" s="15">
        <v>108</v>
      </c>
      <c r="E134" s="15">
        <v>20</v>
      </c>
      <c r="F134" s="15">
        <v>16</v>
      </c>
      <c r="G134" s="15">
        <v>3913</v>
      </c>
      <c r="H134" s="15">
        <v>3853</v>
      </c>
      <c r="I134" s="15">
        <v>2137</v>
      </c>
      <c r="J134" s="15">
        <v>518</v>
      </c>
      <c r="K134" s="15">
        <v>1198</v>
      </c>
    </row>
    <row r="135" spans="1:11" ht="15" customHeight="1" x14ac:dyDescent="0.75">
      <c r="A135" s="19" t="s">
        <v>72</v>
      </c>
      <c r="B135" s="15">
        <v>39</v>
      </c>
      <c r="C135" s="15">
        <v>34</v>
      </c>
      <c r="D135" s="15">
        <v>25</v>
      </c>
      <c r="E135" s="15" t="s">
        <v>168</v>
      </c>
      <c r="F135" s="15" t="s">
        <v>168</v>
      </c>
      <c r="G135" s="15">
        <v>848</v>
      </c>
      <c r="H135" s="15">
        <v>829</v>
      </c>
      <c r="I135" s="15">
        <v>321</v>
      </c>
      <c r="J135" s="15" t="s">
        <v>168</v>
      </c>
      <c r="K135" s="15" t="s">
        <v>168</v>
      </c>
    </row>
    <row r="136" spans="1:11" ht="15" customHeight="1" x14ac:dyDescent="0.75">
      <c r="A136" s="18" t="s">
        <v>290</v>
      </c>
      <c r="B136" s="15">
        <v>3160</v>
      </c>
      <c r="C136" s="15">
        <v>2306</v>
      </c>
      <c r="D136" s="15">
        <v>1794</v>
      </c>
      <c r="E136" s="15">
        <v>354</v>
      </c>
      <c r="F136" s="15">
        <v>158</v>
      </c>
      <c r="G136" s="15">
        <v>39154</v>
      </c>
      <c r="H136" s="15">
        <v>33564</v>
      </c>
      <c r="I136" s="15">
        <v>22127</v>
      </c>
      <c r="J136" s="15">
        <v>5365</v>
      </c>
      <c r="K136" s="15">
        <v>6073</v>
      </c>
    </row>
    <row r="137" spans="1:11" ht="15" customHeight="1" x14ac:dyDescent="0.75">
      <c r="A137" s="18" t="s">
        <v>291</v>
      </c>
      <c r="B137" s="15">
        <v>303</v>
      </c>
      <c r="C137" s="15">
        <v>231</v>
      </c>
      <c r="D137" s="15">
        <v>161</v>
      </c>
      <c r="E137" s="15">
        <v>39</v>
      </c>
      <c r="F137" s="15">
        <v>30</v>
      </c>
      <c r="G137" s="15">
        <v>5723</v>
      </c>
      <c r="H137" s="15">
        <v>5162</v>
      </c>
      <c r="I137" s="15">
        <v>3176</v>
      </c>
      <c r="J137" s="15">
        <v>933</v>
      </c>
      <c r="K137" s="15">
        <v>1053</v>
      </c>
    </row>
    <row r="138" spans="1:11" ht="33.950000000000003" customHeight="1" x14ac:dyDescent="0.75">
      <c r="A138" s="16" t="s">
        <v>292</v>
      </c>
      <c r="B138" s="22" t="s">
        <v>166</v>
      </c>
      <c r="C138" s="22" t="s">
        <v>166</v>
      </c>
      <c r="D138" s="22" t="s">
        <v>166</v>
      </c>
      <c r="E138" s="22" t="s">
        <v>166</v>
      </c>
      <c r="F138" s="22" t="s">
        <v>166</v>
      </c>
      <c r="G138" s="22" t="s">
        <v>166</v>
      </c>
      <c r="H138" s="22" t="s">
        <v>166</v>
      </c>
      <c r="I138" s="22" t="s">
        <v>166</v>
      </c>
      <c r="J138" s="22" t="s">
        <v>166</v>
      </c>
      <c r="K138" s="22" t="s">
        <v>166</v>
      </c>
    </row>
    <row r="139" spans="1:11" ht="15" customHeight="1" x14ac:dyDescent="0.75">
      <c r="A139" s="18" t="s">
        <v>293</v>
      </c>
      <c r="B139" s="15">
        <v>5234</v>
      </c>
      <c r="C139" s="15">
        <v>4423</v>
      </c>
      <c r="D139" s="15">
        <v>3348</v>
      </c>
      <c r="E139" s="15">
        <v>690</v>
      </c>
      <c r="F139" s="15">
        <v>385</v>
      </c>
      <c r="G139" s="15">
        <v>84869</v>
      </c>
      <c r="H139" s="15">
        <v>79015</v>
      </c>
      <c r="I139" s="15">
        <v>47534</v>
      </c>
      <c r="J139" s="15">
        <v>12688</v>
      </c>
      <c r="K139" s="15">
        <v>18793</v>
      </c>
    </row>
    <row r="140" spans="1:11" ht="15" customHeight="1" x14ac:dyDescent="0.75">
      <c r="A140" s="18" t="s">
        <v>294</v>
      </c>
      <c r="B140" s="15">
        <v>2933</v>
      </c>
      <c r="C140" s="15">
        <v>2742</v>
      </c>
      <c r="D140" s="15">
        <v>2073</v>
      </c>
      <c r="E140" s="15">
        <v>388</v>
      </c>
      <c r="F140" s="15">
        <v>282</v>
      </c>
      <c r="G140" s="15">
        <v>58725</v>
      </c>
      <c r="H140" s="15">
        <v>57019</v>
      </c>
      <c r="I140" s="15">
        <v>34005</v>
      </c>
      <c r="J140" s="15">
        <v>8211</v>
      </c>
      <c r="K140" s="15">
        <v>14803</v>
      </c>
    </row>
    <row r="141" spans="1:11" ht="15" customHeight="1" x14ac:dyDescent="0.75">
      <c r="A141" s="18" t="s">
        <v>295</v>
      </c>
      <c r="B141" s="15">
        <v>467</v>
      </c>
      <c r="C141" s="15">
        <v>411</v>
      </c>
      <c r="D141" s="15">
        <v>314</v>
      </c>
      <c r="E141" s="15">
        <v>52</v>
      </c>
      <c r="F141" s="15">
        <v>45</v>
      </c>
      <c r="G141" s="15">
        <v>20200</v>
      </c>
      <c r="H141" s="15">
        <v>19708</v>
      </c>
      <c r="I141" s="15">
        <v>10979</v>
      </c>
      <c r="J141" s="15">
        <v>2510</v>
      </c>
      <c r="K141" s="15">
        <v>6219</v>
      </c>
    </row>
    <row r="142" spans="1:11" ht="15" customHeight="1" x14ac:dyDescent="0.75">
      <c r="A142" s="18" t="s">
        <v>296</v>
      </c>
      <c r="B142" s="15">
        <v>48</v>
      </c>
      <c r="C142" s="15">
        <v>45</v>
      </c>
      <c r="D142" s="15">
        <v>30</v>
      </c>
      <c r="E142" s="15">
        <v>6</v>
      </c>
      <c r="F142" s="15">
        <v>8</v>
      </c>
      <c r="G142" s="15">
        <v>5964</v>
      </c>
      <c r="H142" s="15">
        <v>5822</v>
      </c>
      <c r="I142" s="15">
        <v>3596</v>
      </c>
      <c r="J142" s="15">
        <v>501</v>
      </c>
      <c r="K142" s="15">
        <v>1725</v>
      </c>
    </row>
    <row r="143" spans="1:11" ht="15" customHeight="1" x14ac:dyDescent="0.75">
      <c r="A143" s="18" t="s">
        <v>297</v>
      </c>
      <c r="B143" s="15">
        <v>54</v>
      </c>
      <c r="C143" s="15">
        <v>51</v>
      </c>
      <c r="D143" s="15">
        <v>24</v>
      </c>
      <c r="E143" s="15">
        <v>19</v>
      </c>
      <c r="F143" s="15">
        <v>7</v>
      </c>
      <c r="G143" s="15">
        <v>4608</v>
      </c>
      <c r="H143" s="15">
        <v>4511</v>
      </c>
      <c r="I143" s="15">
        <v>2907</v>
      </c>
      <c r="J143" s="15">
        <v>450</v>
      </c>
      <c r="K143" s="15">
        <v>1154</v>
      </c>
    </row>
    <row r="144" spans="1:11" ht="15" customHeight="1" x14ac:dyDescent="0.75">
      <c r="A144" s="18" t="s">
        <v>93</v>
      </c>
      <c r="B144" s="15">
        <v>510</v>
      </c>
      <c r="C144" s="15">
        <v>466</v>
      </c>
      <c r="D144" s="15">
        <v>357</v>
      </c>
      <c r="E144" s="15">
        <v>72</v>
      </c>
      <c r="F144" s="15">
        <v>38</v>
      </c>
      <c r="G144" s="15">
        <v>7706</v>
      </c>
      <c r="H144" s="15">
        <v>7383</v>
      </c>
      <c r="I144" s="15">
        <v>4491</v>
      </c>
      <c r="J144" s="15">
        <v>1127</v>
      </c>
      <c r="K144" s="15">
        <v>1765</v>
      </c>
    </row>
    <row r="145" spans="1:11" ht="15" customHeight="1" thickBot="1" x14ac:dyDescent="0.9">
      <c r="A145" s="24" t="s">
        <v>72</v>
      </c>
      <c r="B145" s="25">
        <v>172</v>
      </c>
      <c r="C145" s="25">
        <v>141</v>
      </c>
      <c r="D145" s="25">
        <v>104</v>
      </c>
      <c r="E145" s="25">
        <v>23</v>
      </c>
      <c r="F145" s="25">
        <v>14</v>
      </c>
      <c r="G145" s="25">
        <v>3826</v>
      </c>
      <c r="H145" s="25">
        <v>3679</v>
      </c>
      <c r="I145" s="25">
        <v>2260</v>
      </c>
      <c r="J145" s="25">
        <v>475</v>
      </c>
      <c r="K145" s="25">
        <v>944</v>
      </c>
    </row>
    <row r="146" spans="1:11" ht="33.950000000000003" customHeight="1" x14ac:dyDescent="0.75">
      <c r="A146" s="26" t="s">
        <v>344</v>
      </c>
      <c r="B146" s="27"/>
      <c r="C146" s="27" t="s">
        <v>166</v>
      </c>
      <c r="D146" s="27" t="s">
        <v>166</v>
      </c>
      <c r="E146" s="27" t="s">
        <v>166</v>
      </c>
      <c r="F146" s="27" t="s">
        <v>166</v>
      </c>
      <c r="G146" s="27" t="s">
        <v>166</v>
      </c>
      <c r="H146" s="27" t="s">
        <v>166</v>
      </c>
      <c r="I146" s="27" t="s">
        <v>166</v>
      </c>
      <c r="J146" s="27" t="s">
        <v>166</v>
      </c>
      <c r="K146" s="28" t="s">
        <v>166</v>
      </c>
    </row>
    <row r="147" spans="1:11" ht="15" customHeight="1" x14ac:dyDescent="0.75">
      <c r="A147" s="29" t="s">
        <v>293</v>
      </c>
      <c r="B147" s="30">
        <v>2658</v>
      </c>
      <c r="C147" s="30">
        <v>2658</v>
      </c>
      <c r="D147" s="30">
        <v>1901</v>
      </c>
      <c r="E147" s="30">
        <v>508</v>
      </c>
      <c r="F147" s="30">
        <v>250</v>
      </c>
      <c r="G147" s="30">
        <v>42755</v>
      </c>
      <c r="H147" s="30">
        <v>42755</v>
      </c>
      <c r="I147" s="30">
        <v>21435</v>
      </c>
      <c r="J147" s="30">
        <v>9362</v>
      </c>
      <c r="K147" s="31">
        <v>11957</v>
      </c>
    </row>
    <row r="148" spans="1:11" ht="15" customHeight="1" x14ac:dyDescent="0.75">
      <c r="A148" s="29" t="s">
        <v>294</v>
      </c>
      <c r="B148" s="30">
        <v>1758</v>
      </c>
      <c r="C148" s="30">
        <v>1758</v>
      </c>
      <c r="D148" s="30">
        <v>1367</v>
      </c>
      <c r="E148" s="30">
        <v>182</v>
      </c>
      <c r="F148" s="30">
        <v>209</v>
      </c>
      <c r="G148" s="30">
        <v>39523</v>
      </c>
      <c r="H148" s="30">
        <v>39523</v>
      </c>
      <c r="I148" s="30">
        <v>24806</v>
      </c>
      <c r="J148" s="30">
        <v>4088</v>
      </c>
      <c r="K148" s="31">
        <v>10629</v>
      </c>
    </row>
    <row r="149" spans="1:11" ht="15" customHeight="1" x14ac:dyDescent="0.75">
      <c r="A149" s="29" t="s">
        <v>295</v>
      </c>
      <c r="B149" s="30">
        <v>77</v>
      </c>
      <c r="C149" s="30">
        <v>77</v>
      </c>
      <c r="D149" s="30">
        <v>63</v>
      </c>
      <c r="E149" s="30" t="s">
        <v>168</v>
      </c>
      <c r="F149" s="30">
        <v>7</v>
      </c>
      <c r="G149" s="30">
        <v>1911</v>
      </c>
      <c r="H149" s="30">
        <v>1911</v>
      </c>
      <c r="I149" s="30">
        <v>1318</v>
      </c>
      <c r="J149" s="30" t="s">
        <v>168</v>
      </c>
      <c r="K149" s="31">
        <v>467</v>
      </c>
    </row>
    <row r="150" spans="1:11" ht="15" customHeight="1" x14ac:dyDescent="0.75">
      <c r="A150" s="29" t="s">
        <v>296</v>
      </c>
      <c r="B150" s="30">
        <v>25</v>
      </c>
      <c r="C150" s="30">
        <v>25</v>
      </c>
      <c r="D150" s="30">
        <v>19</v>
      </c>
      <c r="E150" s="30">
        <v>3</v>
      </c>
      <c r="F150" s="30">
        <v>4</v>
      </c>
      <c r="G150" s="30">
        <v>4551</v>
      </c>
      <c r="H150" s="30">
        <v>4551</v>
      </c>
      <c r="I150" s="30">
        <v>3002</v>
      </c>
      <c r="J150" s="30">
        <v>325</v>
      </c>
      <c r="K150" s="31">
        <v>1224</v>
      </c>
    </row>
    <row r="151" spans="1:11" ht="15" customHeight="1" thickBot="1" x14ac:dyDescent="0.9">
      <c r="A151" s="32" t="s">
        <v>93</v>
      </c>
      <c r="B151" s="33">
        <v>142</v>
      </c>
      <c r="C151" s="33">
        <v>142</v>
      </c>
      <c r="D151" s="33">
        <v>106</v>
      </c>
      <c r="E151" s="33" t="s">
        <v>168</v>
      </c>
      <c r="F151" s="33">
        <v>14</v>
      </c>
      <c r="G151" s="33">
        <v>1575</v>
      </c>
      <c r="H151" s="33">
        <v>1575</v>
      </c>
      <c r="I151" s="33">
        <v>1006</v>
      </c>
      <c r="J151" s="33" t="s">
        <v>168</v>
      </c>
      <c r="K151" s="34">
        <v>348</v>
      </c>
    </row>
    <row r="152" spans="1:11" ht="33.950000000000003" customHeight="1" x14ac:dyDescent="0.75">
      <c r="A152" s="16" t="s">
        <v>300</v>
      </c>
      <c r="B152" s="22" t="s">
        <v>166</v>
      </c>
      <c r="C152" s="22" t="s">
        <v>166</v>
      </c>
      <c r="D152" s="22" t="s">
        <v>166</v>
      </c>
      <c r="E152" s="22" t="s">
        <v>166</v>
      </c>
      <c r="F152" s="22" t="s">
        <v>166</v>
      </c>
      <c r="G152" s="22" t="s">
        <v>166</v>
      </c>
      <c r="H152" s="22" t="s">
        <v>166</v>
      </c>
      <c r="I152" s="22" t="s">
        <v>166</v>
      </c>
      <c r="J152" s="22" t="s">
        <v>166</v>
      </c>
      <c r="K152" s="22" t="s">
        <v>166</v>
      </c>
    </row>
    <row r="153" spans="1:11" ht="15" customHeight="1" x14ac:dyDescent="0.75">
      <c r="A153" s="18" t="s">
        <v>156</v>
      </c>
      <c r="B153" s="15">
        <v>4722</v>
      </c>
      <c r="C153" s="15">
        <v>4237</v>
      </c>
      <c r="D153" s="15">
        <v>3229</v>
      </c>
      <c r="E153" s="15">
        <v>634</v>
      </c>
      <c r="F153" s="15">
        <v>374</v>
      </c>
      <c r="G153" s="15">
        <v>80078</v>
      </c>
      <c r="H153" s="15">
        <v>76584</v>
      </c>
      <c r="I153" s="15">
        <v>46147</v>
      </c>
      <c r="J153" s="15">
        <v>11914</v>
      </c>
      <c r="K153" s="15">
        <v>18523</v>
      </c>
    </row>
    <row r="154" spans="1:11" ht="15" customHeight="1" x14ac:dyDescent="0.75">
      <c r="A154" s="18" t="s">
        <v>301</v>
      </c>
      <c r="B154" s="15">
        <v>4461</v>
      </c>
      <c r="C154" s="15">
        <v>4097</v>
      </c>
      <c r="D154" s="15">
        <v>3093</v>
      </c>
      <c r="E154" s="15">
        <v>631</v>
      </c>
      <c r="F154" s="15">
        <v>374</v>
      </c>
      <c r="G154" s="15">
        <v>79294</v>
      </c>
      <c r="H154" s="15">
        <v>76414</v>
      </c>
      <c r="I154" s="15">
        <v>45554</v>
      </c>
      <c r="J154" s="15">
        <v>12198</v>
      </c>
      <c r="K154" s="15">
        <v>18662</v>
      </c>
    </row>
    <row r="155" spans="1:11" ht="15" customHeight="1" x14ac:dyDescent="0.75">
      <c r="A155" s="18" t="s">
        <v>302</v>
      </c>
      <c r="B155" s="15">
        <v>4423</v>
      </c>
      <c r="C155" s="15">
        <v>4423</v>
      </c>
      <c r="D155" s="15">
        <v>3348</v>
      </c>
      <c r="E155" s="15">
        <v>690</v>
      </c>
      <c r="F155" s="15">
        <v>385</v>
      </c>
      <c r="G155" s="15">
        <v>79015</v>
      </c>
      <c r="H155" s="15">
        <v>79015</v>
      </c>
      <c r="I155" s="15">
        <v>47534</v>
      </c>
      <c r="J155" s="15">
        <v>12688</v>
      </c>
      <c r="K155" s="15">
        <v>18793</v>
      </c>
    </row>
    <row r="156" spans="1:11" ht="15" customHeight="1" x14ac:dyDescent="0.75">
      <c r="A156" s="18" t="s">
        <v>303</v>
      </c>
      <c r="B156" s="15">
        <v>1589</v>
      </c>
      <c r="C156" s="15">
        <v>1573</v>
      </c>
      <c r="D156" s="15">
        <v>1190</v>
      </c>
      <c r="E156" s="15">
        <v>176</v>
      </c>
      <c r="F156" s="15">
        <v>208</v>
      </c>
      <c r="G156" s="15">
        <v>38546</v>
      </c>
      <c r="H156" s="15">
        <v>38389</v>
      </c>
      <c r="I156" s="15">
        <v>21608</v>
      </c>
      <c r="J156" s="15">
        <v>4102</v>
      </c>
      <c r="K156" s="15">
        <v>12679</v>
      </c>
    </row>
    <row r="157" spans="1:11" ht="15" customHeight="1" x14ac:dyDescent="0.75">
      <c r="A157" s="18" t="s">
        <v>304</v>
      </c>
      <c r="B157" s="15">
        <v>259</v>
      </c>
      <c r="C157" s="15">
        <v>228</v>
      </c>
      <c r="D157" s="15">
        <v>150</v>
      </c>
      <c r="E157" s="15">
        <v>55</v>
      </c>
      <c r="F157" s="15">
        <v>22</v>
      </c>
      <c r="G157" s="15">
        <v>5078</v>
      </c>
      <c r="H157" s="15">
        <v>4570</v>
      </c>
      <c r="I157" s="15">
        <v>2431</v>
      </c>
      <c r="J157" s="15">
        <v>1148</v>
      </c>
      <c r="K157" s="15">
        <v>990</v>
      </c>
    </row>
    <row r="158" spans="1:11" ht="27.95" customHeight="1" x14ac:dyDescent="0.75">
      <c r="A158" s="18" t="s">
        <v>305</v>
      </c>
      <c r="B158" s="15">
        <v>410</v>
      </c>
      <c r="C158" s="15">
        <v>395</v>
      </c>
      <c r="D158" s="15">
        <v>292</v>
      </c>
      <c r="E158" s="15">
        <v>34</v>
      </c>
      <c r="F158" s="15">
        <v>69</v>
      </c>
      <c r="G158" s="15">
        <v>25642</v>
      </c>
      <c r="H158" s="15">
        <v>25280</v>
      </c>
      <c r="I158" s="15">
        <v>14045</v>
      </c>
      <c r="J158" s="15">
        <v>2858</v>
      </c>
      <c r="K158" s="15">
        <v>8378</v>
      </c>
    </row>
    <row r="159" spans="1:11" ht="44.15" customHeight="1" x14ac:dyDescent="0.75">
      <c r="A159" s="16" t="s">
        <v>345</v>
      </c>
      <c r="B159" s="22" t="s">
        <v>166</v>
      </c>
      <c r="C159" s="22" t="s">
        <v>166</v>
      </c>
      <c r="D159" s="22" t="s">
        <v>166</v>
      </c>
      <c r="E159" s="22" t="s">
        <v>166</v>
      </c>
      <c r="F159" s="22" t="s">
        <v>166</v>
      </c>
      <c r="G159" s="22" t="s">
        <v>166</v>
      </c>
      <c r="H159" s="22" t="s">
        <v>166</v>
      </c>
      <c r="I159" s="22" t="s">
        <v>166</v>
      </c>
      <c r="J159" s="22" t="s">
        <v>166</v>
      </c>
      <c r="K159" s="22" t="s">
        <v>166</v>
      </c>
    </row>
    <row r="160" spans="1:11" ht="15" customHeight="1" x14ac:dyDescent="0.75">
      <c r="A160" s="18" t="s">
        <v>346</v>
      </c>
      <c r="B160" s="15">
        <v>153</v>
      </c>
      <c r="C160" s="15">
        <v>150</v>
      </c>
      <c r="D160" s="15">
        <v>95</v>
      </c>
      <c r="E160" s="15">
        <v>17</v>
      </c>
      <c r="F160" s="15">
        <v>38</v>
      </c>
      <c r="G160" s="15">
        <v>9884</v>
      </c>
      <c r="H160" s="15">
        <v>9864</v>
      </c>
      <c r="I160" s="15">
        <v>4357</v>
      </c>
      <c r="J160" s="15">
        <v>899</v>
      </c>
      <c r="K160" s="15">
        <v>4608</v>
      </c>
    </row>
    <row r="161" spans="1:11" ht="15" customHeight="1" x14ac:dyDescent="0.75">
      <c r="A161" s="18" t="s">
        <v>347</v>
      </c>
      <c r="B161" s="15">
        <v>173</v>
      </c>
      <c r="C161" s="15">
        <v>173</v>
      </c>
      <c r="D161" s="15">
        <v>97</v>
      </c>
      <c r="E161" s="15">
        <v>13</v>
      </c>
      <c r="F161" s="15">
        <v>63</v>
      </c>
      <c r="G161" s="15">
        <v>9787</v>
      </c>
      <c r="H161" s="15">
        <v>9778</v>
      </c>
      <c r="I161" s="15">
        <v>3500</v>
      </c>
      <c r="J161" s="15">
        <v>1131</v>
      </c>
      <c r="K161" s="15">
        <v>5147</v>
      </c>
    </row>
    <row r="162" spans="1:11" ht="15" customHeight="1" x14ac:dyDescent="0.75">
      <c r="A162" s="18" t="s">
        <v>348</v>
      </c>
      <c r="B162" s="15">
        <v>130</v>
      </c>
      <c r="C162" s="15">
        <v>130</v>
      </c>
      <c r="D162" s="15">
        <v>81</v>
      </c>
      <c r="E162" s="15">
        <v>12</v>
      </c>
      <c r="F162" s="15">
        <v>38</v>
      </c>
      <c r="G162" s="15">
        <v>15222</v>
      </c>
      <c r="H162" s="15">
        <v>15219</v>
      </c>
      <c r="I162" s="15">
        <v>8204</v>
      </c>
      <c r="J162" s="15">
        <v>1429</v>
      </c>
      <c r="K162" s="15">
        <v>5587</v>
      </c>
    </row>
    <row r="163" spans="1:11" ht="27.95" customHeight="1" x14ac:dyDescent="0.75">
      <c r="A163" s="18" t="s">
        <v>349</v>
      </c>
      <c r="B163" s="15">
        <v>282</v>
      </c>
      <c r="C163" s="15">
        <v>282</v>
      </c>
      <c r="D163" s="15">
        <v>181</v>
      </c>
      <c r="E163" s="15">
        <v>41</v>
      </c>
      <c r="F163" s="15">
        <v>60</v>
      </c>
      <c r="G163" s="15">
        <v>16150</v>
      </c>
      <c r="H163" s="15">
        <v>16150</v>
      </c>
      <c r="I163" s="15">
        <v>8757</v>
      </c>
      <c r="J163" s="15">
        <v>1491</v>
      </c>
      <c r="K163" s="15">
        <v>5901</v>
      </c>
    </row>
    <row r="164" spans="1:11" ht="15" customHeight="1" x14ac:dyDescent="0.75">
      <c r="A164" s="18" t="s">
        <v>350</v>
      </c>
      <c r="B164" s="15">
        <v>736</v>
      </c>
      <c r="C164" s="15">
        <v>723</v>
      </c>
      <c r="D164" s="15">
        <v>577</v>
      </c>
      <c r="E164" s="15">
        <v>82</v>
      </c>
      <c r="F164" s="15">
        <v>64</v>
      </c>
      <c r="G164" s="15">
        <v>14054</v>
      </c>
      <c r="H164" s="15">
        <v>13926</v>
      </c>
      <c r="I164" s="15">
        <v>8428</v>
      </c>
      <c r="J164" s="15">
        <v>1284</v>
      </c>
      <c r="K164" s="15">
        <v>4213</v>
      </c>
    </row>
    <row r="165" spans="1:11" ht="15" customHeight="1" thickBot="1" x14ac:dyDescent="0.9">
      <c r="A165" s="19"/>
    </row>
    <row r="166" spans="1:11" ht="153" customHeight="1" x14ac:dyDescent="0.75">
      <c r="A166" s="107" t="s">
        <v>351</v>
      </c>
      <c r="B166" s="107"/>
      <c r="C166" s="107"/>
      <c r="D166" s="107"/>
      <c r="E166" s="107"/>
      <c r="F166" s="107"/>
      <c r="G166" s="107"/>
      <c r="H166" s="108"/>
      <c r="I166" s="108"/>
      <c r="J166" s="108"/>
      <c r="K166" s="108"/>
    </row>
  </sheetData>
  <mergeCells count="10">
    <mergeCell ref="A166:K166"/>
    <mergeCell ref="A2:K2"/>
    <mergeCell ref="B3:F3"/>
    <mergeCell ref="G3:K3"/>
    <mergeCell ref="B4:B5"/>
    <mergeCell ref="C4:C5"/>
    <mergeCell ref="D4:F4"/>
    <mergeCell ref="G4:G5"/>
    <mergeCell ref="H4:H5"/>
    <mergeCell ref="I4:K4"/>
  </mergeCells>
  <pageMargins left="0.7" right="0.7" top="0.6" bottom="0.6" header="0.3" footer="0.3"/>
  <pageSetup scale="85" fitToHeight="0" orientation="portrait" r:id="rId1"/>
  <rowBreaks count="3" manualBreakCount="3">
    <brk id="45" max="16383" man="1"/>
    <brk id="79" max="16383" man="1"/>
    <brk id="10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</vt:i4>
      </vt:variant>
    </vt:vector>
  </HeadingPairs>
  <TitlesOfParts>
    <vt:vector size="20" baseType="lpstr">
      <vt:lpstr>About</vt:lpstr>
      <vt:lpstr>source data&gt;</vt:lpstr>
      <vt:lpstr>OECD Mapping</vt:lpstr>
      <vt:lpstr>ISIC Code Mapping</vt:lpstr>
      <vt:lpstr>Cost Summary New</vt:lpstr>
      <vt:lpstr>COM_NEMS Cost</vt:lpstr>
      <vt:lpstr>AEO25 Table 21</vt:lpstr>
      <vt:lpstr>calcs&gt;</vt:lpstr>
      <vt:lpstr>Summary_Com Appliances</vt:lpstr>
      <vt:lpstr>Summary_Res Appliances</vt:lpstr>
      <vt:lpstr>Cost Breakdowns</vt:lpstr>
      <vt:lpstr>SoBCaICbIC-urbanresidential</vt:lpstr>
      <vt:lpstr>SoBCaICbIC-ruralresidential</vt:lpstr>
      <vt:lpstr>SoBCaICbIC-commercial</vt:lpstr>
      <vt:lpstr>TableB39</vt:lpstr>
      <vt:lpstr>TableB44</vt:lpstr>
      <vt:lpstr>TableB42</vt:lpstr>
      <vt:lpstr>TableB39!Print_Titles</vt:lpstr>
      <vt:lpstr>TableB42!Print_Titles</vt:lpstr>
      <vt:lpstr>TableB44!Print_Titles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2020-06-18T16:32:51Z</dcterms:created>
  <dcterms:modified xsi:type="dcterms:W3CDTF">2025-12-19T20:37:34Z</dcterms:modified>
</cp:coreProperties>
</file>