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940" firstSheet="0" activeTab="0" autoFilterDateGrouping="1"/>
  </bookViews>
  <sheets>
    <sheet xmlns:r="http://schemas.openxmlformats.org/officeDocument/2006/relationships" name="About" sheetId="1" state="visible" r:id="rId1"/>
    <sheet xmlns:r="http://schemas.openxmlformats.org/officeDocument/2006/relationships" name="Factors applied" sheetId="2" state="visible" r:id="rId2"/>
    <sheet xmlns:r="http://schemas.openxmlformats.org/officeDocument/2006/relationships" name="source data&gt;" sheetId="3" state="visible" r:id="rId3"/>
    <sheet xmlns:r="http://schemas.openxmlformats.org/officeDocument/2006/relationships" name="OECD Mapping" sheetId="4" state="visible" r:id="rId4"/>
    <sheet xmlns:r="http://schemas.openxmlformats.org/officeDocument/2006/relationships" name="ISIC Code Mapping" sheetId="5" state="visible" r:id="rId5"/>
    <sheet xmlns:r="http://schemas.openxmlformats.org/officeDocument/2006/relationships" name="Cost Summary New" sheetId="6" state="visible" r:id="rId6"/>
    <sheet xmlns:r="http://schemas.openxmlformats.org/officeDocument/2006/relationships" name="COM_NEMS Cost" sheetId="7" state="visible" r:id="rId7"/>
    <sheet xmlns:r="http://schemas.openxmlformats.org/officeDocument/2006/relationships" name="calcs&gt;" sheetId="8" state="visible" r:id="rId8"/>
    <sheet xmlns:r="http://schemas.openxmlformats.org/officeDocument/2006/relationships" name="Summary_Com Appliances" sheetId="9" state="visible" r:id="rId9"/>
    <sheet xmlns:r="http://schemas.openxmlformats.org/officeDocument/2006/relationships" name="Summary_Res Appliances" sheetId="10" state="visible" r:id="rId10"/>
    <sheet xmlns:r="http://schemas.openxmlformats.org/officeDocument/2006/relationships" name="Cost Breakdowns" sheetId="11" state="visible" r:id="rId11"/>
    <sheet xmlns:r="http://schemas.openxmlformats.org/officeDocument/2006/relationships" name="TableB39" sheetId="12" state="hidden" r:id="rId12"/>
    <sheet xmlns:r="http://schemas.openxmlformats.org/officeDocument/2006/relationships" name="TableB44" sheetId="13" state="hidden" r:id="rId13"/>
    <sheet xmlns:r="http://schemas.openxmlformats.org/officeDocument/2006/relationships" name="TableB42" sheetId="14" state="hidden" r:id="rId14"/>
    <sheet xmlns:r="http://schemas.openxmlformats.org/officeDocument/2006/relationships" name="AEO26 Table 21" sheetId="15" state="visible" r:id="rId15"/>
    <sheet xmlns:r="http://schemas.openxmlformats.org/officeDocument/2006/relationships" name="Checks" sheetId="16" state="visible" r:id="rId16"/>
    <sheet xmlns:r="http://schemas.openxmlformats.org/officeDocument/2006/relationships" name="SoBCaICbIC-urbanresidential" sheetId="17" state="visible" r:id="rId17"/>
    <sheet xmlns:r="http://schemas.openxmlformats.org/officeDocument/2006/relationships" name="SoBCaICbIC-ruralresidential" sheetId="18" state="visible" r:id="rId18"/>
    <sheet xmlns:r="http://schemas.openxmlformats.org/officeDocument/2006/relationships" name="SoBCaICbIC-commercial" sheetId="19" state="visible" r:id="rId19"/>
  </sheets>
  <definedNames>
    <definedName name="_xlnm.Print_Titles" localSheetId="11">'TableB39'!$2:$6</definedName>
    <definedName name="_xlnm.Print_Titles" localSheetId="12">'TableB44'!$2:$6</definedName>
    <definedName name="_xlnm.Print_Titles" localSheetId="13">'TableB42'!$2:$6</definedName>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0" tint="-0.499984740745262"/>
      <sz val="11"/>
      <scheme val="minor"/>
    </font>
    <font>
      <name val="Calibri"/>
      <family val="2"/>
      <color theme="1"/>
      <sz val="10"/>
      <scheme val="minor"/>
    </font>
    <font>
      <name val="Calibri"/>
      <family val="2"/>
      <b val="1"/>
      <color theme="4"/>
      <sz val="12"/>
      <scheme val="minor"/>
    </font>
    <font>
      <name val="Calibri"/>
      <family val="2"/>
      <b val="1"/>
      <color theme="1"/>
      <sz val="10"/>
      <scheme val="minor"/>
    </font>
    <font>
      <name val="Calibri"/>
      <family val="2"/>
      <b val="1"/>
      <color theme="1"/>
      <sz val="9"/>
      <scheme val="minor"/>
    </font>
    <font>
      <name val="Calibri"/>
      <family val="2"/>
      <color theme="1"/>
      <sz val="9"/>
      <scheme val="minor"/>
    </font>
    <font>
      <name val="Calibri"/>
      <family val="2"/>
      <b val="1"/>
      <color theme="0" tint="-0.499984740745262"/>
      <sz val="11"/>
      <scheme val="minor"/>
    </font>
    <font>
      <name val="Calibri"/>
      <family val="2"/>
      <b val="1"/>
      <sz val="11"/>
      <scheme val="minor"/>
    </font>
    <font>
      <name val="Calibri"/>
      <family val="2"/>
      <i val="1"/>
      <color theme="1"/>
      <sz val="11"/>
      <scheme val="minor"/>
    </font>
    <font>
      <b val="1"/>
    </font>
    <font/>
  </fonts>
  <fills count="10">
    <fill>
      <patternFill/>
    </fill>
    <fill>
      <patternFill patternType="gray125"/>
    </fill>
    <fill>
      <patternFill patternType="solid">
        <fgColor theme="0" tint="-0.249977111117893"/>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theme="5"/>
        <bgColor indexed="64"/>
      </patternFill>
    </fill>
    <fill>
      <patternFill patternType="solid">
        <fgColor theme="7"/>
        <bgColor indexed="64"/>
      </patternFill>
    </fill>
    <fill>
      <patternFill patternType="solid">
        <fgColor theme="9"/>
        <bgColor indexed="64"/>
      </patternFill>
    </fill>
    <fill>
      <patternFill patternType="solid">
        <fgColor theme="7" tint="0.5999938962981048"/>
        <bgColor indexed="64"/>
      </patternFill>
    </fill>
    <fill>
      <patternFill patternType="solid">
        <fgColor rgb="FFFFFF0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right/>
      <top/>
      <bottom style="thick">
        <color theme="4"/>
      </bottom>
      <diagonal/>
    </border>
    <border>
      <left/>
      <right/>
      <top/>
      <bottom style="thick">
        <color theme="0" tint="-0.249946592608417"/>
      </bottom>
      <diagonal/>
    </border>
    <border>
      <left/>
      <right/>
      <top style="thick">
        <color theme="0" tint="-0.249946592608417"/>
      </top>
      <bottom/>
      <diagonal/>
    </border>
    <border>
      <left/>
      <right/>
      <top/>
      <bottom style="dashed">
        <color theme="0" tint="-0.249946592608417"/>
      </bottom>
      <diagonal/>
    </border>
    <border>
      <left/>
      <right/>
      <top style="thick">
        <color theme="4"/>
      </top>
      <bottom style="dashed">
        <color theme="0" tint="-0.249946592608417"/>
      </bottom>
      <diagonal/>
    </border>
    <border>
      <left/>
      <right/>
      <top/>
      <bottom style="thin">
        <color theme="0" tint="-0.249977111117893"/>
      </bottom>
      <diagonal/>
    </border>
    <border>
      <left style="medium">
        <color indexed="64"/>
      </left>
      <right/>
      <top style="medium">
        <color indexed="64"/>
      </top>
      <bottom style="thin">
        <color theme="0" tint="-0.249977111117893"/>
      </bottom>
      <diagonal/>
    </border>
    <border>
      <left/>
      <right/>
      <top style="medium">
        <color indexed="64"/>
      </top>
      <bottom style="thin">
        <color theme="0" tint="-0.249977111117893"/>
      </bottom>
      <diagonal/>
    </border>
    <border>
      <left/>
      <right style="medium">
        <color indexed="64"/>
      </right>
      <top style="medium">
        <color indexed="64"/>
      </top>
      <bottom style="thin">
        <color theme="0" tint="-0.249977111117893"/>
      </bottom>
      <diagonal/>
    </border>
    <border>
      <left style="medium">
        <color indexed="64"/>
      </left>
      <right/>
      <top/>
      <bottom style="dashed">
        <color theme="0" tint="-0.249946592608417"/>
      </bottom>
      <diagonal/>
    </border>
    <border>
      <left/>
      <right style="medium">
        <color indexed="64"/>
      </right>
      <top/>
      <bottom style="dashed">
        <color theme="0" tint="-0.249946592608417"/>
      </bottom>
      <diagonal/>
    </border>
    <border>
      <left style="medium">
        <color indexed="64"/>
      </left>
      <right/>
      <top/>
      <bottom style="medium">
        <color indexed="64"/>
      </bottom>
      <diagonal/>
    </border>
    <border>
      <left/>
      <right/>
      <top style="medium">
        <color theme="4"/>
      </top>
      <bottom/>
      <diagonal/>
    </border>
    <border>
      <left/>
      <right/>
      <top/>
      <bottom style="thin">
        <color theme="0" tint="-0.249946592608417"/>
      </bottom>
      <diagonal/>
    </border>
    <border>
      <left/>
      <right style="thick">
        <color theme="0"/>
      </right>
      <top/>
      <bottom style="thin">
        <color theme="0" tint="-0.249946592608417"/>
      </bottom>
      <diagonal/>
    </border>
    <border>
      <left/>
      <right/>
      <top style="thin">
        <color theme="0" tint="-0.249946592608417"/>
      </top>
      <bottom style="thin">
        <color theme="0" tint="-0.249946592608417"/>
      </bottom>
      <diagonal/>
    </border>
    <border>
      <left/>
      <right/>
      <top style="thick">
        <color theme="0" tint="-0.249946592608417"/>
      </top>
      <bottom style="thin">
        <color theme="0" tint="-0.249946592608417"/>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style="thick">
        <color theme="0" tint="-0.249946592608417"/>
      </top>
      <bottom style="thick">
        <color theme="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theme="0" tint="-0.249946592608417"/>
      </top>
      <bottom/>
      <diagonal/>
    </border>
    <border>
      <left/>
      <right style="thick">
        <color theme="0"/>
      </right>
      <top/>
      <bottom/>
      <diagonal/>
    </border>
  </borders>
  <cellStyleXfs count="9">
    <xf numFmtId="0" fontId="1" fillId="0" borderId="0"/>
    <xf numFmtId="9" fontId="1" fillId="0" borderId="0"/>
    <xf numFmtId="0" fontId="3" fillId="0" borderId="0"/>
    <xf numFmtId="43" fontId="1" fillId="0" borderId="0"/>
    <xf numFmtId="0" fontId="6" fillId="0" borderId="0" applyAlignment="1">
      <alignment horizontal="left"/>
    </xf>
    <xf numFmtId="0" fontId="8" fillId="0" borderId="4" applyAlignment="1">
      <alignment wrapText="1"/>
    </xf>
    <xf numFmtId="0" fontId="9" fillId="0" borderId="7" applyAlignment="1">
      <alignment wrapText="1"/>
    </xf>
    <xf numFmtId="0" fontId="8" fillId="0" borderId="9" applyAlignment="1">
      <alignment wrapText="1"/>
    </xf>
    <xf numFmtId="0" fontId="9" fillId="0" borderId="16" applyAlignment="1">
      <alignment vertical="top" wrapText="1"/>
    </xf>
  </cellStyleXfs>
  <cellXfs count="131">
    <xf numFmtId="0" fontId="0" fillId="0" borderId="0" pivotButton="0" quotePrefix="0" xfId="0"/>
    <xf numFmtId="0" fontId="3" fillId="0" borderId="0" pivotButton="0" quotePrefix="0" xfId="2"/>
    <xf numFmtId="0" fontId="2" fillId="0" borderId="0" pivotButton="0" quotePrefix="0" xfId="0"/>
    <xf numFmtId="0" fontId="2" fillId="2" borderId="0" pivotButton="0" quotePrefix="0" xfId="0"/>
    <xf numFmtId="0" fontId="0" fillId="0" borderId="0" applyAlignment="1" pivotButton="0" quotePrefix="0" xfId="0">
      <alignment horizontal="left"/>
    </xf>
    <xf numFmtId="0" fontId="0" fillId="0" borderId="0" applyAlignment="1" pivotButton="0" quotePrefix="0" xfId="0">
      <alignment vertical="center"/>
    </xf>
    <xf numFmtId="9" fontId="0" fillId="0" borderId="0" pivotButton="0" quotePrefix="0" xfId="1"/>
    <xf numFmtId="0" fontId="4" fillId="0" borderId="0" applyAlignment="1" pivotButton="0" quotePrefix="0" xfId="0">
      <alignment wrapText="1"/>
    </xf>
    <xf numFmtId="3" fontId="5" fillId="0" borderId="0" pivotButton="0" quotePrefix="0" xfId="0"/>
    <xf numFmtId="0" fontId="6" fillId="0" borderId="0" applyAlignment="1" pivotButton="0" quotePrefix="0" xfId="4">
      <alignment horizontal="left" wrapText="1"/>
    </xf>
    <xf numFmtId="0" fontId="7" fillId="0" borderId="4" applyAlignment="1" pivotButton="0" quotePrefix="0" xfId="5">
      <alignment wrapText="1"/>
    </xf>
    <xf numFmtId="3" fontId="7" fillId="0" borderId="1" applyAlignment="1" pivotButton="0" quotePrefix="0" xfId="5">
      <alignment horizontal="right" wrapText="1"/>
    </xf>
    <xf numFmtId="0" fontId="7" fillId="0" borderId="8" applyAlignment="1" pivotButton="0" quotePrefix="0" xfId="6">
      <alignment wrapText="1"/>
    </xf>
    <xf numFmtId="3" fontId="5" fillId="0" borderId="8" applyAlignment="1" pivotButton="0" quotePrefix="0" xfId="6">
      <alignment horizontal="right" wrapText="1"/>
    </xf>
    <xf numFmtId="3" fontId="5" fillId="0" borderId="7" applyAlignment="1" pivotButton="0" quotePrefix="0" xfId="6">
      <alignment horizontal="right" wrapText="1"/>
    </xf>
    <xf numFmtId="0" fontId="7" fillId="0" borderId="9" applyAlignment="1" pivotButton="0" quotePrefix="0" xfId="7">
      <alignment wrapText="1"/>
    </xf>
    <xf numFmtId="3" fontId="7" fillId="0" borderId="9" applyAlignment="1" pivotButton="0" quotePrefix="0" xfId="7">
      <alignment horizontal="right" wrapText="1"/>
    </xf>
    <xf numFmtId="0" fontId="5" fillId="0" borderId="7" applyAlignment="1" pivotButton="0" quotePrefix="0" xfId="6">
      <alignment wrapText="1"/>
    </xf>
    <xf numFmtId="0" fontId="5" fillId="0" borderId="7" applyAlignment="1" pivotButton="0" quotePrefix="0" xfId="6">
      <alignment horizontal="left" wrapText="1" indent="1"/>
    </xf>
    <xf numFmtId="0" fontId="7" fillId="0" borderId="0" applyAlignment="1" pivotButton="0" quotePrefix="0" xfId="6">
      <alignment wrapText="1"/>
    </xf>
    <xf numFmtId="0" fontId="5" fillId="0" borderId="7" applyAlignment="1" pivotButton="0" quotePrefix="0" xfId="6">
      <alignment horizontal="left" wrapText="1" indent="2"/>
    </xf>
    <xf numFmtId="3" fontId="7" fillId="0" borderId="9" applyAlignment="1" pivotButton="0" quotePrefix="0" xfId="7">
      <alignment wrapText="1"/>
    </xf>
    <xf numFmtId="3" fontId="5" fillId="0" borderId="7" applyAlignment="1" pivotButton="0" quotePrefix="0" xfId="6">
      <alignment wrapText="1"/>
    </xf>
    <xf numFmtId="0" fontId="5" fillId="0" borderId="0" applyAlignment="1" pivotButton="0" quotePrefix="0" xfId="6">
      <alignment wrapText="1"/>
    </xf>
    <xf numFmtId="3" fontId="5" fillId="0" borderId="0" applyAlignment="1" pivotButton="0" quotePrefix="0" xfId="6">
      <alignment horizontal="right" wrapText="1"/>
    </xf>
    <xf numFmtId="0" fontId="7" fillId="3" borderId="10" applyAlignment="1" pivotButton="0" quotePrefix="0" xfId="7">
      <alignment wrapText="1"/>
    </xf>
    <xf numFmtId="3" fontId="7" fillId="3" borderId="11" applyAlignment="1" pivotButton="0" quotePrefix="0" xfId="7">
      <alignment wrapText="1"/>
    </xf>
    <xf numFmtId="3" fontId="7" fillId="3" borderId="12" applyAlignment="1" pivotButton="0" quotePrefix="0" xfId="7">
      <alignment wrapText="1"/>
    </xf>
    <xf numFmtId="0" fontId="5" fillId="3" borderId="13" applyAlignment="1" pivotButton="0" quotePrefix="0" xfId="6">
      <alignment wrapText="1"/>
    </xf>
    <xf numFmtId="3" fontId="5" fillId="3" borderId="7" applyAlignment="1" pivotButton="0" quotePrefix="0" xfId="6">
      <alignment horizontal="right" wrapText="1"/>
    </xf>
    <xf numFmtId="3" fontId="5" fillId="3" borderId="14" applyAlignment="1" pivotButton="0" quotePrefix="0" xfId="6">
      <alignment horizontal="right" wrapText="1"/>
    </xf>
    <xf numFmtId="0" fontId="5" fillId="3" borderId="15" applyAlignment="1" pivotButton="0" quotePrefix="0" xfId="6">
      <alignment wrapText="1"/>
    </xf>
    <xf numFmtId="3" fontId="5" fillId="3" borderId="3" applyAlignment="1" pivotButton="0" quotePrefix="0" xfId="6">
      <alignment horizontal="right" wrapText="1"/>
    </xf>
    <xf numFmtId="3" fontId="5" fillId="3" borderId="2" applyAlignment="1" pivotButton="0" quotePrefix="0" xfId="6">
      <alignment horizontal="right" wrapText="1"/>
    </xf>
    <xf numFmtId="0" fontId="5" fillId="0" borderId="7" applyAlignment="1" pivotButton="0" quotePrefix="1" xfId="6">
      <alignment wrapText="1"/>
    </xf>
    <xf numFmtId="9" fontId="0" fillId="4" borderId="0" pivotButton="0" quotePrefix="0" xfId="1"/>
    <xf numFmtId="0" fontId="0" fillId="4" borderId="0" pivotButton="0" quotePrefix="0" xfId="0"/>
    <xf numFmtId="0" fontId="0" fillId="0" borderId="0" applyAlignment="1" pivotButton="0" quotePrefix="0" xfId="0">
      <alignment horizontal="center"/>
    </xf>
    <xf numFmtId="0" fontId="2" fillId="5"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7" fillId="0" borderId="0" applyAlignment="1" pivotButton="0" quotePrefix="0" xfId="7">
      <alignment wrapText="1"/>
    </xf>
    <xf numFmtId="3" fontId="7" fillId="0" borderId="0" applyAlignment="1" pivotButton="0" quotePrefix="0" xfId="7">
      <alignment wrapText="1"/>
    </xf>
    <xf numFmtId="3" fontId="7" fillId="0" borderId="4" applyAlignment="1" pivotButton="0" quotePrefix="0" xfId="5">
      <alignment horizontal="right" wrapText="1"/>
    </xf>
    <xf numFmtId="3" fontId="7" fillId="0" borderId="0" applyAlignment="1" pivotButton="0" quotePrefix="0" xfId="5">
      <alignment horizontal="right" wrapText="1"/>
    </xf>
    <xf numFmtId="3" fontId="2" fillId="0" borderId="0" pivotButton="0" quotePrefix="0" xfId="0"/>
    <xf numFmtId="0" fontId="2" fillId="0" borderId="0" applyAlignment="1" pivotButton="0" quotePrefix="0" xfId="0">
      <alignment wrapText="1"/>
    </xf>
    <xf numFmtId="0" fontId="0" fillId="0" borderId="0" applyAlignment="1" pivotButton="0" quotePrefix="0" xfId="0">
      <alignment wrapText="1"/>
    </xf>
    <xf numFmtId="0" fontId="7" fillId="0" borderId="0" applyAlignment="1" pivotButton="0" quotePrefix="0" xfId="5">
      <alignment wrapText="1"/>
    </xf>
    <xf numFmtId="0" fontId="7" fillId="3" borderId="21" applyAlignment="1" pivotButton="0" quotePrefix="0" xfId="6">
      <alignment wrapText="1"/>
    </xf>
    <xf numFmtId="3" fontId="5" fillId="3" borderId="22" applyAlignment="1" pivotButton="0" quotePrefix="0" xfId="6">
      <alignment horizontal="right" wrapText="1"/>
    </xf>
    <xf numFmtId="3" fontId="5" fillId="3" borderId="23" applyAlignment="1" pivotButton="0" quotePrefix="0" xfId="6">
      <alignment horizontal="right" wrapText="1"/>
    </xf>
    <xf numFmtId="43" fontId="0" fillId="0" borderId="0" pivotButton="0" quotePrefix="0" xfId="0"/>
    <xf numFmtId="43" fontId="0" fillId="0" borderId="0" pivotButton="0" quotePrefix="0" xfId="3"/>
    <xf numFmtId="43" fontId="2" fillId="0" borderId="0" pivotButton="0" quotePrefix="0" xfId="0"/>
    <xf numFmtId="9" fontId="0" fillId="0" borderId="0" pivotButton="0" quotePrefix="0" xfId="0"/>
    <xf numFmtId="9" fontId="2" fillId="4" borderId="0" pivotButton="0" quotePrefix="0" xfId="1"/>
    <xf numFmtId="43" fontId="0" fillId="4" borderId="0" pivotButton="0" quotePrefix="0" xfId="3"/>
    <xf numFmtId="9" fontId="2" fillId="0" borderId="0" pivotButton="0" quotePrefix="0" xfId="1"/>
    <xf numFmtId="0" fontId="2" fillId="4" borderId="0" pivotButton="0" quotePrefix="0" xfId="0"/>
    <xf numFmtId="43" fontId="0" fillId="4" borderId="0" pivotButton="0" quotePrefix="0" xfId="0"/>
    <xf numFmtId="43" fontId="0" fillId="0" borderId="0" applyAlignment="1" pivotButton="0" quotePrefix="0" xfId="3">
      <alignment wrapText="1"/>
    </xf>
    <xf numFmtId="0" fontId="10" fillId="0" borderId="0" pivotButton="0" quotePrefix="0" xfId="0"/>
    <xf numFmtId="0" fontId="2" fillId="8" borderId="0" pivotButton="0" quotePrefix="0" xfId="0"/>
    <xf numFmtId="9" fontId="1" fillId="4" borderId="0" pivotButton="0" quotePrefix="0" xfId="1"/>
    <xf numFmtId="0" fontId="0" fillId="8" borderId="0" pivotButton="0" quotePrefix="0" xfId="0"/>
    <xf numFmtId="9" fontId="1" fillId="0" borderId="0" pivotButton="0" quotePrefix="0" xfId="1"/>
    <xf numFmtId="9" fontId="2" fillId="8" borderId="0" pivotButton="0" quotePrefix="0" xfId="1"/>
    <xf numFmtId="43" fontId="0" fillId="8" borderId="0" applyAlignment="1" pivotButton="0" quotePrefix="0" xfId="3">
      <alignment wrapText="1"/>
    </xf>
    <xf numFmtId="0" fontId="0" fillId="8" borderId="0" applyAlignment="1" pivotButton="0" quotePrefix="0" xfId="0">
      <alignment wrapText="1"/>
    </xf>
    <xf numFmtId="43" fontId="2" fillId="8" borderId="0" applyAlignment="1" pivotButton="0" quotePrefix="0" xfId="3">
      <alignment wrapText="1"/>
    </xf>
    <xf numFmtId="9" fontId="0" fillId="8" borderId="0" pivotButton="0" quotePrefix="0" xfId="1"/>
    <xf numFmtId="43" fontId="2" fillId="8" borderId="0" pivotButton="0" quotePrefix="0" xfId="0"/>
    <xf numFmtId="43" fontId="0" fillId="8" borderId="0" pivotButton="0" quotePrefix="0" xfId="3"/>
    <xf numFmtId="9" fontId="0" fillId="8" borderId="0" pivotButton="0" quotePrefix="0" xfId="0"/>
    <xf numFmtId="0" fontId="11" fillId="8" borderId="0" pivotButton="0" quotePrefix="0" xfId="0"/>
    <xf numFmtId="43" fontId="11" fillId="8" borderId="0" pivotButton="0" quotePrefix="0" xfId="3"/>
    <xf numFmtId="43" fontId="0" fillId="8" borderId="0" pivotButton="0" quotePrefix="0" xfId="0"/>
    <xf numFmtId="43" fontId="11" fillId="8" borderId="0" pivotButton="0" quotePrefix="0" xfId="0"/>
    <xf numFmtId="0" fontId="12" fillId="0" borderId="0" pivotButton="0" quotePrefix="0" xfId="0"/>
    <xf numFmtId="43" fontId="2" fillId="8" borderId="0" pivotButton="0" quotePrefix="0" xfId="3"/>
    <xf numFmtId="0" fontId="2" fillId="4" borderId="0" applyAlignment="1" pivotButton="0" quotePrefix="0" xfId="0">
      <alignment horizontal="center"/>
    </xf>
    <xf numFmtId="0" fontId="0" fillId="4" borderId="0" applyAlignment="1" pivotButton="0" quotePrefix="0" xfId="0">
      <alignment horizontal="center"/>
    </xf>
    <xf numFmtId="0" fontId="0" fillId="8" borderId="0" applyAlignment="1" pivotButton="0" quotePrefix="0" xfId="0">
      <alignment horizontal="left"/>
    </xf>
    <xf numFmtId="0" fontId="2" fillId="5" borderId="0" applyAlignment="1" pivotButton="0" quotePrefix="0" xfId="0">
      <alignment horizontal="center" vertical="center"/>
    </xf>
    <xf numFmtId="0" fontId="2" fillId="0" borderId="0" applyAlignment="1" pivotButton="0" quotePrefix="0" xfId="0">
      <alignment vertical="top"/>
    </xf>
    <xf numFmtId="0" fontId="0" fillId="0" borderId="0" applyAlignment="1" pivotButton="0" quotePrefix="0" xfId="0">
      <alignment vertical="top"/>
    </xf>
    <xf numFmtId="0" fontId="12" fillId="0" borderId="0" applyAlignment="1" pivotButton="0" quotePrefix="0" xfId="0">
      <alignment vertical="top"/>
    </xf>
    <xf numFmtId="0" fontId="0" fillId="9" borderId="24" pivotButton="0" quotePrefix="0" xfId="0"/>
    <xf numFmtId="0" fontId="0" fillId="9" borderId="25" pivotButton="0" quotePrefix="0" xfId="0"/>
    <xf numFmtId="0" fontId="0" fillId="9" borderId="15" pivotButton="0" quotePrefix="0" xfId="0"/>
    <xf numFmtId="0" fontId="0" fillId="9" borderId="2" pivotButton="0" quotePrefix="0" xfId="0"/>
    <xf numFmtId="0" fontId="0" fillId="9" borderId="26" pivotButton="0" quotePrefix="0" xfId="0"/>
    <xf numFmtId="0" fontId="0" fillId="9" borderId="27" pivotButton="0" quotePrefix="0" xfId="0"/>
    <xf numFmtId="0" fontId="0" fillId="0" borderId="0" applyAlignment="1" pivotButton="0" quotePrefix="0" xfId="0">
      <alignment horizontal="right"/>
    </xf>
    <xf numFmtId="0" fontId="2" fillId="6" borderId="0" pivotButton="0" quotePrefix="0" xfId="0"/>
    <xf numFmtId="43" fontId="2" fillId="0" borderId="0" applyAlignment="1" pivotButton="0" quotePrefix="0" xfId="3">
      <alignment horizontal="center"/>
    </xf>
    <xf numFmtId="43" fontId="2" fillId="3" borderId="0" pivotButton="0" quotePrefix="0" xfId="3"/>
    <xf numFmtId="0" fontId="2" fillId="0" borderId="0" pivotButton="0" quotePrefix="0" xfId="3"/>
    <xf numFmtId="0" fontId="2" fillId="7" borderId="0" applyAlignment="1" pivotButton="0" quotePrefix="0" xfId="0">
      <alignment horizontal="center"/>
    </xf>
    <xf numFmtId="0" fontId="0" fillId="0" borderId="0" pivotButton="0" quotePrefix="0" xfId="0"/>
    <xf numFmtId="43" fontId="0" fillId="0" borderId="0" pivotButton="0" quotePrefix="0" xfId="3"/>
    <xf numFmtId="0" fontId="2" fillId="5" borderId="0" applyAlignment="1" pivotButton="0" quotePrefix="0" xfId="0">
      <alignment horizontal="center"/>
    </xf>
    <xf numFmtId="9" fontId="2" fillId="5" borderId="0" applyAlignment="1" pivotButton="0" quotePrefix="0" xfId="1">
      <alignment horizontal="center"/>
    </xf>
    <xf numFmtId="0" fontId="0" fillId="0" borderId="0" applyAlignment="1" pivotButton="0" quotePrefix="0" xfId="0">
      <alignment horizontal="center"/>
    </xf>
    <xf numFmtId="0" fontId="2" fillId="5" borderId="0" applyAlignment="1" pivotButton="0" quotePrefix="0" xfId="0">
      <alignment horizontal="center" vertical="center"/>
    </xf>
    <xf numFmtId="3" fontId="7" fillId="0" borderId="28" applyAlignment="1" pivotButton="0" quotePrefix="0" xfId="5">
      <alignment horizontal="right" wrapText="1"/>
    </xf>
    <xf numFmtId="0" fontId="0" fillId="0" borderId="4" pivotButton="0" quotePrefix="0" xfId="0"/>
    <xf numFmtId="3" fontId="7" fillId="0" borderId="1" applyAlignment="1" pivotButton="0" quotePrefix="0" xfId="5">
      <alignment horizontal="right" wrapText="1"/>
    </xf>
    <xf numFmtId="0" fontId="0" fillId="0" borderId="29" pivotButton="0" quotePrefix="0" xfId="0"/>
    <xf numFmtId="0" fontId="9" fillId="0" borderId="16" applyAlignment="1" pivotButton="0" quotePrefix="0" xfId="8">
      <alignment wrapText="1"/>
    </xf>
    <xf numFmtId="0" fontId="0" fillId="0" borderId="16" pivotButton="0" quotePrefix="0" xfId="0"/>
    <xf numFmtId="3" fontId="7" fillId="0" borderId="1" applyAlignment="1" pivotButton="0" quotePrefix="0" xfId="0">
      <alignment horizontal="left" wrapText="1"/>
    </xf>
    <xf numFmtId="0" fontId="0" fillId="0" borderId="30" pivotButton="0" quotePrefix="0" xfId="0"/>
    <xf numFmtId="0" fontId="0" fillId="0" borderId="31" pivotButton="0" quotePrefix="0" xfId="0"/>
    <xf numFmtId="3" fontId="7" fillId="0" borderId="5" applyAlignment="1" pivotButton="0" quotePrefix="0" xfId="0">
      <alignment horizontal="left" wrapText="1"/>
    </xf>
    <xf numFmtId="0" fontId="0" fillId="0" borderId="5" pivotButton="0" quotePrefix="0" xfId="0"/>
    <xf numFmtId="0" fontId="6" fillId="0" borderId="0" applyAlignment="1" pivotButton="0" quotePrefix="0" xfId="4">
      <alignment horizontal="left" wrapText="1"/>
    </xf>
    <xf numFmtId="3" fontId="5" fillId="0" borderId="0" pivotButton="0" quotePrefix="0" xfId="0"/>
    <xf numFmtId="3" fontId="7" fillId="0" borderId="6" applyAlignment="1" pivotButton="0" quotePrefix="0" xfId="5">
      <alignment horizontal="right" wrapText="1"/>
    </xf>
    <xf numFmtId="3" fontId="7" fillId="0" borderId="20" applyAlignment="1" pivotButton="0" quotePrefix="0" xfId="0">
      <alignment horizontal="left" wrapText="1"/>
    </xf>
    <xf numFmtId="0" fontId="0" fillId="0" borderId="20" pivotButton="0" quotePrefix="0" xfId="0"/>
    <xf numFmtId="3" fontId="7" fillId="0" borderId="17" applyAlignment="1" pivotButton="0" quotePrefix="0" xfId="0">
      <alignment horizontal="left" wrapText="1"/>
    </xf>
    <xf numFmtId="0" fontId="0" fillId="0" borderId="17" pivotButton="0" quotePrefix="0" xfId="0"/>
    <xf numFmtId="3" fontId="7" fillId="0" borderId="4" applyAlignment="1" pivotButton="0" quotePrefix="0" xfId="5">
      <alignment horizontal="right" wrapText="1"/>
    </xf>
    <xf numFmtId="3" fontId="7" fillId="0" borderId="19" applyAlignment="1" pivotButton="0" quotePrefix="0" xfId="0">
      <alignment horizontal="left" wrapText="1"/>
    </xf>
    <xf numFmtId="0" fontId="0" fillId="0" borderId="19" pivotButton="0" quotePrefix="0" xfId="0"/>
    <xf numFmtId="3" fontId="7" fillId="0" borderId="18" applyAlignment="1" pivotButton="0" quotePrefix="0" xfId="0">
      <alignment horizontal="left" wrapText="1"/>
    </xf>
    <xf numFmtId="0" fontId="0" fillId="0" borderId="18" pivotButton="0" quotePrefix="0" xfId="0"/>
    <xf numFmtId="0" fontId="13" fillId="0" borderId="0" pivotButton="0" quotePrefix="0" xfId="0"/>
    <xf numFmtId="0" fontId="14" fillId="0" borderId="0" pivotButton="0" quotePrefix="0" xfId="0"/>
  </cellXfs>
  <cellStyles count="9">
    <cellStyle name="Normal" xfId="0" builtinId="0"/>
    <cellStyle name="Percent" xfId="1" builtinId="5"/>
    <cellStyle name="Hyperlink" xfId="2" builtinId="8"/>
    <cellStyle name="Comma" xfId="3" builtinId="3"/>
    <cellStyle name="Table title" xfId="4"/>
    <cellStyle name="Header: bottom row" xfId="5"/>
    <cellStyle name="Body: normal cell" xfId="6"/>
    <cellStyle name="Parent row" xfId="7"/>
    <cellStyle name="Footnotes: top row" xfId="8"/>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eia.gov/analysis/studies/buildings/equipcosts/pdf/full.pdf" TargetMode="External" Id="rId1"/><Relationship Type="http://schemas.openxmlformats.org/officeDocument/2006/relationships/hyperlink" Target="https://www.eia.gov/consumption/commercial/data/2012/" TargetMode="External" Id="rId2"/><Relationship Type="http://schemas.openxmlformats.org/officeDocument/2006/relationships/hyperlink" Target="https://unstats.un.org/unsd/publication/seriesM/seriesm_4rev4e.pdf" TargetMode="External" Id="rId3"/></Relationships>
</file>

<file path=xl/worksheets/_rels/sheet6.xml.rels><Relationships xmlns="http://schemas.openxmlformats.org/package/2006/relationships"><Relationship Type="http://schemas.openxmlformats.org/officeDocument/2006/relationships/hyperlink" Target="https://www.eia.gov/analysis/studies/buildings/equipcosts/pdf/full.pdf" TargetMode="External" Id="rId1"/><Relationship Type="http://schemas.openxmlformats.org/officeDocument/2006/relationships/hyperlink" Target="https://www.eia.gov/analysis/studies/buildings/equipcosts/pdf/full.pdf" TargetMode="External" Id="rId2"/><Relationship Type="http://schemas.openxmlformats.org/officeDocument/2006/relationships/hyperlink" Target="https://www.eia.gov/analysis/studies/buildings/equipcosts/pdf/full.pdf" TargetMode="External" Id="rId3"/><Relationship Type="http://schemas.openxmlformats.org/officeDocument/2006/relationships/hyperlink" Target="https://www.eia.gov/analysis/studies/buildings/equipcosts/pdf/full.pdf" TargetMode="External" Id="rId4"/><Relationship Type="http://schemas.openxmlformats.org/officeDocument/2006/relationships/hyperlink" Target="https://www.eia.gov/analysis/studies/buildings/equipcosts/pdf/full.pdf" TargetMode="External" Id="rId5"/><Relationship Type="http://schemas.openxmlformats.org/officeDocument/2006/relationships/hyperlink" Target="https://www.eia.gov/analysis/studies/buildings/equipcosts/pdf/full.pdf" TargetMode="External" Id="rId6"/><Relationship Type="http://schemas.openxmlformats.org/officeDocument/2006/relationships/hyperlink" Target="https://www.eia.gov/analysis/studies/buildings/equipcosts/pdf/full.pdf" TargetMode="External" Id="rId7"/><Relationship Type="http://schemas.openxmlformats.org/officeDocument/2006/relationships/hyperlink" Target="https://www.eia.gov/analysis/studies/buildings/equipcosts/pdf/full.pdf" TargetMode="External" Id="rId8"/><Relationship Type="http://schemas.openxmlformats.org/officeDocument/2006/relationships/hyperlink" Target="https://www.eia.gov/analysis/studies/buildings/equipcosts/pdf/full.pdf" TargetMode="External" Id="rId9"/><Relationship Type="http://schemas.openxmlformats.org/officeDocument/2006/relationships/hyperlink" Target="https://www.eia.gov/analysis/studies/buildings/equipcosts/pdf/full.pdf" TargetMode="External" Id="rId10"/><Relationship Type="http://schemas.openxmlformats.org/officeDocument/2006/relationships/hyperlink" Target="https://www.eia.gov/analysis/studies/buildings/equipcosts/pdf/full.pdf" TargetMode="External" Id="rId11"/><Relationship Type="http://schemas.openxmlformats.org/officeDocument/2006/relationships/hyperlink" Target="https://www.eia.gov/analysis/studies/buildings/equipcosts/pdf/full.pdf" TargetMode="External" Id="rId12"/><Relationship Type="http://schemas.openxmlformats.org/officeDocument/2006/relationships/hyperlink" Target="https://www.eia.gov/analysis/studies/buildings/equipcosts/pdf/full.pdf" TargetMode="External" Id="rId13"/><Relationship Type="http://schemas.openxmlformats.org/officeDocument/2006/relationships/hyperlink" Target="https://www.eia.gov/analysis/studies/buildings/equipcosts/pdf/full.pdf" TargetMode="External" Id="rId14"/><Relationship Type="http://schemas.openxmlformats.org/officeDocument/2006/relationships/hyperlink" Target="https://www.eia.gov/analysis/studies/buildings/equipcosts/pdf/full.pdf" TargetMode="External" Id="rId15"/><Relationship Type="http://schemas.openxmlformats.org/officeDocument/2006/relationships/hyperlink" Target="https://www.eia.gov/analysis/studies/buildings/equipcosts/pdf/full.pdf" TargetMode="External" Id="rId16"/><Relationship Type="http://schemas.openxmlformats.org/officeDocument/2006/relationships/hyperlink" Target="https://www.eia.gov/analysis/studies/buildings/equipcosts/pdf/full.pdf" TargetMode="External" Id="rId17"/><Relationship Type="http://schemas.openxmlformats.org/officeDocument/2006/relationships/hyperlink" Target="https://www.eia.gov/analysis/studies/buildings/equipcosts/pdf/full.pdf" TargetMode="External" Id="rId18"/><Relationship Type="http://schemas.openxmlformats.org/officeDocument/2006/relationships/hyperlink" Target="https://www.eia.gov/analysis/studies/buildings/equipcosts/pdf/full.pdf" TargetMode="External" Id="rId19"/><Relationship Type="http://schemas.openxmlformats.org/officeDocument/2006/relationships/hyperlink" Target="https://www.eia.gov/analysis/studies/buildings/equipcosts/pdf/full.pdf" TargetMode="External" Id="rId20"/><Relationship Type="http://schemas.openxmlformats.org/officeDocument/2006/relationships/hyperlink" Target="https://www.eia.gov/analysis/studies/buildings/equipcosts/pdf/full.pdf" TargetMode="External" Id="rId21"/><Relationship Type="http://schemas.openxmlformats.org/officeDocument/2006/relationships/hyperlink" Target="https://www.eia.gov/analysis/studies/buildings/equipcosts/pdf/full.pdf" TargetMode="External" Id="rId22"/><Relationship Type="http://schemas.openxmlformats.org/officeDocument/2006/relationships/hyperlink" Target="https://www.eia.gov/analysis/studies/buildings/equipcosts/pdf/full.pdf" TargetMode="External" Id="rId23"/><Relationship Type="http://schemas.openxmlformats.org/officeDocument/2006/relationships/hyperlink" Target="https://www.eia.gov/analysis/studies/buildings/equipcosts/pdf/full.pdf" TargetMode="External" Id="rId24"/><Relationship Type="http://schemas.openxmlformats.org/officeDocument/2006/relationships/hyperlink" Target="https://www.eia.gov/analysis/studies/buildings/equipcosts/pdf/full.pdf" TargetMode="External" Id="rId25"/><Relationship Type="http://schemas.openxmlformats.org/officeDocument/2006/relationships/hyperlink" Target="https://www.eia.gov/analysis/studies/buildings/equipcosts/pdf/full.pdf" TargetMode="External" Id="rId26"/><Relationship Type="http://schemas.openxmlformats.org/officeDocument/2006/relationships/hyperlink" Target="https://www.eia.gov/analysis/studies/buildings/equipcosts/pdf/full.pdf" TargetMode="External" Id="rId27"/><Relationship Type="http://schemas.openxmlformats.org/officeDocument/2006/relationships/hyperlink" Target="https://www.eia.gov/analysis/studies/buildings/equipcosts/pdf/full.pdf" TargetMode="External" Id="rId28"/><Relationship Type="http://schemas.openxmlformats.org/officeDocument/2006/relationships/hyperlink" Target="https://www.eia.gov/analysis/studies/buildings/equipcosts/pdf/full.pdf" TargetMode="External" Id="rId29"/><Relationship Type="http://schemas.openxmlformats.org/officeDocument/2006/relationships/hyperlink" Target="https://www.eia.gov/analysis/studies/buildings/equipcosts/pdf/full.pdf" TargetMode="External" Id="rId30"/><Relationship Type="http://schemas.openxmlformats.org/officeDocument/2006/relationships/hyperlink" Target="https://www.eia.gov/analysis/studies/buildings/equipcosts/pdf/full.pdf" TargetMode="External" Id="rId31"/><Relationship Type="http://schemas.openxmlformats.org/officeDocument/2006/relationships/hyperlink" Target="https://www.eia.gov/analysis/studies/buildings/equipcosts/pdf/full.pdf" TargetMode="External" Id="rId32"/><Relationship Type="http://schemas.openxmlformats.org/officeDocument/2006/relationships/hyperlink" Target="https://www.eia.gov/analysis/studies/buildings/equipcosts/pdf/full.pdf" TargetMode="External" Id="rId33"/><Relationship Type="http://schemas.openxmlformats.org/officeDocument/2006/relationships/hyperlink" Target="https://www.eia.gov/analysis/studies/buildings/equipcosts/pdf/full.pdf" TargetMode="External" Id="rId34"/><Relationship Type="http://schemas.openxmlformats.org/officeDocument/2006/relationships/hyperlink" Target="https://www.eia.gov/analysis/studies/buildings/equipcosts/pdf/full.pdf" TargetMode="External" Id="rId35"/><Relationship Type="http://schemas.openxmlformats.org/officeDocument/2006/relationships/hyperlink" Target="https://www.eia.gov/analysis/studies/buildings/equipcosts/pdf/full.pdf" TargetMode="External" Id="rId36"/><Relationship Type="http://schemas.openxmlformats.org/officeDocument/2006/relationships/hyperlink" Target="https://www.eia.gov/analysis/studies/buildings/equipcosts/pdf/full.pdf" TargetMode="External" Id="rId37"/><Relationship Type="http://schemas.openxmlformats.org/officeDocument/2006/relationships/hyperlink" Target="https://www.eia.gov/analysis/studies/buildings/equipcosts/pdf/full.pdf" TargetMode="External" Id="rId38"/><Relationship Type="http://schemas.openxmlformats.org/officeDocument/2006/relationships/hyperlink" Target="https://www.eia.gov/analysis/studies/buildings/equipcosts/pdf/full.pdf" TargetMode="External" Id="rId39"/><Relationship Type="http://schemas.openxmlformats.org/officeDocument/2006/relationships/hyperlink" Target="https://www.eia.gov/analysis/studies/buildings/equipcosts/pdf/full.pdf" TargetMode="External" Id="rId40"/><Relationship Type="http://schemas.openxmlformats.org/officeDocument/2006/relationships/hyperlink" Target="https://www.eia.gov/analysis/studies/buildings/equipcosts/pdf/full.pdf" TargetMode="External" Id="rId41"/><Relationship Type="http://schemas.openxmlformats.org/officeDocument/2006/relationships/hyperlink" Target="https://www.eia.gov/analysis/studies/buildings/equipcosts/pdf/full.pdf" TargetMode="External" Id="rId42"/><Relationship Type="http://schemas.openxmlformats.org/officeDocument/2006/relationships/hyperlink" Target="https://www.eia.gov/analysis/studies/buildings/equipcosts/pdf/full.pdf" TargetMode="External" Id="rId43"/><Relationship Type="http://schemas.openxmlformats.org/officeDocument/2006/relationships/hyperlink" Target="https://www.eia.gov/analysis/studies/buildings/equipcosts/pdf/full.pdf" TargetMode="External" Id="rId44"/><Relationship Type="http://schemas.openxmlformats.org/officeDocument/2006/relationships/hyperlink" Target="https://www.eia.gov/analysis/studies/buildings/equipcosts/pdf/full.pdf" TargetMode="External" Id="rId45"/><Relationship Type="http://schemas.openxmlformats.org/officeDocument/2006/relationships/hyperlink" Target="https://www.eia.gov/analysis/studies/buildings/equipcosts/pdf/full.pdf" TargetMode="External" Id="rId46"/><Relationship Type="http://schemas.openxmlformats.org/officeDocument/2006/relationships/hyperlink" Target="https://www.eia.gov/analysis/studies/buildings/equipcosts/pdf/full.pdf" TargetMode="External" Id="rId47"/><Relationship Type="http://schemas.openxmlformats.org/officeDocument/2006/relationships/hyperlink" Target="https://www.eia.gov/analysis/studies/buildings/equipcosts/pdf/full.pdf" TargetMode="External" Id="rId48"/><Relationship Type="http://schemas.openxmlformats.org/officeDocument/2006/relationships/hyperlink" Target="https://www.eia.gov/analysis/studies/buildings/equipcosts/pdf/full.pdf" TargetMode="External" Id="rId49"/><Relationship Type="http://schemas.openxmlformats.org/officeDocument/2006/relationships/hyperlink" Target="https://www.eia.gov/analysis/studies/buildings/equipcosts/pdf/full.pdf" TargetMode="External" Id="rId50"/><Relationship Type="http://schemas.openxmlformats.org/officeDocument/2006/relationships/hyperlink" Target="https://www.eia.gov/analysis/studies/buildings/equipcosts/pdf/full.pdf" TargetMode="External" Id="rId51"/><Relationship Type="http://schemas.openxmlformats.org/officeDocument/2006/relationships/hyperlink" Target="https://www.eia.gov/analysis/studies/buildings/equipcosts/pdf/full.pdf" TargetMode="External" Id="rId52"/><Relationship Type="http://schemas.openxmlformats.org/officeDocument/2006/relationships/hyperlink" Target="https://www.eia.gov/analysis/studies/buildings/equipcosts/pdf/full.pdf" TargetMode="External" Id="rId53"/><Relationship Type="http://schemas.openxmlformats.org/officeDocument/2006/relationships/hyperlink" Target="https://www.eia.gov/analysis/studies/buildings/equipcosts/pdf/full.pdf" TargetMode="External" Id="rId54"/><Relationship Type="http://schemas.openxmlformats.org/officeDocument/2006/relationships/hyperlink" Target="https://www.eia.gov/analysis/studies/buildings/equipcosts/pdf/full.pdf" TargetMode="External" Id="rId55"/><Relationship Type="http://schemas.openxmlformats.org/officeDocument/2006/relationships/hyperlink" Target="https://www.eia.gov/analysis/studies/buildings/equipcosts/pdf/full.pdf" TargetMode="External" Id="rId56"/><Relationship Type="http://schemas.openxmlformats.org/officeDocument/2006/relationships/hyperlink" Target="https://www.eia.gov/analysis/studies/buildings/equipcosts/pdf/full.pdf" TargetMode="External" Id="rId57"/><Relationship Type="http://schemas.openxmlformats.org/officeDocument/2006/relationships/hyperlink" Target="https://www.eia.gov/analysis/studies/buildings/equipcosts/pdf/full.pdf" TargetMode="External" Id="rId58"/><Relationship Type="http://schemas.openxmlformats.org/officeDocument/2006/relationships/hyperlink" Target="https://www.eia.gov/analysis/studies/buildings/equipcosts/pdf/full.pdf" TargetMode="External" Id="rId59"/><Relationship Type="http://schemas.openxmlformats.org/officeDocument/2006/relationships/hyperlink" Target="https://www.eia.gov/analysis/studies/buildings/equipcosts/pdf/full.pdf" TargetMode="External" Id="rId60"/><Relationship Type="http://schemas.openxmlformats.org/officeDocument/2006/relationships/hyperlink" Target="https://www.eia.gov/analysis/studies/buildings/equipcosts/pdf/full.pdf" TargetMode="External" Id="rId61"/><Relationship Type="http://schemas.openxmlformats.org/officeDocument/2006/relationships/hyperlink" Target="https://www.eia.gov/analysis/studies/buildings/equipcosts/pdf/full.pdf" TargetMode="External" Id="rId62"/><Relationship Type="http://schemas.openxmlformats.org/officeDocument/2006/relationships/hyperlink" Target="https://www.eia.gov/analysis/studies/buildings/equipcosts/pdf/full.pdf" TargetMode="External" Id="rId63"/><Relationship Type="http://schemas.openxmlformats.org/officeDocument/2006/relationships/hyperlink" Target="https://www.eia.gov/analysis/studies/buildings/equipcosts/pdf/full.pdf" TargetMode="External" Id="rId64"/><Relationship Type="http://schemas.openxmlformats.org/officeDocument/2006/relationships/hyperlink" Target="https://www.eia.gov/analysis/studies/buildings/equipcosts/pdf/full.pdf" TargetMode="External" Id="rId65"/><Relationship Type="http://schemas.openxmlformats.org/officeDocument/2006/relationships/hyperlink" Target="https://www.eia.gov/analysis/studies/buildings/equipcosts/pdf/full.pdf" TargetMode="External" Id="rId66"/><Relationship Type="http://schemas.openxmlformats.org/officeDocument/2006/relationships/hyperlink" Target="https://www.eia.gov/analysis/studies/buildings/equipcosts/pdf/full.pdf" TargetMode="External" Id="rId67"/><Relationship Type="http://schemas.openxmlformats.org/officeDocument/2006/relationships/hyperlink" Target="https://www.eia.gov/analysis/studies/buildings/equipcosts/pdf/full.pdf" TargetMode="External" Id="rId68"/><Relationship Type="http://schemas.openxmlformats.org/officeDocument/2006/relationships/hyperlink" Target="https://www.eia.gov/analysis/studies/buildings/equipcosts/pdf/full.pdf" TargetMode="External" Id="rId69"/><Relationship Type="http://schemas.openxmlformats.org/officeDocument/2006/relationships/hyperlink" Target="https://www.eia.gov/analysis/studies/buildings/equipcosts/pdf/full.pdf" TargetMode="External" Id="rId70"/><Relationship Type="http://schemas.openxmlformats.org/officeDocument/2006/relationships/hyperlink" Target="https://www.eia.gov/analysis/studies/buildings/equipcosts/pdf/full.pdf" TargetMode="External" Id="rId71"/><Relationship Type="http://schemas.openxmlformats.org/officeDocument/2006/relationships/hyperlink" Target="https://www.eia.gov/analysis/studies/buildings/equipcosts/pdf/full.pdf" TargetMode="External" Id="rId72"/><Relationship Type="http://schemas.openxmlformats.org/officeDocument/2006/relationships/hyperlink" Target="https://www.eia.gov/analysis/studies/buildings/equipcosts/pdf/full.pdf" TargetMode="External" Id="rId73"/><Relationship Type="http://schemas.openxmlformats.org/officeDocument/2006/relationships/hyperlink" Target="https://www.eia.gov/analysis/studies/buildings/equipcosts/pdf/full.pdf" TargetMode="External" Id="rId74"/><Relationship Type="http://schemas.openxmlformats.org/officeDocument/2006/relationships/hyperlink" Target="https://www.eia.gov/analysis/studies/buildings/equipcosts/pdf/full.pdf" TargetMode="External" Id="rId75"/><Relationship Type="http://schemas.openxmlformats.org/officeDocument/2006/relationships/hyperlink" Target="https://www.eia.gov/analysis/studies/buildings/equipcosts/pdf/full.pdf" TargetMode="External" Id="rId76"/><Relationship Type="http://schemas.openxmlformats.org/officeDocument/2006/relationships/hyperlink" Target="https://www.eia.gov/analysis/studies/buildings/equipcosts/pdf/full.pdf" TargetMode="External" Id="rId77"/><Relationship Type="http://schemas.openxmlformats.org/officeDocument/2006/relationships/hyperlink" Target="https://www.eia.gov/analysis/studies/buildings/equipcosts/pdf/full.pdf" TargetMode="External" Id="rId78"/><Relationship Type="http://schemas.openxmlformats.org/officeDocument/2006/relationships/hyperlink" Target="https://www.eia.gov/analysis/studies/buildings/equipcosts/pdf/full.pdf" TargetMode="External" Id="rId79"/><Relationship Type="http://schemas.openxmlformats.org/officeDocument/2006/relationships/hyperlink" Target="https://www.eia.gov/analysis/studies/buildings/equipcosts/pdf/full.pdf" TargetMode="External" Id="rId80"/><Relationship Type="http://schemas.openxmlformats.org/officeDocument/2006/relationships/hyperlink" Target="https://www.eia.gov/analysis/studies/buildings/equipcosts/pdf/full.pdf" TargetMode="External" Id="rId81"/><Relationship Type="http://schemas.openxmlformats.org/officeDocument/2006/relationships/hyperlink" Target="https://www.eia.gov/analysis/studies/buildings/equipcosts/pdf/full.pdf" TargetMode="External" Id="rId82"/><Relationship Type="http://schemas.openxmlformats.org/officeDocument/2006/relationships/hyperlink" Target="https://www.eia.gov/analysis/studies/buildings/equipcosts/pdf/full.pdf" TargetMode="External" Id="rId83"/><Relationship Type="http://schemas.openxmlformats.org/officeDocument/2006/relationships/hyperlink" Target="https://www.eia.gov/analysis/studies/buildings/equipcosts/pdf/full.pdf" TargetMode="External" Id="rId84"/><Relationship Type="http://schemas.openxmlformats.org/officeDocument/2006/relationships/hyperlink" Target="https://www.eia.gov/analysis/studies/buildings/equipcosts/pdf/full.pdf" TargetMode="External" Id="rId85"/><Relationship Type="http://schemas.openxmlformats.org/officeDocument/2006/relationships/hyperlink" Target="https://www.eia.gov/analysis/studies/buildings/equipcosts/pdf/full.pdf" TargetMode="External" Id="rId86"/><Relationship Type="http://schemas.openxmlformats.org/officeDocument/2006/relationships/hyperlink" Target="https://www.eia.gov/analysis/studies/buildings/equipcosts/pdf/full.pdf" TargetMode="External" Id="rId87"/><Relationship Type="http://schemas.openxmlformats.org/officeDocument/2006/relationships/hyperlink" Target="https://www.eia.gov/analysis/studies/buildings/equipcosts/pdf/full.pdf" TargetMode="External" Id="rId88"/><Relationship Type="http://schemas.openxmlformats.org/officeDocument/2006/relationships/hyperlink" Target="https://www.eia.gov/analysis/studies/buildings/equipcosts/pdf/full.pdf" TargetMode="External" Id="rId89"/><Relationship Type="http://schemas.openxmlformats.org/officeDocument/2006/relationships/hyperlink" Target="https://www.eia.gov/analysis/studies/buildings/equipcosts/pdf/full.pdf" TargetMode="External" Id="rId90"/><Relationship Type="http://schemas.openxmlformats.org/officeDocument/2006/relationships/hyperlink" Target="https://www.eia.gov/analysis/studies/buildings/equipcosts/pdf/full.pdf" TargetMode="External" Id="rId91"/><Relationship Type="http://schemas.openxmlformats.org/officeDocument/2006/relationships/hyperlink" Target="https://www.eia.gov/analysis/studies/buildings/equipcosts/pdf/full.pdf" TargetMode="External" Id="rId92"/><Relationship Type="http://schemas.openxmlformats.org/officeDocument/2006/relationships/hyperlink" Target="https://www.eia.gov/analysis/studies/buildings/equipcosts/pdf/full.pdf" TargetMode="External" Id="rId93"/><Relationship Type="http://schemas.openxmlformats.org/officeDocument/2006/relationships/hyperlink" Target="https://www.eia.gov/analysis/studies/buildings/equipcosts/pdf/full.pdf" TargetMode="External" Id="rId94"/><Relationship Type="http://schemas.openxmlformats.org/officeDocument/2006/relationships/hyperlink" Target="https://www.eia.gov/analysis/studies/buildings/equipcosts/pdf/full.pdf" TargetMode="External" Id="rId95"/></Relationships>
</file>

<file path=xl/worksheets/sheet1.xml><?xml version="1.0" encoding="utf-8"?>
<worksheet xmlns="http://schemas.openxmlformats.org/spreadsheetml/2006/main">
  <sheetPr>
    <outlinePr summaryBelow="1" summaryRight="1"/>
    <pageSetUpPr/>
  </sheetPr>
  <dimension ref="A1:C50"/>
  <sheetViews>
    <sheetView tabSelected="1" topLeftCell="A1" workbookViewId="0">
      <selection activeCell="A1" sqref="A1"/>
    </sheetView>
  </sheetViews>
  <sheetFormatPr baseColWidth="8" defaultRowHeight="14.25"/>
  <cols>
    <col width="76.86328125" customWidth="1" style="100" min="2" max="2"/>
    <col width="43.1328125" customWidth="1" style="100" min="3" max="3"/>
    <col width="65.73046875" customWidth="1" style="100" min="4" max="4"/>
    <col width="5.73046875" customWidth="1" style="100" min="5" max="5"/>
    <col width="63.3984375" customWidth="1" style="100" min="6" max="6"/>
  </cols>
  <sheetData>
    <row r="1">
      <c r="A1" s="2" t="inlineStr">
        <is>
          <t>SoBCaICbIC Share of Buildings Capital and Installation Costs by ISIC Code</t>
        </is>
      </c>
    </row>
    <row r="2"/>
    <row r="3">
      <c r="A3" s="2" t="inlineStr">
        <is>
          <t>Sources:</t>
        </is>
      </c>
      <c r="B3" s="3" t="inlineStr">
        <is>
          <t>Building Sector Appliance and Equipment Costs and Efficiencies</t>
        </is>
      </c>
    </row>
    <row r="4">
      <c r="B4" t="inlineStr">
        <is>
          <t>EIA</t>
        </is>
      </c>
    </row>
    <row r="5">
      <c r="B5" s="4" t="n">
        <v>2018</v>
      </c>
    </row>
    <row r="6">
      <c r="B6" t="inlineStr">
        <is>
          <t>"Updated Buildings Sector Appliance and Equipment Costs and Efficiencies"</t>
        </is>
      </c>
    </row>
    <row r="7">
      <c r="B7" s="1" t="inlineStr">
        <is>
          <t>https://www.eia.gov/analysis/studies/buildings/equipcosts/pdf/full.pdf</t>
        </is>
      </c>
    </row>
    <row r="8"/>
    <row r="9"/>
    <row r="10">
      <c r="B10" s="3" t="inlineStr">
        <is>
          <t>Commercial Equipment Prevalence</t>
        </is>
      </c>
    </row>
    <row r="11">
      <c r="B11" t="inlineStr">
        <is>
          <t>EIA</t>
        </is>
      </c>
    </row>
    <row r="12">
      <c r="B12" s="4" t="n">
        <v>2016</v>
      </c>
    </row>
    <row r="13">
      <c r="B13" t="inlineStr">
        <is>
          <t>Table B39. Heating equipment, floorspace &amp; Table42. Water-heating equipment, number of buildings and floorspace</t>
        </is>
      </c>
    </row>
    <row r="14">
      <c r="B14" s="1" t="inlineStr">
        <is>
          <t>https://www.eia.gov/consumption/commercial/data/2012/#b38-b46</t>
        </is>
      </c>
    </row>
    <row r="15"/>
    <row r="16"/>
    <row r="17">
      <c r="B17" s="3" t="inlineStr">
        <is>
          <t>Residential Equipment Prevelance</t>
        </is>
      </c>
    </row>
    <row r="18">
      <c r="B18" t="inlineStr">
        <is>
          <t>U.S. Energy Information Administration</t>
        </is>
      </c>
    </row>
    <row r="19">
      <c r="B19" s="4" t="n">
        <v>2026</v>
      </c>
    </row>
    <row r="20">
      <c r="B20" t="inlineStr">
        <is>
          <t>Annual Energy Outlook 2026</t>
        </is>
      </c>
      <c r="C20" s="5" t="n"/>
    </row>
    <row r="21">
      <c r="B21" t="inlineStr">
        <is>
          <t>Alternative electricity and transportation: Table 21</t>
        </is>
      </c>
      <c r="C21" s="5" t="n"/>
    </row>
    <row r="22">
      <c r="B22" t="inlineStr">
        <is>
          <t>https://www.eia.gov/outlooks/aeo/tables_side_xls.php</t>
        </is>
      </c>
      <c r="C22" s="5" t="n"/>
    </row>
    <row r="23"/>
    <row r="24"/>
    <row r="25">
      <c r="B25" s="3" t="inlineStr">
        <is>
          <t>ISIC Code Mapping</t>
        </is>
      </c>
    </row>
    <row r="26">
      <c r="B26" t="inlineStr">
        <is>
          <t>United Nations</t>
        </is>
      </c>
    </row>
    <row r="27">
      <c r="B27" s="4" t="n">
        <v>2008</v>
      </c>
    </row>
    <row r="28">
      <c r="B28" t="inlineStr">
        <is>
          <t>International Standard Industrial Classification of All Economic Activities Revision 4</t>
        </is>
      </c>
    </row>
    <row r="29">
      <c r="B29" s="1" t="inlineStr">
        <is>
          <t>https://unstats.un.org/unsd/publication/seriesM/seriesm_4rev4e.pdf</t>
        </is>
      </c>
    </row>
    <row r="30"/>
    <row r="31"/>
    <row r="32">
      <c r="A32" s="85" t="inlineStr">
        <is>
          <t>Notes:</t>
        </is>
      </c>
    </row>
    <row r="33">
      <c r="A33" s="87" t="inlineStr">
        <is>
          <t>Note from "Updated Building Sector Appliance and Equipment Costs and Efficiencies."</t>
        </is>
      </c>
    </row>
    <row r="34">
      <c r="A34" s="86" t="inlineStr">
        <is>
          <t>The Energy Independence and Security Act of 2007 prescribes standards for current 100 watt incandescent lamps</t>
        </is>
      </c>
    </row>
    <row r="35">
      <c r="A35" s="86" t="inlineStr">
        <is>
          <t>as of January 1, 2012. Starting in 2012, 100-watt incandescent lamps will be replaced by halogen lamps.</t>
        </is>
      </c>
    </row>
    <row r="36"/>
    <row r="37">
      <c r="A37" t="inlineStr">
        <is>
          <t>For commercial lighting - estimated cost averages based on selected commercial light fixtures assumed to be most common</t>
        </is>
      </c>
    </row>
    <row r="38"/>
    <row r="39">
      <c r="A39" t="inlineStr">
        <is>
          <t>Cost averages from NEMS are across appliance type and years (2012-2050)</t>
        </is>
      </c>
    </row>
    <row r="40"/>
    <row r="41">
      <c r="A41" t="inlineStr">
        <is>
          <t>Water heating, refrigeration, clothes washing/drying, cooking, and diswashing equipment are all assigned to appliances</t>
        </is>
      </c>
    </row>
    <row r="42"/>
    <row r="43">
      <c r="A43" t="inlineStr">
        <is>
          <t>Other equipment includes primarily additional plug load equipment including computers and televisions</t>
        </is>
      </c>
    </row>
    <row r="45">
      <c r="A45" s="129" t="inlineStr">
        <is>
          <t>52-code expansion (2026-07-17):</t>
        </is>
      </c>
    </row>
    <row r="46">
      <c r="A46" t="inlineStr">
        <is>
          <t>The output tabs produce the 52-code ISIC list. The derivation above is unchanged and live; output-tab formulas reference the derivation tabs</t>
        </is>
      </c>
    </row>
    <row r="47">
      <c r="A47" t="inlineStr">
        <is>
          <t>directly, with the original header-label criteria written as literals (the derivation tabs still use the pre-split 42-code labels).</t>
        </is>
      </c>
    </row>
    <row r="49">
      <c r="A49" t="inlineStr">
        <is>
          <t>Children of split parents multiply the parent's allocation by the factors on the 'Factors applied' tab (editable; defaults = BEA 2024 gross-</t>
        </is>
      </c>
    </row>
    <row r="50">
      <c r="A50" t="inlineStr">
        <is>
          <t>output shares from io-model/BObIC; semantic overrides documented per row with rationale).</t>
        </is>
      </c>
    </row>
  </sheetData>
  <hyperlinks>
    <hyperlink xmlns:r="http://schemas.openxmlformats.org/officeDocument/2006/relationships" ref="B7" r:id="rId1"/>
    <hyperlink xmlns:r="http://schemas.openxmlformats.org/officeDocument/2006/relationships" ref="B14" location="b38-b46" display="https://www.eia.gov/consumption/commercial/data/2012/ - b38-b46" r:id="rId2"/>
    <hyperlink xmlns:r="http://schemas.openxmlformats.org/officeDocument/2006/relationships" ref="B29" r:id="rId3"/>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G290"/>
  <sheetViews>
    <sheetView workbookViewId="0">
      <selection activeCell="A1" sqref="A1"/>
    </sheetView>
  </sheetViews>
  <sheetFormatPr baseColWidth="8" defaultRowHeight="15"/>
  <cols>
    <col width="28" customWidth="1" style="100" min="1" max="1"/>
    <col width="30" customWidth="1" style="100" min="2" max="2"/>
    <col width="44" customWidth="1" style="100" min="6" max="6"/>
  </cols>
  <sheetData>
    <row r="1">
      <c r="A1" s="129" t="inlineStr">
        <is>
          <t>Child factors applied inline in the output-tab formulas (editable). Defaults = BEA 2024 output shares; semantic overrides and fuel reroutes noted per row.</t>
        </is>
      </c>
    </row>
    <row r="2">
      <c r="A2" s="129" t="inlineStr">
        <is>
          <t>File</t>
        </is>
      </c>
      <c r="B2" s="129" t="inlineStr">
        <is>
          <t>Row context</t>
        </is>
      </c>
      <c r="C2" s="129" t="inlineStr">
        <is>
          <t>Child</t>
        </is>
      </c>
      <c r="D2" s="129" t="inlineStr">
        <is>
          <t>Parent</t>
        </is>
      </c>
      <c r="E2" s="129" t="inlineStr">
        <is>
          <t>Factor</t>
        </is>
      </c>
      <c r="F2" s="129" t="inlineStr">
        <is>
          <t>Rationale</t>
        </is>
      </c>
      <c r="G2" s="129" t="inlineStr">
        <is>
          <t>BEA 2024 output share</t>
        </is>
      </c>
    </row>
    <row r="3">
      <c r="A3" t="inlineStr">
        <is>
          <t>SoBCaICbIC-commercial.csv</t>
        </is>
      </c>
      <c r="B3" t="inlineStr">
        <is>
          <t>Appliances</t>
        </is>
      </c>
      <c r="C3" t="inlineStr">
        <is>
          <t>ISIC 01</t>
        </is>
      </c>
      <c r="D3" t="inlineStr">
        <is>
          <t>ISIC 01T03</t>
        </is>
      </c>
      <c r="E3" t="n">
        <v>0.9429986826432329</v>
      </c>
      <c r="F3" t="inlineStr">
        <is>
          <t>BEA 2024 output share (default)</t>
        </is>
      </c>
      <c r="G3" t="n">
        <v>0.9429986826432329</v>
      </c>
    </row>
    <row r="4">
      <c r="A4" t="inlineStr">
        <is>
          <t>SoBCaICbIC-commercial.csv</t>
        </is>
      </c>
      <c r="B4" t="inlineStr">
        <is>
          <t>Appliances</t>
        </is>
      </c>
      <c r="C4" t="inlineStr">
        <is>
          <t>ISIC 02</t>
        </is>
      </c>
      <c r="D4" t="inlineStr">
        <is>
          <t>ISIC 01T03</t>
        </is>
      </c>
      <c r="E4" t="n">
        <v>0.04176573136965662</v>
      </c>
      <c r="F4" t="inlineStr">
        <is>
          <t>BEA 2024 output share (default)</t>
        </is>
      </c>
      <c r="G4" t="n">
        <v>0.04176573136965662</v>
      </c>
    </row>
    <row r="5">
      <c r="A5" t="inlineStr">
        <is>
          <t>SoBCaICbIC-commercial.csv</t>
        </is>
      </c>
      <c r="B5" t="inlineStr">
        <is>
          <t>Appliances</t>
        </is>
      </c>
      <c r="C5" t="inlineStr">
        <is>
          <t>ISIC 03</t>
        </is>
      </c>
      <c r="D5" t="inlineStr">
        <is>
          <t>ISIC 01T03</t>
        </is>
      </c>
      <c r="E5" t="n">
        <v>0.01523558598711041</v>
      </c>
      <c r="F5" t="inlineStr">
        <is>
          <t>BEA 2024 output share (default)</t>
        </is>
      </c>
      <c r="G5" t="n">
        <v>0.01523558598711041</v>
      </c>
    </row>
    <row r="6">
      <c r="A6" t="inlineStr">
        <is>
          <t>SoBCaICbIC-commercial.csv</t>
        </is>
      </c>
      <c r="B6" t="inlineStr">
        <is>
          <t>Appliances</t>
        </is>
      </c>
      <c r="C6" t="inlineStr">
        <is>
          <t>ISIC 07</t>
        </is>
      </c>
      <c r="D6" t="inlineStr">
        <is>
          <t>ISIC 07T08</t>
        </is>
      </c>
      <c r="E6" t="n">
        <v>0.4327368836123752</v>
      </c>
      <c r="F6" t="inlineStr">
        <is>
          <t>BEA 2024 output share (default)</t>
        </is>
      </c>
      <c r="G6" t="n">
        <v>0.4327368836123752</v>
      </c>
    </row>
    <row r="7">
      <c r="A7" t="inlineStr">
        <is>
          <t>SoBCaICbIC-commercial.csv</t>
        </is>
      </c>
      <c r="B7" t="inlineStr">
        <is>
          <t>Appliances</t>
        </is>
      </c>
      <c r="C7" t="inlineStr">
        <is>
          <t>ISIC 08</t>
        </is>
      </c>
      <c r="D7" t="inlineStr">
        <is>
          <t>ISIC 07T08</t>
        </is>
      </c>
      <c r="E7" t="n">
        <v>0.5672631163876248</v>
      </c>
      <c r="F7" t="inlineStr">
        <is>
          <t>BEA 2024 output share (default)</t>
        </is>
      </c>
      <c r="G7" t="n">
        <v>0.5672631163876248</v>
      </c>
    </row>
    <row r="8">
      <c r="A8" t="inlineStr">
        <is>
          <t>SoBCaICbIC-commercial.csv</t>
        </is>
      </c>
      <c r="B8" t="inlineStr">
        <is>
          <t>Appliances</t>
        </is>
      </c>
      <c r="C8" t="inlineStr">
        <is>
          <t>ISIC 301</t>
        </is>
      </c>
      <c r="D8" t="inlineStr">
        <is>
          <t>ISIC 30</t>
        </is>
      </c>
      <c r="E8" t="n">
        <v>0.1171368722490322</v>
      </c>
      <c r="F8" t="inlineStr">
        <is>
          <t>BEA 2024 output share (default)</t>
        </is>
      </c>
      <c r="G8" t="n">
        <v>0.1171368722490322</v>
      </c>
    </row>
    <row r="9">
      <c r="A9" t="inlineStr">
        <is>
          <t>SoBCaICbIC-commercial.csv</t>
        </is>
      </c>
      <c r="B9" t="inlineStr">
        <is>
          <t>Appliances</t>
        </is>
      </c>
      <c r="C9" t="inlineStr">
        <is>
          <t>ISIC 302T309</t>
        </is>
      </c>
      <c r="D9" t="inlineStr">
        <is>
          <t>ISIC 30</t>
        </is>
      </c>
      <c r="E9" t="n">
        <v>0.8828631277509678</v>
      </c>
      <c r="F9" t="inlineStr">
        <is>
          <t>BEA 2024 output share (default)</t>
        </is>
      </c>
      <c r="G9" t="n">
        <v>0.8828631277509678</v>
      </c>
    </row>
    <row r="10">
      <c r="A10" t="inlineStr">
        <is>
          <t>SoBCaICbIC-commercial.csv</t>
        </is>
      </c>
      <c r="B10" t="inlineStr">
        <is>
          <t>Appliances</t>
        </is>
      </c>
      <c r="C10" t="inlineStr">
        <is>
          <t>ISIC 49</t>
        </is>
      </c>
      <c r="D10" t="inlineStr">
        <is>
          <t>ISIC 49T53</t>
        </is>
      </c>
      <c r="E10" t="n">
        <v>0.45630816353267</v>
      </c>
      <c r="F10" t="inlineStr">
        <is>
          <t>BEA 2024 output share (default)</t>
        </is>
      </c>
      <c r="G10" t="n">
        <v>0.45630816353267</v>
      </c>
    </row>
    <row r="11">
      <c r="A11" t="inlineStr">
        <is>
          <t>SoBCaICbIC-commercial.csv</t>
        </is>
      </c>
      <c r="B11" t="inlineStr">
        <is>
          <t>Appliances</t>
        </is>
      </c>
      <c r="C11" t="inlineStr">
        <is>
          <t>ISIC 50</t>
        </is>
      </c>
      <c r="D11" t="inlineStr">
        <is>
          <t>ISIC 49T53</t>
        </is>
      </c>
      <c r="E11" t="n">
        <v>0.04437004750051631</v>
      </c>
      <c r="F11" t="inlineStr">
        <is>
          <t>BEA 2024 output share (default)</t>
        </is>
      </c>
      <c r="G11" t="n">
        <v>0.04437004750051631</v>
      </c>
    </row>
    <row r="12">
      <c r="A12" t="inlineStr">
        <is>
          <t>SoBCaICbIC-commercial.csv</t>
        </is>
      </c>
      <c r="B12" t="inlineStr">
        <is>
          <t>Appliances</t>
        </is>
      </c>
      <c r="C12" t="inlineStr">
        <is>
          <t>ISIC 51</t>
        </is>
      </c>
      <c r="D12" t="inlineStr">
        <is>
          <t>ISIC 49T53</t>
        </is>
      </c>
      <c r="E12" t="n">
        <v>0.1883750452665103</v>
      </c>
      <c r="F12" t="inlineStr">
        <is>
          <t>BEA 2024 output share (default)</t>
        </is>
      </c>
      <c r="G12" t="n">
        <v>0.1883750452665103</v>
      </c>
    </row>
    <row r="13">
      <c r="A13" t="inlineStr">
        <is>
          <t>SoBCaICbIC-commercial.csv</t>
        </is>
      </c>
      <c r="B13" t="inlineStr">
        <is>
          <t>Appliances</t>
        </is>
      </c>
      <c r="C13" t="inlineStr">
        <is>
          <t>ISIC 52</t>
        </is>
      </c>
      <c r="D13" t="inlineStr">
        <is>
          <t>ISIC 49T53</t>
        </is>
      </c>
      <c r="E13" t="n">
        <v>0.2228651226758185</v>
      </c>
      <c r="F13" t="inlineStr">
        <is>
          <t>BEA 2024 output share (default)</t>
        </is>
      </c>
      <c r="G13" t="n">
        <v>0.2228651226758185</v>
      </c>
    </row>
    <row r="14">
      <c r="A14" t="inlineStr">
        <is>
          <t>SoBCaICbIC-commercial.csv</t>
        </is>
      </c>
      <c r="B14" t="inlineStr">
        <is>
          <t>Appliances</t>
        </is>
      </c>
      <c r="C14" t="inlineStr">
        <is>
          <t>ISIC 53</t>
        </is>
      </c>
      <c r="D14" t="inlineStr">
        <is>
          <t>ISIC 49T53</t>
        </is>
      </c>
      <c r="E14" t="n">
        <v>0.08808162102448482</v>
      </c>
      <c r="F14" t="inlineStr">
        <is>
          <t>BEA 2024 output share (default)</t>
        </is>
      </c>
      <c r="G14" t="n">
        <v>0.08808162102448482</v>
      </c>
    </row>
    <row r="15">
      <c r="A15" t="inlineStr">
        <is>
          <t>SoBCaICbIC-commercial.csv</t>
        </is>
      </c>
      <c r="B15" t="inlineStr">
        <is>
          <t>Appliances</t>
        </is>
      </c>
      <c r="C15" t="inlineStr">
        <is>
          <t>ISIC 69T75</t>
        </is>
      </c>
      <c r="D15" t="inlineStr">
        <is>
          <t>ISIC 69T82</t>
        </is>
      </c>
      <c r="E15" t="n">
        <v>1</v>
      </c>
      <c r="F15" t="inlineStr">
        <is>
          <t>semantic override</t>
        </is>
      </c>
      <c r="G15" t="n">
        <v>0.7298219447914125</v>
      </c>
    </row>
    <row r="16">
      <c r="A16" t="inlineStr">
        <is>
          <t>SoBCaICbIC-commercial.csv</t>
        </is>
      </c>
      <c r="B16" t="inlineStr">
        <is>
          <t>Appliances</t>
        </is>
      </c>
      <c r="C16" t="inlineStr">
        <is>
          <t>ISIC 77T82</t>
        </is>
      </c>
      <c r="D16" t="inlineStr">
        <is>
          <t>ISIC 69T82</t>
        </is>
      </c>
      <c r="E16" t="n">
        <v>0</v>
      </c>
      <c r="F16" t="inlineStr">
        <is>
          <t>semantic override</t>
        </is>
      </c>
      <c r="G16" t="n">
        <v>0.2701780552085875</v>
      </c>
    </row>
    <row r="17">
      <c r="A17" t="inlineStr">
        <is>
          <t>SoBCaICbIC-commercial.csv</t>
        </is>
      </c>
      <c r="B17" t="inlineStr">
        <is>
          <t>Appliances</t>
        </is>
      </c>
      <c r="C17" t="inlineStr">
        <is>
          <t>ISIC 90T93</t>
        </is>
      </c>
      <c r="D17" t="inlineStr">
        <is>
          <t>ISIC 90T96</t>
        </is>
      </c>
      <c r="E17" t="n">
        <v>0.4216249514352275</v>
      </c>
      <c r="F17" t="inlineStr">
        <is>
          <t>BEA 2024 output share (default)</t>
        </is>
      </c>
      <c r="G17" t="n">
        <v>0.4216249514352275</v>
      </c>
    </row>
    <row r="18">
      <c r="A18" t="inlineStr">
        <is>
          <t>SoBCaICbIC-commercial.csv</t>
        </is>
      </c>
      <c r="B18" t="inlineStr">
        <is>
          <t>Appliances</t>
        </is>
      </c>
      <c r="C18" t="inlineStr">
        <is>
          <t>ISIC 94T96</t>
        </is>
      </c>
      <c r="D18" t="inlineStr">
        <is>
          <t>ISIC 90T96</t>
        </is>
      </c>
      <c r="E18" t="n">
        <v>0.5783750485647725</v>
      </c>
      <c r="F18" t="inlineStr">
        <is>
          <t>BEA 2024 output share (default)</t>
        </is>
      </c>
      <c r="G18" t="n">
        <v>0.5783750485647725</v>
      </c>
    </row>
    <row r="19">
      <c r="A19" t="inlineStr">
        <is>
          <t>SoBCaICbIC-commercial.csv</t>
        </is>
      </c>
      <c r="B19" t="inlineStr">
        <is>
          <t>Cooling</t>
        </is>
      </c>
      <c r="C19" t="inlineStr">
        <is>
          <t>ISIC 01</t>
        </is>
      </c>
      <c r="D19" t="inlineStr">
        <is>
          <t>ISIC 01T03</t>
        </is>
      </c>
      <c r="E19" t="n">
        <v>0.9429986826432329</v>
      </c>
      <c r="F19" t="inlineStr">
        <is>
          <t>BEA 2024 output share (default)</t>
        </is>
      </c>
      <c r="G19" t="n">
        <v>0.9429986826432329</v>
      </c>
    </row>
    <row r="20">
      <c r="A20" t="inlineStr">
        <is>
          <t>SoBCaICbIC-commercial.csv</t>
        </is>
      </c>
      <c r="B20" t="inlineStr">
        <is>
          <t>Cooling</t>
        </is>
      </c>
      <c r="C20" t="inlineStr">
        <is>
          <t>ISIC 02</t>
        </is>
      </c>
      <c r="D20" t="inlineStr">
        <is>
          <t>ISIC 01T03</t>
        </is>
      </c>
      <c r="E20" t="n">
        <v>0.04176573136965662</v>
      </c>
      <c r="F20" t="inlineStr">
        <is>
          <t>BEA 2024 output share (default)</t>
        </is>
      </c>
      <c r="G20" t="n">
        <v>0.04176573136965662</v>
      </c>
    </row>
    <row r="21">
      <c r="A21" t="inlineStr">
        <is>
          <t>SoBCaICbIC-commercial.csv</t>
        </is>
      </c>
      <c r="B21" t="inlineStr">
        <is>
          <t>Cooling</t>
        </is>
      </c>
      <c r="C21" t="inlineStr">
        <is>
          <t>ISIC 03</t>
        </is>
      </c>
      <c r="D21" t="inlineStr">
        <is>
          <t>ISIC 01T03</t>
        </is>
      </c>
      <c r="E21" t="n">
        <v>0.01523558598711041</v>
      </c>
      <c r="F21" t="inlineStr">
        <is>
          <t>BEA 2024 output share (default)</t>
        </is>
      </c>
      <c r="G21" t="n">
        <v>0.01523558598711041</v>
      </c>
    </row>
    <row r="22">
      <c r="A22" t="inlineStr">
        <is>
          <t>SoBCaICbIC-commercial.csv</t>
        </is>
      </c>
      <c r="B22" t="inlineStr">
        <is>
          <t>Cooling</t>
        </is>
      </c>
      <c r="C22" t="inlineStr">
        <is>
          <t>ISIC 07</t>
        </is>
      </c>
      <c r="D22" t="inlineStr">
        <is>
          <t>ISIC 07T08</t>
        </is>
      </c>
      <c r="E22" t="n">
        <v>0.4327368836123752</v>
      </c>
      <c r="F22" t="inlineStr">
        <is>
          <t>BEA 2024 output share (default)</t>
        </is>
      </c>
      <c r="G22" t="n">
        <v>0.4327368836123752</v>
      </c>
    </row>
    <row r="23">
      <c r="A23" t="inlineStr">
        <is>
          <t>SoBCaICbIC-commercial.csv</t>
        </is>
      </c>
      <c r="B23" t="inlineStr">
        <is>
          <t>Cooling</t>
        </is>
      </c>
      <c r="C23" t="inlineStr">
        <is>
          <t>ISIC 08</t>
        </is>
      </c>
      <c r="D23" t="inlineStr">
        <is>
          <t>ISIC 07T08</t>
        </is>
      </c>
      <c r="E23" t="n">
        <v>0.5672631163876248</v>
      </c>
      <c r="F23" t="inlineStr">
        <is>
          <t>BEA 2024 output share (default)</t>
        </is>
      </c>
      <c r="G23" t="n">
        <v>0.5672631163876248</v>
      </c>
    </row>
    <row r="24">
      <c r="A24" t="inlineStr">
        <is>
          <t>SoBCaICbIC-commercial.csv</t>
        </is>
      </c>
      <c r="B24" t="inlineStr">
        <is>
          <t>Cooling</t>
        </is>
      </c>
      <c r="C24" t="inlineStr">
        <is>
          <t>ISIC 301</t>
        </is>
      </c>
      <c r="D24" t="inlineStr">
        <is>
          <t>ISIC 30</t>
        </is>
      </c>
      <c r="E24" t="n">
        <v>0.1171368722490322</v>
      </c>
      <c r="F24" t="inlineStr">
        <is>
          <t>BEA 2024 output share (default)</t>
        </is>
      </c>
      <c r="G24" t="n">
        <v>0.1171368722490322</v>
      </c>
    </row>
    <row r="25">
      <c r="A25" t="inlineStr">
        <is>
          <t>SoBCaICbIC-commercial.csv</t>
        </is>
      </c>
      <c r="B25" t="inlineStr">
        <is>
          <t>Cooling</t>
        </is>
      </c>
      <c r="C25" t="inlineStr">
        <is>
          <t>ISIC 302T309</t>
        </is>
      </c>
      <c r="D25" t="inlineStr">
        <is>
          <t>ISIC 30</t>
        </is>
      </c>
      <c r="E25" t="n">
        <v>0.8828631277509678</v>
      </c>
      <c r="F25" t="inlineStr">
        <is>
          <t>BEA 2024 output share (default)</t>
        </is>
      </c>
      <c r="G25" t="n">
        <v>0.8828631277509678</v>
      </c>
    </row>
    <row r="26">
      <c r="A26" t="inlineStr">
        <is>
          <t>SoBCaICbIC-commercial.csv</t>
        </is>
      </c>
      <c r="B26" t="inlineStr">
        <is>
          <t>Cooling</t>
        </is>
      </c>
      <c r="C26" t="inlineStr">
        <is>
          <t>ISIC 49</t>
        </is>
      </c>
      <c r="D26" t="inlineStr">
        <is>
          <t>ISIC 49T53</t>
        </is>
      </c>
      <c r="E26" t="n">
        <v>0.45630816353267</v>
      </c>
      <c r="F26" t="inlineStr">
        <is>
          <t>BEA 2024 output share (default)</t>
        </is>
      </c>
      <c r="G26" t="n">
        <v>0.45630816353267</v>
      </c>
    </row>
    <row r="27">
      <c r="A27" t="inlineStr">
        <is>
          <t>SoBCaICbIC-commercial.csv</t>
        </is>
      </c>
      <c r="B27" t="inlineStr">
        <is>
          <t>Cooling</t>
        </is>
      </c>
      <c r="C27" t="inlineStr">
        <is>
          <t>ISIC 50</t>
        </is>
      </c>
      <c r="D27" t="inlineStr">
        <is>
          <t>ISIC 49T53</t>
        </is>
      </c>
      <c r="E27" t="n">
        <v>0.04437004750051631</v>
      </c>
      <c r="F27" t="inlineStr">
        <is>
          <t>BEA 2024 output share (default)</t>
        </is>
      </c>
      <c r="G27" t="n">
        <v>0.04437004750051631</v>
      </c>
    </row>
    <row r="28">
      <c r="A28" t="inlineStr">
        <is>
          <t>SoBCaICbIC-commercial.csv</t>
        </is>
      </c>
      <c r="B28" t="inlineStr">
        <is>
          <t>Cooling</t>
        </is>
      </c>
      <c r="C28" t="inlineStr">
        <is>
          <t>ISIC 51</t>
        </is>
      </c>
      <c r="D28" t="inlineStr">
        <is>
          <t>ISIC 49T53</t>
        </is>
      </c>
      <c r="E28" t="n">
        <v>0.1883750452665103</v>
      </c>
      <c r="F28" t="inlineStr">
        <is>
          <t>BEA 2024 output share (default)</t>
        </is>
      </c>
      <c r="G28" t="n">
        <v>0.1883750452665103</v>
      </c>
    </row>
    <row r="29">
      <c r="A29" t="inlineStr">
        <is>
          <t>SoBCaICbIC-commercial.csv</t>
        </is>
      </c>
      <c r="B29" t="inlineStr">
        <is>
          <t>Cooling</t>
        </is>
      </c>
      <c r="C29" t="inlineStr">
        <is>
          <t>ISIC 52</t>
        </is>
      </c>
      <c r="D29" t="inlineStr">
        <is>
          <t>ISIC 49T53</t>
        </is>
      </c>
      <c r="E29" t="n">
        <v>0.2228651226758185</v>
      </c>
      <c r="F29" t="inlineStr">
        <is>
          <t>BEA 2024 output share (default)</t>
        </is>
      </c>
      <c r="G29" t="n">
        <v>0.2228651226758185</v>
      </c>
    </row>
    <row r="30">
      <c r="A30" t="inlineStr">
        <is>
          <t>SoBCaICbIC-commercial.csv</t>
        </is>
      </c>
      <c r="B30" t="inlineStr">
        <is>
          <t>Cooling</t>
        </is>
      </c>
      <c r="C30" t="inlineStr">
        <is>
          <t>ISIC 53</t>
        </is>
      </c>
      <c r="D30" t="inlineStr">
        <is>
          <t>ISIC 49T53</t>
        </is>
      </c>
      <c r="E30" t="n">
        <v>0.08808162102448482</v>
      </c>
      <c r="F30" t="inlineStr">
        <is>
          <t>BEA 2024 output share (default)</t>
        </is>
      </c>
      <c r="G30" t="n">
        <v>0.08808162102448482</v>
      </c>
    </row>
    <row r="31">
      <c r="A31" t="inlineStr">
        <is>
          <t>SoBCaICbIC-commercial.csv</t>
        </is>
      </c>
      <c r="B31" t="inlineStr">
        <is>
          <t>Cooling</t>
        </is>
      </c>
      <c r="C31" t="inlineStr">
        <is>
          <t>ISIC 69T75</t>
        </is>
      </c>
      <c r="D31" t="inlineStr">
        <is>
          <t>ISIC 69T82</t>
        </is>
      </c>
      <c r="E31" t="n">
        <v>1</v>
      </c>
      <c r="F31" t="inlineStr">
        <is>
          <t>semantic override</t>
        </is>
      </c>
      <c r="G31" t="n">
        <v>0.7298219447914125</v>
      </c>
    </row>
    <row r="32">
      <c r="A32" t="inlineStr">
        <is>
          <t>SoBCaICbIC-commercial.csv</t>
        </is>
      </c>
      <c r="B32" t="inlineStr">
        <is>
          <t>Cooling</t>
        </is>
      </c>
      <c r="C32" t="inlineStr">
        <is>
          <t>ISIC 77T82</t>
        </is>
      </c>
      <c r="D32" t="inlineStr">
        <is>
          <t>ISIC 69T82</t>
        </is>
      </c>
      <c r="E32" t="n">
        <v>0</v>
      </c>
      <c r="F32" t="inlineStr">
        <is>
          <t>semantic override</t>
        </is>
      </c>
      <c r="G32" t="n">
        <v>0.2701780552085875</v>
      </c>
    </row>
    <row r="33">
      <c r="A33" t="inlineStr">
        <is>
          <t>SoBCaICbIC-commercial.csv</t>
        </is>
      </c>
      <c r="B33" t="inlineStr">
        <is>
          <t>Cooling</t>
        </is>
      </c>
      <c r="C33" t="inlineStr">
        <is>
          <t>ISIC 90T93</t>
        </is>
      </c>
      <c r="D33" t="inlineStr">
        <is>
          <t>ISIC 90T96</t>
        </is>
      </c>
      <c r="E33" t="n">
        <v>0.4216249514352275</v>
      </c>
      <c r="F33" t="inlineStr">
        <is>
          <t>BEA 2024 output share (default)</t>
        </is>
      </c>
      <c r="G33" t="n">
        <v>0.4216249514352275</v>
      </c>
    </row>
    <row r="34">
      <c r="A34" t="inlineStr">
        <is>
          <t>SoBCaICbIC-commercial.csv</t>
        </is>
      </c>
      <c r="B34" t="inlineStr">
        <is>
          <t>Cooling</t>
        </is>
      </c>
      <c r="C34" t="inlineStr">
        <is>
          <t>ISIC 94T96</t>
        </is>
      </c>
      <c r="D34" t="inlineStr">
        <is>
          <t>ISIC 90T96</t>
        </is>
      </c>
      <c r="E34" t="n">
        <v>0.5783750485647725</v>
      </c>
      <c r="F34" t="inlineStr">
        <is>
          <t>BEA 2024 output share (default)</t>
        </is>
      </c>
      <c r="G34" t="n">
        <v>0.5783750485647725</v>
      </c>
    </row>
    <row r="35">
      <c r="A35" t="inlineStr">
        <is>
          <t>SoBCaICbIC-commercial.csv</t>
        </is>
      </c>
      <c r="B35" t="inlineStr">
        <is>
          <t>Envelope</t>
        </is>
      </c>
      <c r="C35" t="inlineStr">
        <is>
          <t>ISIC 01</t>
        </is>
      </c>
      <c r="D35" t="inlineStr">
        <is>
          <t>ISIC 01T03</t>
        </is>
      </c>
      <c r="E35" t="n">
        <v>0.9429986826432329</v>
      </c>
      <c r="F35" t="inlineStr">
        <is>
          <t>BEA 2024 output share (default)</t>
        </is>
      </c>
      <c r="G35" t="n">
        <v>0.9429986826432329</v>
      </c>
    </row>
    <row r="36">
      <c r="A36" t="inlineStr">
        <is>
          <t>SoBCaICbIC-commercial.csv</t>
        </is>
      </c>
      <c r="B36" t="inlineStr">
        <is>
          <t>Envelope</t>
        </is>
      </c>
      <c r="C36" t="inlineStr">
        <is>
          <t>ISIC 02</t>
        </is>
      </c>
      <c r="D36" t="inlineStr">
        <is>
          <t>ISIC 01T03</t>
        </is>
      </c>
      <c r="E36" t="n">
        <v>0.04176573136965662</v>
      </c>
      <c r="F36" t="inlineStr">
        <is>
          <t>BEA 2024 output share (default)</t>
        </is>
      </c>
      <c r="G36" t="n">
        <v>0.04176573136965662</v>
      </c>
    </row>
    <row r="37">
      <c r="A37" t="inlineStr">
        <is>
          <t>SoBCaICbIC-commercial.csv</t>
        </is>
      </c>
      <c r="B37" t="inlineStr">
        <is>
          <t>Envelope</t>
        </is>
      </c>
      <c r="C37" t="inlineStr">
        <is>
          <t>ISIC 03</t>
        </is>
      </c>
      <c r="D37" t="inlineStr">
        <is>
          <t>ISIC 01T03</t>
        </is>
      </c>
      <c r="E37" t="n">
        <v>0.01523558598711041</v>
      </c>
      <c r="F37" t="inlineStr">
        <is>
          <t>BEA 2024 output share (default)</t>
        </is>
      </c>
      <c r="G37" t="n">
        <v>0.01523558598711041</v>
      </c>
    </row>
    <row r="38">
      <c r="A38" t="inlineStr">
        <is>
          <t>SoBCaICbIC-commercial.csv</t>
        </is>
      </c>
      <c r="B38" t="inlineStr">
        <is>
          <t>Envelope</t>
        </is>
      </c>
      <c r="C38" t="inlineStr">
        <is>
          <t>ISIC 07</t>
        </is>
      </c>
      <c r="D38" t="inlineStr">
        <is>
          <t>ISIC 07T08</t>
        </is>
      </c>
      <c r="E38" t="n">
        <v>0.4327368836123752</v>
      </c>
      <c r="F38" t="inlineStr">
        <is>
          <t>BEA 2024 output share (default)</t>
        </is>
      </c>
      <c r="G38" t="n">
        <v>0.4327368836123752</v>
      </c>
    </row>
    <row r="39">
      <c r="A39" t="inlineStr">
        <is>
          <t>SoBCaICbIC-commercial.csv</t>
        </is>
      </c>
      <c r="B39" t="inlineStr">
        <is>
          <t>Envelope</t>
        </is>
      </c>
      <c r="C39" t="inlineStr">
        <is>
          <t>ISIC 08</t>
        </is>
      </c>
      <c r="D39" t="inlineStr">
        <is>
          <t>ISIC 07T08</t>
        </is>
      </c>
      <c r="E39" t="n">
        <v>0.5672631163876248</v>
      </c>
      <c r="F39" t="inlineStr">
        <is>
          <t>BEA 2024 output share (default)</t>
        </is>
      </c>
      <c r="G39" t="n">
        <v>0.5672631163876248</v>
      </c>
    </row>
    <row r="40">
      <c r="A40" t="inlineStr">
        <is>
          <t>SoBCaICbIC-commercial.csv</t>
        </is>
      </c>
      <c r="B40" t="inlineStr">
        <is>
          <t>Envelope</t>
        </is>
      </c>
      <c r="C40" t="inlineStr">
        <is>
          <t>ISIC 301</t>
        </is>
      </c>
      <c r="D40" t="inlineStr">
        <is>
          <t>ISIC 30</t>
        </is>
      </c>
      <c r="E40" t="n">
        <v>0.1171368722490322</v>
      </c>
      <c r="F40" t="inlineStr">
        <is>
          <t>BEA 2024 output share (default)</t>
        </is>
      </c>
      <c r="G40" t="n">
        <v>0.1171368722490322</v>
      </c>
    </row>
    <row r="41">
      <c r="A41" t="inlineStr">
        <is>
          <t>SoBCaICbIC-commercial.csv</t>
        </is>
      </c>
      <c r="B41" t="inlineStr">
        <is>
          <t>Envelope</t>
        </is>
      </c>
      <c r="C41" t="inlineStr">
        <is>
          <t>ISIC 302T309</t>
        </is>
      </c>
      <c r="D41" t="inlineStr">
        <is>
          <t>ISIC 30</t>
        </is>
      </c>
      <c r="E41" t="n">
        <v>0.8828631277509678</v>
      </c>
      <c r="F41" t="inlineStr">
        <is>
          <t>BEA 2024 output share (default)</t>
        </is>
      </c>
      <c r="G41" t="n">
        <v>0.8828631277509678</v>
      </c>
    </row>
    <row r="42">
      <c r="A42" t="inlineStr">
        <is>
          <t>SoBCaICbIC-commercial.csv</t>
        </is>
      </c>
      <c r="B42" t="inlineStr">
        <is>
          <t>Envelope</t>
        </is>
      </c>
      <c r="C42" t="inlineStr">
        <is>
          <t>ISIC 49</t>
        </is>
      </c>
      <c r="D42" t="inlineStr">
        <is>
          <t>ISIC 49T53</t>
        </is>
      </c>
      <c r="E42" t="n">
        <v>0.45630816353267</v>
      </c>
      <c r="F42" t="inlineStr">
        <is>
          <t>BEA 2024 output share (default)</t>
        </is>
      </c>
      <c r="G42" t="n">
        <v>0.45630816353267</v>
      </c>
    </row>
    <row r="43">
      <c r="A43" t="inlineStr">
        <is>
          <t>SoBCaICbIC-commercial.csv</t>
        </is>
      </c>
      <c r="B43" t="inlineStr">
        <is>
          <t>Envelope</t>
        </is>
      </c>
      <c r="C43" t="inlineStr">
        <is>
          <t>ISIC 50</t>
        </is>
      </c>
      <c r="D43" t="inlineStr">
        <is>
          <t>ISIC 49T53</t>
        </is>
      </c>
      <c r="E43" t="n">
        <v>0.04437004750051631</v>
      </c>
      <c r="F43" t="inlineStr">
        <is>
          <t>BEA 2024 output share (default)</t>
        </is>
      </c>
      <c r="G43" t="n">
        <v>0.04437004750051631</v>
      </c>
    </row>
    <row r="44">
      <c r="A44" t="inlineStr">
        <is>
          <t>SoBCaICbIC-commercial.csv</t>
        </is>
      </c>
      <c r="B44" t="inlineStr">
        <is>
          <t>Envelope</t>
        </is>
      </c>
      <c r="C44" t="inlineStr">
        <is>
          <t>ISIC 51</t>
        </is>
      </c>
      <c r="D44" t="inlineStr">
        <is>
          <t>ISIC 49T53</t>
        </is>
      </c>
      <c r="E44" t="n">
        <v>0.1883750452665103</v>
      </c>
      <c r="F44" t="inlineStr">
        <is>
          <t>BEA 2024 output share (default)</t>
        </is>
      </c>
      <c r="G44" t="n">
        <v>0.1883750452665103</v>
      </c>
    </row>
    <row r="45">
      <c r="A45" t="inlineStr">
        <is>
          <t>SoBCaICbIC-commercial.csv</t>
        </is>
      </c>
      <c r="B45" t="inlineStr">
        <is>
          <t>Envelope</t>
        </is>
      </c>
      <c r="C45" t="inlineStr">
        <is>
          <t>ISIC 52</t>
        </is>
      </c>
      <c r="D45" t="inlineStr">
        <is>
          <t>ISIC 49T53</t>
        </is>
      </c>
      <c r="E45" t="n">
        <v>0.2228651226758185</v>
      </c>
      <c r="F45" t="inlineStr">
        <is>
          <t>BEA 2024 output share (default)</t>
        </is>
      </c>
      <c r="G45" t="n">
        <v>0.2228651226758185</v>
      </c>
    </row>
    <row r="46">
      <c r="A46" t="inlineStr">
        <is>
          <t>SoBCaICbIC-commercial.csv</t>
        </is>
      </c>
      <c r="B46" t="inlineStr">
        <is>
          <t>Envelope</t>
        </is>
      </c>
      <c r="C46" t="inlineStr">
        <is>
          <t>ISIC 53</t>
        </is>
      </c>
      <c r="D46" t="inlineStr">
        <is>
          <t>ISIC 49T53</t>
        </is>
      </c>
      <c r="E46" t="n">
        <v>0.08808162102448482</v>
      </c>
      <c r="F46" t="inlineStr">
        <is>
          <t>BEA 2024 output share (default)</t>
        </is>
      </c>
      <c r="G46" t="n">
        <v>0.08808162102448482</v>
      </c>
    </row>
    <row r="47">
      <c r="A47" t="inlineStr">
        <is>
          <t>SoBCaICbIC-commercial.csv</t>
        </is>
      </c>
      <c r="B47" t="inlineStr">
        <is>
          <t>Envelope</t>
        </is>
      </c>
      <c r="C47" t="inlineStr">
        <is>
          <t>ISIC 69T75</t>
        </is>
      </c>
      <c r="D47" t="inlineStr">
        <is>
          <t>ISIC 69T82</t>
        </is>
      </c>
      <c r="E47" t="n">
        <v>1</v>
      </c>
      <c r="F47" t="inlineStr">
        <is>
          <t>semantic override</t>
        </is>
      </c>
      <c r="G47" t="n">
        <v>0.7298219447914125</v>
      </c>
    </row>
    <row r="48">
      <c r="A48" t="inlineStr">
        <is>
          <t>SoBCaICbIC-commercial.csv</t>
        </is>
      </c>
      <c r="B48" t="inlineStr">
        <is>
          <t>Envelope</t>
        </is>
      </c>
      <c r="C48" t="inlineStr">
        <is>
          <t>ISIC 77T82</t>
        </is>
      </c>
      <c r="D48" t="inlineStr">
        <is>
          <t>ISIC 69T82</t>
        </is>
      </c>
      <c r="E48" t="n">
        <v>0</v>
      </c>
      <c r="F48" t="inlineStr">
        <is>
          <t>semantic override</t>
        </is>
      </c>
      <c r="G48" t="n">
        <v>0.2701780552085875</v>
      </c>
    </row>
    <row r="49">
      <c r="A49" t="inlineStr">
        <is>
          <t>SoBCaICbIC-commercial.csv</t>
        </is>
      </c>
      <c r="B49" t="inlineStr">
        <is>
          <t>Envelope</t>
        </is>
      </c>
      <c r="C49" t="inlineStr">
        <is>
          <t>ISIC 90T93</t>
        </is>
      </c>
      <c r="D49" t="inlineStr">
        <is>
          <t>ISIC 90T96</t>
        </is>
      </c>
      <c r="E49" t="n">
        <v>0.4216249514352275</v>
      </c>
      <c r="F49" t="inlineStr">
        <is>
          <t>BEA 2024 output share (default)</t>
        </is>
      </c>
      <c r="G49" t="n">
        <v>0.4216249514352275</v>
      </c>
    </row>
    <row r="50">
      <c r="A50" t="inlineStr">
        <is>
          <t>SoBCaICbIC-commercial.csv</t>
        </is>
      </c>
      <c r="B50" t="inlineStr">
        <is>
          <t>Envelope</t>
        </is>
      </c>
      <c r="C50" t="inlineStr">
        <is>
          <t>ISIC 94T96</t>
        </is>
      </c>
      <c r="D50" t="inlineStr">
        <is>
          <t>ISIC 90T96</t>
        </is>
      </c>
      <c r="E50" t="n">
        <v>0.5783750485647725</v>
      </c>
      <c r="F50" t="inlineStr">
        <is>
          <t>BEA 2024 output share (default)</t>
        </is>
      </c>
      <c r="G50" t="n">
        <v>0.5783750485647725</v>
      </c>
    </row>
    <row r="51">
      <c r="A51" t="inlineStr">
        <is>
          <t>SoBCaICbIC-commercial.csv</t>
        </is>
      </c>
      <c r="B51" t="inlineStr">
        <is>
          <t>Heating</t>
        </is>
      </c>
      <c r="C51" t="inlineStr">
        <is>
          <t>ISIC 01</t>
        </is>
      </c>
      <c r="D51" t="inlineStr">
        <is>
          <t>ISIC 01T03</t>
        </is>
      </c>
      <c r="E51" t="n">
        <v>0.9429986826432329</v>
      </c>
      <c r="F51" t="inlineStr">
        <is>
          <t>BEA 2024 output share (default)</t>
        </is>
      </c>
      <c r="G51" t="n">
        <v>0.9429986826432329</v>
      </c>
    </row>
    <row r="52">
      <c r="A52" t="inlineStr">
        <is>
          <t>SoBCaICbIC-commercial.csv</t>
        </is>
      </c>
      <c r="B52" t="inlineStr">
        <is>
          <t>Heating</t>
        </is>
      </c>
      <c r="C52" t="inlineStr">
        <is>
          <t>ISIC 02</t>
        </is>
      </c>
      <c r="D52" t="inlineStr">
        <is>
          <t>ISIC 01T03</t>
        </is>
      </c>
      <c r="E52" t="n">
        <v>0.04176573136965662</v>
      </c>
      <c r="F52" t="inlineStr">
        <is>
          <t>BEA 2024 output share (default)</t>
        </is>
      </c>
      <c r="G52" t="n">
        <v>0.04176573136965662</v>
      </c>
    </row>
    <row r="53">
      <c r="A53" t="inlineStr">
        <is>
          <t>SoBCaICbIC-commercial.csv</t>
        </is>
      </c>
      <c r="B53" t="inlineStr">
        <is>
          <t>Heating</t>
        </is>
      </c>
      <c r="C53" t="inlineStr">
        <is>
          <t>ISIC 03</t>
        </is>
      </c>
      <c r="D53" t="inlineStr">
        <is>
          <t>ISIC 01T03</t>
        </is>
      </c>
      <c r="E53" t="n">
        <v>0.01523558598711041</v>
      </c>
      <c r="F53" t="inlineStr">
        <is>
          <t>BEA 2024 output share (default)</t>
        </is>
      </c>
      <c r="G53" t="n">
        <v>0.01523558598711041</v>
      </c>
    </row>
    <row r="54">
      <c r="A54" t="inlineStr">
        <is>
          <t>SoBCaICbIC-commercial.csv</t>
        </is>
      </c>
      <c r="B54" t="inlineStr">
        <is>
          <t>Heating</t>
        </is>
      </c>
      <c r="C54" t="inlineStr">
        <is>
          <t>ISIC 07</t>
        </is>
      </c>
      <c r="D54" t="inlineStr">
        <is>
          <t>ISIC 07T08</t>
        </is>
      </c>
      <c r="E54" t="n">
        <v>0.4327368836123752</v>
      </c>
      <c r="F54" t="inlineStr">
        <is>
          <t>BEA 2024 output share (default)</t>
        </is>
      </c>
      <c r="G54" t="n">
        <v>0.4327368836123752</v>
      </c>
    </row>
    <row r="55">
      <c r="A55" t="inlineStr">
        <is>
          <t>SoBCaICbIC-commercial.csv</t>
        </is>
      </c>
      <c r="B55" t="inlineStr">
        <is>
          <t>Heating</t>
        </is>
      </c>
      <c r="C55" t="inlineStr">
        <is>
          <t>ISIC 08</t>
        </is>
      </c>
      <c r="D55" t="inlineStr">
        <is>
          <t>ISIC 07T08</t>
        </is>
      </c>
      <c r="E55" t="n">
        <v>0.5672631163876248</v>
      </c>
      <c r="F55" t="inlineStr">
        <is>
          <t>BEA 2024 output share (default)</t>
        </is>
      </c>
      <c r="G55" t="n">
        <v>0.5672631163876248</v>
      </c>
    </row>
    <row r="56">
      <c r="A56" t="inlineStr">
        <is>
          <t>SoBCaICbIC-commercial.csv</t>
        </is>
      </c>
      <c r="B56" t="inlineStr">
        <is>
          <t>Heating</t>
        </is>
      </c>
      <c r="C56" t="inlineStr">
        <is>
          <t>ISIC 301</t>
        </is>
      </c>
      <c r="D56" t="inlineStr">
        <is>
          <t>ISIC 30</t>
        </is>
      </c>
      <c r="E56" t="n">
        <v>0.1171368722490322</v>
      </c>
      <c r="F56" t="inlineStr">
        <is>
          <t>BEA 2024 output share (default)</t>
        </is>
      </c>
      <c r="G56" t="n">
        <v>0.1171368722490322</v>
      </c>
    </row>
    <row r="57">
      <c r="A57" t="inlineStr">
        <is>
          <t>SoBCaICbIC-commercial.csv</t>
        </is>
      </c>
      <c r="B57" t="inlineStr">
        <is>
          <t>Heating</t>
        </is>
      </c>
      <c r="C57" t="inlineStr">
        <is>
          <t>ISIC 302T309</t>
        </is>
      </c>
      <c r="D57" t="inlineStr">
        <is>
          <t>ISIC 30</t>
        </is>
      </c>
      <c r="E57" t="n">
        <v>0.8828631277509678</v>
      </c>
      <c r="F57" t="inlineStr">
        <is>
          <t>BEA 2024 output share (default)</t>
        </is>
      </c>
      <c r="G57" t="n">
        <v>0.8828631277509678</v>
      </c>
    </row>
    <row r="58">
      <c r="A58" t="inlineStr">
        <is>
          <t>SoBCaICbIC-commercial.csv</t>
        </is>
      </c>
      <c r="B58" t="inlineStr">
        <is>
          <t>Heating</t>
        </is>
      </c>
      <c r="C58" t="inlineStr">
        <is>
          <t>ISIC 49</t>
        </is>
      </c>
      <c r="D58" t="inlineStr">
        <is>
          <t>ISIC 49T53</t>
        </is>
      </c>
      <c r="E58" t="n">
        <v>0.45630816353267</v>
      </c>
      <c r="F58" t="inlineStr">
        <is>
          <t>BEA 2024 output share (default)</t>
        </is>
      </c>
      <c r="G58" t="n">
        <v>0.45630816353267</v>
      </c>
    </row>
    <row r="59">
      <c r="A59" t="inlineStr">
        <is>
          <t>SoBCaICbIC-commercial.csv</t>
        </is>
      </c>
      <c r="B59" t="inlineStr">
        <is>
          <t>Heating</t>
        </is>
      </c>
      <c r="C59" t="inlineStr">
        <is>
          <t>ISIC 50</t>
        </is>
      </c>
      <c r="D59" t="inlineStr">
        <is>
          <t>ISIC 49T53</t>
        </is>
      </c>
      <c r="E59" t="n">
        <v>0.04437004750051631</v>
      </c>
      <c r="F59" t="inlineStr">
        <is>
          <t>BEA 2024 output share (default)</t>
        </is>
      </c>
      <c r="G59" t="n">
        <v>0.04437004750051631</v>
      </c>
    </row>
    <row r="60">
      <c r="A60" t="inlineStr">
        <is>
          <t>SoBCaICbIC-commercial.csv</t>
        </is>
      </c>
      <c r="B60" t="inlineStr">
        <is>
          <t>Heating</t>
        </is>
      </c>
      <c r="C60" t="inlineStr">
        <is>
          <t>ISIC 51</t>
        </is>
      </c>
      <c r="D60" t="inlineStr">
        <is>
          <t>ISIC 49T53</t>
        </is>
      </c>
      <c r="E60" t="n">
        <v>0.1883750452665103</v>
      </c>
      <c r="F60" t="inlineStr">
        <is>
          <t>BEA 2024 output share (default)</t>
        </is>
      </c>
      <c r="G60" t="n">
        <v>0.1883750452665103</v>
      </c>
    </row>
    <row r="61">
      <c r="A61" t="inlineStr">
        <is>
          <t>SoBCaICbIC-commercial.csv</t>
        </is>
      </c>
      <c r="B61" t="inlineStr">
        <is>
          <t>Heating</t>
        </is>
      </c>
      <c r="C61" t="inlineStr">
        <is>
          <t>ISIC 52</t>
        </is>
      </c>
      <c r="D61" t="inlineStr">
        <is>
          <t>ISIC 49T53</t>
        </is>
      </c>
      <c r="E61" t="n">
        <v>0.2228651226758185</v>
      </c>
      <c r="F61" t="inlineStr">
        <is>
          <t>BEA 2024 output share (default)</t>
        </is>
      </c>
      <c r="G61" t="n">
        <v>0.2228651226758185</v>
      </c>
    </row>
    <row r="62">
      <c r="A62" t="inlineStr">
        <is>
          <t>SoBCaICbIC-commercial.csv</t>
        </is>
      </c>
      <c r="B62" t="inlineStr">
        <is>
          <t>Heating</t>
        </is>
      </c>
      <c r="C62" t="inlineStr">
        <is>
          <t>ISIC 53</t>
        </is>
      </c>
      <c r="D62" t="inlineStr">
        <is>
          <t>ISIC 49T53</t>
        </is>
      </c>
      <c r="E62" t="n">
        <v>0.08808162102448482</v>
      </c>
      <c r="F62" t="inlineStr">
        <is>
          <t>BEA 2024 output share (default)</t>
        </is>
      </c>
      <c r="G62" t="n">
        <v>0.08808162102448482</v>
      </c>
    </row>
    <row r="63">
      <c r="A63" t="inlineStr">
        <is>
          <t>SoBCaICbIC-commercial.csv</t>
        </is>
      </c>
      <c r="B63" t="inlineStr">
        <is>
          <t>Heating</t>
        </is>
      </c>
      <c r="C63" t="inlineStr">
        <is>
          <t>ISIC 69T75</t>
        </is>
      </c>
      <c r="D63" t="inlineStr">
        <is>
          <t>ISIC 69T82</t>
        </is>
      </c>
      <c r="E63" t="n">
        <v>1</v>
      </c>
      <c r="F63" t="inlineStr">
        <is>
          <t>semantic override</t>
        </is>
      </c>
      <c r="G63" t="n">
        <v>0.7298219447914125</v>
      </c>
    </row>
    <row r="64">
      <c r="A64" t="inlineStr">
        <is>
          <t>SoBCaICbIC-commercial.csv</t>
        </is>
      </c>
      <c r="B64" t="inlineStr">
        <is>
          <t>Heating</t>
        </is>
      </c>
      <c r="C64" t="inlineStr">
        <is>
          <t>ISIC 77T82</t>
        </is>
      </c>
      <c r="D64" t="inlineStr">
        <is>
          <t>ISIC 69T82</t>
        </is>
      </c>
      <c r="E64" t="n">
        <v>0</v>
      </c>
      <c r="F64" t="inlineStr">
        <is>
          <t>semantic override</t>
        </is>
      </c>
      <c r="G64" t="n">
        <v>0.2701780552085875</v>
      </c>
    </row>
    <row r="65">
      <c r="A65" t="inlineStr">
        <is>
          <t>SoBCaICbIC-commercial.csv</t>
        </is>
      </c>
      <c r="B65" t="inlineStr">
        <is>
          <t>Heating</t>
        </is>
      </c>
      <c r="C65" t="inlineStr">
        <is>
          <t>ISIC 90T93</t>
        </is>
      </c>
      <c r="D65" t="inlineStr">
        <is>
          <t>ISIC 90T96</t>
        </is>
      </c>
      <c r="E65" t="n">
        <v>0.4216249514352275</v>
      </c>
      <c r="F65" t="inlineStr">
        <is>
          <t>BEA 2024 output share (default)</t>
        </is>
      </c>
      <c r="G65" t="n">
        <v>0.4216249514352275</v>
      </c>
    </row>
    <row r="66">
      <c r="A66" t="inlineStr">
        <is>
          <t>SoBCaICbIC-commercial.csv</t>
        </is>
      </c>
      <c r="B66" t="inlineStr">
        <is>
          <t>Heating</t>
        </is>
      </c>
      <c r="C66" t="inlineStr">
        <is>
          <t>ISIC 94T96</t>
        </is>
      </c>
      <c r="D66" t="inlineStr">
        <is>
          <t>ISIC 90T96</t>
        </is>
      </c>
      <c r="E66" t="n">
        <v>0.5783750485647725</v>
      </c>
      <c r="F66" t="inlineStr">
        <is>
          <t>BEA 2024 output share (default)</t>
        </is>
      </c>
      <c r="G66" t="n">
        <v>0.5783750485647725</v>
      </c>
    </row>
    <row r="67">
      <c r="A67" t="inlineStr">
        <is>
          <t>SoBCaICbIC-commercial.csv</t>
        </is>
      </c>
      <c r="B67" t="inlineStr">
        <is>
          <t>Lighting</t>
        </is>
      </c>
      <c r="C67" t="inlineStr">
        <is>
          <t>ISIC 01</t>
        </is>
      </c>
      <c r="D67" t="inlineStr">
        <is>
          <t>ISIC 01T03</t>
        </is>
      </c>
      <c r="E67" t="n">
        <v>0.9429986826432329</v>
      </c>
      <c r="F67" t="inlineStr">
        <is>
          <t>BEA 2024 output share (default)</t>
        </is>
      </c>
      <c r="G67" t="n">
        <v>0.9429986826432329</v>
      </c>
    </row>
    <row r="68">
      <c r="A68" t="inlineStr">
        <is>
          <t>SoBCaICbIC-commercial.csv</t>
        </is>
      </c>
      <c r="B68" t="inlineStr">
        <is>
          <t>Lighting</t>
        </is>
      </c>
      <c r="C68" t="inlineStr">
        <is>
          <t>ISIC 02</t>
        </is>
      </c>
      <c r="D68" t="inlineStr">
        <is>
          <t>ISIC 01T03</t>
        </is>
      </c>
      <c r="E68" t="n">
        <v>0.04176573136965662</v>
      </c>
      <c r="F68" t="inlineStr">
        <is>
          <t>BEA 2024 output share (default)</t>
        </is>
      </c>
      <c r="G68" t="n">
        <v>0.04176573136965662</v>
      </c>
    </row>
    <row r="69">
      <c r="A69" t="inlineStr">
        <is>
          <t>SoBCaICbIC-commercial.csv</t>
        </is>
      </c>
      <c r="B69" t="inlineStr">
        <is>
          <t>Lighting</t>
        </is>
      </c>
      <c r="C69" t="inlineStr">
        <is>
          <t>ISIC 03</t>
        </is>
      </c>
      <c r="D69" t="inlineStr">
        <is>
          <t>ISIC 01T03</t>
        </is>
      </c>
      <c r="E69" t="n">
        <v>0.01523558598711041</v>
      </c>
      <c r="F69" t="inlineStr">
        <is>
          <t>BEA 2024 output share (default)</t>
        </is>
      </c>
      <c r="G69" t="n">
        <v>0.01523558598711041</v>
      </c>
    </row>
    <row r="70">
      <c r="A70" t="inlineStr">
        <is>
          <t>SoBCaICbIC-commercial.csv</t>
        </is>
      </c>
      <c r="B70" t="inlineStr">
        <is>
          <t>Lighting</t>
        </is>
      </c>
      <c r="C70" t="inlineStr">
        <is>
          <t>ISIC 07</t>
        </is>
      </c>
      <c r="D70" t="inlineStr">
        <is>
          <t>ISIC 07T08</t>
        </is>
      </c>
      <c r="E70" t="n">
        <v>0.4327368836123752</v>
      </c>
      <c r="F70" t="inlineStr">
        <is>
          <t>BEA 2024 output share (default)</t>
        </is>
      </c>
      <c r="G70" t="n">
        <v>0.4327368836123752</v>
      </c>
    </row>
    <row r="71">
      <c r="A71" t="inlineStr">
        <is>
          <t>SoBCaICbIC-commercial.csv</t>
        </is>
      </c>
      <c r="B71" t="inlineStr">
        <is>
          <t>Lighting</t>
        </is>
      </c>
      <c r="C71" t="inlineStr">
        <is>
          <t>ISIC 08</t>
        </is>
      </c>
      <c r="D71" t="inlineStr">
        <is>
          <t>ISIC 07T08</t>
        </is>
      </c>
      <c r="E71" t="n">
        <v>0.5672631163876248</v>
      </c>
      <c r="F71" t="inlineStr">
        <is>
          <t>BEA 2024 output share (default)</t>
        </is>
      </c>
      <c r="G71" t="n">
        <v>0.5672631163876248</v>
      </c>
    </row>
    <row r="72">
      <c r="A72" t="inlineStr">
        <is>
          <t>SoBCaICbIC-commercial.csv</t>
        </is>
      </c>
      <c r="B72" t="inlineStr">
        <is>
          <t>Lighting</t>
        </is>
      </c>
      <c r="C72" t="inlineStr">
        <is>
          <t>ISIC 301</t>
        </is>
      </c>
      <c r="D72" t="inlineStr">
        <is>
          <t>ISIC 30</t>
        </is>
      </c>
      <c r="E72" t="n">
        <v>0.1171368722490322</v>
      </c>
      <c r="F72" t="inlineStr">
        <is>
          <t>BEA 2024 output share (default)</t>
        </is>
      </c>
      <c r="G72" t="n">
        <v>0.1171368722490322</v>
      </c>
    </row>
    <row r="73">
      <c r="A73" t="inlineStr">
        <is>
          <t>SoBCaICbIC-commercial.csv</t>
        </is>
      </c>
      <c r="B73" t="inlineStr">
        <is>
          <t>Lighting</t>
        </is>
      </c>
      <c r="C73" t="inlineStr">
        <is>
          <t>ISIC 302T309</t>
        </is>
      </c>
      <c r="D73" t="inlineStr">
        <is>
          <t>ISIC 30</t>
        </is>
      </c>
      <c r="E73" t="n">
        <v>0.8828631277509678</v>
      </c>
      <c r="F73" t="inlineStr">
        <is>
          <t>BEA 2024 output share (default)</t>
        </is>
      </c>
      <c r="G73" t="n">
        <v>0.8828631277509678</v>
      </c>
    </row>
    <row r="74">
      <c r="A74" t="inlineStr">
        <is>
          <t>SoBCaICbIC-commercial.csv</t>
        </is>
      </c>
      <c r="B74" t="inlineStr">
        <is>
          <t>Lighting</t>
        </is>
      </c>
      <c r="C74" t="inlineStr">
        <is>
          <t>ISIC 49</t>
        </is>
      </c>
      <c r="D74" t="inlineStr">
        <is>
          <t>ISIC 49T53</t>
        </is>
      </c>
      <c r="E74" t="n">
        <v>0.45630816353267</v>
      </c>
      <c r="F74" t="inlineStr">
        <is>
          <t>BEA 2024 output share (default)</t>
        </is>
      </c>
      <c r="G74" t="n">
        <v>0.45630816353267</v>
      </c>
    </row>
    <row r="75">
      <c r="A75" t="inlineStr">
        <is>
          <t>SoBCaICbIC-commercial.csv</t>
        </is>
      </c>
      <c r="B75" t="inlineStr">
        <is>
          <t>Lighting</t>
        </is>
      </c>
      <c r="C75" t="inlineStr">
        <is>
          <t>ISIC 50</t>
        </is>
      </c>
      <c r="D75" t="inlineStr">
        <is>
          <t>ISIC 49T53</t>
        </is>
      </c>
      <c r="E75" t="n">
        <v>0.04437004750051631</v>
      </c>
      <c r="F75" t="inlineStr">
        <is>
          <t>BEA 2024 output share (default)</t>
        </is>
      </c>
      <c r="G75" t="n">
        <v>0.04437004750051631</v>
      </c>
    </row>
    <row r="76">
      <c r="A76" t="inlineStr">
        <is>
          <t>SoBCaICbIC-commercial.csv</t>
        </is>
      </c>
      <c r="B76" t="inlineStr">
        <is>
          <t>Lighting</t>
        </is>
      </c>
      <c r="C76" t="inlineStr">
        <is>
          <t>ISIC 51</t>
        </is>
      </c>
      <c r="D76" t="inlineStr">
        <is>
          <t>ISIC 49T53</t>
        </is>
      </c>
      <c r="E76" t="n">
        <v>0.1883750452665103</v>
      </c>
      <c r="F76" t="inlineStr">
        <is>
          <t>BEA 2024 output share (default)</t>
        </is>
      </c>
      <c r="G76" t="n">
        <v>0.1883750452665103</v>
      </c>
    </row>
    <row r="77">
      <c r="A77" t="inlineStr">
        <is>
          <t>SoBCaICbIC-commercial.csv</t>
        </is>
      </c>
      <c r="B77" t="inlineStr">
        <is>
          <t>Lighting</t>
        </is>
      </c>
      <c r="C77" t="inlineStr">
        <is>
          <t>ISIC 52</t>
        </is>
      </c>
      <c r="D77" t="inlineStr">
        <is>
          <t>ISIC 49T53</t>
        </is>
      </c>
      <c r="E77" t="n">
        <v>0.2228651226758185</v>
      </c>
      <c r="F77" t="inlineStr">
        <is>
          <t>BEA 2024 output share (default)</t>
        </is>
      </c>
      <c r="G77" t="n">
        <v>0.2228651226758185</v>
      </c>
    </row>
    <row r="78">
      <c r="A78" t="inlineStr">
        <is>
          <t>SoBCaICbIC-commercial.csv</t>
        </is>
      </c>
      <c r="B78" t="inlineStr">
        <is>
          <t>Lighting</t>
        </is>
      </c>
      <c r="C78" t="inlineStr">
        <is>
          <t>ISIC 53</t>
        </is>
      </c>
      <c r="D78" t="inlineStr">
        <is>
          <t>ISIC 49T53</t>
        </is>
      </c>
      <c r="E78" t="n">
        <v>0.08808162102448482</v>
      </c>
      <c r="F78" t="inlineStr">
        <is>
          <t>BEA 2024 output share (default)</t>
        </is>
      </c>
      <c r="G78" t="n">
        <v>0.08808162102448482</v>
      </c>
    </row>
    <row r="79">
      <c r="A79" t="inlineStr">
        <is>
          <t>SoBCaICbIC-commercial.csv</t>
        </is>
      </c>
      <c r="B79" t="inlineStr">
        <is>
          <t>Lighting</t>
        </is>
      </c>
      <c r="C79" t="inlineStr">
        <is>
          <t>ISIC 69T75</t>
        </is>
      </c>
      <c r="D79" t="inlineStr">
        <is>
          <t>ISIC 69T82</t>
        </is>
      </c>
      <c r="E79" t="n">
        <v>1</v>
      </c>
      <c r="F79" t="inlineStr">
        <is>
          <t>semantic override</t>
        </is>
      </c>
      <c r="G79" t="n">
        <v>0.7298219447914125</v>
      </c>
    </row>
    <row r="80">
      <c r="A80" t="inlineStr">
        <is>
          <t>SoBCaICbIC-commercial.csv</t>
        </is>
      </c>
      <c r="B80" t="inlineStr">
        <is>
          <t>Lighting</t>
        </is>
      </c>
      <c r="C80" t="inlineStr">
        <is>
          <t>ISIC 77T82</t>
        </is>
      </c>
      <c r="D80" t="inlineStr">
        <is>
          <t>ISIC 69T82</t>
        </is>
      </c>
      <c r="E80" t="n">
        <v>0</v>
      </c>
      <c r="F80" t="inlineStr">
        <is>
          <t>semantic override</t>
        </is>
      </c>
      <c r="G80" t="n">
        <v>0.2701780552085875</v>
      </c>
    </row>
    <row r="81">
      <c r="A81" t="inlineStr">
        <is>
          <t>SoBCaICbIC-commercial.csv</t>
        </is>
      </c>
      <c r="B81" t="inlineStr">
        <is>
          <t>Lighting</t>
        </is>
      </c>
      <c r="C81" t="inlineStr">
        <is>
          <t>ISIC 90T93</t>
        </is>
      </c>
      <c r="D81" t="inlineStr">
        <is>
          <t>ISIC 90T96</t>
        </is>
      </c>
      <c r="E81" t="n">
        <v>0.4216249514352275</v>
      </c>
      <c r="F81" t="inlineStr">
        <is>
          <t>BEA 2024 output share (default)</t>
        </is>
      </c>
      <c r="G81" t="n">
        <v>0.4216249514352275</v>
      </c>
    </row>
    <row r="82">
      <c r="A82" t="inlineStr">
        <is>
          <t>SoBCaICbIC-commercial.csv</t>
        </is>
      </c>
      <c r="B82" t="inlineStr">
        <is>
          <t>Lighting</t>
        </is>
      </c>
      <c r="C82" t="inlineStr">
        <is>
          <t>ISIC 94T96</t>
        </is>
      </c>
      <c r="D82" t="inlineStr">
        <is>
          <t>ISIC 90T96</t>
        </is>
      </c>
      <c r="E82" t="n">
        <v>0.5783750485647725</v>
      </c>
      <c r="F82" t="inlineStr">
        <is>
          <t>BEA 2024 output share (default)</t>
        </is>
      </c>
      <c r="G82" t="n">
        <v>0.5783750485647725</v>
      </c>
    </row>
    <row r="83">
      <c r="A83" t="inlineStr">
        <is>
          <t>SoBCaICbIC-commercial.csv</t>
        </is>
      </c>
      <c r="B83" t="inlineStr">
        <is>
          <t>Other</t>
        </is>
      </c>
      <c r="C83" t="inlineStr">
        <is>
          <t>ISIC 01</t>
        </is>
      </c>
      <c r="D83" t="inlineStr">
        <is>
          <t>ISIC 01T03</t>
        </is>
      </c>
      <c r="E83" t="n">
        <v>0.9429986826432329</v>
      </c>
      <c r="F83" t="inlineStr">
        <is>
          <t>BEA 2024 output share (default)</t>
        </is>
      </c>
      <c r="G83" t="n">
        <v>0.9429986826432329</v>
      </c>
    </row>
    <row r="84">
      <c r="A84" t="inlineStr">
        <is>
          <t>SoBCaICbIC-commercial.csv</t>
        </is>
      </c>
      <c r="B84" t="inlineStr">
        <is>
          <t>Other</t>
        </is>
      </c>
      <c r="C84" t="inlineStr">
        <is>
          <t>ISIC 02</t>
        </is>
      </c>
      <c r="D84" t="inlineStr">
        <is>
          <t>ISIC 01T03</t>
        </is>
      </c>
      <c r="E84" t="n">
        <v>0.04176573136965662</v>
      </c>
      <c r="F84" t="inlineStr">
        <is>
          <t>BEA 2024 output share (default)</t>
        </is>
      </c>
      <c r="G84" t="n">
        <v>0.04176573136965662</v>
      </c>
    </row>
    <row r="85">
      <c r="A85" t="inlineStr">
        <is>
          <t>SoBCaICbIC-commercial.csv</t>
        </is>
      </c>
      <c r="B85" t="inlineStr">
        <is>
          <t>Other</t>
        </is>
      </c>
      <c r="C85" t="inlineStr">
        <is>
          <t>ISIC 03</t>
        </is>
      </c>
      <c r="D85" t="inlineStr">
        <is>
          <t>ISIC 01T03</t>
        </is>
      </c>
      <c r="E85" t="n">
        <v>0.01523558598711041</v>
      </c>
      <c r="F85" t="inlineStr">
        <is>
          <t>BEA 2024 output share (default)</t>
        </is>
      </c>
      <c r="G85" t="n">
        <v>0.01523558598711041</v>
      </c>
    </row>
    <row r="86">
      <c r="A86" t="inlineStr">
        <is>
          <t>SoBCaICbIC-commercial.csv</t>
        </is>
      </c>
      <c r="B86" t="inlineStr">
        <is>
          <t>Other</t>
        </is>
      </c>
      <c r="C86" t="inlineStr">
        <is>
          <t>ISIC 07</t>
        </is>
      </c>
      <c r="D86" t="inlineStr">
        <is>
          <t>ISIC 07T08</t>
        </is>
      </c>
      <c r="E86" t="n">
        <v>0.4327368836123752</v>
      </c>
      <c r="F86" t="inlineStr">
        <is>
          <t>BEA 2024 output share (default)</t>
        </is>
      </c>
      <c r="G86" t="n">
        <v>0.4327368836123752</v>
      </c>
    </row>
    <row r="87">
      <c r="A87" t="inlineStr">
        <is>
          <t>SoBCaICbIC-commercial.csv</t>
        </is>
      </c>
      <c r="B87" t="inlineStr">
        <is>
          <t>Other</t>
        </is>
      </c>
      <c r="C87" t="inlineStr">
        <is>
          <t>ISIC 08</t>
        </is>
      </c>
      <c r="D87" t="inlineStr">
        <is>
          <t>ISIC 07T08</t>
        </is>
      </c>
      <c r="E87" t="n">
        <v>0.5672631163876248</v>
      </c>
      <c r="F87" t="inlineStr">
        <is>
          <t>BEA 2024 output share (default)</t>
        </is>
      </c>
      <c r="G87" t="n">
        <v>0.5672631163876248</v>
      </c>
    </row>
    <row r="88">
      <c r="A88" t="inlineStr">
        <is>
          <t>SoBCaICbIC-commercial.csv</t>
        </is>
      </c>
      <c r="B88" t="inlineStr">
        <is>
          <t>Other</t>
        </is>
      </c>
      <c r="C88" t="inlineStr">
        <is>
          <t>ISIC 301</t>
        </is>
      </c>
      <c r="D88" t="inlineStr">
        <is>
          <t>ISIC 30</t>
        </is>
      </c>
      <c r="E88" t="n">
        <v>0.1171368722490322</v>
      </c>
      <c r="F88" t="inlineStr">
        <is>
          <t>BEA 2024 output share (default)</t>
        </is>
      </c>
      <c r="G88" t="n">
        <v>0.1171368722490322</v>
      </c>
    </row>
    <row r="89">
      <c r="A89" t="inlineStr">
        <is>
          <t>SoBCaICbIC-commercial.csv</t>
        </is>
      </c>
      <c r="B89" t="inlineStr">
        <is>
          <t>Other</t>
        </is>
      </c>
      <c r="C89" t="inlineStr">
        <is>
          <t>ISIC 302T309</t>
        </is>
      </c>
      <c r="D89" t="inlineStr">
        <is>
          <t>ISIC 30</t>
        </is>
      </c>
      <c r="E89" t="n">
        <v>0.8828631277509678</v>
      </c>
      <c r="F89" t="inlineStr">
        <is>
          <t>BEA 2024 output share (default)</t>
        </is>
      </c>
      <c r="G89" t="n">
        <v>0.8828631277509678</v>
      </c>
    </row>
    <row r="90">
      <c r="A90" t="inlineStr">
        <is>
          <t>SoBCaICbIC-commercial.csv</t>
        </is>
      </c>
      <c r="B90" t="inlineStr">
        <is>
          <t>Other</t>
        </is>
      </c>
      <c r="C90" t="inlineStr">
        <is>
          <t>ISIC 49</t>
        </is>
      </c>
      <c r="D90" t="inlineStr">
        <is>
          <t>ISIC 49T53</t>
        </is>
      </c>
      <c r="E90" t="n">
        <v>0.45630816353267</v>
      </c>
      <c r="F90" t="inlineStr">
        <is>
          <t>BEA 2024 output share (default)</t>
        </is>
      </c>
      <c r="G90" t="n">
        <v>0.45630816353267</v>
      </c>
    </row>
    <row r="91">
      <c r="A91" t="inlineStr">
        <is>
          <t>SoBCaICbIC-commercial.csv</t>
        </is>
      </c>
      <c r="B91" t="inlineStr">
        <is>
          <t>Other</t>
        </is>
      </c>
      <c r="C91" t="inlineStr">
        <is>
          <t>ISIC 50</t>
        </is>
      </c>
      <c r="D91" t="inlineStr">
        <is>
          <t>ISIC 49T53</t>
        </is>
      </c>
      <c r="E91" t="n">
        <v>0.04437004750051631</v>
      </c>
      <c r="F91" t="inlineStr">
        <is>
          <t>BEA 2024 output share (default)</t>
        </is>
      </c>
      <c r="G91" t="n">
        <v>0.04437004750051631</v>
      </c>
    </row>
    <row r="92">
      <c r="A92" t="inlineStr">
        <is>
          <t>SoBCaICbIC-commercial.csv</t>
        </is>
      </c>
      <c r="B92" t="inlineStr">
        <is>
          <t>Other</t>
        </is>
      </c>
      <c r="C92" t="inlineStr">
        <is>
          <t>ISIC 51</t>
        </is>
      </c>
      <c r="D92" t="inlineStr">
        <is>
          <t>ISIC 49T53</t>
        </is>
      </c>
      <c r="E92" t="n">
        <v>0.1883750452665103</v>
      </c>
      <c r="F92" t="inlineStr">
        <is>
          <t>BEA 2024 output share (default)</t>
        </is>
      </c>
      <c r="G92" t="n">
        <v>0.1883750452665103</v>
      </c>
    </row>
    <row r="93">
      <c r="A93" t="inlineStr">
        <is>
          <t>SoBCaICbIC-commercial.csv</t>
        </is>
      </c>
      <c r="B93" t="inlineStr">
        <is>
          <t>Other</t>
        </is>
      </c>
      <c r="C93" t="inlineStr">
        <is>
          <t>ISIC 52</t>
        </is>
      </c>
      <c r="D93" t="inlineStr">
        <is>
          <t>ISIC 49T53</t>
        </is>
      </c>
      <c r="E93" t="n">
        <v>0.2228651226758185</v>
      </c>
      <c r="F93" t="inlineStr">
        <is>
          <t>BEA 2024 output share (default)</t>
        </is>
      </c>
      <c r="G93" t="n">
        <v>0.2228651226758185</v>
      </c>
    </row>
    <row r="94">
      <c r="A94" t="inlineStr">
        <is>
          <t>SoBCaICbIC-commercial.csv</t>
        </is>
      </c>
      <c r="B94" t="inlineStr">
        <is>
          <t>Other</t>
        </is>
      </c>
      <c r="C94" t="inlineStr">
        <is>
          <t>ISIC 53</t>
        </is>
      </c>
      <c r="D94" t="inlineStr">
        <is>
          <t>ISIC 49T53</t>
        </is>
      </c>
      <c r="E94" t="n">
        <v>0.08808162102448482</v>
      </c>
      <c r="F94" t="inlineStr">
        <is>
          <t>BEA 2024 output share (default)</t>
        </is>
      </c>
      <c r="G94" t="n">
        <v>0.08808162102448482</v>
      </c>
    </row>
    <row r="95">
      <c r="A95" t="inlineStr">
        <is>
          <t>SoBCaICbIC-commercial.csv</t>
        </is>
      </c>
      <c r="B95" t="inlineStr">
        <is>
          <t>Other</t>
        </is>
      </c>
      <c r="C95" t="inlineStr">
        <is>
          <t>ISIC 69T75</t>
        </is>
      </c>
      <c r="D95" t="inlineStr">
        <is>
          <t>ISIC 69T82</t>
        </is>
      </c>
      <c r="E95" t="n">
        <v>1</v>
      </c>
      <c r="F95" t="inlineStr">
        <is>
          <t>semantic override</t>
        </is>
      </c>
      <c r="G95" t="n">
        <v>0.7298219447914125</v>
      </c>
    </row>
    <row r="96">
      <c r="A96" t="inlineStr">
        <is>
          <t>SoBCaICbIC-commercial.csv</t>
        </is>
      </c>
      <c r="B96" t="inlineStr">
        <is>
          <t>Other</t>
        </is>
      </c>
      <c r="C96" t="inlineStr">
        <is>
          <t>ISIC 77T82</t>
        </is>
      </c>
      <c r="D96" t="inlineStr">
        <is>
          <t>ISIC 69T82</t>
        </is>
      </c>
      <c r="E96" t="n">
        <v>0</v>
      </c>
      <c r="F96" t="inlineStr">
        <is>
          <t>semantic override</t>
        </is>
      </c>
      <c r="G96" t="n">
        <v>0.2701780552085875</v>
      </c>
    </row>
    <row r="97">
      <c r="A97" t="inlineStr">
        <is>
          <t>SoBCaICbIC-commercial.csv</t>
        </is>
      </c>
      <c r="B97" t="inlineStr">
        <is>
          <t>Other</t>
        </is>
      </c>
      <c r="C97" t="inlineStr">
        <is>
          <t>ISIC 90T93</t>
        </is>
      </c>
      <c r="D97" t="inlineStr">
        <is>
          <t>ISIC 90T96</t>
        </is>
      </c>
      <c r="E97" t="n">
        <v>0.4216249514352275</v>
      </c>
      <c r="F97" t="inlineStr">
        <is>
          <t>BEA 2024 output share (default)</t>
        </is>
      </c>
      <c r="G97" t="n">
        <v>0.4216249514352275</v>
      </c>
    </row>
    <row r="98">
      <c r="A98" t="inlineStr">
        <is>
          <t>SoBCaICbIC-commercial.csv</t>
        </is>
      </c>
      <c r="B98" t="inlineStr">
        <is>
          <t>Other</t>
        </is>
      </c>
      <c r="C98" t="inlineStr">
        <is>
          <t>ISIC 94T96</t>
        </is>
      </c>
      <c r="D98" t="inlineStr">
        <is>
          <t>ISIC 90T96</t>
        </is>
      </c>
      <c r="E98" t="n">
        <v>0.5783750485647725</v>
      </c>
      <c r="F98" t="inlineStr">
        <is>
          <t>BEA 2024 output share (default)</t>
        </is>
      </c>
      <c r="G98" t="n">
        <v>0.5783750485647725</v>
      </c>
    </row>
    <row r="99">
      <c r="A99" t="inlineStr">
        <is>
          <t>SoBCaICbIC-ruralresidential.csv</t>
        </is>
      </c>
      <c r="B99" t="inlineStr">
        <is>
          <t>Appliances</t>
        </is>
      </c>
      <c r="C99" t="inlineStr">
        <is>
          <t>ISIC 01</t>
        </is>
      </c>
      <c r="D99" t="inlineStr">
        <is>
          <t>ISIC 01T03</t>
        </is>
      </c>
      <c r="E99" t="n">
        <v>0.9429986826432329</v>
      </c>
      <c r="F99" t="inlineStr">
        <is>
          <t>BEA 2024 output share (default)</t>
        </is>
      </c>
      <c r="G99" t="n">
        <v>0.9429986826432329</v>
      </c>
    </row>
    <row r="100">
      <c r="A100" t="inlineStr">
        <is>
          <t>SoBCaICbIC-ruralresidential.csv</t>
        </is>
      </c>
      <c r="B100" t="inlineStr">
        <is>
          <t>Appliances</t>
        </is>
      </c>
      <c r="C100" t="inlineStr">
        <is>
          <t>ISIC 02</t>
        </is>
      </c>
      <c r="D100" t="inlineStr">
        <is>
          <t>ISIC 01T03</t>
        </is>
      </c>
      <c r="E100" t="n">
        <v>0.04176573136965662</v>
      </c>
      <c r="F100" t="inlineStr">
        <is>
          <t>BEA 2024 output share (default)</t>
        </is>
      </c>
      <c r="G100" t="n">
        <v>0.04176573136965662</v>
      </c>
    </row>
    <row r="101">
      <c r="A101" t="inlineStr">
        <is>
          <t>SoBCaICbIC-ruralresidential.csv</t>
        </is>
      </c>
      <c r="B101" t="inlineStr">
        <is>
          <t>Appliances</t>
        </is>
      </c>
      <c r="C101" t="inlineStr">
        <is>
          <t>ISIC 03</t>
        </is>
      </c>
      <c r="D101" t="inlineStr">
        <is>
          <t>ISIC 01T03</t>
        </is>
      </c>
      <c r="E101" t="n">
        <v>0.01523558598711041</v>
      </c>
      <c r="F101" t="inlineStr">
        <is>
          <t>BEA 2024 output share (default)</t>
        </is>
      </c>
      <c r="G101" t="n">
        <v>0.01523558598711041</v>
      </c>
    </row>
    <row r="102">
      <c r="A102" t="inlineStr">
        <is>
          <t>SoBCaICbIC-ruralresidential.csv</t>
        </is>
      </c>
      <c r="B102" t="inlineStr">
        <is>
          <t>Appliances</t>
        </is>
      </c>
      <c r="C102" t="inlineStr">
        <is>
          <t>ISIC 07</t>
        </is>
      </c>
      <c r="D102" t="inlineStr">
        <is>
          <t>ISIC 07T08</t>
        </is>
      </c>
      <c r="E102" t="n">
        <v>0.4327368836123752</v>
      </c>
      <c r="F102" t="inlineStr">
        <is>
          <t>BEA 2024 output share (default)</t>
        </is>
      </c>
      <c r="G102" t="n">
        <v>0.4327368836123752</v>
      </c>
    </row>
    <row r="103">
      <c r="A103" t="inlineStr">
        <is>
          <t>SoBCaICbIC-ruralresidential.csv</t>
        </is>
      </c>
      <c r="B103" t="inlineStr">
        <is>
          <t>Appliances</t>
        </is>
      </c>
      <c r="C103" t="inlineStr">
        <is>
          <t>ISIC 08</t>
        </is>
      </c>
      <c r="D103" t="inlineStr">
        <is>
          <t>ISIC 07T08</t>
        </is>
      </c>
      <c r="E103" t="n">
        <v>0.5672631163876248</v>
      </c>
      <c r="F103" t="inlineStr">
        <is>
          <t>BEA 2024 output share (default)</t>
        </is>
      </c>
      <c r="G103" t="n">
        <v>0.5672631163876248</v>
      </c>
    </row>
    <row r="104">
      <c r="A104" t="inlineStr">
        <is>
          <t>SoBCaICbIC-ruralresidential.csv</t>
        </is>
      </c>
      <c r="B104" t="inlineStr">
        <is>
          <t>Appliances</t>
        </is>
      </c>
      <c r="C104" t="inlineStr">
        <is>
          <t>ISIC 301</t>
        </is>
      </c>
      <c r="D104" t="inlineStr">
        <is>
          <t>ISIC 30</t>
        </is>
      </c>
      <c r="E104" t="n">
        <v>0.1171368722490322</v>
      </c>
      <c r="F104" t="inlineStr">
        <is>
          <t>BEA 2024 output share (default)</t>
        </is>
      </c>
      <c r="G104" t="n">
        <v>0.1171368722490322</v>
      </c>
    </row>
    <row r="105">
      <c r="A105" t="inlineStr">
        <is>
          <t>SoBCaICbIC-ruralresidential.csv</t>
        </is>
      </c>
      <c r="B105" t="inlineStr">
        <is>
          <t>Appliances</t>
        </is>
      </c>
      <c r="C105" t="inlineStr">
        <is>
          <t>ISIC 302T309</t>
        </is>
      </c>
      <c r="D105" t="inlineStr">
        <is>
          <t>ISIC 30</t>
        </is>
      </c>
      <c r="E105" t="n">
        <v>0.8828631277509678</v>
      </c>
      <c r="F105" t="inlineStr">
        <is>
          <t>BEA 2024 output share (default)</t>
        </is>
      </c>
      <c r="G105" t="n">
        <v>0.8828631277509678</v>
      </c>
    </row>
    <row r="106">
      <c r="A106" t="inlineStr">
        <is>
          <t>SoBCaICbIC-ruralresidential.csv</t>
        </is>
      </c>
      <c r="B106" t="inlineStr">
        <is>
          <t>Appliances</t>
        </is>
      </c>
      <c r="C106" t="inlineStr">
        <is>
          <t>ISIC 49</t>
        </is>
      </c>
      <c r="D106" t="inlineStr">
        <is>
          <t>ISIC 49T53</t>
        </is>
      </c>
      <c r="E106" t="n">
        <v>0.45630816353267</v>
      </c>
      <c r="F106" t="inlineStr">
        <is>
          <t>BEA 2024 output share (default)</t>
        </is>
      </c>
      <c r="G106" t="n">
        <v>0.45630816353267</v>
      </c>
    </row>
    <row r="107">
      <c r="A107" t="inlineStr">
        <is>
          <t>SoBCaICbIC-ruralresidential.csv</t>
        </is>
      </c>
      <c r="B107" t="inlineStr">
        <is>
          <t>Appliances</t>
        </is>
      </c>
      <c r="C107" t="inlineStr">
        <is>
          <t>ISIC 50</t>
        </is>
      </c>
      <c r="D107" t="inlineStr">
        <is>
          <t>ISIC 49T53</t>
        </is>
      </c>
      <c r="E107" t="n">
        <v>0.04437004750051631</v>
      </c>
      <c r="F107" t="inlineStr">
        <is>
          <t>BEA 2024 output share (default)</t>
        </is>
      </c>
      <c r="G107" t="n">
        <v>0.04437004750051631</v>
      </c>
    </row>
    <row r="108">
      <c r="A108" t="inlineStr">
        <is>
          <t>SoBCaICbIC-ruralresidential.csv</t>
        </is>
      </c>
      <c r="B108" t="inlineStr">
        <is>
          <t>Appliances</t>
        </is>
      </c>
      <c r="C108" t="inlineStr">
        <is>
          <t>ISIC 51</t>
        </is>
      </c>
      <c r="D108" t="inlineStr">
        <is>
          <t>ISIC 49T53</t>
        </is>
      </c>
      <c r="E108" t="n">
        <v>0.1883750452665103</v>
      </c>
      <c r="F108" t="inlineStr">
        <is>
          <t>BEA 2024 output share (default)</t>
        </is>
      </c>
      <c r="G108" t="n">
        <v>0.1883750452665103</v>
      </c>
    </row>
    <row r="109">
      <c r="A109" t="inlineStr">
        <is>
          <t>SoBCaICbIC-ruralresidential.csv</t>
        </is>
      </c>
      <c r="B109" t="inlineStr">
        <is>
          <t>Appliances</t>
        </is>
      </c>
      <c r="C109" t="inlineStr">
        <is>
          <t>ISIC 52</t>
        </is>
      </c>
      <c r="D109" t="inlineStr">
        <is>
          <t>ISIC 49T53</t>
        </is>
      </c>
      <c r="E109" t="n">
        <v>0.2228651226758185</v>
      </c>
      <c r="F109" t="inlineStr">
        <is>
          <t>BEA 2024 output share (default)</t>
        </is>
      </c>
      <c r="G109" t="n">
        <v>0.2228651226758185</v>
      </c>
    </row>
    <row r="110">
      <c r="A110" t="inlineStr">
        <is>
          <t>SoBCaICbIC-ruralresidential.csv</t>
        </is>
      </c>
      <c r="B110" t="inlineStr">
        <is>
          <t>Appliances</t>
        </is>
      </c>
      <c r="C110" t="inlineStr">
        <is>
          <t>ISIC 53</t>
        </is>
      </c>
      <c r="D110" t="inlineStr">
        <is>
          <t>ISIC 49T53</t>
        </is>
      </c>
      <c r="E110" t="n">
        <v>0.08808162102448482</v>
      </c>
      <c r="F110" t="inlineStr">
        <is>
          <t>BEA 2024 output share (default)</t>
        </is>
      </c>
      <c r="G110" t="n">
        <v>0.08808162102448482</v>
      </c>
    </row>
    <row r="111">
      <c r="A111" t="inlineStr">
        <is>
          <t>SoBCaICbIC-ruralresidential.csv</t>
        </is>
      </c>
      <c r="B111" t="inlineStr">
        <is>
          <t>Appliances</t>
        </is>
      </c>
      <c r="C111" t="inlineStr">
        <is>
          <t>ISIC 69T75</t>
        </is>
      </c>
      <c r="D111" t="inlineStr">
        <is>
          <t>ISIC 69T82</t>
        </is>
      </c>
      <c r="E111" t="n">
        <v>1</v>
      </c>
      <c r="F111" t="inlineStr">
        <is>
          <t>semantic override</t>
        </is>
      </c>
      <c r="G111" t="n">
        <v>0.7298219447914125</v>
      </c>
    </row>
    <row r="112">
      <c r="A112" t="inlineStr">
        <is>
          <t>SoBCaICbIC-ruralresidential.csv</t>
        </is>
      </c>
      <c r="B112" t="inlineStr">
        <is>
          <t>Appliances</t>
        </is>
      </c>
      <c r="C112" t="inlineStr">
        <is>
          <t>ISIC 77T82</t>
        </is>
      </c>
      <c r="D112" t="inlineStr">
        <is>
          <t>ISIC 69T82</t>
        </is>
      </c>
      <c r="E112" t="n">
        <v>0</v>
      </c>
      <c r="F112" t="inlineStr">
        <is>
          <t>semantic override</t>
        </is>
      </c>
      <c r="G112" t="n">
        <v>0.2701780552085875</v>
      </c>
    </row>
    <row r="113">
      <c r="A113" t="inlineStr">
        <is>
          <t>SoBCaICbIC-ruralresidential.csv</t>
        </is>
      </c>
      <c r="B113" t="inlineStr">
        <is>
          <t>Appliances</t>
        </is>
      </c>
      <c r="C113" t="inlineStr">
        <is>
          <t>ISIC 90T93</t>
        </is>
      </c>
      <c r="D113" t="inlineStr">
        <is>
          <t>ISIC 90T96</t>
        </is>
      </c>
      <c r="E113" t="n">
        <v>0.4216249514352275</v>
      </c>
      <c r="F113" t="inlineStr">
        <is>
          <t>BEA 2024 output share (default)</t>
        </is>
      </c>
      <c r="G113" t="n">
        <v>0.4216249514352275</v>
      </c>
    </row>
    <row r="114">
      <c r="A114" t="inlineStr">
        <is>
          <t>SoBCaICbIC-ruralresidential.csv</t>
        </is>
      </c>
      <c r="B114" t="inlineStr">
        <is>
          <t>Appliances</t>
        </is>
      </c>
      <c r="C114" t="inlineStr">
        <is>
          <t>ISIC 94T96</t>
        </is>
      </c>
      <c r="D114" t="inlineStr">
        <is>
          <t>ISIC 90T96</t>
        </is>
      </c>
      <c r="E114" t="n">
        <v>0.5783750485647725</v>
      </c>
      <c r="F114" t="inlineStr">
        <is>
          <t>BEA 2024 output share (default)</t>
        </is>
      </c>
      <c r="G114" t="n">
        <v>0.5783750485647725</v>
      </c>
    </row>
    <row r="115">
      <c r="A115" t="inlineStr">
        <is>
          <t>SoBCaICbIC-ruralresidential.csv</t>
        </is>
      </c>
      <c r="B115" t="inlineStr">
        <is>
          <t>Cooling</t>
        </is>
      </c>
      <c r="C115" t="inlineStr">
        <is>
          <t>ISIC 01</t>
        </is>
      </c>
      <c r="D115" t="inlineStr">
        <is>
          <t>ISIC 01T03</t>
        </is>
      </c>
      <c r="E115" t="n">
        <v>0.9429986826432329</v>
      </c>
      <c r="F115" t="inlineStr">
        <is>
          <t>BEA 2024 output share (default)</t>
        </is>
      </c>
      <c r="G115" t="n">
        <v>0.9429986826432329</v>
      </c>
    </row>
    <row r="116">
      <c r="A116" t="inlineStr">
        <is>
          <t>SoBCaICbIC-ruralresidential.csv</t>
        </is>
      </c>
      <c r="B116" t="inlineStr">
        <is>
          <t>Cooling</t>
        </is>
      </c>
      <c r="C116" t="inlineStr">
        <is>
          <t>ISIC 02</t>
        </is>
      </c>
      <c r="D116" t="inlineStr">
        <is>
          <t>ISIC 01T03</t>
        </is>
      </c>
      <c r="E116" t="n">
        <v>0.04176573136965662</v>
      </c>
      <c r="F116" t="inlineStr">
        <is>
          <t>BEA 2024 output share (default)</t>
        </is>
      </c>
      <c r="G116" t="n">
        <v>0.04176573136965662</v>
      </c>
    </row>
    <row r="117">
      <c r="A117" t="inlineStr">
        <is>
          <t>SoBCaICbIC-ruralresidential.csv</t>
        </is>
      </c>
      <c r="B117" t="inlineStr">
        <is>
          <t>Cooling</t>
        </is>
      </c>
      <c r="C117" t="inlineStr">
        <is>
          <t>ISIC 03</t>
        </is>
      </c>
      <c r="D117" t="inlineStr">
        <is>
          <t>ISIC 01T03</t>
        </is>
      </c>
      <c r="E117" t="n">
        <v>0.01523558598711041</v>
      </c>
      <c r="F117" t="inlineStr">
        <is>
          <t>BEA 2024 output share (default)</t>
        </is>
      </c>
      <c r="G117" t="n">
        <v>0.01523558598711041</v>
      </c>
    </row>
    <row r="118">
      <c r="A118" t="inlineStr">
        <is>
          <t>SoBCaICbIC-ruralresidential.csv</t>
        </is>
      </c>
      <c r="B118" t="inlineStr">
        <is>
          <t>Cooling</t>
        </is>
      </c>
      <c r="C118" t="inlineStr">
        <is>
          <t>ISIC 07</t>
        </is>
      </c>
      <c r="D118" t="inlineStr">
        <is>
          <t>ISIC 07T08</t>
        </is>
      </c>
      <c r="E118" t="n">
        <v>0.4327368836123752</v>
      </c>
      <c r="F118" t="inlineStr">
        <is>
          <t>BEA 2024 output share (default)</t>
        </is>
      </c>
      <c r="G118" t="n">
        <v>0.4327368836123752</v>
      </c>
    </row>
    <row r="119">
      <c r="A119" t="inlineStr">
        <is>
          <t>SoBCaICbIC-ruralresidential.csv</t>
        </is>
      </c>
      <c r="B119" t="inlineStr">
        <is>
          <t>Cooling</t>
        </is>
      </c>
      <c r="C119" t="inlineStr">
        <is>
          <t>ISIC 08</t>
        </is>
      </c>
      <c r="D119" t="inlineStr">
        <is>
          <t>ISIC 07T08</t>
        </is>
      </c>
      <c r="E119" t="n">
        <v>0.5672631163876248</v>
      </c>
      <c r="F119" t="inlineStr">
        <is>
          <t>BEA 2024 output share (default)</t>
        </is>
      </c>
      <c r="G119" t="n">
        <v>0.5672631163876248</v>
      </c>
    </row>
    <row r="120">
      <c r="A120" t="inlineStr">
        <is>
          <t>SoBCaICbIC-ruralresidential.csv</t>
        </is>
      </c>
      <c r="B120" t="inlineStr">
        <is>
          <t>Cooling</t>
        </is>
      </c>
      <c r="C120" t="inlineStr">
        <is>
          <t>ISIC 301</t>
        </is>
      </c>
      <c r="D120" t="inlineStr">
        <is>
          <t>ISIC 30</t>
        </is>
      </c>
      <c r="E120" t="n">
        <v>0.1171368722490322</v>
      </c>
      <c r="F120" t="inlineStr">
        <is>
          <t>BEA 2024 output share (default)</t>
        </is>
      </c>
      <c r="G120" t="n">
        <v>0.1171368722490322</v>
      </c>
    </row>
    <row r="121">
      <c r="A121" t="inlineStr">
        <is>
          <t>SoBCaICbIC-ruralresidential.csv</t>
        </is>
      </c>
      <c r="B121" t="inlineStr">
        <is>
          <t>Cooling</t>
        </is>
      </c>
      <c r="C121" t="inlineStr">
        <is>
          <t>ISIC 302T309</t>
        </is>
      </c>
      <c r="D121" t="inlineStr">
        <is>
          <t>ISIC 30</t>
        </is>
      </c>
      <c r="E121" t="n">
        <v>0.8828631277509678</v>
      </c>
      <c r="F121" t="inlineStr">
        <is>
          <t>BEA 2024 output share (default)</t>
        </is>
      </c>
      <c r="G121" t="n">
        <v>0.8828631277509678</v>
      </c>
    </row>
    <row r="122">
      <c r="A122" t="inlineStr">
        <is>
          <t>SoBCaICbIC-ruralresidential.csv</t>
        </is>
      </c>
      <c r="B122" t="inlineStr">
        <is>
          <t>Cooling</t>
        </is>
      </c>
      <c r="C122" t="inlineStr">
        <is>
          <t>ISIC 49</t>
        </is>
      </c>
      <c r="D122" t="inlineStr">
        <is>
          <t>ISIC 49T53</t>
        </is>
      </c>
      <c r="E122" t="n">
        <v>0.45630816353267</v>
      </c>
      <c r="F122" t="inlineStr">
        <is>
          <t>BEA 2024 output share (default)</t>
        </is>
      </c>
      <c r="G122" t="n">
        <v>0.45630816353267</v>
      </c>
    </row>
    <row r="123">
      <c r="A123" t="inlineStr">
        <is>
          <t>SoBCaICbIC-ruralresidential.csv</t>
        </is>
      </c>
      <c r="B123" t="inlineStr">
        <is>
          <t>Cooling</t>
        </is>
      </c>
      <c r="C123" t="inlineStr">
        <is>
          <t>ISIC 50</t>
        </is>
      </c>
      <c r="D123" t="inlineStr">
        <is>
          <t>ISIC 49T53</t>
        </is>
      </c>
      <c r="E123" t="n">
        <v>0.04437004750051631</v>
      </c>
      <c r="F123" t="inlineStr">
        <is>
          <t>BEA 2024 output share (default)</t>
        </is>
      </c>
      <c r="G123" t="n">
        <v>0.04437004750051631</v>
      </c>
    </row>
    <row r="124">
      <c r="A124" t="inlineStr">
        <is>
          <t>SoBCaICbIC-ruralresidential.csv</t>
        </is>
      </c>
      <c r="B124" t="inlineStr">
        <is>
          <t>Cooling</t>
        </is>
      </c>
      <c r="C124" t="inlineStr">
        <is>
          <t>ISIC 51</t>
        </is>
      </c>
      <c r="D124" t="inlineStr">
        <is>
          <t>ISIC 49T53</t>
        </is>
      </c>
      <c r="E124" t="n">
        <v>0.1883750452665103</v>
      </c>
      <c r="F124" t="inlineStr">
        <is>
          <t>BEA 2024 output share (default)</t>
        </is>
      </c>
      <c r="G124" t="n">
        <v>0.1883750452665103</v>
      </c>
    </row>
    <row r="125">
      <c r="A125" t="inlineStr">
        <is>
          <t>SoBCaICbIC-ruralresidential.csv</t>
        </is>
      </c>
      <c r="B125" t="inlineStr">
        <is>
          <t>Cooling</t>
        </is>
      </c>
      <c r="C125" t="inlineStr">
        <is>
          <t>ISIC 52</t>
        </is>
      </c>
      <c r="D125" t="inlineStr">
        <is>
          <t>ISIC 49T53</t>
        </is>
      </c>
      <c r="E125" t="n">
        <v>0.2228651226758185</v>
      </c>
      <c r="F125" t="inlineStr">
        <is>
          <t>BEA 2024 output share (default)</t>
        </is>
      </c>
      <c r="G125" t="n">
        <v>0.2228651226758185</v>
      </c>
    </row>
    <row r="126">
      <c r="A126" t="inlineStr">
        <is>
          <t>SoBCaICbIC-ruralresidential.csv</t>
        </is>
      </c>
      <c r="B126" t="inlineStr">
        <is>
          <t>Cooling</t>
        </is>
      </c>
      <c r="C126" t="inlineStr">
        <is>
          <t>ISIC 53</t>
        </is>
      </c>
      <c r="D126" t="inlineStr">
        <is>
          <t>ISIC 49T53</t>
        </is>
      </c>
      <c r="E126" t="n">
        <v>0.08808162102448482</v>
      </c>
      <c r="F126" t="inlineStr">
        <is>
          <t>BEA 2024 output share (default)</t>
        </is>
      </c>
      <c r="G126" t="n">
        <v>0.08808162102448482</v>
      </c>
    </row>
    <row r="127">
      <c r="A127" t="inlineStr">
        <is>
          <t>SoBCaICbIC-ruralresidential.csv</t>
        </is>
      </c>
      <c r="B127" t="inlineStr">
        <is>
          <t>Cooling</t>
        </is>
      </c>
      <c r="C127" t="inlineStr">
        <is>
          <t>ISIC 69T75</t>
        </is>
      </c>
      <c r="D127" t="inlineStr">
        <is>
          <t>ISIC 69T82</t>
        </is>
      </c>
      <c r="E127" t="n">
        <v>1</v>
      </c>
      <c r="F127" t="inlineStr">
        <is>
          <t>semantic override</t>
        </is>
      </c>
      <c r="G127" t="n">
        <v>0.7298219447914125</v>
      </c>
    </row>
    <row r="128">
      <c r="A128" t="inlineStr">
        <is>
          <t>SoBCaICbIC-ruralresidential.csv</t>
        </is>
      </c>
      <c r="B128" t="inlineStr">
        <is>
          <t>Cooling</t>
        </is>
      </c>
      <c r="C128" t="inlineStr">
        <is>
          <t>ISIC 77T82</t>
        </is>
      </c>
      <c r="D128" t="inlineStr">
        <is>
          <t>ISIC 69T82</t>
        </is>
      </c>
      <c r="E128" t="n">
        <v>0</v>
      </c>
      <c r="F128" t="inlineStr">
        <is>
          <t>semantic override</t>
        </is>
      </c>
      <c r="G128" t="n">
        <v>0.2701780552085875</v>
      </c>
    </row>
    <row r="129">
      <c r="A129" t="inlineStr">
        <is>
          <t>SoBCaICbIC-ruralresidential.csv</t>
        </is>
      </c>
      <c r="B129" t="inlineStr">
        <is>
          <t>Cooling</t>
        </is>
      </c>
      <c r="C129" t="inlineStr">
        <is>
          <t>ISIC 90T93</t>
        </is>
      </c>
      <c r="D129" t="inlineStr">
        <is>
          <t>ISIC 90T96</t>
        </is>
      </c>
      <c r="E129" t="n">
        <v>0.4216249514352275</v>
      </c>
      <c r="F129" t="inlineStr">
        <is>
          <t>BEA 2024 output share (default)</t>
        </is>
      </c>
      <c r="G129" t="n">
        <v>0.4216249514352275</v>
      </c>
    </row>
    <row r="130">
      <c r="A130" t="inlineStr">
        <is>
          <t>SoBCaICbIC-ruralresidential.csv</t>
        </is>
      </c>
      <c r="B130" t="inlineStr">
        <is>
          <t>Cooling</t>
        </is>
      </c>
      <c r="C130" t="inlineStr">
        <is>
          <t>ISIC 94T96</t>
        </is>
      </c>
      <c r="D130" t="inlineStr">
        <is>
          <t>ISIC 90T96</t>
        </is>
      </c>
      <c r="E130" t="n">
        <v>0.5783750485647725</v>
      </c>
      <c r="F130" t="inlineStr">
        <is>
          <t>BEA 2024 output share (default)</t>
        </is>
      </c>
      <c r="G130" t="n">
        <v>0.5783750485647725</v>
      </c>
    </row>
    <row r="131">
      <c r="A131" t="inlineStr">
        <is>
          <t>SoBCaICbIC-ruralresidential.csv</t>
        </is>
      </c>
      <c r="B131" t="inlineStr">
        <is>
          <t>Envelope</t>
        </is>
      </c>
      <c r="C131" t="inlineStr">
        <is>
          <t>ISIC 01</t>
        </is>
      </c>
      <c r="D131" t="inlineStr">
        <is>
          <t>ISIC 01T03</t>
        </is>
      </c>
      <c r="E131" t="n">
        <v>0.9429986826432329</v>
      </c>
      <c r="F131" t="inlineStr">
        <is>
          <t>BEA 2024 output share (default)</t>
        </is>
      </c>
      <c r="G131" t="n">
        <v>0.9429986826432329</v>
      </c>
    </row>
    <row r="132">
      <c r="A132" t="inlineStr">
        <is>
          <t>SoBCaICbIC-ruralresidential.csv</t>
        </is>
      </c>
      <c r="B132" t="inlineStr">
        <is>
          <t>Envelope</t>
        </is>
      </c>
      <c r="C132" t="inlineStr">
        <is>
          <t>ISIC 02</t>
        </is>
      </c>
      <c r="D132" t="inlineStr">
        <is>
          <t>ISIC 01T03</t>
        </is>
      </c>
      <c r="E132" t="n">
        <v>0.04176573136965662</v>
      </c>
      <c r="F132" t="inlineStr">
        <is>
          <t>BEA 2024 output share (default)</t>
        </is>
      </c>
      <c r="G132" t="n">
        <v>0.04176573136965662</v>
      </c>
    </row>
    <row r="133">
      <c r="A133" t="inlineStr">
        <is>
          <t>SoBCaICbIC-ruralresidential.csv</t>
        </is>
      </c>
      <c r="B133" t="inlineStr">
        <is>
          <t>Envelope</t>
        </is>
      </c>
      <c r="C133" t="inlineStr">
        <is>
          <t>ISIC 03</t>
        </is>
      </c>
      <c r="D133" t="inlineStr">
        <is>
          <t>ISIC 01T03</t>
        </is>
      </c>
      <c r="E133" t="n">
        <v>0.01523558598711041</v>
      </c>
      <c r="F133" t="inlineStr">
        <is>
          <t>BEA 2024 output share (default)</t>
        </is>
      </c>
      <c r="G133" t="n">
        <v>0.01523558598711041</v>
      </c>
    </row>
    <row r="134">
      <c r="A134" t="inlineStr">
        <is>
          <t>SoBCaICbIC-ruralresidential.csv</t>
        </is>
      </c>
      <c r="B134" t="inlineStr">
        <is>
          <t>Envelope</t>
        </is>
      </c>
      <c r="C134" t="inlineStr">
        <is>
          <t>ISIC 07</t>
        </is>
      </c>
      <c r="D134" t="inlineStr">
        <is>
          <t>ISIC 07T08</t>
        </is>
      </c>
      <c r="E134" t="n">
        <v>0.4327368836123752</v>
      </c>
      <c r="F134" t="inlineStr">
        <is>
          <t>BEA 2024 output share (default)</t>
        </is>
      </c>
      <c r="G134" t="n">
        <v>0.4327368836123752</v>
      </c>
    </row>
    <row r="135">
      <c r="A135" t="inlineStr">
        <is>
          <t>SoBCaICbIC-ruralresidential.csv</t>
        </is>
      </c>
      <c r="B135" t="inlineStr">
        <is>
          <t>Envelope</t>
        </is>
      </c>
      <c r="C135" t="inlineStr">
        <is>
          <t>ISIC 08</t>
        </is>
      </c>
      <c r="D135" t="inlineStr">
        <is>
          <t>ISIC 07T08</t>
        </is>
      </c>
      <c r="E135" t="n">
        <v>0.5672631163876248</v>
      </c>
      <c r="F135" t="inlineStr">
        <is>
          <t>BEA 2024 output share (default)</t>
        </is>
      </c>
      <c r="G135" t="n">
        <v>0.5672631163876248</v>
      </c>
    </row>
    <row r="136">
      <c r="A136" t="inlineStr">
        <is>
          <t>SoBCaICbIC-ruralresidential.csv</t>
        </is>
      </c>
      <c r="B136" t="inlineStr">
        <is>
          <t>Envelope</t>
        </is>
      </c>
      <c r="C136" t="inlineStr">
        <is>
          <t>ISIC 301</t>
        </is>
      </c>
      <c r="D136" t="inlineStr">
        <is>
          <t>ISIC 30</t>
        </is>
      </c>
      <c r="E136" t="n">
        <v>0.1171368722490322</v>
      </c>
      <c r="F136" t="inlineStr">
        <is>
          <t>BEA 2024 output share (default)</t>
        </is>
      </c>
      <c r="G136" t="n">
        <v>0.1171368722490322</v>
      </c>
    </row>
    <row r="137">
      <c r="A137" t="inlineStr">
        <is>
          <t>SoBCaICbIC-ruralresidential.csv</t>
        </is>
      </c>
      <c r="B137" t="inlineStr">
        <is>
          <t>Envelope</t>
        </is>
      </c>
      <c r="C137" t="inlineStr">
        <is>
          <t>ISIC 302T309</t>
        </is>
      </c>
      <c r="D137" t="inlineStr">
        <is>
          <t>ISIC 30</t>
        </is>
      </c>
      <c r="E137" t="n">
        <v>0.8828631277509678</v>
      </c>
      <c r="F137" t="inlineStr">
        <is>
          <t>BEA 2024 output share (default)</t>
        </is>
      </c>
      <c r="G137" t="n">
        <v>0.8828631277509678</v>
      </c>
    </row>
    <row r="138">
      <c r="A138" t="inlineStr">
        <is>
          <t>SoBCaICbIC-ruralresidential.csv</t>
        </is>
      </c>
      <c r="B138" t="inlineStr">
        <is>
          <t>Envelope</t>
        </is>
      </c>
      <c r="C138" t="inlineStr">
        <is>
          <t>ISIC 49</t>
        </is>
      </c>
      <c r="D138" t="inlineStr">
        <is>
          <t>ISIC 49T53</t>
        </is>
      </c>
      <c r="E138" t="n">
        <v>0.45630816353267</v>
      </c>
      <c r="F138" t="inlineStr">
        <is>
          <t>BEA 2024 output share (default)</t>
        </is>
      </c>
      <c r="G138" t="n">
        <v>0.45630816353267</v>
      </c>
    </row>
    <row r="139">
      <c r="A139" t="inlineStr">
        <is>
          <t>SoBCaICbIC-ruralresidential.csv</t>
        </is>
      </c>
      <c r="B139" t="inlineStr">
        <is>
          <t>Envelope</t>
        </is>
      </c>
      <c r="C139" t="inlineStr">
        <is>
          <t>ISIC 50</t>
        </is>
      </c>
      <c r="D139" t="inlineStr">
        <is>
          <t>ISIC 49T53</t>
        </is>
      </c>
      <c r="E139" t="n">
        <v>0.04437004750051631</v>
      </c>
      <c r="F139" t="inlineStr">
        <is>
          <t>BEA 2024 output share (default)</t>
        </is>
      </c>
      <c r="G139" t="n">
        <v>0.04437004750051631</v>
      </c>
    </row>
    <row r="140">
      <c r="A140" t="inlineStr">
        <is>
          <t>SoBCaICbIC-ruralresidential.csv</t>
        </is>
      </c>
      <c r="B140" t="inlineStr">
        <is>
          <t>Envelope</t>
        </is>
      </c>
      <c r="C140" t="inlineStr">
        <is>
          <t>ISIC 51</t>
        </is>
      </c>
      <c r="D140" t="inlineStr">
        <is>
          <t>ISIC 49T53</t>
        </is>
      </c>
      <c r="E140" t="n">
        <v>0.1883750452665103</v>
      </c>
      <c r="F140" t="inlineStr">
        <is>
          <t>BEA 2024 output share (default)</t>
        </is>
      </c>
      <c r="G140" t="n">
        <v>0.1883750452665103</v>
      </c>
    </row>
    <row r="141">
      <c r="A141" t="inlineStr">
        <is>
          <t>SoBCaICbIC-ruralresidential.csv</t>
        </is>
      </c>
      <c r="B141" t="inlineStr">
        <is>
          <t>Envelope</t>
        </is>
      </c>
      <c r="C141" t="inlineStr">
        <is>
          <t>ISIC 52</t>
        </is>
      </c>
      <c r="D141" t="inlineStr">
        <is>
          <t>ISIC 49T53</t>
        </is>
      </c>
      <c r="E141" t="n">
        <v>0.2228651226758185</v>
      </c>
      <c r="F141" t="inlineStr">
        <is>
          <t>BEA 2024 output share (default)</t>
        </is>
      </c>
      <c r="G141" t="n">
        <v>0.2228651226758185</v>
      </c>
    </row>
    <row r="142">
      <c r="A142" t="inlineStr">
        <is>
          <t>SoBCaICbIC-ruralresidential.csv</t>
        </is>
      </c>
      <c r="B142" t="inlineStr">
        <is>
          <t>Envelope</t>
        </is>
      </c>
      <c r="C142" t="inlineStr">
        <is>
          <t>ISIC 53</t>
        </is>
      </c>
      <c r="D142" t="inlineStr">
        <is>
          <t>ISIC 49T53</t>
        </is>
      </c>
      <c r="E142" t="n">
        <v>0.08808162102448482</v>
      </c>
      <c r="F142" t="inlineStr">
        <is>
          <t>BEA 2024 output share (default)</t>
        </is>
      </c>
      <c r="G142" t="n">
        <v>0.08808162102448482</v>
      </c>
    </row>
    <row r="143">
      <c r="A143" t="inlineStr">
        <is>
          <t>SoBCaICbIC-ruralresidential.csv</t>
        </is>
      </c>
      <c r="B143" t="inlineStr">
        <is>
          <t>Envelope</t>
        </is>
      </c>
      <c r="C143" t="inlineStr">
        <is>
          <t>ISIC 69T75</t>
        </is>
      </c>
      <c r="D143" t="inlineStr">
        <is>
          <t>ISIC 69T82</t>
        </is>
      </c>
      <c r="E143" t="n">
        <v>1</v>
      </c>
      <c r="F143" t="inlineStr">
        <is>
          <t>semantic override</t>
        </is>
      </c>
      <c r="G143" t="n">
        <v>0.7298219447914125</v>
      </c>
    </row>
    <row r="144">
      <c r="A144" t="inlineStr">
        <is>
          <t>SoBCaICbIC-ruralresidential.csv</t>
        </is>
      </c>
      <c r="B144" t="inlineStr">
        <is>
          <t>Envelope</t>
        </is>
      </c>
      <c r="C144" t="inlineStr">
        <is>
          <t>ISIC 77T82</t>
        </is>
      </c>
      <c r="D144" t="inlineStr">
        <is>
          <t>ISIC 69T82</t>
        </is>
      </c>
      <c r="E144" t="n">
        <v>0</v>
      </c>
      <c r="F144" t="inlineStr">
        <is>
          <t>semantic override</t>
        </is>
      </c>
      <c r="G144" t="n">
        <v>0.2701780552085875</v>
      </c>
    </row>
    <row r="145">
      <c r="A145" t="inlineStr">
        <is>
          <t>SoBCaICbIC-ruralresidential.csv</t>
        </is>
      </c>
      <c r="B145" t="inlineStr">
        <is>
          <t>Envelope</t>
        </is>
      </c>
      <c r="C145" t="inlineStr">
        <is>
          <t>ISIC 90T93</t>
        </is>
      </c>
      <c r="D145" t="inlineStr">
        <is>
          <t>ISIC 90T96</t>
        </is>
      </c>
      <c r="E145" t="n">
        <v>0.4216249514352275</v>
      </c>
      <c r="F145" t="inlineStr">
        <is>
          <t>BEA 2024 output share (default)</t>
        </is>
      </c>
      <c r="G145" t="n">
        <v>0.4216249514352275</v>
      </c>
    </row>
    <row r="146">
      <c r="A146" t="inlineStr">
        <is>
          <t>SoBCaICbIC-ruralresidential.csv</t>
        </is>
      </c>
      <c r="B146" t="inlineStr">
        <is>
          <t>Envelope</t>
        </is>
      </c>
      <c r="C146" t="inlineStr">
        <is>
          <t>ISIC 94T96</t>
        </is>
      </c>
      <c r="D146" t="inlineStr">
        <is>
          <t>ISIC 90T96</t>
        </is>
      </c>
      <c r="E146" t="n">
        <v>0.5783750485647725</v>
      </c>
      <c r="F146" t="inlineStr">
        <is>
          <t>BEA 2024 output share (default)</t>
        </is>
      </c>
      <c r="G146" t="n">
        <v>0.5783750485647725</v>
      </c>
    </row>
    <row r="147">
      <c r="A147" t="inlineStr">
        <is>
          <t>SoBCaICbIC-ruralresidential.csv</t>
        </is>
      </c>
      <c r="B147" t="inlineStr">
        <is>
          <t>Heating</t>
        </is>
      </c>
      <c r="C147" t="inlineStr">
        <is>
          <t>ISIC 01</t>
        </is>
      </c>
      <c r="D147" t="inlineStr">
        <is>
          <t>ISIC 01T03</t>
        </is>
      </c>
      <c r="E147" t="n">
        <v>0.9429986826432329</v>
      </c>
      <c r="F147" t="inlineStr">
        <is>
          <t>BEA 2024 output share (default)</t>
        </is>
      </c>
      <c r="G147" t="n">
        <v>0.9429986826432329</v>
      </c>
    </row>
    <row r="148">
      <c r="A148" t="inlineStr">
        <is>
          <t>SoBCaICbIC-ruralresidential.csv</t>
        </is>
      </c>
      <c r="B148" t="inlineStr">
        <is>
          <t>Heating</t>
        </is>
      </c>
      <c r="C148" t="inlineStr">
        <is>
          <t>ISIC 02</t>
        </is>
      </c>
      <c r="D148" t="inlineStr">
        <is>
          <t>ISIC 01T03</t>
        </is>
      </c>
      <c r="E148" t="n">
        <v>0.04176573136965662</v>
      </c>
      <c r="F148" t="inlineStr">
        <is>
          <t>BEA 2024 output share (default)</t>
        </is>
      </c>
      <c r="G148" t="n">
        <v>0.04176573136965662</v>
      </c>
    </row>
    <row r="149">
      <c r="A149" t="inlineStr">
        <is>
          <t>SoBCaICbIC-ruralresidential.csv</t>
        </is>
      </c>
      <c r="B149" t="inlineStr">
        <is>
          <t>Heating</t>
        </is>
      </c>
      <c r="C149" t="inlineStr">
        <is>
          <t>ISIC 03</t>
        </is>
      </c>
      <c r="D149" t="inlineStr">
        <is>
          <t>ISIC 01T03</t>
        </is>
      </c>
      <c r="E149" t="n">
        <v>0.01523558598711041</v>
      </c>
      <c r="F149" t="inlineStr">
        <is>
          <t>BEA 2024 output share (default)</t>
        </is>
      </c>
      <c r="G149" t="n">
        <v>0.01523558598711041</v>
      </c>
    </row>
    <row r="150">
      <c r="A150" t="inlineStr">
        <is>
          <t>SoBCaICbIC-ruralresidential.csv</t>
        </is>
      </c>
      <c r="B150" t="inlineStr">
        <is>
          <t>Heating</t>
        </is>
      </c>
      <c r="C150" t="inlineStr">
        <is>
          <t>ISIC 07</t>
        </is>
      </c>
      <c r="D150" t="inlineStr">
        <is>
          <t>ISIC 07T08</t>
        </is>
      </c>
      <c r="E150" t="n">
        <v>0.4327368836123752</v>
      </c>
      <c r="F150" t="inlineStr">
        <is>
          <t>BEA 2024 output share (default)</t>
        </is>
      </c>
      <c r="G150" t="n">
        <v>0.4327368836123752</v>
      </c>
    </row>
    <row r="151">
      <c r="A151" t="inlineStr">
        <is>
          <t>SoBCaICbIC-ruralresidential.csv</t>
        </is>
      </c>
      <c r="B151" t="inlineStr">
        <is>
          <t>Heating</t>
        </is>
      </c>
      <c r="C151" t="inlineStr">
        <is>
          <t>ISIC 08</t>
        </is>
      </c>
      <c r="D151" t="inlineStr">
        <is>
          <t>ISIC 07T08</t>
        </is>
      </c>
      <c r="E151" t="n">
        <v>0.5672631163876248</v>
      </c>
      <c r="F151" t="inlineStr">
        <is>
          <t>BEA 2024 output share (default)</t>
        </is>
      </c>
      <c r="G151" t="n">
        <v>0.5672631163876248</v>
      </c>
    </row>
    <row r="152">
      <c r="A152" t="inlineStr">
        <is>
          <t>SoBCaICbIC-ruralresidential.csv</t>
        </is>
      </c>
      <c r="B152" t="inlineStr">
        <is>
          <t>Heating</t>
        </is>
      </c>
      <c r="C152" t="inlineStr">
        <is>
          <t>ISIC 301</t>
        </is>
      </c>
      <c r="D152" t="inlineStr">
        <is>
          <t>ISIC 30</t>
        </is>
      </c>
      <c r="E152" t="n">
        <v>0.1171368722490322</v>
      </c>
      <c r="F152" t="inlineStr">
        <is>
          <t>BEA 2024 output share (default)</t>
        </is>
      </c>
      <c r="G152" t="n">
        <v>0.1171368722490322</v>
      </c>
    </row>
    <row r="153">
      <c r="A153" t="inlineStr">
        <is>
          <t>SoBCaICbIC-ruralresidential.csv</t>
        </is>
      </c>
      <c r="B153" t="inlineStr">
        <is>
          <t>Heating</t>
        </is>
      </c>
      <c r="C153" t="inlineStr">
        <is>
          <t>ISIC 302T309</t>
        </is>
      </c>
      <c r="D153" t="inlineStr">
        <is>
          <t>ISIC 30</t>
        </is>
      </c>
      <c r="E153" t="n">
        <v>0.8828631277509678</v>
      </c>
      <c r="F153" t="inlineStr">
        <is>
          <t>BEA 2024 output share (default)</t>
        </is>
      </c>
      <c r="G153" t="n">
        <v>0.8828631277509678</v>
      </c>
    </row>
    <row r="154">
      <c r="A154" t="inlineStr">
        <is>
          <t>SoBCaICbIC-ruralresidential.csv</t>
        </is>
      </c>
      <c r="B154" t="inlineStr">
        <is>
          <t>Heating</t>
        </is>
      </c>
      <c r="C154" t="inlineStr">
        <is>
          <t>ISIC 49</t>
        </is>
      </c>
      <c r="D154" t="inlineStr">
        <is>
          <t>ISIC 49T53</t>
        </is>
      </c>
      <c r="E154" t="n">
        <v>0.45630816353267</v>
      </c>
      <c r="F154" t="inlineStr">
        <is>
          <t>BEA 2024 output share (default)</t>
        </is>
      </c>
      <c r="G154" t="n">
        <v>0.45630816353267</v>
      </c>
    </row>
    <row r="155">
      <c r="A155" t="inlineStr">
        <is>
          <t>SoBCaICbIC-ruralresidential.csv</t>
        </is>
      </c>
      <c r="B155" t="inlineStr">
        <is>
          <t>Heating</t>
        </is>
      </c>
      <c r="C155" t="inlineStr">
        <is>
          <t>ISIC 50</t>
        </is>
      </c>
      <c r="D155" t="inlineStr">
        <is>
          <t>ISIC 49T53</t>
        </is>
      </c>
      <c r="E155" t="n">
        <v>0.04437004750051631</v>
      </c>
      <c r="F155" t="inlineStr">
        <is>
          <t>BEA 2024 output share (default)</t>
        </is>
      </c>
      <c r="G155" t="n">
        <v>0.04437004750051631</v>
      </c>
    </row>
    <row r="156">
      <c r="A156" t="inlineStr">
        <is>
          <t>SoBCaICbIC-ruralresidential.csv</t>
        </is>
      </c>
      <c r="B156" t="inlineStr">
        <is>
          <t>Heating</t>
        </is>
      </c>
      <c r="C156" t="inlineStr">
        <is>
          <t>ISIC 51</t>
        </is>
      </c>
      <c r="D156" t="inlineStr">
        <is>
          <t>ISIC 49T53</t>
        </is>
      </c>
      <c r="E156" t="n">
        <v>0.1883750452665103</v>
      </c>
      <c r="F156" t="inlineStr">
        <is>
          <t>BEA 2024 output share (default)</t>
        </is>
      </c>
      <c r="G156" t="n">
        <v>0.1883750452665103</v>
      </c>
    </row>
    <row r="157">
      <c r="A157" t="inlineStr">
        <is>
          <t>SoBCaICbIC-ruralresidential.csv</t>
        </is>
      </c>
      <c r="B157" t="inlineStr">
        <is>
          <t>Heating</t>
        </is>
      </c>
      <c r="C157" t="inlineStr">
        <is>
          <t>ISIC 52</t>
        </is>
      </c>
      <c r="D157" t="inlineStr">
        <is>
          <t>ISIC 49T53</t>
        </is>
      </c>
      <c r="E157" t="n">
        <v>0.2228651226758185</v>
      </c>
      <c r="F157" t="inlineStr">
        <is>
          <t>BEA 2024 output share (default)</t>
        </is>
      </c>
      <c r="G157" t="n">
        <v>0.2228651226758185</v>
      </c>
    </row>
    <row r="158">
      <c r="A158" t="inlineStr">
        <is>
          <t>SoBCaICbIC-ruralresidential.csv</t>
        </is>
      </c>
      <c r="B158" t="inlineStr">
        <is>
          <t>Heating</t>
        </is>
      </c>
      <c r="C158" t="inlineStr">
        <is>
          <t>ISIC 53</t>
        </is>
      </c>
      <c r="D158" t="inlineStr">
        <is>
          <t>ISIC 49T53</t>
        </is>
      </c>
      <c r="E158" t="n">
        <v>0.08808162102448482</v>
      </c>
      <c r="F158" t="inlineStr">
        <is>
          <t>BEA 2024 output share (default)</t>
        </is>
      </c>
      <c r="G158" t="n">
        <v>0.08808162102448482</v>
      </c>
    </row>
    <row r="159">
      <c r="A159" t="inlineStr">
        <is>
          <t>SoBCaICbIC-ruralresidential.csv</t>
        </is>
      </c>
      <c r="B159" t="inlineStr">
        <is>
          <t>Heating</t>
        </is>
      </c>
      <c r="C159" t="inlineStr">
        <is>
          <t>ISIC 69T75</t>
        </is>
      </c>
      <c r="D159" t="inlineStr">
        <is>
          <t>ISIC 69T82</t>
        </is>
      </c>
      <c r="E159" t="n">
        <v>1</v>
      </c>
      <c r="F159" t="inlineStr">
        <is>
          <t>semantic override</t>
        </is>
      </c>
      <c r="G159" t="n">
        <v>0.7298219447914125</v>
      </c>
    </row>
    <row r="160">
      <c r="A160" t="inlineStr">
        <is>
          <t>SoBCaICbIC-ruralresidential.csv</t>
        </is>
      </c>
      <c r="B160" t="inlineStr">
        <is>
          <t>Heating</t>
        </is>
      </c>
      <c r="C160" t="inlineStr">
        <is>
          <t>ISIC 77T82</t>
        </is>
      </c>
      <c r="D160" t="inlineStr">
        <is>
          <t>ISIC 69T82</t>
        </is>
      </c>
      <c r="E160" t="n">
        <v>0</v>
      </c>
      <c r="F160" t="inlineStr">
        <is>
          <t>semantic override</t>
        </is>
      </c>
      <c r="G160" t="n">
        <v>0.2701780552085875</v>
      </c>
    </row>
    <row r="161">
      <c r="A161" t="inlineStr">
        <is>
          <t>SoBCaICbIC-ruralresidential.csv</t>
        </is>
      </c>
      <c r="B161" t="inlineStr">
        <is>
          <t>Heating</t>
        </is>
      </c>
      <c r="C161" t="inlineStr">
        <is>
          <t>ISIC 90T93</t>
        </is>
      </c>
      <c r="D161" t="inlineStr">
        <is>
          <t>ISIC 90T96</t>
        </is>
      </c>
      <c r="E161" t="n">
        <v>0.4216249514352275</v>
      </c>
      <c r="F161" t="inlineStr">
        <is>
          <t>BEA 2024 output share (default)</t>
        </is>
      </c>
      <c r="G161" t="n">
        <v>0.4216249514352275</v>
      </c>
    </row>
    <row r="162">
      <c r="A162" t="inlineStr">
        <is>
          <t>SoBCaICbIC-ruralresidential.csv</t>
        </is>
      </c>
      <c r="B162" t="inlineStr">
        <is>
          <t>Heating</t>
        </is>
      </c>
      <c r="C162" t="inlineStr">
        <is>
          <t>ISIC 94T96</t>
        </is>
      </c>
      <c r="D162" t="inlineStr">
        <is>
          <t>ISIC 90T96</t>
        </is>
      </c>
      <c r="E162" t="n">
        <v>0.5783750485647725</v>
      </c>
      <c r="F162" t="inlineStr">
        <is>
          <t>BEA 2024 output share (default)</t>
        </is>
      </c>
      <c r="G162" t="n">
        <v>0.5783750485647725</v>
      </c>
    </row>
    <row r="163">
      <c r="A163" t="inlineStr">
        <is>
          <t>SoBCaICbIC-ruralresidential.csv</t>
        </is>
      </c>
      <c r="B163" t="inlineStr">
        <is>
          <t>Lighting</t>
        </is>
      </c>
      <c r="C163" t="inlineStr">
        <is>
          <t>ISIC 01</t>
        </is>
      </c>
      <c r="D163" t="inlineStr">
        <is>
          <t>ISIC 01T03</t>
        </is>
      </c>
      <c r="E163" t="n">
        <v>0.9429986826432329</v>
      </c>
      <c r="F163" t="inlineStr">
        <is>
          <t>BEA 2024 output share (default)</t>
        </is>
      </c>
      <c r="G163" t="n">
        <v>0.9429986826432329</v>
      </c>
    </row>
    <row r="164">
      <c r="A164" t="inlineStr">
        <is>
          <t>SoBCaICbIC-ruralresidential.csv</t>
        </is>
      </c>
      <c r="B164" t="inlineStr">
        <is>
          <t>Lighting</t>
        </is>
      </c>
      <c r="C164" t="inlineStr">
        <is>
          <t>ISIC 02</t>
        </is>
      </c>
      <c r="D164" t="inlineStr">
        <is>
          <t>ISIC 01T03</t>
        </is>
      </c>
      <c r="E164" t="n">
        <v>0.04176573136965662</v>
      </c>
      <c r="F164" t="inlineStr">
        <is>
          <t>BEA 2024 output share (default)</t>
        </is>
      </c>
      <c r="G164" t="n">
        <v>0.04176573136965662</v>
      </c>
    </row>
    <row r="165">
      <c r="A165" t="inlineStr">
        <is>
          <t>SoBCaICbIC-ruralresidential.csv</t>
        </is>
      </c>
      <c r="B165" t="inlineStr">
        <is>
          <t>Lighting</t>
        </is>
      </c>
      <c r="C165" t="inlineStr">
        <is>
          <t>ISIC 03</t>
        </is>
      </c>
      <c r="D165" t="inlineStr">
        <is>
          <t>ISIC 01T03</t>
        </is>
      </c>
      <c r="E165" t="n">
        <v>0.01523558598711041</v>
      </c>
      <c r="F165" t="inlineStr">
        <is>
          <t>BEA 2024 output share (default)</t>
        </is>
      </c>
      <c r="G165" t="n">
        <v>0.01523558598711041</v>
      </c>
    </row>
    <row r="166">
      <c r="A166" t="inlineStr">
        <is>
          <t>SoBCaICbIC-ruralresidential.csv</t>
        </is>
      </c>
      <c r="B166" t="inlineStr">
        <is>
          <t>Lighting</t>
        </is>
      </c>
      <c r="C166" t="inlineStr">
        <is>
          <t>ISIC 07</t>
        </is>
      </c>
      <c r="D166" t="inlineStr">
        <is>
          <t>ISIC 07T08</t>
        </is>
      </c>
      <c r="E166" t="n">
        <v>0.4327368836123752</v>
      </c>
      <c r="F166" t="inlineStr">
        <is>
          <t>BEA 2024 output share (default)</t>
        </is>
      </c>
      <c r="G166" t="n">
        <v>0.4327368836123752</v>
      </c>
    </row>
    <row r="167">
      <c r="A167" t="inlineStr">
        <is>
          <t>SoBCaICbIC-ruralresidential.csv</t>
        </is>
      </c>
      <c r="B167" t="inlineStr">
        <is>
          <t>Lighting</t>
        </is>
      </c>
      <c r="C167" t="inlineStr">
        <is>
          <t>ISIC 08</t>
        </is>
      </c>
      <c r="D167" t="inlineStr">
        <is>
          <t>ISIC 07T08</t>
        </is>
      </c>
      <c r="E167" t="n">
        <v>0.5672631163876248</v>
      </c>
      <c r="F167" t="inlineStr">
        <is>
          <t>BEA 2024 output share (default)</t>
        </is>
      </c>
      <c r="G167" t="n">
        <v>0.5672631163876248</v>
      </c>
    </row>
    <row r="168">
      <c r="A168" t="inlineStr">
        <is>
          <t>SoBCaICbIC-ruralresidential.csv</t>
        </is>
      </c>
      <c r="B168" t="inlineStr">
        <is>
          <t>Lighting</t>
        </is>
      </c>
      <c r="C168" t="inlineStr">
        <is>
          <t>ISIC 301</t>
        </is>
      </c>
      <c r="D168" t="inlineStr">
        <is>
          <t>ISIC 30</t>
        </is>
      </c>
      <c r="E168" t="n">
        <v>0.1171368722490322</v>
      </c>
      <c r="F168" t="inlineStr">
        <is>
          <t>BEA 2024 output share (default)</t>
        </is>
      </c>
      <c r="G168" t="n">
        <v>0.1171368722490322</v>
      </c>
    </row>
    <row r="169">
      <c r="A169" t="inlineStr">
        <is>
          <t>SoBCaICbIC-ruralresidential.csv</t>
        </is>
      </c>
      <c r="B169" t="inlineStr">
        <is>
          <t>Lighting</t>
        </is>
      </c>
      <c r="C169" t="inlineStr">
        <is>
          <t>ISIC 302T309</t>
        </is>
      </c>
      <c r="D169" t="inlineStr">
        <is>
          <t>ISIC 30</t>
        </is>
      </c>
      <c r="E169" t="n">
        <v>0.8828631277509678</v>
      </c>
      <c r="F169" t="inlineStr">
        <is>
          <t>BEA 2024 output share (default)</t>
        </is>
      </c>
      <c r="G169" t="n">
        <v>0.8828631277509678</v>
      </c>
    </row>
    <row r="170">
      <c r="A170" t="inlineStr">
        <is>
          <t>SoBCaICbIC-ruralresidential.csv</t>
        </is>
      </c>
      <c r="B170" t="inlineStr">
        <is>
          <t>Lighting</t>
        </is>
      </c>
      <c r="C170" t="inlineStr">
        <is>
          <t>ISIC 49</t>
        </is>
      </c>
      <c r="D170" t="inlineStr">
        <is>
          <t>ISIC 49T53</t>
        </is>
      </c>
      <c r="E170" t="n">
        <v>0.45630816353267</v>
      </c>
      <c r="F170" t="inlineStr">
        <is>
          <t>BEA 2024 output share (default)</t>
        </is>
      </c>
      <c r="G170" t="n">
        <v>0.45630816353267</v>
      </c>
    </row>
    <row r="171">
      <c r="A171" t="inlineStr">
        <is>
          <t>SoBCaICbIC-ruralresidential.csv</t>
        </is>
      </c>
      <c r="B171" t="inlineStr">
        <is>
          <t>Lighting</t>
        </is>
      </c>
      <c r="C171" t="inlineStr">
        <is>
          <t>ISIC 50</t>
        </is>
      </c>
      <c r="D171" t="inlineStr">
        <is>
          <t>ISIC 49T53</t>
        </is>
      </c>
      <c r="E171" t="n">
        <v>0.04437004750051631</v>
      </c>
      <c r="F171" t="inlineStr">
        <is>
          <t>BEA 2024 output share (default)</t>
        </is>
      </c>
      <c r="G171" t="n">
        <v>0.04437004750051631</v>
      </c>
    </row>
    <row r="172">
      <c r="A172" t="inlineStr">
        <is>
          <t>SoBCaICbIC-ruralresidential.csv</t>
        </is>
      </c>
      <c r="B172" t="inlineStr">
        <is>
          <t>Lighting</t>
        </is>
      </c>
      <c r="C172" t="inlineStr">
        <is>
          <t>ISIC 51</t>
        </is>
      </c>
      <c r="D172" t="inlineStr">
        <is>
          <t>ISIC 49T53</t>
        </is>
      </c>
      <c r="E172" t="n">
        <v>0.1883750452665103</v>
      </c>
      <c r="F172" t="inlineStr">
        <is>
          <t>BEA 2024 output share (default)</t>
        </is>
      </c>
      <c r="G172" t="n">
        <v>0.1883750452665103</v>
      </c>
    </row>
    <row r="173">
      <c r="A173" t="inlineStr">
        <is>
          <t>SoBCaICbIC-ruralresidential.csv</t>
        </is>
      </c>
      <c r="B173" t="inlineStr">
        <is>
          <t>Lighting</t>
        </is>
      </c>
      <c r="C173" t="inlineStr">
        <is>
          <t>ISIC 52</t>
        </is>
      </c>
      <c r="D173" t="inlineStr">
        <is>
          <t>ISIC 49T53</t>
        </is>
      </c>
      <c r="E173" t="n">
        <v>0.2228651226758185</v>
      </c>
      <c r="F173" t="inlineStr">
        <is>
          <t>BEA 2024 output share (default)</t>
        </is>
      </c>
      <c r="G173" t="n">
        <v>0.2228651226758185</v>
      </c>
    </row>
    <row r="174">
      <c r="A174" t="inlineStr">
        <is>
          <t>SoBCaICbIC-ruralresidential.csv</t>
        </is>
      </c>
      <c r="B174" t="inlineStr">
        <is>
          <t>Lighting</t>
        </is>
      </c>
      <c r="C174" t="inlineStr">
        <is>
          <t>ISIC 53</t>
        </is>
      </c>
      <c r="D174" t="inlineStr">
        <is>
          <t>ISIC 49T53</t>
        </is>
      </c>
      <c r="E174" t="n">
        <v>0.08808162102448482</v>
      </c>
      <c r="F174" t="inlineStr">
        <is>
          <t>BEA 2024 output share (default)</t>
        </is>
      </c>
      <c r="G174" t="n">
        <v>0.08808162102448482</v>
      </c>
    </row>
    <row r="175">
      <c r="A175" t="inlineStr">
        <is>
          <t>SoBCaICbIC-ruralresidential.csv</t>
        </is>
      </c>
      <c r="B175" t="inlineStr">
        <is>
          <t>Lighting</t>
        </is>
      </c>
      <c r="C175" t="inlineStr">
        <is>
          <t>ISIC 69T75</t>
        </is>
      </c>
      <c r="D175" t="inlineStr">
        <is>
          <t>ISIC 69T82</t>
        </is>
      </c>
      <c r="E175" t="n">
        <v>1</v>
      </c>
      <c r="F175" t="inlineStr">
        <is>
          <t>semantic override</t>
        </is>
      </c>
      <c r="G175" t="n">
        <v>0.7298219447914125</v>
      </c>
    </row>
    <row r="176">
      <c r="A176" t="inlineStr">
        <is>
          <t>SoBCaICbIC-ruralresidential.csv</t>
        </is>
      </c>
      <c r="B176" t="inlineStr">
        <is>
          <t>Lighting</t>
        </is>
      </c>
      <c r="C176" t="inlineStr">
        <is>
          <t>ISIC 77T82</t>
        </is>
      </c>
      <c r="D176" t="inlineStr">
        <is>
          <t>ISIC 69T82</t>
        </is>
      </c>
      <c r="E176" t="n">
        <v>0</v>
      </c>
      <c r="F176" t="inlineStr">
        <is>
          <t>semantic override</t>
        </is>
      </c>
      <c r="G176" t="n">
        <v>0.2701780552085875</v>
      </c>
    </row>
    <row r="177">
      <c r="A177" t="inlineStr">
        <is>
          <t>SoBCaICbIC-ruralresidential.csv</t>
        </is>
      </c>
      <c r="B177" t="inlineStr">
        <is>
          <t>Lighting</t>
        </is>
      </c>
      <c r="C177" t="inlineStr">
        <is>
          <t>ISIC 90T93</t>
        </is>
      </c>
      <c r="D177" t="inlineStr">
        <is>
          <t>ISIC 90T96</t>
        </is>
      </c>
      <c r="E177" t="n">
        <v>0.4216249514352275</v>
      </c>
      <c r="F177" t="inlineStr">
        <is>
          <t>BEA 2024 output share (default)</t>
        </is>
      </c>
      <c r="G177" t="n">
        <v>0.4216249514352275</v>
      </c>
    </row>
    <row r="178">
      <c r="A178" t="inlineStr">
        <is>
          <t>SoBCaICbIC-ruralresidential.csv</t>
        </is>
      </c>
      <c r="B178" t="inlineStr">
        <is>
          <t>Lighting</t>
        </is>
      </c>
      <c r="C178" t="inlineStr">
        <is>
          <t>ISIC 94T96</t>
        </is>
      </c>
      <c r="D178" t="inlineStr">
        <is>
          <t>ISIC 90T96</t>
        </is>
      </c>
      <c r="E178" t="n">
        <v>0.5783750485647725</v>
      </c>
      <c r="F178" t="inlineStr">
        <is>
          <t>BEA 2024 output share (default)</t>
        </is>
      </c>
      <c r="G178" t="n">
        <v>0.5783750485647725</v>
      </c>
    </row>
    <row r="179">
      <c r="A179" t="inlineStr">
        <is>
          <t>SoBCaICbIC-ruralresidential.csv</t>
        </is>
      </c>
      <c r="B179" t="inlineStr">
        <is>
          <t>Other</t>
        </is>
      </c>
      <c r="C179" t="inlineStr">
        <is>
          <t>ISIC 01</t>
        </is>
      </c>
      <c r="D179" t="inlineStr">
        <is>
          <t>ISIC 01T03</t>
        </is>
      </c>
      <c r="E179" t="n">
        <v>0.9429986826432329</v>
      </c>
      <c r="F179" t="inlineStr">
        <is>
          <t>BEA 2024 output share (default)</t>
        </is>
      </c>
      <c r="G179" t="n">
        <v>0.9429986826432329</v>
      </c>
    </row>
    <row r="180">
      <c r="A180" t="inlineStr">
        <is>
          <t>SoBCaICbIC-ruralresidential.csv</t>
        </is>
      </c>
      <c r="B180" t="inlineStr">
        <is>
          <t>Other</t>
        </is>
      </c>
      <c r="C180" t="inlineStr">
        <is>
          <t>ISIC 02</t>
        </is>
      </c>
      <c r="D180" t="inlineStr">
        <is>
          <t>ISIC 01T03</t>
        </is>
      </c>
      <c r="E180" t="n">
        <v>0.04176573136965662</v>
      </c>
      <c r="F180" t="inlineStr">
        <is>
          <t>BEA 2024 output share (default)</t>
        </is>
      </c>
      <c r="G180" t="n">
        <v>0.04176573136965662</v>
      </c>
    </row>
    <row r="181">
      <c r="A181" t="inlineStr">
        <is>
          <t>SoBCaICbIC-ruralresidential.csv</t>
        </is>
      </c>
      <c r="B181" t="inlineStr">
        <is>
          <t>Other</t>
        </is>
      </c>
      <c r="C181" t="inlineStr">
        <is>
          <t>ISIC 03</t>
        </is>
      </c>
      <c r="D181" t="inlineStr">
        <is>
          <t>ISIC 01T03</t>
        </is>
      </c>
      <c r="E181" t="n">
        <v>0.01523558598711041</v>
      </c>
      <c r="F181" t="inlineStr">
        <is>
          <t>BEA 2024 output share (default)</t>
        </is>
      </c>
      <c r="G181" t="n">
        <v>0.01523558598711041</v>
      </c>
    </row>
    <row r="182">
      <c r="A182" t="inlineStr">
        <is>
          <t>SoBCaICbIC-ruralresidential.csv</t>
        </is>
      </c>
      <c r="B182" t="inlineStr">
        <is>
          <t>Other</t>
        </is>
      </c>
      <c r="C182" t="inlineStr">
        <is>
          <t>ISIC 07</t>
        </is>
      </c>
      <c r="D182" t="inlineStr">
        <is>
          <t>ISIC 07T08</t>
        </is>
      </c>
      <c r="E182" t="n">
        <v>0.4327368836123752</v>
      </c>
      <c r="F182" t="inlineStr">
        <is>
          <t>BEA 2024 output share (default)</t>
        </is>
      </c>
      <c r="G182" t="n">
        <v>0.4327368836123752</v>
      </c>
    </row>
    <row r="183">
      <c r="A183" t="inlineStr">
        <is>
          <t>SoBCaICbIC-ruralresidential.csv</t>
        </is>
      </c>
      <c r="B183" t="inlineStr">
        <is>
          <t>Other</t>
        </is>
      </c>
      <c r="C183" t="inlineStr">
        <is>
          <t>ISIC 08</t>
        </is>
      </c>
      <c r="D183" t="inlineStr">
        <is>
          <t>ISIC 07T08</t>
        </is>
      </c>
      <c r="E183" t="n">
        <v>0.5672631163876248</v>
      </c>
      <c r="F183" t="inlineStr">
        <is>
          <t>BEA 2024 output share (default)</t>
        </is>
      </c>
      <c r="G183" t="n">
        <v>0.5672631163876248</v>
      </c>
    </row>
    <row r="184">
      <c r="A184" t="inlineStr">
        <is>
          <t>SoBCaICbIC-ruralresidential.csv</t>
        </is>
      </c>
      <c r="B184" t="inlineStr">
        <is>
          <t>Other</t>
        </is>
      </c>
      <c r="C184" t="inlineStr">
        <is>
          <t>ISIC 301</t>
        </is>
      </c>
      <c r="D184" t="inlineStr">
        <is>
          <t>ISIC 30</t>
        </is>
      </c>
      <c r="E184" t="n">
        <v>0.1171368722490322</v>
      </c>
      <c r="F184" t="inlineStr">
        <is>
          <t>BEA 2024 output share (default)</t>
        </is>
      </c>
      <c r="G184" t="n">
        <v>0.1171368722490322</v>
      </c>
    </row>
    <row r="185">
      <c r="A185" t="inlineStr">
        <is>
          <t>SoBCaICbIC-ruralresidential.csv</t>
        </is>
      </c>
      <c r="B185" t="inlineStr">
        <is>
          <t>Other</t>
        </is>
      </c>
      <c r="C185" t="inlineStr">
        <is>
          <t>ISIC 302T309</t>
        </is>
      </c>
      <c r="D185" t="inlineStr">
        <is>
          <t>ISIC 30</t>
        </is>
      </c>
      <c r="E185" t="n">
        <v>0.8828631277509678</v>
      </c>
      <c r="F185" t="inlineStr">
        <is>
          <t>BEA 2024 output share (default)</t>
        </is>
      </c>
      <c r="G185" t="n">
        <v>0.8828631277509678</v>
      </c>
    </row>
    <row r="186">
      <c r="A186" t="inlineStr">
        <is>
          <t>SoBCaICbIC-ruralresidential.csv</t>
        </is>
      </c>
      <c r="B186" t="inlineStr">
        <is>
          <t>Other</t>
        </is>
      </c>
      <c r="C186" t="inlineStr">
        <is>
          <t>ISIC 49</t>
        </is>
      </c>
      <c r="D186" t="inlineStr">
        <is>
          <t>ISIC 49T53</t>
        </is>
      </c>
      <c r="E186" t="n">
        <v>0.45630816353267</v>
      </c>
      <c r="F186" t="inlineStr">
        <is>
          <t>BEA 2024 output share (default)</t>
        </is>
      </c>
      <c r="G186" t="n">
        <v>0.45630816353267</v>
      </c>
    </row>
    <row r="187">
      <c r="A187" t="inlineStr">
        <is>
          <t>SoBCaICbIC-ruralresidential.csv</t>
        </is>
      </c>
      <c r="B187" t="inlineStr">
        <is>
          <t>Other</t>
        </is>
      </c>
      <c r="C187" t="inlineStr">
        <is>
          <t>ISIC 50</t>
        </is>
      </c>
      <c r="D187" t="inlineStr">
        <is>
          <t>ISIC 49T53</t>
        </is>
      </c>
      <c r="E187" t="n">
        <v>0.04437004750051631</v>
      </c>
      <c r="F187" t="inlineStr">
        <is>
          <t>BEA 2024 output share (default)</t>
        </is>
      </c>
      <c r="G187" t="n">
        <v>0.04437004750051631</v>
      </c>
    </row>
    <row r="188">
      <c r="A188" t="inlineStr">
        <is>
          <t>SoBCaICbIC-ruralresidential.csv</t>
        </is>
      </c>
      <c r="B188" t="inlineStr">
        <is>
          <t>Other</t>
        </is>
      </c>
      <c r="C188" t="inlineStr">
        <is>
          <t>ISIC 51</t>
        </is>
      </c>
      <c r="D188" t="inlineStr">
        <is>
          <t>ISIC 49T53</t>
        </is>
      </c>
      <c r="E188" t="n">
        <v>0.1883750452665103</v>
      </c>
      <c r="F188" t="inlineStr">
        <is>
          <t>BEA 2024 output share (default)</t>
        </is>
      </c>
      <c r="G188" t="n">
        <v>0.1883750452665103</v>
      </c>
    </row>
    <row r="189">
      <c r="A189" t="inlineStr">
        <is>
          <t>SoBCaICbIC-ruralresidential.csv</t>
        </is>
      </c>
      <c r="B189" t="inlineStr">
        <is>
          <t>Other</t>
        </is>
      </c>
      <c r="C189" t="inlineStr">
        <is>
          <t>ISIC 52</t>
        </is>
      </c>
      <c r="D189" t="inlineStr">
        <is>
          <t>ISIC 49T53</t>
        </is>
      </c>
      <c r="E189" t="n">
        <v>0.2228651226758185</v>
      </c>
      <c r="F189" t="inlineStr">
        <is>
          <t>BEA 2024 output share (default)</t>
        </is>
      </c>
      <c r="G189" t="n">
        <v>0.2228651226758185</v>
      </c>
    </row>
    <row r="190">
      <c r="A190" t="inlineStr">
        <is>
          <t>SoBCaICbIC-ruralresidential.csv</t>
        </is>
      </c>
      <c r="B190" t="inlineStr">
        <is>
          <t>Other</t>
        </is>
      </c>
      <c r="C190" t="inlineStr">
        <is>
          <t>ISIC 53</t>
        </is>
      </c>
      <c r="D190" t="inlineStr">
        <is>
          <t>ISIC 49T53</t>
        </is>
      </c>
      <c r="E190" t="n">
        <v>0.08808162102448482</v>
      </c>
      <c r="F190" t="inlineStr">
        <is>
          <t>BEA 2024 output share (default)</t>
        </is>
      </c>
      <c r="G190" t="n">
        <v>0.08808162102448482</v>
      </c>
    </row>
    <row r="191">
      <c r="A191" t="inlineStr">
        <is>
          <t>SoBCaICbIC-ruralresidential.csv</t>
        </is>
      </c>
      <c r="B191" t="inlineStr">
        <is>
          <t>Other</t>
        </is>
      </c>
      <c r="C191" t="inlineStr">
        <is>
          <t>ISIC 69T75</t>
        </is>
      </c>
      <c r="D191" t="inlineStr">
        <is>
          <t>ISIC 69T82</t>
        </is>
      </c>
      <c r="E191" t="n">
        <v>1</v>
      </c>
      <c r="F191" t="inlineStr">
        <is>
          <t>semantic override</t>
        </is>
      </c>
      <c r="G191" t="n">
        <v>0.7298219447914125</v>
      </c>
    </row>
    <row r="192">
      <c r="A192" t="inlineStr">
        <is>
          <t>SoBCaICbIC-ruralresidential.csv</t>
        </is>
      </c>
      <c r="B192" t="inlineStr">
        <is>
          <t>Other</t>
        </is>
      </c>
      <c r="C192" t="inlineStr">
        <is>
          <t>ISIC 77T82</t>
        </is>
      </c>
      <c r="D192" t="inlineStr">
        <is>
          <t>ISIC 69T82</t>
        </is>
      </c>
      <c r="E192" t="n">
        <v>0</v>
      </c>
      <c r="F192" t="inlineStr">
        <is>
          <t>semantic override</t>
        </is>
      </c>
      <c r="G192" t="n">
        <v>0.2701780552085875</v>
      </c>
    </row>
    <row r="193">
      <c r="A193" t="inlineStr">
        <is>
          <t>SoBCaICbIC-ruralresidential.csv</t>
        </is>
      </c>
      <c r="B193" t="inlineStr">
        <is>
          <t>Other</t>
        </is>
      </c>
      <c r="C193" t="inlineStr">
        <is>
          <t>ISIC 90T93</t>
        </is>
      </c>
      <c r="D193" t="inlineStr">
        <is>
          <t>ISIC 90T96</t>
        </is>
      </c>
      <c r="E193" t="n">
        <v>0.4216249514352275</v>
      </c>
      <c r="F193" t="inlineStr">
        <is>
          <t>BEA 2024 output share (default)</t>
        </is>
      </c>
      <c r="G193" t="n">
        <v>0.4216249514352275</v>
      </c>
    </row>
    <row r="194">
      <c r="A194" t="inlineStr">
        <is>
          <t>SoBCaICbIC-ruralresidential.csv</t>
        </is>
      </c>
      <c r="B194" t="inlineStr">
        <is>
          <t>Other</t>
        </is>
      </c>
      <c r="C194" t="inlineStr">
        <is>
          <t>ISIC 94T96</t>
        </is>
      </c>
      <c r="D194" t="inlineStr">
        <is>
          <t>ISIC 90T96</t>
        </is>
      </c>
      <c r="E194" t="n">
        <v>0.5783750485647725</v>
      </c>
      <c r="F194" t="inlineStr">
        <is>
          <t>BEA 2024 output share (default)</t>
        </is>
      </c>
      <c r="G194" t="n">
        <v>0.5783750485647725</v>
      </c>
    </row>
    <row r="195">
      <c r="A195" t="inlineStr">
        <is>
          <t>SoBCaICbIC-urbanresidential.csv</t>
        </is>
      </c>
      <c r="B195" t="inlineStr">
        <is>
          <t>Appliances</t>
        </is>
      </c>
      <c r="C195" t="inlineStr">
        <is>
          <t>ISIC 01</t>
        </is>
      </c>
      <c r="D195" t="inlineStr">
        <is>
          <t>ISIC 01T03</t>
        </is>
      </c>
      <c r="E195" t="n">
        <v>0.9429986826432329</v>
      </c>
      <c r="F195" t="inlineStr">
        <is>
          <t>BEA 2024 output share (default)</t>
        </is>
      </c>
      <c r="G195" t="n">
        <v>0.9429986826432329</v>
      </c>
    </row>
    <row r="196">
      <c r="A196" t="inlineStr">
        <is>
          <t>SoBCaICbIC-urbanresidential.csv</t>
        </is>
      </c>
      <c r="B196" t="inlineStr">
        <is>
          <t>Appliances</t>
        </is>
      </c>
      <c r="C196" t="inlineStr">
        <is>
          <t>ISIC 02</t>
        </is>
      </c>
      <c r="D196" t="inlineStr">
        <is>
          <t>ISIC 01T03</t>
        </is>
      </c>
      <c r="E196" t="n">
        <v>0.04176573136965662</v>
      </c>
      <c r="F196" t="inlineStr">
        <is>
          <t>BEA 2024 output share (default)</t>
        </is>
      </c>
      <c r="G196" t="n">
        <v>0.04176573136965662</v>
      </c>
    </row>
    <row r="197">
      <c r="A197" t="inlineStr">
        <is>
          <t>SoBCaICbIC-urbanresidential.csv</t>
        </is>
      </c>
      <c r="B197" t="inlineStr">
        <is>
          <t>Appliances</t>
        </is>
      </c>
      <c r="C197" t="inlineStr">
        <is>
          <t>ISIC 03</t>
        </is>
      </c>
      <c r="D197" t="inlineStr">
        <is>
          <t>ISIC 01T03</t>
        </is>
      </c>
      <c r="E197" t="n">
        <v>0.01523558598711041</v>
      </c>
      <c r="F197" t="inlineStr">
        <is>
          <t>BEA 2024 output share (default)</t>
        </is>
      </c>
      <c r="G197" t="n">
        <v>0.01523558598711041</v>
      </c>
    </row>
    <row r="198">
      <c r="A198" t="inlineStr">
        <is>
          <t>SoBCaICbIC-urbanresidential.csv</t>
        </is>
      </c>
      <c r="B198" t="inlineStr">
        <is>
          <t>Appliances</t>
        </is>
      </c>
      <c r="C198" t="inlineStr">
        <is>
          <t>ISIC 07</t>
        </is>
      </c>
      <c r="D198" t="inlineStr">
        <is>
          <t>ISIC 07T08</t>
        </is>
      </c>
      <c r="E198" t="n">
        <v>0.4327368836123752</v>
      </c>
      <c r="F198" t="inlineStr">
        <is>
          <t>BEA 2024 output share (default)</t>
        </is>
      </c>
      <c r="G198" t="n">
        <v>0.4327368836123752</v>
      </c>
    </row>
    <row r="199">
      <c r="A199" t="inlineStr">
        <is>
          <t>SoBCaICbIC-urbanresidential.csv</t>
        </is>
      </c>
      <c r="B199" t="inlineStr">
        <is>
          <t>Appliances</t>
        </is>
      </c>
      <c r="C199" t="inlineStr">
        <is>
          <t>ISIC 08</t>
        </is>
      </c>
      <c r="D199" t="inlineStr">
        <is>
          <t>ISIC 07T08</t>
        </is>
      </c>
      <c r="E199" t="n">
        <v>0.5672631163876248</v>
      </c>
      <c r="F199" t="inlineStr">
        <is>
          <t>BEA 2024 output share (default)</t>
        </is>
      </c>
      <c r="G199" t="n">
        <v>0.5672631163876248</v>
      </c>
    </row>
    <row r="200">
      <c r="A200" t="inlineStr">
        <is>
          <t>SoBCaICbIC-urbanresidential.csv</t>
        </is>
      </c>
      <c r="B200" t="inlineStr">
        <is>
          <t>Appliances</t>
        </is>
      </c>
      <c r="C200" t="inlineStr">
        <is>
          <t>ISIC 301</t>
        </is>
      </c>
      <c r="D200" t="inlineStr">
        <is>
          <t>ISIC 30</t>
        </is>
      </c>
      <c r="E200" t="n">
        <v>0.1171368722490322</v>
      </c>
      <c r="F200" t="inlineStr">
        <is>
          <t>BEA 2024 output share (default)</t>
        </is>
      </c>
      <c r="G200" t="n">
        <v>0.1171368722490322</v>
      </c>
    </row>
    <row r="201">
      <c r="A201" t="inlineStr">
        <is>
          <t>SoBCaICbIC-urbanresidential.csv</t>
        </is>
      </c>
      <c r="B201" t="inlineStr">
        <is>
          <t>Appliances</t>
        </is>
      </c>
      <c r="C201" t="inlineStr">
        <is>
          <t>ISIC 302T309</t>
        </is>
      </c>
      <c r="D201" t="inlineStr">
        <is>
          <t>ISIC 30</t>
        </is>
      </c>
      <c r="E201" t="n">
        <v>0.8828631277509678</v>
      </c>
      <c r="F201" t="inlineStr">
        <is>
          <t>BEA 2024 output share (default)</t>
        </is>
      </c>
      <c r="G201" t="n">
        <v>0.8828631277509678</v>
      </c>
    </row>
    <row r="202">
      <c r="A202" t="inlineStr">
        <is>
          <t>SoBCaICbIC-urbanresidential.csv</t>
        </is>
      </c>
      <c r="B202" t="inlineStr">
        <is>
          <t>Appliances</t>
        </is>
      </c>
      <c r="C202" t="inlineStr">
        <is>
          <t>ISIC 49</t>
        </is>
      </c>
      <c r="D202" t="inlineStr">
        <is>
          <t>ISIC 49T53</t>
        </is>
      </c>
      <c r="E202" t="n">
        <v>0.45630816353267</v>
      </c>
      <c r="F202" t="inlineStr">
        <is>
          <t>BEA 2024 output share (default)</t>
        </is>
      </c>
      <c r="G202" t="n">
        <v>0.45630816353267</v>
      </c>
    </row>
    <row r="203">
      <c r="A203" t="inlineStr">
        <is>
          <t>SoBCaICbIC-urbanresidential.csv</t>
        </is>
      </c>
      <c r="B203" t="inlineStr">
        <is>
          <t>Appliances</t>
        </is>
      </c>
      <c r="C203" t="inlineStr">
        <is>
          <t>ISIC 50</t>
        </is>
      </c>
      <c r="D203" t="inlineStr">
        <is>
          <t>ISIC 49T53</t>
        </is>
      </c>
      <c r="E203" t="n">
        <v>0.04437004750051631</v>
      </c>
      <c r="F203" t="inlineStr">
        <is>
          <t>BEA 2024 output share (default)</t>
        </is>
      </c>
      <c r="G203" t="n">
        <v>0.04437004750051631</v>
      </c>
    </row>
    <row r="204">
      <c r="A204" t="inlineStr">
        <is>
          <t>SoBCaICbIC-urbanresidential.csv</t>
        </is>
      </c>
      <c r="B204" t="inlineStr">
        <is>
          <t>Appliances</t>
        </is>
      </c>
      <c r="C204" t="inlineStr">
        <is>
          <t>ISIC 51</t>
        </is>
      </c>
      <c r="D204" t="inlineStr">
        <is>
          <t>ISIC 49T53</t>
        </is>
      </c>
      <c r="E204" t="n">
        <v>0.1883750452665103</v>
      </c>
      <c r="F204" t="inlineStr">
        <is>
          <t>BEA 2024 output share (default)</t>
        </is>
      </c>
      <c r="G204" t="n">
        <v>0.1883750452665103</v>
      </c>
    </row>
    <row r="205">
      <c r="A205" t="inlineStr">
        <is>
          <t>SoBCaICbIC-urbanresidential.csv</t>
        </is>
      </c>
      <c r="B205" t="inlineStr">
        <is>
          <t>Appliances</t>
        </is>
      </c>
      <c r="C205" t="inlineStr">
        <is>
          <t>ISIC 52</t>
        </is>
      </c>
      <c r="D205" t="inlineStr">
        <is>
          <t>ISIC 49T53</t>
        </is>
      </c>
      <c r="E205" t="n">
        <v>0.2228651226758185</v>
      </c>
      <c r="F205" t="inlineStr">
        <is>
          <t>BEA 2024 output share (default)</t>
        </is>
      </c>
      <c r="G205" t="n">
        <v>0.2228651226758185</v>
      </c>
    </row>
    <row r="206">
      <c r="A206" t="inlineStr">
        <is>
          <t>SoBCaICbIC-urbanresidential.csv</t>
        </is>
      </c>
      <c r="B206" t="inlineStr">
        <is>
          <t>Appliances</t>
        </is>
      </c>
      <c r="C206" t="inlineStr">
        <is>
          <t>ISIC 53</t>
        </is>
      </c>
      <c r="D206" t="inlineStr">
        <is>
          <t>ISIC 49T53</t>
        </is>
      </c>
      <c r="E206" t="n">
        <v>0.08808162102448482</v>
      </c>
      <c r="F206" t="inlineStr">
        <is>
          <t>BEA 2024 output share (default)</t>
        </is>
      </c>
      <c r="G206" t="n">
        <v>0.08808162102448482</v>
      </c>
    </row>
    <row r="207">
      <c r="A207" t="inlineStr">
        <is>
          <t>SoBCaICbIC-urbanresidential.csv</t>
        </is>
      </c>
      <c r="B207" t="inlineStr">
        <is>
          <t>Appliances</t>
        </is>
      </c>
      <c r="C207" t="inlineStr">
        <is>
          <t>ISIC 69T75</t>
        </is>
      </c>
      <c r="D207" t="inlineStr">
        <is>
          <t>ISIC 69T82</t>
        </is>
      </c>
      <c r="E207" t="n">
        <v>1</v>
      </c>
      <c r="F207" t="inlineStr">
        <is>
          <t>semantic override</t>
        </is>
      </c>
      <c r="G207" t="n">
        <v>0.7298219447914125</v>
      </c>
    </row>
    <row r="208">
      <c r="A208" t="inlineStr">
        <is>
          <t>SoBCaICbIC-urbanresidential.csv</t>
        </is>
      </c>
      <c r="B208" t="inlineStr">
        <is>
          <t>Appliances</t>
        </is>
      </c>
      <c r="C208" t="inlineStr">
        <is>
          <t>ISIC 77T82</t>
        </is>
      </c>
      <c r="D208" t="inlineStr">
        <is>
          <t>ISIC 69T82</t>
        </is>
      </c>
      <c r="E208" t="n">
        <v>0</v>
      </c>
      <c r="F208" t="inlineStr">
        <is>
          <t>semantic override</t>
        </is>
      </c>
      <c r="G208" t="n">
        <v>0.2701780552085875</v>
      </c>
    </row>
    <row r="209">
      <c r="A209" t="inlineStr">
        <is>
          <t>SoBCaICbIC-urbanresidential.csv</t>
        </is>
      </c>
      <c r="B209" t="inlineStr">
        <is>
          <t>Appliances</t>
        </is>
      </c>
      <c r="C209" t="inlineStr">
        <is>
          <t>ISIC 90T93</t>
        </is>
      </c>
      <c r="D209" t="inlineStr">
        <is>
          <t>ISIC 90T96</t>
        </is>
      </c>
      <c r="E209" t="n">
        <v>0.4216249514352275</v>
      </c>
      <c r="F209" t="inlineStr">
        <is>
          <t>BEA 2024 output share (default)</t>
        </is>
      </c>
      <c r="G209" t="n">
        <v>0.4216249514352275</v>
      </c>
    </row>
    <row r="210">
      <c r="A210" t="inlineStr">
        <is>
          <t>SoBCaICbIC-urbanresidential.csv</t>
        </is>
      </c>
      <c r="B210" t="inlineStr">
        <is>
          <t>Appliances</t>
        </is>
      </c>
      <c r="C210" t="inlineStr">
        <is>
          <t>ISIC 94T96</t>
        </is>
      </c>
      <c r="D210" t="inlineStr">
        <is>
          <t>ISIC 90T96</t>
        </is>
      </c>
      <c r="E210" t="n">
        <v>0.5783750485647725</v>
      </c>
      <c r="F210" t="inlineStr">
        <is>
          <t>BEA 2024 output share (default)</t>
        </is>
      </c>
      <c r="G210" t="n">
        <v>0.5783750485647725</v>
      </c>
    </row>
    <row r="211">
      <c r="A211" t="inlineStr">
        <is>
          <t>SoBCaICbIC-urbanresidential.csv</t>
        </is>
      </c>
      <c r="B211" t="inlineStr">
        <is>
          <t>Cooling</t>
        </is>
      </c>
      <c r="C211" t="inlineStr">
        <is>
          <t>ISIC 01</t>
        </is>
      </c>
      <c r="D211" t="inlineStr">
        <is>
          <t>ISIC 01T03</t>
        </is>
      </c>
      <c r="E211" t="n">
        <v>0.9429986826432329</v>
      </c>
      <c r="F211" t="inlineStr">
        <is>
          <t>BEA 2024 output share (default)</t>
        </is>
      </c>
      <c r="G211" t="n">
        <v>0.9429986826432329</v>
      </c>
    </row>
    <row r="212">
      <c r="A212" t="inlineStr">
        <is>
          <t>SoBCaICbIC-urbanresidential.csv</t>
        </is>
      </c>
      <c r="B212" t="inlineStr">
        <is>
          <t>Cooling</t>
        </is>
      </c>
      <c r="C212" t="inlineStr">
        <is>
          <t>ISIC 02</t>
        </is>
      </c>
      <c r="D212" t="inlineStr">
        <is>
          <t>ISIC 01T03</t>
        </is>
      </c>
      <c r="E212" t="n">
        <v>0.04176573136965662</v>
      </c>
      <c r="F212" t="inlineStr">
        <is>
          <t>BEA 2024 output share (default)</t>
        </is>
      </c>
      <c r="G212" t="n">
        <v>0.04176573136965662</v>
      </c>
    </row>
    <row r="213">
      <c r="A213" t="inlineStr">
        <is>
          <t>SoBCaICbIC-urbanresidential.csv</t>
        </is>
      </c>
      <c r="B213" t="inlineStr">
        <is>
          <t>Cooling</t>
        </is>
      </c>
      <c r="C213" t="inlineStr">
        <is>
          <t>ISIC 03</t>
        </is>
      </c>
      <c r="D213" t="inlineStr">
        <is>
          <t>ISIC 01T03</t>
        </is>
      </c>
      <c r="E213" t="n">
        <v>0.01523558598711041</v>
      </c>
      <c r="F213" t="inlineStr">
        <is>
          <t>BEA 2024 output share (default)</t>
        </is>
      </c>
      <c r="G213" t="n">
        <v>0.01523558598711041</v>
      </c>
    </row>
    <row r="214">
      <c r="A214" t="inlineStr">
        <is>
          <t>SoBCaICbIC-urbanresidential.csv</t>
        </is>
      </c>
      <c r="B214" t="inlineStr">
        <is>
          <t>Cooling</t>
        </is>
      </c>
      <c r="C214" t="inlineStr">
        <is>
          <t>ISIC 07</t>
        </is>
      </c>
      <c r="D214" t="inlineStr">
        <is>
          <t>ISIC 07T08</t>
        </is>
      </c>
      <c r="E214" t="n">
        <v>0.4327368836123752</v>
      </c>
      <c r="F214" t="inlineStr">
        <is>
          <t>BEA 2024 output share (default)</t>
        </is>
      </c>
      <c r="G214" t="n">
        <v>0.4327368836123752</v>
      </c>
    </row>
    <row r="215">
      <c r="A215" t="inlineStr">
        <is>
          <t>SoBCaICbIC-urbanresidential.csv</t>
        </is>
      </c>
      <c r="B215" t="inlineStr">
        <is>
          <t>Cooling</t>
        </is>
      </c>
      <c r="C215" t="inlineStr">
        <is>
          <t>ISIC 08</t>
        </is>
      </c>
      <c r="D215" t="inlineStr">
        <is>
          <t>ISIC 07T08</t>
        </is>
      </c>
      <c r="E215" t="n">
        <v>0.5672631163876248</v>
      </c>
      <c r="F215" t="inlineStr">
        <is>
          <t>BEA 2024 output share (default)</t>
        </is>
      </c>
      <c r="G215" t="n">
        <v>0.5672631163876248</v>
      </c>
    </row>
    <row r="216">
      <c r="A216" t="inlineStr">
        <is>
          <t>SoBCaICbIC-urbanresidential.csv</t>
        </is>
      </c>
      <c r="B216" t="inlineStr">
        <is>
          <t>Cooling</t>
        </is>
      </c>
      <c r="C216" t="inlineStr">
        <is>
          <t>ISIC 301</t>
        </is>
      </c>
      <c r="D216" t="inlineStr">
        <is>
          <t>ISIC 30</t>
        </is>
      </c>
      <c r="E216" t="n">
        <v>0.1171368722490322</v>
      </c>
      <c r="F216" t="inlineStr">
        <is>
          <t>BEA 2024 output share (default)</t>
        </is>
      </c>
      <c r="G216" t="n">
        <v>0.1171368722490322</v>
      </c>
    </row>
    <row r="217">
      <c r="A217" t="inlineStr">
        <is>
          <t>SoBCaICbIC-urbanresidential.csv</t>
        </is>
      </c>
      <c r="B217" t="inlineStr">
        <is>
          <t>Cooling</t>
        </is>
      </c>
      <c r="C217" t="inlineStr">
        <is>
          <t>ISIC 302T309</t>
        </is>
      </c>
      <c r="D217" t="inlineStr">
        <is>
          <t>ISIC 30</t>
        </is>
      </c>
      <c r="E217" t="n">
        <v>0.8828631277509678</v>
      </c>
      <c r="F217" t="inlineStr">
        <is>
          <t>BEA 2024 output share (default)</t>
        </is>
      </c>
      <c r="G217" t="n">
        <v>0.8828631277509678</v>
      </c>
    </row>
    <row r="218">
      <c r="A218" t="inlineStr">
        <is>
          <t>SoBCaICbIC-urbanresidential.csv</t>
        </is>
      </c>
      <c r="B218" t="inlineStr">
        <is>
          <t>Cooling</t>
        </is>
      </c>
      <c r="C218" t="inlineStr">
        <is>
          <t>ISIC 49</t>
        </is>
      </c>
      <c r="D218" t="inlineStr">
        <is>
          <t>ISIC 49T53</t>
        </is>
      </c>
      <c r="E218" t="n">
        <v>0.45630816353267</v>
      </c>
      <c r="F218" t="inlineStr">
        <is>
          <t>BEA 2024 output share (default)</t>
        </is>
      </c>
      <c r="G218" t="n">
        <v>0.45630816353267</v>
      </c>
    </row>
    <row r="219">
      <c r="A219" t="inlineStr">
        <is>
          <t>SoBCaICbIC-urbanresidential.csv</t>
        </is>
      </c>
      <c r="B219" t="inlineStr">
        <is>
          <t>Cooling</t>
        </is>
      </c>
      <c r="C219" t="inlineStr">
        <is>
          <t>ISIC 50</t>
        </is>
      </c>
      <c r="D219" t="inlineStr">
        <is>
          <t>ISIC 49T53</t>
        </is>
      </c>
      <c r="E219" t="n">
        <v>0.04437004750051631</v>
      </c>
      <c r="F219" t="inlineStr">
        <is>
          <t>BEA 2024 output share (default)</t>
        </is>
      </c>
      <c r="G219" t="n">
        <v>0.04437004750051631</v>
      </c>
    </row>
    <row r="220">
      <c r="A220" t="inlineStr">
        <is>
          <t>SoBCaICbIC-urbanresidential.csv</t>
        </is>
      </c>
      <c r="B220" t="inlineStr">
        <is>
          <t>Cooling</t>
        </is>
      </c>
      <c r="C220" t="inlineStr">
        <is>
          <t>ISIC 51</t>
        </is>
      </c>
      <c r="D220" t="inlineStr">
        <is>
          <t>ISIC 49T53</t>
        </is>
      </c>
      <c r="E220" t="n">
        <v>0.1883750452665103</v>
      </c>
      <c r="F220" t="inlineStr">
        <is>
          <t>BEA 2024 output share (default)</t>
        </is>
      </c>
      <c r="G220" t="n">
        <v>0.1883750452665103</v>
      </c>
    </row>
    <row r="221">
      <c r="A221" t="inlineStr">
        <is>
          <t>SoBCaICbIC-urbanresidential.csv</t>
        </is>
      </c>
      <c r="B221" t="inlineStr">
        <is>
          <t>Cooling</t>
        </is>
      </c>
      <c r="C221" t="inlineStr">
        <is>
          <t>ISIC 52</t>
        </is>
      </c>
      <c r="D221" t="inlineStr">
        <is>
          <t>ISIC 49T53</t>
        </is>
      </c>
      <c r="E221" t="n">
        <v>0.2228651226758185</v>
      </c>
      <c r="F221" t="inlineStr">
        <is>
          <t>BEA 2024 output share (default)</t>
        </is>
      </c>
      <c r="G221" t="n">
        <v>0.2228651226758185</v>
      </c>
    </row>
    <row r="222">
      <c r="A222" t="inlineStr">
        <is>
          <t>SoBCaICbIC-urbanresidential.csv</t>
        </is>
      </c>
      <c r="B222" t="inlineStr">
        <is>
          <t>Cooling</t>
        </is>
      </c>
      <c r="C222" t="inlineStr">
        <is>
          <t>ISIC 53</t>
        </is>
      </c>
      <c r="D222" t="inlineStr">
        <is>
          <t>ISIC 49T53</t>
        </is>
      </c>
      <c r="E222" t="n">
        <v>0.08808162102448482</v>
      </c>
      <c r="F222" t="inlineStr">
        <is>
          <t>BEA 2024 output share (default)</t>
        </is>
      </c>
      <c r="G222" t="n">
        <v>0.08808162102448482</v>
      </c>
    </row>
    <row r="223">
      <c r="A223" t="inlineStr">
        <is>
          <t>SoBCaICbIC-urbanresidential.csv</t>
        </is>
      </c>
      <c r="B223" t="inlineStr">
        <is>
          <t>Cooling</t>
        </is>
      </c>
      <c r="C223" t="inlineStr">
        <is>
          <t>ISIC 69T75</t>
        </is>
      </c>
      <c r="D223" t="inlineStr">
        <is>
          <t>ISIC 69T82</t>
        </is>
      </c>
      <c r="E223" t="n">
        <v>1</v>
      </c>
      <c r="F223" t="inlineStr">
        <is>
          <t>semantic override</t>
        </is>
      </c>
      <c r="G223" t="n">
        <v>0.7298219447914125</v>
      </c>
    </row>
    <row r="224">
      <c r="A224" t="inlineStr">
        <is>
          <t>SoBCaICbIC-urbanresidential.csv</t>
        </is>
      </c>
      <c r="B224" t="inlineStr">
        <is>
          <t>Cooling</t>
        </is>
      </c>
      <c r="C224" t="inlineStr">
        <is>
          <t>ISIC 77T82</t>
        </is>
      </c>
      <c r="D224" t="inlineStr">
        <is>
          <t>ISIC 69T82</t>
        </is>
      </c>
      <c r="E224" t="n">
        <v>0</v>
      </c>
      <c r="F224" t="inlineStr">
        <is>
          <t>semantic override</t>
        </is>
      </c>
      <c r="G224" t="n">
        <v>0.2701780552085875</v>
      </c>
    </row>
    <row r="225">
      <c r="A225" t="inlineStr">
        <is>
          <t>SoBCaICbIC-urbanresidential.csv</t>
        </is>
      </c>
      <c r="B225" t="inlineStr">
        <is>
          <t>Cooling</t>
        </is>
      </c>
      <c r="C225" t="inlineStr">
        <is>
          <t>ISIC 90T93</t>
        </is>
      </c>
      <c r="D225" t="inlineStr">
        <is>
          <t>ISIC 90T96</t>
        </is>
      </c>
      <c r="E225" t="n">
        <v>0.4216249514352275</v>
      </c>
      <c r="F225" t="inlineStr">
        <is>
          <t>BEA 2024 output share (default)</t>
        </is>
      </c>
      <c r="G225" t="n">
        <v>0.4216249514352275</v>
      </c>
    </row>
    <row r="226">
      <c r="A226" t="inlineStr">
        <is>
          <t>SoBCaICbIC-urbanresidential.csv</t>
        </is>
      </c>
      <c r="B226" t="inlineStr">
        <is>
          <t>Cooling</t>
        </is>
      </c>
      <c r="C226" t="inlineStr">
        <is>
          <t>ISIC 94T96</t>
        </is>
      </c>
      <c r="D226" t="inlineStr">
        <is>
          <t>ISIC 90T96</t>
        </is>
      </c>
      <c r="E226" t="n">
        <v>0.5783750485647725</v>
      </c>
      <c r="F226" t="inlineStr">
        <is>
          <t>BEA 2024 output share (default)</t>
        </is>
      </c>
      <c r="G226" t="n">
        <v>0.5783750485647725</v>
      </c>
    </row>
    <row r="227">
      <c r="A227" t="inlineStr">
        <is>
          <t>SoBCaICbIC-urbanresidential.csv</t>
        </is>
      </c>
      <c r="B227" t="inlineStr">
        <is>
          <t>Envelope</t>
        </is>
      </c>
      <c r="C227" t="inlineStr">
        <is>
          <t>ISIC 01</t>
        </is>
      </c>
      <c r="D227" t="inlineStr">
        <is>
          <t>ISIC 01T03</t>
        </is>
      </c>
      <c r="E227" t="n">
        <v>0.9429986826432329</v>
      </c>
      <c r="F227" t="inlineStr">
        <is>
          <t>BEA 2024 output share (default)</t>
        </is>
      </c>
      <c r="G227" t="n">
        <v>0.9429986826432329</v>
      </c>
    </row>
    <row r="228">
      <c r="A228" t="inlineStr">
        <is>
          <t>SoBCaICbIC-urbanresidential.csv</t>
        </is>
      </c>
      <c r="B228" t="inlineStr">
        <is>
          <t>Envelope</t>
        </is>
      </c>
      <c r="C228" t="inlineStr">
        <is>
          <t>ISIC 02</t>
        </is>
      </c>
      <c r="D228" t="inlineStr">
        <is>
          <t>ISIC 01T03</t>
        </is>
      </c>
      <c r="E228" t="n">
        <v>0.04176573136965662</v>
      </c>
      <c r="F228" t="inlineStr">
        <is>
          <t>BEA 2024 output share (default)</t>
        </is>
      </c>
      <c r="G228" t="n">
        <v>0.04176573136965662</v>
      </c>
    </row>
    <row r="229">
      <c r="A229" t="inlineStr">
        <is>
          <t>SoBCaICbIC-urbanresidential.csv</t>
        </is>
      </c>
      <c r="B229" t="inlineStr">
        <is>
          <t>Envelope</t>
        </is>
      </c>
      <c r="C229" t="inlineStr">
        <is>
          <t>ISIC 03</t>
        </is>
      </c>
      <c r="D229" t="inlineStr">
        <is>
          <t>ISIC 01T03</t>
        </is>
      </c>
      <c r="E229" t="n">
        <v>0.01523558598711041</v>
      </c>
      <c r="F229" t="inlineStr">
        <is>
          <t>BEA 2024 output share (default)</t>
        </is>
      </c>
      <c r="G229" t="n">
        <v>0.01523558598711041</v>
      </c>
    </row>
    <row r="230">
      <c r="A230" t="inlineStr">
        <is>
          <t>SoBCaICbIC-urbanresidential.csv</t>
        </is>
      </c>
      <c r="B230" t="inlineStr">
        <is>
          <t>Envelope</t>
        </is>
      </c>
      <c r="C230" t="inlineStr">
        <is>
          <t>ISIC 07</t>
        </is>
      </c>
      <c r="D230" t="inlineStr">
        <is>
          <t>ISIC 07T08</t>
        </is>
      </c>
      <c r="E230" t="n">
        <v>0.4327368836123752</v>
      </c>
      <c r="F230" t="inlineStr">
        <is>
          <t>BEA 2024 output share (default)</t>
        </is>
      </c>
      <c r="G230" t="n">
        <v>0.4327368836123752</v>
      </c>
    </row>
    <row r="231">
      <c r="A231" t="inlineStr">
        <is>
          <t>SoBCaICbIC-urbanresidential.csv</t>
        </is>
      </c>
      <c r="B231" t="inlineStr">
        <is>
          <t>Envelope</t>
        </is>
      </c>
      <c r="C231" t="inlineStr">
        <is>
          <t>ISIC 08</t>
        </is>
      </c>
      <c r="D231" t="inlineStr">
        <is>
          <t>ISIC 07T08</t>
        </is>
      </c>
      <c r="E231" t="n">
        <v>0.5672631163876248</v>
      </c>
      <c r="F231" t="inlineStr">
        <is>
          <t>BEA 2024 output share (default)</t>
        </is>
      </c>
      <c r="G231" t="n">
        <v>0.5672631163876248</v>
      </c>
    </row>
    <row r="232">
      <c r="A232" t="inlineStr">
        <is>
          <t>SoBCaICbIC-urbanresidential.csv</t>
        </is>
      </c>
      <c r="B232" t="inlineStr">
        <is>
          <t>Envelope</t>
        </is>
      </c>
      <c r="C232" t="inlineStr">
        <is>
          <t>ISIC 301</t>
        </is>
      </c>
      <c r="D232" t="inlineStr">
        <is>
          <t>ISIC 30</t>
        </is>
      </c>
      <c r="E232" t="n">
        <v>0.1171368722490322</v>
      </c>
      <c r="F232" t="inlineStr">
        <is>
          <t>BEA 2024 output share (default)</t>
        </is>
      </c>
      <c r="G232" t="n">
        <v>0.1171368722490322</v>
      </c>
    </row>
    <row r="233">
      <c r="A233" t="inlineStr">
        <is>
          <t>SoBCaICbIC-urbanresidential.csv</t>
        </is>
      </c>
      <c r="B233" t="inlineStr">
        <is>
          <t>Envelope</t>
        </is>
      </c>
      <c r="C233" t="inlineStr">
        <is>
          <t>ISIC 302T309</t>
        </is>
      </c>
      <c r="D233" t="inlineStr">
        <is>
          <t>ISIC 30</t>
        </is>
      </c>
      <c r="E233" t="n">
        <v>0.8828631277509678</v>
      </c>
      <c r="F233" t="inlineStr">
        <is>
          <t>BEA 2024 output share (default)</t>
        </is>
      </c>
      <c r="G233" t="n">
        <v>0.8828631277509678</v>
      </c>
    </row>
    <row r="234">
      <c r="A234" t="inlineStr">
        <is>
          <t>SoBCaICbIC-urbanresidential.csv</t>
        </is>
      </c>
      <c r="B234" t="inlineStr">
        <is>
          <t>Envelope</t>
        </is>
      </c>
      <c r="C234" t="inlineStr">
        <is>
          <t>ISIC 49</t>
        </is>
      </c>
      <c r="D234" t="inlineStr">
        <is>
          <t>ISIC 49T53</t>
        </is>
      </c>
      <c r="E234" t="n">
        <v>0.45630816353267</v>
      </c>
      <c r="F234" t="inlineStr">
        <is>
          <t>BEA 2024 output share (default)</t>
        </is>
      </c>
      <c r="G234" t="n">
        <v>0.45630816353267</v>
      </c>
    </row>
    <row r="235">
      <c r="A235" t="inlineStr">
        <is>
          <t>SoBCaICbIC-urbanresidential.csv</t>
        </is>
      </c>
      <c r="B235" t="inlineStr">
        <is>
          <t>Envelope</t>
        </is>
      </c>
      <c r="C235" t="inlineStr">
        <is>
          <t>ISIC 50</t>
        </is>
      </c>
      <c r="D235" t="inlineStr">
        <is>
          <t>ISIC 49T53</t>
        </is>
      </c>
      <c r="E235" t="n">
        <v>0.04437004750051631</v>
      </c>
      <c r="F235" t="inlineStr">
        <is>
          <t>BEA 2024 output share (default)</t>
        </is>
      </c>
      <c r="G235" t="n">
        <v>0.04437004750051631</v>
      </c>
    </row>
    <row r="236">
      <c r="A236" t="inlineStr">
        <is>
          <t>SoBCaICbIC-urbanresidential.csv</t>
        </is>
      </c>
      <c r="B236" t="inlineStr">
        <is>
          <t>Envelope</t>
        </is>
      </c>
      <c r="C236" t="inlineStr">
        <is>
          <t>ISIC 51</t>
        </is>
      </c>
      <c r="D236" t="inlineStr">
        <is>
          <t>ISIC 49T53</t>
        </is>
      </c>
      <c r="E236" t="n">
        <v>0.1883750452665103</v>
      </c>
      <c r="F236" t="inlineStr">
        <is>
          <t>BEA 2024 output share (default)</t>
        </is>
      </c>
      <c r="G236" t="n">
        <v>0.1883750452665103</v>
      </c>
    </row>
    <row r="237">
      <c r="A237" t="inlineStr">
        <is>
          <t>SoBCaICbIC-urbanresidential.csv</t>
        </is>
      </c>
      <c r="B237" t="inlineStr">
        <is>
          <t>Envelope</t>
        </is>
      </c>
      <c r="C237" t="inlineStr">
        <is>
          <t>ISIC 52</t>
        </is>
      </c>
      <c r="D237" t="inlineStr">
        <is>
          <t>ISIC 49T53</t>
        </is>
      </c>
      <c r="E237" t="n">
        <v>0.2228651226758185</v>
      </c>
      <c r="F237" t="inlineStr">
        <is>
          <t>BEA 2024 output share (default)</t>
        </is>
      </c>
      <c r="G237" t="n">
        <v>0.2228651226758185</v>
      </c>
    </row>
    <row r="238">
      <c r="A238" t="inlineStr">
        <is>
          <t>SoBCaICbIC-urbanresidential.csv</t>
        </is>
      </c>
      <c r="B238" t="inlineStr">
        <is>
          <t>Envelope</t>
        </is>
      </c>
      <c r="C238" t="inlineStr">
        <is>
          <t>ISIC 53</t>
        </is>
      </c>
      <c r="D238" t="inlineStr">
        <is>
          <t>ISIC 49T53</t>
        </is>
      </c>
      <c r="E238" t="n">
        <v>0.08808162102448482</v>
      </c>
      <c r="F238" t="inlineStr">
        <is>
          <t>BEA 2024 output share (default)</t>
        </is>
      </c>
      <c r="G238" t="n">
        <v>0.08808162102448482</v>
      </c>
    </row>
    <row r="239">
      <c r="A239" t="inlineStr">
        <is>
          <t>SoBCaICbIC-urbanresidential.csv</t>
        </is>
      </c>
      <c r="B239" t="inlineStr">
        <is>
          <t>Envelope</t>
        </is>
      </c>
      <c r="C239" t="inlineStr">
        <is>
          <t>ISIC 69T75</t>
        </is>
      </c>
      <c r="D239" t="inlineStr">
        <is>
          <t>ISIC 69T82</t>
        </is>
      </c>
      <c r="E239" t="n">
        <v>1</v>
      </c>
      <c r="F239" t="inlineStr">
        <is>
          <t>semantic override</t>
        </is>
      </c>
      <c r="G239" t="n">
        <v>0.7298219447914125</v>
      </c>
    </row>
    <row r="240">
      <c r="A240" t="inlineStr">
        <is>
          <t>SoBCaICbIC-urbanresidential.csv</t>
        </is>
      </c>
      <c r="B240" t="inlineStr">
        <is>
          <t>Envelope</t>
        </is>
      </c>
      <c r="C240" t="inlineStr">
        <is>
          <t>ISIC 77T82</t>
        </is>
      </c>
      <c r="D240" t="inlineStr">
        <is>
          <t>ISIC 69T82</t>
        </is>
      </c>
      <c r="E240" t="n">
        <v>0</v>
      </c>
      <c r="F240" t="inlineStr">
        <is>
          <t>semantic override</t>
        </is>
      </c>
      <c r="G240" t="n">
        <v>0.2701780552085875</v>
      </c>
    </row>
    <row r="241">
      <c r="A241" t="inlineStr">
        <is>
          <t>SoBCaICbIC-urbanresidential.csv</t>
        </is>
      </c>
      <c r="B241" t="inlineStr">
        <is>
          <t>Envelope</t>
        </is>
      </c>
      <c r="C241" t="inlineStr">
        <is>
          <t>ISIC 90T93</t>
        </is>
      </c>
      <c r="D241" t="inlineStr">
        <is>
          <t>ISIC 90T96</t>
        </is>
      </c>
      <c r="E241" t="n">
        <v>0.4216249514352275</v>
      </c>
      <c r="F241" t="inlineStr">
        <is>
          <t>BEA 2024 output share (default)</t>
        </is>
      </c>
      <c r="G241" t="n">
        <v>0.4216249514352275</v>
      </c>
    </row>
    <row r="242">
      <c r="A242" t="inlineStr">
        <is>
          <t>SoBCaICbIC-urbanresidential.csv</t>
        </is>
      </c>
      <c r="B242" t="inlineStr">
        <is>
          <t>Envelope</t>
        </is>
      </c>
      <c r="C242" t="inlineStr">
        <is>
          <t>ISIC 94T96</t>
        </is>
      </c>
      <c r="D242" t="inlineStr">
        <is>
          <t>ISIC 90T96</t>
        </is>
      </c>
      <c r="E242" t="n">
        <v>0.5783750485647725</v>
      </c>
      <c r="F242" t="inlineStr">
        <is>
          <t>BEA 2024 output share (default)</t>
        </is>
      </c>
      <c r="G242" t="n">
        <v>0.5783750485647725</v>
      </c>
    </row>
    <row r="243">
      <c r="A243" t="inlineStr">
        <is>
          <t>SoBCaICbIC-urbanresidential.csv</t>
        </is>
      </c>
      <c r="B243" t="inlineStr">
        <is>
          <t>Heating</t>
        </is>
      </c>
      <c r="C243" t="inlineStr">
        <is>
          <t>ISIC 01</t>
        </is>
      </c>
      <c r="D243" t="inlineStr">
        <is>
          <t>ISIC 01T03</t>
        </is>
      </c>
      <c r="E243" t="n">
        <v>0.9429986826432329</v>
      </c>
      <c r="F243" t="inlineStr">
        <is>
          <t>BEA 2024 output share (default)</t>
        </is>
      </c>
      <c r="G243" t="n">
        <v>0.9429986826432329</v>
      </c>
    </row>
    <row r="244">
      <c r="A244" t="inlineStr">
        <is>
          <t>SoBCaICbIC-urbanresidential.csv</t>
        </is>
      </c>
      <c r="B244" t="inlineStr">
        <is>
          <t>Heating</t>
        </is>
      </c>
      <c r="C244" t="inlineStr">
        <is>
          <t>ISIC 02</t>
        </is>
      </c>
      <c r="D244" t="inlineStr">
        <is>
          <t>ISIC 01T03</t>
        </is>
      </c>
      <c r="E244" t="n">
        <v>0.04176573136965662</v>
      </c>
      <c r="F244" t="inlineStr">
        <is>
          <t>BEA 2024 output share (default)</t>
        </is>
      </c>
      <c r="G244" t="n">
        <v>0.04176573136965662</v>
      </c>
    </row>
    <row r="245">
      <c r="A245" t="inlineStr">
        <is>
          <t>SoBCaICbIC-urbanresidential.csv</t>
        </is>
      </c>
      <c r="B245" t="inlineStr">
        <is>
          <t>Heating</t>
        </is>
      </c>
      <c r="C245" t="inlineStr">
        <is>
          <t>ISIC 03</t>
        </is>
      </c>
      <c r="D245" t="inlineStr">
        <is>
          <t>ISIC 01T03</t>
        </is>
      </c>
      <c r="E245" t="n">
        <v>0.01523558598711041</v>
      </c>
      <c r="F245" t="inlineStr">
        <is>
          <t>BEA 2024 output share (default)</t>
        </is>
      </c>
      <c r="G245" t="n">
        <v>0.01523558598711041</v>
      </c>
    </row>
    <row r="246">
      <c r="A246" t="inlineStr">
        <is>
          <t>SoBCaICbIC-urbanresidential.csv</t>
        </is>
      </c>
      <c r="B246" t="inlineStr">
        <is>
          <t>Heating</t>
        </is>
      </c>
      <c r="C246" t="inlineStr">
        <is>
          <t>ISIC 07</t>
        </is>
      </c>
      <c r="D246" t="inlineStr">
        <is>
          <t>ISIC 07T08</t>
        </is>
      </c>
      <c r="E246" t="n">
        <v>0.4327368836123752</v>
      </c>
      <c r="F246" t="inlineStr">
        <is>
          <t>BEA 2024 output share (default)</t>
        </is>
      </c>
      <c r="G246" t="n">
        <v>0.4327368836123752</v>
      </c>
    </row>
    <row r="247">
      <c r="A247" t="inlineStr">
        <is>
          <t>SoBCaICbIC-urbanresidential.csv</t>
        </is>
      </c>
      <c r="B247" t="inlineStr">
        <is>
          <t>Heating</t>
        </is>
      </c>
      <c r="C247" t="inlineStr">
        <is>
          <t>ISIC 08</t>
        </is>
      </c>
      <c r="D247" t="inlineStr">
        <is>
          <t>ISIC 07T08</t>
        </is>
      </c>
      <c r="E247" t="n">
        <v>0.5672631163876248</v>
      </c>
      <c r="F247" t="inlineStr">
        <is>
          <t>BEA 2024 output share (default)</t>
        </is>
      </c>
      <c r="G247" t="n">
        <v>0.5672631163876248</v>
      </c>
    </row>
    <row r="248">
      <c r="A248" t="inlineStr">
        <is>
          <t>SoBCaICbIC-urbanresidential.csv</t>
        </is>
      </c>
      <c r="B248" t="inlineStr">
        <is>
          <t>Heating</t>
        </is>
      </c>
      <c r="C248" t="inlineStr">
        <is>
          <t>ISIC 301</t>
        </is>
      </c>
      <c r="D248" t="inlineStr">
        <is>
          <t>ISIC 30</t>
        </is>
      </c>
      <c r="E248" t="n">
        <v>0.1171368722490322</v>
      </c>
      <c r="F248" t="inlineStr">
        <is>
          <t>BEA 2024 output share (default)</t>
        </is>
      </c>
      <c r="G248" t="n">
        <v>0.1171368722490322</v>
      </c>
    </row>
    <row r="249">
      <c r="A249" t="inlineStr">
        <is>
          <t>SoBCaICbIC-urbanresidential.csv</t>
        </is>
      </c>
      <c r="B249" t="inlineStr">
        <is>
          <t>Heating</t>
        </is>
      </c>
      <c r="C249" t="inlineStr">
        <is>
          <t>ISIC 302T309</t>
        </is>
      </c>
      <c r="D249" t="inlineStr">
        <is>
          <t>ISIC 30</t>
        </is>
      </c>
      <c r="E249" t="n">
        <v>0.8828631277509678</v>
      </c>
      <c r="F249" t="inlineStr">
        <is>
          <t>BEA 2024 output share (default)</t>
        </is>
      </c>
      <c r="G249" t="n">
        <v>0.8828631277509678</v>
      </c>
    </row>
    <row r="250">
      <c r="A250" t="inlineStr">
        <is>
          <t>SoBCaICbIC-urbanresidential.csv</t>
        </is>
      </c>
      <c r="B250" t="inlineStr">
        <is>
          <t>Heating</t>
        </is>
      </c>
      <c r="C250" t="inlineStr">
        <is>
          <t>ISIC 49</t>
        </is>
      </c>
      <c r="D250" t="inlineStr">
        <is>
          <t>ISIC 49T53</t>
        </is>
      </c>
      <c r="E250" t="n">
        <v>0.45630816353267</v>
      </c>
      <c r="F250" t="inlineStr">
        <is>
          <t>BEA 2024 output share (default)</t>
        </is>
      </c>
      <c r="G250" t="n">
        <v>0.45630816353267</v>
      </c>
    </row>
    <row r="251">
      <c r="A251" t="inlineStr">
        <is>
          <t>SoBCaICbIC-urbanresidential.csv</t>
        </is>
      </c>
      <c r="B251" t="inlineStr">
        <is>
          <t>Heating</t>
        </is>
      </c>
      <c r="C251" t="inlineStr">
        <is>
          <t>ISIC 50</t>
        </is>
      </c>
      <c r="D251" t="inlineStr">
        <is>
          <t>ISIC 49T53</t>
        </is>
      </c>
      <c r="E251" t="n">
        <v>0.04437004750051631</v>
      </c>
      <c r="F251" t="inlineStr">
        <is>
          <t>BEA 2024 output share (default)</t>
        </is>
      </c>
      <c r="G251" t="n">
        <v>0.04437004750051631</v>
      </c>
    </row>
    <row r="252">
      <c r="A252" t="inlineStr">
        <is>
          <t>SoBCaICbIC-urbanresidential.csv</t>
        </is>
      </c>
      <c r="B252" t="inlineStr">
        <is>
          <t>Heating</t>
        </is>
      </c>
      <c r="C252" t="inlineStr">
        <is>
          <t>ISIC 51</t>
        </is>
      </c>
      <c r="D252" t="inlineStr">
        <is>
          <t>ISIC 49T53</t>
        </is>
      </c>
      <c r="E252" t="n">
        <v>0.1883750452665103</v>
      </c>
      <c r="F252" t="inlineStr">
        <is>
          <t>BEA 2024 output share (default)</t>
        </is>
      </c>
      <c r="G252" t="n">
        <v>0.1883750452665103</v>
      </c>
    </row>
    <row r="253">
      <c r="A253" t="inlineStr">
        <is>
          <t>SoBCaICbIC-urbanresidential.csv</t>
        </is>
      </c>
      <c r="B253" t="inlineStr">
        <is>
          <t>Heating</t>
        </is>
      </c>
      <c r="C253" t="inlineStr">
        <is>
          <t>ISIC 52</t>
        </is>
      </c>
      <c r="D253" t="inlineStr">
        <is>
          <t>ISIC 49T53</t>
        </is>
      </c>
      <c r="E253" t="n">
        <v>0.2228651226758185</v>
      </c>
      <c r="F253" t="inlineStr">
        <is>
          <t>BEA 2024 output share (default)</t>
        </is>
      </c>
      <c r="G253" t="n">
        <v>0.2228651226758185</v>
      </c>
    </row>
    <row r="254">
      <c r="A254" t="inlineStr">
        <is>
          <t>SoBCaICbIC-urbanresidential.csv</t>
        </is>
      </c>
      <c r="B254" t="inlineStr">
        <is>
          <t>Heating</t>
        </is>
      </c>
      <c r="C254" t="inlineStr">
        <is>
          <t>ISIC 53</t>
        </is>
      </c>
      <c r="D254" t="inlineStr">
        <is>
          <t>ISIC 49T53</t>
        </is>
      </c>
      <c r="E254" t="n">
        <v>0.08808162102448482</v>
      </c>
      <c r="F254" t="inlineStr">
        <is>
          <t>BEA 2024 output share (default)</t>
        </is>
      </c>
      <c r="G254" t="n">
        <v>0.08808162102448482</v>
      </c>
    </row>
    <row r="255">
      <c r="A255" t="inlineStr">
        <is>
          <t>SoBCaICbIC-urbanresidential.csv</t>
        </is>
      </c>
      <c r="B255" t="inlineStr">
        <is>
          <t>Heating</t>
        </is>
      </c>
      <c r="C255" t="inlineStr">
        <is>
          <t>ISIC 69T75</t>
        </is>
      </c>
      <c r="D255" t="inlineStr">
        <is>
          <t>ISIC 69T82</t>
        </is>
      </c>
      <c r="E255" t="n">
        <v>1</v>
      </c>
      <c r="F255" t="inlineStr">
        <is>
          <t>semantic override</t>
        </is>
      </c>
      <c r="G255" t="n">
        <v>0.7298219447914125</v>
      </c>
    </row>
    <row r="256">
      <c r="A256" t="inlineStr">
        <is>
          <t>SoBCaICbIC-urbanresidential.csv</t>
        </is>
      </c>
      <c r="B256" t="inlineStr">
        <is>
          <t>Heating</t>
        </is>
      </c>
      <c r="C256" t="inlineStr">
        <is>
          <t>ISIC 77T82</t>
        </is>
      </c>
      <c r="D256" t="inlineStr">
        <is>
          <t>ISIC 69T82</t>
        </is>
      </c>
      <c r="E256" t="n">
        <v>0</v>
      </c>
      <c r="F256" t="inlineStr">
        <is>
          <t>semantic override</t>
        </is>
      </c>
      <c r="G256" t="n">
        <v>0.2701780552085875</v>
      </c>
    </row>
    <row r="257">
      <c r="A257" t="inlineStr">
        <is>
          <t>SoBCaICbIC-urbanresidential.csv</t>
        </is>
      </c>
      <c r="B257" t="inlineStr">
        <is>
          <t>Heating</t>
        </is>
      </c>
      <c r="C257" t="inlineStr">
        <is>
          <t>ISIC 90T93</t>
        </is>
      </c>
      <c r="D257" t="inlineStr">
        <is>
          <t>ISIC 90T96</t>
        </is>
      </c>
      <c r="E257" t="n">
        <v>0.4216249514352275</v>
      </c>
      <c r="F257" t="inlineStr">
        <is>
          <t>BEA 2024 output share (default)</t>
        </is>
      </c>
      <c r="G257" t="n">
        <v>0.4216249514352275</v>
      </c>
    </row>
    <row r="258">
      <c r="A258" t="inlineStr">
        <is>
          <t>SoBCaICbIC-urbanresidential.csv</t>
        </is>
      </c>
      <c r="B258" t="inlineStr">
        <is>
          <t>Heating</t>
        </is>
      </c>
      <c r="C258" t="inlineStr">
        <is>
          <t>ISIC 94T96</t>
        </is>
      </c>
      <c r="D258" t="inlineStr">
        <is>
          <t>ISIC 90T96</t>
        </is>
      </c>
      <c r="E258" t="n">
        <v>0.5783750485647725</v>
      </c>
      <c r="F258" t="inlineStr">
        <is>
          <t>BEA 2024 output share (default)</t>
        </is>
      </c>
      <c r="G258" t="n">
        <v>0.5783750485647725</v>
      </c>
    </row>
    <row r="259">
      <c r="A259" t="inlineStr">
        <is>
          <t>SoBCaICbIC-urbanresidential.csv</t>
        </is>
      </c>
      <c r="B259" t="inlineStr">
        <is>
          <t>Lighting</t>
        </is>
      </c>
      <c r="C259" t="inlineStr">
        <is>
          <t>ISIC 01</t>
        </is>
      </c>
      <c r="D259" t="inlineStr">
        <is>
          <t>ISIC 01T03</t>
        </is>
      </c>
      <c r="E259" t="n">
        <v>0.9429986826432329</v>
      </c>
      <c r="F259" t="inlineStr">
        <is>
          <t>BEA 2024 output share (default)</t>
        </is>
      </c>
      <c r="G259" t="n">
        <v>0.9429986826432329</v>
      </c>
    </row>
    <row r="260">
      <c r="A260" t="inlineStr">
        <is>
          <t>SoBCaICbIC-urbanresidential.csv</t>
        </is>
      </c>
      <c r="B260" t="inlineStr">
        <is>
          <t>Lighting</t>
        </is>
      </c>
      <c r="C260" t="inlineStr">
        <is>
          <t>ISIC 02</t>
        </is>
      </c>
      <c r="D260" t="inlineStr">
        <is>
          <t>ISIC 01T03</t>
        </is>
      </c>
      <c r="E260" t="n">
        <v>0.04176573136965662</v>
      </c>
      <c r="F260" t="inlineStr">
        <is>
          <t>BEA 2024 output share (default)</t>
        </is>
      </c>
      <c r="G260" t="n">
        <v>0.04176573136965662</v>
      </c>
    </row>
    <row r="261">
      <c r="A261" t="inlineStr">
        <is>
          <t>SoBCaICbIC-urbanresidential.csv</t>
        </is>
      </c>
      <c r="B261" t="inlineStr">
        <is>
          <t>Lighting</t>
        </is>
      </c>
      <c r="C261" t="inlineStr">
        <is>
          <t>ISIC 03</t>
        </is>
      </c>
      <c r="D261" t="inlineStr">
        <is>
          <t>ISIC 01T03</t>
        </is>
      </c>
      <c r="E261" t="n">
        <v>0.01523558598711041</v>
      </c>
      <c r="F261" t="inlineStr">
        <is>
          <t>BEA 2024 output share (default)</t>
        </is>
      </c>
      <c r="G261" t="n">
        <v>0.01523558598711041</v>
      </c>
    </row>
    <row r="262">
      <c r="A262" t="inlineStr">
        <is>
          <t>SoBCaICbIC-urbanresidential.csv</t>
        </is>
      </c>
      <c r="B262" t="inlineStr">
        <is>
          <t>Lighting</t>
        </is>
      </c>
      <c r="C262" t="inlineStr">
        <is>
          <t>ISIC 07</t>
        </is>
      </c>
      <c r="D262" t="inlineStr">
        <is>
          <t>ISIC 07T08</t>
        </is>
      </c>
      <c r="E262" t="n">
        <v>0.4327368836123752</v>
      </c>
      <c r="F262" t="inlineStr">
        <is>
          <t>BEA 2024 output share (default)</t>
        </is>
      </c>
      <c r="G262" t="n">
        <v>0.4327368836123752</v>
      </c>
    </row>
    <row r="263">
      <c r="A263" t="inlineStr">
        <is>
          <t>SoBCaICbIC-urbanresidential.csv</t>
        </is>
      </c>
      <c r="B263" t="inlineStr">
        <is>
          <t>Lighting</t>
        </is>
      </c>
      <c r="C263" t="inlineStr">
        <is>
          <t>ISIC 08</t>
        </is>
      </c>
      <c r="D263" t="inlineStr">
        <is>
          <t>ISIC 07T08</t>
        </is>
      </c>
      <c r="E263" t="n">
        <v>0.5672631163876248</v>
      </c>
      <c r="F263" t="inlineStr">
        <is>
          <t>BEA 2024 output share (default)</t>
        </is>
      </c>
      <c r="G263" t="n">
        <v>0.5672631163876248</v>
      </c>
    </row>
    <row r="264">
      <c r="A264" t="inlineStr">
        <is>
          <t>SoBCaICbIC-urbanresidential.csv</t>
        </is>
      </c>
      <c r="B264" t="inlineStr">
        <is>
          <t>Lighting</t>
        </is>
      </c>
      <c r="C264" t="inlineStr">
        <is>
          <t>ISIC 301</t>
        </is>
      </c>
      <c r="D264" t="inlineStr">
        <is>
          <t>ISIC 30</t>
        </is>
      </c>
      <c r="E264" t="n">
        <v>0.1171368722490322</v>
      </c>
      <c r="F264" t="inlineStr">
        <is>
          <t>BEA 2024 output share (default)</t>
        </is>
      </c>
      <c r="G264" t="n">
        <v>0.1171368722490322</v>
      </c>
    </row>
    <row r="265">
      <c r="A265" t="inlineStr">
        <is>
          <t>SoBCaICbIC-urbanresidential.csv</t>
        </is>
      </c>
      <c r="B265" t="inlineStr">
        <is>
          <t>Lighting</t>
        </is>
      </c>
      <c r="C265" t="inlineStr">
        <is>
          <t>ISIC 302T309</t>
        </is>
      </c>
      <c r="D265" t="inlineStr">
        <is>
          <t>ISIC 30</t>
        </is>
      </c>
      <c r="E265" t="n">
        <v>0.8828631277509678</v>
      </c>
      <c r="F265" t="inlineStr">
        <is>
          <t>BEA 2024 output share (default)</t>
        </is>
      </c>
      <c r="G265" t="n">
        <v>0.8828631277509678</v>
      </c>
    </row>
    <row r="266">
      <c r="A266" t="inlineStr">
        <is>
          <t>SoBCaICbIC-urbanresidential.csv</t>
        </is>
      </c>
      <c r="B266" t="inlineStr">
        <is>
          <t>Lighting</t>
        </is>
      </c>
      <c r="C266" t="inlineStr">
        <is>
          <t>ISIC 49</t>
        </is>
      </c>
      <c r="D266" t="inlineStr">
        <is>
          <t>ISIC 49T53</t>
        </is>
      </c>
      <c r="E266" t="n">
        <v>0.45630816353267</v>
      </c>
      <c r="F266" t="inlineStr">
        <is>
          <t>BEA 2024 output share (default)</t>
        </is>
      </c>
      <c r="G266" t="n">
        <v>0.45630816353267</v>
      </c>
    </row>
    <row r="267">
      <c r="A267" t="inlineStr">
        <is>
          <t>SoBCaICbIC-urbanresidential.csv</t>
        </is>
      </c>
      <c r="B267" t="inlineStr">
        <is>
          <t>Lighting</t>
        </is>
      </c>
      <c r="C267" t="inlineStr">
        <is>
          <t>ISIC 50</t>
        </is>
      </c>
      <c r="D267" t="inlineStr">
        <is>
          <t>ISIC 49T53</t>
        </is>
      </c>
      <c r="E267" t="n">
        <v>0.04437004750051631</v>
      </c>
      <c r="F267" t="inlineStr">
        <is>
          <t>BEA 2024 output share (default)</t>
        </is>
      </c>
      <c r="G267" t="n">
        <v>0.04437004750051631</v>
      </c>
    </row>
    <row r="268">
      <c r="A268" t="inlineStr">
        <is>
          <t>SoBCaICbIC-urbanresidential.csv</t>
        </is>
      </c>
      <c r="B268" t="inlineStr">
        <is>
          <t>Lighting</t>
        </is>
      </c>
      <c r="C268" t="inlineStr">
        <is>
          <t>ISIC 51</t>
        </is>
      </c>
      <c r="D268" t="inlineStr">
        <is>
          <t>ISIC 49T53</t>
        </is>
      </c>
      <c r="E268" t="n">
        <v>0.1883750452665103</v>
      </c>
      <c r="F268" t="inlineStr">
        <is>
          <t>BEA 2024 output share (default)</t>
        </is>
      </c>
      <c r="G268" t="n">
        <v>0.1883750452665103</v>
      </c>
    </row>
    <row r="269">
      <c r="A269" t="inlineStr">
        <is>
          <t>SoBCaICbIC-urbanresidential.csv</t>
        </is>
      </c>
      <c r="B269" t="inlineStr">
        <is>
          <t>Lighting</t>
        </is>
      </c>
      <c r="C269" t="inlineStr">
        <is>
          <t>ISIC 52</t>
        </is>
      </c>
      <c r="D269" t="inlineStr">
        <is>
          <t>ISIC 49T53</t>
        </is>
      </c>
      <c r="E269" t="n">
        <v>0.2228651226758185</v>
      </c>
      <c r="F269" t="inlineStr">
        <is>
          <t>BEA 2024 output share (default)</t>
        </is>
      </c>
      <c r="G269" t="n">
        <v>0.2228651226758185</v>
      </c>
    </row>
    <row r="270">
      <c r="A270" t="inlineStr">
        <is>
          <t>SoBCaICbIC-urbanresidential.csv</t>
        </is>
      </c>
      <c r="B270" t="inlineStr">
        <is>
          <t>Lighting</t>
        </is>
      </c>
      <c r="C270" t="inlineStr">
        <is>
          <t>ISIC 53</t>
        </is>
      </c>
      <c r="D270" t="inlineStr">
        <is>
          <t>ISIC 49T53</t>
        </is>
      </c>
      <c r="E270" t="n">
        <v>0.08808162102448482</v>
      </c>
      <c r="F270" t="inlineStr">
        <is>
          <t>BEA 2024 output share (default)</t>
        </is>
      </c>
      <c r="G270" t="n">
        <v>0.08808162102448482</v>
      </c>
    </row>
    <row r="271">
      <c r="A271" t="inlineStr">
        <is>
          <t>SoBCaICbIC-urbanresidential.csv</t>
        </is>
      </c>
      <c r="B271" t="inlineStr">
        <is>
          <t>Lighting</t>
        </is>
      </c>
      <c r="C271" t="inlineStr">
        <is>
          <t>ISIC 69T75</t>
        </is>
      </c>
      <c r="D271" t="inlineStr">
        <is>
          <t>ISIC 69T82</t>
        </is>
      </c>
      <c r="E271" t="n">
        <v>1</v>
      </c>
      <c r="F271" t="inlineStr">
        <is>
          <t>semantic override</t>
        </is>
      </c>
      <c r="G271" t="n">
        <v>0.7298219447914125</v>
      </c>
    </row>
    <row r="272">
      <c r="A272" t="inlineStr">
        <is>
          <t>SoBCaICbIC-urbanresidential.csv</t>
        </is>
      </c>
      <c r="B272" t="inlineStr">
        <is>
          <t>Lighting</t>
        </is>
      </c>
      <c r="C272" t="inlineStr">
        <is>
          <t>ISIC 77T82</t>
        </is>
      </c>
      <c r="D272" t="inlineStr">
        <is>
          <t>ISIC 69T82</t>
        </is>
      </c>
      <c r="E272" t="n">
        <v>0</v>
      </c>
      <c r="F272" t="inlineStr">
        <is>
          <t>semantic override</t>
        </is>
      </c>
      <c r="G272" t="n">
        <v>0.2701780552085875</v>
      </c>
    </row>
    <row r="273">
      <c r="A273" t="inlineStr">
        <is>
          <t>SoBCaICbIC-urbanresidential.csv</t>
        </is>
      </c>
      <c r="B273" t="inlineStr">
        <is>
          <t>Lighting</t>
        </is>
      </c>
      <c r="C273" t="inlineStr">
        <is>
          <t>ISIC 90T93</t>
        </is>
      </c>
      <c r="D273" t="inlineStr">
        <is>
          <t>ISIC 90T96</t>
        </is>
      </c>
      <c r="E273" t="n">
        <v>0.4216249514352275</v>
      </c>
      <c r="F273" t="inlineStr">
        <is>
          <t>BEA 2024 output share (default)</t>
        </is>
      </c>
      <c r="G273" t="n">
        <v>0.4216249514352275</v>
      </c>
    </row>
    <row r="274">
      <c r="A274" t="inlineStr">
        <is>
          <t>SoBCaICbIC-urbanresidential.csv</t>
        </is>
      </c>
      <c r="B274" t="inlineStr">
        <is>
          <t>Lighting</t>
        </is>
      </c>
      <c r="C274" t="inlineStr">
        <is>
          <t>ISIC 94T96</t>
        </is>
      </c>
      <c r="D274" t="inlineStr">
        <is>
          <t>ISIC 90T96</t>
        </is>
      </c>
      <c r="E274" t="n">
        <v>0.5783750485647725</v>
      </c>
      <c r="F274" t="inlineStr">
        <is>
          <t>BEA 2024 output share (default)</t>
        </is>
      </c>
      <c r="G274" t="n">
        <v>0.5783750485647725</v>
      </c>
    </row>
    <row r="275">
      <c r="A275" t="inlineStr">
        <is>
          <t>SoBCaICbIC-urbanresidential.csv</t>
        </is>
      </c>
      <c r="B275" t="inlineStr">
        <is>
          <t>Other</t>
        </is>
      </c>
      <c r="C275" t="inlineStr">
        <is>
          <t>ISIC 01</t>
        </is>
      </c>
      <c r="D275" t="inlineStr">
        <is>
          <t>ISIC 01T03</t>
        </is>
      </c>
      <c r="E275" t="n">
        <v>0.9429986826432329</v>
      </c>
      <c r="F275" t="inlineStr">
        <is>
          <t>BEA 2024 output share (default)</t>
        </is>
      </c>
      <c r="G275" t="n">
        <v>0.9429986826432329</v>
      </c>
    </row>
    <row r="276">
      <c r="A276" t="inlineStr">
        <is>
          <t>SoBCaICbIC-urbanresidential.csv</t>
        </is>
      </c>
      <c r="B276" t="inlineStr">
        <is>
          <t>Other</t>
        </is>
      </c>
      <c r="C276" t="inlineStr">
        <is>
          <t>ISIC 02</t>
        </is>
      </c>
      <c r="D276" t="inlineStr">
        <is>
          <t>ISIC 01T03</t>
        </is>
      </c>
      <c r="E276" t="n">
        <v>0.04176573136965662</v>
      </c>
      <c r="F276" t="inlineStr">
        <is>
          <t>BEA 2024 output share (default)</t>
        </is>
      </c>
      <c r="G276" t="n">
        <v>0.04176573136965662</v>
      </c>
    </row>
    <row r="277">
      <c r="A277" t="inlineStr">
        <is>
          <t>SoBCaICbIC-urbanresidential.csv</t>
        </is>
      </c>
      <c r="B277" t="inlineStr">
        <is>
          <t>Other</t>
        </is>
      </c>
      <c r="C277" t="inlineStr">
        <is>
          <t>ISIC 03</t>
        </is>
      </c>
      <c r="D277" t="inlineStr">
        <is>
          <t>ISIC 01T03</t>
        </is>
      </c>
      <c r="E277" t="n">
        <v>0.01523558598711041</v>
      </c>
      <c r="F277" t="inlineStr">
        <is>
          <t>BEA 2024 output share (default)</t>
        </is>
      </c>
      <c r="G277" t="n">
        <v>0.01523558598711041</v>
      </c>
    </row>
    <row r="278">
      <c r="A278" t="inlineStr">
        <is>
          <t>SoBCaICbIC-urbanresidential.csv</t>
        </is>
      </c>
      <c r="B278" t="inlineStr">
        <is>
          <t>Other</t>
        </is>
      </c>
      <c r="C278" t="inlineStr">
        <is>
          <t>ISIC 07</t>
        </is>
      </c>
      <c r="D278" t="inlineStr">
        <is>
          <t>ISIC 07T08</t>
        </is>
      </c>
      <c r="E278" t="n">
        <v>0.4327368836123752</v>
      </c>
      <c r="F278" t="inlineStr">
        <is>
          <t>BEA 2024 output share (default)</t>
        </is>
      </c>
      <c r="G278" t="n">
        <v>0.4327368836123752</v>
      </c>
    </row>
    <row r="279">
      <c r="A279" t="inlineStr">
        <is>
          <t>SoBCaICbIC-urbanresidential.csv</t>
        </is>
      </c>
      <c r="B279" t="inlineStr">
        <is>
          <t>Other</t>
        </is>
      </c>
      <c r="C279" t="inlineStr">
        <is>
          <t>ISIC 08</t>
        </is>
      </c>
      <c r="D279" t="inlineStr">
        <is>
          <t>ISIC 07T08</t>
        </is>
      </c>
      <c r="E279" t="n">
        <v>0.5672631163876248</v>
      </c>
      <c r="F279" t="inlineStr">
        <is>
          <t>BEA 2024 output share (default)</t>
        </is>
      </c>
      <c r="G279" t="n">
        <v>0.5672631163876248</v>
      </c>
    </row>
    <row r="280">
      <c r="A280" t="inlineStr">
        <is>
          <t>SoBCaICbIC-urbanresidential.csv</t>
        </is>
      </c>
      <c r="B280" t="inlineStr">
        <is>
          <t>Other</t>
        </is>
      </c>
      <c r="C280" t="inlineStr">
        <is>
          <t>ISIC 301</t>
        </is>
      </c>
      <c r="D280" t="inlineStr">
        <is>
          <t>ISIC 30</t>
        </is>
      </c>
      <c r="E280" t="n">
        <v>0.1171368722490322</v>
      </c>
      <c r="F280" t="inlineStr">
        <is>
          <t>BEA 2024 output share (default)</t>
        </is>
      </c>
      <c r="G280" t="n">
        <v>0.1171368722490322</v>
      </c>
    </row>
    <row r="281">
      <c r="A281" t="inlineStr">
        <is>
          <t>SoBCaICbIC-urbanresidential.csv</t>
        </is>
      </c>
      <c r="B281" t="inlineStr">
        <is>
          <t>Other</t>
        </is>
      </c>
      <c r="C281" t="inlineStr">
        <is>
          <t>ISIC 302T309</t>
        </is>
      </c>
      <c r="D281" t="inlineStr">
        <is>
          <t>ISIC 30</t>
        </is>
      </c>
      <c r="E281" t="n">
        <v>0.8828631277509678</v>
      </c>
      <c r="F281" t="inlineStr">
        <is>
          <t>BEA 2024 output share (default)</t>
        </is>
      </c>
      <c r="G281" t="n">
        <v>0.8828631277509678</v>
      </c>
    </row>
    <row r="282">
      <c r="A282" t="inlineStr">
        <is>
          <t>SoBCaICbIC-urbanresidential.csv</t>
        </is>
      </c>
      <c r="B282" t="inlineStr">
        <is>
          <t>Other</t>
        </is>
      </c>
      <c r="C282" t="inlineStr">
        <is>
          <t>ISIC 49</t>
        </is>
      </c>
      <c r="D282" t="inlineStr">
        <is>
          <t>ISIC 49T53</t>
        </is>
      </c>
      <c r="E282" t="n">
        <v>0.45630816353267</v>
      </c>
      <c r="F282" t="inlineStr">
        <is>
          <t>BEA 2024 output share (default)</t>
        </is>
      </c>
      <c r="G282" t="n">
        <v>0.45630816353267</v>
      </c>
    </row>
    <row r="283">
      <c r="A283" t="inlineStr">
        <is>
          <t>SoBCaICbIC-urbanresidential.csv</t>
        </is>
      </c>
      <c r="B283" t="inlineStr">
        <is>
          <t>Other</t>
        </is>
      </c>
      <c r="C283" t="inlineStr">
        <is>
          <t>ISIC 50</t>
        </is>
      </c>
      <c r="D283" t="inlineStr">
        <is>
          <t>ISIC 49T53</t>
        </is>
      </c>
      <c r="E283" t="n">
        <v>0.04437004750051631</v>
      </c>
      <c r="F283" t="inlineStr">
        <is>
          <t>BEA 2024 output share (default)</t>
        </is>
      </c>
      <c r="G283" t="n">
        <v>0.04437004750051631</v>
      </c>
    </row>
    <row r="284">
      <c r="A284" t="inlineStr">
        <is>
          <t>SoBCaICbIC-urbanresidential.csv</t>
        </is>
      </c>
      <c r="B284" t="inlineStr">
        <is>
          <t>Other</t>
        </is>
      </c>
      <c r="C284" t="inlineStr">
        <is>
          <t>ISIC 51</t>
        </is>
      </c>
      <c r="D284" t="inlineStr">
        <is>
          <t>ISIC 49T53</t>
        </is>
      </c>
      <c r="E284" t="n">
        <v>0.1883750452665103</v>
      </c>
      <c r="F284" t="inlineStr">
        <is>
          <t>BEA 2024 output share (default)</t>
        </is>
      </c>
      <c r="G284" t="n">
        <v>0.1883750452665103</v>
      </c>
    </row>
    <row r="285">
      <c r="A285" t="inlineStr">
        <is>
          <t>SoBCaICbIC-urbanresidential.csv</t>
        </is>
      </c>
      <c r="B285" t="inlineStr">
        <is>
          <t>Other</t>
        </is>
      </c>
      <c r="C285" t="inlineStr">
        <is>
          <t>ISIC 52</t>
        </is>
      </c>
      <c r="D285" t="inlineStr">
        <is>
          <t>ISIC 49T53</t>
        </is>
      </c>
      <c r="E285" t="n">
        <v>0.2228651226758185</v>
      </c>
      <c r="F285" t="inlineStr">
        <is>
          <t>BEA 2024 output share (default)</t>
        </is>
      </c>
      <c r="G285" t="n">
        <v>0.2228651226758185</v>
      </c>
    </row>
    <row r="286">
      <c r="A286" t="inlineStr">
        <is>
          <t>SoBCaICbIC-urbanresidential.csv</t>
        </is>
      </c>
      <c r="B286" t="inlineStr">
        <is>
          <t>Other</t>
        </is>
      </c>
      <c r="C286" t="inlineStr">
        <is>
          <t>ISIC 53</t>
        </is>
      </c>
      <c r="D286" t="inlineStr">
        <is>
          <t>ISIC 49T53</t>
        </is>
      </c>
      <c r="E286" t="n">
        <v>0.08808162102448482</v>
      </c>
      <c r="F286" t="inlineStr">
        <is>
          <t>BEA 2024 output share (default)</t>
        </is>
      </c>
      <c r="G286" t="n">
        <v>0.08808162102448482</v>
      </c>
    </row>
    <row r="287">
      <c r="A287" t="inlineStr">
        <is>
          <t>SoBCaICbIC-urbanresidential.csv</t>
        </is>
      </c>
      <c r="B287" t="inlineStr">
        <is>
          <t>Other</t>
        </is>
      </c>
      <c r="C287" t="inlineStr">
        <is>
          <t>ISIC 69T75</t>
        </is>
      </c>
      <c r="D287" t="inlineStr">
        <is>
          <t>ISIC 69T82</t>
        </is>
      </c>
      <c r="E287" t="n">
        <v>1</v>
      </c>
      <c r="F287" t="inlineStr">
        <is>
          <t>semantic override</t>
        </is>
      </c>
      <c r="G287" t="n">
        <v>0.7298219447914125</v>
      </c>
    </row>
    <row r="288">
      <c r="A288" t="inlineStr">
        <is>
          <t>SoBCaICbIC-urbanresidential.csv</t>
        </is>
      </c>
      <c r="B288" t="inlineStr">
        <is>
          <t>Other</t>
        </is>
      </c>
      <c r="C288" t="inlineStr">
        <is>
          <t>ISIC 77T82</t>
        </is>
      </c>
      <c r="D288" t="inlineStr">
        <is>
          <t>ISIC 69T82</t>
        </is>
      </c>
      <c r="E288" t="n">
        <v>0</v>
      </c>
      <c r="F288" t="inlineStr">
        <is>
          <t>semantic override</t>
        </is>
      </c>
      <c r="G288" t="n">
        <v>0.2701780552085875</v>
      </c>
    </row>
    <row r="289">
      <c r="A289" t="inlineStr">
        <is>
          <t>SoBCaICbIC-urbanresidential.csv</t>
        </is>
      </c>
      <c r="B289" t="inlineStr">
        <is>
          <t>Other</t>
        </is>
      </c>
      <c r="C289" t="inlineStr">
        <is>
          <t>ISIC 90T93</t>
        </is>
      </c>
      <c r="D289" t="inlineStr">
        <is>
          <t>ISIC 90T96</t>
        </is>
      </c>
      <c r="E289" t="n">
        <v>0.4216249514352275</v>
      </c>
      <c r="F289" t="inlineStr">
        <is>
          <t>BEA 2024 output share (default)</t>
        </is>
      </c>
      <c r="G289" t="n">
        <v>0.4216249514352275</v>
      </c>
    </row>
    <row r="290">
      <c r="A290" t="inlineStr">
        <is>
          <t>SoBCaICbIC-urbanresidential.csv</t>
        </is>
      </c>
      <c r="B290" t="inlineStr">
        <is>
          <t>Other</t>
        </is>
      </c>
      <c r="C290" t="inlineStr">
        <is>
          <t>ISIC 94T96</t>
        </is>
      </c>
      <c r="D290" t="inlineStr">
        <is>
          <t>ISIC 90T96</t>
        </is>
      </c>
      <c r="E290" t="n">
        <v>0.5783750485647725</v>
      </c>
      <c r="F290" t="inlineStr">
        <is>
          <t>BEA 2024 output share (default)</t>
        </is>
      </c>
      <c r="G290" t="n">
        <v>0.5783750485647725</v>
      </c>
    </row>
  </sheetData>
  <pageMargins left="0.75" right="0.75" top="1" bottom="1" header="0.5" footer="0.5"/>
</worksheet>
</file>

<file path=xl/worksheets/sheet3.xml><?xml version="1.0" encoding="utf-8"?>
<worksheet xmlns="http://schemas.openxmlformats.org/spreadsheetml/2006/main">
  <sheetPr>
    <tabColor theme="0" tint="-0.3499862666707358"/>
    <outlinePr summaryBelow="1" summaryRight="1"/>
    <pageSetUpPr/>
  </sheetPr>
  <dimension ref="A1:A1"/>
  <sheetViews>
    <sheetView workbookViewId="0">
      <selection activeCell="A1" sqref="A1"/>
    </sheetView>
  </sheetViews>
  <sheetFormatPr baseColWidth="8" defaultRowHeight="14.25"/>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43"/>
  <sheetViews>
    <sheetView workbookViewId="0">
      <selection activeCell="A1" sqref="A1"/>
    </sheetView>
  </sheetViews>
  <sheetFormatPr baseColWidth="8" defaultRowHeight="14.25"/>
  <cols>
    <col width="77.3984375" bestFit="1" customWidth="1" style="100" min="1" max="1"/>
    <col width="12.1328125" bestFit="1" customWidth="1" style="100" min="2" max="2"/>
    <col width="20.3984375" bestFit="1" customWidth="1" style="100" min="3" max="3"/>
    <col width="20.3984375" customWidth="1" style="100" min="4" max="4"/>
    <col width="16" bestFit="1" customWidth="1" style="100" min="5" max="5"/>
    <col width="17.73046875" bestFit="1" customWidth="1" style="100" min="6" max="6"/>
    <col width="17.73046875" customWidth="1" style="100" min="7" max="7"/>
    <col width="14" bestFit="1" customWidth="1" style="100" min="8" max="8"/>
    <col width="21.53125" bestFit="1" customWidth="1" style="100" min="9" max="9"/>
    <col width="12" bestFit="1" customWidth="1" style="100" min="10" max="11"/>
  </cols>
  <sheetData>
    <row r="1" customFormat="1" s="2">
      <c r="A1" s="2" t="inlineStr">
        <is>
          <t>OECD Code</t>
        </is>
      </c>
      <c r="B1" s="2" t="inlineStr">
        <is>
          <t>ISIC Code</t>
        </is>
      </c>
    </row>
    <row r="2" ht="15.5" customHeight="1" s="100" thickBot="1">
      <c r="A2" t="inlineStr">
        <is>
          <t>D01T03: Agriculture, forestry and fishing</t>
        </is>
      </c>
      <c r="B2" t="inlineStr">
        <is>
          <t>ISIC 01T03</t>
        </is>
      </c>
    </row>
    <row r="3">
      <c r="A3" s="88" t="inlineStr">
        <is>
          <t>D05: Coal mining</t>
        </is>
      </c>
      <c r="B3" s="89" t="inlineStr">
        <is>
          <t>ISIC 05</t>
        </is>
      </c>
    </row>
    <row r="4" ht="15.5" customHeight="1" s="100" thickBot="1">
      <c r="A4" s="90" t="inlineStr">
        <is>
          <t>D06: Oil and gas extraction</t>
        </is>
      </c>
      <c r="B4" s="91" t="inlineStr">
        <is>
          <t>ISIC 06</t>
        </is>
      </c>
    </row>
    <row r="5">
      <c r="A5" t="inlineStr">
        <is>
          <t>D07T08: Mining and quarrying of non-energy producing products</t>
        </is>
      </c>
      <c r="B5" t="inlineStr">
        <is>
          <t>ISIC 07T08</t>
        </is>
      </c>
    </row>
    <row r="6">
      <c r="A6" t="inlineStr">
        <is>
          <t>D09: Mining support service activities</t>
        </is>
      </c>
      <c r="B6" t="inlineStr">
        <is>
          <t>ISIC 09</t>
        </is>
      </c>
    </row>
    <row r="7">
      <c r="A7" t="inlineStr">
        <is>
          <t>D10T12: Food products, beverages and tobacco</t>
        </is>
      </c>
      <c r="B7" t="inlineStr">
        <is>
          <t>ISIC 10T12</t>
        </is>
      </c>
    </row>
    <row r="8">
      <c r="A8" t="inlineStr">
        <is>
          <t>D13T15: Textiles, wearing apparel, leather and related products</t>
        </is>
      </c>
      <c r="B8" t="inlineStr">
        <is>
          <t>ISIC 13T15</t>
        </is>
      </c>
    </row>
    <row r="9">
      <c r="A9" t="inlineStr">
        <is>
          <t>D16: Wood and products of wood and cork</t>
        </is>
      </c>
      <c r="B9" t="inlineStr">
        <is>
          <t>ISIC 16</t>
        </is>
      </c>
    </row>
    <row r="10">
      <c r="A10" t="inlineStr">
        <is>
          <t>D17T18: Paper products and printing</t>
        </is>
      </c>
      <c r="B10" t="inlineStr">
        <is>
          <t>ISIC 17T18</t>
        </is>
      </c>
    </row>
    <row r="11" ht="15.5" customHeight="1" s="100" thickBot="1">
      <c r="A11" t="inlineStr">
        <is>
          <t>D19: Coke and refined petroleum products</t>
        </is>
      </c>
      <c r="B11" t="inlineStr">
        <is>
          <t>ISIC 19</t>
        </is>
      </c>
    </row>
    <row r="12">
      <c r="A12" s="88" t="inlineStr">
        <is>
          <t>D20: Chemicals</t>
        </is>
      </c>
      <c r="B12" s="89" t="inlineStr">
        <is>
          <t>ISIC 20</t>
        </is>
      </c>
    </row>
    <row r="13" ht="15.5" customHeight="1" s="100" thickBot="1">
      <c r="A13" s="90" t="inlineStr">
        <is>
          <t>D21: Pharmaceuticals</t>
        </is>
      </c>
      <c r="B13" s="91" t="inlineStr">
        <is>
          <t>ISIC 21</t>
        </is>
      </c>
    </row>
    <row r="14" ht="15.5" customHeight="1" s="100" thickBot="1">
      <c r="A14" t="inlineStr">
        <is>
          <t>D22: Rubber and plastic products</t>
        </is>
      </c>
      <c r="B14" t="inlineStr">
        <is>
          <t>ISIC 22</t>
        </is>
      </c>
    </row>
    <row r="15">
      <c r="A15" s="88" t="inlineStr">
        <is>
          <t>D231: Glass</t>
        </is>
      </c>
      <c r="B15" s="89" t="inlineStr">
        <is>
          <t>ISIC 231</t>
        </is>
      </c>
    </row>
    <row r="16" ht="15.5" customHeight="1" s="100" thickBot="1">
      <c r="A16" s="90" t="inlineStr">
        <is>
          <t>D239: Cement and other nometallic minerals</t>
        </is>
      </c>
      <c r="B16" s="91" t="inlineStr">
        <is>
          <t>ISIC 239</t>
        </is>
      </c>
    </row>
    <row r="17">
      <c r="A17" s="88" t="inlineStr">
        <is>
          <t>D241: Iron and steel</t>
        </is>
      </c>
      <c r="B17" s="89" t="inlineStr">
        <is>
          <t>ISIC 241</t>
        </is>
      </c>
    </row>
    <row r="18" ht="15.5" customHeight="1" s="100" thickBot="1">
      <c r="A18" s="90" t="inlineStr">
        <is>
          <t>D242: Other metals</t>
        </is>
      </c>
      <c r="B18" s="91" t="inlineStr">
        <is>
          <t>ISIC 242</t>
        </is>
      </c>
    </row>
    <row r="19">
      <c r="A19" t="inlineStr">
        <is>
          <t>D25: Fabricated metal products</t>
        </is>
      </c>
      <c r="B19" t="inlineStr">
        <is>
          <t>ISIC 25</t>
        </is>
      </c>
    </row>
    <row r="20">
      <c r="A20" t="inlineStr">
        <is>
          <t>D26: Computer, electronic and optical products</t>
        </is>
      </c>
      <c r="B20" t="inlineStr">
        <is>
          <t>ISIC 26</t>
        </is>
      </c>
    </row>
    <row r="21">
      <c r="A21" t="inlineStr">
        <is>
          <t>D27: Electrical equipment</t>
        </is>
      </c>
      <c r="B21" t="inlineStr">
        <is>
          <t>ISIC 27</t>
        </is>
      </c>
    </row>
    <row r="22">
      <c r="A22" t="inlineStr">
        <is>
          <t>D28: Machinery and equipment, nec</t>
        </is>
      </c>
      <c r="B22" t="inlineStr">
        <is>
          <t>ISIC 28</t>
        </is>
      </c>
    </row>
    <row r="23">
      <c r="A23" t="inlineStr">
        <is>
          <t>D29: Motor vehicles, trailers and semi-trailers</t>
        </is>
      </c>
      <c r="B23" t="inlineStr">
        <is>
          <t>ISIC 29</t>
        </is>
      </c>
    </row>
    <row r="24">
      <c r="A24" t="inlineStr">
        <is>
          <t>D30: Other transport equipment</t>
        </is>
      </c>
      <c r="B24" t="inlineStr">
        <is>
          <t>ISIC 30</t>
        </is>
      </c>
    </row>
    <row r="25" ht="15.5" customHeight="1" s="100" thickBot="1">
      <c r="A25" t="inlineStr">
        <is>
          <t>D31T33: Other manufacturing; repair and installation of machinery and equipment</t>
        </is>
      </c>
      <c r="B25" t="inlineStr">
        <is>
          <t>ISIC 31T33</t>
        </is>
      </c>
      <c r="C25" s="79" t="n"/>
    </row>
    <row r="26">
      <c r="A26" s="88" t="inlineStr">
        <is>
          <t>D351: Electricity generation and distribution</t>
        </is>
      </c>
      <c r="B26" s="89" t="inlineStr">
        <is>
          <t>ISIC 351</t>
        </is>
      </c>
    </row>
    <row r="27">
      <c r="A27" s="92" t="inlineStr">
        <is>
          <t>D352T353: Energy pipelines and gas processing</t>
        </is>
      </c>
      <c r="B27" s="93" t="inlineStr">
        <is>
          <t>ISIC 352T353</t>
        </is>
      </c>
    </row>
    <row r="28" ht="15.5" customHeight="1" s="100" thickBot="1">
      <c r="A28" s="90" t="inlineStr">
        <is>
          <t>D36T39: Water and waste</t>
        </is>
      </c>
      <c r="B28" s="91" t="inlineStr">
        <is>
          <t>ISIC 36T39</t>
        </is>
      </c>
    </row>
    <row r="29">
      <c r="A29" t="inlineStr">
        <is>
          <t>D41T43: Construction</t>
        </is>
      </c>
      <c r="B29" t="inlineStr">
        <is>
          <t>ISIC 41T43</t>
        </is>
      </c>
      <c r="C29" s="79" t="n"/>
    </row>
    <row r="30">
      <c r="A30" t="inlineStr">
        <is>
          <t>D45T47: Wholesale and retail trade; repair of motor vehicles</t>
        </is>
      </c>
      <c r="B30" t="inlineStr">
        <is>
          <t>ISIC 45T47</t>
        </is>
      </c>
    </row>
    <row r="31">
      <c r="A31" t="inlineStr">
        <is>
          <t>D49T53: Transportation and storage</t>
        </is>
      </c>
      <c r="B31" t="inlineStr">
        <is>
          <t>ISIC 49T53</t>
        </is>
      </c>
    </row>
    <row r="32">
      <c r="A32" t="inlineStr">
        <is>
          <t>D55T56: Accomodation and food services</t>
        </is>
      </c>
      <c r="B32" t="inlineStr">
        <is>
          <t>ISIC 55T56</t>
        </is>
      </c>
    </row>
    <row r="33">
      <c r="A33" t="inlineStr">
        <is>
          <t>D58T60: Publishing, audiovisual and broadcasting activities</t>
        </is>
      </c>
      <c r="B33" t="inlineStr">
        <is>
          <t>ISIC 58T60</t>
        </is>
      </c>
    </row>
    <row r="34">
      <c r="A34" t="inlineStr">
        <is>
          <t>D61: Telecommunications</t>
        </is>
      </c>
      <c r="B34" t="inlineStr">
        <is>
          <t>ISIC 61</t>
        </is>
      </c>
    </row>
    <row r="35">
      <c r="A35" t="inlineStr">
        <is>
          <t>D62T63: IT and other information services</t>
        </is>
      </c>
      <c r="B35" t="inlineStr">
        <is>
          <t>ISIC 62T63</t>
        </is>
      </c>
    </row>
    <row r="36">
      <c r="A36" t="inlineStr">
        <is>
          <t>D64T66: Financial and insurance activities</t>
        </is>
      </c>
      <c r="B36" t="inlineStr">
        <is>
          <t>ISIC 64T66</t>
        </is>
      </c>
    </row>
    <row r="37">
      <c r="A37" t="inlineStr">
        <is>
          <t>D68: Real estate activities</t>
        </is>
      </c>
      <c r="B37" t="inlineStr">
        <is>
          <t>ISIC 68</t>
        </is>
      </c>
    </row>
    <row r="38">
      <c r="A38" t="inlineStr">
        <is>
          <t>D69T82: Other business sector services</t>
        </is>
      </c>
      <c r="B38" t="inlineStr">
        <is>
          <t>ISIC 69T82</t>
        </is>
      </c>
    </row>
    <row r="39">
      <c r="A39" t="inlineStr">
        <is>
          <t>D84: Public admin. and defence; compulsory social security</t>
        </is>
      </c>
      <c r="B39" t="inlineStr">
        <is>
          <t>ISIC 84</t>
        </is>
      </c>
    </row>
    <row r="40">
      <c r="A40" t="inlineStr">
        <is>
          <t>D85: Education</t>
        </is>
      </c>
      <c r="B40" t="inlineStr">
        <is>
          <t>ISIC 85</t>
        </is>
      </c>
    </row>
    <row r="41">
      <c r="A41" t="inlineStr">
        <is>
          <t>D86T88: Human health and social work</t>
        </is>
      </c>
      <c r="B41" t="inlineStr">
        <is>
          <t>ISIC 86T88</t>
        </is>
      </c>
    </row>
    <row r="42">
      <c r="A42" t="inlineStr">
        <is>
          <t>D90T96: Arts, entertainment, recreation and other service activities</t>
        </is>
      </c>
      <c r="B42" t="inlineStr">
        <is>
          <t>ISIC 90T96</t>
        </is>
      </c>
    </row>
    <row r="43">
      <c r="A43" t="inlineStr">
        <is>
          <t>D97T98: Private households with employed persons</t>
        </is>
      </c>
      <c r="B43" t="inlineStr">
        <is>
          <t>ISIC 97T98</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3"/>
  <sheetViews>
    <sheetView workbookViewId="0">
      <selection activeCell="A1" sqref="A1"/>
    </sheetView>
  </sheetViews>
  <sheetFormatPr baseColWidth="8" defaultRowHeight="14.25"/>
  <cols>
    <col width="10.73046875" bestFit="1" customWidth="1" style="100" min="1" max="1"/>
  </cols>
  <sheetData>
    <row r="1">
      <c r="B1" s="2" t="inlineStr">
        <is>
          <t>Heating</t>
        </is>
      </c>
      <c r="C1" s="2" t="inlineStr">
        <is>
          <t>Cooling</t>
        </is>
      </c>
      <c r="D1" s="2" t="inlineStr">
        <is>
          <t>Envelope</t>
        </is>
      </c>
      <c r="E1" s="2" t="inlineStr">
        <is>
          <t>Lighting</t>
        </is>
      </c>
      <c r="F1" s="2" t="inlineStr">
        <is>
          <t>Appliances</t>
        </is>
      </c>
      <c r="G1" s="2" t="inlineStr">
        <is>
          <t>Other</t>
        </is>
      </c>
    </row>
    <row r="2">
      <c r="A2" t="inlineStr">
        <is>
          <t>Equipment</t>
        </is>
      </c>
      <c r="B2">
        <f>'OECD Mapping'!B22</f>
        <v/>
      </c>
      <c r="C2">
        <f>'OECD Mapping'!B22</f>
        <v/>
      </c>
      <c r="D2">
        <f>'OECD Mapping'!B29</f>
        <v/>
      </c>
      <c r="E2">
        <f>'OECD Mapping'!B21</f>
        <v/>
      </c>
      <c r="F2">
        <f>'OECD Mapping'!B21</f>
        <v/>
      </c>
      <c r="G2">
        <f>'OECD Mapping'!B21</f>
        <v/>
      </c>
    </row>
    <row r="3">
      <c r="A3" t="inlineStr">
        <is>
          <t>Installation</t>
        </is>
      </c>
      <c r="B3">
        <f>'OECD Mapping'!B29</f>
        <v/>
      </c>
      <c r="C3">
        <f>'OECD Mapping'!B29</f>
        <v/>
      </c>
      <c r="D3">
        <f>'OECD Mapping'!B29</f>
        <v/>
      </c>
      <c r="E3">
        <f>'OECD Mapping'!B29</f>
        <v/>
      </c>
      <c r="F3">
        <f>'OECD Mapping'!B29</f>
        <v/>
      </c>
      <c r="G3">
        <f>'OECD Mapping'!B29</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04"/>
  <sheetViews>
    <sheetView zoomScale="90" zoomScaleNormal="90" workbookViewId="0">
      <selection activeCell="D6" sqref="D6"/>
    </sheetView>
  </sheetViews>
  <sheetFormatPr baseColWidth="8" defaultRowHeight="14.25"/>
  <cols>
    <col width="20.73046875" customWidth="1" style="100" min="1" max="1"/>
    <col width="30.1328125" customWidth="1" style="100" min="2" max="2"/>
    <col width="18.3984375" customWidth="1" style="101" min="3" max="3"/>
    <col width="17.86328125" customWidth="1" style="100" min="4" max="4"/>
    <col width="16" customWidth="1" style="101" min="5" max="5"/>
    <col width="16" customWidth="1" style="100" min="6" max="7"/>
    <col width="38" customWidth="1" style="100" min="8" max="8"/>
  </cols>
  <sheetData>
    <row r="1">
      <c r="A1" s="99" t="inlineStr">
        <is>
          <t>Costs of Residential Equipment - Weighted Calculation</t>
        </is>
      </c>
      <c r="I1" s="52" t="n"/>
    </row>
    <row r="2">
      <c r="H2" s="47" t="n"/>
      <c r="I2" s="52" t="n"/>
    </row>
    <row r="3" ht="44.25" customHeight="1" s="100">
      <c r="A3" s="2" t="n"/>
      <c r="B3" s="4" t="inlineStr">
        <is>
          <t>Equipment Type - Name from RECS</t>
        </is>
      </c>
      <c r="C3" s="61" t="inlineStr">
        <is>
          <t>Percent Equipment Costs (Copied from NEMS spreadsheet)</t>
        </is>
      </c>
      <c r="D3" s="47" t="inlineStr">
        <is>
          <t>Percent of Total Appliances w/ Cost Data</t>
        </is>
      </c>
      <c r="E3" s="61" t="inlineStr">
        <is>
          <t>Weighted Percent Equipment Cost</t>
        </is>
      </c>
      <c r="F3" s="61" t="inlineStr">
        <is>
          <t>Weighted Percent Labor Cost</t>
        </is>
      </c>
      <c r="H3" s="2" t="inlineStr">
        <is>
          <t>Source</t>
        </is>
      </c>
      <c r="I3" s="54" t="inlineStr">
        <is>
          <t>Calculations</t>
        </is>
      </c>
    </row>
    <row r="4">
      <c r="A4" s="63" t="inlineStr">
        <is>
          <t>Main Space Heaters</t>
        </is>
      </c>
      <c r="B4" s="83" t="n"/>
      <c r="C4" s="73" t="n"/>
      <c r="D4" s="74">
        <f>SUM(D5:D13)</f>
        <v/>
      </c>
      <c r="E4" s="73">
        <f>SUM(E5:E13)</f>
        <v/>
      </c>
      <c r="F4" s="73">
        <f>1-E4</f>
        <v/>
      </c>
      <c r="H4" s="1" t="inlineStr">
        <is>
          <t>https://www.eia.gov/analysis/studies/buildings/equipcosts/pdf/full.pdf</t>
        </is>
      </c>
      <c r="I4" s="52" t="inlineStr">
        <is>
          <t>"NEMS cost data_new"</t>
        </is>
      </c>
    </row>
    <row r="5">
      <c r="A5" t="inlineStr">
        <is>
          <t>Main Space Heaters</t>
        </is>
      </c>
      <c r="B5" s="4" t="inlineStr">
        <is>
          <t>Electric Heat Pumps</t>
        </is>
      </c>
      <c r="C5" s="101" t="n">
        <v>0.743281680465901</v>
      </c>
      <c r="D5" s="55">
        <f>'Summary_Res Appliances'!G6</f>
        <v/>
      </c>
      <c r="E5" s="101">
        <f>D5*C5</f>
        <v/>
      </c>
      <c r="F5" s="101" t="n"/>
      <c r="H5" s="1" t="inlineStr">
        <is>
          <t>https://www.eia.gov/analysis/studies/buildings/equipcosts/pdf/full.pdf</t>
        </is>
      </c>
      <c r="I5" s="52" t="inlineStr">
        <is>
          <t>"NEMS cost data_new"</t>
        </is>
      </c>
    </row>
    <row r="6">
      <c r="A6" t="inlineStr">
        <is>
          <t>Main Space Heaters</t>
        </is>
      </c>
      <c r="B6" s="4" t="inlineStr">
        <is>
          <t>Electric Other</t>
        </is>
      </c>
      <c r="C6" s="101" t="n">
        <v>0.5909090909090909</v>
      </c>
      <c r="D6" s="55">
        <f>'Summary_Res Appliances'!G7</f>
        <v/>
      </c>
      <c r="E6" s="101">
        <f>D6*C6</f>
        <v/>
      </c>
      <c r="F6" s="101" t="n"/>
      <c r="H6" s="1" t="inlineStr">
        <is>
          <t>https://www.eia.gov/analysis/studies/buildings/equipcosts/pdf/full.pdf</t>
        </is>
      </c>
      <c r="I6" s="52" t="inlineStr">
        <is>
          <t>"NEMS cost data_new"</t>
        </is>
      </c>
    </row>
    <row r="7">
      <c r="A7" t="inlineStr">
        <is>
          <t>Main Space Heaters</t>
        </is>
      </c>
      <c r="B7" s="4" t="inlineStr">
        <is>
          <t>Natural Gas Heat Pumps</t>
        </is>
      </c>
      <c r="D7" s="55">
        <f>'Summary_Res Appliances'!G8</f>
        <v/>
      </c>
      <c r="E7" s="101">
        <f>D7*C7</f>
        <v/>
      </c>
      <c r="F7" s="101" t="n"/>
      <c r="H7" s="1" t="inlineStr">
        <is>
          <t>https://www.eia.gov/analysis/studies/buildings/equipcosts/pdf/full.pdf</t>
        </is>
      </c>
      <c r="I7" s="52" t="inlineStr">
        <is>
          <t>"NEMS cost data_new"</t>
        </is>
      </c>
    </row>
    <row r="8">
      <c r="A8" t="inlineStr">
        <is>
          <t>Main Space Heaters</t>
        </is>
      </c>
      <c r="B8" s="4" t="inlineStr">
        <is>
          <t>Natural Gas Other</t>
        </is>
      </c>
      <c r="C8" s="101" t="n">
        <v>0.4825927942833007</v>
      </c>
      <c r="D8" s="55">
        <f>'Summary_Res Appliances'!G9</f>
        <v/>
      </c>
      <c r="E8" s="101">
        <f>D8*C8</f>
        <v/>
      </c>
      <c r="F8" s="101" t="n"/>
      <c r="H8" s="1" t="inlineStr">
        <is>
          <t>https://www.eia.gov/analysis/studies/buildings/equipcosts/pdf/full.pdf</t>
        </is>
      </c>
      <c r="I8" s="52" t="inlineStr">
        <is>
          <t>"NEMS cost data_new"</t>
        </is>
      </c>
    </row>
    <row r="9">
      <c r="A9" t="inlineStr">
        <is>
          <t>Main Space Heaters</t>
        </is>
      </c>
      <c r="B9" s="4" t="inlineStr">
        <is>
          <t>Distillate Fuel Oil</t>
        </is>
      </c>
      <c r="D9" s="55">
        <f>'Summary_Res Appliances'!G10</f>
        <v/>
      </c>
      <c r="E9" s="101">
        <f>D9*C9</f>
        <v/>
      </c>
      <c r="F9" s="101" t="n"/>
      <c r="H9" s="1" t="inlineStr">
        <is>
          <t>https://www.eia.gov/analysis/studies/buildings/equipcosts/pdf/full.pdf</t>
        </is>
      </c>
      <c r="I9" s="52" t="inlineStr">
        <is>
          <t>"NEMS cost data_new"</t>
        </is>
      </c>
    </row>
    <row r="10">
      <c r="A10" t="inlineStr">
        <is>
          <t>Main Space Heaters</t>
        </is>
      </c>
      <c r="B10" s="4" t="inlineStr">
        <is>
          <t>Propane</t>
        </is>
      </c>
      <c r="D10" s="55">
        <f>'Summary_Res Appliances'!G11</f>
        <v/>
      </c>
      <c r="E10" s="101">
        <f>D10*C10</f>
        <v/>
      </c>
      <c r="F10" s="101" t="n"/>
      <c r="H10" s="1" t="inlineStr">
        <is>
          <t>https://www.eia.gov/analysis/studies/buildings/equipcosts/pdf/full.pdf</t>
        </is>
      </c>
      <c r="I10" s="52" t="inlineStr">
        <is>
          <t>"NEMS cost data_new"</t>
        </is>
      </c>
    </row>
    <row r="11">
      <c r="A11" t="inlineStr">
        <is>
          <t>Main Space Heaters</t>
        </is>
      </c>
      <c r="B11" s="4" t="inlineStr">
        <is>
          <t>Kerosene</t>
        </is>
      </c>
      <c r="D11" s="55">
        <f>'Summary_Res Appliances'!G12</f>
        <v/>
      </c>
      <c r="E11" s="101">
        <f>D11*C11</f>
        <v/>
      </c>
      <c r="F11" s="101" t="n"/>
      <c r="H11" s="1" t="inlineStr">
        <is>
          <t>https://www.eia.gov/analysis/studies/buildings/equipcosts/pdf/full.pdf</t>
        </is>
      </c>
      <c r="I11" s="52" t="inlineStr">
        <is>
          <t>"NEMS cost data_new"</t>
        </is>
      </c>
    </row>
    <row r="12">
      <c r="A12" t="inlineStr">
        <is>
          <t>Main Space Heaters</t>
        </is>
      </c>
      <c r="B12" s="4" t="inlineStr">
        <is>
          <t>Wood Stoves</t>
        </is>
      </c>
      <c r="D12" s="55">
        <f>'Summary_Res Appliances'!G13</f>
        <v/>
      </c>
      <c r="E12" s="101">
        <f>D12*C12</f>
        <v/>
      </c>
      <c r="F12" s="101" t="n"/>
      <c r="H12" s="1" t="inlineStr">
        <is>
          <t>https://www.eia.gov/analysis/studies/buildings/equipcosts/pdf/full.pdf</t>
        </is>
      </c>
      <c r="I12" s="52" t="inlineStr">
        <is>
          <t>"NEMS cost data_new"</t>
        </is>
      </c>
    </row>
    <row r="13">
      <c r="A13" t="inlineStr">
        <is>
          <t>Main Space Heaters</t>
        </is>
      </c>
      <c r="B13" s="4" t="inlineStr">
        <is>
          <t>Geothermal Heat Pumps</t>
        </is>
      </c>
      <c r="D13" s="55">
        <f>'Summary_Res Appliances'!G14</f>
        <v/>
      </c>
      <c r="E13" s="101">
        <f>D13*C13</f>
        <v/>
      </c>
      <c r="F13" s="101" t="n"/>
      <c r="H13" s="1" t="inlineStr">
        <is>
          <t>https://www.eia.gov/analysis/studies/buildings/equipcosts/pdf/full.pdf</t>
        </is>
      </c>
      <c r="I13" s="52" t="inlineStr">
        <is>
          <t>"NEMS cost data_new"</t>
        </is>
      </c>
    </row>
    <row r="14">
      <c r="A14" s="63" t="inlineStr">
        <is>
          <t>Space Cooling</t>
        </is>
      </c>
      <c r="B14" s="83" t="n"/>
      <c r="C14" s="73" t="n"/>
      <c r="D14" s="74">
        <f>SUM(D15:D19)</f>
        <v/>
      </c>
      <c r="E14" s="73">
        <f>SUM(E15:E19)</f>
        <v/>
      </c>
      <c r="F14" s="73">
        <f>1-E14</f>
        <v/>
      </c>
      <c r="H14" s="1" t="inlineStr">
        <is>
          <t>https://www.eia.gov/analysis/studies/buildings/equipcosts/pdf/full.pdf</t>
        </is>
      </c>
      <c r="I14" s="52" t="inlineStr">
        <is>
          <t>"NEMS cost data_new"</t>
        </is>
      </c>
    </row>
    <row r="15">
      <c r="A15" t="inlineStr">
        <is>
          <t>Space Cooling</t>
        </is>
      </c>
      <c r="B15" s="4" t="inlineStr">
        <is>
          <t>Electric Heat Pumps</t>
        </is>
      </c>
      <c r="C15" s="101" t="n">
        <v>0.743281680465901</v>
      </c>
      <c r="D15" s="55">
        <f>'Summary_Res Appliances'!G17</f>
        <v/>
      </c>
      <c r="E15" s="101">
        <f>D15*C15</f>
        <v/>
      </c>
      <c r="F15" s="101" t="n"/>
      <c r="H15" s="1" t="inlineStr">
        <is>
          <t>https://www.eia.gov/analysis/studies/buildings/equipcosts/pdf/full.pdf</t>
        </is>
      </c>
      <c r="I15" s="52" t="inlineStr">
        <is>
          <t>"NEMS cost data_new"</t>
        </is>
      </c>
    </row>
    <row r="16">
      <c r="A16" t="inlineStr">
        <is>
          <t>Space Cooling</t>
        </is>
      </c>
      <c r="B16" s="4" t="inlineStr">
        <is>
          <t>Natural Gas Heat Pumps</t>
        </is>
      </c>
      <c r="D16" s="55">
        <f>'Summary_Res Appliances'!G18</f>
        <v/>
      </c>
      <c r="E16" s="101">
        <f>D16*C16</f>
        <v/>
      </c>
      <c r="F16" s="101" t="n"/>
      <c r="H16" s="1" t="inlineStr">
        <is>
          <t>https://www.eia.gov/analysis/studies/buildings/equipcosts/pdf/full.pdf</t>
        </is>
      </c>
      <c r="I16" s="52" t="inlineStr">
        <is>
          <t>"NEMS cost data_new"</t>
        </is>
      </c>
    </row>
    <row r="17">
      <c r="A17" t="inlineStr">
        <is>
          <t>Space Cooling</t>
        </is>
      </c>
      <c r="B17" s="4" t="inlineStr">
        <is>
          <t>Geothermal Heat Pumps</t>
        </is>
      </c>
      <c r="D17" s="55">
        <f>'Summary_Res Appliances'!G19</f>
        <v/>
      </c>
      <c r="E17" s="101">
        <f>D17*C17</f>
        <v/>
      </c>
      <c r="F17" s="101" t="n"/>
      <c r="H17" s="1" t="inlineStr">
        <is>
          <t>https://www.eia.gov/analysis/studies/buildings/equipcosts/pdf/full.pdf</t>
        </is>
      </c>
      <c r="I17" s="52" t="inlineStr">
        <is>
          <t>"NEMS cost data_new"</t>
        </is>
      </c>
    </row>
    <row r="18">
      <c r="A18" t="inlineStr">
        <is>
          <t>Space Cooling</t>
        </is>
      </c>
      <c r="B18" s="4" t="inlineStr">
        <is>
          <t>Central Air Conditioners</t>
        </is>
      </c>
      <c r="C18" s="101" t="n">
        <v>0.6627325219635551</v>
      </c>
      <c r="D18" s="55">
        <f>'Summary_Res Appliances'!G20</f>
        <v/>
      </c>
      <c r="E18" s="101">
        <f>D18*C18</f>
        <v/>
      </c>
      <c r="F18" s="101" t="n"/>
      <c r="H18" s="1" t="inlineStr">
        <is>
          <t>https://www.eia.gov/analysis/studies/buildings/equipcosts/pdf/full.pdf</t>
        </is>
      </c>
      <c r="I18" s="52" t="inlineStr">
        <is>
          <t>"NEMS cost data_new"</t>
        </is>
      </c>
    </row>
    <row r="19">
      <c r="A19" t="inlineStr">
        <is>
          <t>Space Cooling</t>
        </is>
      </c>
      <c r="B19" s="4" t="inlineStr">
        <is>
          <t>Room Air Conditioners</t>
        </is>
      </c>
      <c r="C19" s="101" t="n">
        <v>0.870563085004747</v>
      </c>
      <c r="D19" s="55">
        <f>'Summary_Res Appliances'!G21</f>
        <v/>
      </c>
      <c r="E19" s="101">
        <f>D19*C19</f>
        <v/>
      </c>
      <c r="F19" s="101" t="n"/>
      <c r="H19" s="1" t="inlineStr">
        <is>
          <t>https://www.eia.gov/analysis/studies/buildings/equipcosts/pdf/full.pdf</t>
        </is>
      </c>
      <c r="I19" s="52" t="inlineStr">
        <is>
          <t>"NEMS cost data_new"</t>
        </is>
      </c>
    </row>
    <row r="20">
      <c r="A20" s="63" t="inlineStr">
        <is>
          <t>Water Heaters</t>
        </is>
      </c>
      <c r="B20" s="83" t="n"/>
      <c r="C20" s="73" t="n"/>
      <c r="D20" s="65" t="n"/>
      <c r="E20" s="73">
        <f>SUM(E21:E25)</f>
        <v/>
      </c>
      <c r="F20" s="73">
        <f>1-E20</f>
        <v/>
      </c>
      <c r="H20" s="1" t="inlineStr">
        <is>
          <t>https://www.eia.gov/analysis/studies/buildings/equipcosts/pdf/full.pdf</t>
        </is>
      </c>
      <c r="I20" s="52" t="inlineStr">
        <is>
          <t>"NEMS cost data_new"</t>
        </is>
      </c>
    </row>
    <row r="21">
      <c r="A21" t="inlineStr">
        <is>
          <t>Water Heaters</t>
        </is>
      </c>
      <c r="B21" s="4" t="inlineStr">
        <is>
          <t>Electric</t>
        </is>
      </c>
      <c r="C21" s="101" t="n">
        <v>0.5621260483578809</v>
      </c>
      <c r="D21" s="55">
        <f>'Summary_Res Appliances'!G24</f>
        <v/>
      </c>
      <c r="E21" s="101">
        <f>D21*C21</f>
        <v/>
      </c>
      <c r="F21" s="101" t="n"/>
      <c r="H21" s="1" t="inlineStr">
        <is>
          <t>https://www.eia.gov/analysis/studies/buildings/equipcosts/pdf/full.pdf</t>
        </is>
      </c>
      <c r="I21" s="52" t="inlineStr">
        <is>
          <t>"NEMS cost data_new"</t>
        </is>
      </c>
    </row>
    <row r="22">
      <c r="A22" t="inlineStr">
        <is>
          <t>Water Heaters</t>
        </is>
      </c>
      <c r="B22" s="4" t="inlineStr">
        <is>
          <t>Natural Gas</t>
        </is>
      </c>
      <c r="C22" s="101" t="n">
        <v>0.5528905191769337</v>
      </c>
      <c r="D22" s="55">
        <f>'Summary_Res Appliances'!G25</f>
        <v/>
      </c>
      <c r="E22" s="101">
        <f>D22*C22</f>
        <v/>
      </c>
      <c r="F22" s="101" t="n"/>
      <c r="H22" s="1" t="inlineStr">
        <is>
          <t>https://www.eia.gov/analysis/studies/buildings/equipcosts/pdf/full.pdf</t>
        </is>
      </c>
      <c r="I22" s="52" t="inlineStr">
        <is>
          <t>"NEMS cost data_new"</t>
        </is>
      </c>
    </row>
    <row r="23">
      <c r="A23" t="inlineStr">
        <is>
          <t>Water Heaters</t>
        </is>
      </c>
      <c r="B23" s="4" t="inlineStr">
        <is>
          <t>Distillate Fuel Oil</t>
        </is>
      </c>
      <c r="D23" s="55">
        <f>'Summary_Res Appliances'!G26</f>
        <v/>
      </c>
      <c r="E23" s="101">
        <f>D23*C23</f>
        <v/>
      </c>
      <c r="F23" s="101" t="n"/>
      <c r="H23" s="1" t="inlineStr">
        <is>
          <t>https://www.eia.gov/analysis/studies/buildings/equipcosts/pdf/full.pdf</t>
        </is>
      </c>
      <c r="I23" s="52" t="inlineStr">
        <is>
          <t>"NEMS cost data_new"</t>
        </is>
      </c>
    </row>
    <row r="24">
      <c r="A24" t="inlineStr">
        <is>
          <t>Water Heaters</t>
        </is>
      </c>
      <c r="B24" s="4" t="inlineStr">
        <is>
          <t>Propane</t>
        </is>
      </c>
      <c r="D24" s="55">
        <f>'Summary_Res Appliances'!G27</f>
        <v/>
      </c>
      <c r="E24" s="101">
        <f>D24*C24</f>
        <v/>
      </c>
      <c r="F24" s="101" t="n"/>
      <c r="H24" s="1" t="inlineStr">
        <is>
          <t>https://www.eia.gov/analysis/studies/buildings/equipcosts/pdf/full.pdf</t>
        </is>
      </c>
      <c r="I24" s="52" t="inlineStr">
        <is>
          <t>"NEMS cost data_new"</t>
        </is>
      </c>
    </row>
    <row r="25">
      <c r="A25" t="inlineStr">
        <is>
          <t>Water Heaters</t>
        </is>
      </c>
      <c r="B25" s="4" t="inlineStr">
        <is>
          <t>Solar Thermal</t>
        </is>
      </c>
      <c r="D25" s="55">
        <f>'Summary_Res Appliances'!G28</f>
        <v/>
      </c>
      <c r="E25" s="101">
        <f>D25*C25</f>
        <v/>
      </c>
      <c r="F25" s="101" t="n"/>
      <c r="H25" s="1" t="inlineStr">
        <is>
          <t>https://www.eia.gov/analysis/studies/buildings/equipcosts/pdf/full.pdf</t>
        </is>
      </c>
      <c r="I25" s="52" t="inlineStr">
        <is>
          <t>"NEMS cost data_new"</t>
        </is>
      </c>
    </row>
    <row r="26">
      <c r="A26" s="63" t="inlineStr">
        <is>
          <t>Cooking Equipment</t>
        </is>
      </c>
      <c r="B26" s="83" t="n"/>
      <c r="C26" s="73" t="n"/>
      <c r="D26" s="65" t="n"/>
      <c r="E26" s="73">
        <f>SUM(E27:E30)</f>
        <v/>
      </c>
      <c r="F26" s="73">
        <f>1-E26</f>
        <v/>
      </c>
      <c r="H26" s="1" t="inlineStr">
        <is>
          <t>https://www.eia.gov/analysis/studies/buildings/equipcosts/pdf/full.pdf</t>
        </is>
      </c>
      <c r="I26" s="52" t="inlineStr">
        <is>
          <t>"NEMS cost data_new"</t>
        </is>
      </c>
    </row>
    <row r="27">
      <c r="A27" t="inlineStr">
        <is>
          <t>Cooking Equipment</t>
        </is>
      </c>
      <c r="B27" s="4" t="inlineStr">
        <is>
          <t>Electric</t>
        </is>
      </c>
      <c r="D27" s="55">
        <f>'Summary_Res Appliances'!G31</f>
        <v/>
      </c>
      <c r="E27" s="101">
        <f>D27*C27</f>
        <v/>
      </c>
      <c r="F27" s="101" t="n"/>
      <c r="H27" s="1" t="inlineStr">
        <is>
          <t>https://www.eia.gov/analysis/studies/buildings/equipcosts/pdf/full.pdf</t>
        </is>
      </c>
      <c r="I27" s="52" t="inlineStr">
        <is>
          <t>"NEMS cost data_new"</t>
        </is>
      </c>
    </row>
    <row r="28">
      <c r="A28" t="inlineStr">
        <is>
          <t>Cooking Equipment</t>
        </is>
      </c>
      <c r="B28" s="4" t="inlineStr">
        <is>
          <t>Natural Gas</t>
        </is>
      </c>
      <c r="C28" s="101" t="n">
        <v>0.8332432883547684</v>
      </c>
      <c r="D28" s="55">
        <f>'Summary_Res Appliances'!G32</f>
        <v/>
      </c>
      <c r="E28" s="101">
        <f>D28*C28</f>
        <v/>
      </c>
      <c r="F28" s="101" t="n"/>
      <c r="H28" s="1" t="inlineStr">
        <is>
          <t>https://www.eia.gov/analysis/studies/buildings/equipcosts/pdf/full.pdf</t>
        </is>
      </c>
      <c r="I28" s="52" t="inlineStr">
        <is>
          <t>"NEMS cost data_new"</t>
        </is>
      </c>
    </row>
    <row r="29">
      <c r="A29" t="inlineStr">
        <is>
          <t>Cooking Equipment</t>
        </is>
      </c>
      <c r="B29" s="4" t="inlineStr">
        <is>
          <t>Natural Gas</t>
        </is>
      </c>
      <c r="C29" s="101" t="n">
        <v>0.7013263263263263</v>
      </c>
      <c r="D29" s="55">
        <f>'Summary_Res Appliances'!G33</f>
        <v/>
      </c>
      <c r="E29" s="101">
        <f>D29*C29</f>
        <v/>
      </c>
      <c r="F29" s="101" t="n"/>
      <c r="H29" s="1" t="inlineStr">
        <is>
          <t>https://www.eia.gov/analysis/studies/buildings/equipcosts/pdf/full.pdf</t>
        </is>
      </c>
      <c r="I29" s="52" t="inlineStr">
        <is>
          <t>"NEMS cost data_new"</t>
        </is>
      </c>
    </row>
    <row r="30">
      <c r="A30" t="inlineStr">
        <is>
          <t>Cooking Equipment</t>
        </is>
      </c>
      <c r="B30" s="4" t="inlineStr">
        <is>
          <t>Propane</t>
        </is>
      </c>
      <c r="D30" s="55">
        <f>'Summary_Res Appliances'!G34</f>
        <v/>
      </c>
      <c r="E30" s="101">
        <f>D30*C30</f>
        <v/>
      </c>
      <c r="F30" s="101" t="n"/>
      <c r="H30" s="1" t="inlineStr">
        <is>
          <t>https://www.eia.gov/analysis/studies/buildings/equipcosts/pdf/full.pdf</t>
        </is>
      </c>
      <c r="I30" s="52" t="inlineStr">
        <is>
          <t>"NEMS cost data_new"</t>
        </is>
      </c>
    </row>
    <row r="31">
      <c r="A31" s="63" t="inlineStr">
        <is>
          <t>Clothes Dryers</t>
        </is>
      </c>
      <c r="B31" s="83" t="n"/>
      <c r="C31" s="73" t="n"/>
      <c r="D31" s="74" t="n"/>
      <c r="E31" s="73">
        <f>SUM(E32:E33)</f>
        <v/>
      </c>
      <c r="F31" s="73">
        <f>1-E31</f>
        <v/>
      </c>
      <c r="H31" s="1" t="inlineStr">
        <is>
          <t>https://www.eia.gov/analysis/studies/buildings/equipcosts/pdf/full.pdf</t>
        </is>
      </c>
      <c r="I31" s="52" t="inlineStr">
        <is>
          <t>"NEMS cost data_new"</t>
        </is>
      </c>
    </row>
    <row r="32">
      <c r="A32" t="inlineStr">
        <is>
          <t>Clothes Dryers</t>
        </is>
      </c>
      <c r="B32" s="4" t="inlineStr">
        <is>
          <t>Electric</t>
        </is>
      </c>
      <c r="C32" s="101" t="n">
        <v>0.8132028161055737</v>
      </c>
      <c r="D32" s="55">
        <f>'Summary_Res Appliances'!G36</f>
        <v/>
      </c>
      <c r="E32" s="101">
        <f>D32*C32</f>
        <v/>
      </c>
      <c r="F32" s="101" t="n"/>
      <c r="H32" s="1" t="inlineStr">
        <is>
          <t>https://www.eia.gov/analysis/studies/buildings/equipcosts/pdf/full.pdf</t>
        </is>
      </c>
      <c r="I32" s="52" t="inlineStr">
        <is>
          <t>"NEMS cost data_new"</t>
        </is>
      </c>
    </row>
    <row r="33">
      <c r="A33" t="inlineStr">
        <is>
          <t>Clothes Dryers</t>
        </is>
      </c>
      <c r="B33" s="4" t="inlineStr">
        <is>
          <t>Natural Gas</t>
        </is>
      </c>
      <c r="C33" s="101" t="n">
        <v>0.7647264416495185</v>
      </c>
      <c r="D33" s="55">
        <f>'Summary_Res Appliances'!G37</f>
        <v/>
      </c>
      <c r="E33" s="101">
        <f>D33*C33</f>
        <v/>
      </c>
      <c r="F33" s="101" t="n"/>
      <c r="H33" s="1" t="inlineStr">
        <is>
          <t>https://www.eia.gov/analysis/studies/buildings/equipcosts/pdf/full.pdf</t>
        </is>
      </c>
      <c r="I33" s="52" t="inlineStr">
        <is>
          <t>"NEMS cost data_new"</t>
        </is>
      </c>
    </row>
    <row r="34">
      <c r="A34" s="63" t="inlineStr">
        <is>
          <t>Other Appliances</t>
        </is>
      </c>
      <c r="B34" s="83" t="n"/>
      <c r="C34" s="73" t="n"/>
      <c r="D34" s="74" t="n"/>
      <c r="E34" s="73">
        <f>AVERAGE(C35:C38)</f>
        <v/>
      </c>
      <c r="F34" s="73">
        <f>1-E34</f>
        <v/>
      </c>
      <c r="H34" s="1" t="n"/>
      <c r="I34" s="52" t="n"/>
    </row>
    <row r="35">
      <c r="A35" t="inlineStr">
        <is>
          <t>Appliances</t>
        </is>
      </c>
      <c r="C35" s="101" t="n">
        <v>1</v>
      </c>
      <c r="H35" s="1" t="inlineStr">
        <is>
          <t>https://www.eia.gov/analysis/studies/buildings/equipcosts/pdf/full.pdf</t>
        </is>
      </c>
      <c r="I35" s="52" t="inlineStr">
        <is>
          <t>"NEMS cost data_new"</t>
        </is>
      </c>
    </row>
    <row r="36">
      <c r="A36" t="inlineStr">
        <is>
          <t>Appliances</t>
        </is>
      </c>
      <c r="C36" s="101" t="n">
        <v>0.6516355973579347</v>
      </c>
      <c r="H36" s="1" t="inlineStr">
        <is>
          <t>https://www.eia.gov/analysis/studies/buildings/equipcosts/pdf/full.pdf</t>
        </is>
      </c>
      <c r="I36" s="52" t="inlineStr">
        <is>
          <t>"NEMS cost data_new"</t>
        </is>
      </c>
    </row>
    <row r="37">
      <c r="A37" t="inlineStr">
        <is>
          <t>Appliances</t>
        </is>
      </c>
      <c r="C37" s="101" t="n">
        <v>0.8184866633083951</v>
      </c>
      <c r="H37" s="1" t="inlineStr">
        <is>
          <t>https://www.eia.gov/analysis/studies/buildings/equipcosts/pdf/full.pdf</t>
        </is>
      </c>
      <c r="I37" s="52" t="inlineStr">
        <is>
          <t>"NEMS cost data_new"</t>
        </is>
      </c>
    </row>
    <row r="38">
      <c r="A38" t="inlineStr">
        <is>
          <t>Appliances</t>
        </is>
      </c>
      <c r="C38" s="101" t="n">
        <v>0.8183879437456929</v>
      </c>
      <c r="H38" s="1" t="inlineStr">
        <is>
          <t>https://www.eia.gov/analysis/studies/buildings/equipcosts/pdf/full.pdf</t>
        </is>
      </c>
      <c r="I38" s="52" t="inlineStr">
        <is>
          <t>"NEMS cost data_new"</t>
        </is>
      </c>
    </row>
    <row r="39">
      <c r="A39" s="63" t="inlineStr">
        <is>
          <t>Lighting</t>
        </is>
      </c>
      <c r="B39" s="65" t="n"/>
      <c r="C39" s="73" t="n">
        <v>1</v>
      </c>
      <c r="D39" s="65" t="n"/>
      <c r="E39" s="73">
        <f>C39</f>
        <v/>
      </c>
      <c r="F39" s="73">
        <f>1-E39</f>
        <v/>
      </c>
      <c r="H39" s="1" t="inlineStr">
        <is>
          <t>https://www.eia.gov/analysis/studies/buildings/equipcosts/pdf/full.pdf</t>
        </is>
      </c>
      <c r="I39" s="52" t="inlineStr">
        <is>
          <t>"NEMS cost data_new"</t>
        </is>
      </c>
    </row>
    <row r="40">
      <c r="A40" s="2" t="n"/>
      <c r="F40" s="101" t="n"/>
      <c r="H40" s="1" t="n"/>
      <c r="I40" s="52" t="n"/>
    </row>
    <row r="41">
      <c r="A41" s="63" t="inlineStr">
        <is>
          <t>Appliances - Average total</t>
        </is>
      </c>
      <c r="B41" s="63" t="n"/>
      <c r="C41" s="80" t="n"/>
      <c r="D41" s="63" t="n"/>
      <c r="E41" s="80">
        <f>AVERAGE(E31,E34,E26,E20)</f>
        <v/>
      </c>
      <c r="F41" s="72">
        <f>1-E41</f>
        <v/>
      </c>
    </row>
    <row r="43">
      <c r="A43" s="99" t="inlineStr">
        <is>
          <t>Costs of Commercial Equipment - Weighted Calculation</t>
        </is>
      </c>
    </row>
    <row r="44" ht="44.25" customHeight="1" s="100">
      <c r="A44" s="2" t="n"/>
      <c r="B44" s="2" t="n"/>
      <c r="C44" s="61" t="inlineStr">
        <is>
          <t>Percent Equipment Costs (Copied from NEMS spreadsheet)</t>
        </is>
      </c>
      <c r="D44" s="47" t="inlineStr">
        <is>
          <t>Percent of Total Appliances w/ Cost Data</t>
        </is>
      </c>
      <c r="E44" s="61" t="inlineStr">
        <is>
          <t>Weighted Percent Equipment Cost</t>
        </is>
      </c>
      <c r="F44" s="61" t="inlineStr">
        <is>
          <t>Weighted Percent Labor Cost</t>
        </is>
      </c>
      <c r="H44" s="2" t="inlineStr">
        <is>
          <t>Source</t>
        </is>
      </c>
      <c r="I44" s="54" t="inlineStr">
        <is>
          <t>Calculations</t>
        </is>
      </c>
    </row>
    <row r="45">
      <c r="A45" s="63" t="inlineStr">
        <is>
          <t>Commercial Space Heating Total</t>
        </is>
      </c>
      <c r="B45" s="63" t="n"/>
      <c r="C45" s="68" t="n"/>
      <c r="D45" s="69" t="n"/>
      <c r="E45" s="70">
        <f>SUM(E46,E54,E62)</f>
        <v/>
      </c>
      <c r="F45" s="68">
        <f>1-E45</f>
        <v/>
      </c>
      <c r="H45" s="1" t="inlineStr">
        <is>
          <t>https://www.eia.gov/analysis/studies/buildings/equipcosts/pdf/full.pdf</t>
        </is>
      </c>
      <c r="I45" s="52" t="inlineStr">
        <is>
          <t>"NEMS cost data_new"</t>
        </is>
      </c>
    </row>
    <row r="46">
      <c r="A46" s="59" t="inlineStr">
        <is>
          <t>Electricity</t>
        </is>
      </c>
      <c r="B46" s="36" t="n"/>
      <c r="C46" s="59" t="n"/>
      <c r="D46" s="35">
        <f>'Summary_Com Appliances'!E3</f>
        <v/>
      </c>
      <c r="E46" s="60">
        <f>(AVERAGE(C48:C51)*D46)</f>
        <v/>
      </c>
      <c r="F46" s="57">
        <f>1-E46</f>
        <v/>
      </c>
      <c r="H46" t="inlineStr">
        <is>
          <t>https://www.eia.gov/analysis/studies/buildings/equipcosts/pdf/full.pdf</t>
        </is>
      </c>
      <c r="I46" t="inlineStr">
        <is>
          <t>"NEMS cost data_new"</t>
        </is>
      </c>
    </row>
    <row r="47">
      <c r="A47" s="40" t="inlineStr">
        <is>
          <t>Electricity</t>
        </is>
      </c>
      <c r="B47" t="inlineStr">
        <is>
          <t>Heat
pumps</t>
        </is>
      </c>
      <c r="H47" t="inlineStr">
        <is>
          <t>https://www.eia.gov/analysis/studies/buildings/equipcosts/pdf/full.pdf</t>
        </is>
      </c>
      <c r="I47" t="inlineStr">
        <is>
          <t>"NEMS cost data_new"</t>
        </is>
      </c>
    </row>
    <row r="48">
      <c r="A48" s="40" t="inlineStr">
        <is>
          <t>Electricity</t>
        </is>
      </c>
      <c r="B48" t="inlineStr">
        <is>
          <t>Furnaces</t>
        </is>
      </c>
      <c r="C48" s="101">
        <f>'COM_NEMS Cost'!D6</f>
        <v/>
      </c>
      <c r="H48" t="inlineStr">
        <is>
          <t>https://www.eia.gov/analysis/studies/buildings/equipcosts/pdf/full.pdf</t>
        </is>
      </c>
      <c r="I48" t="inlineStr">
        <is>
          <t>"NEMS cost data_new"</t>
        </is>
      </c>
    </row>
    <row r="49">
      <c r="A49" s="40" t="inlineStr">
        <is>
          <t>Electricity</t>
        </is>
      </c>
      <c r="B49" t="inlineStr">
        <is>
          <t>Indiv-
idual space heaters</t>
        </is>
      </c>
      <c r="H49" t="inlineStr">
        <is>
          <t>https://www.eia.gov/analysis/studies/buildings/equipcosts/pdf/full.pdf</t>
        </is>
      </c>
      <c r="I49" t="inlineStr">
        <is>
          <t>"NEMS cost data_new"</t>
        </is>
      </c>
    </row>
    <row r="50">
      <c r="A50" s="40" t="inlineStr">
        <is>
          <t>Electricity</t>
        </is>
      </c>
      <c r="B50" t="inlineStr">
        <is>
          <t>District
heat</t>
        </is>
      </c>
      <c r="H50" t="inlineStr">
        <is>
          <t>https://www.eia.gov/analysis/studies/buildings/equipcosts/pdf/full.pdf</t>
        </is>
      </c>
      <c r="I50" t="inlineStr">
        <is>
          <t>"NEMS cost data_new"</t>
        </is>
      </c>
    </row>
    <row r="51">
      <c r="A51" s="40" t="inlineStr">
        <is>
          <t>Electricity</t>
        </is>
      </c>
      <c r="B51" t="inlineStr">
        <is>
          <t>Boilers</t>
        </is>
      </c>
      <c r="C51" s="101">
        <f>'COM_NEMS Cost'!D7</f>
        <v/>
      </c>
      <c r="H51" t="inlineStr">
        <is>
          <t>https://www.eia.gov/analysis/studies/buildings/equipcosts/pdf/full.pdf</t>
        </is>
      </c>
      <c r="I51" t="inlineStr">
        <is>
          <t>"NEMS cost data_new"</t>
        </is>
      </c>
    </row>
    <row r="52">
      <c r="A52" s="40" t="inlineStr">
        <is>
          <t>Electricity</t>
        </is>
      </c>
      <c r="B52" t="inlineStr">
        <is>
          <t>Pack-
aged heating units</t>
        </is>
      </c>
      <c r="H52" t="inlineStr">
        <is>
          <t>https://www.eia.gov/analysis/studies/buildings/equipcosts/pdf/full.pdf</t>
        </is>
      </c>
      <c r="I52" t="inlineStr">
        <is>
          <t>"NEMS cost data_new"</t>
        </is>
      </c>
    </row>
    <row r="53">
      <c r="A53" s="40" t="inlineStr">
        <is>
          <t>Electricity</t>
        </is>
      </c>
      <c r="B53" t="inlineStr">
        <is>
          <t>Other</t>
        </is>
      </c>
      <c r="H53" t="inlineStr">
        <is>
          <t>https://www.eia.gov/analysis/studies/buildings/equipcosts/pdf/full.pdf</t>
        </is>
      </c>
      <c r="I53" t="inlineStr">
        <is>
          <t>"NEMS cost data_new"</t>
        </is>
      </c>
    </row>
    <row r="54">
      <c r="A54" s="59" t="inlineStr">
        <is>
          <t>Natural gas</t>
        </is>
      </c>
      <c r="B54" s="36" t="n"/>
      <c r="C54" s="59" t="n"/>
      <c r="D54" s="35">
        <f>'Summary_Com Appliances'!E11</f>
        <v/>
      </c>
      <c r="E54" s="60">
        <f>AVERAGE(C56:C59)*D54</f>
        <v/>
      </c>
      <c r="F54" s="60">
        <f>1-E54</f>
        <v/>
      </c>
      <c r="H54" t="inlineStr">
        <is>
          <t>https://www.eia.gov/analysis/studies/buildings/equipcosts/pdf/full.pdf</t>
        </is>
      </c>
      <c r="I54" t="inlineStr">
        <is>
          <t>"NEMS cost data_new"</t>
        </is>
      </c>
    </row>
    <row r="55">
      <c r="A55" s="40" t="inlineStr">
        <is>
          <t>Natural gas</t>
        </is>
      </c>
      <c r="B55" t="inlineStr">
        <is>
          <t>Heat
pumps</t>
        </is>
      </c>
      <c r="H55" t="inlineStr">
        <is>
          <t>https://www.eia.gov/analysis/studies/buildings/equipcosts/pdf/full.pdf</t>
        </is>
      </c>
      <c r="I55" t="inlineStr">
        <is>
          <t>"NEMS cost data_new"</t>
        </is>
      </c>
    </row>
    <row r="56">
      <c r="A56" s="40" t="inlineStr">
        <is>
          <t>Natural gas</t>
        </is>
      </c>
      <c r="B56" t="inlineStr">
        <is>
          <t>Furnaces</t>
        </is>
      </c>
      <c r="C56" s="101">
        <f>'COM_NEMS Cost'!D4</f>
        <v/>
      </c>
      <c r="H56" t="inlineStr">
        <is>
          <t>https://www.eia.gov/analysis/studies/buildings/equipcosts/pdf/full.pdf</t>
        </is>
      </c>
      <c r="I56" t="inlineStr">
        <is>
          <t>"NEMS cost data_new"</t>
        </is>
      </c>
    </row>
    <row r="57">
      <c r="A57" s="40" t="inlineStr">
        <is>
          <t>Natural gas</t>
        </is>
      </c>
      <c r="B57" t="inlineStr">
        <is>
          <t>Indiv-
idual space heaters</t>
        </is>
      </c>
      <c r="H57" t="inlineStr">
        <is>
          <t>https://www.eia.gov/analysis/studies/buildings/equipcosts/pdf/full.pdf</t>
        </is>
      </c>
      <c r="I57" t="inlineStr">
        <is>
          <t>"NEMS cost data_new"</t>
        </is>
      </c>
    </row>
    <row r="58">
      <c r="A58" s="40" t="inlineStr">
        <is>
          <t>Natural gas</t>
        </is>
      </c>
      <c r="B58" t="inlineStr">
        <is>
          <t>District
heat</t>
        </is>
      </c>
      <c r="H58" t="inlineStr">
        <is>
          <t>https://www.eia.gov/analysis/studies/buildings/equipcosts/pdf/full.pdf</t>
        </is>
      </c>
      <c r="I58" t="inlineStr">
        <is>
          <t>"NEMS cost data_new"</t>
        </is>
      </c>
    </row>
    <row r="59">
      <c r="A59" s="40" t="inlineStr">
        <is>
          <t>Natural gas</t>
        </is>
      </c>
      <c r="B59" t="inlineStr">
        <is>
          <t>Boilers</t>
        </is>
      </c>
      <c r="C59" s="101">
        <f>'COM_NEMS Cost'!D8</f>
        <v/>
      </c>
      <c r="H59" t="inlineStr">
        <is>
          <t>https://www.eia.gov/analysis/studies/buildings/equipcosts/pdf/full.pdf</t>
        </is>
      </c>
      <c r="I59" t="inlineStr">
        <is>
          <t>"NEMS cost data_new"</t>
        </is>
      </c>
    </row>
    <row r="60">
      <c r="A60" s="40" t="inlineStr">
        <is>
          <t>Natural gas</t>
        </is>
      </c>
      <c r="B60" t="inlineStr">
        <is>
          <t>Pack-
aged heating units</t>
        </is>
      </c>
      <c r="H60" t="inlineStr">
        <is>
          <t>https://www.eia.gov/analysis/studies/buildings/equipcosts/pdf/full.pdf</t>
        </is>
      </c>
      <c r="I60" t="inlineStr">
        <is>
          <t>"NEMS cost data_new"</t>
        </is>
      </c>
    </row>
    <row r="61">
      <c r="A61" s="40" t="inlineStr">
        <is>
          <t>Natural gas</t>
        </is>
      </c>
      <c r="B61" t="inlineStr">
        <is>
          <t>Other</t>
        </is>
      </c>
      <c r="H61" t="inlineStr">
        <is>
          <t>https://www.eia.gov/analysis/studies/buildings/equipcosts/pdf/full.pdf</t>
        </is>
      </c>
      <c r="I61" t="inlineStr">
        <is>
          <t>"NEMS cost data_new"</t>
        </is>
      </c>
    </row>
    <row r="62">
      <c r="A62" s="59" t="inlineStr">
        <is>
          <t>Fuel oil</t>
        </is>
      </c>
      <c r="B62" s="36" t="n"/>
      <c r="C62" s="59" t="n"/>
      <c r="D62" s="35">
        <f>'Summary_Com Appliances'!E19</f>
        <v/>
      </c>
      <c r="E62" s="60">
        <f>AVERAGE(C64:C67)*D62</f>
        <v/>
      </c>
      <c r="F62" s="60">
        <f>1-E62</f>
        <v/>
      </c>
      <c r="H62" t="inlineStr">
        <is>
          <t>https://www.eia.gov/analysis/studies/buildings/equipcosts/pdf/full.pdf</t>
        </is>
      </c>
      <c r="I62" t="inlineStr">
        <is>
          <t>"NEMS cost data_new"</t>
        </is>
      </c>
    </row>
    <row r="63">
      <c r="A63" s="40" t="inlineStr">
        <is>
          <t>Fuel oil</t>
        </is>
      </c>
      <c r="B63" t="inlineStr">
        <is>
          <t>Heat
pumps</t>
        </is>
      </c>
      <c r="H63" t="inlineStr">
        <is>
          <t>https://www.eia.gov/analysis/studies/buildings/equipcosts/pdf/full.pdf</t>
        </is>
      </c>
      <c r="I63" t="inlineStr">
        <is>
          <t>"NEMS cost data_new"</t>
        </is>
      </c>
    </row>
    <row r="64">
      <c r="A64" s="40" t="inlineStr">
        <is>
          <t>Fuel oil</t>
        </is>
      </c>
      <c r="B64" t="inlineStr">
        <is>
          <t>Furnaces</t>
        </is>
      </c>
      <c r="C64" s="101">
        <f>'COM_NEMS Cost'!D5</f>
        <v/>
      </c>
      <c r="H64" t="inlineStr">
        <is>
          <t>https://www.eia.gov/analysis/studies/buildings/equipcosts/pdf/full.pdf</t>
        </is>
      </c>
      <c r="I64" t="inlineStr">
        <is>
          <t>"NEMS cost data_new"</t>
        </is>
      </c>
    </row>
    <row r="65">
      <c r="A65" s="40" t="inlineStr">
        <is>
          <t>Fuel oil</t>
        </is>
      </c>
      <c r="B65" t="inlineStr">
        <is>
          <t>Indiv-
idual space heaters</t>
        </is>
      </c>
      <c r="H65" t="inlineStr">
        <is>
          <t>https://www.eia.gov/analysis/studies/buildings/equipcosts/pdf/full.pdf</t>
        </is>
      </c>
      <c r="I65" t="inlineStr">
        <is>
          <t>"NEMS cost data_new"</t>
        </is>
      </c>
    </row>
    <row r="66">
      <c r="A66" s="40" t="inlineStr">
        <is>
          <t>Fuel oil</t>
        </is>
      </c>
      <c r="B66" t="inlineStr">
        <is>
          <t>District
heat</t>
        </is>
      </c>
      <c r="H66" t="inlineStr">
        <is>
          <t>https://www.eia.gov/analysis/studies/buildings/equipcosts/pdf/full.pdf</t>
        </is>
      </c>
      <c r="I66" t="inlineStr">
        <is>
          <t>"NEMS cost data_new"</t>
        </is>
      </c>
    </row>
    <row r="67">
      <c r="A67" s="40" t="inlineStr">
        <is>
          <t>Fuel oil</t>
        </is>
      </c>
      <c r="B67" t="inlineStr">
        <is>
          <t>Boilers</t>
        </is>
      </c>
      <c r="C67" s="101">
        <f>'COM_NEMS Cost'!D9</f>
        <v/>
      </c>
      <c r="H67" t="inlineStr">
        <is>
          <t>https://www.eia.gov/analysis/studies/buildings/equipcosts/pdf/full.pdf</t>
        </is>
      </c>
      <c r="I67" t="inlineStr">
        <is>
          <t>"NEMS cost data_new"</t>
        </is>
      </c>
    </row>
    <row r="68">
      <c r="A68" s="40" t="inlineStr">
        <is>
          <t>Fuel oil</t>
        </is>
      </c>
      <c r="B68" t="inlineStr">
        <is>
          <t>Pack-
aged heating units</t>
        </is>
      </c>
      <c r="H68" t="inlineStr">
        <is>
          <t>https://www.eia.gov/analysis/studies/buildings/equipcosts/pdf/full.pdf</t>
        </is>
      </c>
      <c r="I68" t="inlineStr">
        <is>
          <t>"NEMS cost data_new"</t>
        </is>
      </c>
    </row>
    <row r="69">
      <c r="A69" s="40" t="inlineStr">
        <is>
          <t>Fuel oil</t>
        </is>
      </c>
      <c r="B69" t="inlineStr">
        <is>
          <t>Other</t>
        </is>
      </c>
      <c r="H69" t="inlineStr">
        <is>
          <t>https://www.eia.gov/analysis/studies/buildings/equipcosts/pdf/full.pdf</t>
        </is>
      </c>
      <c r="I69" t="inlineStr">
        <is>
          <t>"NEMS cost data_new"</t>
        </is>
      </c>
    </row>
    <row r="70" hidden="1" s="100">
      <c r="A70" t="inlineStr">
        <is>
          <t>District heat</t>
        </is>
      </c>
      <c r="H70" t="inlineStr">
        <is>
          <t>https://www.eia.gov/analysis/studies/buildings/equipcosts/pdf/full.pdf</t>
        </is>
      </c>
      <c r="I70" t="inlineStr">
        <is>
          <t>"NEMS cost data_new"</t>
        </is>
      </c>
    </row>
    <row r="71" hidden="1" s="100">
      <c r="A71" s="40" t="inlineStr">
        <is>
          <t>District heat</t>
        </is>
      </c>
      <c r="B71" t="inlineStr">
        <is>
          <t>Heat
pumps</t>
        </is>
      </c>
      <c r="H71" t="inlineStr">
        <is>
          <t>https://www.eia.gov/analysis/studies/buildings/equipcosts/pdf/full.pdf</t>
        </is>
      </c>
      <c r="I71" t="inlineStr">
        <is>
          <t>"NEMS cost data_new"</t>
        </is>
      </c>
    </row>
    <row r="72" hidden="1" s="100">
      <c r="A72" s="40" t="inlineStr">
        <is>
          <t>District heat</t>
        </is>
      </c>
      <c r="B72" t="inlineStr">
        <is>
          <t>Furnaces</t>
        </is>
      </c>
      <c r="H72" t="inlineStr">
        <is>
          <t>https://www.eia.gov/analysis/studies/buildings/equipcosts/pdf/full.pdf</t>
        </is>
      </c>
      <c r="I72" t="inlineStr">
        <is>
          <t>"NEMS cost data_new"</t>
        </is>
      </c>
    </row>
    <row r="73" hidden="1" s="100">
      <c r="A73" s="40" t="inlineStr">
        <is>
          <t>District heat</t>
        </is>
      </c>
      <c r="B73" t="inlineStr">
        <is>
          <t>Indiv-
idual space heaters</t>
        </is>
      </c>
      <c r="H73" t="inlineStr">
        <is>
          <t>https://www.eia.gov/analysis/studies/buildings/equipcosts/pdf/full.pdf</t>
        </is>
      </c>
      <c r="I73" t="inlineStr">
        <is>
          <t>"NEMS cost data_new"</t>
        </is>
      </c>
    </row>
    <row r="74" hidden="1" s="100">
      <c r="A74" s="40" t="inlineStr">
        <is>
          <t>District heat</t>
        </is>
      </c>
      <c r="B74" t="inlineStr">
        <is>
          <t>District
heat</t>
        </is>
      </c>
      <c r="H74" t="inlineStr">
        <is>
          <t>https://www.eia.gov/analysis/studies/buildings/equipcosts/pdf/full.pdf</t>
        </is>
      </c>
      <c r="I74" t="inlineStr">
        <is>
          <t>"NEMS cost data_new"</t>
        </is>
      </c>
    </row>
    <row r="75" hidden="1" s="100">
      <c r="A75" s="40" t="inlineStr">
        <is>
          <t>District heat</t>
        </is>
      </c>
      <c r="B75" t="inlineStr">
        <is>
          <t>Boilers</t>
        </is>
      </c>
      <c r="H75" t="inlineStr">
        <is>
          <t>https://www.eia.gov/analysis/studies/buildings/equipcosts/pdf/full.pdf</t>
        </is>
      </c>
      <c r="I75" t="inlineStr">
        <is>
          <t>"NEMS cost data_new"</t>
        </is>
      </c>
    </row>
    <row r="76" hidden="1" s="100">
      <c r="A76" s="40" t="inlineStr">
        <is>
          <t>District heat</t>
        </is>
      </c>
      <c r="B76" t="inlineStr">
        <is>
          <t>Pack-
aged heating units</t>
        </is>
      </c>
      <c r="H76" t="inlineStr">
        <is>
          <t>https://www.eia.gov/analysis/studies/buildings/equipcosts/pdf/full.pdf</t>
        </is>
      </c>
      <c r="I76" t="inlineStr">
        <is>
          <t>"NEMS cost data_new"</t>
        </is>
      </c>
    </row>
    <row r="77" hidden="1" s="100">
      <c r="A77" s="40" t="inlineStr">
        <is>
          <t>District heat</t>
        </is>
      </c>
      <c r="B77" t="inlineStr">
        <is>
          <t>Other</t>
        </is>
      </c>
      <c r="H77" t="inlineStr">
        <is>
          <t>https://www.eia.gov/analysis/studies/buildings/equipcosts/pdf/full.pdf</t>
        </is>
      </c>
      <c r="I77" t="inlineStr">
        <is>
          <t>"NEMS cost data_new"</t>
        </is>
      </c>
    </row>
    <row r="78" hidden="1" s="100">
      <c r="A78" t="inlineStr">
        <is>
          <t>Propane</t>
        </is>
      </c>
      <c r="H78" t="inlineStr">
        <is>
          <t>https://www.eia.gov/analysis/studies/buildings/equipcosts/pdf/full.pdf</t>
        </is>
      </c>
      <c r="I78" t="inlineStr">
        <is>
          <t>"NEMS cost data_new"</t>
        </is>
      </c>
    </row>
    <row r="79" hidden="1" s="100">
      <c r="A79" s="40" t="inlineStr">
        <is>
          <t>Propane</t>
        </is>
      </c>
      <c r="B79" t="inlineStr">
        <is>
          <t>Heat
pumps</t>
        </is>
      </c>
      <c r="H79" t="inlineStr">
        <is>
          <t>https://www.eia.gov/analysis/studies/buildings/equipcosts/pdf/full.pdf</t>
        </is>
      </c>
      <c r="I79" t="inlineStr">
        <is>
          <t>"NEMS cost data_new"</t>
        </is>
      </c>
    </row>
    <row r="80" hidden="1" s="100">
      <c r="A80" s="40" t="inlineStr">
        <is>
          <t>Propane</t>
        </is>
      </c>
      <c r="B80" t="inlineStr">
        <is>
          <t>Furnaces</t>
        </is>
      </c>
      <c r="H80" t="inlineStr">
        <is>
          <t>https://www.eia.gov/analysis/studies/buildings/equipcosts/pdf/full.pdf</t>
        </is>
      </c>
      <c r="I80" t="inlineStr">
        <is>
          <t>"NEMS cost data_new"</t>
        </is>
      </c>
    </row>
    <row r="81" hidden="1" s="100">
      <c r="A81" s="40" t="inlineStr">
        <is>
          <t>Propane</t>
        </is>
      </c>
      <c r="B81" t="inlineStr">
        <is>
          <t>Indiv-
idual space heaters</t>
        </is>
      </c>
      <c r="H81" t="inlineStr">
        <is>
          <t>https://www.eia.gov/analysis/studies/buildings/equipcosts/pdf/full.pdf</t>
        </is>
      </c>
      <c r="I81" t="inlineStr">
        <is>
          <t>"NEMS cost data_new"</t>
        </is>
      </c>
    </row>
    <row r="82" hidden="1" s="100">
      <c r="A82" s="40" t="inlineStr">
        <is>
          <t>Propane</t>
        </is>
      </c>
      <c r="B82" t="inlineStr">
        <is>
          <t>District
heat</t>
        </is>
      </c>
      <c r="H82" t="inlineStr">
        <is>
          <t>https://www.eia.gov/analysis/studies/buildings/equipcosts/pdf/full.pdf</t>
        </is>
      </c>
      <c r="I82" t="inlineStr">
        <is>
          <t>"NEMS cost data_new"</t>
        </is>
      </c>
    </row>
    <row r="83" hidden="1" s="100">
      <c r="A83" s="40" t="inlineStr">
        <is>
          <t>Propane</t>
        </is>
      </c>
      <c r="B83" t="inlineStr">
        <is>
          <t>Boilers</t>
        </is>
      </c>
      <c r="H83" t="inlineStr">
        <is>
          <t>https://www.eia.gov/analysis/studies/buildings/equipcosts/pdf/full.pdf</t>
        </is>
      </c>
      <c r="I83" t="inlineStr">
        <is>
          <t>"NEMS cost data_new"</t>
        </is>
      </c>
    </row>
    <row r="84" hidden="1" s="100">
      <c r="A84" s="40" t="inlineStr">
        <is>
          <t>Propane</t>
        </is>
      </c>
      <c r="B84" t="inlineStr">
        <is>
          <t>Pack-
aged heating units</t>
        </is>
      </c>
      <c r="H84" t="inlineStr">
        <is>
          <t>https://www.eia.gov/analysis/studies/buildings/equipcosts/pdf/full.pdf</t>
        </is>
      </c>
      <c r="I84" t="inlineStr">
        <is>
          <t>"NEMS cost data_new"</t>
        </is>
      </c>
    </row>
    <row r="85" hidden="1" s="100">
      <c r="A85" s="40" t="inlineStr">
        <is>
          <t>Propane</t>
        </is>
      </c>
      <c r="B85" t="inlineStr">
        <is>
          <t>Other</t>
        </is>
      </c>
      <c r="H85" t="inlineStr">
        <is>
          <t>https://www.eia.gov/analysis/studies/buildings/equipcosts/pdf/full.pdf</t>
        </is>
      </c>
      <c r="I85" t="inlineStr">
        <is>
          <t>"NEMS cost data_new"</t>
        </is>
      </c>
    </row>
    <row r="86" hidden="1" s="100">
      <c r="A86" s="40" t="n"/>
      <c r="H86" t="inlineStr">
        <is>
          <t>https://www.eia.gov/analysis/studies/buildings/equipcosts/pdf/full.pdf</t>
        </is>
      </c>
      <c r="I86" t="inlineStr">
        <is>
          <t>"NEMS cost data_new"</t>
        </is>
      </c>
    </row>
    <row r="87">
      <c r="A87" s="40" t="n"/>
      <c r="H87" t="inlineStr">
        <is>
          <t>https://www.eia.gov/analysis/studies/buildings/equipcosts/pdf/full.pdf</t>
        </is>
      </c>
      <c r="I87" t="inlineStr">
        <is>
          <t>"NEMS cost data_new"</t>
        </is>
      </c>
    </row>
    <row r="88">
      <c r="A88" s="63" t="inlineStr">
        <is>
          <t>Water Heating Equipment</t>
        </is>
      </c>
      <c r="B88" s="65" t="n"/>
      <c r="C88" s="63" t="n"/>
      <c r="D88" s="71" t="n"/>
      <c r="E88" s="72">
        <f>SUM(E89:E91)</f>
        <v/>
      </c>
      <c r="F88" s="77">
        <f>1-E88</f>
        <v/>
      </c>
      <c r="H88" t="inlineStr">
        <is>
          <t>https://www.eia.gov/analysis/studies/buildings/equipcosts/pdf/full.pdf</t>
        </is>
      </c>
      <c r="I88" t="inlineStr">
        <is>
          <t>"NEMS cost data_new"</t>
        </is>
      </c>
    </row>
    <row r="89">
      <c r="A89" t="inlineStr">
        <is>
          <t>Electricity</t>
        </is>
      </c>
      <c r="B89" t="inlineStr">
        <is>
          <t>Buildings with water heating</t>
        </is>
      </c>
      <c r="C89" s="101">
        <f>'COM_NEMS Cost'!D14</f>
        <v/>
      </c>
      <c r="D89" s="55">
        <f>'Summary_Com Appliances'!E46</f>
        <v/>
      </c>
      <c r="E89" s="101">
        <f>C89*D89</f>
        <v/>
      </c>
      <c r="H89" t="inlineStr">
        <is>
          <t>https://www.eia.gov/analysis/studies/buildings/equipcosts/pdf/full.pdf</t>
        </is>
      </c>
      <c r="I89" t="inlineStr">
        <is>
          <t>"NEMS cost data_new"</t>
        </is>
      </c>
    </row>
    <row r="90">
      <c r="A90" t="inlineStr">
        <is>
          <t>Natural gas</t>
        </is>
      </c>
      <c r="B90" t="inlineStr">
        <is>
          <t>Buildings with water heating</t>
        </is>
      </c>
      <c r="C90" s="101">
        <f>'COM_NEMS Cost'!D13</f>
        <v/>
      </c>
      <c r="D90" s="55">
        <f>'Summary_Com Appliances'!E47</f>
        <v/>
      </c>
      <c r="E90" s="101">
        <f>C90*D90</f>
        <v/>
      </c>
      <c r="H90" t="inlineStr">
        <is>
          <t>https://www.eia.gov/analysis/studies/buildings/equipcosts/pdf/full.pdf</t>
        </is>
      </c>
      <c r="I90" t="inlineStr">
        <is>
          <t>"NEMS cost data_new"</t>
        </is>
      </c>
    </row>
    <row r="91">
      <c r="A91" t="inlineStr">
        <is>
          <t>Fuel oil</t>
        </is>
      </c>
      <c r="B91" t="inlineStr">
        <is>
          <t>Buildings with water heating</t>
        </is>
      </c>
      <c r="C91" s="101">
        <f>'COM_NEMS Cost'!D16</f>
        <v/>
      </c>
      <c r="D91" s="55">
        <f>'Summary_Com Appliances'!E48</f>
        <v/>
      </c>
      <c r="E91" s="101">
        <f>C91*D91</f>
        <v/>
      </c>
      <c r="H91" t="inlineStr">
        <is>
          <t>https://www.eia.gov/analysis/studies/buildings/equipcosts/pdf/full.pdf</t>
        </is>
      </c>
      <c r="I91" t="inlineStr">
        <is>
          <t>"NEMS cost data_new"</t>
        </is>
      </c>
    </row>
    <row r="92">
      <c r="A92" t="inlineStr">
        <is>
          <t>District heat</t>
        </is>
      </c>
      <c r="B92" t="inlineStr">
        <is>
          <t>Buildings with water heating</t>
        </is>
      </c>
      <c r="H92" t="inlineStr">
        <is>
          <t>https://www.eia.gov/analysis/studies/buildings/equipcosts/pdf/full.pdf</t>
        </is>
      </c>
      <c r="I92" t="inlineStr">
        <is>
          <t>"NEMS cost data_new"</t>
        </is>
      </c>
    </row>
    <row r="93">
      <c r="A93" t="inlineStr">
        <is>
          <t>Propane</t>
        </is>
      </c>
      <c r="B93" t="inlineStr">
        <is>
          <t>Buildings with water heating</t>
        </is>
      </c>
      <c r="H93" t="inlineStr">
        <is>
          <t>https://www.eia.gov/analysis/studies/buildings/equipcosts/pdf/full.pdf</t>
        </is>
      </c>
      <c r="I93" t="inlineStr">
        <is>
          <t>"NEMS cost data_new"</t>
        </is>
      </c>
    </row>
    <row r="94">
      <c r="H94" t="inlineStr">
        <is>
          <t>https://www.eia.gov/analysis/studies/buildings/equipcosts/pdf/full.pdf</t>
        </is>
      </c>
      <c r="I94" t="inlineStr">
        <is>
          <t>"NEMS cost data_new"</t>
        </is>
      </c>
    </row>
    <row r="95">
      <c r="A95" s="75" t="inlineStr">
        <is>
          <t>Commercial Cooling</t>
        </is>
      </c>
      <c r="B95" s="75" t="n"/>
      <c r="C95" s="76" t="n"/>
      <c r="D95" s="75" t="n"/>
      <c r="E95" s="76">
        <f>AVERAGE(C96:C98)</f>
        <v/>
      </c>
      <c r="F95" s="78">
        <f>1-E95</f>
        <v/>
      </c>
      <c r="H95" t="inlineStr">
        <is>
          <t>https://www.eia.gov/analysis/studies/buildings/equipcosts/pdf/full.pdf</t>
        </is>
      </c>
      <c r="I95" t="inlineStr">
        <is>
          <t>"NEMS cost data_new"</t>
        </is>
      </c>
    </row>
    <row r="96">
      <c r="A96" t="inlineStr">
        <is>
          <t>Electricity</t>
        </is>
      </c>
      <c r="B96" t="inlineStr">
        <is>
          <t>Commercial Rooftop Air Conditioners</t>
        </is>
      </c>
      <c r="C96" s="101">
        <f>'COM_NEMS Cost'!D10</f>
        <v/>
      </c>
      <c r="D96" t="inlineStr">
        <is>
          <t>NA</t>
        </is>
      </c>
      <c r="H96" t="inlineStr">
        <is>
          <t>https://www.eia.gov/analysis/studies/buildings/equipcosts/pdf/full.pdf</t>
        </is>
      </c>
      <c r="I96" t="inlineStr">
        <is>
          <t>"NEMS cost data_new"</t>
        </is>
      </c>
    </row>
    <row r="97">
      <c r="A97" t="inlineStr">
        <is>
          <t>Electricity</t>
        </is>
      </c>
      <c r="B97" t="inlineStr">
        <is>
          <t>Commercial Rooftop Heat Pumps</t>
        </is>
      </c>
      <c r="C97" s="101">
        <f>'COM_NEMS Cost'!D11</f>
        <v/>
      </c>
      <c r="D97" t="inlineStr">
        <is>
          <t>NA</t>
        </is>
      </c>
      <c r="H97" t="inlineStr">
        <is>
          <t>https://www.eia.gov/analysis/studies/buildings/equipcosts/pdf/full.pdf</t>
        </is>
      </c>
      <c r="I97" t="inlineStr">
        <is>
          <t>"NEMS cost data_new"</t>
        </is>
      </c>
    </row>
    <row r="98">
      <c r="A98" t="inlineStr">
        <is>
          <t>Electricity</t>
        </is>
      </c>
      <c r="B98" t="inlineStr">
        <is>
          <t>Commercial Ground Source Heat Pumps</t>
        </is>
      </c>
      <c r="C98" s="101">
        <f>'COM_NEMS Cost'!D12</f>
        <v/>
      </c>
      <c r="D98" t="inlineStr">
        <is>
          <t>NA</t>
        </is>
      </c>
      <c r="H98" t="inlineStr">
        <is>
          <t>https://www.eia.gov/analysis/studies/buildings/equipcosts/pdf/full.pdf</t>
        </is>
      </c>
      <c r="I98" t="inlineStr">
        <is>
          <t>"NEMS cost data_new"</t>
        </is>
      </c>
    </row>
    <row r="99">
      <c r="H99" t="inlineStr">
        <is>
          <t>https://www.eia.gov/analysis/studies/buildings/equipcosts/pdf/full.pdf</t>
        </is>
      </c>
      <c r="I99" t="inlineStr">
        <is>
          <t>"NEMS cost data_new"</t>
        </is>
      </c>
    </row>
    <row r="100">
      <c r="A100" s="75" t="inlineStr">
        <is>
          <t>Commercial Lighting</t>
        </is>
      </c>
      <c r="B100" s="75" t="n"/>
      <c r="C100" s="76" t="n"/>
      <c r="D100" s="75" t="n"/>
      <c r="E100" s="76">
        <f>AVERAGE(C101:C103)</f>
        <v/>
      </c>
      <c r="F100" s="78">
        <f>1-E100</f>
        <v/>
      </c>
      <c r="H100" t="inlineStr">
        <is>
          <t>https://www.eia.gov/analysis/studies/buildings/equipcosts/pdf/full.pdf</t>
        </is>
      </c>
      <c r="I100" t="inlineStr">
        <is>
          <t>"NEMS cost data_new"</t>
        </is>
      </c>
    </row>
    <row r="101">
      <c r="A101" t="inlineStr">
        <is>
          <t>Commercial Lighting</t>
        </is>
      </c>
      <c r="B101" t="inlineStr">
        <is>
          <t>Commercial Lighting - CFL</t>
        </is>
      </c>
      <c r="C101" s="101">
        <f>'COM_NEMS Cost'!D17</f>
        <v/>
      </c>
      <c r="D101" t="inlineStr">
        <is>
          <t>NA</t>
        </is>
      </c>
      <c r="H101" t="inlineStr">
        <is>
          <t>https://www.eia.gov/analysis/studies/buildings/equipcosts/pdf/full.pdf</t>
        </is>
      </c>
      <c r="I101" t="inlineStr">
        <is>
          <t>"NEMS cost data_new"</t>
        </is>
      </c>
    </row>
    <row r="102">
      <c r="A102" t="inlineStr">
        <is>
          <t>Commercial Lighting</t>
        </is>
      </c>
      <c r="B102" t="inlineStr">
        <is>
          <t>Commercial Lighting - LED</t>
        </is>
      </c>
      <c r="C102" s="101">
        <f>'COM_NEMS Cost'!D18</f>
        <v/>
      </c>
      <c r="D102" t="inlineStr">
        <is>
          <t>NA</t>
        </is>
      </c>
      <c r="H102" t="inlineStr">
        <is>
          <t>https://www.eia.gov/analysis/studies/buildings/equipcosts/pdf/full.pdf</t>
        </is>
      </c>
      <c r="I102" t="inlineStr">
        <is>
          <t>"NEMS cost data_new"</t>
        </is>
      </c>
    </row>
    <row r="103">
      <c r="A103" t="inlineStr">
        <is>
          <t>Commercial Lighting</t>
        </is>
      </c>
      <c r="B103" t="inlineStr">
        <is>
          <t>Commercial Lighting - Halogen</t>
        </is>
      </c>
      <c r="C103" s="101">
        <f>'COM_NEMS Cost'!D19</f>
        <v/>
      </c>
      <c r="D103" t="inlineStr">
        <is>
          <t>NA</t>
        </is>
      </c>
      <c r="H103" t="inlineStr">
        <is>
          <t>https://www.eia.gov/analysis/studies/buildings/equipcosts/pdf/full.pdf</t>
        </is>
      </c>
      <c r="I103" t="inlineStr">
        <is>
          <t>"NEMS cost data_new"</t>
        </is>
      </c>
    </row>
    <row r="104">
      <c r="H104" t="inlineStr">
        <is>
          <t>https://www.eia.gov/analysis/studies/buildings/equipcosts/pdf/full.pdf</t>
        </is>
      </c>
      <c r="I104" t="inlineStr">
        <is>
          <t>"NEMS cost data_new"</t>
        </is>
      </c>
    </row>
  </sheetData>
  <mergeCells count="2">
    <mergeCell ref="A43:H43"/>
    <mergeCell ref="A1:H1"/>
  </mergeCells>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5" r:id="rId31"/>
    <hyperlink xmlns:r="http://schemas.openxmlformats.org/officeDocument/2006/relationships" ref="H36" r:id="rId32"/>
    <hyperlink xmlns:r="http://schemas.openxmlformats.org/officeDocument/2006/relationships" ref="H37" r:id="rId33"/>
    <hyperlink xmlns:r="http://schemas.openxmlformats.org/officeDocument/2006/relationships" ref="H38" r:id="rId34"/>
    <hyperlink xmlns:r="http://schemas.openxmlformats.org/officeDocument/2006/relationships" ref="H39" r:id="rId35"/>
    <hyperlink xmlns:r="http://schemas.openxmlformats.org/officeDocument/2006/relationships" ref="H45" r:id="rId36"/>
    <hyperlink xmlns:r="http://schemas.openxmlformats.org/officeDocument/2006/relationships" ref="H46" r:id="rId37"/>
    <hyperlink xmlns:r="http://schemas.openxmlformats.org/officeDocument/2006/relationships" ref="H47" r:id="rId38"/>
    <hyperlink xmlns:r="http://schemas.openxmlformats.org/officeDocument/2006/relationships" ref="H48" r:id="rId39"/>
    <hyperlink xmlns:r="http://schemas.openxmlformats.org/officeDocument/2006/relationships" ref="H49" r:id="rId40"/>
    <hyperlink xmlns:r="http://schemas.openxmlformats.org/officeDocument/2006/relationships" ref="H50" r:id="rId41"/>
    <hyperlink xmlns:r="http://schemas.openxmlformats.org/officeDocument/2006/relationships" ref="H51" r:id="rId42"/>
    <hyperlink xmlns:r="http://schemas.openxmlformats.org/officeDocument/2006/relationships" ref="H52" r:id="rId43"/>
    <hyperlink xmlns:r="http://schemas.openxmlformats.org/officeDocument/2006/relationships" ref="H53" r:id="rId44"/>
    <hyperlink xmlns:r="http://schemas.openxmlformats.org/officeDocument/2006/relationships" ref="H54" r:id="rId45"/>
    <hyperlink xmlns:r="http://schemas.openxmlformats.org/officeDocument/2006/relationships" ref="H55" r:id="rId46"/>
    <hyperlink xmlns:r="http://schemas.openxmlformats.org/officeDocument/2006/relationships" ref="H56" r:id="rId47"/>
    <hyperlink xmlns:r="http://schemas.openxmlformats.org/officeDocument/2006/relationships" ref="H57" r:id="rId48"/>
    <hyperlink xmlns:r="http://schemas.openxmlformats.org/officeDocument/2006/relationships" ref="H58" r:id="rId49"/>
    <hyperlink xmlns:r="http://schemas.openxmlformats.org/officeDocument/2006/relationships" ref="H59" r:id="rId50"/>
    <hyperlink xmlns:r="http://schemas.openxmlformats.org/officeDocument/2006/relationships" ref="H60" r:id="rId51"/>
    <hyperlink xmlns:r="http://schemas.openxmlformats.org/officeDocument/2006/relationships" ref="H61" r:id="rId52"/>
    <hyperlink xmlns:r="http://schemas.openxmlformats.org/officeDocument/2006/relationships" ref="H62" r:id="rId53"/>
    <hyperlink xmlns:r="http://schemas.openxmlformats.org/officeDocument/2006/relationships" ref="H63" r:id="rId54"/>
    <hyperlink xmlns:r="http://schemas.openxmlformats.org/officeDocument/2006/relationships" ref="H64" r:id="rId55"/>
    <hyperlink xmlns:r="http://schemas.openxmlformats.org/officeDocument/2006/relationships" ref="H65" r:id="rId56"/>
    <hyperlink xmlns:r="http://schemas.openxmlformats.org/officeDocument/2006/relationships" ref="H66" r:id="rId57"/>
    <hyperlink xmlns:r="http://schemas.openxmlformats.org/officeDocument/2006/relationships" ref="H67" r:id="rId58"/>
    <hyperlink xmlns:r="http://schemas.openxmlformats.org/officeDocument/2006/relationships" ref="H68" r:id="rId59"/>
    <hyperlink xmlns:r="http://schemas.openxmlformats.org/officeDocument/2006/relationships" ref="H69" r:id="rId60"/>
    <hyperlink xmlns:r="http://schemas.openxmlformats.org/officeDocument/2006/relationships" ref="H70" r:id="rId61"/>
    <hyperlink xmlns:r="http://schemas.openxmlformats.org/officeDocument/2006/relationships" ref="H71" r:id="rId62"/>
    <hyperlink xmlns:r="http://schemas.openxmlformats.org/officeDocument/2006/relationships" ref="H72" r:id="rId63"/>
    <hyperlink xmlns:r="http://schemas.openxmlformats.org/officeDocument/2006/relationships" ref="H73" r:id="rId64"/>
    <hyperlink xmlns:r="http://schemas.openxmlformats.org/officeDocument/2006/relationships" ref="H74" r:id="rId65"/>
    <hyperlink xmlns:r="http://schemas.openxmlformats.org/officeDocument/2006/relationships" ref="H75" r:id="rId66"/>
    <hyperlink xmlns:r="http://schemas.openxmlformats.org/officeDocument/2006/relationships" ref="H76" r:id="rId67"/>
    <hyperlink xmlns:r="http://schemas.openxmlformats.org/officeDocument/2006/relationships" ref="H77" r:id="rId68"/>
    <hyperlink xmlns:r="http://schemas.openxmlformats.org/officeDocument/2006/relationships" ref="H78" r:id="rId69"/>
    <hyperlink xmlns:r="http://schemas.openxmlformats.org/officeDocument/2006/relationships" ref="H79" r:id="rId70"/>
    <hyperlink xmlns:r="http://schemas.openxmlformats.org/officeDocument/2006/relationships" ref="H80" r:id="rId71"/>
    <hyperlink xmlns:r="http://schemas.openxmlformats.org/officeDocument/2006/relationships" ref="H81" r:id="rId72"/>
    <hyperlink xmlns:r="http://schemas.openxmlformats.org/officeDocument/2006/relationships" ref="H82" r:id="rId73"/>
    <hyperlink xmlns:r="http://schemas.openxmlformats.org/officeDocument/2006/relationships" ref="H83" r:id="rId74"/>
    <hyperlink xmlns:r="http://schemas.openxmlformats.org/officeDocument/2006/relationships" ref="H84" r:id="rId75"/>
    <hyperlink xmlns:r="http://schemas.openxmlformats.org/officeDocument/2006/relationships" ref="H85" r:id="rId76"/>
    <hyperlink xmlns:r="http://schemas.openxmlformats.org/officeDocument/2006/relationships" ref="H86" r:id="rId77"/>
    <hyperlink xmlns:r="http://schemas.openxmlformats.org/officeDocument/2006/relationships" ref="H87" r:id="rId78"/>
    <hyperlink xmlns:r="http://schemas.openxmlformats.org/officeDocument/2006/relationships" ref="H88" r:id="rId79"/>
    <hyperlink xmlns:r="http://schemas.openxmlformats.org/officeDocument/2006/relationships" ref="H89" r:id="rId80"/>
    <hyperlink xmlns:r="http://schemas.openxmlformats.org/officeDocument/2006/relationships" ref="H90" r:id="rId81"/>
    <hyperlink xmlns:r="http://schemas.openxmlformats.org/officeDocument/2006/relationships" ref="H91" r:id="rId82"/>
    <hyperlink xmlns:r="http://schemas.openxmlformats.org/officeDocument/2006/relationships" ref="H92" r:id="rId83"/>
    <hyperlink xmlns:r="http://schemas.openxmlformats.org/officeDocument/2006/relationships" ref="H93" r:id="rId84"/>
    <hyperlink xmlns:r="http://schemas.openxmlformats.org/officeDocument/2006/relationships" ref="H94" r:id="rId85"/>
    <hyperlink xmlns:r="http://schemas.openxmlformats.org/officeDocument/2006/relationships" ref="H95" r:id="rId86"/>
    <hyperlink xmlns:r="http://schemas.openxmlformats.org/officeDocument/2006/relationships" ref="H96" r:id="rId87"/>
    <hyperlink xmlns:r="http://schemas.openxmlformats.org/officeDocument/2006/relationships" ref="H97" r:id="rId88"/>
    <hyperlink xmlns:r="http://schemas.openxmlformats.org/officeDocument/2006/relationships" ref="H98" r:id="rId89"/>
    <hyperlink xmlns:r="http://schemas.openxmlformats.org/officeDocument/2006/relationships" ref="H99" r:id="rId90"/>
    <hyperlink xmlns:r="http://schemas.openxmlformats.org/officeDocument/2006/relationships" ref="H100" r:id="rId91"/>
    <hyperlink xmlns:r="http://schemas.openxmlformats.org/officeDocument/2006/relationships" ref="H101" r:id="rId92"/>
    <hyperlink xmlns:r="http://schemas.openxmlformats.org/officeDocument/2006/relationships" ref="H102" r:id="rId93"/>
    <hyperlink xmlns:r="http://schemas.openxmlformats.org/officeDocument/2006/relationships" ref="H103" r:id="rId94"/>
    <hyperlink xmlns:r="http://schemas.openxmlformats.org/officeDocument/2006/relationships" ref="H104" r:id="rId95"/>
  </hyperlink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2" sqref="A2"/>
    </sheetView>
  </sheetViews>
  <sheetFormatPr baseColWidth="8" defaultRowHeight="14.25"/>
  <cols>
    <col width="23" customWidth="1" style="100" min="2" max="2"/>
    <col width="26.53125" customWidth="1" style="100" min="3" max="3"/>
    <col width="24.3984375" customWidth="1" style="100" min="4" max="4"/>
  </cols>
  <sheetData>
    <row r="1">
      <c r="A1" t="inlineStr">
        <is>
          <t>Hard Copied from: "Summary Commercial" tab on "NEMS cost data new.xlsx"</t>
        </is>
      </c>
    </row>
    <row r="3">
      <c r="C3" t="inlineStr">
        <is>
          <t>Equipment Type</t>
        </is>
      </c>
      <c r="D3" s="101" t="inlineStr">
        <is>
          <t>Percent Equipment Costs</t>
        </is>
      </c>
    </row>
    <row r="4">
      <c r="B4" t="inlineStr">
        <is>
          <t>Commercial Heating</t>
        </is>
      </c>
      <c r="C4" t="inlineStr">
        <is>
          <t>Commercial Gas Fired Furnaces</t>
        </is>
      </c>
      <c r="D4" s="101" t="n">
        <v>0.5405476980580012</v>
      </c>
    </row>
    <row r="5">
      <c r="B5" t="inlineStr">
        <is>
          <t>Commercial Heating</t>
        </is>
      </c>
      <c r="C5" t="inlineStr">
        <is>
          <t>Commercial Oil-Fired Furnaces</t>
        </is>
      </c>
      <c r="D5" s="101" t="n">
        <v>0.7160751921248104</v>
      </c>
    </row>
    <row r="6">
      <c r="B6" t="inlineStr">
        <is>
          <t>Commercial Heating</t>
        </is>
      </c>
      <c r="C6" t="inlineStr">
        <is>
          <t>Commercial Electric Resistance Heaters</t>
        </is>
      </c>
      <c r="D6" s="101" t="n">
        <v>0.8279902512185977</v>
      </c>
    </row>
    <row r="7">
      <c r="B7" t="inlineStr">
        <is>
          <t>Commercial Heating</t>
        </is>
      </c>
      <c r="C7" t="inlineStr">
        <is>
          <t>Commercial Electric Boilers</t>
        </is>
      </c>
      <c r="D7" s="101" t="n">
        <v>0.8092258179867691</v>
      </c>
    </row>
    <row r="8">
      <c r="B8" t="inlineStr">
        <is>
          <t>Commercial Heating</t>
        </is>
      </c>
      <c r="C8" t="inlineStr">
        <is>
          <t>Commercial Gas Fired Boilers</t>
        </is>
      </c>
      <c r="D8" s="101" t="n">
        <v>0.7356037522797645</v>
      </c>
    </row>
    <row r="9">
      <c r="B9" t="inlineStr">
        <is>
          <t>Commercial Heating</t>
        </is>
      </c>
      <c r="C9" t="inlineStr">
        <is>
          <t>Commercial Oil-Fired Boilers</t>
        </is>
      </c>
      <c r="D9" s="101" t="n">
        <v>0.7735271872347683</v>
      </c>
    </row>
    <row r="10">
      <c r="B10" t="inlineStr">
        <is>
          <t>Commercial Cooling</t>
        </is>
      </c>
      <c r="C10" t="inlineStr">
        <is>
          <t>Commercial Rooftop Air Conditioners</t>
        </is>
      </c>
      <c r="D10" s="101" t="n">
        <v>0.7092957748742901</v>
      </c>
    </row>
    <row r="11">
      <c r="B11" t="inlineStr">
        <is>
          <t>Commercial Cooling</t>
        </is>
      </c>
      <c r="C11" t="inlineStr">
        <is>
          <t>Commercial Rooftop Heat Pumps</t>
        </is>
      </c>
      <c r="D11" s="101" t="n">
        <v>0.7223928610831787</v>
      </c>
    </row>
    <row r="12">
      <c r="B12" t="inlineStr">
        <is>
          <t>Commercial Cooling</t>
        </is>
      </c>
      <c r="C12" t="inlineStr">
        <is>
          <t>Commercial Ground Source Heat Pumps</t>
        </is>
      </c>
      <c r="D12" s="101" t="n">
        <v>0.3078016947833429</v>
      </c>
    </row>
    <row r="13">
      <c r="B13" t="inlineStr">
        <is>
          <t>Commercial Water Heating</t>
        </is>
      </c>
      <c r="C13" t="inlineStr">
        <is>
          <t>Commercial Gas-Fired Storage Water Heaters</t>
        </is>
      </c>
      <c r="D13" s="101" t="n">
        <v>0.740182771584355</v>
      </c>
    </row>
    <row r="14">
      <c r="B14" t="inlineStr">
        <is>
          <t>Commercial Water Heating</t>
        </is>
      </c>
      <c r="C14" t="inlineStr">
        <is>
          <t>Commercial Electric Resistance Storage Water Heaters</t>
        </is>
      </c>
      <c r="D14" s="101" t="n">
        <v>0.761290322580645</v>
      </c>
    </row>
    <row r="15">
      <c r="B15" t="inlineStr">
        <is>
          <t>Commercial Water Heating</t>
        </is>
      </c>
      <c r="C15" t="inlineStr">
        <is>
          <t>Commercial Heat Pump Water Heaters</t>
        </is>
      </c>
      <c r="D15" s="101" t="n">
        <v>0.9244357212953876</v>
      </c>
    </row>
    <row r="16">
      <c r="B16" t="inlineStr">
        <is>
          <t>Commercial Water Heating</t>
        </is>
      </c>
      <c r="C16" t="inlineStr">
        <is>
          <t>Commercial Oil Fired Storage Water Heaters</t>
        </is>
      </c>
      <c r="D16" s="101" t="n">
        <v>0.8942307692307695</v>
      </c>
    </row>
    <row r="17">
      <c r="B17" t="inlineStr">
        <is>
          <t>Commercial Lighting</t>
        </is>
      </c>
      <c r="C17" t="inlineStr">
        <is>
          <t>Commercial Lighting - CFL</t>
        </is>
      </c>
      <c r="D17" s="101" t="n">
        <v>0.2341837177753824</v>
      </c>
    </row>
    <row r="18">
      <c r="B18" t="inlineStr">
        <is>
          <t>Commercial Lighting</t>
        </is>
      </c>
      <c r="C18" t="inlineStr">
        <is>
          <t>Commercial Lighting - LED</t>
        </is>
      </c>
      <c r="D18" s="101" t="n">
        <v>0.7269146515771101</v>
      </c>
    </row>
    <row r="19">
      <c r="B19" t="inlineStr">
        <is>
          <t>Commercial Lighting</t>
        </is>
      </c>
      <c r="C19" t="inlineStr">
        <is>
          <t>Commercial Lighting - Halogen</t>
        </is>
      </c>
      <c r="D19" s="101" t="n">
        <v>0.2619084705910782</v>
      </c>
    </row>
  </sheetData>
  <pageMargins left="0.7" right="0.7" top="0.75" bottom="0.75" header="0.3" footer="0.3"/>
</worksheet>
</file>

<file path=xl/worksheets/sheet8.xml><?xml version="1.0" encoding="utf-8"?>
<worksheet xmlns="http://schemas.openxmlformats.org/spreadsheetml/2006/main">
  <sheetPr>
    <tabColor theme="5"/>
    <outlinePr summaryBelow="1" summaryRight="1"/>
    <pageSetUpPr/>
  </sheetPr>
  <dimension ref="A1:A1"/>
  <sheetViews>
    <sheetView workbookViewId="0">
      <selection activeCell="A1" sqref="A1"/>
    </sheetView>
  </sheetViews>
  <sheetFormatPr baseColWidth="8" defaultRowHeight="14.25"/>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51"/>
  <sheetViews>
    <sheetView zoomScale="80" zoomScaleNormal="80" workbookViewId="0">
      <selection activeCell="A2" sqref="A2"/>
    </sheetView>
  </sheetViews>
  <sheetFormatPr baseColWidth="8" defaultRowHeight="14.25"/>
  <cols>
    <col width="19.53125" customWidth="1" style="100" min="1" max="1"/>
    <col width="26.3984375" customWidth="1" style="100" min="2" max="2"/>
    <col width="15" customWidth="1" style="100" min="3" max="3"/>
    <col width="10.265625" customWidth="1" style="100" min="4" max="4"/>
    <col width="15" customWidth="1" style="100" min="5" max="5"/>
  </cols>
  <sheetData>
    <row r="1">
      <c r="A1" s="99" t="inlineStr">
        <is>
          <t>Commercial Appliance Prevalance</t>
        </is>
      </c>
    </row>
    <row r="2" ht="44.25" customHeight="1" s="100">
      <c r="A2" s="2" t="inlineStr">
        <is>
          <t>Fuel</t>
        </is>
      </c>
      <c r="B2" s="2" t="inlineStr">
        <is>
          <t>Heating Equipment</t>
        </is>
      </c>
      <c r="C2" s="46" t="inlineStr">
        <is>
          <t>Total Floorspace (million square feet)</t>
        </is>
      </c>
      <c r="D2" s="46" t="inlineStr">
        <is>
          <t>Percent of Total Appliances</t>
        </is>
      </c>
      <c r="E2" s="46" t="inlineStr">
        <is>
          <t>Percent of Total Appliances w/ Cost Data</t>
        </is>
      </c>
      <c r="I2" t="inlineStr">
        <is>
          <t>Source</t>
        </is>
      </c>
    </row>
    <row r="3">
      <c r="A3" s="63" t="inlineStr">
        <is>
          <t>Electricity</t>
        </is>
      </c>
      <c r="B3" s="63" t="n"/>
      <c r="C3" s="63" t="n"/>
      <c r="D3" s="63" t="n"/>
      <c r="E3" s="67">
        <f>SUM(C4:C10)/E43</f>
        <v/>
      </c>
    </row>
    <row r="4">
      <c r="A4" s="40" t="inlineStr">
        <is>
          <t>Electricity</t>
        </is>
      </c>
      <c r="B4" t="inlineStr">
        <is>
          <t>Heat
pumps</t>
        </is>
      </c>
      <c r="C4">
        <f>IFERROR(INDEX(TableB39!$E$154:$K$159,MATCH('Summary_Com Appliances'!$A4,TableB39!$B$154:$B$159,0),MATCH('Summary_Com Appliances'!$B4,TableB39!$E$5:$K$5,0)),"")</f>
        <v/>
      </c>
      <c r="D4" s="64">
        <f>IFERROR(C4/$D$43,"")</f>
        <v/>
      </c>
      <c r="I4">
        <f>About!$B$14</f>
        <v/>
      </c>
    </row>
    <row r="5">
      <c r="A5" s="62" t="inlineStr">
        <is>
          <t>Electricity</t>
        </is>
      </c>
      <c r="B5" t="inlineStr">
        <is>
          <t>Furnaces</t>
        </is>
      </c>
      <c r="C5">
        <f>IFERROR(INDEX(TableB39!$E$154:$K$159,MATCH('Summary_Com Appliances'!$A5,TableB39!$B$154:$B$159,0),MATCH('Summary_Com Appliances'!$B5,TableB39!$E$5:$K$5,0)),"")</f>
        <v/>
      </c>
      <c r="D5" s="64">
        <f>IFERROR(C5/$D$43,"")</f>
        <v/>
      </c>
      <c r="I5">
        <f>About!$B$14</f>
        <v/>
      </c>
    </row>
    <row r="6">
      <c r="A6" s="40" t="inlineStr">
        <is>
          <t>Electricity</t>
        </is>
      </c>
      <c r="B6" t="inlineStr">
        <is>
          <t>Indiv-
idual space heaters</t>
        </is>
      </c>
      <c r="C6">
        <f>IFERROR(INDEX(TableB39!$E$154:$K$159,MATCH('Summary_Com Appliances'!$A6,TableB39!$B$154:$B$159,0),MATCH('Summary_Com Appliances'!$B6,TableB39!$E$5:$K$5,0)),"")</f>
        <v/>
      </c>
      <c r="D6" s="64">
        <f>IFERROR(C6/$D$43,"")</f>
        <v/>
      </c>
      <c r="I6">
        <f>About!$B$14</f>
        <v/>
      </c>
    </row>
    <row r="7">
      <c r="A7" s="40" t="inlineStr">
        <is>
          <t>Electricity</t>
        </is>
      </c>
      <c r="B7" t="inlineStr">
        <is>
          <t>District
heat</t>
        </is>
      </c>
      <c r="C7">
        <f>IFERROR(INDEX(TableB39!$E$154:$K$159,MATCH('Summary_Com Appliances'!$A7,TableB39!$B$154:$B$159,0),MATCH('Summary_Com Appliances'!$B7,TableB39!$E$5:$K$5,0)),"")</f>
        <v/>
      </c>
      <c r="D7" s="64">
        <f>IFERROR(C7/$D$43,"")</f>
        <v/>
      </c>
      <c r="I7">
        <f>About!$B$14</f>
        <v/>
      </c>
    </row>
    <row r="8">
      <c r="A8" s="62" t="inlineStr">
        <is>
          <t>Electricity</t>
        </is>
      </c>
      <c r="B8" t="inlineStr">
        <is>
          <t>Boilers</t>
        </is>
      </c>
      <c r="C8">
        <f>IFERROR(INDEX(TableB39!$E$154:$K$159,MATCH('Summary_Com Appliances'!$A8,TableB39!$B$154:$B$159,0),MATCH('Summary_Com Appliances'!$B8,TableB39!$E$5:$K$5,0)),"")</f>
        <v/>
      </c>
      <c r="D8" s="64">
        <f>IFERROR(C8/$D$43,"")</f>
        <v/>
      </c>
      <c r="I8">
        <f>About!$B$14</f>
        <v/>
      </c>
    </row>
    <row r="9">
      <c r="A9" s="40" t="inlineStr">
        <is>
          <t>Electricity</t>
        </is>
      </c>
      <c r="B9" t="inlineStr">
        <is>
          <t>Pack-
aged heating units</t>
        </is>
      </c>
      <c r="C9">
        <f>IFERROR(INDEX(TableB39!$E$154:$K$159,MATCH('Summary_Com Appliances'!$A9,TableB39!$B$154:$B$159,0),MATCH('Summary_Com Appliances'!$B9,TableB39!$E$5:$K$5,0)),"")</f>
        <v/>
      </c>
      <c r="D9" s="64">
        <f>IFERROR(C9/$D$43,"")</f>
        <v/>
      </c>
      <c r="I9">
        <f>About!$B$14</f>
        <v/>
      </c>
    </row>
    <row r="10">
      <c r="A10" s="40" t="inlineStr">
        <is>
          <t>Electricity</t>
        </is>
      </c>
      <c r="B10" t="inlineStr">
        <is>
          <t>Other</t>
        </is>
      </c>
      <c r="C10">
        <f>IFERROR(INDEX(TableB39!$E$154:$K$159,MATCH('Summary_Com Appliances'!$A10,TableB39!$B$154:$B$159,0),MATCH('Summary_Com Appliances'!$B10,TableB39!$E$5:$K$5,0)),"")</f>
        <v/>
      </c>
      <c r="D10" s="64">
        <f>IFERROR(C10/$D$43,"")</f>
        <v/>
      </c>
      <c r="I10">
        <f>About!$B$14</f>
        <v/>
      </c>
    </row>
    <row r="11">
      <c r="A11" s="63" t="inlineStr">
        <is>
          <t>Natural gas</t>
        </is>
      </c>
      <c r="B11" s="65" t="n"/>
      <c r="C11" s="65">
        <f>IFERROR(INDEX(TableB39!$E$154:$K$159,MATCH('Summary_Com Appliances'!$A11,TableB39!$B$154:$B$159,0),MATCH('Summary_Com Appliances'!$B11,TableB39!$E$5:$K$5,0)),"")</f>
        <v/>
      </c>
      <c r="D11" s="65">
        <f>IFERROR(C11/$D$43,"")</f>
        <v/>
      </c>
      <c r="E11" s="67">
        <f>SUM(C12:C18)/E43</f>
        <v/>
      </c>
      <c r="I11">
        <f>About!$B$14</f>
        <v/>
      </c>
    </row>
    <row r="12">
      <c r="A12" s="40" t="inlineStr">
        <is>
          <t>Natural gas</t>
        </is>
      </c>
      <c r="B12" t="inlineStr">
        <is>
          <t>Heat
pumps</t>
        </is>
      </c>
      <c r="C12">
        <f>IFERROR(INDEX(TableB39!$E$154:$K$159,MATCH('Summary_Com Appliances'!$A12,TableB39!$B$154:$B$159,0),MATCH('Summary_Com Appliances'!$B12,TableB39!$E$5:$K$5,0)),"")</f>
        <v/>
      </c>
      <c r="D12" s="64">
        <f>IFERROR(C12/$D$43,"")</f>
        <v/>
      </c>
      <c r="I12">
        <f>About!$B$14</f>
        <v/>
      </c>
    </row>
    <row r="13">
      <c r="A13" s="40" t="inlineStr">
        <is>
          <t>Natural gas</t>
        </is>
      </c>
      <c r="B13" t="inlineStr">
        <is>
          <t>Furnaces</t>
        </is>
      </c>
      <c r="C13">
        <f>IFERROR(INDEX(TableB39!$E$154:$K$159,MATCH('Summary_Com Appliances'!$A13,TableB39!$B$154:$B$159,0),MATCH('Summary_Com Appliances'!$B13,TableB39!$E$5:$K$5,0)),"")</f>
        <v/>
      </c>
      <c r="D13" s="64">
        <f>IFERROR(C13/$D$43,"")</f>
        <v/>
      </c>
      <c r="I13">
        <f>About!$B$14</f>
        <v/>
      </c>
    </row>
    <row r="14">
      <c r="A14" s="40" t="inlineStr">
        <is>
          <t>Natural gas</t>
        </is>
      </c>
      <c r="B14" t="inlineStr">
        <is>
          <t>Indiv-
idual space heaters</t>
        </is>
      </c>
      <c r="C14">
        <f>IFERROR(INDEX(TableB39!$E$154:$K$159,MATCH('Summary_Com Appliances'!$A14,TableB39!$B$154:$B$159,0),MATCH('Summary_Com Appliances'!$B14,TableB39!$E$5:$K$5,0)),"")</f>
        <v/>
      </c>
      <c r="D14" s="64">
        <f>IFERROR(C14/$D$43,"")</f>
        <v/>
      </c>
      <c r="I14">
        <f>About!$B$14</f>
        <v/>
      </c>
    </row>
    <row r="15">
      <c r="A15" s="40" t="inlineStr">
        <is>
          <t>Natural gas</t>
        </is>
      </c>
      <c r="B15" t="inlineStr">
        <is>
          <t>District
heat</t>
        </is>
      </c>
      <c r="C15">
        <f>IFERROR(INDEX(TableB39!$E$154:$K$159,MATCH('Summary_Com Appliances'!$A15,TableB39!$B$154:$B$159,0),MATCH('Summary_Com Appliances'!$B15,TableB39!$E$5:$K$5,0)),"")</f>
        <v/>
      </c>
      <c r="D15" s="64">
        <f>IFERROR(C15/$D$43,"")</f>
        <v/>
      </c>
      <c r="I15">
        <f>About!$B$14</f>
        <v/>
      </c>
    </row>
    <row r="16">
      <c r="A16" s="40" t="inlineStr">
        <is>
          <t>Natural gas</t>
        </is>
      </c>
      <c r="B16" t="inlineStr">
        <is>
          <t>Boilers</t>
        </is>
      </c>
      <c r="C16">
        <f>IFERROR(INDEX(TableB39!$E$154:$K$159,MATCH('Summary_Com Appliances'!$A16,TableB39!$B$154:$B$159,0),MATCH('Summary_Com Appliances'!$B16,TableB39!$E$5:$K$5,0)),"")</f>
        <v/>
      </c>
      <c r="D16" s="64">
        <f>IFERROR(C16/$D$43,"")</f>
        <v/>
      </c>
      <c r="I16">
        <f>About!$B$14</f>
        <v/>
      </c>
    </row>
    <row r="17">
      <c r="A17" s="40" t="inlineStr">
        <is>
          <t>Natural gas</t>
        </is>
      </c>
      <c r="B17" t="inlineStr">
        <is>
          <t>Pack-
aged heating units</t>
        </is>
      </c>
      <c r="C17">
        <f>IFERROR(INDEX(TableB39!$E$154:$K$159,MATCH('Summary_Com Appliances'!$A17,TableB39!$B$154:$B$159,0),MATCH('Summary_Com Appliances'!$B17,TableB39!$E$5:$K$5,0)),"")</f>
        <v/>
      </c>
      <c r="D17" s="64">
        <f>IFERROR(C17/$D$43,"")</f>
        <v/>
      </c>
      <c r="I17">
        <f>About!$B$14</f>
        <v/>
      </c>
    </row>
    <row r="18">
      <c r="A18" s="40" t="inlineStr">
        <is>
          <t>Natural gas</t>
        </is>
      </c>
      <c r="B18" t="inlineStr">
        <is>
          <t>Other</t>
        </is>
      </c>
      <c r="C18">
        <f>IFERROR(INDEX(TableB39!$E$154:$K$159,MATCH('Summary_Com Appliances'!$A18,TableB39!$B$154:$B$159,0),MATCH('Summary_Com Appliances'!$B18,TableB39!$E$5:$K$5,0)),"")</f>
        <v/>
      </c>
      <c r="D18" s="64">
        <f>IFERROR(C18/$D$43,"")</f>
        <v/>
      </c>
      <c r="I18">
        <f>About!$B$14</f>
        <v/>
      </c>
    </row>
    <row r="19">
      <c r="A19" s="63" t="inlineStr">
        <is>
          <t>Fuel oil</t>
        </is>
      </c>
      <c r="B19" s="65" t="n"/>
      <c r="C19" s="65">
        <f>IFERROR(INDEX(TableB39!$E$154:$K$159,MATCH('Summary_Com Appliances'!$A19,TableB39!$B$154:$B$159,0),MATCH('Summary_Com Appliances'!$B19,TableB39!$E$5:$K$5,0)),"")</f>
        <v/>
      </c>
      <c r="D19" s="65">
        <f>IFERROR(C19/$D$43,"")</f>
        <v/>
      </c>
      <c r="E19" s="67">
        <f>SUM(C20:C26)/E43</f>
        <v/>
      </c>
      <c r="I19">
        <f>About!$B$14</f>
        <v/>
      </c>
    </row>
    <row r="20">
      <c r="A20" s="40" t="inlineStr">
        <is>
          <t>Fuel oil</t>
        </is>
      </c>
      <c r="B20" t="inlineStr">
        <is>
          <t>Heat
pumps</t>
        </is>
      </c>
      <c r="C20">
        <f>IFERROR(INDEX(TableB39!$E$154:$K$159,MATCH('Summary_Com Appliances'!$A20,TableB39!$B$154:$B$159,0),MATCH('Summary_Com Appliances'!$B20,TableB39!$E$5:$K$5,0)),"")</f>
        <v/>
      </c>
      <c r="D20" s="64">
        <f>IFERROR(C20/$D$43,"")</f>
        <v/>
      </c>
      <c r="I20">
        <f>About!$B$14</f>
        <v/>
      </c>
    </row>
    <row r="21">
      <c r="A21" s="40" t="inlineStr">
        <is>
          <t>Fuel oil</t>
        </is>
      </c>
      <c r="B21" t="inlineStr">
        <is>
          <t>Furnaces</t>
        </is>
      </c>
      <c r="C21">
        <f>IFERROR(INDEX(TableB39!$E$154:$K$159,MATCH('Summary_Com Appliances'!$A21,TableB39!$B$154:$B$159,0),MATCH('Summary_Com Appliances'!$B21,TableB39!$E$5:$K$5,0)),"")</f>
        <v/>
      </c>
      <c r="D21" s="64">
        <f>IFERROR(C21/$D$43,"")</f>
        <v/>
      </c>
      <c r="I21">
        <f>About!$B$14</f>
        <v/>
      </c>
    </row>
    <row r="22">
      <c r="A22" s="40" t="inlineStr">
        <is>
          <t>Fuel oil</t>
        </is>
      </c>
      <c r="B22" t="inlineStr">
        <is>
          <t>Indiv-
idual space heaters</t>
        </is>
      </c>
      <c r="C22">
        <f>IFERROR(INDEX(TableB39!$E$154:$K$159,MATCH('Summary_Com Appliances'!$A22,TableB39!$B$154:$B$159,0),MATCH('Summary_Com Appliances'!$B22,TableB39!$E$5:$K$5,0)),"")</f>
        <v/>
      </c>
      <c r="D22" s="64">
        <f>IFERROR(C22/$D$43,"")</f>
        <v/>
      </c>
      <c r="I22">
        <f>About!$B$14</f>
        <v/>
      </c>
    </row>
    <row r="23">
      <c r="A23" s="40" t="inlineStr">
        <is>
          <t>Fuel oil</t>
        </is>
      </c>
      <c r="B23" t="inlineStr">
        <is>
          <t>District
heat</t>
        </is>
      </c>
      <c r="C23">
        <f>IFERROR(INDEX(TableB39!$E$154:$K$159,MATCH('Summary_Com Appliances'!$A23,TableB39!$B$154:$B$159,0),MATCH('Summary_Com Appliances'!$B23,TableB39!$E$5:$K$5,0)),"")</f>
        <v/>
      </c>
      <c r="D23" s="64">
        <f>IFERROR(C23/$D$43,"")</f>
        <v/>
      </c>
      <c r="I23">
        <f>About!$B$14</f>
        <v/>
      </c>
    </row>
    <row r="24">
      <c r="A24" s="40" t="inlineStr">
        <is>
          <t>Fuel oil</t>
        </is>
      </c>
      <c r="B24" t="inlineStr">
        <is>
          <t>Boilers</t>
        </is>
      </c>
      <c r="C24">
        <f>IFERROR(INDEX(TableB39!$E$154:$K$159,MATCH('Summary_Com Appliances'!$A24,TableB39!$B$154:$B$159,0),MATCH('Summary_Com Appliances'!$B24,TableB39!$E$5:$K$5,0)),"")</f>
        <v/>
      </c>
      <c r="D24" s="64">
        <f>IFERROR(C24/$D$43,"")</f>
        <v/>
      </c>
      <c r="I24">
        <f>About!$B$14</f>
        <v/>
      </c>
    </row>
    <row r="25">
      <c r="A25" s="40" t="inlineStr">
        <is>
          <t>Fuel oil</t>
        </is>
      </c>
      <c r="B25" t="inlineStr">
        <is>
          <t>Pack-
aged heating units</t>
        </is>
      </c>
      <c r="C25">
        <f>IFERROR(INDEX(TableB39!$E$154:$K$159,MATCH('Summary_Com Appliances'!$A25,TableB39!$B$154:$B$159,0),MATCH('Summary_Com Appliances'!$B25,TableB39!$E$5:$K$5,0)),"")</f>
        <v/>
      </c>
      <c r="D25" s="64">
        <f>IFERROR(C25/$D$43,"")</f>
        <v/>
      </c>
      <c r="I25">
        <f>About!$B$14</f>
        <v/>
      </c>
    </row>
    <row r="26">
      <c r="A26" s="40" t="inlineStr">
        <is>
          <t>Fuel oil</t>
        </is>
      </c>
      <c r="B26" t="inlineStr">
        <is>
          <t>Other</t>
        </is>
      </c>
      <c r="C26">
        <f>IFERROR(INDEX(TableB39!$E$154:$K$159,MATCH('Summary_Com Appliances'!$A26,TableB39!$B$154:$B$159,0),MATCH('Summary_Com Appliances'!$B26,TableB39!$E$5:$K$5,0)),"")</f>
        <v/>
      </c>
      <c r="D26" s="64">
        <f>IFERROR(C26/$D$43,"")</f>
        <v/>
      </c>
      <c r="I26">
        <f>About!$B$14</f>
        <v/>
      </c>
    </row>
    <row r="27">
      <c r="A27" s="63" t="inlineStr">
        <is>
          <t>District heat</t>
        </is>
      </c>
      <c r="B27" s="65" t="n"/>
      <c r="C27" s="65">
        <f>IFERROR(INDEX(TableB39!$E$154:$K$159,MATCH('Summary_Com Appliances'!$A27,TableB39!$B$154:$B$159,0),MATCH('Summary_Com Appliances'!$B27,TableB39!$E$5:$K$5,0)),"")</f>
        <v/>
      </c>
      <c r="D27" s="65">
        <f>IFERROR(C27/$D$43,"")</f>
        <v/>
      </c>
      <c r="I27">
        <f>About!$B$14</f>
        <v/>
      </c>
    </row>
    <row r="28">
      <c r="A28" s="40" t="inlineStr">
        <is>
          <t>District heat</t>
        </is>
      </c>
      <c r="B28" t="inlineStr">
        <is>
          <t>Heat
pumps</t>
        </is>
      </c>
      <c r="C28">
        <f>IFERROR(INDEX(TableB39!$E$154:$K$159,MATCH('Summary_Com Appliances'!$A28,TableB39!$B$154:$B$159,0),MATCH('Summary_Com Appliances'!$B28,TableB39!$E$5:$K$5,0)),"")</f>
        <v/>
      </c>
      <c r="D28" s="64">
        <f>IFERROR(C28/$D$43,"")</f>
        <v/>
      </c>
      <c r="I28">
        <f>About!$B$14</f>
        <v/>
      </c>
    </row>
    <row r="29">
      <c r="A29" s="40" t="inlineStr">
        <is>
          <t>District heat</t>
        </is>
      </c>
      <c r="B29" t="inlineStr">
        <is>
          <t>Furnaces</t>
        </is>
      </c>
      <c r="C29">
        <f>IFERROR(INDEX(TableB39!$E$154:$K$159,MATCH('Summary_Com Appliances'!$A29,TableB39!$B$154:$B$159,0),MATCH('Summary_Com Appliances'!$B29,TableB39!$E$5:$K$5,0)),"")</f>
        <v/>
      </c>
      <c r="D29" s="64">
        <f>IFERROR(C29/$D$43,"")</f>
        <v/>
      </c>
      <c r="I29">
        <f>About!$B$14</f>
        <v/>
      </c>
    </row>
    <row r="30">
      <c r="A30" s="40" t="inlineStr">
        <is>
          <t>District heat</t>
        </is>
      </c>
      <c r="B30" t="inlineStr">
        <is>
          <t>Indiv-
idual space heaters</t>
        </is>
      </c>
      <c r="C30">
        <f>IFERROR(INDEX(TableB39!$E$154:$K$159,MATCH('Summary_Com Appliances'!$A30,TableB39!$B$154:$B$159,0),MATCH('Summary_Com Appliances'!$B30,TableB39!$E$5:$K$5,0)),"")</f>
        <v/>
      </c>
      <c r="D30" s="64">
        <f>IFERROR(C30/$D$43,"")</f>
        <v/>
      </c>
      <c r="I30">
        <f>About!$B$14</f>
        <v/>
      </c>
    </row>
    <row r="31">
      <c r="A31" s="40" t="inlineStr">
        <is>
          <t>District heat</t>
        </is>
      </c>
      <c r="B31" t="inlineStr">
        <is>
          <t>District
heat</t>
        </is>
      </c>
      <c r="C31">
        <f>IFERROR(INDEX(TableB39!$E$154:$K$159,MATCH('Summary_Com Appliances'!$A31,TableB39!$B$154:$B$159,0),MATCH('Summary_Com Appliances'!$B31,TableB39!$E$5:$K$5,0)),"")</f>
        <v/>
      </c>
      <c r="D31" s="64">
        <f>IFERROR(C31/$D$43,"")</f>
        <v/>
      </c>
      <c r="I31">
        <f>About!$B$14</f>
        <v/>
      </c>
    </row>
    <row r="32">
      <c r="A32" s="40" t="inlineStr">
        <is>
          <t>District heat</t>
        </is>
      </c>
      <c r="B32" t="inlineStr">
        <is>
          <t>Boilers</t>
        </is>
      </c>
      <c r="C32">
        <f>IFERROR(INDEX(TableB39!$E$154:$K$159,MATCH('Summary_Com Appliances'!$A32,TableB39!$B$154:$B$159,0),MATCH('Summary_Com Appliances'!$B32,TableB39!$E$5:$K$5,0)),"")</f>
        <v/>
      </c>
      <c r="D32" s="64">
        <f>IFERROR(C32/$D$43,"")</f>
        <v/>
      </c>
      <c r="I32">
        <f>About!$B$14</f>
        <v/>
      </c>
    </row>
    <row r="33">
      <c r="A33" s="40" t="inlineStr">
        <is>
          <t>District heat</t>
        </is>
      </c>
      <c r="B33" t="inlineStr">
        <is>
          <t>Pack-
aged heating units</t>
        </is>
      </c>
      <c r="C33">
        <f>IFERROR(INDEX(TableB39!$E$154:$K$159,MATCH('Summary_Com Appliances'!$A33,TableB39!$B$154:$B$159,0),MATCH('Summary_Com Appliances'!$B33,TableB39!$E$5:$K$5,0)),"")</f>
        <v/>
      </c>
      <c r="D33" s="64">
        <f>IFERROR(C33/$D$43,"")</f>
        <v/>
      </c>
      <c r="I33">
        <f>About!$B$14</f>
        <v/>
      </c>
    </row>
    <row r="34">
      <c r="A34" s="40" t="inlineStr">
        <is>
          <t>District heat</t>
        </is>
      </c>
      <c r="B34" t="inlineStr">
        <is>
          <t>Other</t>
        </is>
      </c>
      <c r="C34">
        <f>IFERROR(INDEX(TableB39!$E$154:$K$159,MATCH('Summary_Com Appliances'!$A34,TableB39!$B$154:$B$159,0),MATCH('Summary_Com Appliances'!$B34,TableB39!$E$5:$K$5,0)),"")</f>
        <v/>
      </c>
      <c r="D34" s="64">
        <f>IFERROR(C34/$D$43,"")</f>
        <v/>
      </c>
      <c r="I34">
        <f>About!$B$14</f>
        <v/>
      </c>
    </row>
    <row r="35">
      <c r="A35" s="63" t="inlineStr">
        <is>
          <t>Propane</t>
        </is>
      </c>
      <c r="B35" s="65" t="n"/>
      <c r="C35" s="65">
        <f>IFERROR(INDEX(TableB39!$E$154:$K$159,MATCH('Summary_Com Appliances'!$A35,TableB39!$B$154:$B$159,0),MATCH('Summary_Com Appliances'!$B35,TableB39!$E$5:$K$5,0)),"")</f>
        <v/>
      </c>
      <c r="D35" s="65">
        <f>IFERROR(C35/$D$43,"")</f>
        <v/>
      </c>
      <c r="I35">
        <f>About!$B$14</f>
        <v/>
      </c>
    </row>
    <row r="36">
      <c r="A36" s="40" t="inlineStr">
        <is>
          <t>Propane</t>
        </is>
      </c>
      <c r="B36" t="inlineStr">
        <is>
          <t>Heat
pumps</t>
        </is>
      </c>
      <c r="C36">
        <f>IFERROR(INDEX(TableB39!$E$154:$K$159,MATCH('Summary_Com Appliances'!$A36,TableB39!$B$154:$B$159,0),MATCH('Summary_Com Appliances'!$B36,TableB39!$E$5:$K$5,0)),"")</f>
        <v/>
      </c>
      <c r="D36" s="64">
        <f>IFERROR(C36/$D$43,"")</f>
        <v/>
      </c>
      <c r="I36">
        <f>About!$B$14</f>
        <v/>
      </c>
    </row>
    <row r="37">
      <c r="A37" s="40" t="inlineStr">
        <is>
          <t>Propane</t>
        </is>
      </c>
      <c r="B37" t="inlineStr">
        <is>
          <t>Furnaces</t>
        </is>
      </c>
      <c r="C37">
        <f>IFERROR(INDEX(TableB39!$E$154:$K$159,MATCH('Summary_Com Appliances'!$A37,TableB39!$B$154:$B$159,0),MATCH('Summary_Com Appliances'!$B37,TableB39!$E$5:$K$5,0)),"")</f>
        <v/>
      </c>
      <c r="D37" s="64">
        <f>IFERROR(C37/$D$43,"")</f>
        <v/>
      </c>
      <c r="I37">
        <f>About!$B$14</f>
        <v/>
      </c>
    </row>
    <row r="38">
      <c r="A38" s="40" t="inlineStr">
        <is>
          <t>Propane</t>
        </is>
      </c>
      <c r="B38" t="inlineStr">
        <is>
          <t>Indiv-
idual space heaters</t>
        </is>
      </c>
      <c r="C38">
        <f>IFERROR(INDEX(TableB39!$E$154:$K$159,MATCH('Summary_Com Appliances'!$A38,TableB39!$B$154:$B$159,0),MATCH('Summary_Com Appliances'!$B38,TableB39!$E$5:$K$5,0)),"")</f>
        <v/>
      </c>
      <c r="D38" s="64">
        <f>IFERROR(C38/$D$43,"")</f>
        <v/>
      </c>
      <c r="I38">
        <f>About!$B$14</f>
        <v/>
      </c>
    </row>
    <row r="39">
      <c r="A39" s="40" t="inlineStr">
        <is>
          <t>Propane</t>
        </is>
      </c>
      <c r="B39" t="inlineStr">
        <is>
          <t>District
heat</t>
        </is>
      </c>
      <c r="C39">
        <f>IFERROR(INDEX(TableB39!$E$154:$K$159,MATCH('Summary_Com Appliances'!$A39,TableB39!$B$154:$B$159,0),MATCH('Summary_Com Appliances'!$B39,TableB39!$E$5:$K$5,0)),"")</f>
        <v/>
      </c>
      <c r="D39" s="64">
        <f>IFERROR(C39/$D$43,"")</f>
        <v/>
      </c>
      <c r="I39">
        <f>About!$B$14</f>
        <v/>
      </c>
    </row>
    <row r="40">
      <c r="A40" s="40" t="inlineStr">
        <is>
          <t>Propane</t>
        </is>
      </c>
      <c r="B40" t="inlineStr">
        <is>
          <t>Boilers</t>
        </is>
      </c>
      <c r="C40">
        <f>IFERROR(INDEX(TableB39!$E$154:$K$159,MATCH('Summary_Com Appliances'!$A40,TableB39!$B$154:$B$159,0),MATCH('Summary_Com Appliances'!$B40,TableB39!$E$5:$K$5,0)),"")</f>
        <v/>
      </c>
      <c r="D40" s="64">
        <f>IFERROR(C40/$D$43,"")</f>
        <v/>
      </c>
      <c r="I40">
        <f>About!$B$14</f>
        <v/>
      </c>
    </row>
    <row r="41">
      <c r="A41" s="40" t="inlineStr">
        <is>
          <t>Propane</t>
        </is>
      </c>
      <c r="B41" t="inlineStr">
        <is>
          <t>Pack-
aged heating units</t>
        </is>
      </c>
      <c r="C41">
        <f>IFERROR(INDEX(TableB39!$E$154:$K$159,MATCH('Summary_Com Appliances'!$A41,TableB39!$B$154:$B$159,0),MATCH('Summary_Com Appliances'!$B41,TableB39!$E$5:$K$5,0)),"")</f>
        <v/>
      </c>
      <c r="D41" s="64">
        <f>IFERROR(C41/$D$43,"")</f>
        <v/>
      </c>
      <c r="I41">
        <f>About!$B$14</f>
        <v/>
      </c>
    </row>
    <row r="42">
      <c r="A42" s="40" t="inlineStr">
        <is>
          <t>Propane</t>
        </is>
      </c>
      <c r="B42" t="inlineStr">
        <is>
          <t>Other</t>
        </is>
      </c>
      <c r="C42">
        <f>IFERROR(INDEX(TableB39!$E$154:$K$159,MATCH('Summary_Com Appliances'!$A42,TableB39!$B$154:$B$159,0),MATCH('Summary_Com Appliances'!$B42,TableB39!$E$5:$K$5,0)),"")</f>
        <v/>
      </c>
      <c r="D42" s="66">
        <f>IFERROR(C42/$D$43,"")</f>
        <v/>
      </c>
      <c r="I42">
        <f>About!$B$14</f>
        <v/>
      </c>
    </row>
    <row r="43">
      <c r="A43" s="40" t="n"/>
      <c r="D43" s="45">
        <f>SUM(C4:C42)</f>
        <v/>
      </c>
      <c r="E43" s="2">
        <f>SUM(C3:C26)</f>
        <v/>
      </c>
      <c r="I43">
        <f>About!$B$14</f>
        <v/>
      </c>
    </row>
    <row r="44">
      <c r="A44" s="40" t="n"/>
    </row>
    <row r="45">
      <c r="A45" s="63" t="inlineStr">
        <is>
          <t>Fuel</t>
        </is>
      </c>
      <c r="B45" s="63" t="inlineStr">
        <is>
          <t>Water Heating Equipment</t>
        </is>
      </c>
      <c r="C45" s="63" t="inlineStr">
        <is>
          <t>Total Floorspace (million square feet)</t>
        </is>
      </c>
      <c r="D45" s="63" t="n"/>
    </row>
    <row r="46">
      <c r="A46" s="2" t="inlineStr">
        <is>
          <t>Electricity</t>
        </is>
      </c>
      <c r="B46" s="2" t="inlineStr">
        <is>
          <t>Buildings with water heating</t>
        </is>
      </c>
      <c r="C46" s="2">
        <f>IFERROR(INDEX(TableB42!$H$147:$H$151,MATCH('Summary_Com Appliances'!$A46,TableB42!$A$147:$A$151,0),MATCH('Summary_Com Appliances'!$B46,TableB42!$H$4,0)),"")</f>
        <v/>
      </c>
      <c r="D46" s="56">
        <f>C46/$D$51</f>
        <v/>
      </c>
      <c r="E46" s="6">
        <f>C46/$E$51</f>
        <v/>
      </c>
      <c r="I46">
        <f>About!$B$14</f>
        <v/>
      </c>
    </row>
    <row r="47">
      <c r="A47" s="2" t="inlineStr">
        <is>
          <t>Natural gas</t>
        </is>
      </c>
      <c r="B47" s="2" t="inlineStr">
        <is>
          <t>Buildings with water heating</t>
        </is>
      </c>
      <c r="C47" s="2">
        <f>IFERROR(INDEX(TableB42!$H$147:$H$151,MATCH('Summary_Com Appliances'!$A47,TableB42!$A$147:$A$151,0),MATCH('Summary_Com Appliances'!$B47,TableB42!$H$4,0)),"")</f>
        <v/>
      </c>
      <c r="D47" s="56">
        <f>C47/$D$51</f>
        <v/>
      </c>
      <c r="E47" s="6">
        <f>C47/$E$51</f>
        <v/>
      </c>
      <c r="I47">
        <f>About!$B$14</f>
        <v/>
      </c>
    </row>
    <row r="48">
      <c r="A48" s="2" t="inlineStr">
        <is>
          <t>Fuel oil</t>
        </is>
      </c>
      <c r="B48" s="2" t="inlineStr">
        <is>
          <t>Buildings with water heating</t>
        </is>
      </c>
      <c r="C48" s="2">
        <f>IFERROR(INDEX(TableB42!$H$147:$H$151,MATCH('Summary_Com Appliances'!$A48,TableB42!$A$147:$A$151,0),MATCH('Summary_Com Appliances'!$B48,TableB42!$H$4,0)),"")</f>
        <v/>
      </c>
      <c r="D48" s="56">
        <f>C48/$D$51</f>
        <v/>
      </c>
      <c r="E48" s="6">
        <f>C48/$E$51</f>
        <v/>
      </c>
      <c r="I48">
        <f>About!$B$14</f>
        <v/>
      </c>
    </row>
    <row r="49">
      <c r="A49" t="inlineStr">
        <is>
          <t>District heat</t>
        </is>
      </c>
      <c r="B49" t="inlineStr">
        <is>
          <t>Buildings with water heating</t>
        </is>
      </c>
      <c r="C49">
        <f>IFERROR(INDEX(TableB42!$H$147:$H$151,MATCH('Summary_Com Appliances'!$A49,TableB42!$A$147:$A$151,0),MATCH('Summary_Com Appliances'!$B49,TableB42!$H$4,0)),"")</f>
        <v/>
      </c>
      <c r="D49" s="35">
        <f>C49/$D$51</f>
        <v/>
      </c>
      <c r="I49">
        <f>About!$B$14</f>
        <v/>
      </c>
    </row>
    <row r="50">
      <c r="A50" t="inlineStr">
        <is>
          <t>Propane</t>
        </is>
      </c>
      <c r="B50" t="inlineStr">
        <is>
          <t>Buildings with water heating</t>
        </is>
      </c>
      <c r="C50">
        <f>IFERROR(INDEX(TableB42!$H$147:$H$151,MATCH('Summary_Com Appliances'!$A50,TableB42!$A$147:$A$151,0),MATCH('Summary_Com Appliances'!$B50,TableB42!$H$4,0)),"")</f>
        <v/>
      </c>
      <c r="D50" s="35">
        <f>C50/$D$51</f>
        <v/>
      </c>
      <c r="I50">
        <f>About!$B$14</f>
        <v/>
      </c>
    </row>
    <row r="51">
      <c r="C51">
        <f>SUM(C46:C50)=SUM(TableB42!H147:H151)</f>
        <v/>
      </c>
      <c r="D51" s="2">
        <f>SUM(C46:C50)</f>
        <v/>
      </c>
      <c r="E51">
        <f>SUM(C46:C48)</f>
        <v/>
      </c>
    </row>
  </sheetData>
  <mergeCells count="1">
    <mergeCell ref="A1:I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41"/>
  <sheetViews>
    <sheetView zoomScale="90" zoomScaleNormal="90" workbookViewId="0">
      <selection activeCell="I4" sqref="I4"/>
    </sheetView>
  </sheetViews>
  <sheetFormatPr baseColWidth="8" defaultColWidth="9.1328125" defaultRowHeight="14.25"/>
  <cols>
    <col width="35.1328125" bestFit="1" customWidth="1" style="100" min="1" max="1"/>
    <col width="27.53125" customWidth="1" style="100" min="2" max="2"/>
    <col width="42" customWidth="1" style="100" min="3" max="3"/>
    <col width="10" bestFit="1" customWidth="1" style="101" min="5" max="5"/>
    <col width="19.53125" customWidth="1" style="100" min="6" max="6"/>
    <col width="16.265625" customWidth="1" style="100" min="7" max="7"/>
  </cols>
  <sheetData>
    <row r="1">
      <c r="A1" s="102" t="inlineStr">
        <is>
          <t>Residential Appliance Prevalance</t>
        </is>
      </c>
    </row>
    <row r="2">
      <c r="A2" s="39" t="n"/>
      <c r="B2" s="39" t="n"/>
      <c r="C2" s="39" t="n"/>
      <c r="D2" s="39" t="n"/>
      <c r="E2" s="96" t="n"/>
      <c r="F2" s="39" t="inlineStr">
        <is>
          <t>Calculation</t>
        </is>
      </c>
      <c r="G2" s="39" t="inlineStr">
        <is>
          <t>Calculation</t>
        </is>
      </c>
      <c r="H2" s="39" t="n"/>
      <c r="I2" s="2" t="inlineStr">
        <is>
          <t>Source</t>
        </is>
      </c>
    </row>
    <row r="3" ht="44.25" customHeight="1" s="100">
      <c r="B3" s="2" t="inlineStr">
        <is>
          <t>full name</t>
        </is>
      </c>
      <c r="C3" s="2" t="inlineStr">
        <is>
          <t>api key</t>
        </is>
      </c>
      <c r="D3" s="2" t="inlineStr">
        <is>
          <t>units</t>
        </is>
      </c>
      <c r="E3" s="98" t="n">
        <v>2025</v>
      </c>
      <c r="F3" s="46" t="inlineStr">
        <is>
          <t>Percent of Total Appliances</t>
        </is>
      </c>
      <c r="G3" s="46" t="inlineStr">
        <is>
          <t>Percent of Total Appliances w/ Cost Data</t>
        </is>
      </c>
      <c r="H3" s="2" t="n"/>
    </row>
    <row r="4">
      <c r="A4" t="inlineStr">
        <is>
          <t>Equipment Stock (million units)</t>
        </is>
      </c>
      <c r="H4" s="2" t="n"/>
      <c r="I4">
        <f>About!$B$21</f>
        <v/>
      </c>
    </row>
    <row r="5">
      <c r="A5" s="95" t="inlineStr">
        <is>
          <t>Main Space Heaters</t>
        </is>
      </c>
      <c r="H5" s="2" t="n"/>
      <c r="I5">
        <f>About!$B$21</f>
        <v/>
      </c>
    </row>
    <row r="6">
      <c r="A6" s="2" t="inlineStr">
        <is>
          <t>Electric Heat Pumps</t>
        </is>
      </c>
      <c r="B6" t="inlineStr">
        <is>
          <t>Residential Equipment: Equipment Stock: Main Space Heaters: Electric Heat Pumps: Alternative Electricity and Transportation</t>
        </is>
      </c>
      <c r="D6" s="2" t="inlineStr">
        <is>
          <t>millions</t>
        </is>
      </c>
      <c r="E6" s="97">
        <f>IFERROR(INDEX('AEO26 Table 21'!$E$6:$AD$92,MATCH($B6,'AEO26 Table 21'!$B$6:$B$92,0),MATCH($E$3,'AEO26 Table 21'!$E$5:$AD$5,0)),"")</f>
        <v/>
      </c>
      <c r="F6" s="58">
        <f>E6/$E$15</f>
        <v/>
      </c>
      <c r="G6" s="56">
        <f>E6/$G$15</f>
        <v/>
      </c>
      <c r="H6" s="2" t="n"/>
      <c r="I6">
        <f>About!$B$21</f>
        <v/>
      </c>
    </row>
    <row r="7">
      <c r="A7" s="2" t="inlineStr">
        <is>
          <t>Electric Other</t>
        </is>
      </c>
      <c r="B7" t="inlineStr">
        <is>
          <t>Residential Equipment: Equipment Stock: Main Space Heaters: Electric Other: Alternative Electricity and Transportation</t>
        </is>
      </c>
      <c r="D7" s="2" t="inlineStr">
        <is>
          <t>millions</t>
        </is>
      </c>
      <c r="E7" s="97">
        <f>IFERROR(INDEX('AEO26 Table 21'!$E$6:$AD$92,MATCH($B7,'AEO26 Table 21'!$B$6:$B$92,0),MATCH($E$3,'AEO26 Table 21'!$E$5:$AD$5,0)),"")</f>
        <v/>
      </c>
      <c r="F7" s="58">
        <f>E7/$E$15</f>
        <v/>
      </c>
      <c r="G7" s="56">
        <f>E7/$G$15</f>
        <v/>
      </c>
      <c r="H7" s="2" t="n"/>
      <c r="I7">
        <f>About!$B$21</f>
        <v/>
      </c>
    </row>
    <row r="8">
      <c r="A8" t="inlineStr">
        <is>
          <t>Natural Gas Heat Pumps</t>
        </is>
      </c>
      <c r="B8" t="inlineStr">
        <is>
          <t>Residential Equipment: Equipment Stock: Main Space Heaters: Natural Gas Heat Pumps: Alternative Electricity and Transportation</t>
        </is>
      </c>
      <c r="D8" t="inlineStr">
        <is>
          <t>millions</t>
        </is>
      </c>
      <c r="E8" s="97">
        <f>IFERROR(INDEX('AEO26 Table 21'!$E$6:$AD$92,MATCH($B8,'AEO26 Table 21'!$B$6:$B$92,0),MATCH($E$3,'AEO26 Table 21'!$E$5:$AD$5,0)),"")</f>
        <v/>
      </c>
      <c r="F8" s="6">
        <f>E8/$E$15</f>
        <v/>
      </c>
      <c r="G8" s="35" t="n"/>
      <c r="H8" s="2" t="n"/>
      <c r="I8">
        <f>About!$B$21</f>
        <v/>
      </c>
    </row>
    <row r="9">
      <c r="A9" s="2" t="inlineStr">
        <is>
          <t>Natural Gas Other</t>
        </is>
      </c>
      <c r="B9" t="inlineStr">
        <is>
          <t>Residential Equipment: Equipment Stock: Main Space Heaters: Natural Gas Other: Alternative Electricity and Transportation</t>
        </is>
      </c>
      <c r="D9" s="2" t="inlineStr">
        <is>
          <t>millions</t>
        </is>
      </c>
      <c r="E9" s="97">
        <f>IFERROR(INDEX('AEO26 Table 21'!$E$6:$AD$92,MATCH($B9,'AEO26 Table 21'!$B$6:$B$92,0),MATCH($E$3,'AEO26 Table 21'!$E$5:$AD$5,0)),"")</f>
        <v/>
      </c>
      <c r="F9" s="58">
        <f>E9/$E$15</f>
        <v/>
      </c>
      <c r="G9" s="56">
        <f>E9/$G$15</f>
        <v/>
      </c>
      <c r="H9" s="2" t="n"/>
      <c r="I9">
        <f>About!$B$21</f>
        <v/>
      </c>
    </row>
    <row r="10">
      <c r="A10" t="inlineStr">
        <is>
          <t>Distillate Fuel Oil</t>
        </is>
      </c>
      <c r="B10" t="inlineStr">
        <is>
          <t>Residential Equipment: Equipment Stock: Main Space Heaters: Distillate Fuel Oil: Alternative Electricity and Transportation</t>
        </is>
      </c>
      <c r="D10" t="inlineStr">
        <is>
          <t>millions</t>
        </is>
      </c>
      <c r="E10" s="97">
        <f>IFERROR(INDEX('AEO26 Table 21'!$E$6:$AD$92,MATCH($B10,'AEO26 Table 21'!$B$6:$B$92,0),MATCH($E$3,'AEO26 Table 21'!$E$5:$AD$5,0)),"")</f>
        <v/>
      </c>
      <c r="F10" s="6">
        <f>E10/$E$15</f>
        <v/>
      </c>
      <c r="G10" s="35" t="n"/>
      <c r="H10" s="2" t="n"/>
      <c r="I10">
        <f>About!$B$21</f>
        <v/>
      </c>
    </row>
    <row r="11">
      <c r="A11" t="inlineStr">
        <is>
          <t>Propane</t>
        </is>
      </c>
      <c r="B11" t="inlineStr">
        <is>
          <t>Residential Equipment: Equipment Stock: Main Space Heaters: Propane: Alternative Electricity and Transportation</t>
        </is>
      </c>
      <c r="D11" t="inlineStr">
        <is>
          <t>millions</t>
        </is>
      </c>
      <c r="E11" s="97">
        <f>IFERROR(INDEX('AEO26 Table 21'!$E$6:$AD$92,MATCH($B11,'AEO26 Table 21'!$B$6:$B$92,0),MATCH($E$3,'AEO26 Table 21'!$E$5:$AD$5,0)),"")</f>
        <v/>
      </c>
      <c r="F11" s="6">
        <f>E11/$E$15</f>
        <v/>
      </c>
      <c r="G11" s="35" t="n"/>
      <c r="H11" s="2" t="n"/>
      <c r="I11">
        <f>About!$B$21</f>
        <v/>
      </c>
    </row>
    <row r="12">
      <c r="A12" t="inlineStr">
        <is>
          <t>Kerosene</t>
        </is>
      </c>
      <c r="B12" t="inlineStr">
        <is>
          <t>Residential Equipment: Equipment Stock: Main Space Heaters: Kerosene: Alternative Electricity and Transportation</t>
        </is>
      </c>
      <c r="D12" t="inlineStr">
        <is>
          <t>millions</t>
        </is>
      </c>
      <c r="E12" s="97">
        <f>IFERROR(INDEX('AEO26 Table 21'!$E$6:$AD$92,MATCH($B12,'AEO26 Table 21'!$B$6:$B$92,0),MATCH($E$3,'AEO26 Table 21'!$E$5:$AD$5,0)),"")</f>
        <v/>
      </c>
      <c r="F12" s="6">
        <f>E12/$E$15</f>
        <v/>
      </c>
      <c r="G12" s="35" t="n"/>
      <c r="H12" s="2" t="n"/>
      <c r="I12">
        <f>About!$B$21</f>
        <v/>
      </c>
    </row>
    <row r="13">
      <c r="A13" t="inlineStr">
        <is>
          <t>Wood Stoves</t>
        </is>
      </c>
      <c r="B13" t="inlineStr">
        <is>
          <t>Residential Equipment: Equipment Stock: Main Space Heaters: Wood Stoves: Alternative Electricity and Transportation</t>
        </is>
      </c>
      <c r="D13" t="inlineStr">
        <is>
          <t>millions</t>
        </is>
      </c>
      <c r="E13" s="97">
        <f>IFERROR(INDEX('AEO26 Table 21'!$E$6:$AD$92,MATCH($B13,'AEO26 Table 21'!$B$6:$B$92,0),MATCH($E$3,'AEO26 Table 21'!$E$5:$AD$5,0)),"")</f>
        <v/>
      </c>
      <c r="F13" s="6">
        <f>E13/$E$15</f>
        <v/>
      </c>
      <c r="G13" s="35" t="n"/>
      <c r="H13" s="2" t="n"/>
      <c r="I13">
        <f>About!$B$21</f>
        <v/>
      </c>
    </row>
    <row r="14">
      <c r="A14" t="inlineStr">
        <is>
          <t>Geothermal Heat Pumps</t>
        </is>
      </c>
      <c r="B14" t="inlineStr">
        <is>
          <t>Residential Equipment: Equipment Stock: Main Space Heaters: Geothermal Heat Pumps: Alternative Electricity and Transportation</t>
        </is>
      </c>
      <c r="D14" t="inlineStr">
        <is>
          <t>millions</t>
        </is>
      </c>
      <c r="E14" s="97">
        <f>IFERROR(INDEX('AEO26 Table 21'!$E$6:$AD$92,MATCH($B14,'AEO26 Table 21'!$B$6:$B$92,0),MATCH($E$3,'AEO26 Table 21'!$E$5:$AD$5,0)),"")</f>
        <v/>
      </c>
      <c r="F14" s="6">
        <f>E14/$E$15</f>
        <v/>
      </c>
      <c r="G14" s="35" t="n"/>
      <c r="H14" s="2" t="n"/>
      <c r="I14">
        <f>About!$B$21</f>
        <v/>
      </c>
    </row>
    <row r="15">
      <c r="A15" t="inlineStr">
        <is>
          <t>Total</t>
        </is>
      </c>
      <c r="B15" t="inlineStr">
        <is>
          <t>Residential Equipment: Equipment Stock: Main Space Heaters: Total: Alternative Electricity and Transportation</t>
        </is>
      </c>
      <c r="D15" t="inlineStr">
        <is>
          <t>millions</t>
        </is>
      </c>
      <c r="E15" s="97">
        <f>IFERROR(INDEX('AEO26 Table 21'!$E$6:$AD$92,MATCH($B15,'AEO26 Table 21'!$B$6:$B$92,0),MATCH($E$3,'AEO26 Table 21'!$E$5:$AD$5,0)),"")</f>
        <v/>
      </c>
      <c r="F15" s="6">
        <f>E15/$E$15</f>
        <v/>
      </c>
      <c r="G15" s="57">
        <f>SUM(E6:E7,E9)</f>
        <v/>
      </c>
      <c r="H15" s="2" t="n"/>
      <c r="I15">
        <f>About!$B$21</f>
        <v/>
      </c>
    </row>
    <row r="16">
      <c r="A16" s="95" t="inlineStr">
        <is>
          <t>Space Cooling (million units)</t>
        </is>
      </c>
      <c r="E16" s="97">
        <f>IFERROR(INDEX('AEO26 Table 21'!$E$6:$AD$92,MATCH($B16,'AEO26 Table 21'!$B$6:$B$92,0),MATCH($E$3,'AEO26 Table 21'!$E$5:$AD$5,0)),"")</f>
        <v/>
      </c>
      <c r="H16" s="2" t="n"/>
      <c r="I16">
        <f>About!$B$21</f>
        <v/>
      </c>
    </row>
    <row r="17">
      <c r="A17" s="2" t="inlineStr">
        <is>
          <t>Electric Heat Pumps</t>
        </is>
      </c>
      <c r="B17" t="inlineStr">
        <is>
          <t>Residential Equipment: Equipment Stock: Space Cooling: Electric Heat Pumps: Alternative Electricity and Transportation</t>
        </is>
      </c>
      <c r="D17" s="2" t="inlineStr">
        <is>
          <t>millions</t>
        </is>
      </c>
      <c r="E17" s="97">
        <f>IFERROR(INDEX('AEO26 Table 21'!$E$6:$AD$92,MATCH($B17,'AEO26 Table 21'!$B$6:$B$92,0),MATCH($E$3,'AEO26 Table 21'!$E$5:$AD$5,0)),"")</f>
        <v/>
      </c>
      <c r="F17" s="58">
        <f>E17/$E$22</f>
        <v/>
      </c>
      <c r="G17" s="56">
        <f>E17/$G$22</f>
        <v/>
      </c>
      <c r="H17" s="2" t="n"/>
      <c r="I17">
        <f>About!$B$21</f>
        <v/>
      </c>
    </row>
    <row r="18">
      <c r="A18" t="inlineStr">
        <is>
          <t>Natural Gas Heat Pumps</t>
        </is>
      </c>
      <c r="B18" t="inlineStr">
        <is>
          <t>Residential Equipment: Equipment Stock: Space Cooling: Natural Gas Heat Pumps: Alternative Electricity and Transportation</t>
        </is>
      </c>
      <c r="D18" t="inlineStr">
        <is>
          <t>millions</t>
        </is>
      </c>
      <c r="E18" s="97">
        <f>IFERROR(INDEX('AEO26 Table 21'!$E$6:$AD$92,MATCH($B18,'AEO26 Table 21'!$B$6:$B$92,0),MATCH($E$3,'AEO26 Table 21'!$E$5:$AD$5,0)),"")</f>
        <v/>
      </c>
      <c r="F18" s="6">
        <f>E18/$E$22</f>
        <v/>
      </c>
      <c r="G18" s="56" t="n"/>
      <c r="H18" s="2" t="n"/>
      <c r="I18">
        <f>About!$B$21</f>
        <v/>
      </c>
    </row>
    <row r="19">
      <c r="A19" t="inlineStr">
        <is>
          <t>Geothermal Heat Pumps</t>
        </is>
      </c>
      <c r="B19" t="inlineStr">
        <is>
          <t>Residential Equipment: Equipment Stock: Space Cooling: Geothermal Heat Pumps: Alternative Electricity and Transportation</t>
        </is>
      </c>
      <c r="D19" t="inlineStr">
        <is>
          <t>millions</t>
        </is>
      </c>
      <c r="E19" s="97">
        <f>IFERROR(INDEX('AEO26 Table 21'!$E$6:$AD$92,MATCH($B19,'AEO26 Table 21'!$B$6:$B$92,0),MATCH($E$3,'AEO26 Table 21'!$E$5:$AD$5,0)),"")</f>
        <v/>
      </c>
      <c r="F19" s="6">
        <f>E19/$E$22</f>
        <v/>
      </c>
      <c r="G19" s="56" t="n"/>
      <c r="H19" s="2" t="n"/>
      <c r="I19">
        <f>About!$B$21</f>
        <v/>
      </c>
    </row>
    <row r="20">
      <c r="A20" s="2" t="inlineStr">
        <is>
          <t>Central Air Conditioners</t>
        </is>
      </c>
      <c r="B20" t="inlineStr">
        <is>
          <t>Residential Equipment: Equipment Stock: Space Cooling: Central Air Conditioners: Alternative Electricity and Transportation</t>
        </is>
      </c>
      <c r="D20" s="2" t="inlineStr">
        <is>
          <t>millions</t>
        </is>
      </c>
      <c r="E20" s="97">
        <f>IFERROR(INDEX('AEO26 Table 21'!$E$6:$AD$92,MATCH($B20,'AEO26 Table 21'!$B$6:$B$92,0),MATCH($E$3,'AEO26 Table 21'!$E$5:$AD$5,0)),"")</f>
        <v/>
      </c>
      <c r="F20" s="58">
        <f>E20/$E$22</f>
        <v/>
      </c>
      <c r="G20" s="56">
        <f>E20/$G$22</f>
        <v/>
      </c>
      <c r="H20" s="2" t="n"/>
      <c r="I20">
        <f>About!$B$21</f>
        <v/>
      </c>
    </row>
    <row r="21">
      <c r="A21" s="2" t="inlineStr">
        <is>
          <t>Room Air Conditioners</t>
        </is>
      </c>
      <c r="B21" t="inlineStr">
        <is>
          <t>Residential Equipment: Equipment Stock: Space Cooling: Room Air Conditioners: Alternative Electricity and Transportation</t>
        </is>
      </c>
      <c r="D21" s="2" t="inlineStr">
        <is>
          <t>millions</t>
        </is>
      </c>
      <c r="E21" s="97">
        <f>IFERROR(INDEX('AEO26 Table 21'!$E$6:$AD$92,MATCH($B21,'AEO26 Table 21'!$B$6:$B$92,0),MATCH($E$3,'AEO26 Table 21'!$E$5:$AD$5,0)),"")</f>
        <v/>
      </c>
      <c r="F21" s="58">
        <f>E21/$E$22</f>
        <v/>
      </c>
      <c r="G21" s="56">
        <f>E21/$G$22</f>
        <v/>
      </c>
      <c r="H21" s="2" t="n"/>
      <c r="I21">
        <f>About!$B$21</f>
        <v/>
      </c>
    </row>
    <row r="22">
      <c r="A22" t="inlineStr">
        <is>
          <t>Total</t>
        </is>
      </c>
      <c r="B22" t="inlineStr">
        <is>
          <t>Residential Equipment: Equipment Stock: Space Cooling: Total: Alternative Electricity and Transportation</t>
        </is>
      </c>
      <c r="D22" t="inlineStr">
        <is>
          <t>millions</t>
        </is>
      </c>
      <c r="E22" s="97">
        <f>IFERROR(INDEX('AEO26 Table 21'!$E$6:$AD$92,MATCH($B22,'AEO26 Table 21'!$B$6:$B$92,0),MATCH($E$3,'AEO26 Table 21'!$E$5:$AD$5,0)),"")</f>
        <v/>
      </c>
      <c r="F22" s="6">
        <f>E22/$E$22</f>
        <v/>
      </c>
      <c r="G22" s="57">
        <f>SUM(E17,E20:E21)</f>
        <v/>
      </c>
      <c r="H22" s="2" t="n"/>
      <c r="I22">
        <f>About!$B$21</f>
        <v/>
      </c>
    </row>
    <row r="23">
      <c r="A23" s="95" t="inlineStr">
        <is>
          <t>Water Heaters (million units)</t>
        </is>
      </c>
      <c r="E23" s="97">
        <f>IFERROR(INDEX('AEO26 Table 21'!$E$6:$AD$92,MATCH($B23,'AEO26 Table 21'!$B$6:$B$92,0),MATCH($E$3,'AEO26 Table 21'!$E$5:$AD$5,0)),"")</f>
        <v/>
      </c>
      <c r="H23" s="2" t="n"/>
      <c r="I23">
        <f>About!$B$21</f>
        <v/>
      </c>
    </row>
    <row r="24">
      <c r="A24" s="2" t="inlineStr">
        <is>
          <t>Electric</t>
        </is>
      </c>
      <c r="B24" t="inlineStr">
        <is>
          <t>Residential Equipment: Equipment Stock: Water Heaters: Electric: Alternative Electricity and Transportation</t>
        </is>
      </c>
      <c r="D24" s="2" t="inlineStr">
        <is>
          <t>millions</t>
        </is>
      </c>
      <c r="E24" s="97">
        <f>IFERROR(INDEX('AEO26 Table 21'!$E$6:$AD$92,MATCH($B24,'AEO26 Table 21'!$B$6:$B$92,0),MATCH($E$3,'AEO26 Table 21'!$E$5:$AD$5,0)),"")</f>
        <v/>
      </c>
      <c r="F24" s="58">
        <f>E24/$E$29</f>
        <v/>
      </c>
      <c r="G24" s="56">
        <f>E24/$G$29</f>
        <v/>
      </c>
      <c r="H24" s="2" t="n"/>
      <c r="I24">
        <f>About!$B$21</f>
        <v/>
      </c>
    </row>
    <row r="25">
      <c r="A25" s="2" t="inlineStr">
        <is>
          <t>Natural Gas</t>
        </is>
      </c>
      <c r="B25" t="inlineStr">
        <is>
          <t>Residential Equipment: Equipment Stock: Water Heaters: Natural Gas: Alternative Electricity and Transportation</t>
        </is>
      </c>
      <c r="D25" s="2" t="inlineStr">
        <is>
          <t>millions</t>
        </is>
      </c>
      <c r="E25" s="97">
        <f>IFERROR(INDEX('AEO26 Table 21'!$E$6:$AD$92,MATCH($B25,'AEO26 Table 21'!$B$6:$B$92,0),MATCH($E$3,'AEO26 Table 21'!$E$5:$AD$5,0)),"")</f>
        <v/>
      </c>
      <c r="F25" s="58">
        <f>E25/$E$29</f>
        <v/>
      </c>
      <c r="G25" s="56">
        <f>E25/$G$29</f>
        <v/>
      </c>
      <c r="H25" s="2" t="n"/>
      <c r="I25">
        <f>About!$B$21</f>
        <v/>
      </c>
    </row>
    <row r="26">
      <c r="A26" t="inlineStr">
        <is>
          <t>Distillate Fuel Oil</t>
        </is>
      </c>
      <c r="B26" t="inlineStr">
        <is>
          <t>Residential Equipment: Equipment Stock: Water Heaters: Distillate Fuel Oil: Alternative Electricity and Transportation</t>
        </is>
      </c>
      <c r="D26" t="inlineStr">
        <is>
          <t>millions</t>
        </is>
      </c>
      <c r="E26" s="97">
        <f>IFERROR(INDEX('AEO26 Table 21'!$E$6:$AD$92,MATCH($B26,'AEO26 Table 21'!$B$6:$B$92,0),MATCH($E$3,'AEO26 Table 21'!$E$5:$AD$5,0)),"")</f>
        <v/>
      </c>
      <c r="F26" s="6">
        <f>E26/$E$29</f>
        <v/>
      </c>
      <c r="G26" s="35" t="n"/>
      <c r="H26" s="2" t="n"/>
      <c r="I26">
        <f>About!$B$21</f>
        <v/>
      </c>
    </row>
    <row r="27">
      <c r="A27" t="inlineStr">
        <is>
          <t>Propane</t>
        </is>
      </c>
      <c r="B27" t="inlineStr">
        <is>
          <t>Residential Equipment: Equipment Stock: Water Heaters: Propane: Alternative Electricity and Transportation</t>
        </is>
      </c>
      <c r="D27" t="inlineStr">
        <is>
          <t>millions</t>
        </is>
      </c>
      <c r="E27" s="97">
        <f>IFERROR(INDEX('AEO26 Table 21'!$E$6:$AD$92,MATCH($B27,'AEO26 Table 21'!$B$6:$B$92,0),MATCH($E$3,'AEO26 Table 21'!$E$5:$AD$5,0)),"")</f>
        <v/>
      </c>
      <c r="F27" s="6">
        <f>E27/$E$29</f>
        <v/>
      </c>
      <c r="G27" s="35" t="n"/>
      <c r="H27" s="2" t="n"/>
      <c r="I27">
        <f>About!$B$21</f>
        <v/>
      </c>
    </row>
    <row r="28">
      <c r="A28" t="inlineStr">
        <is>
          <t>Solar Thermal</t>
        </is>
      </c>
      <c r="B28" t="inlineStr">
        <is>
          <t>Residential Equipment: Equipment Stock: Water Heaters: Solar Thermal: Alternative Electricity and Transportation</t>
        </is>
      </c>
      <c r="D28" t="inlineStr">
        <is>
          <t>millions</t>
        </is>
      </c>
      <c r="E28" s="97">
        <f>IFERROR(INDEX('AEO26 Table 21'!$E$6:$AD$92,MATCH($B28,'AEO26 Table 21'!$B$6:$B$92,0),MATCH($E$3,'AEO26 Table 21'!$E$5:$AD$5,0)),"")</f>
        <v/>
      </c>
      <c r="F28" s="6">
        <f>E28/$E$29</f>
        <v/>
      </c>
      <c r="G28" s="35" t="n"/>
      <c r="H28" s="2" t="n"/>
      <c r="I28">
        <f>About!$B$21</f>
        <v/>
      </c>
    </row>
    <row r="29">
      <c r="A29" t="inlineStr">
        <is>
          <t>Total</t>
        </is>
      </c>
      <c r="B29" t="inlineStr">
        <is>
          <t>Residential Equipment: Equipment Stock: Water Heaters: Total: Alternative Electricity and Transportation</t>
        </is>
      </c>
      <c r="D29" t="inlineStr">
        <is>
          <t>millions</t>
        </is>
      </c>
      <c r="E29" s="97">
        <f>IFERROR(INDEX('AEO26 Table 21'!$E$6:$AD$92,MATCH($B29,'AEO26 Table 21'!$B$6:$B$92,0),MATCH($E$3,'AEO26 Table 21'!$E$5:$AD$5,0)),"")</f>
        <v/>
      </c>
      <c r="F29" s="6">
        <f>E29/$E$29</f>
        <v/>
      </c>
      <c r="G29" s="57">
        <f>SUM(E24:E25)</f>
        <v/>
      </c>
      <c r="H29" s="2" t="n"/>
      <c r="I29">
        <f>About!$B$21</f>
        <v/>
      </c>
    </row>
    <row r="30">
      <c r="A30" s="95" t="inlineStr">
        <is>
          <t>Cooking Equipment (million units)</t>
        </is>
      </c>
      <c r="E30" s="97">
        <f>IFERROR(INDEX('AEO26 Table 21'!$E$6:$AD$92,MATCH($B30,'AEO26 Table 21'!$B$6:$B$92,0),MATCH($E$3,'AEO26 Table 21'!$E$5:$AD$5,0)),"")</f>
        <v/>
      </c>
      <c r="H30" s="2" t="n"/>
      <c r="I30">
        <f>About!$B$21</f>
        <v/>
      </c>
    </row>
    <row r="31">
      <c r="A31" t="inlineStr">
        <is>
          <t>Electric</t>
        </is>
      </c>
      <c r="B31" t="inlineStr">
        <is>
          <t>Residential Equipment: Equipment Stock: Cooking Equipment: Electric: Alternative Electricity and Transportation</t>
        </is>
      </c>
      <c r="D31" t="inlineStr">
        <is>
          <t>millions</t>
        </is>
      </c>
      <c r="E31" s="97">
        <f>IFERROR(INDEX('AEO26 Table 21'!$E$6:$AD$92,MATCH($B31,'AEO26 Table 21'!$B$6:$B$92,0),MATCH($E$3,'AEO26 Table 21'!$E$5:$AD$5,0)),"")</f>
        <v/>
      </c>
      <c r="F31" s="6">
        <f>E31/$E$34</f>
        <v/>
      </c>
      <c r="G31" s="35" t="n"/>
      <c r="H31" s="2" t="n"/>
      <c r="I31">
        <f>About!$B$21</f>
        <v/>
      </c>
    </row>
    <row r="32">
      <c r="A32" s="2" t="inlineStr">
        <is>
          <t>Natural Gas</t>
        </is>
      </c>
      <c r="B32" t="inlineStr">
        <is>
          <t>Residential Equipment: Equipment Stock: Cooking Equipment: Natural Gas: Alternative Electricity and Transportation</t>
        </is>
      </c>
      <c r="D32" s="2" t="inlineStr">
        <is>
          <t>millions</t>
        </is>
      </c>
      <c r="E32" s="97">
        <f>IFERROR(INDEX('AEO26 Table 21'!$E$6:$AD$92,MATCH($B32,'AEO26 Table 21'!$B$6:$B$92,0),MATCH($E$3,'AEO26 Table 21'!$E$5:$AD$5,0)),"")</f>
        <v/>
      </c>
      <c r="F32" s="58">
        <f>E32/$E$34</f>
        <v/>
      </c>
      <c r="G32" s="56" t="n">
        <v>1</v>
      </c>
      <c r="H32" s="2" t="n"/>
      <c r="I32">
        <f>About!$B$21</f>
        <v/>
      </c>
    </row>
    <row r="33">
      <c r="A33" t="inlineStr">
        <is>
          <t>Propane</t>
        </is>
      </c>
      <c r="B33" t="inlineStr">
        <is>
          <t>Residential Equipment: Equipment Stock: Cooking Equipment: Propane: Alternative Electricity and Transportation</t>
        </is>
      </c>
      <c r="D33" t="inlineStr">
        <is>
          <t>millions</t>
        </is>
      </c>
      <c r="E33" s="97">
        <f>IFERROR(INDEX('AEO26 Table 21'!$E$6:$AD$92,MATCH($B33,'AEO26 Table 21'!$B$6:$B$92,0),MATCH($E$3,'AEO26 Table 21'!$E$5:$AD$5,0)),"")</f>
        <v/>
      </c>
      <c r="F33" s="6">
        <f>E33/$E$34</f>
        <v/>
      </c>
      <c r="G33" s="35" t="n"/>
      <c r="H33" s="2" t="n"/>
      <c r="I33">
        <f>About!$B$21</f>
        <v/>
      </c>
    </row>
    <row r="34">
      <c r="A34" t="inlineStr">
        <is>
          <t>Total</t>
        </is>
      </c>
      <c r="B34" t="inlineStr">
        <is>
          <t>Residential Equipment: Equipment Stock: Cooking Equipment: Total: Alternative Electricity and Transportation</t>
        </is>
      </c>
      <c r="D34" t="inlineStr">
        <is>
          <t>millions</t>
        </is>
      </c>
      <c r="E34" s="97">
        <f>IFERROR(INDEX('AEO26 Table 21'!$E$6:$AD$92,MATCH($B34,'AEO26 Table 21'!$B$6:$B$92,0),MATCH($E$3,'AEO26 Table 21'!$E$5:$AD$5,0)),"")</f>
        <v/>
      </c>
      <c r="F34" s="6">
        <f>E34/$E$34</f>
        <v/>
      </c>
      <c r="G34" s="35" t="n"/>
      <c r="H34" s="2" t="n"/>
      <c r="I34">
        <f>About!$B$21</f>
        <v/>
      </c>
    </row>
    <row r="35">
      <c r="A35" s="95" t="inlineStr">
        <is>
          <t>Clothes Dryers (million units)</t>
        </is>
      </c>
      <c r="E35" s="97">
        <f>IFERROR(INDEX('AEO26 Table 21'!$E$6:$AD$92,MATCH($B35,'AEO26 Table 21'!$B$6:$B$92,0),MATCH($E$3,'AEO26 Table 21'!$E$5:$AD$5,0)),"")</f>
        <v/>
      </c>
      <c r="H35" s="2" t="n"/>
      <c r="I35">
        <f>About!$B$21</f>
        <v/>
      </c>
    </row>
    <row r="36">
      <c r="A36" s="2" t="inlineStr">
        <is>
          <t>Electric</t>
        </is>
      </c>
      <c r="B36" t="inlineStr">
        <is>
          <t>Residential Equipment: Equipment Stock: Clothes Dryers: Electric: Alternative Electricity and Transportation</t>
        </is>
      </c>
      <c r="D36" s="2" t="inlineStr">
        <is>
          <t>millions</t>
        </is>
      </c>
      <c r="E36" s="97">
        <f>IFERROR(INDEX('AEO26 Table 21'!$E$6:$AD$92,MATCH($B36,'AEO26 Table 21'!$B$6:$B$92,0),MATCH($E$3,'AEO26 Table 21'!$E$5:$AD$5,0)),"")</f>
        <v/>
      </c>
      <c r="F36" s="58">
        <f>E36/$E$38</f>
        <v/>
      </c>
      <c r="G36" s="56">
        <f>F36</f>
        <v/>
      </c>
      <c r="H36" s="2" t="n"/>
      <c r="I36">
        <f>About!$B$21</f>
        <v/>
      </c>
    </row>
    <row r="37">
      <c r="A37" s="2" t="inlineStr">
        <is>
          <t>Natural Gas</t>
        </is>
      </c>
      <c r="B37" t="inlineStr">
        <is>
          <t>Residential Equipment: Equipment Stock: Clothes Dryers: Natural Gas: Alternative Electricity and Transportation</t>
        </is>
      </c>
      <c r="D37" s="2" t="inlineStr">
        <is>
          <t>millions</t>
        </is>
      </c>
      <c r="E37" s="97">
        <f>IFERROR(INDEX('AEO26 Table 21'!$E$6:$AD$92,MATCH($B37,'AEO26 Table 21'!$B$6:$B$92,0),MATCH($E$3,'AEO26 Table 21'!$E$5:$AD$5,0)),"")</f>
        <v/>
      </c>
      <c r="F37" s="58">
        <f>E37/$E$38</f>
        <v/>
      </c>
      <c r="G37" s="56">
        <f>F37</f>
        <v/>
      </c>
      <c r="H37" s="2" t="n"/>
      <c r="I37">
        <f>About!$B$21</f>
        <v/>
      </c>
    </row>
    <row r="38">
      <c r="A38" t="inlineStr">
        <is>
          <t>Total</t>
        </is>
      </c>
      <c r="B38" t="inlineStr">
        <is>
          <t>Residential Equipment: Equipment Stock: Clothes Dryers: Total: Alternative Electricity and Transportation</t>
        </is>
      </c>
      <c r="D38" t="inlineStr">
        <is>
          <t>millions</t>
        </is>
      </c>
      <c r="E38" s="97">
        <f>IFERROR(INDEX('AEO26 Table 21'!$E$6:$AD$92,MATCH($B38,'AEO26 Table 21'!$B$6:$B$92,0),MATCH($E$3,'AEO26 Table 21'!$E$5:$AD$5,0)),"")</f>
        <v/>
      </c>
      <c r="F38" s="6">
        <f>E38/$E$38</f>
        <v/>
      </c>
      <c r="G38" s="57">
        <f>SUM(E36:E37)</f>
        <v/>
      </c>
      <c r="H38" s="2" t="n"/>
      <c r="I38">
        <f>About!$B$21</f>
        <v/>
      </c>
    </row>
    <row r="39">
      <c r="A39" s="95" t="inlineStr">
        <is>
          <t>Other Appliances (million units)</t>
        </is>
      </c>
      <c r="E39" s="97">
        <f>IFERROR(INDEX('AEO26 Table 21'!$E$6:$AD$92,MATCH($B39,'AEO26 Table 21'!$B$6:$B$92,0),MATCH($E$3,'AEO26 Table 21'!$E$5:$AD$5,0)),"")</f>
        <v/>
      </c>
      <c r="H39" s="2" t="n"/>
      <c r="I39">
        <f>About!$B$21</f>
        <v/>
      </c>
    </row>
    <row r="40">
      <c r="A40" t="inlineStr">
        <is>
          <t>Refrigerators</t>
        </is>
      </c>
      <c r="B40" t="inlineStr">
        <is>
          <t>Residential Equipment: Equipment Stock: Other Appliances: Refrigerators: Alternative Electricity and Transportation</t>
        </is>
      </c>
      <c r="D40" t="inlineStr">
        <is>
          <t>millions</t>
        </is>
      </c>
      <c r="E40" s="97">
        <f>IFERROR(INDEX('AEO26 Table 21'!$E$6:$AD$92,MATCH($B40,'AEO26 Table 21'!$B$6:$B$92,0),MATCH($E$3,'AEO26 Table 21'!$E$5:$AD$5,0)),"")</f>
        <v/>
      </c>
      <c r="H40" s="2" t="n"/>
      <c r="I40">
        <f>About!$B$21</f>
        <v/>
      </c>
    </row>
    <row r="41">
      <c r="A41" t="inlineStr">
        <is>
          <t>Freezers</t>
        </is>
      </c>
      <c r="B41" t="inlineStr">
        <is>
          <t>Residential Equipment: Equipment Stock: Other Appliances: Freezers: Alternative Electricity and Transportation</t>
        </is>
      </c>
      <c r="D41" t="inlineStr">
        <is>
          <t>millions</t>
        </is>
      </c>
      <c r="E41" s="97">
        <f>IFERROR(INDEX('AEO26 Table 21'!$E$6:$AD$92,MATCH($B41,'AEO26 Table 21'!$B$6:$B$92,0),MATCH($E$3,'AEO26 Table 21'!$E$5:$AD$5,0)),"")</f>
        <v/>
      </c>
      <c r="H41" s="2" t="n"/>
      <c r="I41">
        <f>About!$B$21</f>
        <v/>
      </c>
    </row>
  </sheetData>
  <mergeCells count="1">
    <mergeCell ref="A1:I1"/>
  </mergeCells>
  <conditionalFormatting sqref="B6:B15">
    <cfRule type="duplicateValues" priority="11" dxfId="0"/>
  </conditionalFormatting>
  <conditionalFormatting sqref="B17:B22">
    <cfRule type="duplicateValues" priority="9" dxfId="0"/>
  </conditionalFormatting>
  <conditionalFormatting sqref="B24:B29">
    <cfRule type="duplicateValues" priority="7" dxfId="0"/>
  </conditionalFormatting>
  <conditionalFormatting sqref="B31:B34">
    <cfRule type="duplicateValues" priority="5" dxfId="0"/>
  </conditionalFormatting>
  <conditionalFormatting sqref="B36:B38">
    <cfRule type="duplicateValues" priority="3" dxfId="0"/>
  </conditionalFormatting>
  <conditionalFormatting sqref="B40:B41">
    <cfRule type="duplicateValues" priority="1" dxfId="0"/>
  </conditionalFormatting>
  <conditionalFormatting sqref="C6:C15">
    <cfRule type="duplicateValues" priority="12" dxfId="0"/>
  </conditionalFormatting>
  <conditionalFormatting sqref="C17:C22">
    <cfRule type="duplicateValues" priority="10" dxfId="0"/>
  </conditionalFormatting>
  <conditionalFormatting sqref="C24:C29">
    <cfRule type="duplicateValues" priority="8" dxfId="0"/>
  </conditionalFormatting>
  <conditionalFormatting sqref="C31:C34">
    <cfRule type="duplicateValues" priority="6" dxfId="0"/>
  </conditionalFormatting>
  <conditionalFormatting sqref="C36:C38">
    <cfRule type="duplicateValues" priority="4" dxfId="0"/>
  </conditionalFormatting>
  <conditionalFormatting sqref="C40:C41">
    <cfRule type="duplicateValues" priority="2" dxfId="0"/>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3"/>
  <sheetViews>
    <sheetView zoomScale="80" zoomScaleNormal="80" workbookViewId="0">
      <selection activeCell="D3" sqref="D3"/>
    </sheetView>
  </sheetViews>
  <sheetFormatPr baseColWidth="8" defaultColWidth="9" defaultRowHeight="14.25"/>
  <cols>
    <col width="11.3984375" bestFit="1" customWidth="1" style="100" min="1" max="1"/>
    <col width="11.3984375" customWidth="1" style="100" min="2" max="2"/>
    <col width="17.3984375" bestFit="1" customWidth="1" style="6" min="3" max="3"/>
    <col width="16.53125" bestFit="1" customWidth="1" style="6" min="4" max="4"/>
    <col width="11.73046875" bestFit="1" customWidth="1" style="6" min="5" max="5"/>
    <col width="12.265625" bestFit="1" customWidth="1" style="100" min="6" max="6"/>
    <col width="38.53125" customWidth="1" style="100" min="7" max="7"/>
  </cols>
  <sheetData>
    <row r="1" customFormat="1" s="104">
      <c r="A1" s="105" t="inlineStr">
        <is>
          <t>Sector</t>
        </is>
      </c>
      <c r="B1" s="105" t="n"/>
      <c r="C1" s="103" t="inlineStr">
        <is>
          <t>Percent of cost</t>
        </is>
      </c>
      <c r="F1" s="105" t="inlineStr">
        <is>
          <t>ISIC Mapping</t>
        </is>
      </c>
      <c r="G1" s="102" t="inlineStr">
        <is>
          <t>Notes</t>
        </is>
      </c>
    </row>
    <row r="2" customFormat="1" s="104">
      <c r="B2" s="105" t="n"/>
      <c r="C2" s="81" t="inlineStr">
        <is>
          <t>Urban-Residential</t>
        </is>
      </c>
      <c r="D2" s="59" t="inlineStr">
        <is>
          <t>Rural-Residential</t>
        </is>
      </c>
      <c r="E2" s="59" t="inlineStr">
        <is>
          <t>Commercial</t>
        </is>
      </c>
      <c r="G2" s="82" t="n"/>
    </row>
    <row r="3">
      <c r="A3" s="2" t="inlineStr">
        <is>
          <t>Heating</t>
        </is>
      </c>
      <c r="B3" s="79" t="inlineStr">
        <is>
          <t>Equipment</t>
        </is>
      </c>
      <c r="C3" s="6">
        <f>'Cost Summary New'!E$4</f>
        <v/>
      </c>
      <c r="D3" s="6">
        <f>'Cost Summary New'!E$4</f>
        <v/>
      </c>
      <c r="E3" s="6">
        <f>'Cost Summary New'!E45</f>
        <v/>
      </c>
      <c r="F3">
        <f>'ISIC Code Mapping'!B2</f>
        <v/>
      </c>
    </row>
    <row r="4">
      <c r="A4" s="2" t="inlineStr">
        <is>
          <t>Heating</t>
        </is>
      </c>
      <c r="B4" s="79" t="inlineStr">
        <is>
          <t>Labor</t>
        </is>
      </c>
      <c r="C4" s="6">
        <f>'Cost Summary New'!F$4</f>
        <v/>
      </c>
      <c r="D4" s="6">
        <f>'Cost Summary New'!F$4</f>
        <v/>
      </c>
      <c r="E4" s="6">
        <f>'Cost Summary New'!F45</f>
        <v/>
      </c>
      <c r="F4">
        <f>'ISIC Code Mapping'!B3</f>
        <v/>
      </c>
    </row>
    <row r="5">
      <c r="A5" s="2" t="inlineStr">
        <is>
          <t>Cooling</t>
        </is>
      </c>
      <c r="B5" s="79" t="inlineStr">
        <is>
          <t>Equipment</t>
        </is>
      </c>
      <c r="C5" s="6">
        <f>'Cost Summary New'!$E$14</f>
        <v/>
      </c>
      <c r="D5" s="6">
        <f>'Cost Summary New'!$E$14</f>
        <v/>
      </c>
      <c r="E5" s="6">
        <f>'Cost Summary New'!E95</f>
        <v/>
      </c>
      <c r="F5">
        <f>'ISIC Code Mapping'!C2</f>
        <v/>
      </c>
    </row>
    <row r="6">
      <c r="A6" s="2" t="inlineStr">
        <is>
          <t>Cooling</t>
        </is>
      </c>
      <c r="B6" s="79" t="inlineStr">
        <is>
          <t>Labor</t>
        </is>
      </c>
      <c r="C6" s="6">
        <f>'Cost Summary New'!$F$14</f>
        <v/>
      </c>
      <c r="D6" s="6">
        <f>'Cost Summary New'!$F$14</f>
        <v/>
      </c>
      <c r="E6" s="6">
        <f>'Cost Summary New'!F95</f>
        <v/>
      </c>
      <c r="F6">
        <f>'ISIC Code Mapping'!C3</f>
        <v/>
      </c>
    </row>
    <row r="7">
      <c r="A7" s="2" t="inlineStr">
        <is>
          <t>Lighting</t>
        </is>
      </c>
      <c r="B7" s="79" t="inlineStr">
        <is>
          <t>Equipment</t>
        </is>
      </c>
      <c r="C7" s="6">
        <f>'Cost Summary New'!$E$39</f>
        <v/>
      </c>
      <c r="D7" s="6">
        <f>'Cost Summary New'!$E$39</f>
        <v/>
      </c>
      <c r="E7" s="6">
        <f>'Cost Summary New'!E100</f>
        <v/>
      </c>
      <c r="F7">
        <f>'ISIC Code Mapping'!E2</f>
        <v/>
      </c>
    </row>
    <row r="8">
      <c r="A8" s="2" t="inlineStr">
        <is>
          <t>Lighting</t>
        </is>
      </c>
      <c r="B8" s="79" t="inlineStr">
        <is>
          <t>Labor</t>
        </is>
      </c>
      <c r="C8" s="6">
        <f>'Cost Summary New'!$F$39</f>
        <v/>
      </c>
      <c r="D8" s="6">
        <f>'Cost Summary New'!$F$39</f>
        <v/>
      </c>
      <c r="E8" s="6">
        <f>'Cost Summary New'!F100</f>
        <v/>
      </c>
      <c r="F8">
        <f>'ISIC Code Mapping'!E3</f>
        <v/>
      </c>
    </row>
    <row r="9">
      <c r="A9" s="2" t="inlineStr">
        <is>
          <t>Appliances</t>
        </is>
      </c>
      <c r="B9" s="79" t="inlineStr">
        <is>
          <t>Equipment</t>
        </is>
      </c>
      <c r="C9" s="6">
        <f>'Cost Summary New'!$E$41</f>
        <v/>
      </c>
      <c r="D9" s="6">
        <f>'Cost Summary New'!$E$41</f>
        <v/>
      </c>
      <c r="E9" s="6">
        <f>'Cost Summary New'!E88</f>
        <v/>
      </c>
      <c r="F9">
        <f>'ISIC Code Mapping'!F2</f>
        <v/>
      </c>
    </row>
    <row r="10">
      <c r="A10" s="2" t="inlineStr">
        <is>
          <t>Appliances</t>
        </is>
      </c>
      <c r="B10" s="79" t="inlineStr">
        <is>
          <t>Labor</t>
        </is>
      </c>
      <c r="C10" s="6">
        <f>'Cost Summary New'!$F$41</f>
        <v/>
      </c>
      <c r="D10" s="6">
        <f>'Cost Summary New'!$F$41</f>
        <v/>
      </c>
      <c r="E10" s="6">
        <f>'Cost Summary New'!F88</f>
        <v/>
      </c>
      <c r="F10">
        <f>'ISIC Code Mapping'!F3</f>
        <v/>
      </c>
    </row>
    <row r="11">
      <c r="A11" s="2" t="inlineStr">
        <is>
          <t>Other</t>
        </is>
      </c>
      <c r="B11" s="79" t="inlineStr">
        <is>
          <t>Equipment</t>
        </is>
      </c>
      <c r="C11" s="6">
        <f>C9</f>
        <v/>
      </c>
      <c r="D11" s="6">
        <f>D9</f>
        <v/>
      </c>
      <c r="E11" s="6">
        <f>E9</f>
        <v/>
      </c>
      <c r="F11">
        <f>'ISIC Code Mapping'!G2</f>
        <v/>
      </c>
      <c r="G11" t="inlineStr">
        <is>
          <t>We use the same breakdown as for appliances for</t>
        </is>
      </c>
    </row>
    <row r="12">
      <c r="A12" s="2" t="inlineStr">
        <is>
          <t>Other</t>
        </is>
      </c>
      <c r="B12" s="79" t="inlineStr">
        <is>
          <t>Labor</t>
        </is>
      </c>
      <c r="C12" s="6">
        <f>C10</f>
        <v/>
      </c>
      <c r="D12" s="6">
        <f>D10</f>
        <v/>
      </c>
      <c r="E12" s="6">
        <f>E10</f>
        <v/>
      </c>
      <c r="F12">
        <f>'ISIC Code Mapping'!G3</f>
        <v/>
      </c>
      <c r="G12" t="inlineStr">
        <is>
          <t>the other equipment category</t>
        </is>
      </c>
    </row>
    <row r="13">
      <c r="B13" s="79" t="n"/>
    </row>
  </sheetData>
  <mergeCells count="3">
    <mergeCell ref="C1:E1"/>
    <mergeCell ref="F1:F2"/>
    <mergeCell ref="A1:A2"/>
  </mergeCells>
  <pageMargins left="0.7" right="0.7" top="0.75" bottom="0.75" header="0.3" footer="0.3"/>
  <pageSetup orientation="portrait" paperSize="9"/>
</worksheet>
</file>

<file path=xl/worksheets/sheet12.xml><?xml version="1.0" encoding="utf-8"?>
<worksheet xmlns="http://schemas.openxmlformats.org/spreadsheetml/2006/main">
  <sheetPr>
    <outlinePr summaryBelow="1" summaryRight="1"/>
    <pageSetUpPr/>
  </sheetPr>
  <dimension ref="B1:N201"/>
  <sheetViews>
    <sheetView workbookViewId="0">
      <selection activeCell="A1" sqref="A1"/>
    </sheetView>
  </sheetViews>
  <sheetFormatPr baseColWidth="8" defaultRowHeight="14.25"/>
  <cols>
    <col width="28.73046875" customWidth="1" style="100" min="2" max="2"/>
    <col width="7.73046875" customWidth="1" style="118" min="3" max="11"/>
  </cols>
  <sheetData>
    <row r="1" ht="29.55" customHeight="1" s="100">
      <c r="B1" s="7" t="inlineStr">
        <is>
          <t>Release date: April 2015 Revised date: May 2016</t>
        </is>
      </c>
    </row>
    <row r="2" ht="26.25" customHeight="1" s="100">
      <c r="B2" s="117" t="inlineStr">
        <is>
          <t>Table B39.  Heating equipment, floorspace, 2012</t>
        </is>
      </c>
    </row>
    <row r="3" ht="24" customHeight="1" s="100" thickBot="1">
      <c r="B3" s="117" t="n"/>
      <c r="C3" s="115" t="inlineStr">
        <is>
          <t>Total floorspace (million square feet)</t>
        </is>
      </c>
      <c r="D3" s="116" t="n"/>
      <c r="E3" s="116" t="n"/>
      <c r="F3" s="116" t="n"/>
      <c r="G3" s="116" t="n"/>
      <c r="H3" s="116" t="n"/>
      <c r="I3" s="116" t="n"/>
      <c r="J3" s="116" t="n"/>
      <c r="K3" s="116" t="n"/>
    </row>
    <row r="4" ht="27" customHeight="1" s="100" thickTop="1">
      <c r="B4" s="117" t="n"/>
      <c r="C4" s="106" t="inlineStr">
        <is>
          <t>All
buildings</t>
        </is>
      </c>
      <c r="D4" s="108" t="inlineStr">
        <is>
          <t>Buildings with space heating</t>
        </is>
      </c>
      <c r="E4" s="112" t="inlineStr">
        <is>
          <t>Heating equipment (more than one may apply)</t>
        </is>
      </c>
      <c r="F4" s="113" t="n"/>
      <c r="G4" s="113" t="n"/>
      <c r="H4" s="113" t="n"/>
      <c r="I4" s="113" t="n"/>
      <c r="J4" s="113" t="n"/>
      <c r="K4" s="114" t="n"/>
    </row>
    <row r="5" ht="63.75" customHeight="1" s="100" thickBot="1">
      <c r="B5" s="10" t="n"/>
      <c r="C5" s="107" t="n"/>
      <c r="D5" s="109" t="n"/>
      <c r="E5" s="108" t="inlineStr">
        <is>
          <t>Heat
pumps</t>
        </is>
      </c>
      <c r="F5" s="108" t="inlineStr">
        <is>
          <t>Furnaces</t>
        </is>
      </c>
      <c r="G5" s="108" t="inlineStr">
        <is>
          <t>Indiv-
idual space heaters</t>
        </is>
      </c>
      <c r="H5" s="108" t="inlineStr">
        <is>
          <t>District
heat</t>
        </is>
      </c>
      <c r="I5" s="108" t="inlineStr">
        <is>
          <t>Boilers</t>
        </is>
      </c>
      <c r="J5" s="108" t="inlineStr">
        <is>
          <t>Pack-
aged heating units</t>
        </is>
      </c>
      <c r="K5" s="108" t="inlineStr">
        <is>
          <t>Other</t>
        </is>
      </c>
    </row>
    <row r="6" ht="24" customHeight="1" s="100" thickTop="1">
      <c r="B6" s="12" t="inlineStr">
        <is>
          <t>All buildings</t>
        </is>
      </c>
      <c r="C6" s="13" t="n">
        <v>87093</v>
      </c>
      <c r="D6" s="14" t="n">
        <v>80078</v>
      </c>
      <c r="E6" s="14" t="n">
        <v>11846</v>
      </c>
      <c r="F6" s="14" t="n">
        <v>8654</v>
      </c>
      <c r="G6" s="14" t="n">
        <v>20766</v>
      </c>
      <c r="H6" s="14" t="n">
        <v>5925</v>
      </c>
      <c r="I6" s="14" t="n">
        <v>22443</v>
      </c>
      <c r="J6" s="14" t="n">
        <v>49188</v>
      </c>
      <c r="K6" s="14" t="n">
        <v>1574</v>
      </c>
    </row>
    <row r="7" ht="24" customHeight="1" s="100">
      <c r="B7" s="15" t="inlineStr">
        <is>
          <t>Building floorspace (square feet)</t>
        </is>
      </c>
      <c r="C7" s="16" t="n"/>
      <c r="D7" s="16" t="n"/>
      <c r="E7" s="16" t="n"/>
      <c r="F7" s="16" t="n"/>
      <c r="G7" s="16" t="n"/>
      <c r="H7" s="16" t="n"/>
      <c r="I7" s="16" t="n"/>
      <c r="J7" s="16" t="n"/>
      <c r="K7" s="16" t="n"/>
    </row>
    <row r="8" ht="15" customHeight="1" s="100">
      <c r="B8" s="17" t="inlineStr">
        <is>
          <t xml:space="preserve">1,001 to 5,000 </t>
        </is>
      </c>
      <c r="C8" s="14" t="n">
        <v>8041</v>
      </c>
      <c r="D8" s="14" t="n">
        <v>6699</v>
      </c>
      <c r="E8" s="14" t="n">
        <v>868</v>
      </c>
      <c r="F8" s="14" t="n">
        <v>1091</v>
      </c>
      <c r="G8" s="14" t="n">
        <v>1747</v>
      </c>
      <c r="H8" s="14" t="inlineStr">
        <is>
          <t>Q</t>
        </is>
      </c>
      <c r="I8" s="14" t="n">
        <v>400</v>
      </c>
      <c r="J8" s="14" t="n">
        <v>3809</v>
      </c>
      <c r="K8" s="14" t="inlineStr">
        <is>
          <t>Q</t>
        </is>
      </c>
    </row>
    <row r="9" ht="15" customHeight="1" s="100">
      <c r="B9" s="17" t="inlineStr">
        <is>
          <t xml:space="preserve">5,001 to 10,000 </t>
        </is>
      </c>
      <c r="C9" s="14" t="n">
        <v>8900</v>
      </c>
      <c r="D9" s="14" t="n">
        <v>7590</v>
      </c>
      <c r="E9" s="14" t="n">
        <v>1038</v>
      </c>
      <c r="F9" s="14" t="n">
        <v>1416</v>
      </c>
      <c r="G9" s="14" t="n">
        <v>2025</v>
      </c>
      <c r="H9" s="14" t="inlineStr">
        <is>
          <t>Q</t>
        </is>
      </c>
      <c r="I9" s="14" t="n">
        <v>734</v>
      </c>
      <c r="J9" s="14" t="n">
        <v>4622</v>
      </c>
      <c r="K9" s="14" t="inlineStr">
        <is>
          <t>Q</t>
        </is>
      </c>
    </row>
    <row r="10" ht="15" customHeight="1" s="100">
      <c r="B10" s="17" t="inlineStr">
        <is>
          <t>10,001 to 25,000</t>
        </is>
      </c>
      <c r="C10" s="14" t="n">
        <v>14105</v>
      </c>
      <c r="D10" s="14" t="n">
        <v>12744</v>
      </c>
      <c r="E10" s="14" t="n">
        <v>1477</v>
      </c>
      <c r="F10" s="14" t="n">
        <v>2233</v>
      </c>
      <c r="G10" s="14" t="n">
        <v>3115</v>
      </c>
      <c r="H10" s="14" t="inlineStr">
        <is>
          <t>Q</t>
        </is>
      </c>
      <c r="I10" s="14" t="n">
        <v>2008</v>
      </c>
      <c r="J10" s="14" t="n">
        <v>8246</v>
      </c>
      <c r="K10" s="14" t="inlineStr">
        <is>
          <t>Q</t>
        </is>
      </c>
    </row>
    <row r="11" ht="15" customHeight="1" s="100">
      <c r="B11" s="17" t="inlineStr">
        <is>
          <t>25,001 to 50,000</t>
        </is>
      </c>
      <c r="C11" s="14" t="n">
        <v>11917</v>
      </c>
      <c r="D11" s="14" t="n">
        <v>10911</v>
      </c>
      <c r="E11" s="14" t="n">
        <v>1642</v>
      </c>
      <c r="F11" s="14" t="n">
        <v>1439</v>
      </c>
      <c r="G11" s="14" t="n">
        <v>3021</v>
      </c>
      <c r="H11" s="14" t="n">
        <v>213</v>
      </c>
      <c r="I11" s="14" t="n">
        <v>2707</v>
      </c>
      <c r="J11" s="14" t="n">
        <v>7237</v>
      </c>
      <c r="K11" s="14" t="inlineStr">
        <is>
          <t>Q</t>
        </is>
      </c>
    </row>
    <row r="12" ht="15" customHeight="1" s="100">
      <c r="B12" s="17" t="inlineStr">
        <is>
          <t xml:space="preserve">50,001 to 100,000 </t>
        </is>
      </c>
      <c r="C12" s="14" t="n">
        <v>13918</v>
      </c>
      <c r="D12" s="14" t="n">
        <v>13114</v>
      </c>
      <c r="E12" s="14" t="n">
        <v>2664</v>
      </c>
      <c r="F12" s="14" t="n">
        <v>1042</v>
      </c>
      <c r="G12" s="14" t="n">
        <v>2763</v>
      </c>
      <c r="H12" s="14" t="n">
        <v>704</v>
      </c>
      <c r="I12" s="14" t="n">
        <v>4938</v>
      </c>
      <c r="J12" s="14" t="n">
        <v>8489</v>
      </c>
      <c r="K12" s="14" t="n">
        <v>541</v>
      </c>
    </row>
    <row r="13" ht="15" customHeight="1" s="100">
      <c r="B13" s="17" t="inlineStr">
        <is>
          <t xml:space="preserve">100,001 to 200,000 </t>
        </is>
      </c>
      <c r="C13" s="14" t="n">
        <v>12415</v>
      </c>
      <c r="D13" s="14" t="n">
        <v>11941</v>
      </c>
      <c r="E13" s="14" t="n">
        <v>1549</v>
      </c>
      <c r="F13" s="14" t="n">
        <v>683</v>
      </c>
      <c r="G13" s="14" t="n">
        <v>2915</v>
      </c>
      <c r="H13" s="14" t="n">
        <v>1313</v>
      </c>
      <c r="I13" s="14" t="n">
        <v>4258</v>
      </c>
      <c r="J13" s="14" t="n">
        <v>7569</v>
      </c>
      <c r="K13" s="14" t="inlineStr">
        <is>
          <t>Q</t>
        </is>
      </c>
    </row>
    <row r="14" ht="15" customHeight="1" s="100">
      <c r="B14" s="17" t="inlineStr">
        <is>
          <t xml:space="preserve">200,001 to 500,000 </t>
        </is>
      </c>
      <c r="C14" s="14" t="n">
        <v>10724</v>
      </c>
      <c r="D14" s="14" t="n">
        <v>10348</v>
      </c>
      <c r="E14" s="14" t="n">
        <v>1527</v>
      </c>
      <c r="F14" s="14" t="n">
        <v>466</v>
      </c>
      <c r="G14" s="14" t="n">
        <v>2970</v>
      </c>
      <c r="H14" s="14" t="n">
        <v>1553</v>
      </c>
      <c r="I14" s="14" t="n">
        <v>4970</v>
      </c>
      <c r="J14" s="14" t="n">
        <v>5991</v>
      </c>
      <c r="K14" s="14" t="inlineStr">
        <is>
          <t>Q</t>
        </is>
      </c>
    </row>
    <row r="15" ht="15" customHeight="1" s="100">
      <c r="B15" s="17" t="inlineStr">
        <is>
          <t xml:space="preserve">Over 500,000 </t>
        </is>
      </c>
      <c r="C15" s="14" t="n">
        <v>7074</v>
      </c>
      <c r="D15" s="14" t="n">
        <v>6730</v>
      </c>
      <c r="E15" s="14" t="n">
        <v>1080</v>
      </c>
      <c r="F15" s="14" t="n">
        <v>284</v>
      </c>
      <c r="G15" s="14" t="n">
        <v>2211</v>
      </c>
      <c r="H15" s="14" t="n">
        <v>1974</v>
      </c>
      <c r="I15" s="14" t="n">
        <v>2430</v>
      </c>
      <c r="J15" s="14" t="n">
        <v>3225</v>
      </c>
      <c r="K15" s="14" t="inlineStr">
        <is>
          <t>Q</t>
        </is>
      </c>
    </row>
    <row r="16" ht="24" customHeight="1" s="100">
      <c r="B16" s="15" t="inlineStr">
        <is>
          <t>Principal building activity</t>
        </is>
      </c>
      <c r="C16" s="15" t="n"/>
      <c r="D16" s="15" t="n"/>
      <c r="E16" s="15" t="n"/>
      <c r="F16" s="15" t="n"/>
      <c r="G16" s="15" t="n"/>
      <c r="H16" s="15" t="n"/>
      <c r="I16" s="15" t="n"/>
      <c r="J16" s="15" t="n"/>
      <c r="K16" s="15" t="n"/>
    </row>
    <row r="17">
      <c r="B17" s="17" t="inlineStr">
        <is>
          <t>Education</t>
        </is>
      </c>
      <c r="C17" s="14" t="n">
        <v>12239</v>
      </c>
      <c r="D17" s="14" t="n">
        <v>12099</v>
      </c>
      <c r="E17" s="14" t="n">
        <v>2209</v>
      </c>
      <c r="F17" s="14" t="n">
        <v>564</v>
      </c>
      <c r="G17" s="14" t="n">
        <v>1750</v>
      </c>
      <c r="H17" s="14" t="n">
        <v>1155</v>
      </c>
      <c r="I17" s="14" t="n">
        <v>6637</v>
      </c>
      <c r="J17" s="14" t="n">
        <v>6107</v>
      </c>
      <c r="K17" s="14" t="inlineStr">
        <is>
          <t>Q</t>
        </is>
      </c>
    </row>
    <row r="18">
      <c r="B18" s="17" t="inlineStr">
        <is>
          <t xml:space="preserve">Food sales </t>
        </is>
      </c>
      <c r="C18" s="14" t="n">
        <v>1252</v>
      </c>
      <c r="D18" s="14" t="n">
        <v>1196</v>
      </c>
      <c r="E18" s="14" t="inlineStr">
        <is>
          <t>Q</t>
        </is>
      </c>
      <c r="F18" s="14" t="inlineStr">
        <is>
          <t>Q</t>
        </is>
      </c>
      <c r="G18" s="14" t="n">
        <v>336</v>
      </c>
      <c r="H18" s="14" t="inlineStr">
        <is>
          <t>N</t>
        </is>
      </c>
      <c r="I18" s="14" t="inlineStr">
        <is>
          <t>Q</t>
        </is>
      </c>
      <c r="J18" s="14" t="n">
        <v>944</v>
      </c>
      <c r="K18" s="14" t="inlineStr">
        <is>
          <t>Q</t>
        </is>
      </c>
    </row>
    <row r="19">
      <c r="B19" s="17" t="inlineStr">
        <is>
          <t xml:space="preserve">Food service </t>
        </is>
      </c>
      <c r="C19" s="14" t="n">
        <v>1819</v>
      </c>
      <c r="D19" s="14" t="n">
        <v>1762</v>
      </c>
      <c r="E19" s="14" t="n">
        <v>146</v>
      </c>
      <c r="F19" s="14" t="n">
        <v>266</v>
      </c>
      <c r="G19" s="14" t="n">
        <v>256</v>
      </c>
      <c r="H19" s="14" t="inlineStr">
        <is>
          <t>Q</t>
        </is>
      </c>
      <c r="I19" s="14" t="n">
        <v>145</v>
      </c>
      <c r="J19" s="14" t="n">
        <v>1296</v>
      </c>
      <c r="K19" s="14" t="inlineStr">
        <is>
          <t>Q</t>
        </is>
      </c>
    </row>
    <row r="20">
      <c r="B20" s="17" t="inlineStr">
        <is>
          <t xml:space="preserve">Health care </t>
        </is>
      </c>
      <c r="C20" s="14" t="n">
        <v>4155</v>
      </c>
      <c r="D20" s="14" t="n">
        <v>4109</v>
      </c>
      <c r="E20" s="14" t="n">
        <v>739</v>
      </c>
      <c r="F20" s="14" t="n">
        <v>258</v>
      </c>
      <c r="G20" s="14" t="n">
        <v>967</v>
      </c>
      <c r="H20" s="14" t="n">
        <v>671</v>
      </c>
      <c r="I20" s="14" t="n">
        <v>2285</v>
      </c>
      <c r="J20" s="14" t="n">
        <v>2085</v>
      </c>
      <c r="K20" s="14" t="inlineStr">
        <is>
          <t>Q</t>
        </is>
      </c>
    </row>
    <row r="21">
      <c r="B21" s="18" t="inlineStr">
        <is>
          <t xml:space="preserve">  Inpatient </t>
        </is>
      </c>
      <c r="C21" s="14" t="n">
        <v>2374</v>
      </c>
      <c r="D21" s="14" t="n">
        <v>2354</v>
      </c>
      <c r="E21" s="14" t="n">
        <v>506</v>
      </c>
      <c r="F21" s="14" t="n">
        <v>124</v>
      </c>
      <c r="G21" s="14" t="n">
        <v>501</v>
      </c>
      <c r="H21" s="14" t="n">
        <v>563</v>
      </c>
      <c r="I21" s="14" t="n">
        <v>1698</v>
      </c>
      <c r="J21" s="14" t="n">
        <v>1073</v>
      </c>
      <c r="K21" s="14" t="inlineStr">
        <is>
          <t>Q</t>
        </is>
      </c>
    </row>
    <row r="22">
      <c r="B22" s="18" t="inlineStr">
        <is>
          <t xml:space="preserve">  Outpatient </t>
        </is>
      </c>
      <c r="C22" s="14" t="n">
        <v>1781</v>
      </c>
      <c r="D22" s="14" t="n">
        <v>1754</v>
      </c>
      <c r="E22" s="14" t="n">
        <v>233</v>
      </c>
      <c r="F22" s="14" t="n">
        <v>133</v>
      </c>
      <c r="G22" s="14" t="n">
        <v>466</v>
      </c>
      <c r="H22" s="14" t="inlineStr">
        <is>
          <t>Q</t>
        </is>
      </c>
      <c r="I22" s="14" t="n">
        <v>588</v>
      </c>
      <c r="J22" s="14" t="n">
        <v>1012</v>
      </c>
      <c r="K22" s="14" t="inlineStr">
        <is>
          <t>N</t>
        </is>
      </c>
    </row>
    <row r="23">
      <c r="B23" s="17" t="inlineStr">
        <is>
          <t xml:space="preserve">Lodging </t>
        </is>
      </c>
      <c r="C23" s="14" t="n">
        <v>5826</v>
      </c>
      <c r="D23" s="14" t="n">
        <v>5696</v>
      </c>
      <c r="E23" s="14" t="n">
        <v>1259</v>
      </c>
      <c r="F23" s="14" t="n">
        <v>638</v>
      </c>
      <c r="G23" s="14" t="n">
        <v>2168</v>
      </c>
      <c r="H23" s="14" t="n">
        <v>621</v>
      </c>
      <c r="I23" s="14" t="n">
        <v>2105</v>
      </c>
      <c r="J23" s="14" t="n">
        <v>2561</v>
      </c>
      <c r="K23" s="14" t="inlineStr">
        <is>
          <t>Q</t>
        </is>
      </c>
    </row>
    <row r="24">
      <c r="B24" s="17" t="inlineStr">
        <is>
          <t xml:space="preserve">Mercantile </t>
        </is>
      </c>
      <c r="C24" s="14" t="n">
        <v>11330</v>
      </c>
      <c r="D24" s="14" t="n">
        <v>10794</v>
      </c>
      <c r="E24" s="14" t="n">
        <v>1419</v>
      </c>
      <c r="F24" s="14" t="n">
        <v>1423</v>
      </c>
      <c r="G24" s="14" t="n">
        <v>2568</v>
      </c>
      <c r="H24" s="14" t="inlineStr">
        <is>
          <t>Q</t>
        </is>
      </c>
      <c r="I24" s="14" t="n">
        <v>1138</v>
      </c>
      <c r="J24" s="14" t="n">
        <v>9434</v>
      </c>
      <c r="K24" s="14" t="n">
        <v>872</v>
      </c>
      <c r="N24" s="19" t="n"/>
    </row>
    <row r="25" ht="15" customHeight="1" s="100">
      <c r="B25" s="20" t="inlineStr">
        <is>
          <t xml:space="preserve">Retail (other than mall) </t>
        </is>
      </c>
      <c r="C25" s="14" t="n">
        <v>5439</v>
      </c>
      <c r="D25" s="14" t="n">
        <v>5088</v>
      </c>
      <c r="E25" s="14" t="n">
        <v>441</v>
      </c>
      <c r="F25" s="14" t="n">
        <v>590</v>
      </c>
      <c r="G25" s="14" t="n">
        <v>1007</v>
      </c>
      <c r="H25" s="14" t="inlineStr">
        <is>
          <t>Q</t>
        </is>
      </c>
      <c r="I25" s="14" t="n">
        <v>312</v>
      </c>
      <c r="J25" s="14" t="n">
        <v>3964</v>
      </c>
      <c r="K25" s="14" t="inlineStr">
        <is>
          <t>Q</t>
        </is>
      </c>
    </row>
    <row r="26" ht="15" customHeight="1" s="100">
      <c r="B26" s="20" t="inlineStr">
        <is>
          <t xml:space="preserve">Enclosed and strip malls </t>
        </is>
      </c>
      <c r="C26" s="14" t="n">
        <v>5890</v>
      </c>
      <c r="D26" s="14" t="n">
        <v>5706</v>
      </c>
      <c r="E26" s="14" t="n">
        <v>978</v>
      </c>
      <c r="F26" s="14" t="n">
        <v>832</v>
      </c>
      <c r="G26" s="14" t="n">
        <v>1561</v>
      </c>
      <c r="H26" s="14" t="inlineStr">
        <is>
          <t>Q</t>
        </is>
      </c>
      <c r="I26" s="14" t="n">
        <v>826</v>
      </c>
      <c r="J26" s="14" t="n">
        <v>5470</v>
      </c>
      <c r="K26" s="14" t="n">
        <v>860</v>
      </c>
    </row>
    <row r="27" ht="15" customHeight="1" s="100">
      <c r="B27" s="17" t="inlineStr">
        <is>
          <t xml:space="preserve">Office </t>
        </is>
      </c>
      <c r="C27" s="14" t="n">
        <v>15952</v>
      </c>
      <c r="D27" s="14" t="n">
        <v>15753</v>
      </c>
      <c r="E27" s="14" t="n">
        <v>2667</v>
      </c>
      <c r="F27" s="14" t="n">
        <v>1691</v>
      </c>
      <c r="G27" s="14" t="n">
        <v>3727</v>
      </c>
      <c r="H27" s="14" t="n">
        <v>1794</v>
      </c>
      <c r="I27" s="14" t="n">
        <v>4650</v>
      </c>
      <c r="J27" s="14" t="n">
        <v>8407</v>
      </c>
      <c r="K27" s="14" t="inlineStr">
        <is>
          <t>Q</t>
        </is>
      </c>
    </row>
    <row r="28" ht="15" customHeight="1" s="100">
      <c r="B28" s="17" t="inlineStr">
        <is>
          <t xml:space="preserve">Public assembly </t>
        </is>
      </c>
      <c r="C28" s="14" t="n">
        <v>5559</v>
      </c>
      <c r="D28" s="14" t="n">
        <v>5323</v>
      </c>
      <c r="E28" s="14" t="n">
        <v>727</v>
      </c>
      <c r="F28" s="14" t="n">
        <v>582</v>
      </c>
      <c r="G28" s="14" t="n">
        <v>1560</v>
      </c>
      <c r="H28" s="14" t="n">
        <v>888</v>
      </c>
      <c r="I28" s="14" t="n">
        <v>1621</v>
      </c>
      <c r="J28" s="14" t="n">
        <v>3016</v>
      </c>
      <c r="K28" s="14" t="inlineStr">
        <is>
          <t>Q</t>
        </is>
      </c>
    </row>
    <row r="29" ht="15" customHeight="1" s="100">
      <c r="B29" s="17" t="inlineStr">
        <is>
          <t xml:space="preserve">Public order and safety </t>
        </is>
      </c>
      <c r="C29" s="14" t="n">
        <v>1440</v>
      </c>
      <c r="D29" s="14" t="n">
        <v>1391</v>
      </c>
      <c r="E29" s="14" t="inlineStr">
        <is>
          <t>Q</t>
        </is>
      </c>
      <c r="F29" s="14" t="inlineStr">
        <is>
          <t>Q</t>
        </is>
      </c>
      <c r="G29" s="14" t="n">
        <v>253</v>
      </c>
      <c r="H29" s="14" t="inlineStr">
        <is>
          <t>Q</t>
        </is>
      </c>
      <c r="I29" s="14" t="n">
        <v>466</v>
      </c>
      <c r="J29" s="14" t="n">
        <v>601</v>
      </c>
      <c r="K29" s="14" t="inlineStr">
        <is>
          <t>Q</t>
        </is>
      </c>
    </row>
    <row r="30" ht="15" customHeight="1" s="100">
      <c r="B30" s="17" t="inlineStr">
        <is>
          <t xml:space="preserve">Religious worship </t>
        </is>
      </c>
      <c r="C30" s="14" t="n">
        <v>4557</v>
      </c>
      <c r="D30" s="14" t="n">
        <v>4511</v>
      </c>
      <c r="E30" s="14" t="n">
        <v>581</v>
      </c>
      <c r="F30" s="14" t="n">
        <v>927</v>
      </c>
      <c r="G30" s="14" t="n">
        <v>859</v>
      </c>
      <c r="H30" s="14" t="inlineStr">
        <is>
          <t>N</t>
        </is>
      </c>
      <c r="I30" s="14" t="n">
        <v>1359</v>
      </c>
      <c r="J30" s="14" t="n">
        <v>2801</v>
      </c>
      <c r="K30" s="14" t="inlineStr">
        <is>
          <t>Q</t>
        </is>
      </c>
    </row>
    <row r="31" ht="15" customHeight="1" s="100">
      <c r="B31" s="17" t="inlineStr">
        <is>
          <t xml:space="preserve">Service </t>
        </is>
      </c>
      <c r="C31" s="14" t="n">
        <v>4630</v>
      </c>
      <c r="D31" s="14" t="n">
        <v>4157</v>
      </c>
      <c r="E31" s="14" t="n">
        <v>356</v>
      </c>
      <c r="F31" s="14" t="n">
        <v>497</v>
      </c>
      <c r="G31" s="14" t="n">
        <v>1919</v>
      </c>
      <c r="H31" s="14" t="inlineStr">
        <is>
          <t>Q</t>
        </is>
      </c>
      <c r="I31" s="14" t="n">
        <v>433</v>
      </c>
      <c r="J31" s="14" t="n">
        <v>2498</v>
      </c>
      <c r="K31" s="14" t="inlineStr">
        <is>
          <t>Q</t>
        </is>
      </c>
    </row>
    <row r="32" ht="15" customHeight="1" s="100">
      <c r="B32" s="17" t="inlineStr">
        <is>
          <t xml:space="preserve">Warehouse and storage </t>
        </is>
      </c>
      <c r="C32" s="14" t="n">
        <v>13077</v>
      </c>
      <c r="D32" s="14" t="n">
        <v>9987</v>
      </c>
      <c r="E32" s="14" t="n">
        <v>1138</v>
      </c>
      <c r="F32" s="14" t="n">
        <v>1294</v>
      </c>
      <c r="G32" s="14" t="n">
        <v>3480</v>
      </c>
      <c r="H32" s="14" t="inlineStr">
        <is>
          <t>Q</t>
        </is>
      </c>
      <c r="I32" s="14" t="n">
        <v>841</v>
      </c>
      <c r="J32" s="14" t="n">
        <v>7297</v>
      </c>
      <c r="K32" s="14" t="inlineStr">
        <is>
          <t>Q</t>
        </is>
      </c>
    </row>
    <row r="33" ht="15" customHeight="1" s="100">
      <c r="B33" s="17" t="inlineStr">
        <is>
          <t xml:space="preserve">Other </t>
        </is>
      </c>
      <c r="C33" s="14" t="n">
        <v>2002</v>
      </c>
      <c r="D33" s="14" t="n">
        <v>1886</v>
      </c>
      <c r="E33" s="14" t="inlineStr">
        <is>
          <t>Q</t>
        </is>
      </c>
      <c r="F33" s="14" t="inlineStr">
        <is>
          <t>Q</t>
        </is>
      </c>
      <c r="G33" s="14" t="n">
        <v>737</v>
      </c>
      <c r="H33" s="14" t="inlineStr">
        <is>
          <t>Q</t>
        </is>
      </c>
      <c r="I33" s="14" t="n">
        <v>408</v>
      </c>
      <c r="J33" s="14" t="n">
        <v>1257</v>
      </c>
      <c r="K33" s="14" t="inlineStr">
        <is>
          <t>Q</t>
        </is>
      </c>
    </row>
    <row r="34" ht="15" customHeight="1" s="100">
      <c r="B34" s="17" t="inlineStr">
        <is>
          <t xml:space="preserve">Vacant </t>
        </is>
      </c>
      <c r="C34" s="14" t="n">
        <v>3256</v>
      </c>
      <c r="D34" s="14" t="n">
        <v>1415</v>
      </c>
      <c r="E34" s="14" t="inlineStr">
        <is>
          <t>Q</t>
        </is>
      </c>
      <c r="F34" s="14" t="inlineStr">
        <is>
          <t>Q</t>
        </is>
      </c>
      <c r="G34" s="14" t="inlineStr">
        <is>
          <t>Q</t>
        </is>
      </c>
      <c r="H34" s="14" t="inlineStr">
        <is>
          <t>Q</t>
        </is>
      </c>
      <c r="I34" s="14" t="n">
        <v>296</v>
      </c>
      <c r="J34" s="14" t="n">
        <v>886</v>
      </c>
      <c r="K34" s="14" t="inlineStr">
        <is>
          <t>Q</t>
        </is>
      </c>
    </row>
    <row r="35" ht="24" customHeight="1" s="100">
      <c r="B35" s="15" t="inlineStr">
        <is>
          <t>Year constructed</t>
        </is>
      </c>
      <c r="C35" s="15" t="n"/>
      <c r="D35" s="15" t="n"/>
      <c r="E35" s="15" t="n"/>
      <c r="F35" s="15" t="n"/>
      <c r="G35" s="15" t="n"/>
      <c r="H35" s="15" t="n"/>
      <c r="I35" s="15" t="n"/>
      <c r="J35" s="15" t="n"/>
      <c r="K35" s="15" t="n"/>
    </row>
    <row r="36" ht="15" customHeight="1" s="100">
      <c r="B36" s="17" t="inlineStr">
        <is>
          <t>Before 1920</t>
        </is>
      </c>
      <c r="C36" s="14" t="n">
        <v>3983</v>
      </c>
      <c r="D36" s="14" t="n">
        <v>3583</v>
      </c>
      <c r="E36" s="14" t="n">
        <v>371</v>
      </c>
      <c r="F36" s="14" t="n">
        <v>524</v>
      </c>
      <c r="G36" s="14" t="n">
        <v>1442</v>
      </c>
      <c r="H36" s="14" t="n">
        <v>523</v>
      </c>
      <c r="I36" s="14" t="n">
        <v>1221</v>
      </c>
      <c r="J36" s="14" t="n">
        <v>1380</v>
      </c>
      <c r="K36" s="14" t="inlineStr">
        <is>
          <t>Q</t>
        </is>
      </c>
    </row>
    <row r="37" ht="15" customHeight="1" s="100">
      <c r="B37" s="17" t="inlineStr">
        <is>
          <t>1920 to 1945</t>
        </is>
      </c>
      <c r="C37" s="14" t="n">
        <v>6025</v>
      </c>
      <c r="D37" s="14" t="n">
        <v>5527</v>
      </c>
      <c r="E37" s="14" t="n">
        <v>744</v>
      </c>
      <c r="F37" s="14" t="n">
        <v>393</v>
      </c>
      <c r="G37" s="14" t="n">
        <v>1717</v>
      </c>
      <c r="H37" s="14" t="n">
        <v>888</v>
      </c>
      <c r="I37" s="14" t="n">
        <v>2016</v>
      </c>
      <c r="J37" s="14" t="n">
        <v>2589</v>
      </c>
      <c r="K37" s="14" t="inlineStr">
        <is>
          <t>Q</t>
        </is>
      </c>
    </row>
    <row r="38" ht="15" customHeight="1" s="100">
      <c r="B38" s="17" t="inlineStr">
        <is>
          <t>1946 to 1959</t>
        </is>
      </c>
      <c r="C38" s="14" t="n">
        <v>7381</v>
      </c>
      <c r="D38" s="14" t="n">
        <v>6895</v>
      </c>
      <c r="E38" s="14" t="n">
        <v>907</v>
      </c>
      <c r="F38" s="14" t="n">
        <v>685</v>
      </c>
      <c r="G38" s="14" t="n">
        <v>2277</v>
      </c>
      <c r="H38" s="14" t="n">
        <v>446</v>
      </c>
      <c r="I38" s="14" t="n">
        <v>2659</v>
      </c>
      <c r="J38" s="14" t="n">
        <v>3715</v>
      </c>
      <c r="K38" s="14" t="inlineStr">
        <is>
          <t>Q</t>
        </is>
      </c>
    </row>
    <row r="39" ht="15" customHeight="1" s="100">
      <c r="B39" s="17" t="inlineStr">
        <is>
          <t>1960 to 1969</t>
        </is>
      </c>
      <c r="C39" s="14" t="n">
        <v>10362</v>
      </c>
      <c r="D39" s="14" t="n">
        <v>9730</v>
      </c>
      <c r="E39" s="14" t="n">
        <v>1295</v>
      </c>
      <c r="F39" s="14" t="n">
        <v>1168</v>
      </c>
      <c r="G39" s="14" t="n">
        <v>2586</v>
      </c>
      <c r="H39" s="14" t="n">
        <v>1002</v>
      </c>
      <c r="I39" s="14" t="n">
        <v>3506</v>
      </c>
      <c r="J39" s="14" t="n">
        <v>5670</v>
      </c>
      <c r="K39" s="14" t="inlineStr">
        <is>
          <t>Q</t>
        </is>
      </c>
    </row>
    <row r="40" ht="15" customHeight="1" s="100">
      <c r="B40" s="17" t="inlineStr">
        <is>
          <t>1970 to 1979</t>
        </is>
      </c>
      <c r="C40" s="14" t="n">
        <v>10846</v>
      </c>
      <c r="D40" s="14" t="n">
        <v>10045</v>
      </c>
      <c r="E40" s="14" t="n">
        <v>1198</v>
      </c>
      <c r="F40" s="14" t="n">
        <v>1345</v>
      </c>
      <c r="G40" s="14" t="n">
        <v>2923</v>
      </c>
      <c r="H40" s="14" t="n">
        <v>930</v>
      </c>
      <c r="I40" s="14" t="n">
        <v>2763</v>
      </c>
      <c r="J40" s="14" t="n">
        <v>6156</v>
      </c>
      <c r="K40" s="14" t="inlineStr">
        <is>
          <t>Q</t>
        </is>
      </c>
    </row>
    <row r="41" ht="15" customHeight="1" s="100">
      <c r="B41" s="17" t="inlineStr">
        <is>
          <t>1980 to 1989</t>
        </is>
      </c>
      <c r="C41" s="14" t="n">
        <v>15230</v>
      </c>
      <c r="D41" s="14" t="n">
        <v>13723</v>
      </c>
      <c r="E41" s="14" t="n">
        <v>2386</v>
      </c>
      <c r="F41" s="14" t="n">
        <v>1763</v>
      </c>
      <c r="G41" s="14" t="n">
        <v>3424</v>
      </c>
      <c r="H41" s="14" t="n">
        <v>446</v>
      </c>
      <c r="I41" s="14" t="n">
        <v>2973</v>
      </c>
      <c r="J41" s="14" t="n">
        <v>9037</v>
      </c>
      <c r="K41" s="14" t="inlineStr">
        <is>
          <t>Q</t>
        </is>
      </c>
    </row>
    <row r="42" ht="15" customHeight="1" s="100">
      <c r="B42" s="17" t="inlineStr">
        <is>
          <t>1990 to 1999</t>
        </is>
      </c>
      <c r="C42" s="14" t="n">
        <v>13803</v>
      </c>
      <c r="D42" s="14" t="n">
        <v>12389</v>
      </c>
      <c r="E42" s="14" t="n">
        <v>2136</v>
      </c>
      <c r="F42" s="14" t="n">
        <v>1266</v>
      </c>
      <c r="G42" s="14" t="n">
        <v>2996</v>
      </c>
      <c r="H42" s="14" t="n">
        <v>642</v>
      </c>
      <c r="I42" s="14" t="n">
        <v>2970</v>
      </c>
      <c r="J42" s="14" t="n">
        <v>8544</v>
      </c>
      <c r="K42" s="14" t="n">
        <v>397</v>
      </c>
    </row>
    <row r="43" ht="15" customHeight="1" s="100">
      <c r="B43" s="17" t="inlineStr">
        <is>
          <t>2000 to 2003</t>
        </is>
      </c>
      <c r="C43" s="14" t="n">
        <v>7215</v>
      </c>
      <c r="D43" s="14" t="n">
        <v>6707</v>
      </c>
      <c r="E43" s="14" t="n">
        <v>808</v>
      </c>
      <c r="F43" s="14" t="n">
        <v>551</v>
      </c>
      <c r="G43" s="14" t="n">
        <v>1292</v>
      </c>
      <c r="H43" s="14" t="inlineStr">
        <is>
          <t>Q</t>
        </is>
      </c>
      <c r="I43" s="14" t="n">
        <v>1636</v>
      </c>
      <c r="J43" s="14" t="n">
        <v>4281</v>
      </c>
      <c r="K43" s="14" t="inlineStr">
        <is>
          <t>Q</t>
        </is>
      </c>
    </row>
    <row r="44" ht="15" customHeight="1" s="100">
      <c r="B44" s="17" t="inlineStr">
        <is>
          <t>2004 to 2007</t>
        </is>
      </c>
      <c r="C44" s="14" t="n">
        <v>6524</v>
      </c>
      <c r="D44" s="14" t="n">
        <v>5972</v>
      </c>
      <c r="E44" s="14" t="n">
        <v>1174</v>
      </c>
      <c r="F44" s="14" t="n">
        <v>516</v>
      </c>
      <c r="G44" s="14" t="n">
        <v>1160</v>
      </c>
      <c r="H44" s="14" t="inlineStr">
        <is>
          <t>Q</t>
        </is>
      </c>
      <c r="I44" s="14" t="n">
        <v>1395</v>
      </c>
      <c r="J44" s="14" t="n">
        <v>4076</v>
      </c>
      <c r="K44" s="14" t="inlineStr">
        <is>
          <t>Q</t>
        </is>
      </c>
    </row>
    <row r="45" ht="15" customHeight="1" s="100">
      <c r="B45" s="17" t="inlineStr">
        <is>
          <t>2008 to 2012</t>
        </is>
      </c>
      <c r="C45" s="14" t="n">
        <v>5723</v>
      </c>
      <c r="D45" s="14" t="n">
        <v>5505</v>
      </c>
      <c r="E45" s="14" t="n">
        <v>826</v>
      </c>
      <c r="F45" s="14" t="n">
        <v>442</v>
      </c>
      <c r="G45" s="14" t="n">
        <v>948</v>
      </c>
      <c r="H45" s="14" t="inlineStr">
        <is>
          <t>Q</t>
        </is>
      </c>
      <c r="I45" s="14" t="n">
        <v>1303</v>
      </c>
      <c r="J45" s="14" t="n">
        <v>3741</v>
      </c>
      <c r="K45" s="14" t="inlineStr">
        <is>
          <t>Q</t>
        </is>
      </c>
    </row>
    <row r="46" ht="24" customHeight="1" s="100">
      <c r="B46" s="15" t="inlineStr">
        <is>
          <t>Census region and division</t>
        </is>
      </c>
      <c r="C46" s="16" t="n"/>
      <c r="D46" s="16" t="n"/>
      <c r="E46" s="16" t="n"/>
      <c r="F46" s="16" t="n"/>
      <c r="G46" s="16" t="n"/>
      <c r="H46" s="16" t="n"/>
      <c r="I46" s="16" t="n"/>
      <c r="J46" s="16" t="n"/>
      <c r="K46" s="16" t="n"/>
    </row>
    <row r="47" ht="15" customHeight="1" s="100">
      <c r="B47" s="17" t="inlineStr">
        <is>
          <t>Northeast</t>
        </is>
      </c>
      <c r="C47" s="14" t="n">
        <v>15534</v>
      </c>
      <c r="D47" s="14" t="n">
        <v>15053</v>
      </c>
      <c r="E47" s="14" t="n">
        <v>1397</v>
      </c>
      <c r="F47" s="14" t="n">
        <v>1244</v>
      </c>
      <c r="G47" s="14" t="n">
        <v>4918</v>
      </c>
      <c r="H47" s="14" t="n">
        <v>1981</v>
      </c>
      <c r="I47" s="14" t="n">
        <v>6447</v>
      </c>
      <c r="J47" s="14" t="n">
        <v>7186</v>
      </c>
      <c r="K47" s="14" t="inlineStr">
        <is>
          <t>Q</t>
        </is>
      </c>
    </row>
    <row r="48" ht="15" customHeight="1" s="100">
      <c r="B48" s="18" t="inlineStr">
        <is>
          <t xml:space="preserve">New England </t>
        </is>
      </c>
      <c r="C48" s="14" t="n">
        <v>4302</v>
      </c>
      <c r="D48" s="14" t="n">
        <v>4090</v>
      </c>
      <c r="E48" s="14" t="n">
        <v>400</v>
      </c>
      <c r="F48" s="14" t="n">
        <v>323</v>
      </c>
      <c r="G48" s="14" t="n">
        <v>1529</v>
      </c>
      <c r="H48" s="14" t="inlineStr">
        <is>
          <t>Q</t>
        </is>
      </c>
      <c r="I48" s="14" t="n">
        <v>1823</v>
      </c>
      <c r="J48" s="14" t="n">
        <v>1769</v>
      </c>
      <c r="K48" s="14" t="inlineStr">
        <is>
          <t>Q</t>
        </is>
      </c>
    </row>
    <row r="49" ht="15" customHeight="1" s="100">
      <c r="B49" s="18" t="inlineStr">
        <is>
          <t>Middle Atlantic</t>
        </is>
      </c>
      <c r="C49" s="14" t="n">
        <v>11232</v>
      </c>
      <c r="D49" s="14" t="n">
        <v>10963</v>
      </c>
      <c r="E49" s="14" t="n">
        <v>998</v>
      </c>
      <c r="F49" s="14" t="n">
        <v>922</v>
      </c>
      <c r="G49" s="14" t="n">
        <v>3389</v>
      </c>
      <c r="H49" s="14" t="n">
        <v>1628</v>
      </c>
      <c r="I49" s="14" t="n">
        <v>4624</v>
      </c>
      <c r="J49" s="14" t="n">
        <v>5417</v>
      </c>
      <c r="K49" s="14" t="inlineStr">
        <is>
          <t>Q</t>
        </is>
      </c>
    </row>
    <row r="50" ht="15" customHeight="1" s="100">
      <c r="B50" s="17" t="inlineStr">
        <is>
          <t>Midwest</t>
        </is>
      </c>
      <c r="C50" s="14" t="n">
        <v>18919</v>
      </c>
      <c r="D50" s="14" t="n">
        <v>18055</v>
      </c>
      <c r="E50" s="14" t="n">
        <v>1068</v>
      </c>
      <c r="F50" s="14" t="n">
        <v>2511</v>
      </c>
      <c r="G50" s="14" t="n">
        <v>5735</v>
      </c>
      <c r="H50" s="14" t="n">
        <v>906</v>
      </c>
      <c r="I50" s="14" t="n">
        <v>6666</v>
      </c>
      <c r="J50" s="14" t="n">
        <v>10894</v>
      </c>
      <c r="K50" s="14" t="n">
        <v>370</v>
      </c>
    </row>
    <row r="51" ht="15" customHeight="1" s="100">
      <c r="B51" s="18" t="inlineStr">
        <is>
          <t>East North Central</t>
        </is>
      </c>
      <c r="C51" s="14" t="n">
        <v>12742</v>
      </c>
      <c r="D51" s="14" t="n">
        <v>12240</v>
      </c>
      <c r="E51" s="14" t="n">
        <v>632</v>
      </c>
      <c r="F51" s="14" t="n">
        <v>1756</v>
      </c>
      <c r="G51" s="14" t="n">
        <v>3668</v>
      </c>
      <c r="H51" s="14" t="n">
        <v>574</v>
      </c>
      <c r="I51" s="14" t="n">
        <v>5083</v>
      </c>
      <c r="J51" s="14" t="n">
        <v>7347</v>
      </c>
      <c r="K51" s="14" t="inlineStr">
        <is>
          <t>Q</t>
        </is>
      </c>
    </row>
    <row r="52" ht="15" customHeight="1" s="100">
      <c r="B52" s="18" t="inlineStr">
        <is>
          <t>West North Central</t>
        </is>
      </c>
      <c r="C52" s="14" t="n">
        <v>6178</v>
      </c>
      <c r="D52" s="14" t="n">
        <v>5815</v>
      </c>
      <c r="E52" s="14" t="n">
        <v>436</v>
      </c>
      <c r="F52" s="14" t="n">
        <v>755</v>
      </c>
      <c r="G52" s="14" t="n">
        <v>2066</v>
      </c>
      <c r="H52" s="14" t="n">
        <v>332</v>
      </c>
      <c r="I52" s="14" t="n">
        <v>1583</v>
      </c>
      <c r="J52" s="14" t="n">
        <v>3547</v>
      </c>
      <c r="K52" s="14" t="inlineStr">
        <is>
          <t>Q</t>
        </is>
      </c>
    </row>
    <row r="53" ht="15" customHeight="1" s="100">
      <c r="B53" s="17" t="inlineStr">
        <is>
          <t>South</t>
        </is>
      </c>
      <c r="C53" s="14" t="n">
        <v>34279</v>
      </c>
      <c r="D53" s="14" t="n">
        <v>30499</v>
      </c>
      <c r="E53" s="14" t="n">
        <v>6927</v>
      </c>
      <c r="F53" s="14" t="n">
        <v>3363</v>
      </c>
      <c r="G53" s="14" t="n">
        <v>6519</v>
      </c>
      <c r="H53" s="14" t="n">
        <v>2171</v>
      </c>
      <c r="I53" s="14" t="n">
        <v>5784</v>
      </c>
      <c r="J53" s="14" t="n">
        <v>20049</v>
      </c>
      <c r="K53" s="14" t="n">
        <v>550</v>
      </c>
    </row>
    <row r="54" ht="15" customHeight="1" s="100">
      <c r="B54" s="18" t="inlineStr">
        <is>
          <t xml:space="preserve">South Atlantic </t>
        </is>
      </c>
      <c r="C54" s="14" t="n">
        <v>17981</v>
      </c>
      <c r="D54" s="14" t="n">
        <v>15883</v>
      </c>
      <c r="E54" s="14" t="n">
        <v>4909</v>
      </c>
      <c r="F54" s="14" t="n">
        <v>1234</v>
      </c>
      <c r="G54" s="14" t="n">
        <v>3328</v>
      </c>
      <c r="H54" s="14" t="n">
        <v>1148</v>
      </c>
      <c r="I54" s="14" t="n">
        <v>3247</v>
      </c>
      <c r="J54" s="14" t="n">
        <v>10168</v>
      </c>
      <c r="K54" s="14" t="inlineStr">
        <is>
          <t>Q</t>
        </is>
      </c>
    </row>
    <row r="55" ht="15" customHeight="1" s="100">
      <c r="B55" s="18" t="inlineStr">
        <is>
          <t>East South Central</t>
        </is>
      </c>
      <c r="C55" s="14" t="n">
        <v>4904</v>
      </c>
      <c r="D55" s="14" t="n">
        <v>4692</v>
      </c>
      <c r="E55" s="14" t="n">
        <v>844</v>
      </c>
      <c r="F55" s="14" t="n">
        <v>530</v>
      </c>
      <c r="G55" s="14" t="n">
        <v>1295</v>
      </c>
      <c r="H55" s="14" t="inlineStr">
        <is>
          <t>Q</t>
        </is>
      </c>
      <c r="I55" s="14" t="n">
        <v>1077</v>
      </c>
      <c r="J55" s="14" t="n">
        <v>3136</v>
      </c>
      <c r="K55" s="14" t="inlineStr">
        <is>
          <t>Q</t>
        </is>
      </c>
    </row>
    <row r="56" ht="15" customHeight="1" s="100">
      <c r="B56" s="18" t="inlineStr">
        <is>
          <t>West South Central</t>
        </is>
      </c>
      <c r="C56" s="14" t="n">
        <v>11394</v>
      </c>
      <c r="D56" s="14" t="n">
        <v>9923</v>
      </c>
      <c r="E56" s="14" t="n">
        <v>1174</v>
      </c>
      <c r="F56" s="14" t="n">
        <v>1599</v>
      </c>
      <c r="G56" s="14" t="n">
        <v>1896</v>
      </c>
      <c r="H56" s="14" t="n">
        <v>637</v>
      </c>
      <c r="I56" s="14" t="n">
        <v>1460</v>
      </c>
      <c r="J56" s="14" t="n">
        <v>6745</v>
      </c>
      <c r="K56" s="14" t="inlineStr">
        <is>
          <t>Q</t>
        </is>
      </c>
    </row>
    <row r="57" ht="15" customHeight="1" s="100">
      <c r="B57" s="17" t="inlineStr">
        <is>
          <t>West</t>
        </is>
      </c>
      <c r="C57" s="14" t="n">
        <v>18360</v>
      </c>
      <c r="D57" s="14" t="n">
        <v>16471</v>
      </c>
      <c r="E57" s="14" t="n">
        <v>2453</v>
      </c>
      <c r="F57" s="14" t="n">
        <v>1536</v>
      </c>
      <c r="G57" s="14" t="n">
        <v>3594</v>
      </c>
      <c r="H57" s="14" t="n">
        <v>867</v>
      </c>
      <c r="I57" s="14" t="n">
        <v>3545</v>
      </c>
      <c r="J57" s="14" t="n">
        <v>11059</v>
      </c>
      <c r="K57" s="14" t="n">
        <v>339</v>
      </c>
    </row>
    <row r="58" ht="15" customHeight="1" s="100">
      <c r="B58" s="18" t="inlineStr">
        <is>
          <t>Mountain</t>
        </is>
      </c>
      <c r="C58" s="14" t="n">
        <v>4981</v>
      </c>
      <c r="D58" s="14" t="n">
        <v>4704</v>
      </c>
      <c r="E58" s="14" t="n">
        <v>498</v>
      </c>
      <c r="F58" s="14" t="n">
        <v>554</v>
      </c>
      <c r="G58" s="14" t="n">
        <v>1197</v>
      </c>
      <c r="H58" s="14" t="n">
        <v>482</v>
      </c>
      <c r="I58" s="14" t="n">
        <v>1150</v>
      </c>
      <c r="J58" s="14" t="n">
        <v>2967</v>
      </c>
      <c r="K58" s="14" t="inlineStr">
        <is>
          <t>Q</t>
        </is>
      </c>
    </row>
    <row r="59" ht="15" customHeight="1" s="100">
      <c r="B59" s="18" t="inlineStr">
        <is>
          <t>Pacific</t>
        </is>
      </c>
      <c r="C59" s="14" t="n">
        <v>13379</v>
      </c>
      <c r="D59" s="14" t="n">
        <v>11767</v>
      </c>
      <c r="E59" s="14" t="n">
        <v>1955</v>
      </c>
      <c r="F59" s="14" t="n">
        <v>983</v>
      </c>
      <c r="G59" s="14" t="n">
        <v>2397</v>
      </c>
      <c r="H59" s="14" t="n">
        <v>385</v>
      </c>
      <c r="I59" s="14" t="n">
        <v>2395</v>
      </c>
      <c r="J59" s="14" t="n">
        <v>8092</v>
      </c>
      <c r="K59" s="14" t="n">
        <v>242</v>
      </c>
    </row>
    <row r="60" ht="24" customHeight="1" s="100">
      <c r="B60" s="15" t="inlineStr">
        <is>
          <t>Climate region1</t>
        </is>
      </c>
      <c r="C60" s="15" t="n"/>
      <c r="D60" s="15" t="n"/>
      <c r="E60" s="15" t="n"/>
      <c r="F60" s="15" t="n"/>
      <c r="G60" s="15" t="n"/>
      <c r="H60" s="15" t="n"/>
      <c r="I60" s="15" t="n"/>
      <c r="J60" s="15" t="n"/>
      <c r="K60" s="15" t="n"/>
    </row>
    <row r="61">
      <c r="B61" s="17" t="inlineStr">
        <is>
          <t>Very cold/Cold</t>
        </is>
      </c>
      <c r="C61" s="14" t="n">
        <v>31898</v>
      </c>
      <c r="D61" s="14" t="n">
        <v>30469</v>
      </c>
      <c r="E61" s="14" t="n">
        <v>2150</v>
      </c>
      <c r="F61" s="14" t="n">
        <v>3558</v>
      </c>
      <c r="G61" s="14" t="n">
        <v>10128</v>
      </c>
      <c r="H61" s="14" t="n">
        <v>1926</v>
      </c>
      <c r="I61" s="14" t="n">
        <v>11556</v>
      </c>
      <c r="J61" s="14" t="n">
        <v>17640</v>
      </c>
      <c r="K61" s="14" t="n">
        <v>824</v>
      </c>
    </row>
    <row r="62">
      <c r="B62" s="17" t="inlineStr">
        <is>
          <t>Mixed-humid</t>
        </is>
      </c>
      <c r="C62" s="14" t="n">
        <v>27873</v>
      </c>
      <c r="D62" s="14" t="n">
        <v>26716</v>
      </c>
      <c r="E62" s="14" t="n">
        <v>6182</v>
      </c>
      <c r="F62" s="14" t="n">
        <v>3009</v>
      </c>
      <c r="G62" s="14" t="n">
        <v>6697</v>
      </c>
      <c r="H62" s="14" t="n">
        <v>3002</v>
      </c>
      <c r="I62" s="14" t="n">
        <v>7029</v>
      </c>
      <c r="J62" s="14" t="n">
        <v>15485</v>
      </c>
      <c r="K62" s="14" t="n">
        <v>487</v>
      </c>
    </row>
    <row r="63">
      <c r="B63" s="17" t="inlineStr">
        <is>
          <t>Mixed-dry/Hot-dry</t>
        </is>
      </c>
      <c r="C63" s="14" t="n">
        <v>12037</v>
      </c>
      <c r="D63" s="14" t="n">
        <v>10484</v>
      </c>
      <c r="E63" s="14" t="n">
        <v>1669</v>
      </c>
      <c r="F63" s="14" t="n">
        <v>995</v>
      </c>
      <c r="G63" s="14" t="n">
        <v>1703</v>
      </c>
      <c r="H63" s="14" t="inlineStr">
        <is>
          <t>Q</t>
        </is>
      </c>
      <c r="I63" s="14" t="n">
        <v>1777</v>
      </c>
      <c r="J63" s="14" t="n">
        <v>7351</v>
      </c>
      <c r="K63" s="14" t="inlineStr">
        <is>
          <t>Q</t>
        </is>
      </c>
    </row>
    <row r="64">
      <c r="B64" s="17" t="inlineStr">
        <is>
          <t>Hot-humid</t>
        </is>
      </c>
      <c r="C64" s="14" t="n">
        <v>12831</v>
      </c>
      <c r="D64" s="14" t="n">
        <v>10090</v>
      </c>
      <c r="E64" s="14" t="n">
        <v>1387</v>
      </c>
      <c r="F64" s="14" t="n">
        <v>937</v>
      </c>
      <c r="G64" s="14" t="n">
        <v>1607</v>
      </c>
      <c r="H64" s="14" t="n">
        <v>362</v>
      </c>
      <c r="I64" s="14" t="n">
        <v>1499</v>
      </c>
      <c r="J64" s="14" t="n">
        <v>7217</v>
      </c>
      <c r="K64" s="14" t="inlineStr">
        <is>
          <t>Q</t>
        </is>
      </c>
    </row>
    <row r="65">
      <c r="B65" s="17" t="inlineStr">
        <is>
          <t>Marine</t>
        </is>
      </c>
      <c r="C65" s="14" t="n">
        <v>2454</v>
      </c>
      <c r="D65" s="14" t="n">
        <v>2319</v>
      </c>
      <c r="E65" s="14" t="n">
        <v>458</v>
      </c>
      <c r="F65" s="14" t="inlineStr">
        <is>
          <t>Q</t>
        </is>
      </c>
      <c r="G65" s="14" t="n">
        <v>631</v>
      </c>
      <c r="H65" s="14" t="inlineStr">
        <is>
          <t>Q</t>
        </is>
      </c>
      <c r="I65" s="14" t="n">
        <v>581</v>
      </c>
      <c r="J65" s="14" t="n">
        <v>1495</v>
      </c>
      <c r="K65" s="14" t="inlineStr">
        <is>
          <t>Q</t>
        </is>
      </c>
    </row>
    <row r="66" ht="24" customHeight="1" s="100">
      <c r="B66" s="15" t="inlineStr">
        <is>
          <t>Number of floors</t>
        </is>
      </c>
      <c r="C66" s="15" t="n"/>
      <c r="D66" s="15" t="n"/>
      <c r="E66" s="15" t="n"/>
      <c r="F66" s="15" t="n"/>
      <c r="G66" s="15" t="n"/>
      <c r="H66" s="15" t="n"/>
      <c r="I66" s="15" t="n"/>
      <c r="J66" s="15" t="n"/>
      <c r="K66" s="15" t="n"/>
    </row>
    <row r="67">
      <c r="B67" s="17" t="inlineStr">
        <is>
          <t>One</t>
        </is>
      </c>
      <c r="C67" s="14" t="n">
        <v>39809</v>
      </c>
      <c r="D67" s="14" t="n">
        <v>34513</v>
      </c>
      <c r="E67" s="14" t="n">
        <v>4642</v>
      </c>
      <c r="F67" s="14" t="n">
        <v>4356</v>
      </c>
      <c r="G67" s="14" t="n">
        <v>8857</v>
      </c>
      <c r="H67" s="14" t="inlineStr">
        <is>
          <t>Q</t>
        </is>
      </c>
      <c r="I67" s="14" t="n">
        <v>4257</v>
      </c>
      <c r="J67" s="14" t="n">
        <v>24999</v>
      </c>
      <c r="K67" s="14" t="n">
        <v>1127</v>
      </c>
    </row>
    <row r="68">
      <c r="B68" s="17" t="inlineStr">
        <is>
          <t>Two</t>
        </is>
      </c>
      <c r="C68" s="14" t="n">
        <v>20206</v>
      </c>
      <c r="D68" s="14" t="n">
        <v>19411</v>
      </c>
      <c r="E68" s="14" t="n">
        <v>2844</v>
      </c>
      <c r="F68" s="14" t="n">
        <v>2518</v>
      </c>
      <c r="G68" s="14" t="n">
        <v>4987</v>
      </c>
      <c r="H68" s="14" t="inlineStr">
        <is>
          <t>Q</t>
        </is>
      </c>
      <c r="I68" s="14" t="n">
        <v>5762</v>
      </c>
      <c r="J68" s="14" t="n">
        <v>13422</v>
      </c>
      <c r="K68" s="14" t="n">
        <v>297</v>
      </c>
    </row>
    <row r="69">
      <c r="B69" s="17" t="inlineStr">
        <is>
          <t>Three</t>
        </is>
      </c>
      <c r="C69" s="14" t="n">
        <v>8140</v>
      </c>
      <c r="D69" s="14" t="n">
        <v>7896</v>
      </c>
      <c r="E69" s="14" t="n">
        <v>1229</v>
      </c>
      <c r="F69" s="14" t="n">
        <v>857</v>
      </c>
      <c r="G69" s="14" t="n">
        <v>2150</v>
      </c>
      <c r="H69" s="14" t="n">
        <v>544</v>
      </c>
      <c r="I69" s="14" t="n">
        <v>3667</v>
      </c>
      <c r="J69" s="14" t="n">
        <v>3918</v>
      </c>
      <c r="K69" s="14" t="inlineStr">
        <is>
          <t>Q</t>
        </is>
      </c>
    </row>
    <row r="70">
      <c r="B70" s="17" t="inlineStr">
        <is>
          <t>Four to nine</t>
        </is>
      </c>
      <c r="C70" s="14" t="n">
        <v>13535</v>
      </c>
      <c r="D70" s="14" t="n">
        <v>12992</v>
      </c>
      <c r="E70" s="14" t="n">
        <v>2089</v>
      </c>
      <c r="F70" s="14" t="n">
        <v>826</v>
      </c>
      <c r="G70" s="14" t="n">
        <v>3398</v>
      </c>
      <c r="H70" s="14" t="n">
        <v>2791</v>
      </c>
      <c r="I70" s="14" t="n">
        <v>6521</v>
      </c>
      <c r="J70" s="14" t="n">
        <v>5180</v>
      </c>
      <c r="K70" s="14" t="inlineStr">
        <is>
          <t>Q</t>
        </is>
      </c>
    </row>
    <row r="71">
      <c r="B71" s="17" t="inlineStr">
        <is>
          <t>Ten or more</t>
        </is>
      </c>
      <c r="C71" s="14" t="n">
        <v>5404</v>
      </c>
      <c r="D71" s="14" t="n">
        <v>5265</v>
      </c>
      <c r="E71" s="14" t="n">
        <v>1041</v>
      </c>
      <c r="F71" s="14" t="inlineStr">
        <is>
          <t>Q</t>
        </is>
      </c>
      <c r="G71" s="14" t="n">
        <v>1374</v>
      </c>
      <c r="H71" s="14" t="n">
        <v>1900</v>
      </c>
      <c r="I71" s="14" t="n">
        <v>2236</v>
      </c>
      <c r="J71" s="14" t="n">
        <v>1669</v>
      </c>
      <c r="K71" s="14" t="inlineStr">
        <is>
          <t>Q</t>
        </is>
      </c>
    </row>
    <row r="72" ht="24" customHeight="1" s="100">
      <c r="B72" s="15" t="inlineStr">
        <is>
          <t>Number of workers (main shift)</t>
        </is>
      </c>
      <c r="C72" s="21" t="n"/>
      <c r="D72" s="21" t="n"/>
      <c r="E72" s="21" t="n"/>
      <c r="F72" s="21" t="n"/>
      <c r="G72" s="21" t="n"/>
      <c r="H72" s="21" t="n"/>
      <c r="I72" s="21" t="n"/>
      <c r="J72" s="21" t="n"/>
      <c r="K72" s="21" t="n"/>
    </row>
    <row r="73" ht="15" customHeight="1" s="100">
      <c r="B73" s="17" t="inlineStr">
        <is>
          <t>Fewer than 5</t>
        </is>
      </c>
      <c r="C73" s="14" t="n">
        <v>17751</v>
      </c>
      <c r="D73" s="14" t="n">
        <v>12931</v>
      </c>
      <c r="E73" s="14" t="n">
        <v>1366</v>
      </c>
      <c r="F73" s="14" t="n">
        <v>1921</v>
      </c>
      <c r="G73" s="14" t="n">
        <v>3710</v>
      </c>
      <c r="H73" s="14" t="inlineStr">
        <is>
          <t>Q</t>
        </is>
      </c>
      <c r="I73" s="14" t="n">
        <v>1908</v>
      </c>
      <c r="J73" s="14" t="n">
        <v>6967</v>
      </c>
      <c r="K73" s="14" t="inlineStr">
        <is>
          <t>Q</t>
        </is>
      </c>
    </row>
    <row r="74" ht="15" customHeight="1" s="100">
      <c r="B74" s="17" t="inlineStr">
        <is>
          <t>5 to 9</t>
        </is>
      </c>
      <c r="C74" s="14" t="n">
        <v>8973</v>
      </c>
      <c r="D74" s="14" t="n">
        <v>8492</v>
      </c>
      <c r="E74" s="14" t="n">
        <v>1230</v>
      </c>
      <c r="F74" s="14" t="n">
        <v>1264</v>
      </c>
      <c r="G74" s="14" t="n">
        <v>2274</v>
      </c>
      <c r="H74" s="14" t="inlineStr">
        <is>
          <t>Q</t>
        </is>
      </c>
      <c r="I74" s="14" t="n">
        <v>982</v>
      </c>
      <c r="J74" s="14" t="n">
        <v>5320</v>
      </c>
      <c r="K74" s="14" t="inlineStr">
        <is>
          <t>Q</t>
        </is>
      </c>
    </row>
    <row r="75" ht="15" customHeight="1" s="100">
      <c r="B75" s="17" t="inlineStr">
        <is>
          <t>10 to 19</t>
        </is>
      </c>
      <c r="C75" s="14" t="n">
        <v>9623</v>
      </c>
      <c r="D75" s="14" t="n">
        <v>8970</v>
      </c>
      <c r="E75" s="14" t="n">
        <v>1234</v>
      </c>
      <c r="F75" s="14" t="n">
        <v>1758</v>
      </c>
      <c r="G75" s="14" t="n">
        <v>2219</v>
      </c>
      <c r="H75" s="14" t="inlineStr">
        <is>
          <t>Q</t>
        </is>
      </c>
      <c r="I75" s="14" t="n">
        <v>1219</v>
      </c>
      <c r="J75" s="14" t="n">
        <v>6041</v>
      </c>
      <c r="K75" s="14" t="inlineStr">
        <is>
          <t>Q</t>
        </is>
      </c>
    </row>
    <row r="76" ht="15" customHeight="1" s="100">
      <c r="B76" s="17" t="inlineStr">
        <is>
          <t>20 to 49</t>
        </is>
      </c>
      <c r="C76" s="14" t="n">
        <v>14514</v>
      </c>
      <c r="D76" s="14" t="n">
        <v>14126</v>
      </c>
      <c r="E76" s="14" t="n">
        <v>2268</v>
      </c>
      <c r="F76" s="14" t="n">
        <v>1678</v>
      </c>
      <c r="G76" s="14" t="n">
        <v>3752</v>
      </c>
      <c r="H76" s="14" t="n">
        <v>623</v>
      </c>
      <c r="I76" s="14" t="n">
        <v>3764</v>
      </c>
      <c r="J76" s="14" t="n">
        <v>9817</v>
      </c>
      <c r="K76" s="14" t="n">
        <v>448</v>
      </c>
    </row>
    <row r="77" ht="15" customHeight="1" s="100">
      <c r="B77" s="17" t="inlineStr">
        <is>
          <t>50 to 99</t>
        </is>
      </c>
      <c r="C77" s="14" t="n">
        <v>13476</v>
      </c>
      <c r="D77" s="14" t="n">
        <v>13184</v>
      </c>
      <c r="E77" s="14" t="n">
        <v>2409</v>
      </c>
      <c r="F77" s="14" t="n">
        <v>1278</v>
      </c>
      <c r="G77" s="14" t="n">
        <v>3323</v>
      </c>
      <c r="H77" s="14" t="n">
        <v>669</v>
      </c>
      <c r="I77" s="14" t="n">
        <v>4610</v>
      </c>
      <c r="J77" s="14" t="n">
        <v>9055</v>
      </c>
      <c r="K77" s="14" t="inlineStr">
        <is>
          <t>Q</t>
        </is>
      </c>
    </row>
    <row r="78" ht="15" customHeight="1" s="100">
      <c r="B78" s="17" t="inlineStr">
        <is>
          <t>100 to 249</t>
        </is>
      </c>
      <c r="C78" s="14" t="n">
        <v>10941</v>
      </c>
      <c r="D78" s="14" t="n">
        <v>10805</v>
      </c>
      <c r="E78" s="14" t="n">
        <v>1490</v>
      </c>
      <c r="F78" s="14" t="n">
        <v>387</v>
      </c>
      <c r="G78" s="14" t="n">
        <v>2390</v>
      </c>
      <c r="H78" s="14" t="n">
        <v>1096</v>
      </c>
      <c r="I78" s="14" t="n">
        <v>4938</v>
      </c>
      <c r="J78" s="14" t="n">
        <v>6596</v>
      </c>
      <c r="K78" s="14" t="n">
        <v>422</v>
      </c>
    </row>
    <row r="79" ht="15" customHeight="1" s="100">
      <c r="B79" s="17" t="inlineStr">
        <is>
          <t>250 or more</t>
        </is>
      </c>
      <c r="C79" s="14" t="n">
        <v>11815</v>
      </c>
      <c r="D79" s="14" t="n">
        <v>11570</v>
      </c>
      <c r="E79" s="14" t="n">
        <v>1849</v>
      </c>
      <c r="F79" s="14" t="n">
        <v>367</v>
      </c>
      <c r="G79" s="14" t="n">
        <v>3097</v>
      </c>
      <c r="H79" s="14" t="n">
        <v>3053</v>
      </c>
      <c r="I79" s="14" t="n">
        <v>5021</v>
      </c>
      <c r="J79" s="14" t="n">
        <v>5393</v>
      </c>
      <c r="K79" s="14" t="inlineStr">
        <is>
          <t>Q</t>
        </is>
      </c>
    </row>
    <row r="80" ht="24" customHeight="1" s="100">
      <c r="B80" s="15" t="inlineStr">
        <is>
          <t>Weekly operating hours</t>
        </is>
      </c>
      <c r="C80" s="21" t="n"/>
      <c r="D80" s="21" t="n"/>
      <c r="E80" s="21" t="n"/>
      <c r="F80" s="21" t="n"/>
      <c r="G80" s="21" t="n"/>
      <c r="H80" s="21" t="n"/>
      <c r="I80" s="21" t="n"/>
      <c r="J80" s="21" t="n"/>
      <c r="K80" s="21" t="n"/>
    </row>
    <row r="81" ht="15" customHeight="1" s="100">
      <c r="B81" s="17" t="inlineStr">
        <is>
          <t>Fewer than 40</t>
        </is>
      </c>
      <c r="C81" s="14" t="n">
        <v>8220</v>
      </c>
      <c r="D81" s="14" t="n">
        <v>5763</v>
      </c>
      <c r="E81" s="14" t="n">
        <v>617</v>
      </c>
      <c r="F81" s="14" t="n">
        <v>980</v>
      </c>
      <c r="G81" s="14" t="n">
        <v>1222</v>
      </c>
      <c r="H81" s="14" t="inlineStr">
        <is>
          <t>Q</t>
        </is>
      </c>
      <c r="I81" s="14" t="n">
        <v>1180</v>
      </c>
      <c r="J81" s="14" t="n">
        <v>3012</v>
      </c>
      <c r="K81" s="14" t="inlineStr">
        <is>
          <t>Q</t>
        </is>
      </c>
    </row>
    <row r="82" ht="15" customHeight="1" s="100">
      <c r="B82" s="17" t="inlineStr">
        <is>
          <t>40 to 48</t>
        </is>
      </c>
      <c r="C82" s="14" t="n">
        <v>15828</v>
      </c>
      <c r="D82" s="14" t="n">
        <v>14867</v>
      </c>
      <c r="E82" s="14" t="n">
        <v>2230</v>
      </c>
      <c r="F82" s="14" t="n">
        <v>2020</v>
      </c>
      <c r="G82" s="14" t="n">
        <v>3696</v>
      </c>
      <c r="H82" s="14" t="n">
        <v>403</v>
      </c>
      <c r="I82" s="14" t="n">
        <v>3907</v>
      </c>
      <c r="J82" s="14" t="n">
        <v>8633</v>
      </c>
      <c r="K82" s="14" t="inlineStr">
        <is>
          <t>Q</t>
        </is>
      </c>
    </row>
    <row r="83" ht="15" customHeight="1" s="100">
      <c r="B83" s="17" t="inlineStr">
        <is>
          <t>49 to 60</t>
        </is>
      </c>
      <c r="C83" s="14" t="n">
        <v>20529</v>
      </c>
      <c r="D83" s="14" t="n">
        <v>19365</v>
      </c>
      <c r="E83" s="14" t="n">
        <v>3183</v>
      </c>
      <c r="F83" s="14" t="n">
        <v>2268</v>
      </c>
      <c r="G83" s="14" t="n">
        <v>4971</v>
      </c>
      <c r="H83" s="14" t="n">
        <v>1099</v>
      </c>
      <c r="I83" s="14" t="n">
        <v>5496</v>
      </c>
      <c r="J83" s="14" t="n">
        <v>11950</v>
      </c>
      <c r="K83" s="14" t="inlineStr">
        <is>
          <t>Q</t>
        </is>
      </c>
    </row>
    <row r="84" ht="15" customHeight="1" s="100">
      <c r="B84" s="17" t="inlineStr">
        <is>
          <t>61 to 84</t>
        </is>
      </c>
      <c r="C84" s="14" t="n">
        <v>15867</v>
      </c>
      <c r="D84" s="14" t="n">
        <v>15148</v>
      </c>
      <c r="E84" s="14" t="n">
        <v>2427</v>
      </c>
      <c r="F84" s="14" t="n">
        <v>1262</v>
      </c>
      <c r="G84" s="14" t="n">
        <v>3999</v>
      </c>
      <c r="H84" s="14" t="n">
        <v>828</v>
      </c>
      <c r="I84" s="14" t="n">
        <v>3993</v>
      </c>
      <c r="J84" s="14" t="n">
        <v>10640</v>
      </c>
      <c r="K84" s="14" t="n">
        <v>443</v>
      </c>
    </row>
    <row r="85" ht="15" customHeight="1" s="100">
      <c r="B85" s="17" t="inlineStr">
        <is>
          <t>85 to 167</t>
        </is>
      </c>
      <c r="C85" s="14" t="n">
        <v>9395</v>
      </c>
      <c r="D85" s="14" t="n">
        <v>8711</v>
      </c>
      <c r="E85" s="14" t="n">
        <v>724</v>
      </c>
      <c r="F85" s="14" t="n">
        <v>878</v>
      </c>
      <c r="G85" s="14" t="n">
        <v>2183</v>
      </c>
      <c r="H85" s="14" t="n">
        <v>631</v>
      </c>
      <c r="I85" s="14" t="n">
        <v>2266</v>
      </c>
      <c r="J85" s="14" t="n">
        <v>6372</v>
      </c>
      <c r="K85" s="14" t="n">
        <v>364</v>
      </c>
    </row>
    <row r="86" ht="15" customHeight="1" s="100">
      <c r="B86" s="17" t="inlineStr">
        <is>
          <t>Open continuously</t>
        </is>
      </c>
      <c r="C86" s="14" t="n">
        <v>17253</v>
      </c>
      <c r="D86" s="14" t="n">
        <v>16224</v>
      </c>
      <c r="E86" s="14" t="n">
        <v>2666</v>
      </c>
      <c r="F86" s="14" t="n">
        <v>1246</v>
      </c>
      <c r="G86" s="14" t="n">
        <v>4696</v>
      </c>
      <c r="H86" s="14" t="n">
        <v>2792</v>
      </c>
      <c r="I86" s="14" t="n">
        <v>5601</v>
      </c>
      <c r="J86" s="14" t="n">
        <v>8582</v>
      </c>
      <c r="K86" s="14" t="inlineStr">
        <is>
          <t>Q</t>
        </is>
      </c>
    </row>
    <row r="87" ht="24" customHeight="1" s="100">
      <c r="B87" s="15" t="inlineStr">
        <is>
          <t>Ownership and occupancy</t>
        </is>
      </c>
      <c r="C87" s="21" t="n"/>
      <c r="D87" s="21" t="n"/>
      <c r="E87" s="21" t="n"/>
      <c r="F87" s="21" t="n"/>
      <c r="G87" s="21" t="n"/>
      <c r="H87" s="21" t="n"/>
      <c r="I87" s="21" t="n"/>
      <c r="J87" s="21" t="n"/>
      <c r="K87" s="21" t="n"/>
    </row>
    <row r="88" ht="15" customHeight="1" s="100">
      <c r="B88" s="17" t="inlineStr">
        <is>
          <t>Nongovernment owned</t>
        </is>
      </c>
      <c r="C88" s="14" t="n">
        <v>67550</v>
      </c>
      <c r="D88" s="14" t="n">
        <v>61341</v>
      </c>
      <c r="E88" s="14" t="n">
        <v>8500</v>
      </c>
      <c r="F88" s="14" t="n">
        <v>7472</v>
      </c>
      <c r="G88" s="14" t="n">
        <v>16206</v>
      </c>
      <c r="H88" s="14" t="n">
        <v>3119</v>
      </c>
      <c r="I88" s="14" t="n">
        <v>13405</v>
      </c>
      <c r="J88" s="14" t="n">
        <v>40336</v>
      </c>
      <c r="K88" s="14" t="n">
        <v>1316</v>
      </c>
    </row>
    <row r="89" ht="15" customHeight="1" s="100">
      <c r="B89" s="18" t="inlineStr">
        <is>
          <t>Owner occupied</t>
        </is>
      </c>
      <c r="C89" s="14" t="n">
        <v>30637</v>
      </c>
      <c r="D89" s="14" t="n">
        <v>28745</v>
      </c>
      <c r="E89" s="14" t="n">
        <v>3841</v>
      </c>
      <c r="F89" s="14" t="n">
        <v>3629</v>
      </c>
      <c r="G89" s="14" t="n">
        <v>7363</v>
      </c>
      <c r="H89" s="14" t="n">
        <v>1825</v>
      </c>
      <c r="I89" s="14" t="n">
        <v>6663</v>
      </c>
      <c r="J89" s="14" t="n">
        <v>17635</v>
      </c>
      <c r="K89" s="14" t="n">
        <v>214</v>
      </c>
    </row>
    <row r="90" ht="15" customHeight="1" s="100">
      <c r="B90" s="18" t="inlineStr">
        <is>
          <t>Leased to tenant(s)</t>
        </is>
      </c>
      <c r="C90" s="14" t="n">
        <v>26115</v>
      </c>
      <c r="D90" s="14" t="n">
        <v>23766</v>
      </c>
      <c r="E90" s="14" t="n">
        <v>3022</v>
      </c>
      <c r="F90" s="14" t="n">
        <v>2880</v>
      </c>
      <c r="G90" s="14" t="n">
        <v>6507</v>
      </c>
      <c r="H90" s="14" t="n">
        <v>730</v>
      </c>
      <c r="I90" s="14" t="n">
        <v>4091</v>
      </c>
      <c r="J90" s="14" t="n">
        <v>17239</v>
      </c>
      <c r="K90" s="14" t="n">
        <v>1021</v>
      </c>
    </row>
    <row r="91" ht="15" customHeight="1" s="100">
      <c r="B91" s="18" t="inlineStr">
        <is>
          <t>Owner occupied and leased</t>
        </is>
      </c>
      <c r="C91" s="14" t="n">
        <v>8873</v>
      </c>
      <c r="D91" s="14" t="n">
        <v>8328</v>
      </c>
      <c r="E91" s="14" t="n">
        <v>1597</v>
      </c>
      <c r="F91" s="14" t="n">
        <v>900</v>
      </c>
      <c r="G91" s="14" t="n">
        <v>2284</v>
      </c>
      <c r="H91" s="14" t="n">
        <v>557</v>
      </c>
      <c r="I91" s="14" t="n">
        <v>2590</v>
      </c>
      <c r="J91" s="14" t="n">
        <v>5102</v>
      </c>
      <c r="K91" s="14" t="inlineStr">
        <is>
          <t>Q</t>
        </is>
      </c>
    </row>
    <row r="92" ht="15" customHeight="1" s="100">
      <c r="B92" s="18" t="inlineStr">
        <is>
          <t>Unoccupied</t>
        </is>
      </c>
      <c r="C92" s="14" t="n">
        <v>1925</v>
      </c>
      <c r="D92" s="14" t="n">
        <v>502</v>
      </c>
      <c r="E92" s="14" t="inlineStr">
        <is>
          <t>Q</t>
        </is>
      </c>
      <c r="F92" s="14" t="inlineStr">
        <is>
          <t>Q</t>
        </is>
      </c>
      <c r="G92" s="14" t="inlineStr">
        <is>
          <t>Q</t>
        </is>
      </c>
      <c r="H92" s="14" t="inlineStr">
        <is>
          <t>Q</t>
        </is>
      </c>
      <c r="I92" s="14" t="inlineStr">
        <is>
          <t>Q</t>
        </is>
      </c>
      <c r="J92" s="14" t="n">
        <v>360</v>
      </c>
      <c r="K92" s="14" t="inlineStr">
        <is>
          <t>Q</t>
        </is>
      </c>
    </row>
    <row r="93" ht="15" customHeight="1" s="100">
      <c r="B93" s="17" t="inlineStr">
        <is>
          <t>Government owned</t>
        </is>
      </c>
      <c r="C93" s="14" t="n">
        <v>19543</v>
      </c>
      <c r="D93" s="14" t="n">
        <v>18736</v>
      </c>
      <c r="E93" s="14" t="n">
        <v>3346</v>
      </c>
      <c r="F93" s="14" t="n">
        <v>1182</v>
      </c>
      <c r="G93" s="14" t="n">
        <v>4561</v>
      </c>
      <c r="H93" s="14" t="n">
        <v>2807</v>
      </c>
      <c r="I93" s="14" t="n">
        <v>9038</v>
      </c>
      <c r="J93" s="14" t="n">
        <v>8852</v>
      </c>
      <c r="K93" s="14" t="inlineStr">
        <is>
          <t>Q</t>
        </is>
      </c>
    </row>
    <row r="94" ht="15" customHeight="1" s="100">
      <c r="B94" s="18" t="inlineStr">
        <is>
          <t>Federal</t>
        </is>
      </c>
      <c r="C94" s="14" t="n">
        <v>1573</v>
      </c>
      <c r="D94" s="14" t="n">
        <v>1557</v>
      </c>
      <c r="E94" s="14" t="n">
        <v>212</v>
      </c>
      <c r="F94" s="14" t="inlineStr">
        <is>
          <t>Q</t>
        </is>
      </c>
      <c r="G94" s="14" t="n">
        <v>558</v>
      </c>
      <c r="H94" s="14" t="n">
        <v>697</v>
      </c>
      <c r="I94" s="14" t="n">
        <v>471</v>
      </c>
      <c r="J94" s="14" t="n">
        <v>495</v>
      </c>
      <c r="K94" s="14" t="inlineStr">
        <is>
          <t>Q</t>
        </is>
      </c>
    </row>
    <row r="95" ht="15" customHeight="1" s="100">
      <c r="B95" s="18" t="inlineStr">
        <is>
          <t>State</t>
        </is>
      </c>
      <c r="C95" s="14" t="n">
        <v>5539</v>
      </c>
      <c r="D95" s="14" t="n">
        <v>5411</v>
      </c>
      <c r="E95" s="14" t="n">
        <v>636</v>
      </c>
      <c r="F95" s="14" t="n">
        <v>378</v>
      </c>
      <c r="G95" s="14" t="n">
        <v>1375</v>
      </c>
      <c r="H95" s="14" t="n">
        <v>1526</v>
      </c>
      <c r="I95" s="14" t="n">
        <v>2305</v>
      </c>
      <c r="J95" s="14" t="n">
        <v>2213</v>
      </c>
      <c r="K95" s="14" t="inlineStr">
        <is>
          <t>Q</t>
        </is>
      </c>
    </row>
    <row r="96" ht="15" customHeight="1" s="100">
      <c r="B96" s="18" t="inlineStr">
        <is>
          <t>Local</t>
        </is>
      </c>
      <c r="C96" s="14" t="n">
        <v>12431</v>
      </c>
      <c r="D96" s="14" t="n">
        <v>11768</v>
      </c>
      <c r="E96" s="14" t="n">
        <v>2497</v>
      </c>
      <c r="F96" s="14" t="n">
        <v>753</v>
      </c>
      <c r="G96" s="14" t="n">
        <v>2628</v>
      </c>
      <c r="H96" s="14" t="n">
        <v>584</v>
      </c>
      <c r="I96" s="14" t="n">
        <v>6263</v>
      </c>
      <c r="J96" s="14" t="n">
        <v>6144</v>
      </c>
      <c r="K96" s="14" t="inlineStr">
        <is>
          <t>Q</t>
        </is>
      </c>
    </row>
    <row r="97" ht="45.95" customHeight="1" s="100">
      <c r="B97" s="15" t="inlineStr">
        <is>
          <t>Party responsible for operation
and maintenance of energy
systems</t>
        </is>
      </c>
      <c r="C97" s="21" t="n"/>
      <c r="D97" s="21" t="n"/>
      <c r="E97" s="21" t="n"/>
      <c r="F97" s="21" t="n"/>
      <c r="G97" s="21" t="n"/>
      <c r="H97" s="21" t="n"/>
      <c r="I97" s="21" t="n"/>
      <c r="J97" s="21" t="n"/>
      <c r="K97" s="21" t="n"/>
    </row>
    <row r="98" ht="15" customHeight="1" s="100">
      <c r="B98" s="17" t="inlineStr">
        <is>
          <t>Building owner</t>
        </is>
      </c>
      <c r="C98" s="14" t="n">
        <v>73702</v>
      </c>
      <c r="D98" s="14" t="n">
        <v>67644</v>
      </c>
      <c r="E98" s="14" t="n">
        <v>10210</v>
      </c>
      <c r="F98" s="14" t="n">
        <v>7076</v>
      </c>
      <c r="G98" s="14" t="n">
        <v>17425</v>
      </c>
      <c r="H98" s="14" t="n">
        <v>5737</v>
      </c>
      <c r="I98" s="14" t="n">
        <v>20588</v>
      </c>
      <c r="J98" s="14" t="n">
        <v>39517</v>
      </c>
      <c r="K98" s="14" t="n">
        <v>1008</v>
      </c>
    </row>
    <row r="99" ht="15" customHeight="1" s="100">
      <c r="B99" s="17" t="inlineStr">
        <is>
          <t>Business owner or tenant</t>
        </is>
      </c>
      <c r="C99" s="14" t="n">
        <v>11309</v>
      </c>
      <c r="D99" s="14" t="n">
        <v>10534</v>
      </c>
      <c r="E99" s="14" t="n">
        <v>1240</v>
      </c>
      <c r="F99" s="14" t="n">
        <v>1325</v>
      </c>
      <c r="G99" s="14" t="n">
        <v>2895</v>
      </c>
      <c r="H99" s="14" t="inlineStr">
        <is>
          <t>Q</t>
        </is>
      </c>
      <c r="I99" s="14" t="n">
        <v>1363</v>
      </c>
      <c r="J99" s="14" t="n">
        <v>8598</v>
      </c>
      <c r="K99" s="14" t="n">
        <v>549</v>
      </c>
    </row>
    <row r="100" ht="15" customHeight="1" s="100">
      <c r="B100" s="17" t="inlineStr">
        <is>
          <t>Property management</t>
        </is>
      </c>
      <c r="C100" s="14" t="n">
        <v>1250</v>
      </c>
      <c r="D100" s="14" t="n">
        <v>1073</v>
      </c>
      <c r="E100" s="14" t="inlineStr">
        <is>
          <t>Q</t>
        </is>
      </c>
      <c r="F100" s="14" t="inlineStr">
        <is>
          <t>Q</t>
        </is>
      </c>
      <c r="G100" s="14" t="n">
        <v>227</v>
      </c>
      <c r="H100" s="14" t="inlineStr">
        <is>
          <t>Q</t>
        </is>
      </c>
      <c r="I100" s="14" t="n">
        <v>273</v>
      </c>
      <c r="J100" s="14" t="n">
        <v>652</v>
      </c>
      <c r="K100" s="14" t="inlineStr">
        <is>
          <t>Q</t>
        </is>
      </c>
    </row>
    <row r="101" ht="15" customHeight="1" s="100">
      <c r="B101" s="17" t="inlineStr">
        <is>
          <t>Other</t>
        </is>
      </c>
      <c r="C101" s="14" t="n">
        <v>832</v>
      </c>
      <c r="D101" s="14" t="n">
        <v>826</v>
      </c>
      <c r="E101" s="14" t="inlineStr">
        <is>
          <t>Q</t>
        </is>
      </c>
      <c r="F101" s="14" t="inlineStr">
        <is>
          <t>Q</t>
        </is>
      </c>
      <c r="G101" s="14" t="inlineStr">
        <is>
          <t>Q</t>
        </is>
      </c>
      <c r="H101" s="14" t="inlineStr">
        <is>
          <t>Q</t>
        </is>
      </c>
      <c r="I101" s="14" t="n">
        <v>219</v>
      </c>
      <c r="J101" s="14" t="n">
        <v>422</v>
      </c>
      <c r="K101" s="14" t="inlineStr">
        <is>
          <t>N</t>
        </is>
      </c>
    </row>
    <row r="102" ht="33.95" customHeight="1" s="100">
      <c r="B102" s="15" t="inlineStr">
        <is>
          <t>Provider of direct input on energy-related equipment purchases</t>
        </is>
      </c>
      <c r="C102" s="21" t="n"/>
      <c r="D102" s="21" t="n"/>
      <c r="E102" s="21" t="n"/>
      <c r="F102" s="21" t="n"/>
      <c r="G102" s="21" t="n"/>
      <c r="H102" s="21" t="n"/>
      <c r="I102" s="21" t="n"/>
      <c r="J102" s="21" t="n"/>
      <c r="K102" s="21" t="n"/>
    </row>
    <row r="103" ht="15" customHeight="1" s="100">
      <c r="B103" s="17" t="inlineStr">
        <is>
          <t>Building owner</t>
        </is>
      </c>
      <c r="C103" s="22" t="n">
        <v>76271</v>
      </c>
      <c r="D103" s="22" t="n">
        <v>70099</v>
      </c>
      <c r="E103" s="22" t="n">
        <v>10579</v>
      </c>
      <c r="F103" s="22" t="n">
        <v>7554</v>
      </c>
      <c r="G103" s="22" t="n">
        <v>17932</v>
      </c>
      <c r="H103" s="22" t="n">
        <v>5694</v>
      </c>
      <c r="I103" s="22" t="n">
        <v>20908</v>
      </c>
      <c r="J103" s="22" t="n">
        <v>41565</v>
      </c>
      <c r="K103" s="22" t="n">
        <v>1041</v>
      </c>
    </row>
    <row r="104" ht="15" customHeight="1" s="100">
      <c r="B104" s="17" t="inlineStr">
        <is>
          <t>Business owner or tenant</t>
        </is>
      </c>
      <c r="C104" s="14" t="n">
        <v>8256</v>
      </c>
      <c r="D104" s="14" t="n">
        <v>7685</v>
      </c>
      <c r="E104" s="14" t="n">
        <v>800</v>
      </c>
      <c r="F104" s="14" t="n">
        <v>812</v>
      </c>
      <c r="G104" s="14" t="n">
        <v>2297</v>
      </c>
      <c r="H104" s="14" t="inlineStr">
        <is>
          <t>Q</t>
        </is>
      </c>
      <c r="I104" s="14" t="n">
        <v>1058</v>
      </c>
      <c r="J104" s="14" t="n">
        <v>6096</v>
      </c>
      <c r="K104" s="14" t="n">
        <v>366</v>
      </c>
    </row>
    <row r="105" ht="15" customHeight="1" s="100">
      <c r="B105" s="17" t="inlineStr">
        <is>
          <t>Property management</t>
        </is>
      </c>
      <c r="C105" s="14" t="n">
        <v>880</v>
      </c>
      <c r="D105" s="14" t="n">
        <v>722</v>
      </c>
      <c r="E105" s="14" t="inlineStr">
        <is>
          <t>Q</t>
        </is>
      </c>
      <c r="F105" s="14" t="inlineStr">
        <is>
          <t>Q</t>
        </is>
      </c>
      <c r="G105" s="14" t="n">
        <v>201</v>
      </c>
      <c r="H105" s="14" t="inlineStr">
        <is>
          <t>Q</t>
        </is>
      </c>
      <c r="I105" s="14" t="inlineStr">
        <is>
          <t>Q</t>
        </is>
      </c>
      <c r="J105" s="14" t="n">
        <v>469</v>
      </c>
      <c r="K105" s="14" t="inlineStr">
        <is>
          <t>Q</t>
        </is>
      </c>
    </row>
    <row r="106" ht="15" customHeight="1" s="100">
      <c r="B106" s="17" t="inlineStr">
        <is>
          <t>Other</t>
        </is>
      </c>
      <c r="C106" s="14" t="n">
        <v>1686</v>
      </c>
      <c r="D106" s="14" t="n">
        <v>1571</v>
      </c>
      <c r="E106" s="14" t="n">
        <v>369</v>
      </c>
      <c r="F106" s="14" t="inlineStr">
        <is>
          <t>Q</t>
        </is>
      </c>
      <c r="G106" s="14" t="n">
        <v>337</v>
      </c>
      <c r="H106" s="14" t="inlineStr">
        <is>
          <t>Q</t>
        </is>
      </c>
      <c r="I106" s="14" t="n">
        <v>301</v>
      </c>
      <c r="J106" s="14" t="n">
        <v>1058</v>
      </c>
      <c r="K106" s="14" t="inlineStr">
        <is>
          <t>Q</t>
        </is>
      </c>
    </row>
    <row r="107" ht="24" customHeight="1" s="100">
      <c r="B107" s="15" t="inlineStr">
        <is>
          <t>Campus or complex activity</t>
        </is>
      </c>
      <c r="C107" s="16" t="n"/>
      <c r="D107" s="16" t="n"/>
      <c r="E107" s="16" t="n"/>
      <c r="F107" s="16" t="n"/>
      <c r="G107" s="16" t="n"/>
      <c r="H107" s="16" t="n"/>
      <c r="I107" s="16" t="n"/>
      <c r="J107" s="16" t="n"/>
      <c r="K107" s="16" t="n"/>
    </row>
    <row r="108" ht="15" customHeight="1" s="100">
      <c r="B108" s="17" t="inlineStr">
        <is>
          <t>Not part of a campus or complex</t>
        </is>
      </c>
      <c r="C108" s="14" t="n">
        <v>52275</v>
      </c>
      <c r="D108" s="14" t="n">
        <v>48779</v>
      </c>
      <c r="E108" s="14" t="n">
        <v>6741</v>
      </c>
      <c r="F108" s="14" t="n">
        <v>5649</v>
      </c>
      <c r="G108" s="14" t="n">
        <v>12576</v>
      </c>
      <c r="H108" s="14" t="n">
        <v>960</v>
      </c>
      <c r="I108" s="14" t="n">
        <v>13400</v>
      </c>
      <c r="J108" s="14" t="n">
        <v>32001</v>
      </c>
      <c r="K108" s="14" t="n">
        <v>828</v>
      </c>
    </row>
    <row r="109" ht="15" customHeight="1" s="100">
      <c r="B109" s="17" t="inlineStr">
        <is>
          <t>Primary or secondary school</t>
        </is>
      </c>
      <c r="C109" s="14" t="n">
        <v>4616</v>
      </c>
      <c r="D109" s="14" t="n">
        <v>4486</v>
      </c>
      <c r="E109" s="14" t="n">
        <v>986</v>
      </c>
      <c r="F109" s="14" t="n">
        <v>344</v>
      </c>
      <c r="G109" s="14" t="n">
        <v>647</v>
      </c>
      <c r="H109" s="14" t="inlineStr">
        <is>
          <t>Q</t>
        </is>
      </c>
      <c r="I109" s="14" t="n">
        <v>1979</v>
      </c>
      <c r="J109" s="14" t="n">
        <v>2868</v>
      </c>
      <c r="K109" s="14" t="inlineStr">
        <is>
          <t>Q</t>
        </is>
      </c>
    </row>
    <row r="110" ht="15" customHeight="1" s="100">
      <c r="B110" s="17" t="inlineStr">
        <is>
          <t>College or university</t>
        </is>
      </c>
      <c r="C110" s="14" t="n">
        <v>4068</v>
      </c>
      <c r="D110" s="14" t="n">
        <v>4008</v>
      </c>
      <c r="E110" s="14" t="n">
        <v>379</v>
      </c>
      <c r="F110" s="14" t="inlineStr">
        <is>
          <t>Q</t>
        </is>
      </c>
      <c r="G110" s="14" t="n">
        <v>574</v>
      </c>
      <c r="H110" s="14" t="n">
        <v>2185</v>
      </c>
      <c r="I110" s="14" t="n">
        <v>1163</v>
      </c>
      <c r="J110" s="14" t="n">
        <v>758</v>
      </c>
      <c r="K110" s="14" t="inlineStr">
        <is>
          <t>Q</t>
        </is>
      </c>
    </row>
    <row r="111" ht="15" customHeight="1" s="100">
      <c r="B111" s="17" t="inlineStr">
        <is>
          <t>Office complex</t>
        </is>
      </c>
      <c r="C111" s="14" t="n">
        <v>3456</v>
      </c>
      <c r="D111" s="14" t="n">
        <v>3377</v>
      </c>
      <c r="E111" s="14" t="n">
        <v>681</v>
      </c>
      <c r="F111" s="14" t="n">
        <v>208</v>
      </c>
      <c r="G111" s="14" t="n">
        <v>699</v>
      </c>
      <c r="H111" s="14" t="inlineStr">
        <is>
          <t>Q</t>
        </is>
      </c>
      <c r="I111" s="14" t="n">
        <v>894</v>
      </c>
      <c r="J111" s="14" t="n">
        <v>1754</v>
      </c>
      <c r="K111" s="14" t="inlineStr">
        <is>
          <t>Q</t>
        </is>
      </c>
    </row>
    <row r="112" ht="15" customHeight="1" s="100">
      <c r="B112" s="17" t="inlineStr">
        <is>
          <t>Retail complex</t>
        </is>
      </c>
      <c r="C112" s="14" t="n">
        <v>5159</v>
      </c>
      <c r="D112" s="14" t="n">
        <v>4805</v>
      </c>
      <c r="E112" s="14" t="n">
        <v>675</v>
      </c>
      <c r="F112" s="14" t="n">
        <v>668</v>
      </c>
      <c r="G112" s="14" t="n">
        <v>1508</v>
      </c>
      <c r="H112" s="14" t="inlineStr">
        <is>
          <t>N</t>
        </is>
      </c>
      <c r="I112" s="14" t="n">
        <v>516</v>
      </c>
      <c r="J112" s="14" t="n">
        <v>4330</v>
      </c>
      <c r="K112" s="14" t="n">
        <v>598</v>
      </c>
    </row>
    <row r="113" ht="15" customHeight="1" s="100">
      <c r="B113" s="17" t="inlineStr">
        <is>
          <t>Storage complex</t>
        </is>
      </c>
      <c r="C113" s="14" t="n">
        <v>3212</v>
      </c>
      <c r="D113" s="14" t="n">
        <v>1285</v>
      </c>
      <c r="E113" s="14" t="inlineStr">
        <is>
          <t>Q</t>
        </is>
      </c>
      <c r="F113" s="14" t="inlineStr">
        <is>
          <t>Q</t>
        </is>
      </c>
      <c r="G113" s="14" t="n">
        <v>560</v>
      </c>
      <c r="H113" s="14" t="inlineStr">
        <is>
          <t>N</t>
        </is>
      </c>
      <c r="I113" s="14" t="inlineStr">
        <is>
          <t>Q</t>
        </is>
      </c>
      <c r="J113" s="14" t="n">
        <v>691</v>
      </c>
      <c r="K113" s="14" t="inlineStr">
        <is>
          <t>N</t>
        </is>
      </c>
    </row>
    <row r="114" ht="15" customHeight="1" s="100">
      <c r="B114" s="17" t="inlineStr">
        <is>
          <t>Religious campus or complex</t>
        </is>
      </c>
      <c r="C114" s="14" t="n">
        <v>1932</v>
      </c>
      <c r="D114" s="14" t="n">
        <v>1896</v>
      </c>
      <c r="E114" s="14" t="n">
        <v>207</v>
      </c>
      <c r="F114" s="14" t="n">
        <v>308</v>
      </c>
      <c r="G114" s="14" t="n">
        <v>242</v>
      </c>
      <c r="H114" s="14" t="inlineStr">
        <is>
          <t>Q</t>
        </is>
      </c>
      <c r="I114" s="14" t="n">
        <v>565</v>
      </c>
      <c r="J114" s="14" t="n">
        <v>1152</v>
      </c>
      <c r="K114" s="14" t="inlineStr">
        <is>
          <t>N</t>
        </is>
      </c>
    </row>
    <row r="115" ht="15" customHeight="1" s="100">
      <c r="B115" s="17" t="inlineStr">
        <is>
          <t>Health care complex</t>
        </is>
      </c>
      <c r="C115" s="14" t="n">
        <v>3362</v>
      </c>
      <c r="D115" s="14" t="n">
        <v>3296</v>
      </c>
      <c r="E115" s="14" t="n">
        <v>592</v>
      </c>
      <c r="F115" s="14" t="n">
        <v>250</v>
      </c>
      <c r="G115" s="14" t="n">
        <v>882</v>
      </c>
      <c r="H115" s="14" t="n">
        <v>968</v>
      </c>
      <c r="I115" s="14" t="n">
        <v>1668</v>
      </c>
      <c r="J115" s="14" t="n">
        <v>1509</v>
      </c>
      <c r="K115" s="14" t="inlineStr">
        <is>
          <t>Q</t>
        </is>
      </c>
    </row>
    <row r="116" ht="15" customHeight="1" s="100">
      <c r="B116" s="17" t="inlineStr">
        <is>
          <t>Lodging or resort complex</t>
        </is>
      </c>
      <c r="C116" s="14" t="n">
        <v>1295</v>
      </c>
      <c r="D116" s="14" t="n">
        <v>1181</v>
      </c>
      <c r="E116" s="14" t="n">
        <v>255</v>
      </c>
      <c r="F116" s="14" t="inlineStr">
        <is>
          <t>Q</t>
        </is>
      </c>
      <c r="G116" s="14" t="n">
        <v>456</v>
      </c>
      <c r="H116" s="14" t="inlineStr">
        <is>
          <t>Q</t>
        </is>
      </c>
      <c r="I116" s="14" t="n">
        <v>350</v>
      </c>
      <c r="J116" s="14" t="n">
        <v>383</v>
      </c>
      <c r="K116" s="14" t="inlineStr">
        <is>
          <t>N</t>
        </is>
      </c>
    </row>
    <row r="117" ht="15" customHeight="1" s="100">
      <c r="B117" s="17" t="inlineStr">
        <is>
          <t>Transportation complex</t>
        </is>
      </c>
      <c r="C117" s="14" t="n">
        <v>554</v>
      </c>
      <c r="D117" s="14" t="n">
        <v>496</v>
      </c>
      <c r="E117" s="14" t="inlineStr">
        <is>
          <t>Q</t>
        </is>
      </c>
      <c r="F117" s="14" t="inlineStr">
        <is>
          <t>Q</t>
        </is>
      </c>
      <c r="G117" s="14" t="n">
        <v>282</v>
      </c>
      <c r="H117" s="14" t="inlineStr">
        <is>
          <t>Q</t>
        </is>
      </c>
      <c r="I117" s="14" t="inlineStr">
        <is>
          <t>Q</t>
        </is>
      </c>
      <c r="J117" s="14" t="n">
        <v>233</v>
      </c>
      <c r="K117" s="14" t="inlineStr">
        <is>
          <t>N</t>
        </is>
      </c>
    </row>
    <row r="118" ht="15" customHeight="1" s="100">
      <c r="B118" s="17" t="inlineStr">
        <is>
          <t>Government complex</t>
        </is>
      </c>
      <c r="C118" s="14" t="n">
        <v>2107</v>
      </c>
      <c r="D118" s="14" t="n">
        <v>1992</v>
      </c>
      <c r="E118" s="14" t="n">
        <v>259</v>
      </c>
      <c r="F118" s="14" t="inlineStr">
        <is>
          <t>Q</t>
        </is>
      </c>
      <c r="G118" s="14" t="n">
        <v>872</v>
      </c>
      <c r="H118" s="14" t="n">
        <v>720</v>
      </c>
      <c r="I118" s="14" t="n">
        <v>715</v>
      </c>
      <c r="J118" s="14" t="n">
        <v>711</v>
      </c>
      <c r="K118" s="14" t="inlineStr">
        <is>
          <t>Q</t>
        </is>
      </c>
    </row>
    <row r="119" ht="15" customHeight="1" s="100">
      <c r="B119" s="17" t="inlineStr">
        <is>
          <t>Other</t>
        </is>
      </c>
      <c r="C119" s="14" t="n">
        <v>5057</v>
      </c>
      <c r="D119" s="14" t="n">
        <v>4478</v>
      </c>
      <c r="E119" s="14" t="n">
        <v>876</v>
      </c>
      <c r="F119" s="14" t="n">
        <v>769</v>
      </c>
      <c r="G119" s="14" t="n">
        <v>1468</v>
      </c>
      <c r="H119" s="14" t="inlineStr">
        <is>
          <t>Q</t>
        </is>
      </c>
      <c r="I119" s="14" t="n">
        <v>915</v>
      </c>
      <c r="J119" s="14" t="n">
        <v>2799</v>
      </c>
      <c r="K119" s="14" t="inlineStr">
        <is>
          <t>Q</t>
        </is>
      </c>
    </row>
    <row r="120" ht="44.2" customHeight="1" s="100">
      <c r="B120" s="15" t="inlineStr">
        <is>
          <t>Renovations in buildings
constructed before 2008
(more than one may apply)</t>
        </is>
      </c>
      <c r="C120" s="21" t="n"/>
      <c r="D120" s="21" t="n"/>
      <c r="E120" s="21" t="n"/>
      <c r="F120" s="21" t="n"/>
      <c r="G120" s="21" t="n"/>
      <c r="H120" s="21" t="n"/>
      <c r="I120" s="21" t="n"/>
      <c r="J120" s="21" t="n"/>
      <c r="K120" s="21" t="n"/>
    </row>
    <row r="121" ht="15" customHeight="1" s="100">
      <c r="B121" s="17" t="inlineStr">
        <is>
          <t>Any type of renovation</t>
        </is>
      </c>
      <c r="C121" s="14" t="n">
        <v>42216</v>
      </c>
      <c r="D121" s="14" t="n">
        <v>40692</v>
      </c>
      <c r="E121" s="14" t="n">
        <v>6295</v>
      </c>
      <c r="F121" s="14" t="n">
        <v>4399</v>
      </c>
      <c r="G121" s="14" t="n">
        <v>12371</v>
      </c>
      <c r="H121" s="14" t="n">
        <v>3964</v>
      </c>
      <c r="I121" s="14" t="n">
        <v>13377</v>
      </c>
      <c r="J121" s="14" t="n">
        <v>25179</v>
      </c>
      <c r="K121" s="14" t="n">
        <v>783</v>
      </c>
    </row>
    <row r="122" ht="15" customHeight="1" s="100">
      <c r="B122" s="18" t="inlineStr">
        <is>
          <t>Addition or annex</t>
        </is>
      </c>
      <c r="C122" s="14" t="n">
        <v>13022</v>
      </c>
      <c r="D122" s="14" t="n">
        <v>12822</v>
      </c>
      <c r="E122" s="14" t="n">
        <v>2127</v>
      </c>
      <c r="F122" s="14" t="n">
        <v>1526</v>
      </c>
      <c r="G122" s="14" t="n">
        <v>3745</v>
      </c>
      <c r="H122" s="14" t="n">
        <v>1254</v>
      </c>
      <c r="I122" s="14" t="n">
        <v>5423</v>
      </c>
      <c r="J122" s="14" t="n">
        <v>8320</v>
      </c>
      <c r="K122" s="14" t="inlineStr">
        <is>
          <t>Q</t>
        </is>
      </c>
    </row>
    <row r="123" ht="15" customHeight="1" s="100">
      <c r="B123" s="18" t="inlineStr">
        <is>
          <t>Reduction in floorspace</t>
        </is>
      </c>
      <c r="C123" s="14" t="n">
        <v>1753</v>
      </c>
      <c r="D123" s="14" t="n">
        <v>1659</v>
      </c>
      <c r="E123" s="14" t="n">
        <v>303</v>
      </c>
      <c r="F123" s="14" t="inlineStr">
        <is>
          <t>Q</t>
        </is>
      </c>
      <c r="G123" s="14" t="n">
        <v>519</v>
      </c>
      <c r="H123" s="14" t="inlineStr">
        <is>
          <t>Q</t>
        </is>
      </c>
      <c r="I123" s="14" t="n">
        <v>381</v>
      </c>
      <c r="J123" s="14" t="n">
        <v>991</v>
      </c>
      <c r="K123" s="14" t="inlineStr">
        <is>
          <t>Q</t>
        </is>
      </c>
    </row>
    <row r="124" ht="15" customHeight="1" s="100">
      <c r="B124" s="18" t="inlineStr">
        <is>
          <t>Roof replacement</t>
        </is>
      </c>
      <c r="C124" s="14" t="n">
        <v>20917</v>
      </c>
      <c r="D124" s="14" t="n">
        <v>20344</v>
      </c>
      <c r="E124" s="14" t="n">
        <v>3033</v>
      </c>
      <c r="F124" s="14" t="n">
        <v>2181</v>
      </c>
      <c r="G124" s="14" t="n">
        <v>6534</v>
      </c>
      <c r="H124" s="14" t="n">
        <v>2010</v>
      </c>
      <c r="I124" s="14" t="n">
        <v>8067</v>
      </c>
      <c r="J124" s="14" t="n">
        <v>12038</v>
      </c>
      <c r="K124" s="14" t="n">
        <v>381</v>
      </c>
    </row>
    <row r="125" ht="15" customHeight="1" s="100">
      <c r="B125" s="18" t="inlineStr">
        <is>
          <t>Exterior wall replacement</t>
        </is>
      </c>
      <c r="C125" s="14" t="n">
        <v>4230</v>
      </c>
      <c r="D125" s="14" t="n">
        <v>4136</v>
      </c>
      <c r="E125" s="14" t="n">
        <v>751</v>
      </c>
      <c r="F125" s="14" t="n">
        <v>466</v>
      </c>
      <c r="G125" s="14" t="n">
        <v>1361</v>
      </c>
      <c r="H125" s="14" t="n">
        <v>353</v>
      </c>
      <c r="I125" s="14" t="n">
        <v>1463</v>
      </c>
      <c r="J125" s="14" t="n">
        <v>2706</v>
      </c>
      <c r="K125" s="14" t="inlineStr">
        <is>
          <t>Q</t>
        </is>
      </c>
    </row>
    <row r="126" ht="15" customHeight="1" s="100">
      <c r="B126" s="18" t="inlineStr">
        <is>
          <t>Interior wall reconfiguration</t>
        </is>
      </c>
      <c r="C126" s="14" t="n">
        <v>21340</v>
      </c>
      <c r="D126" s="14" t="n">
        <v>20750</v>
      </c>
      <c r="E126" s="14" t="n">
        <v>3207</v>
      </c>
      <c r="F126" s="14" t="n">
        <v>2233</v>
      </c>
      <c r="G126" s="14" t="n">
        <v>6598</v>
      </c>
      <c r="H126" s="14" t="n">
        <v>2571</v>
      </c>
      <c r="I126" s="14" t="n">
        <v>6940</v>
      </c>
      <c r="J126" s="14" t="n">
        <v>13025</v>
      </c>
      <c r="K126" s="14" t="n">
        <v>313</v>
      </c>
    </row>
    <row r="127" ht="15" customHeight="1" s="100">
      <c r="B127" s="18" t="inlineStr">
        <is>
          <t>Window replacement</t>
        </is>
      </c>
      <c r="C127" s="14" t="n">
        <v>12265</v>
      </c>
      <c r="D127" s="14" t="n">
        <v>12011</v>
      </c>
      <c r="E127" s="14" t="n">
        <v>1850</v>
      </c>
      <c r="F127" s="14" t="n">
        <v>1377</v>
      </c>
      <c r="G127" s="14" t="n">
        <v>3770</v>
      </c>
      <c r="H127" s="14" t="n">
        <v>1431</v>
      </c>
      <c r="I127" s="14" t="n">
        <v>4758</v>
      </c>
      <c r="J127" s="14" t="n">
        <v>6742</v>
      </c>
      <c r="K127" s="14" t="inlineStr">
        <is>
          <t>Q</t>
        </is>
      </c>
    </row>
    <row r="128" ht="15" customHeight="1" s="100">
      <c r="B128" s="18" t="inlineStr">
        <is>
          <t>HVAC equipment upgrade</t>
        </is>
      </c>
      <c r="C128" s="14" t="n">
        <v>26779</v>
      </c>
      <c r="D128" s="14" t="n">
        <v>26066</v>
      </c>
      <c r="E128" s="14" t="n">
        <v>4440</v>
      </c>
      <c r="F128" s="14" t="n">
        <v>3075</v>
      </c>
      <c r="G128" s="14" t="n">
        <v>8259</v>
      </c>
      <c r="H128" s="14" t="n">
        <v>2986</v>
      </c>
      <c r="I128" s="14" t="n">
        <v>9286</v>
      </c>
      <c r="J128" s="14" t="n">
        <v>16158</v>
      </c>
      <c r="K128" s="14" t="n">
        <v>499</v>
      </c>
    </row>
    <row r="129" ht="15" customHeight="1" s="100">
      <c r="B129" s="18" t="inlineStr">
        <is>
          <t>Lighting upgrade</t>
        </is>
      </c>
      <c r="C129" s="14" t="n">
        <v>25503</v>
      </c>
      <c r="D129" s="14" t="n">
        <v>24896</v>
      </c>
      <c r="E129" s="14" t="n">
        <v>3933</v>
      </c>
      <c r="F129" s="14" t="n">
        <v>2514</v>
      </c>
      <c r="G129" s="14" t="n">
        <v>8132</v>
      </c>
      <c r="H129" s="14" t="n">
        <v>3037</v>
      </c>
      <c r="I129" s="14" t="n">
        <v>8908</v>
      </c>
      <c r="J129" s="14" t="n">
        <v>15008</v>
      </c>
      <c r="K129" s="14" t="n">
        <v>492</v>
      </c>
    </row>
    <row r="130" ht="15" customHeight="1" s="100">
      <c r="B130" s="18" t="inlineStr">
        <is>
          <t>Electrical upgrade</t>
        </is>
      </c>
      <c r="C130" s="14" t="n">
        <v>16160</v>
      </c>
      <c r="D130" s="14" t="n">
        <v>15661</v>
      </c>
      <c r="E130" s="14" t="n">
        <v>2772</v>
      </c>
      <c r="F130" s="14" t="n">
        <v>1773</v>
      </c>
      <c r="G130" s="14" t="n">
        <v>5398</v>
      </c>
      <c r="H130" s="14" t="n">
        <v>2032</v>
      </c>
      <c r="I130" s="14" t="n">
        <v>5693</v>
      </c>
      <c r="J130" s="14" t="n">
        <v>9467</v>
      </c>
      <c r="K130" s="14" t="inlineStr">
        <is>
          <t>Q</t>
        </is>
      </c>
    </row>
    <row r="131" ht="15" customHeight="1" s="100">
      <c r="B131" s="18" t="inlineStr">
        <is>
          <t>Plumbing system upgrade</t>
        </is>
      </c>
      <c r="C131" s="14" t="n">
        <v>13828</v>
      </c>
      <c r="D131" s="14" t="n">
        <v>13537</v>
      </c>
      <c r="E131" s="14" t="n">
        <v>2344</v>
      </c>
      <c r="F131" s="14" t="n">
        <v>1500</v>
      </c>
      <c r="G131" s="14" t="n">
        <v>4666</v>
      </c>
      <c r="H131" s="14" t="n">
        <v>1724</v>
      </c>
      <c r="I131" s="14" t="n">
        <v>4987</v>
      </c>
      <c r="J131" s="14" t="n">
        <v>8052</v>
      </c>
      <c r="K131" s="14" t="inlineStr">
        <is>
          <t>Q</t>
        </is>
      </c>
    </row>
    <row r="132" ht="15" customHeight="1" s="100">
      <c r="B132" s="18" t="inlineStr">
        <is>
          <t>Insulation upgrade</t>
        </is>
      </c>
      <c r="C132" s="14" t="n">
        <v>7607</v>
      </c>
      <c r="D132" s="14" t="n">
        <v>7371</v>
      </c>
      <c r="E132" s="14" t="n">
        <v>1450</v>
      </c>
      <c r="F132" s="14" t="n">
        <v>1172</v>
      </c>
      <c r="G132" s="14" t="n">
        <v>2509</v>
      </c>
      <c r="H132" s="14" t="n">
        <v>1070</v>
      </c>
      <c r="I132" s="14" t="n">
        <v>2421</v>
      </c>
      <c r="J132" s="14" t="n">
        <v>4417</v>
      </c>
      <c r="K132" s="14" t="inlineStr">
        <is>
          <t>Q</t>
        </is>
      </c>
    </row>
    <row r="133" ht="15" customHeight="1" s="100">
      <c r="B133" s="18" t="inlineStr">
        <is>
          <t>Fire, safety, or security upgrade</t>
        </is>
      </c>
      <c r="C133" s="14" t="n">
        <v>17196</v>
      </c>
      <c r="D133" s="14" t="n">
        <v>16676</v>
      </c>
      <c r="E133" s="14" t="n">
        <v>3139</v>
      </c>
      <c r="F133" s="14" t="n">
        <v>1736</v>
      </c>
      <c r="G133" s="14" t="n">
        <v>5566</v>
      </c>
      <c r="H133" s="14" t="n">
        <v>2073</v>
      </c>
      <c r="I133" s="14" t="n">
        <v>6630</v>
      </c>
      <c r="J133" s="14" t="n">
        <v>9806</v>
      </c>
      <c r="K133" s="14" t="inlineStr">
        <is>
          <t>Q</t>
        </is>
      </c>
    </row>
    <row r="134" ht="15" customHeight="1" s="100">
      <c r="B134" s="18" t="inlineStr">
        <is>
          <t>Structural upgrade</t>
        </is>
      </c>
      <c r="C134" s="14" t="n">
        <v>3913</v>
      </c>
      <c r="D134" s="14" t="n">
        <v>3864</v>
      </c>
      <c r="E134" s="14" t="n">
        <v>836</v>
      </c>
      <c r="F134" s="14" t="n">
        <v>449</v>
      </c>
      <c r="G134" s="14" t="n">
        <v>1043</v>
      </c>
      <c r="H134" s="14" t="n">
        <v>697</v>
      </c>
      <c r="I134" s="14" t="n">
        <v>1208</v>
      </c>
      <c r="J134" s="14" t="n">
        <v>2317</v>
      </c>
      <c r="K134" s="14" t="inlineStr">
        <is>
          <t>Q</t>
        </is>
      </c>
    </row>
    <row r="135" ht="15" customHeight="1" s="100">
      <c r="B135" s="18" t="inlineStr">
        <is>
          <t>Other</t>
        </is>
      </c>
      <c r="C135" s="14" t="n">
        <v>848</v>
      </c>
      <c r="D135" s="14" t="n">
        <v>751</v>
      </c>
      <c r="E135" s="14" t="inlineStr">
        <is>
          <t>Q</t>
        </is>
      </c>
      <c r="F135" s="14" t="inlineStr">
        <is>
          <t>Q</t>
        </is>
      </c>
      <c r="G135" s="14" t="n">
        <v>411</v>
      </c>
      <c r="H135" s="14" t="inlineStr">
        <is>
          <t>Q</t>
        </is>
      </c>
      <c r="I135" s="14" t="inlineStr">
        <is>
          <t>Q</t>
        </is>
      </c>
      <c r="J135" s="14" t="n">
        <v>388</v>
      </c>
      <c r="K135" s="14" t="inlineStr">
        <is>
          <t>Q</t>
        </is>
      </c>
    </row>
    <row r="136" ht="15" customHeight="1" s="100">
      <c r="B136" s="17" t="inlineStr">
        <is>
          <t>No renovations</t>
        </is>
      </c>
      <c r="C136" s="14" t="n">
        <v>39154</v>
      </c>
      <c r="D136" s="14" t="n">
        <v>33880</v>
      </c>
      <c r="E136" s="14" t="n">
        <v>4725</v>
      </c>
      <c r="F136" s="14" t="n">
        <v>3813</v>
      </c>
      <c r="G136" s="14" t="n">
        <v>7447</v>
      </c>
      <c r="H136" s="14" t="n">
        <v>1770</v>
      </c>
      <c r="I136" s="14" t="n">
        <v>7763</v>
      </c>
      <c r="J136" s="14" t="n">
        <v>20268</v>
      </c>
      <c r="K136" s="14" t="n">
        <v>723</v>
      </c>
    </row>
    <row r="137" ht="15" customHeight="1" s="100">
      <c r="B137" s="23" t="inlineStr">
        <is>
          <t>Buildings constructed 2008 or later</t>
        </is>
      </c>
      <c r="C137" s="24" t="n">
        <v>5723</v>
      </c>
      <c r="D137" s="24" t="n">
        <v>5505</v>
      </c>
      <c r="E137" s="24" t="n">
        <v>826</v>
      </c>
      <c r="F137" s="24" t="n">
        <v>442</v>
      </c>
      <c r="G137" s="24" t="n">
        <v>948</v>
      </c>
      <c r="H137" s="24" t="inlineStr">
        <is>
          <t>Q</t>
        </is>
      </c>
      <c r="I137" s="24" t="n">
        <v>1303</v>
      </c>
      <c r="J137" s="24" t="n">
        <v>3741</v>
      </c>
      <c r="K137" s="24" t="inlineStr">
        <is>
          <t>Q</t>
        </is>
      </c>
    </row>
    <row r="138" ht="33.95" customHeight="1" s="100">
      <c r="B138" s="41" t="inlineStr">
        <is>
          <t>Energy sources 
(more than one may apply)</t>
        </is>
      </c>
      <c r="C138" s="42" t="n"/>
      <c r="D138" s="42" t="n"/>
      <c r="E138" s="42" t="n"/>
      <c r="F138" s="42" t="n"/>
      <c r="G138" s="42" t="n"/>
      <c r="H138" s="42" t="n"/>
      <c r="I138" s="42" t="n"/>
      <c r="J138" s="42" t="n"/>
      <c r="K138" s="42" t="n"/>
    </row>
    <row r="139" ht="15" customHeight="1" s="100">
      <c r="B139" s="23" t="inlineStr">
        <is>
          <t>Electricity</t>
        </is>
      </c>
      <c r="C139" s="24" t="n">
        <v>84869</v>
      </c>
      <c r="D139" s="24" t="n">
        <v>80053</v>
      </c>
      <c r="E139" s="24" t="n">
        <v>11846</v>
      </c>
      <c r="F139" s="24" t="n">
        <v>8654</v>
      </c>
      <c r="G139" s="24" t="n">
        <v>20751</v>
      </c>
      <c r="H139" s="24" t="n">
        <v>5925</v>
      </c>
      <c r="I139" s="24" t="n">
        <v>22438</v>
      </c>
      <c r="J139" s="24" t="n">
        <v>49188</v>
      </c>
      <c r="K139" s="24" t="n">
        <v>1570</v>
      </c>
    </row>
    <row r="140" ht="15" customHeight="1" s="100">
      <c r="B140" s="23" t="inlineStr">
        <is>
          <t>Natural gas</t>
        </is>
      </c>
      <c r="C140" s="24" t="n">
        <v>58725</v>
      </c>
      <c r="D140" s="24" t="n">
        <v>58129</v>
      </c>
      <c r="E140" s="24" t="n">
        <v>7560</v>
      </c>
      <c r="F140" s="24" t="n">
        <v>7046</v>
      </c>
      <c r="G140" s="24" t="n">
        <v>15808</v>
      </c>
      <c r="H140" s="24" t="n">
        <v>2833</v>
      </c>
      <c r="I140" s="24" t="n">
        <v>20019</v>
      </c>
      <c r="J140" s="24" t="n">
        <v>37569</v>
      </c>
      <c r="K140" s="24" t="n">
        <v>1194</v>
      </c>
    </row>
    <row r="141" ht="15" customHeight="1" s="100">
      <c r="B141" s="23" t="inlineStr">
        <is>
          <t>Fuel oil</t>
        </is>
      </c>
      <c r="C141" s="24" t="n">
        <v>20200</v>
      </c>
      <c r="D141" s="24" t="n">
        <v>19670</v>
      </c>
      <c r="E141" s="24" t="n">
        <v>3047</v>
      </c>
      <c r="F141" s="24" t="n">
        <v>870</v>
      </c>
      <c r="G141" s="24" t="n">
        <v>5874</v>
      </c>
      <c r="H141" s="24" t="n">
        <v>3088</v>
      </c>
      <c r="I141" s="24" t="n">
        <v>9340</v>
      </c>
      <c r="J141" s="24" t="n">
        <v>9580</v>
      </c>
      <c r="K141" s="24" t="inlineStr">
        <is>
          <t>Q</t>
        </is>
      </c>
    </row>
    <row r="142" ht="15" customHeight="1" s="100">
      <c r="B142" s="23" t="inlineStr">
        <is>
          <t>District heat</t>
        </is>
      </c>
      <c r="C142" s="24" t="n">
        <v>5964</v>
      </c>
      <c r="D142" s="24" t="n">
        <v>5962</v>
      </c>
      <c r="E142" s="24" t="n">
        <v>556</v>
      </c>
      <c r="F142" s="24" t="inlineStr">
        <is>
          <t>Q</t>
        </is>
      </c>
      <c r="G142" s="24" t="n">
        <v>1354</v>
      </c>
      <c r="H142" s="24" t="n">
        <v>5925</v>
      </c>
      <c r="I142" s="24" t="inlineStr">
        <is>
          <t>Q</t>
        </is>
      </c>
      <c r="J142" s="24" t="n">
        <v>742</v>
      </c>
      <c r="K142" s="24" t="inlineStr">
        <is>
          <t>Q</t>
        </is>
      </c>
    </row>
    <row r="143" ht="15" customHeight="1" s="100">
      <c r="B143" s="23" t="inlineStr">
        <is>
          <t>District chilled water</t>
        </is>
      </c>
      <c r="C143" s="24" t="n">
        <v>4608</v>
      </c>
      <c r="D143" s="24" t="n">
        <v>4561</v>
      </c>
      <c r="E143" s="24" t="n">
        <v>325</v>
      </c>
      <c r="F143" s="24" t="inlineStr">
        <is>
          <t>Q</t>
        </is>
      </c>
      <c r="G143" s="24" t="n">
        <v>888</v>
      </c>
      <c r="H143" s="24" t="n">
        <v>3718</v>
      </c>
      <c r="I143" s="24" t="n">
        <v>582</v>
      </c>
      <c r="J143" s="24" t="n">
        <v>756</v>
      </c>
      <c r="K143" s="24" t="inlineStr">
        <is>
          <t>Q</t>
        </is>
      </c>
    </row>
    <row r="144" ht="15" customHeight="1" s="100">
      <c r="B144" s="23" t="inlineStr">
        <is>
          <t>Propane</t>
        </is>
      </c>
      <c r="C144" s="24" t="n">
        <v>7706</v>
      </c>
      <c r="D144" s="24" t="n">
        <v>7332</v>
      </c>
      <c r="E144" s="24" t="n">
        <v>884</v>
      </c>
      <c r="F144" s="24" t="n">
        <v>757</v>
      </c>
      <c r="G144" s="24" t="n">
        <v>2742</v>
      </c>
      <c r="H144" s="24" t="inlineStr">
        <is>
          <t>Q</t>
        </is>
      </c>
      <c r="I144" s="24" t="n">
        <v>1772</v>
      </c>
      <c r="J144" s="24" t="n">
        <v>4689</v>
      </c>
      <c r="K144" s="24" t="n">
        <v>277</v>
      </c>
    </row>
    <row r="145" ht="15" customHeight="1" s="100">
      <c r="B145" s="23" t="inlineStr">
        <is>
          <t>Other</t>
        </is>
      </c>
      <c r="C145" s="24" t="n">
        <v>3826</v>
      </c>
      <c r="D145" s="24" t="n">
        <v>3826</v>
      </c>
      <c r="E145" s="24" t="n">
        <v>544</v>
      </c>
      <c r="F145" s="24" t="n">
        <v>429</v>
      </c>
      <c r="G145" s="24" t="n">
        <v>1353</v>
      </c>
      <c r="H145" s="24" t="n">
        <v>335</v>
      </c>
      <c r="I145" s="24" t="n">
        <v>1411</v>
      </c>
      <c r="J145" s="24" t="n">
        <v>2348</v>
      </c>
      <c r="K145" s="24" t="inlineStr">
        <is>
          <t>Q</t>
        </is>
      </c>
    </row>
    <row r="146" ht="33.95" customHeight="1" s="100">
      <c r="B146" s="15" t="inlineStr">
        <is>
          <t>Space-heating energy sources
(more than one may apply)</t>
        </is>
      </c>
      <c r="C146" s="21" t="n"/>
      <c r="D146" s="21" t="n"/>
      <c r="E146" s="21" t="n"/>
      <c r="F146" s="21" t="n"/>
      <c r="G146" s="21" t="n"/>
      <c r="H146" s="21" t="n"/>
      <c r="I146" s="21" t="n"/>
      <c r="J146" s="21" t="n"/>
      <c r="K146" s="21" t="n"/>
    </row>
    <row r="147" ht="15" customHeight="1" s="100">
      <c r="B147" s="17" t="inlineStr">
        <is>
          <t>Electricity</t>
        </is>
      </c>
      <c r="C147" s="14" t="n">
        <v>49030</v>
      </c>
      <c r="D147" s="14" t="n">
        <v>49030</v>
      </c>
      <c r="E147" s="14" t="n">
        <v>11482</v>
      </c>
      <c r="F147" s="14" t="n">
        <v>5040</v>
      </c>
      <c r="G147" s="14" t="n">
        <v>16235</v>
      </c>
      <c r="H147" s="14" t="n">
        <v>1869</v>
      </c>
      <c r="I147" s="14" t="n">
        <v>10721</v>
      </c>
      <c r="J147" s="14" t="n">
        <v>35389</v>
      </c>
      <c r="K147" s="14" t="n">
        <v>1352</v>
      </c>
    </row>
    <row r="148" ht="15" customHeight="1" s="100">
      <c r="B148" s="17" t="inlineStr">
        <is>
          <t>Natural gas</t>
        </is>
      </c>
      <c r="C148" s="14" t="n">
        <v>49511</v>
      </c>
      <c r="D148" s="14" t="n">
        <v>49511</v>
      </c>
      <c r="E148" s="14" t="n">
        <v>5928</v>
      </c>
      <c r="F148" s="14" t="n">
        <v>6837</v>
      </c>
      <c r="G148" s="14" t="n">
        <v>13893</v>
      </c>
      <c r="H148" s="14" t="n">
        <v>350</v>
      </c>
      <c r="I148" s="14" t="n">
        <v>18893</v>
      </c>
      <c r="J148" s="14" t="n">
        <v>32966</v>
      </c>
      <c r="K148" s="14" t="n">
        <v>1094</v>
      </c>
    </row>
    <row r="149" ht="15" customHeight="1" s="100">
      <c r="B149" s="17" t="inlineStr">
        <is>
          <t>Fuel oil</t>
        </is>
      </c>
      <c r="C149" s="14" t="n">
        <v>4351</v>
      </c>
      <c r="D149" s="14" t="n">
        <v>4351</v>
      </c>
      <c r="E149" s="14" t="n">
        <v>527</v>
      </c>
      <c r="F149" s="14" t="n">
        <v>183</v>
      </c>
      <c r="G149" s="14" t="n">
        <v>1648</v>
      </c>
      <c r="H149" s="14" t="inlineStr">
        <is>
          <t>Q</t>
        </is>
      </c>
      <c r="I149" s="14" t="n">
        <v>2556</v>
      </c>
      <c r="J149" s="14" t="n">
        <v>1746</v>
      </c>
      <c r="K149" s="14" t="inlineStr">
        <is>
          <t>Q</t>
        </is>
      </c>
    </row>
    <row r="150" ht="15" customHeight="1" s="100">
      <c r="B150" s="17" t="inlineStr">
        <is>
          <t>District heat</t>
        </is>
      </c>
      <c r="C150" s="14" t="n">
        <v>5925</v>
      </c>
      <c r="D150" s="14" t="n">
        <v>5925</v>
      </c>
      <c r="E150" s="14" t="n">
        <v>556</v>
      </c>
      <c r="F150" s="14" t="inlineStr">
        <is>
          <t>Q</t>
        </is>
      </c>
      <c r="G150" s="14" t="n">
        <v>1334</v>
      </c>
      <c r="H150" s="14" t="n">
        <v>5925</v>
      </c>
      <c r="I150" s="14" t="inlineStr">
        <is>
          <t>Q</t>
        </is>
      </c>
      <c r="J150" s="14" t="n">
        <v>725</v>
      </c>
      <c r="K150" s="14" t="inlineStr">
        <is>
          <t>Q</t>
        </is>
      </c>
    </row>
    <row r="151" ht="15" customHeight="1" s="100">
      <c r="B151" s="17" t="inlineStr">
        <is>
          <t>Propane</t>
        </is>
      </c>
      <c r="C151" s="14" t="n">
        <v>3067</v>
      </c>
      <c r="D151" s="14" t="n">
        <v>3067</v>
      </c>
      <c r="E151" s="14" t="n">
        <v>385</v>
      </c>
      <c r="F151" s="14" t="n">
        <v>481</v>
      </c>
      <c r="G151" s="14" t="n">
        <v>1217</v>
      </c>
      <c r="H151" s="14" t="inlineStr">
        <is>
          <t>Q</t>
        </is>
      </c>
      <c r="I151" s="14" t="n">
        <v>565</v>
      </c>
      <c r="J151" s="14" t="n">
        <v>1963</v>
      </c>
      <c r="K151" s="14" t="inlineStr">
        <is>
          <t>Q</t>
        </is>
      </c>
    </row>
    <row r="152" ht="15" customHeight="1" s="100" thickBot="1">
      <c r="B152" s="23" t="inlineStr">
        <is>
          <t>Other</t>
        </is>
      </c>
      <c r="C152" s="24" t="n">
        <v>1010</v>
      </c>
      <c r="D152" s="24" t="n">
        <v>1010</v>
      </c>
      <c r="E152" s="24" t="inlineStr">
        <is>
          <t>Q</t>
        </is>
      </c>
      <c r="F152" s="24" t="inlineStr">
        <is>
          <t>Q</t>
        </is>
      </c>
      <c r="G152" s="24" t="n">
        <v>590</v>
      </c>
      <c r="H152" s="24" t="inlineStr">
        <is>
          <t>Q</t>
        </is>
      </c>
      <c r="I152" s="24" t="inlineStr">
        <is>
          <t>Q</t>
        </is>
      </c>
      <c r="J152" s="24" t="n">
        <v>411</v>
      </c>
      <c r="K152" s="24" t="inlineStr">
        <is>
          <t>Q</t>
        </is>
      </c>
    </row>
    <row r="153" ht="33.95" customHeight="1" s="100">
      <c r="B153" s="25" t="inlineStr">
        <is>
          <t>Primary space-heating
energy source</t>
        </is>
      </c>
      <c r="C153" s="26" t="n"/>
      <c r="D153" s="26" t="n"/>
      <c r="E153" s="26" t="n"/>
      <c r="F153" s="26" t="n"/>
      <c r="G153" s="26" t="n"/>
      <c r="H153" s="26" t="n"/>
      <c r="I153" s="26" t="n"/>
      <c r="J153" s="26" t="n"/>
      <c r="K153" s="27" t="n"/>
    </row>
    <row r="154" ht="15" customHeight="1" s="100">
      <c r="B154" s="28" t="inlineStr">
        <is>
          <t>Electricity</t>
        </is>
      </c>
      <c r="C154" s="29" t="n">
        <v>26205</v>
      </c>
      <c r="D154" s="29" t="n">
        <v>26205</v>
      </c>
      <c r="E154" s="29" t="n">
        <v>7215</v>
      </c>
      <c r="F154" s="29" t="n">
        <v>2270</v>
      </c>
      <c r="G154" s="29" t="n">
        <v>6035</v>
      </c>
      <c r="H154" s="29" t="inlineStr">
        <is>
          <t>Q</t>
        </is>
      </c>
      <c r="I154" s="29" t="n">
        <v>2982</v>
      </c>
      <c r="J154" s="29" t="n">
        <v>18523</v>
      </c>
      <c r="K154" s="30" t="n">
        <v>447</v>
      </c>
    </row>
    <row r="155" ht="15" customHeight="1" s="100">
      <c r="B155" s="28" t="inlineStr">
        <is>
          <t>Natural gas</t>
        </is>
      </c>
      <c r="C155" s="29" t="n">
        <v>42988</v>
      </c>
      <c r="D155" s="29" t="n">
        <v>42988</v>
      </c>
      <c r="E155" s="29" t="n">
        <v>3792</v>
      </c>
      <c r="F155" s="29" t="n">
        <v>5778</v>
      </c>
      <c r="G155" s="29" t="n">
        <v>11482</v>
      </c>
      <c r="H155" s="29" t="inlineStr">
        <is>
          <t>Q</t>
        </is>
      </c>
      <c r="I155" s="29" t="n">
        <v>17437</v>
      </c>
      <c r="J155" s="29" t="n">
        <v>27826</v>
      </c>
      <c r="K155" s="30" t="n">
        <v>873</v>
      </c>
    </row>
    <row r="156" ht="15" customHeight="1" s="100">
      <c r="B156" s="28" t="inlineStr">
        <is>
          <t>Fuel oil</t>
        </is>
      </c>
      <c r="C156" s="29" t="n">
        <v>2542</v>
      </c>
      <c r="D156" s="29" t="n">
        <v>2542</v>
      </c>
      <c r="E156" s="29" t="inlineStr">
        <is>
          <t>Q</t>
        </is>
      </c>
      <c r="F156" s="29" t="inlineStr">
        <is>
          <t>Q</t>
        </is>
      </c>
      <c r="G156" s="29" t="n">
        <v>1008</v>
      </c>
      <c r="H156" s="29" t="inlineStr">
        <is>
          <t>Q</t>
        </is>
      </c>
      <c r="I156" s="29" t="n">
        <v>1504</v>
      </c>
      <c r="J156" s="29" t="n">
        <v>757</v>
      </c>
      <c r="K156" s="30" t="inlineStr">
        <is>
          <t>Q</t>
        </is>
      </c>
    </row>
    <row r="157" ht="15" customHeight="1" s="100">
      <c r="B157" s="28" t="inlineStr">
        <is>
          <t>District heat</t>
        </is>
      </c>
      <c r="C157" s="29" t="n">
        <v>5797</v>
      </c>
      <c r="D157" s="29" t="n">
        <v>5797</v>
      </c>
      <c r="E157" s="29" t="n">
        <v>464</v>
      </c>
      <c r="F157" s="29" t="inlineStr">
        <is>
          <t>Q</t>
        </is>
      </c>
      <c r="G157" s="29" t="n">
        <v>1271</v>
      </c>
      <c r="H157" s="29" t="n">
        <v>5797</v>
      </c>
      <c r="I157" s="29" t="inlineStr">
        <is>
          <t>Q</t>
        </is>
      </c>
      <c r="J157" s="29" t="n">
        <v>650</v>
      </c>
      <c r="K157" s="30" t="inlineStr">
        <is>
          <t>Q</t>
        </is>
      </c>
    </row>
    <row r="158" ht="15" customHeight="1" s="100">
      <c r="B158" s="28" t="inlineStr">
        <is>
          <t>Propane</t>
        </is>
      </c>
      <c r="C158" s="29" t="n">
        <v>1948</v>
      </c>
      <c r="D158" s="29" t="n">
        <v>1948</v>
      </c>
      <c r="E158" s="29" t="inlineStr">
        <is>
          <t>Q</t>
        </is>
      </c>
      <c r="F158" s="29" t="n">
        <v>405</v>
      </c>
      <c r="G158" s="29" t="n">
        <v>666</v>
      </c>
      <c r="H158" s="29" t="inlineStr">
        <is>
          <t>N</t>
        </is>
      </c>
      <c r="I158" s="29" t="n">
        <v>276</v>
      </c>
      <c r="J158" s="29" t="n">
        <v>1193</v>
      </c>
      <c r="K158" s="30" t="inlineStr">
        <is>
          <t>Q</t>
        </is>
      </c>
    </row>
    <row r="159" ht="15" customHeight="1" s="100" thickBot="1">
      <c r="B159" s="31" t="inlineStr">
        <is>
          <t>Other</t>
        </is>
      </c>
      <c r="C159" s="32" t="n">
        <v>598</v>
      </c>
      <c r="D159" s="32" t="n">
        <v>598</v>
      </c>
      <c r="E159" s="32" t="inlineStr">
        <is>
          <t>Q</t>
        </is>
      </c>
      <c r="F159" s="32" t="inlineStr">
        <is>
          <t>Q</t>
        </is>
      </c>
      <c r="G159" s="32" t="n">
        <v>305</v>
      </c>
      <c r="H159" s="32" t="inlineStr">
        <is>
          <t>N</t>
        </is>
      </c>
      <c r="I159" s="32" t="inlineStr">
        <is>
          <t>Q</t>
        </is>
      </c>
      <c r="J159" s="32" t="inlineStr">
        <is>
          <t>Q</t>
        </is>
      </c>
      <c r="K159" s="33" t="inlineStr">
        <is>
          <t>Q</t>
        </is>
      </c>
    </row>
    <row r="160" ht="33.95" customHeight="1" s="100">
      <c r="B160" s="15" t="inlineStr">
        <is>
          <t>Energy end uses 
(more than one may apply)</t>
        </is>
      </c>
      <c r="C160" s="21" t="n"/>
      <c r="D160" s="21" t="n"/>
      <c r="E160" s="21" t="n"/>
      <c r="F160" s="21" t="n"/>
      <c r="G160" s="21" t="n"/>
      <c r="H160" s="21" t="n"/>
      <c r="I160" s="21" t="n"/>
      <c r="J160" s="21" t="n"/>
      <c r="K160" s="21" t="n"/>
    </row>
    <row r="161" ht="15" customHeight="1" s="100">
      <c r="B161" s="17" t="inlineStr">
        <is>
          <t>Buildings with space heating</t>
        </is>
      </c>
      <c r="C161" s="14" t="n">
        <v>80078</v>
      </c>
      <c r="D161" s="14" t="n">
        <v>80078</v>
      </c>
      <c r="E161" s="14" t="n">
        <v>11846</v>
      </c>
      <c r="F161" s="14" t="n">
        <v>8654</v>
      </c>
      <c r="G161" s="14" t="n">
        <v>20766</v>
      </c>
      <c r="H161" s="14" t="n">
        <v>5925</v>
      </c>
      <c r="I161" s="14" t="n">
        <v>22443</v>
      </c>
      <c r="J161" s="14" t="n">
        <v>49188</v>
      </c>
      <c r="K161" s="14" t="n">
        <v>1574</v>
      </c>
    </row>
    <row r="162" ht="15" customHeight="1" s="100">
      <c r="B162" s="17" t="inlineStr">
        <is>
          <t>Buildings with cooling</t>
        </is>
      </c>
      <c r="C162" s="14" t="n">
        <v>79294</v>
      </c>
      <c r="D162" s="14" t="n">
        <v>76834</v>
      </c>
      <c r="E162" s="14" t="n">
        <v>11772</v>
      </c>
      <c r="F162" s="14" t="n">
        <v>8514</v>
      </c>
      <c r="G162" s="14" t="n">
        <v>19159</v>
      </c>
      <c r="H162" s="14" t="n">
        <v>5864</v>
      </c>
      <c r="I162" s="14" t="n">
        <v>21579</v>
      </c>
      <c r="J162" s="14" t="n">
        <v>48053</v>
      </c>
      <c r="K162" s="14" t="n">
        <v>1534</v>
      </c>
    </row>
    <row r="163" ht="15" customHeight="1" s="100">
      <c r="B163" s="17" t="inlineStr">
        <is>
          <t>Buildings with water heating</t>
        </is>
      </c>
      <c r="C163" s="14" t="n">
        <v>79015</v>
      </c>
      <c r="D163" s="14" t="n">
        <v>76584</v>
      </c>
      <c r="E163" s="14" t="n">
        <v>11576</v>
      </c>
      <c r="F163" s="14" t="n">
        <v>8420</v>
      </c>
      <c r="G163" s="14" t="n">
        <v>19548</v>
      </c>
      <c r="H163" s="14" t="n">
        <v>5783</v>
      </c>
      <c r="I163" s="14" t="n">
        <v>22020</v>
      </c>
      <c r="J163" s="14" t="n">
        <v>47297</v>
      </c>
      <c r="K163" s="14" t="n">
        <v>1532</v>
      </c>
    </row>
    <row r="164" ht="15" customHeight="1" s="100">
      <c r="B164" s="17" t="inlineStr">
        <is>
          <t>Buildings with cooking</t>
        </is>
      </c>
      <c r="C164" s="14" t="n">
        <v>38546</v>
      </c>
      <c r="D164" s="14" t="n">
        <v>37771</v>
      </c>
      <c r="E164" s="14" t="n">
        <v>6592</v>
      </c>
      <c r="F164" s="14" t="n">
        <v>4005</v>
      </c>
      <c r="G164" s="14" t="n">
        <v>9590</v>
      </c>
      <c r="H164" s="14" t="n">
        <v>3116</v>
      </c>
      <c r="I164" s="14" t="n">
        <v>14847</v>
      </c>
      <c r="J164" s="14" t="n">
        <v>23131</v>
      </c>
      <c r="K164" s="14" t="n">
        <v>1306</v>
      </c>
    </row>
    <row r="165" ht="15" customHeight="1" s="100">
      <c r="B165" s="17" t="inlineStr">
        <is>
          <t>Buildings with manufacturing</t>
        </is>
      </c>
      <c r="C165" s="14" t="n">
        <v>5078</v>
      </c>
      <c r="D165" s="14" t="n">
        <v>4790</v>
      </c>
      <c r="E165" s="14" t="n">
        <v>596</v>
      </c>
      <c r="F165" s="14" t="n">
        <v>671</v>
      </c>
      <c r="G165" s="14" t="n">
        <v>2219</v>
      </c>
      <c r="H165" s="14" t="inlineStr">
        <is>
          <t>Q</t>
        </is>
      </c>
      <c r="I165" s="14" t="n">
        <v>795</v>
      </c>
      <c r="J165" s="14" t="n">
        <v>3538</v>
      </c>
      <c r="K165" s="14" t="inlineStr">
        <is>
          <t>Q</t>
        </is>
      </c>
    </row>
    <row r="166" ht="27.95" customHeight="1" s="100">
      <c r="B166" s="17" t="inlineStr">
        <is>
          <t>Buildings with electricity
generation</t>
        </is>
      </c>
      <c r="C166" s="14" t="n">
        <v>25642</v>
      </c>
      <c r="D166" s="14" t="n">
        <v>25155</v>
      </c>
      <c r="E166" s="14" t="n">
        <v>4035</v>
      </c>
      <c r="F166" s="14" t="n">
        <v>1414</v>
      </c>
      <c r="G166" s="14" t="n">
        <v>6857</v>
      </c>
      <c r="H166" s="14" t="n">
        <v>3710</v>
      </c>
      <c r="I166" s="14" t="n">
        <v>11356</v>
      </c>
      <c r="J166" s="14" t="n">
        <v>13943</v>
      </c>
      <c r="K166" s="14" t="n">
        <v>626</v>
      </c>
    </row>
    <row r="167" ht="24" customHeight="1" s="100">
      <c r="B167" s="15" t="inlineStr">
        <is>
          <t>Percent of floorspace heated</t>
        </is>
      </c>
      <c r="C167" s="21" t="n"/>
      <c r="D167" s="21" t="n"/>
      <c r="E167" s="21" t="n"/>
      <c r="F167" s="21" t="n"/>
      <c r="G167" s="21" t="n"/>
      <c r="H167" s="21" t="n"/>
      <c r="I167" s="21" t="n"/>
      <c r="J167" s="21" t="n"/>
      <c r="K167" s="21" t="n"/>
    </row>
    <row r="168" ht="15" customHeight="1" s="100">
      <c r="B168" s="17" t="inlineStr">
        <is>
          <t>Not heated</t>
        </is>
      </c>
      <c r="C168" s="14" t="n">
        <v>7015</v>
      </c>
      <c r="D168" s="14" t="inlineStr">
        <is>
          <t>N</t>
        </is>
      </c>
      <c r="E168" s="14" t="inlineStr">
        <is>
          <t>N</t>
        </is>
      </c>
      <c r="F168" s="14" t="inlineStr">
        <is>
          <t>N</t>
        </is>
      </c>
      <c r="G168" s="14" t="inlineStr">
        <is>
          <t>N</t>
        </is>
      </c>
      <c r="H168" s="14" t="inlineStr">
        <is>
          <t>N</t>
        </is>
      </c>
      <c r="I168" s="14" t="inlineStr">
        <is>
          <t>N</t>
        </is>
      </c>
      <c r="J168" s="14" t="inlineStr">
        <is>
          <t>N</t>
        </is>
      </c>
      <c r="K168" s="14" t="inlineStr">
        <is>
          <t>N</t>
        </is>
      </c>
    </row>
    <row r="169" ht="15" customHeight="1" s="100">
      <c r="B169" s="17" t="inlineStr">
        <is>
          <t>1 to 50</t>
        </is>
      </c>
      <c r="C169" s="14" t="n">
        <v>10130</v>
      </c>
      <c r="D169" s="14" t="n">
        <v>10130</v>
      </c>
      <c r="E169" s="14" t="n">
        <v>1390</v>
      </c>
      <c r="F169" s="14" t="n">
        <v>931</v>
      </c>
      <c r="G169" s="14" t="n">
        <v>2964</v>
      </c>
      <c r="H169" s="14" t="inlineStr">
        <is>
          <t>Q</t>
        </is>
      </c>
      <c r="I169" s="14" t="n">
        <v>1016</v>
      </c>
      <c r="J169" s="14" t="n">
        <v>6769</v>
      </c>
      <c r="K169" s="14" t="inlineStr">
        <is>
          <t>Q</t>
        </is>
      </c>
    </row>
    <row r="170" ht="15" customHeight="1" s="100">
      <c r="B170" s="17" t="inlineStr">
        <is>
          <t>51 to 99</t>
        </is>
      </c>
      <c r="C170" s="14" t="n">
        <v>14650</v>
      </c>
      <c r="D170" s="14" t="n">
        <v>14650</v>
      </c>
      <c r="E170" s="14" t="n">
        <v>2531</v>
      </c>
      <c r="F170" s="14" t="n">
        <v>1628</v>
      </c>
      <c r="G170" s="14" t="n">
        <v>4499</v>
      </c>
      <c r="H170" s="14" t="n">
        <v>1126</v>
      </c>
      <c r="I170" s="14" t="n">
        <v>4532</v>
      </c>
      <c r="J170" s="14" t="n">
        <v>9295</v>
      </c>
      <c r="K170" s="14" t="n">
        <v>550</v>
      </c>
    </row>
    <row r="171" ht="15" customHeight="1" s="100">
      <c r="B171" s="34" t="inlineStr">
        <is>
          <t>100</t>
        </is>
      </c>
      <c r="C171" s="14" t="n">
        <v>55298</v>
      </c>
      <c r="D171" s="14" t="n">
        <v>55298</v>
      </c>
      <c r="E171" s="14" t="n">
        <v>7925</v>
      </c>
      <c r="F171" s="14" t="n">
        <v>6095</v>
      </c>
      <c r="G171" s="14" t="n">
        <v>13303</v>
      </c>
      <c r="H171" s="14" t="n">
        <v>4683</v>
      </c>
      <c r="I171" s="14" t="n">
        <v>16895</v>
      </c>
      <c r="J171" s="14" t="n">
        <v>33125</v>
      </c>
      <c r="K171" s="14" t="n">
        <v>980</v>
      </c>
    </row>
    <row r="172" ht="33.95" customHeight="1" s="100">
      <c r="B172" s="15" t="inlineStr">
        <is>
          <t>Heating equipment (more than one may apply)</t>
        </is>
      </c>
      <c r="C172" s="21" t="n"/>
      <c r="D172" s="21" t="n"/>
      <c r="E172" s="21" t="n"/>
      <c r="F172" s="21" t="n"/>
      <c r="G172" s="21" t="n"/>
      <c r="H172" s="21" t="n"/>
      <c r="I172" s="21" t="n"/>
      <c r="J172" s="21" t="n"/>
      <c r="K172" s="21" t="n"/>
    </row>
    <row r="173" ht="15" customHeight="1" s="100">
      <c r="B173" s="17" t="inlineStr">
        <is>
          <t>Heat pumps</t>
        </is>
      </c>
      <c r="C173" s="14" t="n">
        <v>11846</v>
      </c>
      <c r="D173" s="14" t="n">
        <v>11846</v>
      </c>
      <c r="E173" s="14" t="n">
        <v>11846</v>
      </c>
      <c r="F173" s="14" t="n">
        <v>1347</v>
      </c>
      <c r="G173" s="14" t="n">
        <v>2961</v>
      </c>
      <c r="H173" s="14" t="n">
        <v>556</v>
      </c>
      <c r="I173" s="14" t="n">
        <v>3225</v>
      </c>
      <c r="J173" s="14" t="n">
        <v>5597</v>
      </c>
      <c r="K173" s="14" t="inlineStr">
        <is>
          <t>Q</t>
        </is>
      </c>
    </row>
    <row r="174" ht="15" customHeight="1" s="100">
      <c r="B174" s="17" t="inlineStr">
        <is>
          <t>Furnaces</t>
        </is>
      </c>
      <c r="C174" s="14" t="n">
        <v>8654</v>
      </c>
      <c r="D174" s="14" t="n">
        <v>8654</v>
      </c>
      <c r="E174" s="14" t="n">
        <v>1347</v>
      </c>
      <c r="F174" s="14" t="n">
        <v>8654</v>
      </c>
      <c r="G174" s="14" t="n">
        <v>2865</v>
      </c>
      <c r="H174" s="14" t="inlineStr">
        <is>
          <t>Q</t>
        </is>
      </c>
      <c r="I174" s="14" t="n">
        <v>1053</v>
      </c>
      <c r="J174" s="14" t="n">
        <v>4165</v>
      </c>
      <c r="K174" s="14" t="inlineStr">
        <is>
          <t>Q</t>
        </is>
      </c>
    </row>
    <row r="175" ht="15" customHeight="1" s="100">
      <c r="B175" s="17" t="inlineStr">
        <is>
          <t>Individual space heaters</t>
        </is>
      </c>
      <c r="C175" s="14" t="n">
        <v>20766</v>
      </c>
      <c r="D175" s="14" t="n">
        <v>20766</v>
      </c>
      <c r="E175" s="14" t="n">
        <v>2961</v>
      </c>
      <c r="F175" s="14" t="n">
        <v>2865</v>
      </c>
      <c r="G175" s="14" t="n">
        <v>20766</v>
      </c>
      <c r="H175" s="14" t="n">
        <v>1334</v>
      </c>
      <c r="I175" s="14" t="n">
        <v>5203</v>
      </c>
      <c r="J175" s="14" t="n">
        <v>11474</v>
      </c>
      <c r="K175" s="14" t="n">
        <v>667</v>
      </c>
    </row>
    <row r="176" ht="15" customHeight="1" s="100">
      <c r="B176" s="17" t="inlineStr">
        <is>
          <t>District heat</t>
        </is>
      </c>
      <c r="C176" s="14" t="n">
        <v>5925</v>
      </c>
      <c r="D176" s="14" t="n">
        <v>5925</v>
      </c>
      <c r="E176" s="14" t="n">
        <v>556</v>
      </c>
      <c r="F176" s="14" t="inlineStr">
        <is>
          <t>Q</t>
        </is>
      </c>
      <c r="G176" s="14" t="n">
        <v>1334</v>
      </c>
      <c r="H176" s="14" t="n">
        <v>5925</v>
      </c>
      <c r="I176" s="14" t="inlineStr">
        <is>
          <t>Q</t>
        </is>
      </c>
      <c r="J176" s="14" t="n">
        <v>725</v>
      </c>
      <c r="K176" s="14" t="inlineStr">
        <is>
          <t>Q</t>
        </is>
      </c>
    </row>
    <row r="177" ht="15" customHeight="1" s="100">
      <c r="B177" s="17" t="inlineStr">
        <is>
          <t>Boilers</t>
        </is>
      </c>
      <c r="C177" s="14" t="n">
        <v>22443</v>
      </c>
      <c r="D177" s="14" t="n">
        <v>22443</v>
      </c>
      <c r="E177" s="14" t="n">
        <v>3225</v>
      </c>
      <c r="F177" s="14" t="n">
        <v>1053</v>
      </c>
      <c r="G177" s="14" t="n">
        <v>5203</v>
      </c>
      <c r="H177" s="14" t="inlineStr">
        <is>
          <t>Q</t>
        </is>
      </c>
      <c r="I177" s="14" t="n">
        <v>22443</v>
      </c>
      <c r="J177" s="14" t="n">
        <v>8817</v>
      </c>
      <c r="K177" s="14" t="inlineStr">
        <is>
          <t>Q</t>
        </is>
      </c>
    </row>
    <row r="178" ht="15" customHeight="1" s="100">
      <c r="B178" s="17" t="inlineStr">
        <is>
          <t>Packaged heating units</t>
        </is>
      </c>
      <c r="C178" s="14" t="n">
        <v>49188</v>
      </c>
      <c r="D178" s="14" t="n">
        <v>49188</v>
      </c>
      <c r="E178" s="14" t="n">
        <v>5597</v>
      </c>
      <c r="F178" s="14" t="n">
        <v>4165</v>
      </c>
      <c r="G178" s="14" t="n">
        <v>11474</v>
      </c>
      <c r="H178" s="14" t="n">
        <v>725</v>
      </c>
      <c r="I178" s="14" t="n">
        <v>8817</v>
      </c>
      <c r="J178" s="14" t="n">
        <v>49188</v>
      </c>
      <c r="K178" s="14" t="n">
        <v>1147</v>
      </c>
    </row>
    <row r="179" ht="15" customHeight="1" s="100">
      <c r="B179" s="23" t="inlineStr">
        <is>
          <t>Other</t>
        </is>
      </c>
      <c r="C179" s="24" t="n">
        <v>1574</v>
      </c>
      <c r="D179" s="14" t="n">
        <v>1574</v>
      </c>
      <c r="E179" s="14" t="inlineStr">
        <is>
          <t>Q</t>
        </is>
      </c>
      <c r="F179" s="14" t="inlineStr">
        <is>
          <t>Q</t>
        </is>
      </c>
      <c r="G179" s="14" t="n">
        <v>667</v>
      </c>
      <c r="H179" s="14" t="inlineStr">
        <is>
          <t>Q</t>
        </is>
      </c>
      <c r="I179" s="14" t="inlineStr">
        <is>
          <t>Q</t>
        </is>
      </c>
      <c r="J179" s="14" t="n">
        <v>1147</v>
      </c>
      <c r="K179" s="14" t="n">
        <v>1574</v>
      </c>
    </row>
    <row r="180" ht="33.95" customHeight="1" s="100">
      <c r="B180" s="41" t="inlineStr">
        <is>
          <t>Cooling equipment (more than one may apply)</t>
        </is>
      </c>
      <c r="C180" s="42" t="n"/>
      <c r="D180" s="21" t="n"/>
      <c r="E180" s="21" t="n"/>
      <c r="F180" s="21" t="n"/>
      <c r="G180" s="21" t="n"/>
      <c r="H180" s="21" t="n"/>
      <c r="I180" s="21" t="n"/>
      <c r="J180" s="21" t="n"/>
      <c r="K180" s="21" t="n"/>
    </row>
    <row r="181" ht="27.95" customHeight="1" s="100">
      <c r="B181" s="23" t="inlineStr">
        <is>
          <t>Residential-type central air conditioners</t>
        </is>
      </c>
      <c r="C181" s="24" t="n">
        <v>14765</v>
      </c>
      <c r="D181" s="14" t="n">
        <v>14158</v>
      </c>
      <c r="E181" s="14" t="n">
        <v>1516</v>
      </c>
      <c r="F181" s="14" t="n">
        <v>4906</v>
      </c>
      <c r="G181" s="14" t="n">
        <v>3884</v>
      </c>
      <c r="H181" s="14" t="inlineStr">
        <is>
          <t>Q</t>
        </is>
      </c>
      <c r="I181" s="14" t="n">
        <v>2073</v>
      </c>
      <c r="J181" s="14" t="n">
        <v>8975</v>
      </c>
      <c r="K181" s="14" t="n">
        <v>356</v>
      </c>
    </row>
    <row r="182" ht="15" customHeight="1" s="100">
      <c r="B182" s="23" t="inlineStr">
        <is>
          <t>Heat pumps</t>
        </is>
      </c>
      <c r="C182" s="24" t="n">
        <v>12538</v>
      </c>
      <c r="D182" s="14" t="n">
        <v>12464</v>
      </c>
      <c r="E182" s="14" t="n">
        <v>10037</v>
      </c>
      <c r="F182" s="14" t="n">
        <v>1365</v>
      </c>
      <c r="G182" s="14" t="n">
        <v>3016</v>
      </c>
      <c r="H182" s="14" t="n">
        <v>556</v>
      </c>
      <c r="I182" s="14" t="n">
        <v>3179</v>
      </c>
      <c r="J182" s="14" t="n">
        <v>6851</v>
      </c>
      <c r="K182" s="14" t="inlineStr">
        <is>
          <t>Q</t>
        </is>
      </c>
    </row>
    <row r="183" ht="15" customHeight="1" s="100">
      <c r="B183" s="23" t="inlineStr">
        <is>
          <t>Individual air conditioners</t>
        </is>
      </c>
      <c r="C183" s="24" t="n">
        <v>12420</v>
      </c>
      <c r="D183" s="14" t="n">
        <v>11953</v>
      </c>
      <c r="E183" s="14" t="n">
        <v>2015</v>
      </c>
      <c r="F183" s="14" t="n">
        <v>1318</v>
      </c>
      <c r="G183" s="14" t="n">
        <v>6038</v>
      </c>
      <c r="H183" s="14" t="n">
        <v>902</v>
      </c>
      <c r="I183" s="14" t="n">
        <v>5083</v>
      </c>
      <c r="J183" s="14" t="n">
        <v>6096</v>
      </c>
      <c r="K183" s="14" t="inlineStr">
        <is>
          <t>Q</t>
        </is>
      </c>
    </row>
    <row r="184" ht="15" customHeight="1" s="100">
      <c r="B184" s="23" t="inlineStr">
        <is>
          <t>District chilled water</t>
        </is>
      </c>
      <c r="C184" s="24" t="n">
        <v>4608</v>
      </c>
      <c r="D184" s="14" t="n">
        <v>4561</v>
      </c>
      <c r="E184" s="14" t="n">
        <v>325</v>
      </c>
      <c r="F184" s="14" t="inlineStr">
        <is>
          <t>Q</t>
        </is>
      </c>
      <c r="G184" s="14" t="n">
        <v>888</v>
      </c>
      <c r="H184" s="14" t="n">
        <v>3718</v>
      </c>
      <c r="I184" s="14" t="n">
        <v>582</v>
      </c>
      <c r="J184" s="14" t="n">
        <v>756</v>
      </c>
      <c r="K184" s="14" t="inlineStr">
        <is>
          <t>Q</t>
        </is>
      </c>
    </row>
    <row r="185" ht="15" customHeight="1" s="100">
      <c r="B185" s="23" t="inlineStr">
        <is>
          <t>Central chillers</t>
        </is>
      </c>
      <c r="C185" s="24" t="n">
        <v>17041</v>
      </c>
      <c r="D185" s="14" t="n">
        <v>16685</v>
      </c>
      <c r="E185" s="14" t="n">
        <v>2333</v>
      </c>
      <c r="F185" s="14" t="n">
        <v>579</v>
      </c>
      <c r="G185" s="14" t="n">
        <v>4128</v>
      </c>
      <c r="H185" s="14" t="n">
        <v>1948</v>
      </c>
      <c r="I185" s="14" t="n">
        <v>11683</v>
      </c>
      <c r="J185" s="14" t="n">
        <v>7259</v>
      </c>
      <c r="K185" s="14" t="inlineStr">
        <is>
          <t>Q</t>
        </is>
      </c>
    </row>
    <row r="186" ht="15" customHeight="1" s="100">
      <c r="B186" s="23" t="inlineStr">
        <is>
          <t>Packaged air conditioning units</t>
        </is>
      </c>
      <c r="C186" s="24" t="n">
        <v>45153</v>
      </c>
      <c r="D186" s="14" t="n">
        <v>43820</v>
      </c>
      <c r="E186" s="14" t="n">
        <v>5282</v>
      </c>
      <c r="F186" s="14" t="n">
        <v>4004</v>
      </c>
      <c r="G186" s="14" t="n">
        <v>11336</v>
      </c>
      <c r="H186" s="14" t="n">
        <v>2056</v>
      </c>
      <c r="I186" s="14" t="n">
        <v>11510</v>
      </c>
      <c r="J186" s="14" t="n">
        <v>35944</v>
      </c>
      <c r="K186" s="14" t="n">
        <v>1228</v>
      </c>
    </row>
    <row r="187" ht="15" customHeight="1" s="100">
      <c r="B187" s="23" t="inlineStr">
        <is>
          <t>Swamp coolers</t>
        </is>
      </c>
      <c r="C187" s="24" t="n">
        <v>1918</v>
      </c>
      <c r="D187" s="14" t="n">
        <v>1879</v>
      </c>
      <c r="E187" s="14" t="n">
        <v>379</v>
      </c>
      <c r="F187" s="14" t="inlineStr">
        <is>
          <t>Q</t>
        </is>
      </c>
      <c r="G187" s="14" t="n">
        <v>713</v>
      </c>
      <c r="H187" s="14" t="inlineStr">
        <is>
          <t>Q</t>
        </is>
      </c>
      <c r="I187" s="14" t="n">
        <v>486</v>
      </c>
      <c r="J187" s="14" t="n">
        <v>1416</v>
      </c>
      <c r="K187" s="14" t="inlineStr">
        <is>
          <t>Q</t>
        </is>
      </c>
    </row>
    <row r="188" ht="15" customHeight="1" s="100">
      <c r="B188" s="23" t="inlineStr">
        <is>
          <t>Other</t>
        </is>
      </c>
      <c r="C188" s="24" t="n">
        <v>328</v>
      </c>
      <c r="D188" s="14" t="n">
        <v>328</v>
      </c>
      <c r="E188" s="14" t="inlineStr">
        <is>
          <t>Q</t>
        </is>
      </c>
      <c r="F188" s="14" t="inlineStr">
        <is>
          <t>Q</t>
        </is>
      </c>
      <c r="G188" s="14" t="inlineStr">
        <is>
          <t>Q</t>
        </is>
      </c>
      <c r="H188" s="14" t="inlineStr">
        <is>
          <t>Q</t>
        </is>
      </c>
      <c r="I188" s="14" t="inlineStr">
        <is>
          <t>Q</t>
        </is>
      </c>
      <c r="J188" s="14" t="inlineStr">
        <is>
          <t>Q</t>
        </is>
      </c>
      <c r="K188" s="14" t="inlineStr">
        <is>
          <t>N</t>
        </is>
      </c>
    </row>
    <row r="189" ht="33.95" customHeight="1" s="100">
      <c r="B189" s="15" t="inlineStr">
        <is>
          <t>Main equipment replaced since 1990 (more than one may apply)</t>
        </is>
      </c>
      <c r="C189" s="21" t="n"/>
      <c r="D189" s="21" t="n"/>
      <c r="E189" s="21" t="n"/>
      <c r="F189" s="21" t="n"/>
      <c r="G189" s="21" t="n"/>
      <c r="H189" s="21" t="n"/>
      <c r="I189" s="21" t="n"/>
      <c r="J189" s="21" t="n"/>
      <c r="K189" s="21" t="n"/>
    </row>
    <row r="190" ht="15" customHeight="1" s="100">
      <c r="B190" s="17" t="inlineStr">
        <is>
          <t>Heating</t>
        </is>
      </c>
      <c r="C190" s="14" t="n">
        <v>27558</v>
      </c>
      <c r="D190" s="14" t="n">
        <v>27558</v>
      </c>
      <c r="E190" s="14" t="n">
        <v>4825</v>
      </c>
      <c r="F190" s="14" t="n">
        <v>3745</v>
      </c>
      <c r="G190" s="14" t="n">
        <v>8591</v>
      </c>
      <c r="H190" s="14" t="inlineStr">
        <is>
          <t>Q</t>
        </is>
      </c>
      <c r="I190" s="14" t="n">
        <v>8332</v>
      </c>
      <c r="J190" s="14" t="n">
        <v>17733</v>
      </c>
      <c r="K190" s="14" t="n">
        <v>461</v>
      </c>
    </row>
    <row r="191" ht="15" customHeight="1" s="100">
      <c r="B191" s="17" t="inlineStr">
        <is>
          <t>Cooling</t>
        </is>
      </c>
      <c r="C191" s="14" t="n">
        <v>30702</v>
      </c>
      <c r="D191" s="14" t="n">
        <v>29713</v>
      </c>
      <c r="E191" s="14" t="n">
        <v>5199</v>
      </c>
      <c r="F191" s="14" t="n">
        <v>4192</v>
      </c>
      <c r="G191" s="14" t="n">
        <v>9048</v>
      </c>
      <c r="H191" s="14" t="n">
        <v>1231</v>
      </c>
      <c r="I191" s="14" t="n">
        <v>9016</v>
      </c>
      <c r="J191" s="14" t="n">
        <v>18452</v>
      </c>
      <c r="K191" s="14" t="n">
        <v>510</v>
      </c>
    </row>
    <row r="192" ht="33.95" customHeight="1" s="100">
      <c r="B192" s="15" t="inlineStr">
        <is>
          <t>HVAC conservation features 
(more than one may apply)</t>
        </is>
      </c>
      <c r="C192" s="21" t="n"/>
      <c r="D192" s="21" t="n"/>
      <c r="E192" s="21" t="n"/>
      <c r="F192" s="21" t="n"/>
      <c r="G192" s="21" t="n"/>
      <c r="H192" s="21" t="n"/>
      <c r="I192" s="21" t="n"/>
      <c r="J192" s="21" t="n"/>
      <c r="K192" s="21" t="n"/>
    </row>
    <row r="193" ht="15" customHeight="1" s="100">
      <c r="B193" s="17" t="inlineStr">
        <is>
          <t>Economizer cycle</t>
        </is>
      </c>
      <c r="C193" s="14" t="n">
        <v>30749</v>
      </c>
      <c r="D193" s="14" t="n">
        <v>30454</v>
      </c>
      <c r="E193" s="14" t="n">
        <v>4726</v>
      </c>
      <c r="F193" s="14" t="n">
        <v>2221</v>
      </c>
      <c r="G193" s="14" t="n">
        <v>7496</v>
      </c>
      <c r="H193" s="14" t="n">
        <v>4063</v>
      </c>
      <c r="I193" s="14" t="n">
        <v>12065</v>
      </c>
      <c r="J193" s="14" t="n">
        <v>19411</v>
      </c>
      <c r="K193" s="14" t="n">
        <v>707</v>
      </c>
    </row>
    <row r="194" ht="15" customHeight="1" s="100">
      <c r="B194" s="17" t="inlineStr">
        <is>
          <t>Regular HVAC maintenance</t>
        </is>
      </c>
      <c r="C194" s="14" t="n">
        <v>69244</v>
      </c>
      <c r="D194" s="14" t="n">
        <v>67518</v>
      </c>
      <c r="E194" s="14" t="n">
        <v>10742</v>
      </c>
      <c r="F194" s="14" t="n">
        <v>6994</v>
      </c>
      <c r="G194" s="14" t="n">
        <v>15683</v>
      </c>
      <c r="H194" s="14" t="n">
        <v>5591</v>
      </c>
      <c r="I194" s="14" t="n">
        <v>20967</v>
      </c>
      <c r="J194" s="14" t="n">
        <v>42471</v>
      </c>
      <c r="K194" s="14" t="n">
        <v>1340</v>
      </c>
    </row>
    <row r="195" ht="15" customHeight="1" s="100">
      <c r="B195" s="17" t="inlineStr">
        <is>
          <t>Building automation system (BAS)2</t>
        </is>
      </c>
      <c r="C195" s="14" t="n">
        <v>37051</v>
      </c>
      <c r="D195" s="14" t="n">
        <v>36511</v>
      </c>
      <c r="E195" s="14" t="n">
        <v>5652</v>
      </c>
      <c r="F195" s="14" t="n">
        <v>2267</v>
      </c>
      <c r="G195" s="14" t="n">
        <v>7757</v>
      </c>
      <c r="H195" s="14" t="n">
        <v>4967</v>
      </c>
      <c r="I195" s="14" t="n">
        <v>14726</v>
      </c>
      <c r="J195" s="14" t="n">
        <v>21943</v>
      </c>
      <c r="K195" s="14" t="n">
        <v>1047</v>
      </c>
    </row>
    <row r="196" ht="44.2" customHeight="1" s="100">
      <c r="B196" s="15" t="inlineStr">
        <is>
          <t>Equipment usage reduced when 
building not in full use 
(more than one may apply)</t>
        </is>
      </c>
      <c r="C196" s="21" t="n"/>
      <c r="D196" s="21" t="n"/>
      <c r="E196" s="21" t="n"/>
      <c r="F196" s="21" t="n"/>
      <c r="G196" s="21" t="n"/>
      <c r="H196" s="21" t="n"/>
      <c r="I196" s="21" t="n"/>
      <c r="J196" s="21" t="n"/>
      <c r="K196" s="21" t="n"/>
    </row>
    <row r="197" ht="15" customHeight="1" s="100">
      <c r="B197" s="17" t="inlineStr">
        <is>
          <t>Heating</t>
        </is>
      </c>
      <c r="C197" s="14" t="n">
        <v>63167</v>
      </c>
      <c r="D197" s="14" t="n">
        <v>63167</v>
      </c>
      <c r="E197" s="14" t="n">
        <v>9415</v>
      </c>
      <c r="F197" s="14" t="n">
        <v>7390</v>
      </c>
      <c r="G197" s="14" t="n">
        <v>16076</v>
      </c>
      <c r="H197" s="14" t="n">
        <v>4011</v>
      </c>
      <c r="I197" s="14" t="n">
        <v>17877</v>
      </c>
      <c r="J197" s="14" t="n">
        <v>40078</v>
      </c>
      <c r="K197" s="14" t="n">
        <v>1334</v>
      </c>
    </row>
    <row r="198" ht="15" customHeight="1" s="100">
      <c r="B198" s="17" t="inlineStr">
        <is>
          <t>Cooling</t>
        </is>
      </c>
      <c r="C198" s="14" t="n">
        <v>62516</v>
      </c>
      <c r="D198" s="14" t="n">
        <v>60904</v>
      </c>
      <c r="E198" s="14" t="n">
        <v>9350</v>
      </c>
      <c r="F198" s="14" t="n">
        <v>7194</v>
      </c>
      <c r="G198" s="14" t="n">
        <v>15084</v>
      </c>
      <c r="H198" s="14" t="n">
        <v>4029</v>
      </c>
      <c r="I198" s="14" t="n">
        <v>17152</v>
      </c>
      <c r="J198" s="14" t="n">
        <v>39291</v>
      </c>
      <c r="K198" s="14" t="n">
        <v>1306</v>
      </c>
    </row>
    <row r="199" ht="15" customHeight="1" s="100">
      <c r="B199" s="17" t="inlineStr">
        <is>
          <t>Lighting</t>
        </is>
      </c>
      <c r="C199" s="14" t="n">
        <v>78594</v>
      </c>
      <c r="D199" s="14" t="n">
        <v>74955</v>
      </c>
      <c r="E199" s="14" t="n">
        <v>11191</v>
      </c>
      <c r="F199" s="14" t="n">
        <v>8237</v>
      </c>
      <c r="G199" s="14" t="n">
        <v>19658</v>
      </c>
      <c r="H199" s="14" t="n">
        <v>5470</v>
      </c>
      <c r="I199" s="14" t="n">
        <v>21363</v>
      </c>
      <c r="J199" s="14" t="n">
        <v>45948</v>
      </c>
      <c r="K199" s="14" t="n">
        <v>1465</v>
      </c>
    </row>
    <row r="200" ht="15" customHeight="1" s="100" thickBot="1">
      <c r="B200" s="18" t="n"/>
    </row>
    <row r="201" ht="136.5" customHeight="1" s="100">
      <c r="B201" s="110" t="inlineStr">
        <is>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is>
      </c>
      <c r="C201" s="111" t="n"/>
      <c r="D201" s="111" t="n"/>
      <c r="E201" s="111" t="n"/>
      <c r="F201" s="111" t="n"/>
      <c r="G201" s="111" t="n"/>
      <c r="H201" s="111" t="n"/>
      <c r="I201" s="111" t="n"/>
      <c r="J201" s="111" t="n"/>
      <c r="K201" s="111" t="n"/>
    </row>
    <row r="202" ht="14.25" customHeight="1" s="100"/>
  </sheetData>
  <mergeCells count="6">
    <mergeCell ref="C4:C5"/>
    <mergeCell ref="D4:D5"/>
    <mergeCell ref="B201:K201"/>
    <mergeCell ref="E4:K4"/>
    <mergeCell ref="C3:K3"/>
    <mergeCell ref="B2:K2"/>
  </mergeCells>
  <pageMargins left="0.7" right="0.7" top="0.6" bottom="0.6" header="0.3" footer="0.3"/>
  <pageSetup orientation="portrait" scale="85" fitToHeight="0"/>
  <rowBreaks count="3" manualBreakCount="3">
    <brk id="45" min="0" max="16383" man="1"/>
    <brk id="86" min="0" max="16383" man="1"/>
    <brk id="119" min="0" max="16383" man="1"/>
  </rowBreaks>
</worksheet>
</file>

<file path=xl/worksheets/sheet13.xml><?xml version="1.0" encoding="utf-8"?>
<worksheet xmlns="http://schemas.openxmlformats.org/spreadsheetml/2006/main">
  <sheetPr>
    <outlinePr summaryBelow="1" summaryRight="1"/>
    <pageSetUpPr/>
  </sheetPr>
  <dimension ref="A1:K190"/>
  <sheetViews>
    <sheetView workbookViewId="0">
      <selection activeCell="N11" sqref="N11"/>
    </sheetView>
  </sheetViews>
  <sheetFormatPr baseColWidth="8" defaultRowHeight="14.25"/>
  <cols>
    <col width="28.73046875" customWidth="1" style="100" min="1" max="1"/>
    <col width="7.73046875" customWidth="1" style="118" min="2" max="9"/>
  </cols>
  <sheetData>
    <row r="1" ht="29.55" customHeight="1" s="100">
      <c r="A1" s="7" t="inlineStr">
        <is>
          <t>Release date: April 2015 Revised date: May 2016</t>
        </is>
      </c>
    </row>
    <row r="2" ht="26.25" customHeight="1" s="100">
      <c r="A2" s="117" t="inlineStr">
        <is>
          <t>Table B44.  Lighting equipment, floorspace, 2012</t>
        </is>
      </c>
    </row>
    <row r="3" ht="24" customHeight="1" s="100" thickBot="1">
      <c r="A3" s="117" t="n"/>
      <c r="B3" s="115" t="inlineStr">
        <is>
          <t>Total floorspace (million square feet)</t>
        </is>
      </c>
      <c r="C3" s="116" t="n"/>
      <c r="D3" s="116" t="n"/>
      <c r="E3" s="116" t="n"/>
      <c r="F3" s="116" t="n"/>
      <c r="G3" s="116" t="n"/>
      <c r="H3" s="116" t="n"/>
      <c r="I3" s="116" t="n"/>
    </row>
    <row r="4" ht="27" customHeight="1" s="100" thickTop="1">
      <c r="A4" s="117" t="n"/>
      <c r="B4" s="119" t="inlineStr">
        <is>
          <t>All
buildings</t>
        </is>
      </c>
      <c r="C4" s="119" t="inlineStr">
        <is>
          <t>Lit buildings</t>
        </is>
      </c>
      <c r="D4" s="120" t="inlineStr">
        <is>
          <t>Lighting equipment (more than one may apply)</t>
        </is>
      </c>
      <c r="E4" s="121" t="n"/>
      <c r="F4" s="121" t="n"/>
      <c r="G4" s="121" t="n"/>
      <c r="H4" s="121" t="n"/>
      <c r="I4" s="121" t="n"/>
    </row>
    <row r="5" ht="63.75" customHeight="1" s="100" thickBot="1">
      <c r="A5" s="48" t="n"/>
      <c r="D5" s="44" t="inlineStr">
        <is>
          <t>Incand-
escent</t>
        </is>
      </c>
      <c r="E5" s="44" t="inlineStr">
        <is>
          <t>Standard fluor-
escent</t>
        </is>
      </c>
      <c r="F5" s="44" t="inlineStr">
        <is>
          <t>Compact
fluor-
escent</t>
        </is>
      </c>
      <c r="G5" s="44" t="inlineStr">
        <is>
          <t>High-intensity
dis-
charge</t>
        </is>
      </c>
      <c r="H5" s="44" t="inlineStr">
        <is>
          <t>Halogen</t>
        </is>
      </c>
      <c r="I5" s="44" t="inlineStr">
        <is>
          <t>LED</t>
        </is>
      </c>
    </row>
    <row r="6" ht="24" customHeight="1" s="100" thickBot="1">
      <c r="A6" s="49" t="inlineStr">
        <is>
          <t>All buildings</t>
        </is>
      </c>
      <c r="B6" s="50" t="n">
        <v>87093</v>
      </c>
      <c r="C6" s="50" t="n">
        <v>83569</v>
      </c>
      <c r="D6" s="50" t="n">
        <v>38406</v>
      </c>
      <c r="E6" s="50" t="n">
        <v>80081</v>
      </c>
      <c r="F6" s="50" t="n">
        <v>53816</v>
      </c>
      <c r="G6" s="50" t="n">
        <v>23396</v>
      </c>
      <c r="H6" s="50" t="n">
        <v>28059</v>
      </c>
      <c r="I6" s="51" t="n">
        <v>22071</v>
      </c>
    </row>
    <row r="7" ht="24" customHeight="1" s="100">
      <c r="A7" s="15" t="inlineStr">
        <is>
          <t>Building floorspace (square feet)</t>
        </is>
      </c>
      <c r="B7" s="16" t="n"/>
      <c r="C7" s="16" t="n"/>
      <c r="D7" s="16" t="n"/>
      <c r="E7" s="16" t="n"/>
      <c r="F7" s="16" t="n"/>
      <c r="G7" s="16" t="n"/>
      <c r="H7" s="16" t="n"/>
      <c r="I7" s="16" t="n"/>
    </row>
    <row r="8" ht="15" customHeight="1" s="100">
      <c r="A8" s="17" t="inlineStr">
        <is>
          <t xml:space="preserve">1,001 to 5,000 </t>
        </is>
      </c>
      <c r="B8" s="14" t="n">
        <v>8041</v>
      </c>
      <c r="C8" s="14" t="n">
        <v>7130</v>
      </c>
      <c r="D8" s="14" t="n">
        <v>2453</v>
      </c>
      <c r="E8" s="14" t="n">
        <v>6466</v>
      </c>
      <c r="F8" s="14" t="n">
        <v>2815</v>
      </c>
      <c r="G8" s="14" t="n">
        <v>373</v>
      </c>
      <c r="H8" s="14" t="n">
        <v>944</v>
      </c>
      <c r="I8" s="14" t="n">
        <v>348</v>
      </c>
    </row>
    <row r="9" ht="15" customHeight="1" s="100">
      <c r="A9" s="17" t="inlineStr">
        <is>
          <t xml:space="preserve">5,001 to 10,000 </t>
        </is>
      </c>
      <c r="B9" s="14" t="n">
        <v>8900</v>
      </c>
      <c r="C9" s="14" t="n">
        <v>8152</v>
      </c>
      <c r="D9" s="14" t="n">
        <v>2917</v>
      </c>
      <c r="E9" s="14" t="n">
        <v>7589</v>
      </c>
      <c r="F9" s="14" t="n">
        <v>3740</v>
      </c>
      <c r="G9" s="14" t="n">
        <v>736</v>
      </c>
      <c r="H9" s="14" t="n">
        <v>1487</v>
      </c>
      <c r="I9" s="14" t="n">
        <v>714</v>
      </c>
    </row>
    <row r="10" ht="15" customHeight="1" s="100">
      <c r="A10" s="17" t="inlineStr">
        <is>
          <t>10,001 to 25,000</t>
        </is>
      </c>
      <c r="B10" s="14" t="n">
        <v>14105</v>
      </c>
      <c r="C10" s="14" t="n">
        <v>13250</v>
      </c>
      <c r="D10" s="14" t="n">
        <v>4987</v>
      </c>
      <c r="E10" s="14" t="n">
        <v>12533</v>
      </c>
      <c r="F10" s="14" t="n">
        <v>6767</v>
      </c>
      <c r="G10" s="14" t="n">
        <v>2175</v>
      </c>
      <c r="H10" s="14" t="n">
        <v>2903</v>
      </c>
      <c r="I10" s="14" t="n">
        <v>1882</v>
      </c>
    </row>
    <row r="11" ht="15" customHeight="1" s="100">
      <c r="A11" s="17" t="inlineStr">
        <is>
          <t>25,001 to 50,000</t>
        </is>
      </c>
      <c r="B11" s="14" t="n">
        <v>11917</v>
      </c>
      <c r="C11" s="14" t="n">
        <v>11542</v>
      </c>
      <c r="D11" s="14" t="n">
        <v>4788</v>
      </c>
      <c r="E11" s="14" t="n">
        <v>11063</v>
      </c>
      <c r="F11" s="14" t="n">
        <v>6970</v>
      </c>
      <c r="G11" s="14" t="n">
        <v>2712</v>
      </c>
      <c r="H11" s="14" t="n">
        <v>3556</v>
      </c>
      <c r="I11" s="14" t="n">
        <v>2252</v>
      </c>
    </row>
    <row r="12" ht="15" customHeight="1" s="100">
      <c r="A12" s="17" t="inlineStr">
        <is>
          <t xml:space="preserve">50,001 to 100,000 </t>
        </is>
      </c>
      <c r="B12" s="14" t="n">
        <v>13918</v>
      </c>
      <c r="C12" s="14" t="n">
        <v>13564</v>
      </c>
      <c r="D12" s="14" t="n">
        <v>6218</v>
      </c>
      <c r="E12" s="14" t="n">
        <v>13217</v>
      </c>
      <c r="F12" s="14" t="n">
        <v>9652</v>
      </c>
      <c r="G12" s="14" t="n">
        <v>3766</v>
      </c>
      <c r="H12" s="14" t="n">
        <v>4989</v>
      </c>
      <c r="I12" s="14" t="n">
        <v>3479</v>
      </c>
    </row>
    <row r="13" ht="15" customHeight="1" s="100">
      <c r="A13" s="17" t="inlineStr">
        <is>
          <t xml:space="preserve">100,001 to 200,000 </t>
        </is>
      </c>
      <c r="B13" s="14" t="n">
        <v>12415</v>
      </c>
      <c r="C13" s="14" t="n">
        <v>12282</v>
      </c>
      <c r="D13" s="14" t="n">
        <v>6239</v>
      </c>
      <c r="E13" s="14" t="n">
        <v>11745</v>
      </c>
      <c r="F13" s="14" t="n">
        <v>9078</v>
      </c>
      <c r="G13" s="14" t="n">
        <v>4244</v>
      </c>
      <c r="H13" s="14" t="n">
        <v>4605</v>
      </c>
      <c r="I13" s="14" t="n">
        <v>3919</v>
      </c>
    </row>
    <row r="14" ht="15" customHeight="1" s="100">
      <c r="A14" s="17" t="inlineStr">
        <is>
          <t xml:space="preserve">200,001 to 500,000 </t>
        </is>
      </c>
      <c r="B14" s="14" t="n">
        <v>10724</v>
      </c>
      <c r="C14" s="14" t="n">
        <v>10634</v>
      </c>
      <c r="D14" s="14" t="n">
        <v>6002</v>
      </c>
      <c r="E14" s="14" t="n">
        <v>10552</v>
      </c>
      <c r="F14" s="14" t="n">
        <v>8775</v>
      </c>
      <c r="G14" s="14" t="n">
        <v>4981</v>
      </c>
      <c r="H14" s="14" t="n">
        <v>5161</v>
      </c>
      <c r="I14" s="14" t="n">
        <v>4866</v>
      </c>
    </row>
    <row r="15" ht="15" customHeight="1" s="100">
      <c r="A15" s="17" t="inlineStr">
        <is>
          <t xml:space="preserve">Over 500,000 </t>
        </is>
      </c>
      <c r="B15" s="14" t="n">
        <v>7074</v>
      </c>
      <c r="C15" s="14" t="n">
        <v>7014</v>
      </c>
      <c r="D15" s="14" t="n">
        <v>4803</v>
      </c>
      <c r="E15" s="14" t="n">
        <v>6915</v>
      </c>
      <c r="F15" s="14" t="n">
        <v>6021</v>
      </c>
      <c r="G15" s="14" t="n">
        <v>4409</v>
      </c>
      <c r="H15" s="14" t="n">
        <v>4413</v>
      </c>
      <c r="I15" s="14" t="n">
        <v>4612</v>
      </c>
    </row>
    <row r="16" ht="24" customHeight="1" s="100">
      <c r="A16" s="15" t="inlineStr">
        <is>
          <t>Principal building activity</t>
        </is>
      </c>
      <c r="B16" s="15" t="n"/>
      <c r="C16" s="15" t="n"/>
      <c r="D16" s="15" t="n"/>
      <c r="E16" s="15" t="n"/>
      <c r="F16" s="15" t="n"/>
      <c r="G16" s="15" t="n"/>
      <c r="H16" s="15" t="n"/>
      <c r="I16" s="15" t="n"/>
    </row>
    <row r="17">
      <c r="A17" s="17" t="inlineStr">
        <is>
          <t>Education</t>
        </is>
      </c>
      <c r="B17" s="14" t="n">
        <v>12239</v>
      </c>
      <c r="C17" s="14" t="n">
        <v>12239</v>
      </c>
      <c r="D17" s="14" t="n">
        <v>5004</v>
      </c>
      <c r="E17" s="14" t="n">
        <v>12180</v>
      </c>
      <c r="F17" s="14" t="n">
        <v>8559</v>
      </c>
      <c r="G17" s="14" t="n">
        <v>4376</v>
      </c>
      <c r="H17" s="14" t="n">
        <v>3069</v>
      </c>
      <c r="I17" s="14" t="n">
        <v>2135</v>
      </c>
    </row>
    <row r="18">
      <c r="A18" s="17" t="inlineStr">
        <is>
          <t xml:space="preserve">Food sales </t>
        </is>
      </c>
      <c r="B18" s="14" t="n">
        <v>1252</v>
      </c>
      <c r="C18" s="14" t="n">
        <v>1252</v>
      </c>
      <c r="D18" s="14" t="n">
        <v>443</v>
      </c>
      <c r="E18" s="14" t="n">
        <v>1232</v>
      </c>
      <c r="F18" s="14" t="n">
        <v>560</v>
      </c>
      <c r="G18" s="14" t="inlineStr">
        <is>
          <t>Q</t>
        </is>
      </c>
      <c r="H18" s="14" t="n">
        <v>271</v>
      </c>
      <c r="I18" s="14" t="n">
        <v>323</v>
      </c>
    </row>
    <row r="19">
      <c r="A19" s="17" t="inlineStr">
        <is>
          <t xml:space="preserve">Food service </t>
        </is>
      </c>
      <c r="B19" s="14" t="n">
        <v>1819</v>
      </c>
      <c r="C19" s="14" t="n">
        <v>1819</v>
      </c>
      <c r="D19" s="14" t="n">
        <v>924</v>
      </c>
      <c r="E19" s="14" t="n">
        <v>1671</v>
      </c>
      <c r="F19" s="14" t="n">
        <v>1177</v>
      </c>
      <c r="G19" s="14" t="n">
        <v>121</v>
      </c>
      <c r="H19" s="14" t="n">
        <v>496</v>
      </c>
      <c r="I19" s="14" t="n">
        <v>275</v>
      </c>
    </row>
    <row r="20">
      <c r="A20" s="17" t="inlineStr">
        <is>
          <t xml:space="preserve">Health care </t>
        </is>
      </c>
      <c r="B20" s="14" t="n">
        <v>4155</v>
      </c>
      <c r="C20" s="14" t="n">
        <v>4155</v>
      </c>
      <c r="D20" s="14" t="n">
        <v>2391</v>
      </c>
      <c r="E20" s="14" t="n">
        <v>4074</v>
      </c>
      <c r="F20" s="14" t="n">
        <v>3535</v>
      </c>
      <c r="G20" s="14" t="n">
        <v>1448</v>
      </c>
      <c r="H20" s="14" t="n">
        <v>1875</v>
      </c>
      <c r="I20" s="14" t="n">
        <v>2245</v>
      </c>
    </row>
    <row r="21">
      <c r="A21" s="18" t="inlineStr">
        <is>
          <t xml:space="preserve">  Inpatient </t>
        </is>
      </c>
      <c r="B21" s="14" t="n">
        <v>2374</v>
      </c>
      <c r="C21" s="14" t="n">
        <v>2374</v>
      </c>
      <c r="D21" s="14" t="n">
        <v>1745</v>
      </c>
      <c r="E21" s="14" t="n">
        <v>2373</v>
      </c>
      <c r="F21" s="14" t="n">
        <v>2260</v>
      </c>
      <c r="G21" s="14" t="n">
        <v>1217</v>
      </c>
      <c r="H21" s="14" t="n">
        <v>1452</v>
      </c>
      <c r="I21" s="14" t="n">
        <v>1647</v>
      </c>
    </row>
    <row r="22">
      <c r="A22" s="18" t="inlineStr">
        <is>
          <t xml:space="preserve">  Outpatient </t>
        </is>
      </c>
      <c r="B22" s="14" t="n">
        <v>1781</v>
      </c>
      <c r="C22" s="14" t="n">
        <v>1781</v>
      </c>
      <c r="D22" s="14" t="n">
        <v>646</v>
      </c>
      <c r="E22" s="14" t="n">
        <v>1701</v>
      </c>
      <c r="F22" s="14" t="n">
        <v>1275</v>
      </c>
      <c r="G22" s="14" t="n">
        <v>231</v>
      </c>
      <c r="H22" s="14" t="n">
        <v>423</v>
      </c>
      <c r="I22" s="14" t="n">
        <v>598</v>
      </c>
    </row>
    <row r="23">
      <c r="A23" s="17" t="inlineStr">
        <is>
          <t xml:space="preserve">Lodging </t>
        </is>
      </c>
      <c r="B23" s="14" t="n">
        <v>5826</v>
      </c>
      <c r="C23" s="14" t="n">
        <v>5817</v>
      </c>
      <c r="D23" s="14" t="n">
        <v>3585</v>
      </c>
      <c r="E23" s="14" t="n">
        <v>5409</v>
      </c>
      <c r="F23" s="14" t="n">
        <v>5258</v>
      </c>
      <c r="G23" s="14" t="n">
        <v>1848</v>
      </c>
      <c r="H23" s="14" t="n">
        <v>2696</v>
      </c>
      <c r="I23" s="14" t="n">
        <v>2024</v>
      </c>
    </row>
    <row r="24">
      <c r="A24" s="17" t="inlineStr">
        <is>
          <t xml:space="preserve">Mercantile </t>
        </is>
      </c>
      <c r="B24" s="14" t="n">
        <v>11330</v>
      </c>
      <c r="C24" s="14" t="n">
        <v>11320</v>
      </c>
      <c r="D24" s="14" t="n">
        <v>6646</v>
      </c>
      <c r="E24" s="14" t="n">
        <v>10714</v>
      </c>
      <c r="F24" s="14" t="n">
        <v>8053</v>
      </c>
      <c r="G24" s="14" t="n">
        <v>3959</v>
      </c>
      <c r="H24" s="14" t="n">
        <v>5925</v>
      </c>
      <c r="I24" s="14" t="n">
        <v>5118</v>
      </c>
      <c r="K24" s="19" t="n"/>
    </row>
    <row r="25" ht="15" customHeight="1" s="100">
      <c r="A25" s="20" t="inlineStr">
        <is>
          <t xml:space="preserve">Retail (other than mall) </t>
        </is>
      </c>
      <c r="B25" s="14" t="n">
        <v>5439</v>
      </c>
      <c r="C25" s="14" t="n">
        <v>5430</v>
      </c>
      <c r="D25" s="14" t="n">
        <v>1671</v>
      </c>
      <c r="E25" s="14" t="n">
        <v>4864</v>
      </c>
      <c r="F25" s="14" t="n">
        <v>2712</v>
      </c>
      <c r="G25" s="14" t="n">
        <v>891</v>
      </c>
      <c r="H25" s="14" t="n">
        <v>1608</v>
      </c>
      <c r="I25" s="14" t="n">
        <v>1295</v>
      </c>
    </row>
    <row r="26" ht="15" customHeight="1" s="100">
      <c r="A26" s="20" t="inlineStr">
        <is>
          <t xml:space="preserve">Enclosed and strip malls </t>
        </is>
      </c>
      <c r="B26" s="14" t="n">
        <v>5890</v>
      </c>
      <c r="C26" s="14" t="n">
        <v>5890</v>
      </c>
      <c r="D26" s="14" t="n">
        <v>4975</v>
      </c>
      <c r="E26" s="14" t="n">
        <v>5850</v>
      </c>
      <c r="F26" s="14" t="n">
        <v>5341</v>
      </c>
      <c r="G26" s="14" t="n">
        <v>3069</v>
      </c>
      <c r="H26" s="14" t="n">
        <v>4317</v>
      </c>
      <c r="I26" s="14" t="n">
        <v>3824</v>
      </c>
    </row>
    <row r="27" ht="15" customHeight="1" s="100">
      <c r="A27" s="17" t="inlineStr">
        <is>
          <t xml:space="preserve">Office </t>
        </is>
      </c>
      <c r="B27" s="14" t="n">
        <v>15952</v>
      </c>
      <c r="C27" s="14" t="n">
        <v>15952</v>
      </c>
      <c r="D27" s="14" t="n">
        <v>7541</v>
      </c>
      <c r="E27" s="14" t="n">
        <v>15547</v>
      </c>
      <c r="F27" s="14" t="n">
        <v>11438</v>
      </c>
      <c r="G27" s="14" t="n">
        <v>3858</v>
      </c>
      <c r="H27" s="14" t="n">
        <v>5598</v>
      </c>
      <c r="I27" s="14" t="n">
        <v>5034</v>
      </c>
    </row>
    <row r="28" ht="15" customHeight="1" s="100">
      <c r="A28" s="17" t="inlineStr">
        <is>
          <t xml:space="preserve">Public assembly </t>
        </is>
      </c>
      <c r="B28" s="14" t="n">
        <v>5559</v>
      </c>
      <c r="C28" s="14" t="n">
        <v>5527</v>
      </c>
      <c r="D28" s="14" t="n">
        <v>3035</v>
      </c>
      <c r="E28" s="14" t="n">
        <v>5208</v>
      </c>
      <c r="F28" s="14" t="n">
        <v>4125</v>
      </c>
      <c r="G28" s="14" t="n">
        <v>1922</v>
      </c>
      <c r="H28" s="14" t="n">
        <v>2172</v>
      </c>
      <c r="I28" s="14" t="n">
        <v>1955</v>
      </c>
    </row>
    <row r="29" ht="15" customHeight="1" s="100">
      <c r="A29" s="17" t="inlineStr">
        <is>
          <t xml:space="preserve">Public order and safety </t>
        </is>
      </c>
      <c r="B29" s="14" t="n">
        <v>1440</v>
      </c>
      <c r="C29" s="14" t="n">
        <v>1414</v>
      </c>
      <c r="D29" s="14" t="n">
        <v>623</v>
      </c>
      <c r="E29" s="14" t="n">
        <v>1375</v>
      </c>
      <c r="F29" s="14" t="n">
        <v>1086</v>
      </c>
      <c r="G29" s="14" t="n">
        <v>404</v>
      </c>
      <c r="H29" s="14" t="n">
        <v>416</v>
      </c>
      <c r="I29" s="14" t="n">
        <v>360</v>
      </c>
    </row>
    <row r="30" ht="15" customHeight="1" s="100">
      <c r="A30" s="17" t="inlineStr">
        <is>
          <t xml:space="preserve">Religious worship </t>
        </is>
      </c>
      <c r="B30" s="14" t="n">
        <v>4557</v>
      </c>
      <c r="C30" s="14" t="n">
        <v>4557</v>
      </c>
      <c r="D30" s="14" t="n">
        <v>3015</v>
      </c>
      <c r="E30" s="14" t="n">
        <v>4293</v>
      </c>
      <c r="F30" s="14" t="n">
        <v>3187</v>
      </c>
      <c r="G30" s="14" t="n">
        <v>839</v>
      </c>
      <c r="H30" s="14" t="n">
        <v>1540</v>
      </c>
      <c r="I30" s="14" t="n">
        <v>902</v>
      </c>
    </row>
    <row r="31" ht="15" customHeight="1" s="100">
      <c r="A31" s="17" t="inlineStr">
        <is>
          <t xml:space="preserve">Service </t>
        </is>
      </c>
      <c r="B31" s="14" t="n">
        <v>4630</v>
      </c>
      <c r="C31" s="14" t="n">
        <v>4379</v>
      </c>
      <c r="D31" s="14" t="n">
        <v>1026</v>
      </c>
      <c r="E31" s="14" t="n">
        <v>4142</v>
      </c>
      <c r="F31" s="14" t="n">
        <v>1569</v>
      </c>
      <c r="G31" s="14" t="n">
        <v>980</v>
      </c>
      <c r="H31" s="14" t="n">
        <v>1024</v>
      </c>
      <c r="I31" s="14" t="inlineStr">
        <is>
          <t>Q</t>
        </is>
      </c>
    </row>
    <row r="32" ht="15" customHeight="1" s="100">
      <c r="A32" s="17" t="inlineStr">
        <is>
          <t xml:space="preserve">Warehouse and storage </t>
        </is>
      </c>
      <c r="B32" s="14" t="n">
        <v>13077</v>
      </c>
      <c r="C32" s="14" t="n">
        <v>12079</v>
      </c>
      <c r="D32" s="14" t="n">
        <v>3094</v>
      </c>
      <c r="E32" s="14" t="n">
        <v>11280</v>
      </c>
      <c r="F32" s="14" t="n">
        <v>4040</v>
      </c>
      <c r="G32" s="14" t="n">
        <v>2934</v>
      </c>
      <c r="H32" s="14" t="n">
        <v>2438</v>
      </c>
      <c r="I32" s="14" t="n">
        <v>998</v>
      </c>
    </row>
    <row r="33" ht="15" customHeight="1" s="100">
      <c r="A33" s="17" t="inlineStr">
        <is>
          <t xml:space="preserve">Other </t>
        </is>
      </c>
      <c r="B33" s="14" t="n">
        <v>2002</v>
      </c>
      <c r="C33" s="14" t="n">
        <v>1930</v>
      </c>
      <c r="D33" s="14" t="n">
        <v>790</v>
      </c>
      <c r="E33" s="14" t="n">
        <v>1880</v>
      </c>
      <c r="F33" s="14" t="n">
        <v>783</v>
      </c>
      <c r="G33" s="14" t="n">
        <v>383</v>
      </c>
      <c r="H33" s="14" t="n">
        <v>344</v>
      </c>
      <c r="I33" s="14" t="n">
        <v>290</v>
      </c>
    </row>
    <row r="34" ht="15" customHeight="1" s="100">
      <c r="A34" s="17" t="inlineStr">
        <is>
          <t xml:space="preserve">Vacant </t>
        </is>
      </c>
      <c r="B34" s="14" t="n">
        <v>3256</v>
      </c>
      <c r="C34" s="14" t="n">
        <v>1128</v>
      </c>
      <c r="D34" s="14" t="n">
        <v>288</v>
      </c>
      <c r="E34" s="14" t="n">
        <v>1076</v>
      </c>
      <c r="F34" s="14" t="n">
        <v>445</v>
      </c>
      <c r="G34" s="14" t="inlineStr">
        <is>
          <t>Q</t>
        </is>
      </c>
      <c r="H34" s="14" t="inlineStr">
        <is>
          <t>Q</t>
        </is>
      </c>
      <c r="I34" s="14" t="inlineStr">
        <is>
          <t>Q</t>
        </is>
      </c>
    </row>
    <row r="35" ht="24" customHeight="1" s="100">
      <c r="A35" s="15" t="inlineStr">
        <is>
          <t>Year constructed</t>
        </is>
      </c>
      <c r="B35" s="15" t="n"/>
      <c r="C35" s="15" t="n"/>
      <c r="D35" s="15" t="n"/>
      <c r="E35" s="15" t="n"/>
      <c r="F35" s="15" t="n"/>
      <c r="G35" s="15" t="n"/>
      <c r="H35" s="15" t="n"/>
      <c r="I35" s="15" t="n"/>
    </row>
    <row r="36" ht="15" customHeight="1" s="100">
      <c r="A36" s="17" t="inlineStr">
        <is>
          <t>Before 1920</t>
        </is>
      </c>
      <c r="B36" s="14" t="n">
        <v>3983</v>
      </c>
      <c r="C36" s="14" t="n">
        <v>3715</v>
      </c>
      <c r="D36" s="14" t="n">
        <v>2292</v>
      </c>
      <c r="E36" s="14" t="n">
        <v>3280</v>
      </c>
      <c r="F36" s="14" t="n">
        <v>2346</v>
      </c>
      <c r="G36" s="14" t="n">
        <v>763</v>
      </c>
      <c r="H36" s="14" t="n">
        <v>1208</v>
      </c>
      <c r="I36" s="14" t="n">
        <v>744</v>
      </c>
    </row>
    <row r="37" ht="15" customHeight="1" s="100">
      <c r="A37" s="17" t="inlineStr">
        <is>
          <t>1920 to 1945</t>
        </is>
      </c>
      <c r="B37" s="14" t="n">
        <v>6025</v>
      </c>
      <c r="C37" s="14" t="n">
        <v>5774</v>
      </c>
      <c r="D37" s="14" t="n">
        <v>2750</v>
      </c>
      <c r="E37" s="14" t="n">
        <v>5472</v>
      </c>
      <c r="F37" s="14" t="n">
        <v>3714</v>
      </c>
      <c r="G37" s="14" t="n">
        <v>1337</v>
      </c>
      <c r="H37" s="14" t="n">
        <v>1948</v>
      </c>
      <c r="I37" s="14" t="n">
        <v>1528</v>
      </c>
    </row>
    <row r="38" ht="15" customHeight="1" s="100">
      <c r="A38" s="17" t="inlineStr">
        <is>
          <t>1946 to 1959</t>
        </is>
      </c>
      <c r="B38" s="14" t="n">
        <v>7381</v>
      </c>
      <c r="C38" s="14" t="n">
        <v>7087</v>
      </c>
      <c r="D38" s="14" t="n">
        <v>3494</v>
      </c>
      <c r="E38" s="14" t="n">
        <v>6860</v>
      </c>
      <c r="F38" s="14" t="n">
        <v>4340</v>
      </c>
      <c r="G38" s="14" t="n">
        <v>1785</v>
      </c>
      <c r="H38" s="14" t="n">
        <v>2028</v>
      </c>
      <c r="I38" s="14" t="n">
        <v>1306</v>
      </c>
    </row>
    <row r="39" ht="15" customHeight="1" s="100">
      <c r="A39" s="17" t="inlineStr">
        <is>
          <t>1960 to 1969</t>
        </is>
      </c>
      <c r="B39" s="14" t="n">
        <v>10362</v>
      </c>
      <c r="C39" s="14" t="n">
        <v>10061</v>
      </c>
      <c r="D39" s="14" t="n">
        <v>4629</v>
      </c>
      <c r="E39" s="14" t="n">
        <v>9857</v>
      </c>
      <c r="F39" s="14" t="n">
        <v>6463</v>
      </c>
      <c r="G39" s="14" t="n">
        <v>2525</v>
      </c>
      <c r="H39" s="14" t="n">
        <v>2948</v>
      </c>
      <c r="I39" s="14" t="n">
        <v>2224</v>
      </c>
    </row>
    <row r="40" ht="15" customHeight="1" s="100">
      <c r="A40" s="17" t="inlineStr">
        <is>
          <t>1970 to 1979</t>
        </is>
      </c>
      <c r="B40" s="14" t="n">
        <v>10846</v>
      </c>
      <c r="C40" s="14" t="n">
        <v>10354</v>
      </c>
      <c r="D40" s="14" t="n">
        <v>5560</v>
      </c>
      <c r="E40" s="14" t="n">
        <v>9992</v>
      </c>
      <c r="F40" s="14" t="n">
        <v>6913</v>
      </c>
      <c r="G40" s="14" t="n">
        <v>3311</v>
      </c>
      <c r="H40" s="14" t="n">
        <v>3418</v>
      </c>
      <c r="I40" s="14" t="n">
        <v>2632</v>
      </c>
    </row>
    <row r="41" ht="15" customHeight="1" s="100">
      <c r="A41" s="17" t="inlineStr">
        <is>
          <t>1980 to 1989</t>
        </is>
      </c>
      <c r="B41" s="14" t="n">
        <v>15230</v>
      </c>
      <c r="C41" s="14" t="n">
        <v>14688</v>
      </c>
      <c r="D41" s="14" t="n">
        <v>6972</v>
      </c>
      <c r="E41" s="14" t="n">
        <v>14263</v>
      </c>
      <c r="F41" s="14" t="n">
        <v>9199</v>
      </c>
      <c r="G41" s="14" t="n">
        <v>4591</v>
      </c>
      <c r="H41" s="14" t="n">
        <v>5124</v>
      </c>
      <c r="I41" s="14" t="n">
        <v>4374</v>
      </c>
    </row>
    <row r="42" ht="15" customHeight="1" s="100">
      <c r="A42" s="17" t="inlineStr">
        <is>
          <t>1990 to 1999</t>
        </is>
      </c>
      <c r="B42" s="14" t="n">
        <v>13803</v>
      </c>
      <c r="C42" s="14" t="n">
        <v>12856</v>
      </c>
      <c r="D42" s="14" t="n">
        <v>5494</v>
      </c>
      <c r="E42" s="14" t="n">
        <v>12267</v>
      </c>
      <c r="F42" s="14" t="n">
        <v>8327</v>
      </c>
      <c r="G42" s="14" t="n">
        <v>4127</v>
      </c>
      <c r="H42" s="14" t="n">
        <v>4364</v>
      </c>
      <c r="I42" s="14" t="n">
        <v>3489</v>
      </c>
    </row>
    <row r="43" ht="15" customHeight="1" s="100">
      <c r="A43" s="17" t="inlineStr">
        <is>
          <t>2000 to 2003</t>
        </is>
      </c>
      <c r="B43" s="14" t="n">
        <v>7215</v>
      </c>
      <c r="C43" s="14" t="n">
        <v>7100</v>
      </c>
      <c r="D43" s="14" t="n">
        <v>2874</v>
      </c>
      <c r="E43" s="14" t="n">
        <v>6810</v>
      </c>
      <c r="F43" s="14" t="n">
        <v>4692</v>
      </c>
      <c r="G43" s="14" t="n">
        <v>2072</v>
      </c>
      <c r="H43" s="14" t="n">
        <v>2580</v>
      </c>
      <c r="I43" s="14" t="n">
        <v>1915</v>
      </c>
    </row>
    <row r="44" ht="15" customHeight="1" s="100">
      <c r="A44" s="17" t="inlineStr">
        <is>
          <t>2004 to 2007</t>
        </is>
      </c>
      <c r="B44" s="14" t="n">
        <v>6524</v>
      </c>
      <c r="C44" s="14" t="n">
        <v>6378</v>
      </c>
      <c r="D44" s="14" t="n">
        <v>2745</v>
      </c>
      <c r="E44" s="14" t="n">
        <v>6209</v>
      </c>
      <c r="F44" s="14" t="n">
        <v>4249</v>
      </c>
      <c r="G44" s="14" t="n">
        <v>1770</v>
      </c>
      <c r="H44" s="14" t="n">
        <v>2514</v>
      </c>
      <c r="I44" s="14" t="n">
        <v>2113</v>
      </c>
    </row>
    <row r="45" ht="15" customHeight="1" s="100">
      <c r="A45" s="17" t="inlineStr">
        <is>
          <t>2008 to 2012</t>
        </is>
      </c>
      <c r="B45" s="14" t="n">
        <v>5723</v>
      </c>
      <c r="C45" s="14" t="n">
        <v>5556</v>
      </c>
      <c r="D45" s="14" t="n">
        <v>1595</v>
      </c>
      <c r="E45" s="14" t="n">
        <v>5070</v>
      </c>
      <c r="F45" s="14" t="n">
        <v>3574</v>
      </c>
      <c r="G45" s="14" t="n">
        <v>1116</v>
      </c>
      <c r="H45" s="14" t="n">
        <v>1929</v>
      </c>
      <c r="I45" s="14" t="n">
        <v>1747</v>
      </c>
    </row>
    <row r="46" ht="24" customHeight="1" s="100">
      <c r="A46" s="15" t="inlineStr">
        <is>
          <t>Census region and division</t>
        </is>
      </c>
      <c r="B46" s="16" t="n"/>
      <c r="C46" s="16" t="n"/>
      <c r="D46" s="16" t="n"/>
      <c r="E46" s="16" t="n"/>
      <c r="F46" s="16" t="n"/>
      <c r="G46" s="16" t="n"/>
      <c r="H46" s="16" t="n"/>
      <c r="I46" s="16" t="n"/>
    </row>
    <row r="47" ht="15" customHeight="1" s="100">
      <c r="A47" s="17" t="inlineStr">
        <is>
          <t>Northeast</t>
        </is>
      </c>
      <c r="B47" s="14" t="n">
        <v>15534</v>
      </c>
      <c r="C47" s="14" t="n">
        <v>15071</v>
      </c>
      <c r="D47" s="14" t="n">
        <v>7565</v>
      </c>
      <c r="E47" s="14" t="n">
        <v>14473</v>
      </c>
      <c r="F47" s="14" t="n">
        <v>10771</v>
      </c>
      <c r="G47" s="14" t="n">
        <v>4510</v>
      </c>
      <c r="H47" s="14" t="n">
        <v>5267</v>
      </c>
      <c r="I47" s="14" t="n">
        <v>4752</v>
      </c>
    </row>
    <row r="48" ht="15" customHeight="1" s="100">
      <c r="A48" s="18" t="inlineStr">
        <is>
          <t xml:space="preserve">New England </t>
        </is>
      </c>
      <c r="B48" s="14" t="n">
        <v>4302</v>
      </c>
      <c r="C48" s="14" t="n">
        <v>4062</v>
      </c>
      <c r="D48" s="14" t="n">
        <v>2046</v>
      </c>
      <c r="E48" s="14" t="n">
        <v>3771</v>
      </c>
      <c r="F48" s="14" t="n">
        <v>2886</v>
      </c>
      <c r="G48" s="14" t="n">
        <v>1161</v>
      </c>
      <c r="H48" s="14" t="n">
        <v>1494</v>
      </c>
      <c r="I48" s="14" t="n">
        <v>1363</v>
      </c>
    </row>
    <row r="49" ht="15" customHeight="1" s="100">
      <c r="A49" s="18" t="inlineStr">
        <is>
          <t>Middle Atlantic</t>
        </is>
      </c>
      <c r="B49" s="14" t="n">
        <v>11232</v>
      </c>
      <c r="C49" s="14" t="n">
        <v>11009</v>
      </c>
      <c r="D49" s="14" t="n">
        <v>5520</v>
      </c>
      <c r="E49" s="14" t="n">
        <v>10702</v>
      </c>
      <c r="F49" s="14" t="n">
        <v>7886</v>
      </c>
      <c r="G49" s="14" t="n">
        <v>3349</v>
      </c>
      <c r="H49" s="14" t="n">
        <v>3774</v>
      </c>
      <c r="I49" s="14" t="n">
        <v>3388</v>
      </c>
    </row>
    <row r="50" ht="15" customHeight="1" s="100">
      <c r="A50" s="17" t="inlineStr">
        <is>
          <t>Midwest</t>
        </is>
      </c>
      <c r="B50" s="14" t="n">
        <v>18919</v>
      </c>
      <c r="C50" s="14" t="n">
        <v>18190</v>
      </c>
      <c r="D50" s="14" t="n">
        <v>9038</v>
      </c>
      <c r="E50" s="14" t="n">
        <v>17514</v>
      </c>
      <c r="F50" s="14" t="n">
        <v>11841</v>
      </c>
      <c r="G50" s="14" t="n">
        <v>5357</v>
      </c>
      <c r="H50" s="14" t="n">
        <v>6169</v>
      </c>
      <c r="I50" s="14" t="n">
        <v>5148</v>
      </c>
    </row>
    <row r="51" ht="15" customHeight="1" s="100">
      <c r="A51" s="18" t="inlineStr">
        <is>
          <t>East North Central</t>
        </is>
      </c>
      <c r="B51" s="14" t="n">
        <v>12742</v>
      </c>
      <c r="C51" s="14" t="n">
        <v>12323</v>
      </c>
      <c r="D51" s="14" t="n">
        <v>6180</v>
      </c>
      <c r="E51" s="14" t="n">
        <v>11880</v>
      </c>
      <c r="F51" s="14" t="n">
        <v>8336</v>
      </c>
      <c r="G51" s="14" t="n">
        <v>4102</v>
      </c>
      <c r="H51" s="14" t="n">
        <v>4590</v>
      </c>
      <c r="I51" s="14" t="n">
        <v>3759</v>
      </c>
    </row>
    <row r="52" ht="15" customHeight="1" s="100">
      <c r="A52" s="18" t="inlineStr">
        <is>
          <t>West North Central</t>
        </is>
      </c>
      <c r="B52" s="14" t="n">
        <v>6178</v>
      </c>
      <c r="C52" s="14" t="n">
        <v>5867</v>
      </c>
      <c r="D52" s="14" t="n">
        <v>2858</v>
      </c>
      <c r="E52" s="14" t="n">
        <v>5634</v>
      </c>
      <c r="F52" s="14" t="n">
        <v>3505</v>
      </c>
      <c r="G52" s="14" t="n">
        <v>1255</v>
      </c>
      <c r="H52" s="14" t="n">
        <v>1578</v>
      </c>
      <c r="I52" s="14" t="n">
        <v>1389</v>
      </c>
    </row>
    <row r="53" ht="15" customHeight="1" s="100">
      <c r="A53" s="17" t="inlineStr">
        <is>
          <t>South</t>
        </is>
      </c>
      <c r="B53" s="14" t="n">
        <v>34279</v>
      </c>
      <c r="C53" s="14" t="n">
        <v>32621</v>
      </c>
      <c r="D53" s="14" t="n">
        <v>14581</v>
      </c>
      <c r="E53" s="14" t="n">
        <v>31363</v>
      </c>
      <c r="F53" s="14" t="n">
        <v>20042</v>
      </c>
      <c r="G53" s="14" t="n">
        <v>9347</v>
      </c>
      <c r="H53" s="14" t="n">
        <v>10970</v>
      </c>
      <c r="I53" s="14" t="n">
        <v>7559</v>
      </c>
    </row>
    <row r="54" ht="15" customHeight="1" s="100">
      <c r="A54" s="18" t="inlineStr">
        <is>
          <t xml:space="preserve">South Atlantic </t>
        </is>
      </c>
      <c r="B54" s="14" t="n">
        <v>17981</v>
      </c>
      <c r="C54" s="14" t="n">
        <v>17449</v>
      </c>
      <c r="D54" s="14" t="n">
        <v>7828</v>
      </c>
      <c r="E54" s="14" t="n">
        <v>16888</v>
      </c>
      <c r="F54" s="14" t="n">
        <v>10855</v>
      </c>
      <c r="G54" s="14" t="n">
        <v>5325</v>
      </c>
      <c r="H54" s="14" t="n">
        <v>6161</v>
      </c>
      <c r="I54" s="14" t="n">
        <v>4553</v>
      </c>
    </row>
    <row r="55" ht="15" customHeight="1" s="100">
      <c r="A55" s="18" t="inlineStr">
        <is>
          <t>East South Central</t>
        </is>
      </c>
      <c r="B55" s="14" t="n">
        <v>4904</v>
      </c>
      <c r="C55" s="14" t="n">
        <v>4726</v>
      </c>
      <c r="D55" s="14" t="n">
        <v>2468</v>
      </c>
      <c r="E55" s="14" t="n">
        <v>4573</v>
      </c>
      <c r="F55" s="14" t="n">
        <v>2923</v>
      </c>
      <c r="G55" s="14" t="n">
        <v>1182</v>
      </c>
      <c r="H55" s="14" t="n">
        <v>1349</v>
      </c>
      <c r="I55" s="14" t="n">
        <v>1232</v>
      </c>
    </row>
    <row r="56" ht="15" customHeight="1" s="100">
      <c r="A56" s="18" t="inlineStr">
        <is>
          <t>West South Central</t>
        </is>
      </c>
      <c r="B56" s="14" t="n">
        <v>11394</v>
      </c>
      <c r="C56" s="14" t="n">
        <v>10446</v>
      </c>
      <c r="D56" s="14" t="n">
        <v>4286</v>
      </c>
      <c r="E56" s="14" t="n">
        <v>9901</v>
      </c>
      <c r="F56" s="14" t="n">
        <v>6263</v>
      </c>
      <c r="G56" s="14" t="n">
        <v>2841</v>
      </c>
      <c r="H56" s="14" t="n">
        <v>3459</v>
      </c>
      <c r="I56" s="14" t="n">
        <v>1774</v>
      </c>
    </row>
    <row r="57" ht="15" customHeight="1" s="100">
      <c r="A57" s="17" t="inlineStr">
        <is>
          <t>West</t>
        </is>
      </c>
      <c r="B57" s="14" t="n">
        <v>18360</v>
      </c>
      <c r="C57" s="14" t="n">
        <v>17687</v>
      </c>
      <c r="D57" s="14" t="n">
        <v>7222</v>
      </c>
      <c r="E57" s="14" t="n">
        <v>16732</v>
      </c>
      <c r="F57" s="14" t="n">
        <v>11163</v>
      </c>
      <c r="G57" s="14" t="n">
        <v>4182</v>
      </c>
      <c r="H57" s="14" t="n">
        <v>5653</v>
      </c>
      <c r="I57" s="14" t="n">
        <v>4612</v>
      </c>
    </row>
    <row r="58" ht="15" customHeight="1" s="100">
      <c r="A58" s="18" t="inlineStr">
        <is>
          <t>Mountain</t>
        </is>
      </c>
      <c r="B58" s="14" t="n">
        <v>4981</v>
      </c>
      <c r="C58" s="14" t="n">
        <v>4677</v>
      </c>
      <c r="D58" s="14" t="n">
        <v>2253</v>
      </c>
      <c r="E58" s="14" t="n">
        <v>4529</v>
      </c>
      <c r="F58" s="14" t="n">
        <v>3007</v>
      </c>
      <c r="G58" s="14" t="n">
        <v>1314</v>
      </c>
      <c r="H58" s="14" t="n">
        <v>1663</v>
      </c>
      <c r="I58" s="14" t="n">
        <v>1513</v>
      </c>
    </row>
    <row r="59" ht="15" customHeight="1" s="100">
      <c r="A59" s="18" t="inlineStr">
        <is>
          <t>Pacific</t>
        </is>
      </c>
      <c r="B59" s="14" t="n">
        <v>13379</v>
      </c>
      <c r="C59" s="14" t="n">
        <v>13010</v>
      </c>
      <c r="D59" s="14" t="n">
        <v>4969</v>
      </c>
      <c r="E59" s="14" t="n">
        <v>12203</v>
      </c>
      <c r="F59" s="14" t="n">
        <v>8156</v>
      </c>
      <c r="G59" s="14" t="n">
        <v>2868</v>
      </c>
      <c r="H59" s="14" t="n">
        <v>3990</v>
      </c>
      <c r="I59" s="14" t="n">
        <v>3099</v>
      </c>
    </row>
    <row r="60" ht="24" customHeight="1" s="100">
      <c r="A60" s="15" t="inlineStr">
        <is>
          <t>Climate region1</t>
        </is>
      </c>
      <c r="B60" s="15" t="n"/>
      <c r="C60" s="15" t="n"/>
      <c r="D60" s="15" t="n"/>
      <c r="E60" s="15" t="n"/>
      <c r="F60" s="15" t="n"/>
      <c r="G60" s="15" t="n"/>
      <c r="H60" s="15" t="n"/>
      <c r="I60" s="15" t="n"/>
    </row>
    <row r="61">
      <c r="A61" s="17" t="inlineStr">
        <is>
          <t>Very cold/Cold</t>
        </is>
      </c>
      <c r="B61" s="14" t="n">
        <v>31898</v>
      </c>
      <c r="C61" s="14" t="n">
        <v>30542</v>
      </c>
      <c r="D61" s="14" t="n">
        <v>14837</v>
      </c>
      <c r="E61" s="14" t="n">
        <v>29315</v>
      </c>
      <c r="F61" s="14" t="n">
        <v>20485</v>
      </c>
      <c r="G61" s="14" t="n">
        <v>8734</v>
      </c>
      <c r="H61" s="14" t="n">
        <v>10366</v>
      </c>
      <c r="I61" s="14" t="n">
        <v>9156</v>
      </c>
    </row>
    <row r="62">
      <c r="A62" s="17" t="inlineStr">
        <is>
          <t>Mixed-humid</t>
        </is>
      </c>
      <c r="B62" s="14" t="n">
        <v>27873</v>
      </c>
      <c r="C62" s="14" t="n">
        <v>27096</v>
      </c>
      <c r="D62" s="14" t="n">
        <v>13429</v>
      </c>
      <c r="E62" s="14" t="n">
        <v>26407</v>
      </c>
      <c r="F62" s="14" t="n">
        <v>17410</v>
      </c>
      <c r="G62" s="14" t="n">
        <v>8547</v>
      </c>
      <c r="H62" s="14" t="n">
        <v>9391</v>
      </c>
      <c r="I62" s="14" t="n">
        <v>6936</v>
      </c>
    </row>
    <row r="63">
      <c r="A63" s="17" t="inlineStr">
        <is>
          <t>Mixed-dry/Hot-dry</t>
        </is>
      </c>
      <c r="B63" s="14" t="n">
        <v>12037</v>
      </c>
      <c r="C63" s="14" t="n">
        <v>11670</v>
      </c>
      <c r="D63" s="14" t="n">
        <v>4139</v>
      </c>
      <c r="E63" s="14" t="n">
        <v>11018</v>
      </c>
      <c r="F63" s="14" t="n">
        <v>6692</v>
      </c>
      <c r="G63" s="14" t="n">
        <v>2661</v>
      </c>
      <c r="H63" s="14" t="n">
        <v>3257</v>
      </c>
      <c r="I63" s="14" t="n">
        <v>2514</v>
      </c>
    </row>
    <row r="64">
      <c r="A64" s="17" t="inlineStr">
        <is>
          <t>Hot-humid</t>
        </is>
      </c>
      <c r="B64" s="14" t="n">
        <v>12831</v>
      </c>
      <c r="C64" s="14" t="n">
        <v>11881</v>
      </c>
      <c r="D64" s="14" t="n">
        <v>4769</v>
      </c>
      <c r="E64" s="14" t="n">
        <v>11096</v>
      </c>
      <c r="F64" s="14" t="n">
        <v>7285</v>
      </c>
      <c r="G64" s="14" t="n">
        <v>3035</v>
      </c>
      <c r="H64" s="14" t="n">
        <v>4152</v>
      </c>
      <c r="I64" s="14" t="n">
        <v>2733</v>
      </c>
    </row>
    <row r="65">
      <c r="A65" s="17" t="inlineStr">
        <is>
          <t>Marine</t>
        </is>
      </c>
      <c r="B65" s="14" t="n">
        <v>2454</v>
      </c>
      <c r="C65" s="14" t="n">
        <v>2381</v>
      </c>
      <c r="D65" s="14" t="n">
        <v>1232</v>
      </c>
      <c r="E65" s="14" t="n">
        <v>2246</v>
      </c>
      <c r="F65" s="14" t="n">
        <v>1944</v>
      </c>
      <c r="G65" s="14" t="n">
        <v>420</v>
      </c>
      <c r="H65" s="14" t="n">
        <v>893</v>
      </c>
      <c r="I65" s="14" t="n">
        <v>732</v>
      </c>
    </row>
    <row r="66" ht="24" customHeight="1" s="100">
      <c r="A66" s="15" t="inlineStr">
        <is>
          <t>Number of floors</t>
        </is>
      </c>
      <c r="B66" s="15" t="n"/>
      <c r="C66" s="15" t="n"/>
      <c r="D66" s="15" t="n"/>
      <c r="E66" s="15" t="n"/>
      <c r="F66" s="15" t="n"/>
      <c r="G66" s="15" t="n"/>
      <c r="H66" s="15" t="n"/>
      <c r="I66" s="15" t="n"/>
    </row>
    <row r="67">
      <c r="A67" s="17" t="inlineStr">
        <is>
          <t>One</t>
        </is>
      </c>
      <c r="B67" s="14" t="n">
        <v>39809</v>
      </c>
      <c r="C67" s="14" t="n">
        <v>37113</v>
      </c>
      <c r="D67" s="14" t="n">
        <v>13966</v>
      </c>
      <c r="E67" s="14" t="n">
        <v>34818</v>
      </c>
      <c r="F67" s="14" t="n">
        <v>18664</v>
      </c>
      <c r="G67" s="14" t="n">
        <v>8474</v>
      </c>
      <c r="H67" s="14" t="n">
        <v>9952</v>
      </c>
      <c r="I67" s="14" t="n">
        <v>6930</v>
      </c>
    </row>
    <row r="68">
      <c r="A68" s="17" t="inlineStr">
        <is>
          <t>Two</t>
        </is>
      </c>
      <c r="B68" s="14" t="n">
        <v>20206</v>
      </c>
      <c r="C68" s="14" t="n">
        <v>19726</v>
      </c>
      <c r="D68" s="14" t="n">
        <v>9208</v>
      </c>
      <c r="E68" s="14" t="n">
        <v>19068</v>
      </c>
      <c r="F68" s="14" t="n">
        <v>12629</v>
      </c>
      <c r="G68" s="14" t="n">
        <v>5326</v>
      </c>
      <c r="H68" s="14" t="n">
        <v>5781</v>
      </c>
      <c r="I68" s="14" t="n">
        <v>3905</v>
      </c>
    </row>
    <row r="69">
      <c r="A69" s="17" t="inlineStr">
        <is>
          <t>Three</t>
        </is>
      </c>
      <c r="B69" s="14" t="n">
        <v>8140</v>
      </c>
      <c r="C69" s="14" t="n">
        <v>8055</v>
      </c>
      <c r="D69" s="14" t="n">
        <v>3886</v>
      </c>
      <c r="E69" s="14" t="n">
        <v>7767</v>
      </c>
      <c r="F69" s="14" t="n">
        <v>5761</v>
      </c>
      <c r="G69" s="14" t="n">
        <v>2239</v>
      </c>
      <c r="H69" s="14" t="n">
        <v>2789</v>
      </c>
      <c r="I69" s="14" t="n">
        <v>1950</v>
      </c>
    </row>
    <row r="70">
      <c r="A70" s="17" t="inlineStr">
        <is>
          <t>Four to nine</t>
        </is>
      </c>
      <c r="B70" s="14" t="n">
        <v>13535</v>
      </c>
      <c r="C70" s="14" t="n">
        <v>13307</v>
      </c>
      <c r="D70" s="14" t="n">
        <v>7842</v>
      </c>
      <c r="E70" s="14" t="n">
        <v>13083</v>
      </c>
      <c r="F70" s="14" t="n">
        <v>11610</v>
      </c>
      <c r="G70" s="14" t="n">
        <v>4469</v>
      </c>
      <c r="H70" s="14" t="n">
        <v>6053</v>
      </c>
      <c r="I70" s="14" t="n">
        <v>5642</v>
      </c>
    </row>
    <row r="71">
      <c r="A71" s="17" t="inlineStr">
        <is>
          <t>Ten or more</t>
        </is>
      </c>
      <c r="B71" s="14" t="n">
        <v>5404</v>
      </c>
      <c r="C71" s="14" t="n">
        <v>5368</v>
      </c>
      <c r="D71" s="14" t="n">
        <v>3504</v>
      </c>
      <c r="E71" s="14" t="n">
        <v>5344</v>
      </c>
      <c r="F71" s="14" t="n">
        <v>5152</v>
      </c>
      <c r="G71" s="14" t="n">
        <v>2888</v>
      </c>
      <c r="H71" s="14" t="n">
        <v>3484</v>
      </c>
      <c r="I71" s="14" t="n">
        <v>3645</v>
      </c>
    </row>
    <row r="72" ht="24" customHeight="1" s="100">
      <c r="A72" s="15" t="inlineStr">
        <is>
          <t>Number of workers (main shift)</t>
        </is>
      </c>
      <c r="B72" s="21" t="n"/>
      <c r="C72" s="21" t="n"/>
      <c r="D72" s="21" t="n"/>
      <c r="E72" s="21" t="n"/>
      <c r="F72" s="21" t="n"/>
      <c r="G72" s="21" t="n"/>
      <c r="H72" s="21" t="n"/>
      <c r="I72" s="21" t="n"/>
    </row>
    <row r="73" ht="15" customHeight="1" s="100">
      <c r="A73" s="17" t="inlineStr">
        <is>
          <t>Fewer than 5</t>
        </is>
      </c>
      <c r="B73" s="14" t="n">
        <v>17751</v>
      </c>
      <c r="C73" s="14" t="n">
        <v>14286</v>
      </c>
      <c r="D73" s="14" t="n">
        <v>4834</v>
      </c>
      <c r="E73" s="14" t="n">
        <v>12622</v>
      </c>
      <c r="F73" s="14" t="n">
        <v>6162</v>
      </c>
      <c r="G73" s="14" t="n">
        <v>1664</v>
      </c>
      <c r="H73" s="14" t="n">
        <v>2418</v>
      </c>
      <c r="I73" s="14" t="n">
        <v>993</v>
      </c>
    </row>
    <row r="74" ht="15" customHeight="1" s="100">
      <c r="A74" s="17" t="inlineStr">
        <is>
          <t>5 to 9</t>
        </is>
      </c>
      <c r="B74" s="14" t="n">
        <v>8973</v>
      </c>
      <c r="C74" s="14" t="n">
        <v>8925</v>
      </c>
      <c r="D74" s="14" t="n">
        <v>3346</v>
      </c>
      <c r="E74" s="14" t="n">
        <v>8446</v>
      </c>
      <c r="F74" s="14" t="n">
        <v>4404</v>
      </c>
      <c r="G74" s="14" t="n">
        <v>1445</v>
      </c>
      <c r="H74" s="14" t="n">
        <v>1953</v>
      </c>
      <c r="I74" s="14" t="n">
        <v>902</v>
      </c>
    </row>
    <row r="75" ht="15" customHeight="1" s="100">
      <c r="A75" s="17" t="inlineStr">
        <is>
          <t>10 to 19</t>
        </is>
      </c>
      <c r="B75" s="14" t="n">
        <v>9623</v>
      </c>
      <c r="C75" s="14" t="n">
        <v>9614</v>
      </c>
      <c r="D75" s="14" t="n">
        <v>3753</v>
      </c>
      <c r="E75" s="14" t="n">
        <v>9292</v>
      </c>
      <c r="F75" s="14" t="n">
        <v>5181</v>
      </c>
      <c r="G75" s="14" t="n">
        <v>1673</v>
      </c>
      <c r="H75" s="14" t="n">
        <v>2355</v>
      </c>
      <c r="I75" s="14" t="n">
        <v>1360</v>
      </c>
    </row>
    <row r="76" ht="15" customHeight="1" s="100">
      <c r="A76" s="17" t="inlineStr">
        <is>
          <t>20 to 49</t>
        </is>
      </c>
      <c r="B76" s="14" t="n">
        <v>14514</v>
      </c>
      <c r="C76" s="14" t="n">
        <v>14512</v>
      </c>
      <c r="D76" s="14" t="n">
        <v>6370</v>
      </c>
      <c r="E76" s="14" t="n">
        <v>14195</v>
      </c>
      <c r="F76" s="14" t="n">
        <v>9078</v>
      </c>
      <c r="G76" s="14" t="n">
        <v>3603</v>
      </c>
      <c r="H76" s="14" t="n">
        <v>4800</v>
      </c>
      <c r="I76" s="14" t="n">
        <v>3548</v>
      </c>
    </row>
    <row r="77" ht="15" customHeight="1" s="100">
      <c r="A77" s="17" t="inlineStr">
        <is>
          <t>50 to 99</t>
        </is>
      </c>
      <c r="B77" s="14" t="n">
        <v>13476</v>
      </c>
      <c r="C77" s="14" t="n">
        <v>13476</v>
      </c>
      <c r="D77" s="14" t="n">
        <v>6902</v>
      </c>
      <c r="E77" s="14" t="n">
        <v>13040</v>
      </c>
      <c r="F77" s="14" t="n">
        <v>9597</v>
      </c>
      <c r="G77" s="14" t="n">
        <v>4563</v>
      </c>
      <c r="H77" s="14" t="n">
        <v>5243</v>
      </c>
      <c r="I77" s="14" t="n">
        <v>4223</v>
      </c>
    </row>
    <row r="78" ht="15" customHeight="1" s="100">
      <c r="A78" s="17" t="inlineStr">
        <is>
          <t>100 to 249</t>
        </is>
      </c>
      <c r="B78" s="14" t="n">
        <v>10941</v>
      </c>
      <c r="C78" s="14" t="n">
        <v>10941</v>
      </c>
      <c r="D78" s="14" t="n">
        <v>5568</v>
      </c>
      <c r="E78" s="14" t="n">
        <v>10782</v>
      </c>
      <c r="F78" s="14" t="n">
        <v>8461</v>
      </c>
      <c r="G78" s="14" t="n">
        <v>4441</v>
      </c>
      <c r="H78" s="14" t="n">
        <v>4227</v>
      </c>
      <c r="I78" s="14" t="n">
        <v>4231</v>
      </c>
    </row>
    <row r="79" ht="15" customHeight="1" s="100">
      <c r="A79" s="17" t="inlineStr">
        <is>
          <t>250 or more</t>
        </is>
      </c>
      <c r="B79" s="14" t="n">
        <v>11815</v>
      </c>
      <c r="C79" s="14" t="n">
        <v>11815</v>
      </c>
      <c r="D79" s="14" t="n">
        <v>7633</v>
      </c>
      <c r="E79" s="14" t="n">
        <v>11704</v>
      </c>
      <c r="F79" s="14" t="n">
        <v>10933</v>
      </c>
      <c r="G79" s="14" t="n">
        <v>6007</v>
      </c>
      <c r="H79" s="14" t="n">
        <v>7062</v>
      </c>
      <c r="I79" s="14" t="n">
        <v>6814</v>
      </c>
    </row>
    <row r="80" ht="24" customHeight="1" s="100">
      <c r="A80" s="15" t="inlineStr">
        <is>
          <t>Weekly operating hours</t>
        </is>
      </c>
      <c r="B80" s="21" t="n"/>
      <c r="C80" s="21" t="n"/>
      <c r="D80" s="21" t="n"/>
      <c r="E80" s="21" t="n"/>
      <c r="F80" s="21" t="n"/>
      <c r="G80" s="21" t="n"/>
      <c r="H80" s="21" t="n"/>
      <c r="I80" s="21" t="n"/>
    </row>
    <row r="81" ht="15" customHeight="1" s="100">
      <c r="A81" s="17" t="inlineStr">
        <is>
          <t>Fewer than 40</t>
        </is>
      </c>
      <c r="B81" s="14" t="n">
        <v>8220</v>
      </c>
      <c r="C81" s="14" t="n">
        <v>5514</v>
      </c>
      <c r="D81" s="14" t="n">
        <v>2684</v>
      </c>
      <c r="E81" s="14" t="n">
        <v>5037</v>
      </c>
      <c r="F81" s="14" t="n">
        <v>2645</v>
      </c>
      <c r="G81" s="14" t="n">
        <v>754</v>
      </c>
      <c r="H81" s="14" t="n">
        <v>1073</v>
      </c>
      <c r="I81" s="14" t="n">
        <v>445</v>
      </c>
    </row>
    <row r="82" ht="15" customHeight="1" s="100">
      <c r="A82" s="17" t="inlineStr">
        <is>
          <t>40 to 48</t>
        </is>
      </c>
      <c r="B82" s="14" t="n">
        <v>15828</v>
      </c>
      <c r="C82" s="14" t="n">
        <v>15693</v>
      </c>
      <c r="D82" s="14" t="n">
        <v>6209</v>
      </c>
      <c r="E82" s="14" t="n">
        <v>15156</v>
      </c>
      <c r="F82" s="14" t="n">
        <v>7767</v>
      </c>
      <c r="G82" s="14" t="n">
        <v>3063</v>
      </c>
      <c r="H82" s="14" t="n">
        <v>3615</v>
      </c>
      <c r="I82" s="14" t="n">
        <v>1876</v>
      </c>
    </row>
    <row r="83" ht="15" customHeight="1" s="100">
      <c r="A83" s="17" t="inlineStr">
        <is>
          <t>49 to 60</t>
        </is>
      </c>
      <c r="B83" s="14" t="n">
        <v>20529</v>
      </c>
      <c r="C83" s="14" t="n">
        <v>20401</v>
      </c>
      <c r="D83" s="14" t="n">
        <v>7753</v>
      </c>
      <c r="E83" s="14" t="n">
        <v>19671</v>
      </c>
      <c r="F83" s="14" t="n">
        <v>12581</v>
      </c>
      <c r="G83" s="14" t="n">
        <v>5227</v>
      </c>
      <c r="H83" s="14" t="n">
        <v>5702</v>
      </c>
      <c r="I83" s="14" t="n">
        <v>4094</v>
      </c>
    </row>
    <row r="84" ht="15" customHeight="1" s="100">
      <c r="A84" s="17" t="inlineStr">
        <is>
          <t>61 to 84</t>
        </is>
      </c>
      <c r="B84" s="14" t="n">
        <v>15867</v>
      </c>
      <c r="C84" s="14" t="n">
        <v>15773</v>
      </c>
      <c r="D84" s="14" t="n">
        <v>8805</v>
      </c>
      <c r="E84" s="14" t="n">
        <v>15372</v>
      </c>
      <c r="F84" s="14" t="n">
        <v>11430</v>
      </c>
      <c r="G84" s="14" t="n">
        <v>5341</v>
      </c>
      <c r="H84" s="14" t="n">
        <v>6696</v>
      </c>
      <c r="I84" s="14" t="n">
        <v>6080</v>
      </c>
    </row>
    <row r="85" ht="15" customHeight="1" s="100">
      <c r="A85" s="17" t="inlineStr">
        <is>
          <t>85 to 167</t>
        </is>
      </c>
      <c r="B85" s="14" t="n">
        <v>9395</v>
      </c>
      <c r="C85" s="14" t="n">
        <v>9336</v>
      </c>
      <c r="D85" s="14" t="n">
        <v>4289</v>
      </c>
      <c r="E85" s="14" t="n">
        <v>8702</v>
      </c>
      <c r="F85" s="14" t="n">
        <v>6225</v>
      </c>
      <c r="G85" s="14" t="n">
        <v>2726</v>
      </c>
      <c r="H85" s="14" t="n">
        <v>3544</v>
      </c>
      <c r="I85" s="14" t="n">
        <v>2832</v>
      </c>
    </row>
    <row r="86" ht="15" customHeight="1" s="100">
      <c r="A86" s="17" t="inlineStr">
        <is>
          <t>Open continuously</t>
        </is>
      </c>
      <c r="B86" s="14" t="n">
        <v>17253</v>
      </c>
      <c r="C86" s="14" t="n">
        <v>16852</v>
      </c>
      <c r="D86" s="14" t="n">
        <v>8667</v>
      </c>
      <c r="E86" s="14" t="n">
        <v>16144</v>
      </c>
      <c r="F86" s="14" t="n">
        <v>13169</v>
      </c>
      <c r="G86" s="14" t="n">
        <v>6286</v>
      </c>
      <c r="H86" s="14" t="n">
        <v>7428</v>
      </c>
      <c r="I86" s="14" t="n">
        <v>6745</v>
      </c>
    </row>
    <row r="87" ht="24" customHeight="1" s="100">
      <c r="A87" s="15" t="inlineStr">
        <is>
          <t>Ownership and occupancy</t>
        </is>
      </c>
      <c r="B87" s="21" t="n"/>
      <c r="C87" s="21" t="n"/>
      <c r="D87" s="21" t="n"/>
      <c r="E87" s="21" t="n"/>
      <c r="F87" s="21" t="n"/>
      <c r="G87" s="21" t="n"/>
      <c r="H87" s="21" t="n"/>
      <c r="I87" s="21" t="n"/>
    </row>
    <row r="88" ht="15" customHeight="1" s="100">
      <c r="A88" s="17" t="inlineStr">
        <is>
          <t>Nongovernment owned</t>
        </is>
      </c>
      <c r="B88" s="14" t="n">
        <v>67550</v>
      </c>
      <c r="C88" s="14" t="n">
        <v>64509</v>
      </c>
      <c r="D88" s="14" t="n">
        <v>29885</v>
      </c>
      <c r="E88" s="14" t="n">
        <v>61330</v>
      </c>
      <c r="F88" s="14" t="n">
        <v>40348</v>
      </c>
      <c r="G88" s="14" t="n">
        <v>16399</v>
      </c>
      <c r="H88" s="14" t="n">
        <v>22488</v>
      </c>
      <c r="I88" s="14" t="n">
        <v>17210</v>
      </c>
    </row>
    <row r="89" ht="15" customHeight="1" s="100">
      <c r="A89" s="18" t="inlineStr">
        <is>
          <t>Owner occupied</t>
        </is>
      </c>
      <c r="B89" s="14" t="n">
        <v>30637</v>
      </c>
      <c r="C89" s="14" t="n">
        <v>29949</v>
      </c>
      <c r="D89" s="14" t="n">
        <v>13181</v>
      </c>
      <c r="E89" s="14" t="n">
        <v>28109</v>
      </c>
      <c r="F89" s="14" t="n">
        <v>18432</v>
      </c>
      <c r="G89" s="14" t="n">
        <v>6238</v>
      </c>
      <c r="H89" s="14" t="n">
        <v>8652</v>
      </c>
      <c r="I89" s="14" t="n">
        <v>6135</v>
      </c>
    </row>
    <row r="90" ht="15" customHeight="1" s="100">
      <c r="A90" s="18" t="inlineStr">
        <is>
          <t>Leased to tenant(s)</t>
        </is>
      </c>
      <c r="B90" s="14" t="n">
        <v>26115</v>
      </c>
      <c r="C90" s="14" t="n">
        <v>25543</v>
      </c>
      <c r="D90" s="14" t="n">
        <v>11650</v>
      </c>
      <c r="E90" s="14" t="n">
        <v>24494</v>
      </c>
      <c r="F90" s="14" t="n">
        <v>15538</v>
      </c>
      <c r="G90" s="14" t="n">
        <v>6932</v>
      </c>
      <c r="H90" s="14" t="n">
        <v>9504</v>
      </c>
      <c r="I90" s="14" t="n">
        <v>7422</v>
      </c>
    </row>
    <row r="91" ht="15" customHeight="1" s="100">
      <c r="A91" s="18" t="inlineStr">
        <is>
          <t>Owner occupied and leased</t>
        </is>
      </c>
      <c r="B91" s="14" t="n">
        <v>8873</v>
      </c>
      <c r="C91" s="14" t="n">
        <v>8778</v>
      </c>
      <c r="D91" s="14" t="n">
        <v>5011</v>
      </c>
      <c r="E91" s="14" t="n">
        <v>8508</v>
      </c>
      <c r="F91" s="14" t="n">
        <v>6323</v>
      </c>
      <c r="G91" s="14" t="n">
        <v>3190</v>
      </c>
      <c r="H91" s="14" t="n">
        <v>4293</v>
      </c>
      <c r="I91" s="14" t="n">
        <v>3647</v>
      </c>
    </row>
    <row r="92" ht="15" customHeight="1" s="100">
      <c r="A92" s="18" t="inlineStr">
        <is>
          <t>Unoccupied</t>
        </is>
      </c>
      <c r="B92" s="14" t="n">
        <v>1925</v>
      </c>
      <c r="C92" s="14" t="n">
        <v>239</v>
      </c>
      <c r="D92" s="14" t="inlineStr">
        <is>
          <t>Q</t>
        </is>
      </c>
      <c r="E92" s="14" t="n">
        <v>219</v>
      </c>
      <c r="F92" s="14" t="inlineStr">
        <is>
          <t>Q</t>
        </is>
      </c>
      <c r="G92" s="14" t="inlineStr">
        <is>
          <t>Q</t>
        </is>
      </c>
      <c r="H92" s="14" t="inlineStr">
        <is>
          <t>Q</t>
        </is>
      </c>
      <c r="I92" s="14" t="inlineStr">
        <is>
          <t>Q</t>
        </is>
      </c>
    </row>
    <row r="93" ht="15" customHeight="1" s="100">
      <c r="A93" s="17" t="inlineStr">
        <is>
          <t>Government owned</t>
        </is>
      </c>
      <c r="B93" s="14" t="n">
        <v>19543</v>
      </c>
      <c r="C93" s="14" t="n">
        <v>19060</v>
      </c>
      <c r="D93" s="14" t="n">
        <v>8522</v>
      </c>
      <c r="E93" s="14" t="n">
        <v>18751</v>
      </c>
      <c r="F93" s="14" t="n">
        <v>13469</v>
      </c>
      <c r="G93" s="14" t="n">
        <v>6998</v>
      </c>
      <c r="H93" s="14" t="n">
        <v>5571</v>
      </c>
      <c r="I93" s="14" t="n">
        <v>4862</v>
      </c>
    </row>
    <row r="94" ht="15" customHeight="1" s="100">
      <c r="A94" s="18" t="inlineStr">
        <is>
          <t>Federal</t>
        </is>
      </c>
      <c r="B94" s="14" t="n">
        <v>1573</v>
      </c>
      <c r="C94" s="14" t="n">
        <v>1573</v>
      </c>
      <c r="D94" s="14" t="n">
        <v>761</v>
      </c>
      <c r="E94" s="14" t="n">
        <v>1572</v>
      </c>
      <c r="F94" s="14" t="n">
        <v>1288</v>
      </c>
      <c r="G94" s="14" t="n">
        <v>804</v>
      </c>
      <c r="H94" s="14" t="n">
        <v>949</v>
      </c>
      <c r="I94" s="14" t="n">
        <v>798</v>
      </c>
    </row>
    <row r="95" ht="15" customHeight="1" s="100">
      <c r="A95" s="18" t="inlineStr">
        <is>
          <t>State</t>
        </is>
      </c>
      <c r="B95" s="14" t="n">
        <v>5539</v>
      </c>
      <c r="C95" s="14" t="n">
        <v>5412</v>
      </c>
      <c r="D95" s="14" t="n">
        <v>2581</v>
      </c>
      <c r="E95" s="14" t="n">
        <v>5320</v>
      </c>
      <c r="F95" s="14" t="n">
        <v>4009</v>
      </c>
      <c r="G95" s="14" t="n">
        <v>1955</v>
      </c>
      <c r="H95" s="14" t="n">
        <v>1716</v>
      </c>
      <c r="I95" s="14" t="n">
        <v>1480</v>
      </c>
    </row>
    <row r="96" ht="15" customHeight="1" s="100">
      <c r="A96" s="18" t="inlineStr">
        <is>
          <t>Local</t>
        </is>
      </c>
      <c r="B96" s="14" t="n">
        <v>12431</v>
      </c>
      <c r="C96" s="14" t="n">
        <v>12074</v>
      </c>
      <c r="D96" s="14" t="n">
        <v>5180</v>
      </c>
      <c r="E96" s="14" t="n">
        <v>11859</v>
      </c>
      <c r="F96" s="14" t="n">
        <v>8171</v>
      </c>
      <c r="G96" s="14" t="n">
        <v>4238</v>
      </c>
      <c r="H96" s="14" t="n">
        <v>2906</v>
      </c>
      <c r="I96" s="14" t="n">
        <v>2584</v>
      </c>
    </row>
    <row r="97" ht="45.95" customHeight="1" s="100">
      <c r="A97" s="15" t="inlineStr">
        <is>
          <t>Party responsible for operation
and maintenance of energy
systems</t>
        </is>
      </c>
      <c r="B97" s="21" t="n"/>
      <c r="C97" s="21" t="n"/>
      <c r="D97" s="21" t="n"/>
      <c r="E97" s="21" t="n"/>
      <c r="F97" s="21" t="n"/>
      <c r="G97" s="21" t="n"/>
      <c r="H97" s="21" t="n"/>
      <c r="I97" s="21" t="n"/>
    </row>
    <row r="98" ht="15" customHeight="1" s="100">
      <c r="A98" s="17" t="inlineStr">
        <is>
          <t>Building owner</t>
        </is>
      </c>
      <c r="B98" s="14" t="n">
        <v>73702</v>
      </c>
      <c r="C98" s="14" t="n">
        <v>70469</v>
      </c>
      <c r="D98" s="14" t="n">
        <v>31846</v>
      </c>
      <c r="E98" s="14" t="n">
        <v>67399</v>
      </c>
      <c r="F98" s="14" t="n">
        <v>46163</v>
      </c>
      <c r="G98" s="14" t="n">
        <v>19310</v>
      </c>
      <c r="H98" s="14" t="n">
        <v>22602</v>
      </c>
      <c r="I98" s="14" t="n">
        <v>17924</v>
      </c>
    </row>
    <row r="99" ht="15" customHeight="1" s="100">
      <c r="A99" s="17" t="inlineStr">
        <is>
          <t>Business owner or tenant</t>
        </is>
      </c>
      <c r="B99" s="14" t="n">
        <v>11309</v>
      </c>
      <c r="C99" s="14" t="n">
        <v>11045</v>
      </c>
      <c r="D99" s="14" t="n">
        <v>5466</v>
      </c>
      <c r="E99" s="14" t="n">
        <v>10748</v>
      </c>
      <c r="F99" s="14" t="n">
        <v>6369</v>
      </c>
      <c r="G99" s="14" t="n">
        <v>3351</v>
      </c>
      <c r="H99" s="14" t="n">
        <v>4596</v>
      </c>
      <c r="I99" s="14" t="n">
        <v>3455</v>
      </c>
    </row>
    <row r="100" ht="15" customHeight="1" s="100">
      <c r="A100" s="17" t="inlineStr">
        <is>
          <t>Property management</t>
        </is>
      </c>
      <c r="B100" s="14" t="n">
        <v>1250</v>
      </c>
      <c r="C100" s="14" t="n">
        <v>1230</v>
      </c>
      <c r="D100" s="14" t="n">
        <v>681</v>
      </c>
      <c r="E100" s="14" t="n">
        <v>1127</v>
      </c>
      <c r="F100" s="14" t="n">
        <v>841</v>
      </c>
      <c r="G100" s="14" t="n">
        <v>462</v>
      </c>
      <c r="H100" s="14" t="n">
        <v>628</v>
      </c>
      <c r="I100" s="14" t="n">
        <v>502</v>
      </c>
    </row>
    <row r="101" ht="15" customHeight="1" s="100">
      <c r="A101" s="17" t="inlineStr">
        <is>
          <t>Other</t>
        </is>
      </c>
      <c r="B101" s="14" t="n">
        <v>832</v>
      </c>
      <c r="C101" s="14" t="n">
        <v>825</v>
      </c>
      <c r="D101" s="14" t="n">
        <v>413</v>
      </c>
      <c r="E101" s="14" t="n">
        <v>807</v>
      </c>
      <c r="F101" s="14" t="n">
        <v>444</v>
      </c>
      <c r="G101" s="14" t="inlineStr">
        <is>
          <t>Q</t>
        </is>
      </c>
      <c r="H101" s="14" t="inlineStr">
        <is>
          <t>Q</t>
        </is>
      </c>
      <c r="I101" s="14" t="inlineStr">
        <is>
          <t>Q</t>
        </is>
      </c>
    </row>
    <row r="102" ht="33.95" customHeight="1" s="100">
      <c r="A102" s="15" t="inlineStr">
        <is>
          <t>Provider of direct input on energy-related equipment purchases</t>
        </is>
      </c>
      <c r="B102" s="21" t="n"/>
      <c r="C102" s="21" t="n"/>
      <c r="D102" s="21" t="n"/>
      <c r="E102" s="21" t="n"/>
      <c r="F102" s="21" t="n"/>
      <c r="G102" s="21" t="n"/>
      <c r="H102" s="21" t="n"/>
      <c r="I102" s="21" t="n"/>
    </row>
    <row r="103" ht="15" customHeight="1" s="100">
      <c r="A103" s="17" t="inlineStr">
        <is>
          <t>Building owner</t>
        </is>
      </c>
      <c r="B103" s="22" t="n">
        <v>76271</v>
      </c>
      <c r="C103" s="22" t="n">
        <v>72961</v>
      </c>
      <c r="D103" s="22" t="n">
        <v>33177</v>
      </c>
      <c r="E103" s="22" t="n">
        <v>69883</v>
      </c>
      <c r="F103" s="22" t="n">
        <v>47361</v>
      </c>
      <c r="G103" s="22" t="n">
        <v>19929</v>
      </c>
      <c r="H103" s="22" t="n">
        <v>23577</v>
      </c>
      <c r="I103" s="22" t="n">
        <v>18671</v>
      </c>
    </row>
    <row r="104" ht="15" customHeight="1" s="100">
      <c r="A104" s="17" t="inlineStr">
        <is>
          <t>Business owner or tenant</t>
        </is>
      </c>
      <c r="B104" s="14" t="n">
        <v>8256</v>
      </c>
      <c r="C104" s="14" t="n">
        <v>8059</v>
      </c>
      <c r="D104" s="14" t="n">
        <v>3996</v>
      </c>
      <c r="E104" s="14" t="n">
        <v>7819</v>
      </c>
      <c r="F104" s="14" t="n">
        <v>4871</v>
      </c>
      <c r="G104" s="14" t="n">
        <v>2621</v>
      </c>
      <c r="H104" s="14" t="n">
        <v>3448</v>
      </c>
      <c r="I104" s="14" t="n">
        <v>2431</v>
      </c>
    </row>
    <row r="105" ht="15" customHeight="1" s="100">
      <c r="A105" s="17" t="inlineStr">
        <is>
          <t>Property management</t>
        </is>
      </c>
      <c r="B105" s="14" t="n">
        <v>880</v>
      </c>
      <c r="C105" s="14" t="n">
        <v>880</v>
      </c>
      <c r="D105" s="14" t="n">
        <v>411</v>
      </c>
      <c r="E105" s="14" t="n">
        <v>733</v>
      </c>
      <c r="F105" s="14" t="n">
        <v>573</v>
      </c>
      <c r="G105" s="14" t="n">
        <v>330</v>
      </c>
      <c r="H105" s="14" t="n">
        <v>453</v>
      </c>
      <c r="I105" s="14" t="n">
        <v>360</v>
      </c>
    </row>
    <row r="106" ht="15" customHeight="1" s="100">
      <c r="A106" s="17" t="inlineStr">
        <is>
          <t>Other</t>
        </is>
      </c>
      <c r="B106" s="14" t="n">
        <v>1686</v>
      </c>
      <c r="C106" s="14" t="n">
        <v>1668</v>
      </c>
      <c r="D106" s="14" t="n">
        <v>822</v>
      </c>
      <c r="E106" s="14" t="n">
        <v>1647</v>
      </c>
      <c r="F106" s="14" t="n">
        <v>1012</v>
      </c>
      <c r="G106" s="14" t="n">
        <v>517</v>
      </c>
      <c r="H106" s="14" t="n">
        <v>581</v>
      </c>
      <c r="I106" s="14" t="n">
        <v>609</v>
      </c>
    </row>
    <row r="107" ht="24" customHeight="1" s="100">
      <c r="A107" s="15" t="inlineStr">
        <is>
          <t>Campus or complex activity</t>
        </is>
      </c>
      <c r="B107" s="16" t="n"/>
      <c r="C107" s="16" t="n"/>
      <c r="D107" s="16" t="n"/>
      <c r="E107" s="16" t="n"/>
      <c r="F107" s="16" t="n"/>
      <c r="G107" s="16" t="n"/>
      <c r="H107" s="16" t="n"/>
      <c r="I107" s="16" t="n"/>
    </row>
    <row r="108" ht="15" customHeight="1" s="100">
      <c r="A108" s="17" t="inlineStr">
        <is>
          <t>Not part of a campus or complex</t>
        </is>
      </c>
      <c r="B108" s="14" t="n">
        <v>52275</v>
      </c>
      <c r="C108" s="14" t="n">
        <v>50347</v>
      </c>
      <c r="D108" s="14" t="n">
        <v>23510</v>
      </c>
      <c r="E108" s="14" t="n">
        <v>48384</v>
      </c>
      <c r="F108" s="14" t="n">
        <v>31219</v>
      </c>
      <c r="G108" s="14" t="n">
        <v>12969</v>
      </c>
      <c r="H108" s="14" t="n">
        <v>16382</v>
      </c>
      <c r="I108" s="14" t="n">
        <v>11924</v>
      </c>
    </row>
    <row r="109" ht="15" customHeight="1" s="100">
      <c r="A109" s="17" t="inlineStr">
        <is>
          <t>Primary or secondary school</t>
        </is>
      </c>
      <c r="B109" s="14" t="n">
        <v>4616</v>
      </c>
      <c r="C109" s="14" t="n">
        <v>4580</v>
      </c>
      <c r="D109" s="14" t="n">
        <v>1947</v>
      </c>
      <c r="E109" s="14" t="n">
        <v>4534</v>
      </c>
      <c r="F109" s="14" t="n">
        <v>2857</v>
      </c>
      <c r="G109" s="14" t="n">
        <v>1742</v>
      </c>
      <c r="H109" s="14" t="n">
        <v>1103</v>
      </c>
      <c r="I109" s="14" t="n">
        <v>792</v>
      </c>
    </row>
    <row r="110" ht="15" customHeight="1" s="100">
      <c r="A110" s="17" t="inlineStr">
        <is>
          <t>College or university</t>
        </is>
      </c>
      <c r="B110" s="14" t="n">
        <v>4068</v>
      </c>
      <c r="C110" s="14" t="n">
        <v>3990</v>
      </c>
      <c r="D110" s="14" t="n">
        <v>1216</v>
      </c>
      <c r="E110" s="14" t="n">
        <v>3928</v>
      </c>
      <c r="F110" s="14" t="n">
        <v>3521</v>
      </c>
      <c r="G110" s="14" t="n">
        <v>876</v>
      </c>
      <c r="H110" s="14" t="n">
        <v>1147</v>
      </c>
      <c r="I110" s="14" t="n">
        <v>1197</v>
      </c>
    </row>
    <row r="111" ht="15" customHeight="1" s="100">
      <c r="A111" s="17" t="inlineStr">
        <is>
          <t>Office complex</t>
        </is>
      </c>
      <c r="B111" s="14" t="n">
        <v>3456</v>
      </c>
      <c r="C111" s="14" t="n">
        <v>3383</v>
      </c>
      <c r="D111" s="14" t="n">
        <v>1586</v>
      </c>
      <c r="E111" s="14" t="n">
        <v>3281</v>
      </c>
      <c r="F111" s="14" t="n">
        <v>2536</v>
      </c>
      <c r="G111" s="14" t="n">
        <v>910</v>
      </c>
      <c r="H111" s="14" t="n">
        <v>1329</v>
      </c>
      <c r="I111" s="14" t="n">
        <v>1204</v>
      </c>
    </row>
    <row r="112" ht="15" customHeight="1" s="100">
      <c r="A112" s="17" t="inlineStr">
        <is>
          <t>Retail complex</t>
        </is>
      </c>
      <c r="B112" s="14" t="n">
        <v>5159</v>
      </c>
      <c r="C112" s="14" t="n">
        <v>5011</v>
      </c>
      <c r="D112" s="14" t="n">
        <v>3088</v>
      </c>
      <c r="E112" s="14" t="n">
        <v>4795</v>
      </c>
      <c r="F112" s="14" t="n">
        <v>3723</v>
      </c>
      <c r="G112" s="14" t="n">
        <v>1995</v>
      </c>
      <c r="H112" s="14" t="n">
        <v>2705</v>
      </c>
      <c r="I112" s="14" t="n">
        <v>2325</v>
      </c>
    </row>
    <row r="113" ht="15" customHeight="1" s="100">
      <c r="A113" s="17" t="inlineStr">
        <is>
          <t>Storage complex</t>
        </is>
      </c>
      <c r="B113" s="14" t="n">
        <v>3212</v>
      </c>
      <c r="C113" s="14" t="n">
        <v>2360</v>
      </c>
      <c r="D113" s="14" t="n">
        <v>397</v>
      </c>
      <c r="E113" s="14" t="n">
        <v>1951</v>
      </c>
      <c r="F113" s="14" t="n">
        <v>695</v>
      </c>
      <c r="G113" s="14" t="n">
        <v>566</v>
      </c>
      <c r="H113" s="14" t="inlineStr">
        <is>
          <t>Q</t>
        </is>
      </c>
      <c r="I113" s="14" t="inlineStr">
        <is>
          <t>Q</t>
        </is>
      </c>
    </row>
    <row r="114" ht="15" customHeight="1" s="100">
      <c r="A114" s="17" t="inlineStr">
        <is>
          <t>Religious campus or complex</t>
        </is>
      </c>
      <c r="B114" s="14" t="n">
        <v>1932</v>
      </c>
      <c r="C114" s="14" t="n">
        <v>1911</v>
      </c>
      <c r="D114" s="14" t="n">
        <v>1294</v>
      </c>
      <c r="E114" s="14" t="n">
        <v>1704</v>
      </c>
      <c r="F114" s="14" t="n">
        <v>1189</v>
      </c>
      <c r="G114" s="14" t="n">
        <v>379</v>
      </c>
      <c r="H114" s="14" t="n">
        <v>666</v>
      </c>
      <c r="I114" s="14" t="n">
        <v>438</v>
      </c>
    </row>
    <row r="115" ht="15" customHeight="1" s="100">
      <c r="A115" s="17" t="inlineStr">
        <is>
          <t>Health care complex</t>
        </is>
      </c>
      <c r="B115" s="14" t="n">
        <v>3362</v>
      </c>
      <c r="C115" s="14" t="n">
        <v>3302</v>
      </c>
      <c r="D115" s="14" t="n">
        <v>2212</v>
      </c>
      <c r="E115" s="14" t="n">
        <v>3289</v>
      </c>
      <c r="F115" s="14" t="n">
        <v>2973</v>
      </c>
      <c r="G115" s="14" t="n">
        <v>1372</v>
      </c>
      <c r="H115" s="14" t="n">
        <v>1671</v>
      </c>
      <c r="I115" s="14" t="n">
        <v>1810</v>
      </c>
    </row>
    <row r="116" ht="15" customHeight="1" s="100">
      <c r="A116" s="17" t="inlineStr">
        <is>
          <t>Lodging or resort complex</t>
        </is>
      </c>
      <c r="B116" s="14" t="n">
        <v>1295</v>
      </c>
      <c r="C116" s="14" t="n">
        <v>1284</v>
      </c>
      <c r="D116" s="14" t="n">
        <v>675</v>
      </c>
      <c r="E116" s="14" t="n">
        <v>1088</v>
      </c>
      <c r="F116" s="14" t="n">
        <v>1113</v>
      </c>
      <c r="G116" s="14" t="n">
        <v>520</v>
      </c>
      <c r="H116" s="14" t="n">
        <v>573</v>
      </c>
      <c r="I116" s="14" t="inlineStr">
        <is>
          <t>Q</t>
        </is>
      </c>
    </row>
    <row r="117" ht="15" customHeight="1" s="100">
      <c r="A117" s="17" t="inlineStr">
        <is>
          <t>Transportation complex</t>
        </is>
      </c>
      <c r="B117" s="14" t="n">
        <v>554</v>
      </c>
      <c r="C117" s="14" t="n">
        <v>526</v>
      </c>
      <c r="D117" s="14" t="n">
        <v>231</v>
      </c>
      <c r="E117" s="14" t="n">
        <v>499</v>
      </c>
      <c r="F117" s="14" t="n">
        <v>356</v>
      </c>
      <c r="G117" s="14" t="n">
        <v>223</v>
      </c>
      <c r="H117" s="14" t="n">
        <v>209</v>
      </c>
      <c r="I117" s="14" t="n">
        <v>211</v>
      </c>
    </row>
    <row r="118" ht="15" customHeight="1" s="100">
      <c r="A118" s="17" t="inlineStr">
        <is>
          <t>Government complex</t>
        </is>
      </c>
      <c r="B118" s="14" t="n">
        <v>2107</v>
      </c>
      <c r="C118" s="14" t="n">
        <v>2087</v>
      </c>
      <c r="D118" s="14" t="n">
        <v>798</v>
      </c>
      <c r="E118" s="14" t="n">
        <v>2005</v>
      </c>
      <c r="F118" s="14" t="n">
        <v>1436</v>
      </c>
      <c r="G118" s="14" t="n">
        <v>660</v>
      </c>
      <c r="H118" s="14" t="n">
        <v>683</v>
      </c>
      <c r="I118" s="14" t="n">
        <v>608</v>
      </c>
    </row>
    <row r="119" ht="15" customHeight="1" s="100">
      <c r="A119" s="17" t="inlineStr">
        <is>
          <t>Other</t>
        </is>
      </c>
      <c r="B119" s="14" t="n">
        <v>5057</v>
      </c>
      <c r="C119" s="14" t="n">
        <v>4787</v>
      </c>
      <c r="D119" s="14" t="n">
        <v>1453</v>
      </c>
      <c r="E119" s="14" t="n">
        <v>4622</v>
      </c>
      <c r="F119" s="14" t="n">
        <v>2199</v>
      </c>
      <c r="G119" s="14" t="n">
        <v>1184</v>
      </c>
      <c r="H119" s="14" t="n">
        <v>1371</v>
      </c>
      <c r="I119" s="14" t="n">
        <v>953</v>
      </c>
    </row>
    <row r="120" ht="44.2" customHeight="1" s="100">
      <c r="A120" s="15" t="inlineStr">
        <is>
          <t>Renovations in buildings
constructed before 2008
(more than one may apply)</t>
        </is>
      </c>
      <c r="B120" s="21" t="n"/>
      <c r="C120" s="21" t="n"/>
      <c r="D120" s="21" t="n"/>
      <c r="E120" s="21" t="n"/>
      <c r="F120" s="21" t="n"/>
      <c r="G120" s="21" t="n"/>
      <c r="H120" s="21" t="n"/>
      <c r="I120" s="21" t="n"/>
    </row>
    <row r="121" ht="15" customHeight="1" s="100">
      <c r="A121" s="17" t="inlineStr">
        <is>
          <t>Any type of renovation</t>
        </is>
      </c>
      <c r="B121" s="14" t="n">
        <v>42216</v>
      </c>
      <c r="C121" s="14" t="n">
        <v>41479</v>
      </c>
      <c r="D121" s="14" t="n">
        <v>21682</v>
      </c>
      <c r="E121" s="14" t="n">
        <v>40110</v>
      </c>
      <c r="F121" s="14" t="n">
        <v>29853</v>
      </c>
      <c r="G121" s="14" t="n">
        <v>13577</v>
      </c>
      <c r="H121" s="14" t="n">
        <v>16029</v>
      </c>
      <c r="I121" s="14" t="n">
        <v>13577</v>
      </c>
    </row>
    <row r="122" ht="15" customHeight="1" s="100">
      <c r="A122" s="18" t="inlineStr">
        <is>
          <t>Addition or annex</t>
        </is>
      </c>
      <c r="B122" s="14" t="n">
        <v>13022</v>
      </c>
      <c r="C122" s="14" t="n">
        <v>12924</v>
      </c>
      <c r="D122" s="14" t="n">
        <v>7595</v>
      </c>
      <c r="E122" s="14" t="n">
        <v>12770</v>
      </c>
      <c r="F122" s="14" t="n">
        <v>9867</v>
      </c>
      <c r="G122" s="14" t="n">
        <v>5170</v>
      </c>
      <c r="H122" s="14" t="n">
        <v>5328</v>
      </c>
      <c r="I122" s="14" t="n">
        <v>4711</v>
      </c>
    </row>
    <row r="123" ht="15" customHeight="1" s="100">
      <c r="A123" s="18" t="inlineStr">
        <is>
          <t>Reduction in floorspace</t>
        </is>
      </c>
      <c r="B123" s="14" t="n">
        <v>1753</v>
      </c>
      <c r="C123" s="14" t="n">
        <v>1718</v>
      </c>
      <c r="D123" s="14" t="n">
        <v>1071</v>
      </c>
      <c r="E123" s="14" t="n">
        <v>1652</v>
      </c>
      <c r="F123" s="14" t="n">
        <v>1287</v>
      </c>
      <c r="G123" s="14" t="n">
        <v>738</v>
      </c>
      <c r="H123" s="14" t="n">
        <v>581</v>
      </c>
      <c r="I123" s="14" t="n">
        <v>603</v>
      </c>
    </row>
    <row r="124" ht="15" customHeight="1" s="100">
      <c r="A124" s="18" t="inlineStr">
        <is>
          <t>Roof replacement</t>
        </is>
      </c>
      <c r="B124" s="14" t="n">
        <v>20917</v>
      </c>
      <c r="C124" s="14" t="n">
        <v>20674</v>
      </c>
      <c r="D124" s="14" t="n">
        <v>11459</v>
      </c>
      <c r="E124" s="14" t="n">
        <v>20154</v>
      </c>
      <c r="F124" s="14" t="n">
        <v>15616</v>
      </c>
      <c r="G124" s="14" t="n">
        <v>7578</v>
      </c>
      <c r="H124" s="14" t="n">
        <v>8126</v>
      </c>
      <c r="I124" s="14" t="n">
        <v>7492</v>
      </c>
    </row>
    <row r="125" ht="15" customHeight="1" s="100">
      <c r="A125" s="18" t="inlineStr">
        <is>
          <t>Exterior wall replacement</t>
        </is>
      </c>
      <c r="B125" s="14" t="n">
        <v>4230</v>
      </c>
      <c r="C125" s="14" t="n">
        <v>4197</v>
      </c>
      <c r="D125" s="14" t="n">
        <v>2231</v>
      </c>
      <c r="E125" s="14" t="n">
        <v>4118</v>
      </c>
      <c r="F125" s="14" t="n">
        <v>3247</v>
      </c>
      <c r="G125" s="14" t="n">
        <v>1569</v>
      </c>
      <c r="H125" s="14" t="n">
        <v>1951</v>
      </c>
      <c r="I125" s="14" t="n">
        <v>1725</v>
      </c>
    </row>
    <row r="126" ht="15" customHeight="1" s="100">
      <c r="A126" s="18" t="inlineStr">
        <is>
          <t>Interior wall reconfiguration</t>
        </is>
      </c>
      <c r="B126" s="14" t="n">
        <v>21340</v>
      </c>
      <c r="C126" s="14" t="n">
        <v>21006</v>
      </c>
      <c r="D126" s="14" t="n">
        <v>11613</v>
      </c>
      <c r="E126" s="14" t="n">
        <v>20643</v>
      </c>
      <c r="F126" s="14" t="n">
        <v>16528</v>
      </c>
      <c r="G126" s="14" t="n">
        <v>7193</v>
      </c>
      <c r="H126" s="14" t="n">
        <v>9477</v>
      </c>
      <c r="I126" s="14" t="n">
        <v>8549</v>
      </c>
    </row>
    <row r="127" ht="15" customHeight="1" s="100">
      <c r="A127" s="18" t="inlineStr">
        <is>
          <t>Window replacement</t>
        </is>
      </c>
      <c r="B127" s="14" t="n">
        <v>12265</v>
      </c>
      <c r="C127" s="14" t="n">
        <v>12193</v>
      </c>
      <c r="D127" s="14" t="n">
        <v>6862</v>
      </c>
      <c r="E127" s="14" t="n">
        <v>11805</v>
      </c>
      <c r="F127" s="14" t="n">
        <v>9675</v>
      </c>
      <c r="G127" s="14" t="n">
        <v>4328</v>
      </c>
      <c r="H127" s="14" t="n">
        <v>5358</v>
      </c>
      <c r="I127" s="14" t="n">
        <v>4526</v>
      </c>
    </row>
    <row r="128" ht="15" customHeight="1" s="100">
      <c r="A128" s="18" t="inlineStr">
        <is>
          <t>HVAC equipment upgrade</t>
        </is>
      </c>
      <c r="B128" s="14" t="n">
        <v>26779</v>
      </c>
      <c r="C128" s="14" t="n">
        <v>26504</v>
      </c>
      <c r="D128" s="14" t="n">
        <v>14715</v>
      </c>
      <c r="E128" s="14" t="n">
        <v>25911</v>
      </c>
      <c r="F128" s="14" t="n">
        <v>20410</v>
      </c>
      <c r="G128" s="14" t="n">
        <v>9918</v>
      </c>
      <c r="H128" s="14" t="n">
        <v>11421</v>
      </c>
      <c r="I128" s="14" t="n">
        <v>9614</v>
      </c>
    </row>
    <row r="129" ht="15" customHeight="1" s="100">
      <c r="A129" s="18" t="inlineStr">
        <is>
          <t>Lighting upgrade</t>
        </is>
      </c>
      <c r="B129" s="14" t="n">
        <v>25503</v>
      </c>
      <c r="C129" s="14" t="n">
        <v>25268</v>
      </c>
      <c r="D129" s="14" t="n">
        <v>13502</v>
      </c>
      <c r="E129" s="14" t="n">
        <v>24681</v>
      </c>
      <c r="F129" s="14" t="n">
        <v>19342</v>
      </c>
      <c r="G129" s="14" t="n">
        <v>8933</v>
      </c>
      <c r="H129" s="14" t="n">
        <v>10688</v>
      </c>
      <c r="I129" s="14" t="n">
        <v>9803</v>
      </c>
    </row>
    <row r="130" ht="15" customHeight="1" s="100">
      <c r="A130" s="18" t="inlineStr">
        <is>
          <t>Electrical upgrade</t>
        </is>
      </c>
      <c r="B130" s="14" t="n">
        <v>16160</v>
      </c>
      <c r="C130" s="14" t="n">
        <v>15948</v>
      </c>
      <c r="D130" s="14" t="n">
        <v>9523</v>
      </c>
      <c r="E130" s="14" t="n">
        <v>15553</v>
      </c>
      <c r="F130" s="14" t="n">
        <v>12613</v>
      </c>
      <c r="G130" s="14" t="n">
        <v>5533</v>
      </c>
      <c r="H130" s="14" t="n">
        <v>7293</v>
      </c>
      <c r="I130" s="14" t="n">
        <v>6345</v>
      </c>
    </row>
    <row r="131" ht="15" customHeight="1" s="100">
      <c r="A131" s="18" t="inlineStr">
        <is>
          <t>Plumbing system upgrade</t>
        </is>
      </c>
      <c r="B131" s="14" t="n">
        <v>13828</v>
      </c>
      <c r="C131" s="14" t="n">
        <v>13701</v>
      </c>
      <c r="D131" s="14" t="n">
        <v>8026</v>
      </c>
      <c r="E131" s="14" t="n">
        <v>13354</v>
      </c>
      <c r="F131" s="14" t="n">
        <v>11096</v>
      </c>
      <c r="G131" s="14" t="n">
        <v>4748</v>
      </c>
      <c r="H131" s="14" t="n">
        <v>6417</v>
      </c>
      <c r="I131" s="14" t="n">
        <v>5653</v>
      </c>
    </row>
    <row r="132" ht="15" customHeight="1" s="100">
      <c r="A132" s="18" t="inlineStr">
        <is>
          <t>Insulation upgrade</t>
        </is>
      </c>
      <c r="B132" s="14" t="n">
        <v>7607</v>
      </c>
      <c r="C132" s="14" t="n">
        <v>7471</v>
      </c>
      <c r="D132" s="14" t="n">
        <v>4343</v>
      </c>
      <c r="E132" s="14" t="n">
        <v>7377</v>
      </c>
      <c r="F132" s="14" t="n">
        <v>5782</v>
      </c>
      <c r="G132" s="14" t="n">
        <v>2503</v>
      </c>
      <c r="H132" s="14" t="n">
        <v>3255</v>
      </c>
      <c r="I132" s="14" t="n">
        <v>3303</v>
      </c>
    </row>
    <row r="133" ht="15" customHeight="1" s="100">
      <c r="A133" s="18" t="inlineStr">
        <is>
          <t>Fire, safety, or security upgrade</t>
        </is>
      </c>
      <c r="B133" s="14" t="n">
        <v>17196</v>
      </c>
      <c r="C133" s="14" t="n">
        <v>17108</v>
      </c>
      <c r="D133" s="14" t="n">
        <v>9766</v>
      </c>
      <c r="E133" s="14" t="n">
        <v>16727</v>
      </c>
      <c r="F133" s="14" t="n">
        <v>13892</v>
      </c>
      <c r="G133" s="14" t="n">
        <v>6325</v>
      </c>
      <c r="H133" s="14" t="n">
        <v>7996</v>
      </c>
      <c r="I133" s="14" t="n">
        <v>7226</v>
      </c>
    </row>
    <row r="134" ht="15" customHeight="1" s="100">
      <c r="A134" s="18" t="inlineStr">
        <is>
          <t>Structural upgrade</t>
        </is>
      </c>
      <c r="B134" s="14" t="n">
        <v>3913</v>
      </c>
      <c r="C134" s="14" t="n">
        <v>3876</v>
      </c>
      <c r="D134" s="14" t="n">
        <v>2199</v>
      </c>
      <c r="E134" s="14" t="n">
        <v>3791</v>
      </c>
      <c r="F134" s="14" t="n">
        <v>3152</v>
      </c>
      <c r="G134" s="14" t="n">
        <v>1316</v>
      </c>
      <c r="H134" s="14" t="n">
        <v>1902</v>
      </c>
      <c r="I134" s="14" t="n">
        <v>1672</v>
      </c>
    </row>
    <row r="135" ht="15" customHeight="1" s="100">
      <c r="A135" s="18" t="inlineStr">
        <is>
          <t>Other</t>
        </is>
      </c>
      <c r="B135" s="14" t="n">
        <v>848</v>
      </c>
      <c r="C135" s="14" t="n">
        <v>848</v>
      </c>
      <c r="D135" s="14" t="n">
        <v>499</v>
      </c>
      <c r="E135" s="14" t="n">
        <v>848</v>
      </c>
      <c r="F135" s="14" t="n">
        <v>656</v>
      </c>
      <c r="G135" s="14" t="inlineStr">
        <is>
          <t>Q</t>
        </is>
      </c>
      <c r="H135" s="14" t="n">
        <v>492</v>
      </c>
      <c r="I135" s="14" t="n">
        <v>391</v>
      </c>
    </row>
    <row r="136" ht="15" customHeight="1" s="100">
      <c r="A136" s="17" t="inlineStr">
        <is>
          <t>No renovations</t>
        </is>
      </c>
      <c r="B136" s="14" t="n">
        <v>39154</v>
      </c>
      <c r="C136" s="14" t="n">
        <v>36534</v>
      </c>
      <c r="D136" s="14" t="n">
        <v>15129</v>
      </c>
      <c r="E136" s="14" t="n">
        <v>34901</v>
      </c>
      <c r="F136" s="14" t="n">
        <v>20389</v>
      </c>
      <c r="G136" s="14" t="n">
        <v>8704</v>
      </c>
      <c r="H136" s="14" t="n">
        <v>10101</v>
      </c>
      <c r="I136" s="14" t="n">
        <v>6748</v>
      </c>
    </row>
    <row r="137" ht="15" customHeight="1" s="100">
      <c r="A137" s="17" t="inlineStr">
        <is>
          <t>Buildings constructed 2008 or later</t>
        </is>
      </c>
      <c r="B137" s="14" t="n">
        <v>5723</v>
      </c>
      <c r="C137" s="14" t="n">
        <v>5556</v>
      </c>
      <c r="D137" s="14" t="n">
        <v>1595</v>
      </c>
      <c r="E137" s="14" t="n">
        <v>5070</v>
      </c>
      <c r="F137" s="14" t="n">
        <v>3574</v>
      </c>
      <c r="G137" s="14" t="n">
        <v>1116</v>
      </c>
      <c r="H137" s="14" t="n">
        <v>1929</v>
      </c>
      <c r="I137" s="14" t="n">
        <v>1747</v>
      </c>
    </row>
    <row r="138" ht="33.95" customHeight="1" s="100">
      <c r="A138" s="15" t="inlineStr">
        <is>
          <t>Energy sources 
(more than one may apply)</t>
        </is>
      </c>
      <c r="B138" s="21" t="n"/>
      <c r="C138" s="21" t="n"/>
      <c r="D138" s="21" t="n"/>
      <c r="E138" s="21" t="n"/>
      <c r="F138" s="21" t="n"/>
      <c r="G138" s="21" t="n"/>
      <c r="H138" s="21" t="n"/>
      <c r="I138" s="21" t="n"/>
    </row>
    <row r="139" ht="15" customHeight="1" s="100">
      <c r="A139" s="17" t="inlineStr">
        <is>
          <t>Electricity</t>
        </is>
      </c>
      <c r="B139" s="14" t="n">
        <v>84869</v>
      </c>
      <c r="C139" s="14" t="n">
        <v>83569</v>
      </c>
      <c r="D139" s="14" t="n">
        <v>38406</v>
      </c>
      <c r="E139" s="14" t="n">
        <v>80081</v>
      </c>
      <c r="F139" s="14" t="n">
        <v>53816</v>
      </c>
      <c r="G139" s="14" t="n">
        <v>23396</v>
      </c>
      <c r="H139" s="14" t="n">
        <v>28059</v>
      </c>
      <c r="I139" s="14" t="n">
        <v>22071</v>
      </c>
    </row>
    <row r="140" ht="15" customHeight="1" s="100">
      <c r="A140" s="17" t="inlineStr">
        <is>
          <t>Natural gas</t>
        </is>
      </c>
      <c r="B140" s="14" t="n">
        <v>58725</v>
      </c>
      <c r="C140" s="14" t="n">
        <v>58278</v>
      </c>
      <c r="D140" s="14" t="n">
        <v>29672</v>
      </c>
      <c r="E140" s="14" t="n">
        <v>56575</v>
      </c>
      <c r="F140" s="14" t="n">
        <v>40392</v>
      </c>
      <c r="G140" s="14" t="n">
        <v>18328</v>
      </c>
      <c r="H140" s="14" t="n">
        <v>21261</v>
      </c>
      <c r="I140" s="14" t="n">
        <v>17539</v>
      </c>
    </row>
    <row r="141" ht="15" customHeight="1" s="100">
      <c r="A141" s="17" t="inlineStr">
        <is>
          <t>Fuel oil</t>
        </is>
      </c>
      <c r="B141" s="14" t="n">
        <v>20200</v>
      </c>
      <c r="C141" s="14" t="n">
        <v>20120</v>
      </c>
      <c r="D141" s="14" t="n">
        <v>11355</v>
      </c>
      <c r="E141" s="14" t="n">
        <v>19742</v>
      </c>
      <c r="F141" s="14" t="n">
        <v>16251</v>
      </c>
      <c r="G141" s="14" t="n">
        <v>8782</v>
      </c>
      <c r="H141" s="14" t="n">
        <v>9690</v>
      </c>
      <c r="I141" s="14" t="n">
        <v>8933</v>
      </c>
    </row>
    <row r="142" ht="15" customHeight="1" s="100">
      <c r="A142" s="17" t="inlineStr">
        <is>
          <t>District heat</t>
        </is>
      </c>
      <c r="B142" s="14" t="n">
        <v>5964</v>
      </c>
      <c r="C142" s="14" t="n">
        <v>5873</v>
      </c>
      <c r="D142" s="14" t="n">
        <v>3161</v>
      </c>
      <c r="E142" s="14" t="n">
        <v>5781</v>
      </c>
      <c r="F142" s="14" t="n">
        <v>5314</v>
      </c>
      <c r="G142" s="14" t="n">
        <v>2555</v>
      </c>
      <c r="H142" s="14" t="n">
        <v>2769</v>
      </c>
      <c r="I142" s="14" t="n">
        <v>2871</v>
      </c>
    </row>
    <row r="143" ht="15" customHeight="1" s="100">
      <c r="A143" s="17" t="inlineStr">
        <is>
          <t>District chilled water</t>
        </is>
      </c>
      <c r="B143" s="14" t="n">
        <v>4608</v>
      </c>
      <c r="C143" s="14" t="n">
        <v>4545</v>
      </c>
      <c r="D143" s="14" t="n">
        <v>2284</v>
      </c>
      <c r="E143" s="14" t="n">
        <v>4516</v>
      </c>
      <c r="F143" s="14" t="n">
        <v>4071</v>
      </c>
      <c r="G143" s="14" t="n">
        <v>1729</v>
      </c>
      <c r="H143" s="14" t="n">
        <v>1805</v>
      </c>
      <c r="I143" s="14" t="n">
        <v>1941</v>
      </c>
    </row>
    <row r="144" ht="15" customHeight="1" s="100">
      <c r="A144" s="17" t="inlineStr">
        <is>
          <t>Propane</t>
        </is>
      </c>
      <c r="B144" s="14" t="n">
        <v>7706</v>
      </c>
      <c r="C144" s="14" t="n">
        <v>7652</v>
      </c>
      <c r="D144" s="14" t="n">
        <v>3803</v>
      </c>
      <c r="E144" s="14" t="n">
        <v>7281</v>
      </c>
      <c r="F144" s="14" t="n">
        <v>4622</v>
      </c>
      <c r="G144" s="14" t="n">
        <v>2584</v>
      </c>
      <c r="H144" s="14" t="n">
        <v>2865</v>
      </c>
      <c r="I144" s="14" t="n">
        <v>2098</v>
      </c>
    </row>
    <row r="145" ht="15" customHeight="1" s="100">
      <c r="A145" s="17" t="inlineStr">
        <is>
          <t>Other</t>
        </is>
      </c>
      <c r="B145" s="14" t="n">
        <v>3826</v>
      </c>
      <c r="C145" s="14" t="n">
        <v>3784</v>
      </c>
      <c r="D145" s="14" t="n">
        <v>1735</v>
      </c>
      <c r="E145" s="14" t="n">
        <v>3685</v>
      </c>
      <c r="F145" s="14" t="n">
        <v>2664</v>
      </c>
      <c r="G145" s="14" t="n">
        <v>957</v>
      </c>
      <c r="H145" s="14" t="n">
        <v>1466</v>
      </c>
      <c r="I145" s="14" t="n">
        <v>1247</v>
      </c>
    </row>
    <row r="146" ht="33.95" customHeight="1" s="100">
      <c r="A146" s="15" t="inlineStr">
        <is>
          <t>Energy end uses 
(more than one may apply)</t>
        </is>
      </c>
      <c r="B146" s="21" t="n"/>
      <c r="C146" s="21" t="n"/>
      <c r="D146" s="21" t="n"/>
      <c r="E146" s="21" t="n"/>
      <c r="F146" s="21" t="n"/>
      <c r="G146" s="21" t="n"/>
      <c r="H146" s="21" t="n"/>
      <c r="I146" s="21" t="n"/>
    </row>
    <row r="147" ht="15" customHeight="1" s="100">
      <c r="A147" s="17" t="inlineStr">
        <is>
          <t>Buildings with space heating</t>
        </is>
      </c>
      <c r="B147" s="14" t="n">
        <v>80078</v>
      </c>
      <c r="C147" s="14" t="n">
        <v>79384</v>
      </c>
      <c r="D147" s="14" t="n">
        <v>37292</v>
      </c>
      <c r="E147" s="14" t="n">
        <v>76646</v>
      </c>
      <c r="F147" s="14" t="n">
        <v>52287</v>
      </c>
      <c r="G147" s="14" t="n">
        <v>22631</v>
      </c>
      <c r="H147" s="14" t="n">
        <v>27225</v>
      </c>
      <c r="I147" s="14" t="n">
        <v>21503</v>
      </c>
    </row>
    <row r="148" ht="15" customHeight="1" s="100">
      <c r="A148" s="17" t="inlineStr">
        <is>
          <t>Buildings with cooling</t>
        </is>
      </c>
      <c r="B148" s="14" t="n">
        <v>79294</v>
      </c>
      <c r="C148" s="14" t="n">
        <v>78876</v>
      </c>
      <c r="D148" s="14" t="n">
        <v>37119</v>
      </c>
      <c r="E148" s="14" t="n">
        <v>76125</v>
      </c>
      <c r="F148" s="14" t="n">
        <v>52285</v>
      </c>
      <c r="G148" s="14" t="n">
        <v>22734</v>
      </c>
      <c r="H148" s="14" t="n">
        <v>27618</v>
      </c>
      <c r="I148" s="14" t="n">
        <v>21869</v>
      </c>
    </row>
    <row r="149" ht="15" customHeight="1" s="100">
      <c r="A149" s="17" t="inlineStr">
        <is>
          <t>Buildings with water heating</t>
        </is>
      </c>
      <c r="B149" s="14" t="n">
        <v>79015</v>
      </c>
      <c r="C149" s="14" t="n">
        <v>78622</v>
      </c>
      <c r="D149" s="14" t="n">
        <v>37160</v>
      </c>
      <c r="E149" s="14" t="n">
        <v>75803</v>
      </c>
      <c r="F149" s="14" t="n">
        <v>52606</v>
      </c>
      <c r="G149" s="14" t="n">
        <v>22834</v>
      </c>
      <c r="H149" s="14" t="n">
        <v>27589</v>
      </c>
      <c r="I149" s="14" t="n">
        <v>21894</v>
      </c>
    </row>
    <row r="150" ht="15" customHeight="1" s="100">
      <c r="A150" s="17" t="inlineStr">
        <is>
          <t>Buildings with cooking</t>
        </is>
      </c>
      <c r="B150" s="14" t="n">
        <v>38546</v>
      </c>
      <c r="C150" s="14" t="n">
        <v>38494</v>
      </c>
      <c r="D150" s="14" t="n">
        <v>23469</v>
      </c>
      <c r="E150" s="14" t="n">
        <v>37728</v>
      </c>
      <c r="F150" s="14" t="n">
        <v>30809</v>
      </c>
      <c r="G150" s="14" t="n">
        <v>14810</v>
      </c>
      <c r="H150" s="14" t="n">
        <v>17558</v>
      </c>
      <c r="I150" s="14" t="n">
        <v>15043</v>
      </c>
    </row>
    <row r="151" ht="15" customHeight="1" s="100">
      <c r="A151" s="17" t="inlineStr">
        <is>
          <t>Buildings with manufacturing</t>
        </is>
      </c>
      <c r="B151" s="14" t="n">
        <v>5078</v>
      </c>
      <c r="C151" s="14" t="n">
        <v>5044</v>
      </c>
      <c r="D151" s="14" t="n">
        <v>2387</v>
      </c>
      <c r="E151" s="14" t="n">
        <v>4928</v>
      </c>
      <c r="F151" s="14" t="n">
        <v>2363</v>
      </c>
      <c r="G151" s="14" t="n">
        <v>1421</v>
      </c>
      <c r="H151" s="14" t="n">
        <v>1506</v>
      </c>
      <c r="I151" s="14" t="n">
        <v>751</v>
      </c>
    </row>
    <row r="152" ht="27.95" customHeight="1" s="100">
      <c r="A152" s="17" t="inlineStr">
        <is>
          <t>Buildings with electricity
generation</t>
        </is>
      </c>
      <c r="B152" s="14" t="n">
        <v>25642</v>
      </c>
      <c r="C152" s="14" t="n">
        <v>25605</v>
      </c>
      <c r="D152" s="14" t="n">
        <v>13305</v>
      </c>
      <c r="E152" s="14" t="n">
        <v>25096</v>
      </c>
      <c r="F152" s="14" t="n">
        <v>21247</v>
      </c>
      <c r="G152" s="14" t="n">
        <v>10397</v>
      </c>
      <c r="H152" s="14" t="n">
        <v>12027</v>
      </c>
      <c r="I152" s="14" t="n">
        <v>11434</v>
      </c>
    </row>
    <row r="153" ht="24" customHeight="1" s="100">
      <c r="A153" s="15" t="inlineStr">
        <is>
          <t>Percent lit when open</t>
        </is>
      </c>
      <c r="B153" s="21" t="n"/>
      <c r="C153" s="21" t="n"/>
      <c r="D153" s="21" t="n"/>
      <c r="E153" s="21" t="n"/>
      <c r="F153" s="21" t="n"/>
      <c r="G153" s="21" t="n"/>
      <c r="H153" s="21" t="n"/>
      <c r="I153" s="21" t="n"/>
    </row>
    <row r="154" ht="15" customHeight="1" s="100">
      <c r="A154" s="17" t="inlineStr">
        <is>
          <t>Zero</t>
        </is>
      </c>
      <c r="B154" s="14" t="n">
        <v>322</v>
      </c>
      <c r="C154" s="14" t="inlineStr">
        <is>
          <t>Q</t>
        </is>
      </c>
      <c r="D154" s="14" t="inlineStr">
        <is>
          <t>Q</t>
        </is>
      </c>
      <c r="E154" s="14" t="inlineStr">
        <is>
          <t>Q</t>
        </is>
      </c>
      <c r="F154" s="14" t="inlineStr">
        <is>
          <t>Q</t>
        </is>
      </c>
      <c r="G154" s="14" t="inlineStr">
        <is>
          <t>N</t>
        </is>
      </c>
      <c r="H154" s="14" t="inlineStr">
        <is>
          <t>N</t>
        </is>
      </c>
      <c r="I154" s="14" t="inlineStr">
        <is>
          <t>Q</t>
        </is>
      </c>
    </row>
    <row r="155" ht="15" customHeight="1" s="100">
      <c r="A155" s="17" t="inlineStr">
        <is>
          <t>1 to 50</t>
        </is>
      </c>
      <c r="B155" s="14" t="n">
        <v>12628</v>
      </c>
      <c r="C155" s="14" t="n">
        <v>12628</v>
      </c>
      <c r="D155" s="14" t="n">
        <v>4867</v>
      </c>
      <c r="E155" s="14" t="n">
        <v>11798</v>
      </c>
      <c r="F155" s="14" t="n">
        <v>6202</v>
      </c>
      <c r="G155" s="14" t="n">
        <v>2418</v>
      </c>
      <c r="H155" s="14" t="n">
        <v>2884</v>
      </c>
      <c r="I155" s="14" t="n">
        <v>1937</v>
      </c>
    </row>
    <row r="156" ht="15" customHeight="1" s="100">
      <c r="A156" s="17" t="inlineStr">
        <is>
          <t>51 to 99</t>
        </is>
      </c>
      <c r="B156" s="14" t="n">
        <v>34814</v>
      </c>
      <c r="C156" s="14" t="n">
        <v>34814</v>
      </c>
      <c r="D156" s="14" t="n">
        <v>19106</v>
      </c>
      <c r="E156" s="14" t="n">
        <v>33816</v>
      </c>
      <c r="F156" s="14" t="n">
        <v>25376</v>
      </c>
      <c r="G156" s="14" t="n">
        <v>11003</v>
      </c>
      <c r="H156" s="14" t="n">
        <v>15045</v>
      </c>
      <c r="I156" s="14" t="n">
        <v>11847</v>
      </c>
    </row>
    <row r="157" ht="15" customHeight="1" s="100">
      <c r="A157" s="34" t="inlineStr">
        <is>
          <t>100</t>
        </is>
      </c>
      <c r="B157" s="14" t="n">
        <v>35726</v>
      </c>
      <c r="C157" s="14" t="n">
        <v>35726</v>
      </c>
      <c r="D157" s="14" t="n">
        <v>14283</v>
      </c>
      <c r="E157" s="14" t="n">
        <v>34132</v>
      </c>
      <c r="F157" s="14" t="n">
        <v>22087</v>
      </c>
      <c r="G157" s="14" t="n">
        <v>9929</v>
      </c>
      <c r="H157" s="14" t="n">
        <v>10084</v>
      </c>
      <c r="I157" s="14" t="n">
        <v>8278</v>
      </c>
    </row>
    <row r="158" ht="27.95" customHeight="1" s="100">
      <c r="A158" s="34" t="inlineStr">
        <is>
          <t>Building never open/electricity 
not used</t>
        </is>
      </c>
      <c r="B158" s="14" t="n">
        <v>3603</v>
      </c>
      <c r="C158" s="14" t="n">
        <v>371</v>
      </c>
      <c r="D158" s="14" t="inlineStr">
        <is>
          <t>Q</t>
        </is>
      </c>
      <c r="E158" s="14" t="n">
        <v>326</v>
      </c>
      <c r="F158" s="14" t="inlineStr">
        <is>
          <t>Q</t>
        </is>
      </c>
      <c r="G158" s="14" t="inlineStr">
        <is>
          <t>Q</t>
        </is>
      </c>
      <c r="H158" s="14" t="inlineStr">
        <is>
          <t>Q</t>
        </is>
      </c>
      <c r="I158" s="14" t="inlineStr">
        <is>
          <t>Q</t>
        </is>
      </c>
    </row>
    <row r="159" ht="24" customHeight="1" s="100">
      <c r="A159" s="15" t="inlineStr">
        <is>
          <t>Percent lit during off hours</t>
        </is>
      </c>
      <c r="B159" s="21" t="n"/>
      <c r="C159" s="21" t="n"/>
      <c r="D159" s="21" t="n"/>
      <c r="E159" s="21" t="n"/>
      <c r="F159" s="21" t="n"/>
      <c r="G159" s="21" t="n"/>
      <c r="H159" s="21" t="n"/>
      <c r="I159" s="21" t="n"/>
    </row>
    <row r="160" ht="15" customHeight="1" s="100">
      <c r="A160" s="17" t="inlineStr">
        <is>
          <t>Zero</t>
        </is>
      </c>
      <c r="B160" s="14" t="n">
        <v>24746</v>
      </c>
      <c r="C160" s="14" t="n">
        <v>23500</v>
      </c>
      <c r="D160" s="14" t="n">
        <v>8122</v>
      </c>
      <c r="E160" s="14" t="n">
        <v>21910</v>
      </c>
      <c r="F160" s="14" t="n">
        <v>11540</v>
      </c>
      <c r="G160" s="14" t="n">
        <v>4722</v>
      </c>
      <c r="H160" s="14" t="n">
        <v>4692</v>
      </c>
      <c r="I160" s="14" t="n">
        <v>3038</v>
      </c>
    </row>
    <row r="161" ht="15" customHeight="1" s="100">
      <c r="A161" s="17" t="inlineStr">
        <is>
          <t>1 to 50</t>
        </is>
      </c>
      <c r="B161" s="14" t="n">
        <v>50753</v>
      </c>
      <c r="C161" s="14" t="n">
        <v>50753</v>
      </c>
      <c r="D161" s="14" t="n">
        <v>25337</v>
      </c>
      <c r="E161" s="14" t="n">
        <v>49312</v>
      </c>
      <c r="F161" s="14" t="n">
        <v>35189</v>
      </c>
      <c r="G161" s="14" t="n">
        <v>15141</v>
      </c>
      <c r="H161" s="14" t="n">
        <v>19374</v>
      </c>
      <c r="I161" s="14" t="n">
        <v>15404</v>
      </c>
    </row>
    <row r="162" ht="15" customHeight="1" s="100">
      <c r="A162" s="17" t="inlineStr">
        <is>
          <t>51 to 100</t>
        </is>
      </c>
      <c r="B162" s="14" t="n">
        <v>6926</v>
      </c>
      <c r="C162" s="14" t="n">
        <v>6926</v>
      </c>
      <c r="D162" s="14" t="n">
        <v>3936</v>
      </c>
      <c r="E162" s="14" t="n">
        <v>6568</v>
      </c>
      <c r="F162" s="14" t="n">
        <v>5611</v>
      </c>
      <c r="G162" s="14" t="n">
        <v>2627</v>
      </c>
      <c r="H162" s="14" t="n">
        <v>3022</v>
      </c>
      <c r="I162" s="14" t="n">
        <v>2712</v>
      </c>
    </row>
    <row r="163" ht="27.95" customHeight="1" s="100">
      <c r="A163" s="34" t="inlineStr">
        <is>
          <t>Building always open with 
no "off hours"</t>
        </is>
      </c>
      <c r="B163" s="14" t="n">
        <v>2443</v>
      </c>
      <c r="C163" s="14" t="n">
        <v>2390</v>
      </c>
      <c r="D163" s="14" t="n">
        <v>1012</v>
      </c>
      <c r="E163" s="14" t="n">
        <v>2291</v>
      </c>
      <c r="F163" s="14" t="n">
        <v>1477</v>
      </c>
      <c r="G163" s="14" t="n">
        <v>906</v>
      </c>
      <c r="H163" s="14" t="n">
        <v>970</v>
      </c>
      <c r="I163" s="14" t="n">
        <v>917</v>
      </c>
    </row>
    <row r="164" ht="15" customHeight="1" s="100">
      <c r="A164" s="34" t="inlineStr">
        <is>
          <t>Electricity not used</t>
        </is>
      </c>
      <c r="B164" s="14" t="n">
        <v>2225</v>
      </c>
      <c r="C164" s="14" t="inlineStr">
        <is>
          <t>N</t>
        </is>
      </c>
      <c r="D164" s="14" t="inlineStr">
        <is>
          <t>N</t>
        </is>
      </c>
      <c r="E164" s="14" t="inlineStr">
        <is>
          <t>N</t>
        </is>
      </c>
      <c r="F164" s="14" t="inlineStr">
        <is>
          <t>N</t>
        </is>
      </c>
      <c r="G164" s="14" t="inlineStr">
        <is>
          <t>N</t>
        </is>
      </c>
      <c r="H164" s="14" t="inlineStr">
        <is>
          <t>N</t>
        </is>
      </c>
      <c r="I164" s="14" t="inlineStr">
        <is>
          <t>N</t>
        </is>
      </c>
    </row>
    <row r="165" ht="33.95" customHeight="1" s="100">
      <c r="A165" s="15" t="inlineStr">
        <is>
          <t>Lighting equipment types 
(more than one may apply)</t>
        </is>
      </c>
      <c r="B165" s="21" t="n"/>
      <c r="C165" s="21" t="n"/>
      <c r="D165" s="21" t="n"/>
      <c r="E165" s="21" t="n"/>
      <c r="F165" s="21" t="n"/>
      <c r="G165" s="21" t="n"/>
      <c r="H165" s="21" t="n"/>
      <c r="I165" s="21" t="n"/>
    </row>
    <row r="166" ht="15" customHeight="1" s="100">
      <c r="A166" s="17" t="inlineStr">
        <is>
          <t>Incandescent</t>
        </is>
      </c>
      <c r="B166" s="14" t="n">
        <v>38406</v>
      </c>
      <c r="C166" s="14" t="n">
        <v>38406</v>
      </c>
      <c r="D166" s="14" t="n">
        <v>38406</v>
      </c>
      <c r="E166" s="14" t="n">
        <v>37447</v>
      </c>
      <c r="F166" s="14" t="n">
        <v>30603</v>
      </c>
      <c r="G166" s="14" t="n">
        <v>15324</v>
      </c>
      <c r="H166" s="14" t="n">
        <v>19550</v>
      </c>
      <c r="I166" s="14" t="n">
        <v>15118</v>
      </c>
    </row>
    <row r="167" ht="15" customHeight="1" s="100">
      <c r="A167" s="17" t="inlineStr">
        <is>
          <t>Standard fluorescent</t>
        </is>
      </c>
      <c r="B167" s="14" t="n">
        <v>80081</v>
      </c>
      <c r="C167" s="14" t="n">
        <v>80081</v>
      </c>
      <c r="D167" s="14" t="n">
        <v>37447</v>
      </c>
      <c r="E167" s="14" t="n">
        <v>80081</v>
      </c>
      <c r="F167" s="14" t="n">
        <v>51568</v>
      </c>
      <c r="G167" s="14" t="n">
        <v>22703</v>
      </c>
      <c r="H167" s="14" t="n">
        <v>27403</v>
      </c>
      <c r="I167" s="14" t="n">
        <v>21386</v>
      </c>
    </row>
    <row r="168" ht="15" customHeight="1" s="100">
      <c r="A168" s="17" t="inlineStr">
        <is>
          <t>Compact fluorescent</t>
        </is>
      </c>
      <c r="B168" s="14" t="n">
        <v>53816</v>
      </c>
      <c r="C168" s="14" t="n">
        <v>53816</v>
      </c>
      <c r="D168" s="14" t="n">
        <v>30603</v>
      </c>
      <c r="E168" s="14" t="n">
        <v>51568</v>
      </c>
      <c r="F168" s="14" t="n">
        <v>53816</v>
      </c>
      <c r="G168" s="14" t="n">
        <v>18808</v>
      </c>
      <c r="H168" s="14" t="n">
        <v>23433</v>
      </c>
      <c r="I168" s="14" t="n">
        <v>19584</v>
      </c>
    </row>
    <row r="169" ht="15" customHeight="1" s="100">
      <c r="A169" s="17" t="inlineStr">
        <is>
          <t>High-intensity discharge</t>
        </is>
      </c>
      <c r="B169" s="14" t="n">
        <v>23396</v>
      </c>
      <c r="C169" s="14" t="n">
        <v>23396</v>
      </c>
      <c r="D169" s="14" t="n">
        <v>15324</v>
      </c>
      <c r="E169" s="14" t="n">
        <v>22703</v>
      </c>
      <c r="F169" s="14" t="n">
        <v>18808</v>
      </c>
      <c r="G169" s="14" t="n">
        <v>23396</v>
      </c>
      <c r="H169" s="14" t="n">
        <v>13211</v>
      </c>
      <c r="I169" s="14" t="n">
        <v>10729</v>
      </c>
    </row>
    <row r="170" ht="15" customHeight="1" s="100">
      <c r="A170" s="17" t="inlineStr">
        <is>
          <t>Halogen</t>
        </is>
      </c>
      <c r="B170" s="14" t="n">
        <v>28059</v>
      </c>
      <c r="C170" s="14" t="n">
        <v>28059</v>
      </c>
      <c r="D170" s="14" t="n">
        <v>19550</v>
      </c>
      <c r="E170" s="14" t="n">
        <v>27403</v>
      </c>
      <c r="F170" s="14" t="n">
        <v>23433</v>
      </c>
      <c r="G170" s="14" t="n">
        <v>13211</v>
      </c>
      <c r="H170" s="14" t="n">
        <v>28059</v>
      </c>
      <c r="I170" s="14" t="n">
        <v>13934</v>
      </c>
    </row>
    <row r="171" ht="15" customHeight="1" s="100">
      <c r="A171" s="17" t="inlineStr">
        <is>
          <t>LED</t>
        </is>
      </c>
      <c r="B171" s="14" t="n">
        <v>22071</v>
      </c>
      <c r="C171" s="14" t="n">
        <v>22071</v>
      </c>
      <c r="D171" s="14" t="n">
        <v>15118</v>
      </c>
      <c r="E171" s="14" t="n">
        <v>21386</v>
      </c>
      <c r="F171" s="14" t="n">
        <v>19584</v>
      </c>
      <c r="G171" s="14" t="n">
        <v>10729</v>
      </c>
      <c r="H171" s="14" t="n">
        <v>13934</v>
      </c>
      <c r="I171" s="14" t="n">
        <v>22071</v>
      </c>
    </row>
    <row r="172" ht="15" customHeight="1" s="100">
      <c r="A172" s="17" t="inlineStr">
        <is>
          <t>Other</t>
        </is>
      </c>
      <c r="B172" s="14" t="n">
        <v>446</v>
      </c>
      <c r="C172" s="14" t="n">
        <v>446</v>
      </c>
      <c r="D172" s="14" t="n">
        <v>390</v>
      </c>
      <c r="E172" s="14" t="n">
        <v>446</v>
      </c>
      <c r="F172" s="14" t="n">
        <v>446</v>
      </c>
      <c r="G172" s="14" t="inlineStr">
        <is>
          <t>Q</t>
        </is>
      </c>
      <c r="H172" s="14" t="n">
        <v>361</v>
      </c>
      <c r="I172" s="14" t="n">
        <v>357</v>
      </c>
    </row>
    <row r="173" ht="44.2" customHeight="1" s="100">
      <c r="A173" s="15" t="inlineStr">
        <is>
          <t>Window and interior lighting 
features (more than one may
apply)</t>
        </is>
      </c>
      <c r="B173" s="21" t="n"/>
      <c r="C173" s="21" t="n"/>
      <c r="D173" s="21" t="n"/>
      <c r="E173" s="21" t="n"/>
      <c r="F173" s="21" t="n"/>
      <c r="G173" s="21" t="n"/>
      <c r="H173" s="21" t="n"/>
      <c r="I173" s="21" t="n"/>
    </row>
    <row r="174" ht="15" customHeight="1" s="100">
      <c r="A174" s="17" t="inlineStr">
        <is>
          <t>Multipaned windows</t>
        </is>
      </c>
      <c r="B174" s="14" t="n">
        <v>60362</v>
      </c>
      <c r="C174" s="14" t="n">
        <v>59205</v>
      </c>
      <c r="D174" s="14" t="n">
        <v>29012</v>
      </c>
      <c r="E174" s="14" t="n">
        <v>57237</v>
      </c>
      <c r="F174" s="14" t="n">
        <v>41014</v>
      </c>
      <c r="G174" s="14" t="n">
        <v>18216</v>
      </c>
      <c r="H174" s="14" t="n">
        <v>21614</v>
      </c>
      <c r="I174" s="14" t="n">
        <v>17864</v>
      </c>
    </row>
    <row r="175" ht="15" customHeight="1" s="100">
      <c r="A175" s="17" t="inlineStr">
        <is>
          <t>Tinted window glass</t>
        </is>
      </c>
      <c r="B175" s="14" t="n">
        <v>45025</v>
      </c>
      <c r="C175" s="14" t="n">
        <v>44068</v>
      </c>
      <c r="D175" s="14" t="n">
        <v>21931</v>
      </c>
      <c r="E175" s="14" t="n">
        <v>42856</v>
      </c>
      <c r="F175" s="14" t="n">
        <v>31503</v>
      </c>
      <c r="G175" s="14" t="n">
        <v>15006</v>
      </c>
      <c r="H175" s="14" t="n">
        <v>17327</v>
      </c>
      <c r="I175" s="14" t="n">
        <v>14758</v>
      </c>
    </row>
    <row r="176" ht="15" customHeight="1" s="100">
      <c r="A176" s="17" t="inlineStr">
        <is>
          <t>Reflective window glass</t>
        </is>
      </c>
      <c r="B176" s="14" t="n">
        <v>15908</v>
      </c>
      <c r="C176" s="14" t="n">
        <v>15759</v>
      </c>
      <c r="D176" s="14" t="n">
        <v>8748</v>
      </c>
      <c r="E176" s="14" t="n">
        <v>15232</v>
      </c>
      <c r="F176" s="14" t="n">
        <v>12668</v>
      </c>
      <c r="G176" s="14" t="n">
        <v>6287</v>
      </c>
      <c r="H176" s="14" t="n">
        <v>7896</v>
      </c>
      <c r="I176" s="14" t="n">
        <v>6873</v>
      </c>
    </row>
    <row r="177" ht="15" customHeight="1" s="100">
      <c r="A177" s="17" t="inlineStr">
        <is>
          <t>External overhangs or awnings</t>
        </is>
      </c>
      <c r="B177" s="14" t="n">
        <v>32188</v>
      </c>
      <c r="C177" s="14" t="n">
        <v>31869</v>
      </c>
      <c r="D177" s="14" t="n">
        <v>17405</v>
      </c>
      <c r="E177" s="14" t="n">
        <v>30762</v>
      </c>
      <c r="F177" s="14" t="n">
        <v>23268</v>
      </c>
      <c r="G177" s="14" t="n">
        <v>10433</v>
      </c>
      <c r="H177" s="14" t="n">
        <v>13417</v>
      </c>
      <c r="I177" s="14" t="n">
        <v>10694</v>
      </c>
    </row>
    <row r="178" ht="15" customHeight="1" s="100">
      <c r="A178" s="17" t="inlineStr">
        <is>
          <t>Skylights or atriums</t>
        </is>
      </c>
      <c r="B178" s="14" t="n">
        <v>22261</v>
      </c>
      <c r="C178" s="14" t="n">
        <v>21902</v>
      </c>
      <c r="D178" s="14" t="n">
        <v>11479</v>
      </c>
      <c r="E178" s="14" t="n">
        <v>21291</v>
      </c>
      <c r="F178" s="14" t="n">
        <v>16651</v>
      </c>
      <c r="G178" s="14" t="n">
        <v>8534</v>
      </c>
      <c r="H178" s="14" t="n">
        <v>10239</v>
      </c>
      <c r="I178" s="14" t="n">
        <v>8409</v>
      </c>
    </row>
    <row r="179" ht="15" customHeight="1" s="100">
      <c r="A179" s="17" t="inlineStr">
        <is>
          <t>Light scheduling</t>
        </is>
      </c>
      <c r="B179" s="14" t="n">
        <v>30263</v>
      </c>
      <c r="C179" s="14" t="n">
        <v>30263</v>
      </c>
      <c r="D179" s="14" t="n">
        <v>16639</v>
      </c>
      <c r="E179" s="14" t="n">
        <v>29056</v>
      </c>
      <c r="F179" s="14" t="n">
        <v>24267</v>
      </c>
      <c r="G179" s="14" t="n">
        <v>12845</v>
      </c>
      <c r="H179" s="14" t="n">
        <v>15175</v>
      </c>
      <c r="I179" s="14" t="n">
        <v>12888</v>
      </c>
    </row>
    <row r="180" ht="15" customHeight="1" s="100">
      <c r="A180" s="17" t="inlineStr">
        <is>
          <t>Occupancy sensors</t>
        </is>
      </c>
      <c r="B180" s="14" t="n">
        <v>35871</v>
      </c>
      <c r="C180" s="14" t="n">
        <v>35871</v>
      </c>
      <c r="D180" s="14" t="n">
        <v>18510</v>
      </c>
      <c r="E180" s="14" t="n">
        <v>34858</v>
      </c>
      <c r="F180" s="14" t="n">
        <v>28252</v>
      </c>
      <c r="G180" s="14" t="n">
        <v>13754</v>
      </c>
      <c r="H180" s="14" t="n">
        <v>16401</v>
      </c>
      <c r="I180" s="14" t="n">
        <v>15662</v>
      </c>
    </row>
    <row r="181" ht="15" customHeight="1" s="100">
      <c r="A181" s="17" t="inlineStr">
        <is>
          <t>Multi-level lighting or dimming</t>
        </is>
      </c>
      <c r="B181" s="14" t="n">
        <v>14534</v>
      </c>
      <c r="C181" s="14" t="n">
        <v>14534</v>
      </c>
      <c r="D181" s="14" t="n">
        <v>9302</v>
      </c>
      <c r="E181" s="14" t="n">
        <v>13971</v>
      </c>
      <c r="F181" s="14" t="n">
        <v>12688</v>
      </c>
      <c r="G181" s="14" t="n">
        <v>6520</v>
      </c>
      <c r="H181" s="14" t="n">
        <v>8888</v>
      </c>
      <c r="I181" s="14" t="n">
        <v>7984</v>
      </c>
    </row>
    <row r="182" ht="15" customHeight="1" s="100">
      <c r="A182" s="17" t="inlineStr">
        <is>
          <t>Daylight harvesting</t>
        </is>
      </c>
      <c r="B182" s="14" t="n">
        <v>6114</v>
      </c>
      <c r="C182" s="14" t="n">
        <v>6114</v>
      </c>
      <c r="D182" s="14" t="n">
        <v>3387</v>
      </c>
      <c r="E182" s="14" t="n">
        <v>6032</v>
      </c>
      <c r="F182" s="14" t="n">
        <v>4887</v>
      </c>
      <c r="G182" s="14" t="n">
        <v>2868</v>
      </c>
      <c r="H182" s="14" t="n">
        <v>3341</v>
      </c>
      <c r="I182" s="14" t="n">
        <v>3980</v>
      </c>
    </row>
    <row r="183" ht="15" customHeight="1" s="100">
      <c r="A183" s="17" t="inlineStr">
        <is>
          <t>Demand responsive lighting</t>
        </is>
      </c>
      <c r="B183" s="14" t="n">
        <v>4738</v>
      </c>
      <c r="C183" s="14" t="n">
        <v>4738</v>
      </c>
      <c r="D183" s="14" t="n">
        <v>2946</v>
      </c>
      <c r="E183" s="14" t="n">
        <v>4506</v>
      </c>
      <c r="F183" s="14" t="n">
        <v>3502</v>
      </c>
      <c r="G183" s="14" t="n">
        <v>2061</v>
      </c>
      <c r="H183" s="14" t="n">
        <v>2437</v>
      </c>
      <c r="I183" s="14" t="n">
        <v>2251</v>
      </c>
    </row>
    <row r="184" ht="27.95" customHeight="1" s="100">
      <c r="A184" s="17" t="inlineStr">
        <is>
          <t>Building automation system (BAS) for lighting2</t>
        </is>
      </c>
      <c r="B184" s="14" t="n">
        <v>12068</v>
      </c>
      <c r="C184" s="14" t="n">
        <v>12068</v>
      </c>
      <c r="D184" s="14" t="n">
        <v>6984</v>
      </c>
      <c r="E184" s="14" t="n">
        <v>11721</v>
      </c>
      <c r="F184" s="14" t="n">
        <v>10143</v>
      </c>
      <c r="G184" s="14" t="n">
        <v>5684</v>
      </c>
      <c r="H184" s="14" t="n">
        <v>6577</v>
      </c>
      <c r="I184" s="14" t="n">
        <v>6766</v>
      </c>
    </row>
    <row r="185" ht="44.2" customHeight="1" s="100">
      <c r="A185" s="15" t="inlineStr">
        <is>
          <t>Equipment usage reduced when 
building not in full use 
(more than one may apply)</t>
        </is>
      </c>
      <c r="B185" s="21" t="n"/>
      <c r="C185" s="21" t="n"/>
      <c r="D185" s="21" t="n"/>
      <c r="E185" s="21" t="n"/>
      <c r="F185" s="21" t="n"/>
      <c r="G185" s="21" t="n"/>
      <c r="H185" s="21" t="n"/>
      <c r="I185" s="21" t="n"/>
    </row>
    <row r="186" ht="15" customHeight="1" s="100">
      <c r="A186" s="17" t="inlineStr">
        <is>
          <t>Heating</t>
        </is>
      </c>
      <c r="B186" s="14" t="n">
        <v>63167</v>
      </c>
      <c r="C186" s="14" t="n">
        <v>62669</v>
      </c>
      <c r="D186" s="14" t="n">
        <v>30314</v>
      </c>
      <c r="E186" s="14" t="n">
        <v>60546</v>
      </c>
      <c r="F186" s="14" t="n">
        <v>42331</v>
      </c>
      <c r="G186" s="14" t="n">
        <v>18572</v>
      </c>
      <c r="H186" s="14" t="n">
        <v>21904</v>
      </c>
      <c r="I186" s="14" t="n">
        <v>17671</v>
      </c>
    </row>
    <row r="187" ht="15" customHeight="1" s="100">
      <c r="A187" s="17" t="inlineStr">
        <is>
          <t>Cooling</t>
        </is>
      </c>
      <c r="B187" s="14" t="n">
        <v>62516</v>
      </c>
      <c r="C187" s="14" t="n">
        <v>62156</v>
      </c>
      <c r="D187" s="14" t="n">
        <v>30210</v>
      </c>
      <c r="E187" s="14" t="n">
        <v>59941</v>
      </c>
      <c r="F187" s="14" t="n">
        <v>42180</v>
      </c>
      <c r="G187" s="14" t="n">
        <v>18424</v>
      </c>
      <c r="H187" s="14" t="n">
        <v>22268</v>
      </c>
      <c r="I187" s="14" t="n">
        <v>17939</v>
      </c>
    </row>
    <row r="188" ht="15" customHeight="1" s="100">
      <c r="A188" s="17" t="inlineStr">
        <is>
          <t>Lighting</t>
        </is>
      </c>
      <c r="B188" s="14" t="n">
        <v>78594</v>
      </c>
      <c r="C188" s="14" t="n">
        <v>78594</v>
      </c>
      <c r="D188" s="14" t="n">
        <v>36405</v>
      </c>
      <c r="E188" s="14" t="n">
        <v>75380</v>
      </c>
      <c r="F188" s="14" t="n">
        <v>51068</v>
      </c>
      <c r="G188" s="14" t="n">
        <v>21872</v>
      </c>
      <c r="H188" s="14" t="n">
        <v>26646</v>
      </c>
      <c r="I188" s="14" t="n">
        <v>20668</v>
      </c>
    </row>
    <row r="189" ht="15" customHeight="1" s="100" thickBot="1">
      <c r="A189" s="18" t="n"/>
    </row>
    <row r="190" ht="140.25" customHeight="1" s="100">
      <c r="A190" s="110" t="inlineStr">
        <is>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is>
      </c>
      <c r="B190" s="111" t="n"/>
      <c r="C190" s="111" t="n"/>
      <c r="D190" s="111" t="n"/>
      <c r="E190" s="111" t="n"/>
      <c r="F190" s="111" t="n"/>
      <c r="G190" s="111" t="n"/>
      <c r="H190" s="111" t="n"/>
      <c r="I190" s="111" t="n"/>
    </row>
  </sheetData>
  <mergeCells count="6">
    <mergeCell ref="A190:I190"/>
    <mergeCell ref="A2:I2"/>
    <mergeCell ref="B4:B5"/>
    <mergeCell ref="C4:C5"/>
    <mergeCell ref="D4:I4"/>
    <mergeCell ref="B3:I3"/>
  </mergeCells>
  <pageMargins left="0.7" right="0.7" top="0.6" bottom="0.6" header="0.3" footer="0.3"/>
  <pageSetup orientation="portrait" scale="85" fitToHeight="0"/>
  <rowBreaks count="3" manualBreakCount="3">
    <brk id="45" min="0" max="16383" man="1"/>
    <brk id="86" min="0" max="16383" man="1"/>
    <brk id="119" min="0" max="16383" man="1"/>
  </rowBreaks>
</worksheet>
</file>

<file path=xl/worksheets/sheet14.xml><?xml version="1.0" encoding="utf-8"?>
<worksheet xmlns="http://schemas.openxmlformats.org/spreadsheetml/2006/main">
  <sheetPr>
    <outlinePr summaryBelow="1" summaryRight="1"/>
    <pageSetUpPr fitToPage="1"/>
  </sheetPr>
  <dimension ref="A1:N166"/>
  <sheetViews>
    <sheetView workbookViewId="0">
      <selection activeCell="A1" sqref="A1"/>
    </sheetView>
  </sheetViews>
  <sheetFormatPr baseColWidth="8" defaultRowHeight="14.25"/>
  <cols>
    <col width="28.73046875" customWidth="1" style="100" min="1" max="1"/>
    <col width="7.73046875" customWidth="1" style="118" min="2" max="11"/>
  </cols>
  <sheetData>
    <row r="1" ht="29.55" customHeight="1" s="100">
      <c r="A1" s="7" t="inlineStr">
        <is>
          <t>Release date: April 2015 Revised date: May 2016</t>
        </is>
      </c>
    </row>
    <row r="2" ht="26.25" customHeight="1" s="100">
      <c r="A2" s="117" t="inlineStr">
        <is>
          <t>Table B42.  Water-heating equipment, number of buildings and floorspace, 2012</t>
        </is>
      </c>
    </row>
    <row r="3" ht="24" customHeight="1" s="100">
      <c r="A3" s="117" t="n"/>
      <c r="B3" s="127" t="inlineStr">
        <is>
          <t>Number of buildings (thousand)</t>
        </is>
      </c>
      <c r="C3" s="123" t="n"/>
      <c r="D3" s="123" t="n"/>
      <c r="E3" s="123" t="n"/>
      <c r="F3" s="128" t="n"/>
      <c r="G3" s="122" t="inlineStr">
        <is>
          <t>Total floorspace (million square feet)</t>
        </is>
      </c>
      <c r="H3" s="123" t="n"/>
      <c r="I3" s="123" t="n"/>
      <c r="J3" s="123" t="n"/>
      <c r="K3" s="123" t="n"/>
    </row>
    <row r="4" ht="36.75" customHeight="1" s="100">
      <c r="A4" s="117" t="n"/>
      <c r="B4" s="124" t="inlineStr">
        <is>
          <t>All
buildings</t>
        </is>
      </c>
      <c r="C4" s="124" t="inlineStr">
        <is>
          <t>Buildings with water heating</t>
        </is>
      </c>
      <c r="D4" s="125" t="inlineStr">
        <is>
          <t>Type of water-heating equipment</t>
        </is>
      </c>
      <c r="E4" s="126" t="n"/>
      <c r="F4" s="126" t="n"/>
      <c r="G4" s="124" t="inlineStr">
        <is>
          <t>All
buildings</t>
        </is>
      </c>
      <c r="H4" s="124" t="inlineStr">
        <is>
          <t>Buildings with water heating</t>
        </is>
      </c>
      <c r="I4" s="125" t="inlineStr">
        <is>
          <t>Type of water-heating equipment</t>
        </is>
      </c>
      <c r="J4" s="126" t="n"/>
      <c r="K4" s="126" t="n"/>
    </row>
    <row r="5" ht="89.25" customHeight="1" s="100" thickBot="1">
      <c r="A5" s="10" t="n"/>
      <c r="B5" s="107" t="n"/>
      <c r="C5" s="107" t="n"/>
      <c r="D5" s="124" t="inlineStr">
        <is>
          <t>Central-
ized
system</t>
        </is>
      </c>
      <c r="E5" s="124" t="inlineStr">
        <is>
          <t>Distrib-
uted
system</t>
        </is>
      </c>
      <c r="F5" s="124" t="inlineStr">
        <is>
          <t xml:space="preserve">Both
central-
ized and
distrib-
uted
systems </t>
        </is>
      </c>
      <c r="G5" s="107" t="n"/>
      <c r="H5" s="107" t="n"/>
      <c r="I5" s="124" t="inlineStr">
        <is>
          <t>Central-
ized
system</t>
        </is>
      </c>
      <c r="J5" s="124" t="inlineStr">
        <is>
          <t>Distrib-
uted
system</t>
        </is>
      </c>
      <c r="K5" s="124" t="inlineStr">
        <is>
          <t xml:space="preserve">Both
central-
ized and
distrib-
uted
systems </t>
        </is>
      </c>
    </row>
    <row r="6" ht="24" customHeight="1" s="100" thickTop="1">
      <c r="A6" s="12" t="inlineStr">
        <is>
          <t>All buildings</t>
        </is>
      </c>
      <c r="B6" s="13" t="n">
        <v>5557</v>
      </c>
      <c r="C6" s="13" t="n">
        <v>4423</v>
      </c>
      <c r="D6" s="13" t="n">
        <v>3348</v>
      </c>
      <c r="E6" s="13" t="n">
        <v>690</v>
      </c>
      <c r="F6" s="13" t="n">
        <v>385</v>
      </c>
      <c r="G6" s="13" t="n">
        <v>87093</v>
      </c>
      <c r="H6" s="13" t="n">
        <v>79015</v>
      </c>
      <c r="I6" s="13" t="n">
        <v>47534</v>
      </c>
      <c r="J6" s="13" t="n">
        <v>12688</v>
      </c>
      <c r="K6" s="13" t="n">
        <v>18793</v>
      </c>
    </row>
    <row r="7" ht="24" customHeight="1" s="100">
      <c r="A7" s="15" t="inlineStr">
        <is>
          <t>Building floorspace (square feet)</t>
        </is>
      </c>
      <c r="B7" s="16" t="n"/>
      <c r="C7" s="16" t="n"/>
      <c r="D7" s="16" t="n"/>
      <c r="E7" s="16" t="n"/>
      <c r="F7" s="16" t="n"/>
      <c r="G7" s="16" t="n"/>
      <c r="H7" s="16" t="n"/>
      <c r="I7" s="16" t="n"/>
      <c r="J7" s="16" t="n"/>
      <c r="K7" s="16" t="n"/>
    </row>
    <row r="8" ht="15" customHeight="1" s="100">
      <c r="A8" s="17" t="inlineStr">
        <is>
          <t xml:space="preserve">1,001 to 5,000 </t>
        </is>
      </c>
      <c r="B8" s="14" t="n">
        <v>2777</v>
      </c>
      <c r="C8" s="14" t="n">
        <v>2032</v>
      </c>
      <c r="D8" s="14" t="n">
        <v>1653</v>
      </c>
      <c r="E8" s="14" t="n">
        <v>322</v>
      </c>
      <c r="F8" s="14" t="n">
        <v>57</v>
      </c>
      <c r="G8" s="14" t="n">
        <v>8041</v>
      </c>
      <c r="H8" s="14" t="n">
        <v>6102</v>
      </c>
      <c r="I8" s="14" t="n">
        <v>4906</v>
      </c>
      <c r="J8" s="14" t="n">
        <v>1011</v>
      </c>
      <c r="K8" s="14" t="n">
        <v>185</v>
      </c>
    </row>
    <row r="9" ht="15" customHeight="1" s="100">
      <c r="A9" s="17" t="inlineStr">
        <is>
          <t xml:space="preserve">5,001 to 10,000 </t>
        </is>
      </c>
      <c r="B9" s="14" t="n">
        <v>1229</v>
      </c>
      <c r="C9" s="14" t="n">
        <v>992</v>
      </c>
      <c r="D9" s="14" t="n">
        <v>789</v>
      </c>
      <c r="E9" s="14" t="n">
        <v>120</v>
      </c>
      <c r="F9" s="14" t="n">
        <v>82</v>
      </c>
      <c r="G9" s="14" t="n">
        <v>8900</v>
      </c>
      <c r="H9" s="14" t="n">
        <v>7236</v>
      </c>
      <c r="I9" s="14" t="n">
        <v>5731</v>
      </c>
      <c r="J9" s="14" t="n">
        <v>890</v>
      </c>
      <c r="K9" s="14" t="n">
        <v>615</v>
      </c>
    </row>
    <row r="10" ht="15" customHeight="1" s="100">
      <c r="A10" s="17" t="inlineStr">
        <is>
          <t>10,001 to 25,000</t>
        </is>
      </c>
      <c r="B10" s="14" t="n">
        <v>884</v>
      </c>
      <c r="C10" s="14" t="n">
        <v>775</v>
      </c>
      <c r="D10" s="14" t="n">
        <v>538</v>
      </c>
      <c r="E10" s="14" t="n">
        <v>143</v>
      </c>
      <c r="F10" s="14" t="n">
        <v>93</v>
      </c>
      <c r="G10" s="14" t="n">
        <v>14105</v>
      </c>
      <c r="H10" s="14" t="n">
        <v>12401</v>
      </c>
      <c r="I10" s="14" t="n">
        <v>8549</v>
      </c>
      <c r="J10" s="14" t="n">
        <v>2318</v>
      </c>
      <c r="K10" s="14" t="n">
        <v>1534</v>
      </c>
    </row>
    <row r="11" ht="15" customHeight="1" s="100">
      <c r="A11" s="17" t="inlineStr">
        <is>
          <t>25,001 to 50,000</t>
        </is>
      </c>
      <c r="B11" s="14" t="n">
        <v>332</v>
      </c>
      <c r="C11" s="14" t="n">
        <v>307</v>
      </c>
      <c r="D11" s="14" t="n">
        <v>198</v>
      </c>
      <c r="E11" s="14" t="n">
        <v>57</v>
      </c>
      <c r="F11" s="14" t="n">
        <v>51</v>
      </c>
      <c r="G11" s="14" t="n">
        <v>11917</v>
      </c>
      <c r="H11" s="14" t="n">
        <v>11007</v>
      </c>
      <c r="I11" s="14" t="n">
        <v>7125</v>
      </c>
      <c r="J11" s="14" t="n">
        <v>1983</v>
      </c>
      <c r="K11" s="14" t="n">
        <v>1899</v>
      </c>
    </row>
    <row r="12" ht="15" customHeight="1" s="100">
      <c r="A12" s="17" t="inlineStr">
        <is>
          <t xml:space="preserve">50,001 to 100,000 </t>
        </is>
      </c>
      <c r="B12" s="14" t="n">
        <v>199</v>
      </c>
      <c r="C12" s="14" t="n">
        <v>186</v>
      </c>
      <c r="D12" s="14" t="n">
        <v>103</v>
      </c>
      <c r="E12" s="14" t="n">
        <v>28</v>
      </c>
      <c r="F12" s="14" t="n">
        <v>55</v>
      </c>
      <c r="G12" s="14" t="n">
        <v>13918</v>
      </c>
      <c r="H12" s="14" t="n">
        <v>13063</v>
      </c>
      <c r="I12" s="14" t="n">
        <v>7181</v>
      </c>
      <c r="J12" s="14" t="n">
        <v>1904</v>
      </c>
      <c r="K12" s="14" t="n">
        <v>3978</v>
      </c>
    </row>
    <row r="13" ht="15" customHeight="1" s="100">
      <c r="A13" s="17" t="inlineStr">
        <is>
          <t xml:space="preserve">100,001 to 200,000 </t>
        </is>
      </c>
      <c r="B13" s="14" t="n">
        <v>90</v>
      </c>
      <c r="C13" s="14" t="n">
        <v>86</v>
      </c>
      <c r="D13" s="14" t="n">
        <v>45</v>
      </c>
      <c r="E13" s="14" t="n">
        <v>13</v>
      </c>
      <c r="F13" s="14" t="n">
        <v>29</v>
      </c>
      <c r="G13" s="14" t="n">
        <v>12415</v>
      </c>
      <c r="H13" s="14" t="n">
        <v>11903</v>
      </c>
      <c r="I13" s="14" t="n">
        <v>6120</v>
      </c>
      <c r="J13" s="14" t="n">
        <v>1846</v>
      </c>
      <c r="K13" s="14" t="n">
        <v>3937</v>
      </c>
    </row>
    <row r="14" ht="15" customHeight="1" s="100">
      <c r="A14" s="17" t="inlineStr">
        <is>
          <t xml:space="preserve">200,001 to 500,000 </t>
        </is>
      </c>
      <c r="B14" s="14" t="n">
        <v>38</v>
      </c>
      <c r="C14" s="14" t="n">
        <v>36</v>
      </c>
      <c r="D14" s="14" t="n">
        <v>17</v>
      </c>
      <c r="E14" s="14" t="n">
        <v>5</v>
      </c>
      <c r="F14" s="14" t="n">
        <v>14</v>
      </c>
      <c r="G14" s="14" t="n">
        <v>10724</v>
      </c>
      <c r="H14" s="14" t="n">
        <v>10351</v>
      </c>
      <c r="I14" s="14" t="n">
        <v>4924</v>
      </c>
      <c r="J14" s="14" t="n">
        <v>1516</v>
      </c>
      <c r="K14" s="14" t="n">
        <v>3911</v>
      </c>
    </row>
    <row r="15" ht="15" customHeight="1" s="100">
      <c r="A15" s="17" t="inlineStr">
        <is>
          <t xml:space="preserve">Over 500,000 </t>
        </is>
      </c>
      <c r="B15" s="14" t="n">
        <v>8</v>
      </c>
      <c r="C15" s="14" t="n">
        <v>8</v>
      </c>
      <c r="D15" s="14" t="n">
        <v>4</v>
      </c>
      <c r="E15" s="14" t="n">
        <v>1</v>
      </c>
      <c r="F15" s="14" t="n">
        <v>3</v>
      </c>
      <c r="G15" s="14" t="n">
        <v>7074</v>
      </c>
      <c r="H15" s="14" t="n">
        <v>6951</v>
      </c>
      <c r="I15" s="14" t="n">
        <v>2998</v>
      </c>
      <c r="J15" s="14" t="n">
        <v>1220</v>
      </c>
      <c r="K15" s="14" t="n">
        <v>2734</v>
      </c>
    </row>
    <row r="16" ht="24" customHeight="1" s="100">
      <c r="A16" s="15" t="inlineStr">
        <is>
          <t>Principal building activity</t>
        </is>
      </c>
      <c r="B16" s="15" t="n"/>
      <c r="C16" s="15" t="n"/>
      <c r="D16" s="15" t="n"/>
      <c r="E16" s="15" t="n"/>
      <c r="F16" s="15" t="n"/>
      <c r="G16" s="15" t="n"/>
      <c r="H16" s="15" t="n"/>
      <c r="I16" s="15" t="n"/>
      <c r="J16" s="15" t="n"/>
      <c r="K16" s="15" t="n"/>
    </row>
    <row r="17">
      <c r="A17" s="17" t="inlineStr">
        <is>
          <t>Education</t>
        </is>
      </c>
      <c r="B17" s="14" t="n">
        <v>389</v>
      </c>
      <c r="C17" s="14" t="n">
        <v>332</v>
      </c>
      <c r="D17" s="14" t="n">
        <v>244</v>
      </c>
      <c r="E17" s="14" t="n">
        <v>51</v>
      </c>
      <c r="F17" s="14" t="n">
        <v>38</v>
      </c>
      <c r="G17" s="14" t="n">
        <v>12239</v>
      </c>
      <c r="H17" s="14" t="n">
        <v>11905</v>
      </c>
      <c r="I17" s="14" t="n">
        <v>7580</v>
      </c>
      <c r="J17" s="14" t="n">
        <v>1269</v>
      </c>
      <c r="K17" s="14" t="n">
        <v>3057</v>
      </c>
    </row>
    <row r="18">
      <c r="A18" s="17" t="inlineStr">
        <is>
          <t xml:space="preserve">Food sales </t>
        </is>
      </c>
      <c r="B18" s="14" t="n">
        <v>177</v>
      </c>
      <c r="C18" s="14" t="n">
        <v>177</v>
      </c>
      <c r="D18" s="14" t="n">
        <v>155</v>
      </c>
      <c r="E18" s="14" t="inlineStr">
        <is>
          <t>Q</t>
        </is>
      </c>
      <c r="F18" s="14" t="inlineStr">
        <is>
          <t>Q</t>
        </is>
      </c>
      <c r="G18" s="14" t="n">
        <v>1252</v>
      </c>
      <c r="H18" s="14" t="n">
        <v>1252</v>
      </c>
      <c r="I18" s="14" t="n">
        <v>883</v>
      </c>
      <c r="J18" s="14" t="inlineStr">
        <is>
          <t>Q</t>
        </is>
      </c>
      <c r="K18" s="14" t="inlineStr">
        <is>
          <t>Q</t>
        </is>
      </c>
    </row>
    <row r="19">
      <c r="A19" s="17" t="inlineStr">
        <is>
          <t xml:space="preserve">Food service </t>
        </is>
      </c>
      <c r="B19" s="14" t="n">
        <v>380</v>
      </c>
      <c r="C19" s="14" t="n">
        <v>379</v>
      </c>
      <c r="D19" s="14" t="n">
        <v>307</v>
      </c>
      <c r="E19" s="14" t="n">
        <v>33</v>
      </c>
      <c r="F19" s="14" t="n">
        <v>39</v>
      </c>
      <c r="G19" s="14" t="n">
        <v>1819</v>
      </c>
      <c r="H19" s="14" t="n">
        <v>1817</v>
      </c>
      <c r="I19" s="14" t="n">
        <v>1449</v>
      </c>
      <c r="J19" s="14" t="n">
        <v>130</v>
      </c>
      <c r="K19" s="14" t="n">
        <v>237</v>
      </c>
    </row>
    <row r="20">
      <c r="A20" s="17" t="inlineStr">
        <is>
          <t xml:space="preserve">Health care </t>
        </is>
      </c>
      <c r="B20" s="14" t="n">
        <v>157</v>
      </c>
      <c r="C20" s="14" t="n">
        <v>156</v>
      </c>
      <c r="D20" s="14" t="n">
        <v>124</v>
      </c>
      <c r="E20" s="14" t="n">
        <v>22</v>
      </c>
      <c r="F20" s="14" t="n">
        <v>10</v>
      </c>
      <c r="G20" s="14" t="n">
        <v>4155</v>
      </c>
      <c r="H20" s="14" t="n">
        <v>4153</v>
      </c>
      <c r="I20" s="14" t="n">
        <v>2630</v>
      </c>
      <c r="J20" s="14" t="n">
        <v>449</v>
      </c>
      <c r="K20" s="14" t="n">
        <v>1074</v>
      </c>
    </row>
    <row r="21">
      <c r="A21" s="18" t="inlineStr">
        <is>
          <t xml:space="preserve">  Inpatient </t>
        </is>
      </c>
      <c r="B21" s="14" t="n">
        <v>10</v>
      </c>
      <c r="C21" s="14" t="n">
        <v>10</v>
      </c>
      <c r="D21" s="14" t="n">
        <v>6</v>
      </c>
      <c r="E21" s="14" t="inlineStr">
        <is>
          <t>Q</t>
        </is>
      </c>
      <c r="F21" s="14" t="n">
        <v>2</v>
      </c>
      <c r="G21" s="14" t="n">
        <v>2374</v>
      </c>
      <c r="H21" s="14" t="n">
        <v>2374</v>
      </c>
      <c r="I21" s="14" t="n">
        <v>1419</v>
      </c>
      <c r="J21" s="14" t="inlineStr">
        <is>
          <t>Q</t>
        </is>
      </c>
      <c r="K21" s="14" t="n">
        <v>860</v>
      </c>
    </row>
    <row r="22">
      <c r="A22" s="18" t="inlineStr">
        <is>
          <t xml:space="preserve">  Outpatient </t>
        </is>
      </c>
      <c r="B22" s="14" t="n">
        <v>147</v>
      </c>
      <c r="C22" s="14" t="n">
        <v>146</v>
      </c>
      <c r="D22" s="14" t="n">
        <v>118</v>
      </c>
      <c r="E22" s="14" t="n">
        <v>21</v>
      </c>
      <c r="F22" s="14" t="inlineStr">
        <is>
          <t>Q</t>
        </is>
      </c>
      <c r="G22" s="14" t="n">
        <v>1781</v>
      </c>
      <c r="H22" s="14" t="n">
        <v>1779</v>
      </c>
      <c r="I22" s="14" t="n">
        <v>1211</v>
      </c>
      <c r="J22" s="14" t="n">
        <v>354</v>
      </c>
      <c r="K22" s="14" t="inlineStr">
        <is>
          <t>Q</t>
        </is>
      </c>
    </row>
    <row r="23">
      <c r="A23" s="17" t="inlineStr">
        <is>
          <t xml:space="preserve">Lodging </t>
        </is>
      </c>
      <c r="B23" s="14" t="n">
        <v>158</v>
      </c>
      <c r="C23" s="14" t="n">
        <v>158</v>
      </c>
      <c r="D23" s="14" t="n">
        <v>132</v>
      </c>
      <c r="E23" s="14" t="n">
        <v>7</v>
      </c>
      <c r="F23" s="14" t="n">
        <v>19</v>
      </c>
      <c r="G23" s="14" t="n">
        <v>5826</v>
      </c>
      <c r="H23" s="14" t="n">
        <v>5821</v>
      </c>
      <c r="I23" s="14" t="n">
        <v>4418</v>
      </c>
      <c r="J23" s="14" t="n">
        <v>369</v>
      </c>
      <c r="K23" s="14" t="n">
        <v>1034</v>
      </c>
    </row>
    <row r="24">
      <c r="A24" s="17" t="inlineStr">
        <is>
          <t xml:space="preserve">Mercantile </t>
        </is>
      </c>
      <c r="B24" s="14" t="n">
        <v>602</v>
      </c>
      <c r="C24" s="14" t="n">
        <v>531</v>
      </c>
      <c r="D24" s="14" t="n">
        <v>342</v>
      </c>
      <c r="E24" s="14" t="n">
        <v>90</v>
      </c>
      <c r="F24" s="14" t="n">
        <v>99</v>
      </c>
      <c r="G24" s="14" t="n">
        <v>11330</v>
      </c>
      <c r="H24" s="14" t="n">
        <v>10960</v>
      </c>
      <c r="I24" s="14" t="n">
        <v>4705</v>
      </c>
      <c r="J24" s="14" t="n">
        <v>1492</v>
      </c>
      <c r="K24" s="14" t="n">
        <v>4763</v>
      </c>
      <c r="N24" s="19" t="n"/>
    </row>
    <row r="25" ht="15" customHeight="1" s="100">
      <c r="A25" s="20" t="inlineStr">
        <is>
          <t xml:space="preserve">Retail (other than mall) </t>
        </is>
      </c>
      <c r="B25" s="14" t="n">
        <v>438</v>
      </c>
      <c r="C25" s="14" t="n">
        <v>367</v>
      </c>
      <c r="D25" s="14" t="n">
        <v>270</v>
      </c>
      <c r="E25" s="14" t="n">
        <v>80</v>
      </c>
      <c r="F25" s="14" t="n">
        <v>17</v>
      </c>
      <c r="G25" s="14" t="n">
        <v>5439</v>
      </c>
      <c r="H25" s="14" t="n">
        <v>5070</v>
      </c>
      <c r="I25" s="14" t="n">
        <v>2932</v>
      </c>
      <c r="J25" s="14" t="n">
        <v>1013</v>
      </c>
      <c r="K25" s="14" t="n">
        <v>1125</v>
      </c>
    </row>
    <row r="26" ht="15" customHeight="1" s="100">
      <c r="A26" s="20" t="inlineStr">
        <is>
          <t xml:space="preserve">Enclosed and strip malls </t>
        </is>
      </c>
      <c r="B26" s="14" t="n">
        <v>164</v>
      </c>
      <c r="C26" s="14" t="n">
        <v>164</v>
      </c>
      <c r="D26" s="14" t="n">
        <v>72</v>
      </c>
      <c r="E26" s="14" t="n">
        <v>10</v>
      </c>
      <c r="F26" s="14" t="n">
        <v>82</v>
      </c>
      <c r="G26" s="14" t="n">
        <v>5890</v>
      </c>
      <c r="H26" s="14" t="n">
        <v>5890</v>
      </c>
      <c r="I26" s="14" t="n">
        <v>1773</v>
      </c>
      <c r="J26" s="14" t="n">
        <v>479</v>
      </c>
      <c r="K26" s="14" t="n">
        <v>3638</v>
      </c>
    </row>
    <row r="27" ht="15" customHeight="1" s="100">
      <c r="A27" s="17" t="inlineStr">
        <is>
          <t xml:space="preserve">Office </t>
        </is>
      </c>
      <c r="B27" s="14" t="n">
        <v>1012</v>
      </c>
      <c r="C27" s="14" t="n">
        <v>943</v>
      </c>
      <c r="D27" s="14" t="n">
        <v>713</v>
      </c>
      <c r="E27" s="14" t="n">
        <v>160</v>
      </c>
      <c r="F27" s="14" t="n">
        <v>71</v>
      </c>
      <c r="G27" s="14" t="n">
        <v>15952</v>
      </c>
      <c r="H27" s="14" t="n">
        <v>15663</v>
      </c>
      <c r="I27" s="14" t="n">
        <v>8724</v>
      </c>
      <c r="J27" s="14" t="n">
        <v>2934</v>
      </c>
      <c r="K27" s="14" t="n">
        <v>4006</v>
      </c>
    </row>
    <row r="28" ht="15" customHeight="1" s="100">
      <c r="A28" s="17" t="inlineStr">
        <is>
          <t xml:space="preserve">Public assembly </t>
        </is>
      </c>
      <c r="B28" s="14" t="n">
        <v>352</v>
      </c>
      <c r="C28" s="14" t="n">
        <v>317</v>
      </c>
      <c r="D28" s="14" t="n">
        <v>248</v>
      </c>
      <c r="E28" s="14" t="n">
        <v>41</v>
      </c>
      <c r="F28" s="14" t="n">
        <v>28</v>
      </c>
      <c r="G28" s="14" t="n">
        <v>5559</v>
      </c>
      <c r="H28" s="14" t="n">
        <v>5318</v>
      </c>
      <c r="I28" s="14" t="n">
        <v>3389</v>
      </c>
      <c r="J28" s="14" t="n">
        <v>514</v>
      </c>
      <c r="K28" s="14" t="n">
        <v>1415</v>
      </c>
    </row>
    <row r="29" ht="15" customHeight="1" s="100">
      <c r="A29" s="17" t="inlineStr">
        <is>
          <t xml:space="preserve">Public order and safety </t>
        </is>
      </c>
      <c r="B29" s="14" t="n">
        <v>84</v>
      </c>
      <c r="C29" s="14" t="n">
        <v>80</v>
      </c>
      <c r="D29" s="14" t="n">
        <v>72</v>
      </c>
      <c r="E29" s="14" t="inlineStr">
        <is>
          <t>Q</t>
        </is>
      </c>
      <c r="F29" s="14" t="inlineStr">
        <is>
          <t>Q</t>
        </is>
      </c>
      <c r="G29" s="14" t="n">
        <v>1440</v>
      </c>
      <c r="H29" s="14" t="n">
        <v>1341</v>
      </c>
      <c r="I29" s="14" t="n">
        <v>1139</v>
      </c>
      <c r="J29" s="14" t="inlineStr">
        <is>
          <t>Q</t>
        </is>
      </c>
      <c r="K29" s="14" t="inlineStr">
        <is>
          <t>Q</t>
        </is>
      </c>
    </row>
    <row r="30" ht="15" customHeight="1" s="100">
      <c r="A30" s="17" t="inlineStr">
        <is>
          <t xml:space="preserve">Religious worship </t>
        </is>
      </c>
      <c r="B30" s="14" t="n">
        <v>412</v>
      </c>
      <c r="C30" s="14" t="n">
        <v>383</v>
      </c>
      <c r="D30" s="14" t="n">
        <v>290</v>
      </c>
      <c r="E30" s="14" t="n">
        <v>70</v>
      </c>
      <c r="F30" s="14" t="n">
        <v>23</v>
      </c>
      <c r="G30" s="14" t="n">
        <v>4557</v>
      </c>
      <c r="H30" s="14" t="n">
        <v>4337</v>
      </c>
      <c r="I30" s="14" t="n">
        <v>2850</v>
      </c>
      <c r="J30" s="14" t="n">
        <v>711</v>
      </c>
      <c r="K30" s="14" t="n">
        <v>776</v>
      </c>
    </row>
    <row r="31" ht="15" customHeight="1" s="100">
      <c r="A31" s="17" t="inlineStr">
        <is>
          <t xml:space="preserve">Service </t>
        </is>
      </c>
      <c r="B31" s="14" t="n">
        <v>619</v>
      </c>
      <c r="C31" s="14" t="n">
        <v>442</v>
      </c>
      <c r="D31" s="14" t="n">
        <v>347</v>
      </c>
      <c r="E31" s="14" t="n">
        <v>80</v>
      </c>
      <c r="F31" s="14" t="inlineStr">
        <is>
          <t>Q</t>
        </is>
      </c>
      <c r="G31" s="14" t="n">
        <v>4630</v>
      </c>
      <c r="H31" s="14" t="n">
        <v>3763</v>
      </c>
      <c r="I31" s="14" t="n">
        <v>2695</v>
      </c>
      <c r="J31" s="14" t="n">
        <v>669</v>
      </c>
      <c r="K31" s="14" t="inlineStr">
        <is>
          <t>Q</t>
        </is>
      </c>
    </row>
    <row r="32" ht="15" customHeight="1" s="100">
      <c r="A32" s="17" t="inlineStr">
        <is>
          <t xml:space="preserve">Warehouse and storage </t>
        </is>
      </c>
      <c r="B32" s="14" t="n">
        <v>796</v>
      </c>
      <c r="C32" s="14" t="n">
        <v>370</v>
      </c>
      <c r="D32" s="14" t="n">
        <v>252</v>
      </c>
      <c r="E32" s="14" t="n">
        <v>93</v>
      </c>
      <c r="F32" s="14" t="n">
        <v>26</v>
      </c>
      <c r="G32" s="14" t="n">
        <v>13077</v>
      </c>
      <c r="H32" s="14" t="n">
        <v>10041</v>
      </c>
      <c r="I32" s="14" t="n">
        <v>5204</v>
      </c>
      <c r="J32" s="14" t="n">
        <v>3449</v>
      </c>
      <c r="K32" s="14" t="n">
        <v>1388</v>
      </c>
    </row>
    <row r="33" ht="15" customHeight="1" s="100">
      <c r="A33" s="17" t="inlineStr">
        <is>
          <t xml:space="preserve">Other </t>
        </is>
      </c>
      <c r="B33" s="14" t="n">
        <v>125</v>
      </c>
      <c r="C33" s="14" t="n">
        <v>98</v>
      </c>
      <c r="D33" s="14" t="n">
        <v>81</v>
      </c>
      <c r="E33" s="14" t="inlineStr">
        <is>
          <t>Q</t>
        </is>
      </c>
      <c r="F33" s="14" t="inlineStr">
        <is>
          <t>Q</t>
        </is>
      </c>
      <c r="G33" s="14" t="n">
        <v>2002</v>
      </c>
      <c r="H33" s="14" t="n">
        <v>1614</v>
      </c>
      <c r="I33" s="14" t="n">
        <v>1170</v>
      </c>
      <c r="J33" s="14" t="inlineStr">
        <is>
          <t>Q</t>
        </is>
      </c>
      <c r="K33" s="14" t="inlineStr">
        <is>
          <t>Q</t>
        </is>
      </c>
    </row>
    <row r="34" ht="15" customHeight="1" s="100">
      <c r="A34" s="17" t="inlineStr">
        <is>
          <t xml:space="preserve">Vacant </t>
        </is>
      </c>
      <c r="B34" s="14" t="n">
        <v>296</v>
      </c>
      <c r="C34" s="14" t="n">
        <v>56</v>
      </c>
      <c r="D34" s="14" t="n">
        <v>44</v>
      </c>
      <c r="E34" s="14" t="inlineStr">
        <is>
          <t>Q</t>
        </is>
      </c>
      <c r="F34" s="14" t="inlineStr">
        <is>
          <t>Q</t>
        </is>
      </c>
      <c r="G34" s="14" t="n">
        <v>3256</v>
      </c>
      <c r="H34" s="14" t="n">
        <v>1031</v>
      </c>
      <c r="I34" s="14" t="n">
        <v>700</v>
      </c>
      <c r="J34" s="14" t="inlineStr">
        <is>
          <t>Q</t>
        </is>
      </c>
      <c r="K34" s="14" t="inlineStr">
        <is>
          <t>Q</t>
        </is>
      </c>
    </row>
    <row r="35" ht="24" customHeight="1" s="100">
      <c r="A35" s="15" t="inlineStr">
        <is>
          <t>Year constructed</t>
        </is>
      </c>
      <c r="B35" s="15" t="n"/>
      <c r="C35" s="15" t="n"/>
      <c r="D35" s="15" t="n"/>
      <c r="E35" s="15" t="n"/>
      <c r="F35" s="15" t="n"/>
      <c r="G35" s="15" t="n"/>
      <c r="H35" s="15" t="n"/>
      <c r="I35" s="15" t="n"/>
      <c r="J35" s="15" t="n"/>
      <c r="K35" s="15" t="n"/>
    </row>
    <row r="36" ht="15" customHeight="1" s="100">
      <c r="A36" s="17" t="inlineStr">
        <is>
          <t>Before 1920</t>
        </is>
      </c>
      <c r="B36" s="14" t="n">
        <v>362</v>
      </c>
      <c r="C36" s="14" t="n">
        <v>286</v>
      </c>
      <c r="D36" s="14" t="n">
        <v>232</v>
      </c>
      <c r="E36" s="14" t="n">
        <v>39</v>
      </c>
      <c r="F36" s="14" t="n">
        <v>15</v>
      </c>
      <c r="G36" s="14" t="n">
        <v>3983</v>
      </c>
      <c r="H36" s="14" t="n">
        <v>3403</v>
      </c>
      <c r="I36" s="14" t="n">
        <v>2287</v>
      </c>
      <c r="J36" s="14" t="n">
        <v>526</v>
      </c>
      <c r="K36" s="14" t="n">
        <v>590</v>
      </c>
    </row>
    <row r="37" ht="15" customHeight="1" s="100">
      <c r="A37" s="17" t="inlineStr">
        <is>
          <t>1920 to 1945</t>
        </is>
      </c>
      <c r="B37" s="14" t="n">
        <v>488</v>
      </c>
      <c r="C37" s="14" t="n">
        <v>383</v>
      </c>
      <c r="D37" s="14" t="n">
        <v>288</v>
      </c>
      <c r="E37" s="14" t="n">
        <v>69</v>
      </c>
      <c r="F37" s="14" t="n">
        <v>26</v>
      </c>
      <c r="G37" s="14" t="n">
        <v>6025</v>
      </c>
      <c r="H37" s="14" t="n">
        <v>5299</v>
      </c>
      <c r="I37" s="14" t="n">
        <v>2918</v>
      </c>
      <c r="J37" s="14" t="n">
        <v>743</v>
      </c>
      <c r="K37" s="14" t="n">
        <v>1638</v>
      </c>
    </row>
    <row r="38" ht="15" customHeight="1" s="100">
      <c r="A38" s="17" t="inlineStr">
        <is>
          <t>1946 to 1959</t>
        </is>
      </c>
      <c r="B38" s="14" t="n">
        <v>599</v>
      </c>
      <c r="C38" s="14" t="n">
        <v>460</v>
      </c>
      <c r="D38" s="14" t="n">
        <v>356</v>
      </c>
      <c r="E38" s="14" t="n">
        <v>78</v>
      </c>
      <c r="F38" s="14" t="n">
        <v>26</v>
      </c>
      <c r="G38" s="14" t="n">
        <v>7381</v>
      </c>
      <c r="H38" s="14" t="n">
        <v>6410</v>
      </c>
      <c r="I38" s="14" t="n">
        <v>4305</v>
      </c>
      <c r="J38" s="14" t="n">
        <v>943</v>
      </c>
      <c r="K38" s="14" t="n">
        <v>1162</v>
      </c>
    </row>
    <row r="39" ht="15" customHeight="1" s="100">
      <c r="A39" s="17" t="inlineStr">
        <is>
          <t>1960 to 1969</t>
        </is>
      </c>
      <c r="B39" s="14" t="n">
        <v>639</v>
      </c>
      <c r="C39" s="14" t="n">
        <v>540</v>
      </c>
      <c r="D39" s="14" t="n">
        <v>427</v>
      </c>
      <c r="E39" s="14" t="n">
        <v>60</v>
      </c>
      <c r="F39" s="14" t="n">
        <v>53</v>
      </c>
      <c r="G39" s="14" t="n">
        <v>10362</v>
      </c>
      <c r="H39" s="14" t="n">
        <v>9699</v>
      </c>
      <c r="I39" s="14" t="n">
        <v>6252</v>
      </c>
      <c r="J39" s="14" t="n">
        <v>1005</v>
      </c>
      <c r="K39" s="14" t="n">
        <v>2442</v>
      </c>
    </row>
    <row r="40" ht="15" customHeight="1" s="100">
      <c r="A40" s="17" t="inlineStr">
        <is>
          <t>1970 to 1979</t>
        </is>
      </c>
      <c r="B40" s="14" t="n">
        <v>684</v>
      </c>
      <c r="C40" s="14" t="n">
        <v>577</v>
      </c>
      <c r="D40" s="14" t="n">
        <v>435</v>
      </c>
      <c r="E40" s="14" t="n">
        <v>87</v>
      </c>
      <c r="F40" s="14" t="n">
        <v>55</v>
      </c>
      <c r="G40" s="14" t="n">
        <v>10846</v>
      </c>
      <c r="H40" s="14" t="n">
        <v>10158</v>
      </c>
      <c r="I40" s="14" t="n">
        <v>6298</v>
      </c>
      <c r="J40" s="14" t="n">
        <v>1773</v>
      </c>
      <c r="K40" s="14" t="n">
        <v>2087</v>
      </c>
    </row>
    <row r="41" ht="15" customHeight="1" s="100">
      <c r="A41" s="17" t="inlineStr">
        <is>
          <t>1980 to 1989</t>
        </is>
      </c>
      <c r="B41" s="14" t="n">
        <v>915</v>
      </c>
      <c r="C41" s="14" t="n">
        <v>727</v>
      </c>
      <c r="D41" s="14" t="n">
        <v>527</v>
      </c>
      <c r="E41" s="14" t="n">
        <v>139</v>
      </c>
      <c r="F41" s="14" t="n">
        <v>61</v>
      </c>
      <c r="G41" s="14" t="n">
        <v>15230</v>
      </c>
      <c r="H41" s="14" t="n">
        <v>13831</v>
      </c>
      <c r="I41" s="14" t="n">
        <v>7338</v>
      </c>
      <c r="J41" s="14" t="n">
        <v>2888</v>
      </c>
      <c r="K41" s="14" t="n">
        <v>3605</v>
      </c>
    </row>
    <row r="42" ht="15" customHeight="1" s="100">
      <c r="A42" s="17" t="inlineStr">
        <is>
          <t>1990 to 1999</t>
        </is>
      </c>
      <c r="B42" s="14" t="n">
        <v>845</v>
      </c>
      <c r="C42" s="14" t="n">
        <v>631</v>
      </c>
      <c r="D42" s="14" t="n">
        <v>498</v>
      </c>
      <c r="E42" s="14" t="n">
        <v>86</v>
      </c>
      <c r="F42" s="14" t="n">
        <v>48</v>
      </c>
      <c r="G42" s="14" t="n">
        <v>13803</v>
      </c>
      <c r="H42" s="14" t="n">
        <v>12209</v>
      </c>
      <c r="I42" s="14" t="n">
        <v>7417</v>
      </c>
      <c r="J42" s="14" t="n">
        <v>1724</v>
      </c>
      <c r="K42" s="14" t="n">
        <v>3069</v>
      </c>
    </row>
    <row r="43" ht="15" customHeight="1" s="100">
      <c r="A43" s="17" t="inlineStr">
        <is>
          <t>2000 to 2003</t>
        </is>
      </c>
      <c r="B43" s="14" t="n">
        <v>375</v>
      </c>
      <c r="C43" s="14" t="n">
        <v>312</v>
      </c>
      <c r="D43" s="14" t="n">
        <v>235</v>
      </c>
      <c r="E43" s="14" t="n">
        <v>45</v>
      </c>
      <c r="F43" s="14" t="n">
        <v>32</v>
      </c>
      <c r="G43" s="14" t="n">
        <v>7215</v>
      </c>
      <c r="H43" s="14" t="n">
        <v>6889</v>
      </c>
      <c r="I43" s="14" t="n">
        <v>4098</v>
      </c>
      <c r="J43" s="14" t="n">
        <v>1145</v>
      </c>
      <c r="K43" s="14" t="n">
        <v>1646</v>
      </c>
    </row>
    <row r="44" ht="15" customHeight="1" s="100">
      <c r="A44" s="17" t="inlineStr">
        <is>
          <t>2004 to 2007</t>
        </is>
      </c>
      <c r="B44" s="14" t="n">
        <v>347</v>
      </c>
      <c r="C44" s="14" t="n">
        <v>275</v>
      </c>
      <c r="D44" s="14" t="n">
        <v>190</v>
      </c>
      <c r="E44" s="14" t="n">
        <v>47</v>
      </c>
      <c r="F44" s="14" t="n">
        <v>38</v>
      </c>
      <c r="G44" s="14" t="n">
        <v>6524</v>
      </c>
      <c r="H44" s="14" t="n">
        <v>5955</v>
      </c>
      <c r="I44" s="14" t="n">
        <v>3445</v>
      </c>
      <c r="J44" s="14" t="n">
        <v>1007</v>
      </c>
      <c r="K44" s="14" t="n">
        <v>1503</v>
      </c>
    </row>
    <row r="45" ht="15" customHeight="1" s="100">
      <c r="A45" s="17" t="inlineStr">
        <is>
          <t>2008 to 2012</t>
        </is>
      </c>
      <c r="B45" s="14" t="n">
        <v>303</v>
      </c>
      <c r="C45" s="14" t="n">
        <v>231</v>
      </c>
      <c r="D45" s="14" t="n">
        <v>161</v>
      </c>
      <c r="E45" s="14" t="n">
        <v>39</v>
      </c>
      <c r="F45" s="14" t="n">
        <v>30</v>
      </c>
      <c r="G45" s="14" t="n">
        <v>5723</v>
      </c>
      <c r="H45" s="14" t="n">
        <v>5162</v>
      </c>
      <c r="I45" s="14" t="n">
        <v>3176</v>
      </c>
      <c r="J45" s="14" t="n">
        <v>933</v>
      </c>
      <c r="K45" s="14" t="n">
        <v>1053</v>
      </c>
    </row>
    <row r="46" ht="24" customHeight="1" s="100">
      <c r="A46" s="15" t="inlineStr">
        <is>
          <t>Census region and division</t>
        </is>
      </c>
      <c r="B46" s="16" t="n"/>
      <c r="C46" s="16" t="n"/>
      <c r="D46" s="16" t="n"/>
      <c r="E46" s="16" t="n"/>
      <c r="F46" s="16" t="n"/>
      <c r="G46" s="16" t="n"/>
      <c r="H46" s="16" t="n"/>
      <c r="I46" s="16" t="n"/>
      <c r="J46" s="16" t="n"/>
      <c r="K46" s="16" t="n"/>
    </row>
    <row r="47" ht="15" customHeight="1" s="100">
      <c r="A47" s="17" t="inlineStr">
        <is>
          <t>Northeast</t>
        </is>
      </c>
      <c r="B47" s="14" t="n">
        <v>805</v>
      </c>
      <c r="C47" s="14" t="n">
        <v>671</v>
      </c>
      <c r="D47" s="14" t="n">
        <v>493</v>
      </c>
      <c r="E47" s="14" t="n">
        <v>123</v>
      </c>
      <c r="F47" s="14" t="n">
        <v>56</v>
      </c>
      <c r="G47" s="14" t="n">
        <v>15534</v>
      </c>
      <c r="H47" s="14" t="n">
        <v>14633</v>
      </c>
      <c r="I47" s="14" t="n">
        <v>9128</v>
      </c>
      <c r="J47" s="14" t="n">
        <v>2383</v>
      </c>
      <c r="K47" s="14" t="n">
        <v>3122</v>
      </c>
    </row>
    <row r="48" ht="15" customHeight="1" s="100">
      <c r="A48" s="18" t="inlineStr">
        <is>
          <t xml:space="preserve">New England </t>
        </is>
      </c>
      <c r="B48" s="14" t="n">
        <v>302</v>
      </c>
      <c r="C48" s="14" t="n">
        <v>235</v>
      </c>
      <c r="D48" s="14" t="n">
        <v>166</v>
      </c>
      <c r="E48" s="14" t="n">
        <v>40</v>
      </c>
      <c r="F48" s="14" t="n">
        <v>30</v>
      </c>
      <c r="G48" s="14" t="n">
        <v>4302</v>
      </c>
      <c r="H48" s="14" t="n">
        <v>3915</v>
      </c>
      <c r="I48" s="14" t="n">
        <v>2487</v>
      </c>
      <c r="J48" s="14" t="n">
        <v>586</v>
      </c>
      <c r="K48" s="14" t="n">
        <v>843</v>
      </c>
    </row>
    <row r="49" ht="15" customHeight="1" s="100">
      <c r="A49" s="18" t="inlineStr">
        <is>
          <t>Middle Atlantic</t>
        </is>
      </c>
      <c r="B49" s="14" t="n">
        <v>504</v>
      </c>
      <c r="C49" s="14" t="n">
        <v>436</v>
      </c>
      <c r="D49" s="14" t="n">
        <v>327</v>
      </c>
      <c r="E49" s="14" t="n">
        <v>83</v>
      </c>
      <c r="F49" s="14" t="n">
        <v>26</v>
      </c>
      <c r="G49" s="14" t="n">
        <v>11232</v>
      </c>
      <c r="H49" s="14" t="n">
        <v>10718</v>
      </c>
      <c r="I49" s="14" t="n">
        <v>6641</v>
      </c>
      <c r="J49" s="14" t="n">
        <v>1797</v>
      </c>
      <c r="K49" s="14" t="n">
        <v>2279</v>
      </c>
    </row>
    <row r="50" ht="15" customHeight="1" s="100">
      <c r="A50" s="17" t="inlineStr">
        <is>
          <t>Midwest</t>
        </is>
      </c>
      <c r="B50" s="14" t="n">
        <v>1237</v>
      </c>
      <c r="C50" s="14" t="n">
        <v>1014</v>
      </c>
      <c r="D50" s="14" t="n">
        <v>806</v>
      </c>
      <c r="E50" s="14" t="n">
        <v>133</v>
      </c>
      <c r="F50" s="14" t="n">
        <v>76</v>
      </c>
      <c r="G50" s="14" t="n">
        <v>18919</v>
      </c>
      <c r="H50" s="14" t="n">
        <v>17592</v>
      </c>
      <c r="I50" s="14" t="n">
        <v>11316</v>
      </c>
      <c r="J50" s="14" t="n">
        <v>2335</v>
      </c>
      <c r="K50" s="14" t="n">
        <v>3942</v>
      </c>
    </row>
    <row r="51" ht="15" customHeight="1" s="100">
      <c r="A51" s="18" t="inlineStr">
        <is>
          <t>East North Central</t>
        </is>
      </c>
      <c r="B51" s="14" t="n">
        <v>735</v>
      </c>
      <c r="C51" s="14" t="n">
        <v>629</v>
      </c>
      <c r="D51" s="14" t="n">
        <v>490</v>
      </c>
      <c r="E51" s="14" t="n">
        <v>90</v>
      </c>
      <c r="F51" s="14" t="n">
        <v>49</v>
      </c>
      <c r="G51" s="14" t="n">
        <v>12742</v>
      </c>
      <c r="H51" s="14" t="n">
        <v>12082</v>
      </c>
      <c r="I51" s="14" t="n">
        <v>7606</v>
      </c>
      <c r="J51" s="14" t="n">
        <v>1671</v>
      </c>
      <c r="K51" s="14" t="n">
        <v>2804</v>
      </c>
    </row>
    <row r="52" ht="15" customHeight="1" s="100">
      <c r="A52" s="18" t="inlineStr">
        <is>
          <t>West North Central</t>
        </is>
      </c>
      <c r="B52" s="14" t="n">
        <v>502</v>
      </c>
      <c r="C52" s="14" t="n">
        <v>385</v>
      </c>
      <c r="D52" s="14" t="n">
        <v>316</v>
      </c>
      <c r="E52" s="14" t="n">
        <v>43</v>
      </c>
      <c r="F52" s="14" t="n">
        <v>27</v>
      </c>
      <c r="G52" s="14" t="n">
        <v>6178</v>
      </c>
      <c r="H52" s="14" t="n">
        <v>5510</v>
      </c>
      <c r="I52" s="14" t="n">
        <v>3710</v>
      </c>
      <c r="J52" s="14" t="n">
        <v>663</v>
      </c>
      <c r="K52" s="14" t="n">
        <v>1137</v>
      </c>
    </row>
    <row r="53" ht="15" customHeight="1" s="100">
      <c r="A53" s="17" t="inlineStr">
        <is>
          <t>South</t>
        </is>
      </c>
      <c r="B53" s="14" t="n">
        <v>2247</v>
      </c>
      <c r="C53" s="14" t="n">
        <v>1740</v>
      </c>
      <c r="D53" s="14" t="n">
        <v>1322</v>
      </c>
      <c r="E53" s="14" t="n">
        <v>264</v>
      </c>
      <c r="F53" s="14" t="n">
        <v>154</v>
      </c>
      <c r="G53" s="14" t="n">
        <v>34279</v>
      </c>
      <c r="H53" s="14" t="n">
        <v>30261</v>
      </c>
      <c r="I53" s="14" t="n">
        <v>17460</v>
      </c>
      <c r="J53" s="14" t="n">
        <v>4938</v>
      </c>
      <c r="K53" s="14" t="n">
        <v>7863</v>
      </c>
    </row>
    <row r="54" ht="15" customHeight="1" s="100">
      <c r="A54" s="18" t="inlineStr">
        <is>
          <t xml:space="preserve">South Atlantic </t>
        </is>
      </c>
      <c r="B54" s="14" t="n">
        <v>1091</v>
      </c>
      <c r="C54" s="14" t="n">
        <v>856</v>
      </c>
      <c r="D54" s="14" t="n">
        <v>617</v>
      </c>
      <c r="E54" s="14" t="n">
        <v>160</v>
      </c>
      <c r="F54" s="14" t="n">
        <v>79</v>
      </c>
      <c r="G54" s="14" t="n">
        <v>17981</v>
      </c>
      <c r="H54" s="14" t="n">
        <v>16144</v>
      </c>
      <c r="I54" s="14" t="n">
        <v>8889</v>
      </c>
      <c r="J54" s="14" t="n">
        <v>3030</v>
      </c>
      <c r="K54" s="14" t="n">
        <v>4226</v>
      </c>
    </row>
    <row r="55" ht="15" customHeight="1" s="100">
      <c r="A55" s="18" t="inlineStr">
        <is>
          <t>East South Central</t>
        </is>
      </c>
      <c r="B55" s="14" t="n">
        <v>370</v>
      </c>
      <c r="C55" s="14" t="n">
        <v>325</v>
      </c>
      <c r="D55" s="14" t="n">
        <v>268</v>
      </c>
      <c r="E55" s="14" t="n">
        <v>28</v>
      </c>
      <c r="F55" s="14" t="n">
        <v>29</v>
      </c>
      <c r="G55" s="14" t="n">
        <v>4904</v>
      </c>
      <c r="H55" s="14" t="n">
        <v>4598</v>
      </c>
      <c r="I55" s="14" t="n">
        <v>2745</v>
      </c>
      <c r="J55" s="14" t="n">
        <v>437</v>
      </c>
      <c r="K55" s="14" t="n">
        <v>1416</v>
      </c>
    </row>
    <row r="56" ht="15" customHeight="1" s="100">
      <c r="A56" s="18" t="inlineStr">
        <is>
          <t>West South Central</t>
        </is>
      </c>
      <c r="B56" s="14" t="n">
        <v>786</v>
      </c>
      <c r="C56" s="14" t="n">
        <v>560</v>
      </c>
      <c r="D56" s="14" t="n">
        <v>437</v>
      </c>
      <c r="E56" s="14" t="n">
        <v>76</v>
      </c>
      <c r="F56" s="14" t="n">
        <v>46</v>
      </c>
      <c r="G56" s="14" t="n">
        <v>11394</v>
      </c>
      <c r="H56" s="14" t="n">
        <v>9519</v>
      </c>
      <c r="I56" s="14" t="n">
        <v>5826</v>
      </c>
      <c r="J56" s="14" t="n">
        <v>1471</v>
      </c>
      <c r="K56" s="14" t="n">
        <v>2222</v>
      </c>
    </row>
    <row r="57" ht="15" customHeight="1" s="100">
      <c r="A57" s="17" t="inlineStr">
        <is>
          <t>West</t>
        </is>
      </c>
      <c r="B57" s="14" t="n">
        <v>1267</v>
      </c>
      <c r="C57" s="14" t="n">
        <v>997</v>
      </c>
      <c r="D57" s="14" t="n">
        <v>728</v>
      </c>
      <c r="E57" s="14" t="n">
        <v>170</v>
      </c>
      <c r="F57" s="14" t="n">
        <v>99</v>
      </c>
      <c r="G57" s="14" t="n">
        <v>18360</v>
      </c>
      <c r="H57" s="14" t="n">
        <v>16529</v>
      </c>
      <c r="I57" s="14" t="n">
        <v>9631</v>
      </c>
      <c r="J57" s="14" t="n">
        <v>3032</v>
      </c>
      <c r="K57" s="14" t="n">
        <v>3866</v>
      </c>
    </row>
    <row r="58" ht="15" customHeight="1" s="100">
      <c r="A58" s="18" t="inlineStr">
        <is>
          <t>Mountain</t>
        </is>
      </c>
      <c r="B58" s="14" t="n">
        <v>338</v>
      </c>
      <c r="C58" s="14" t="n">
        <v>260</v>
      </c>
      <c r="D58" s="14" t="n">
        <v>195</v>
      </c>
      <c r="E58" s="14" t="n">
        <v>36</v>
      </c>
      <c r="F58" s="14" t="n">
        <v>29</v>
      </c>
      <c r="G58" s="14" t="n">
        <v>4981</v>
      </c>
      <c r="H58" s="14" t="n">
        <v>4440</v>
      </c>
      <c r="I58" s="14" t="n">
        <v>2573</v>
      </c>
      <c r="J58" s="14" t="n">
        <v>699</v>
      </c>
      <c r="K58" s="14" t="n">
        <v>1168</v>
      </c>
    </row>
    <row r="59" ht="15" customHeight="1" s="100">
      <c r="A59" s="18" t="inlineStr">
        <is>
          <t>Pacific</t>
        </is>
      </c>
      <c r="B59" s="14" t="n">
        <v>929</v>
      </c>
      <c r="C59" s="14" t="n">
        <v>737</v>
      </c>
      <c r="D59" s="14" t="n">
        <v>533</v>
      </c>
      <c r="E59" s="14" t="n">
        <v>135</v>
      </c>
      <c r="F59" s="14" t="n">
        <v>69</v>
      </c>
      <c r="G59" s="14" t="n">
        <v>13379</v>
      </c>
      <c r="H59" s="14" t="n">
        <v>12089</v>
      </c>
      <c r="I59" s="14" t="n">
        <v>7058</v>
      </c>
      <c r="J59" s="14" t="n">
        <v>2333</v>
      </c>
      <c r="K59" s="14" t="n">
        <v>2698</v>
      </c>
    </row>
    <row r="60" ht="24" customHeight="1" s="100">
      <c r="A60" s="15" t="inlineStr">
        <is>
          <t>Climate region1</t>
        </is>
      </c>
      <c r="B60" s="15" t="n"/>
      <c r="C60" s="15" t="n"/>
      <c r="D60" s="15" t="n"/>
      <c r="E60" s="15" t="n"/>
      <c r="F60" s="15" t="n"/>
      <c r="G60" s="15" t="n"/>
      <c r="H60" s="15" t="n"/>
      <c r="I60" s="15" t="n"/>
      <c r="J60" s="15" t="n"/>
      <c r="K60" s="15" t="n"/>
    </row>
    <row r="61">
      <c r="A61" s="17" t="inlineStr">
        <is>
          <t>Very cold/Cold</t>
        </is>
      </c>
      <c r="B61" s="14" t="n">
        <v>2031</v>
      </c>
      <c r="C61" s="14" t="n">
        <v>1639</v>
      </c>
      <c r="D61" s="14" t="n">
        <v>1261</v>
      </c>
      <c r="E61" s="14" t="n">
        <v>242</v>
      </c>
      <c r="F61" s="14" t="n">
        <v>136</v>
      </c>
      <c r="G61" s="14" t="n">
        <v>31898</v>
      </c>
      <c r="H61" s="14" t="n">
        <v>29567</v>
      </c>
      <c r="I61" s="14" t="n">
        <v>18894</v>
      </c>
      <c r="J61" s="14" t="n">
        <v>4184</v>
      </c>
      <c r="K61" s="14" t="n">
        <v>6489</v>
      </c>
    </row>
    <row r="62">
      <c r="A62" s="17" t="inlineStr">
        <is>
          <t>Mixed-humid</t>
        </is>
      </c>
      <c r="B62" s="14" t="n">
        <v>1743</v>
      </c>
      <c r="C62" s="14" t="n">
        <v>1445</v>
      </c>
      <c r="D62" s="14" t="n">
        <v>1120</v>
      </c>
      <c r="E62" s="14" t="n">
        <v>201</v>
      </c>
      <c r="F62" s="14" t="n">
        <v>124</v>
      </c>
      <c r="G62" s="14" t="n">
        <v>27873</v>
      </c>
      <c r="H62" s="14" t="n">
        <v>25772</v>
      </c>
      <c r="I62" s="14" t="n">
        <v>15231</v>
      </c>
      <c r="J62" s="14" t="n">
        <v>3619</v>
      </c>
      <c r="K62" s="14" t="n">
        <v>6922</v>
      </c>
    </row>
    <row r="63">
      <c r="A63" s="17" t="inlineStr">
        <is>
          <t>Mixed-dry/Hot-dry</t>
        </is>
      </c>
      <c r="B63" s="14" t="n">
        <v>837</v>
      </c>
      <c r="C63" s="14" t="n">
        <v>635</v>
      </c>
      <c r="D63" s="14" t="n">
        <v>457</v>
      </c>
      <c r="E63" s="14" t="n">
        <v>124</v>
      </c>
      <c r="F63" s="14" t="n">
        <v>54</v>
      </c>
      <c r="G63" s="14" t="n">
        <v>12037</v>
      </c>
      <c r="H63" s="14" t="n">
        <v>10585</v>
      </c>
      <c r="I63" s="14" t="n">
        <v>6259</v>
      </c>
      <c r="J63" s="14" t="n">
        <v>2221</v>
      </c>
      <c r="K63" s="14" t="n">
        <v>2105</v>
      </c>
    </row>
    <row r="64">
      <c r="A64" s="17" t="inlineStr">
        <is>
          <t>Hot-humid</t>
        </is>
      </c>
      <c r="B64" s="14" t="n">
        <v>799</v>
      </c>
      <c r="C64" s="14" t="n">
        <v>590</v>
      </c>
      <c r="D64" s="14" t="n">
        <v>431</v>
      </c>
      <c r="E64" s="14" t="n">
        <v>104</v>
      </c>
      <c r="F64" s="14" t="n">
        <v>55</v>
      </c>
      <c r="G64" s="14" t="n">
        <v>12831</v>
      </c>
      <c r="H64" s="14" t="n">
        <v>10837</v>
      </c>
      <c r="I64" s="14" t="n">
        <v>5983</v>
      </c>
      <c r="J64" s="14" t="n">
        <v>2298</v>
      </c>
      <c r="K64" s="14" t="n">
        <v>2556</v>
      </c>
    </row>
    <row r="65">
      <c r="A65" s="17" t="inlineStr">
        <is>
          <t>Marine</t>
        </is>
      </c>
      <c r="B65" s="14" t="n">
        <v>147</v>
      </c>
      <c r="C65" s="14" t="n">
        <v>113</v>
      </c>
      <c r="D65" s="14" t="n">
        <v>78</v>
      </c>
      <c r="E65" s="14" t="inlineStr">
        <is>
          <t>Q</t>
        </is>
      </c>
      <c r="F65" s="14" t="n">
        <v>16</v>
      </c>
      <c r="G65" s="14" t="n">
        <v>2454</v>
      </c>
      <c r="H65" s="14" t="n">
        <v>2255</v>
      </c>
      <c r="I65" s="14" t="n">
        <v>1168</v>
      </c>
      <c r="J65" s="14" t="n">
        <v>366</v>
      </c>
      <c r="K65" s="14" t="n">
        <v>721</v>
      </c>
    </row>
    <row r="66" ht="24" customHeight="1" s="100">
      <c r="A66" s="15" t="inlineStr">
        <is>
          <t>Number of floors</t>
        </is>
      </c>
      <c r="B66" s="15" t="n"/>
      <c r="C66" s="15" t="n"/>
      <c r="D66" s="15" t="n"/>
      <c r="E66" s="15" t="n"/>
      <c r="F66" s="15" t="n"/>
      <c r="G66" s="15" t="n"/>
      <c r="H66" s="15" t="n"/>
      <c r="I66" s="15" t="n"/>
      <c r="J66" s="15" t="n"/>
      <c r="K66" s="15" t="n"/>
    </row>
    <row r="67">
      <c r="A67" s="17" t="inlineStr">
        <is>
          <t>One</t>
        </is>
      </c>
      <c r="B67" s="14" t="n">
        <v>3836</v>
      </c>
      <c r="C67" s="14" t="n">
        <v>2862</v>
      </c>
      <c r="D67" s="14" t="n">
        <v>2179</v>
      </c>
      <c r="E67" s="14" t="n">
        <v>451</v>
      </c>
      <c r="F67" s="14" t="n">
        <v>231</v>
      </c>
      <c r="G67" s="14" t="n">
        <v>39809</v>
      </c>
      <c r="H67" s="14" t="n">
        <v>33591</v>
      </c>
      <c r="I67" s="14" t="n">
        <v>20177</v>
      </c>
      <c r="J67" s="14" t="n">
        <v>6094</v>
      </c>
      <c r="K67" s="14" t="n">
        <v>7321</v>
      </c>
    </row>
    <row r="68">
      <c r="A68" s="17" t="inlineStr">
        <is>
          <t>Two</t>
        </is>
      </c>
      <c r="B68" s="14" t="n">
        <v>1158</v>
      </c>
      <c r="C68" s="14" t="n">
        <v>1039</v>
      </c>
      <c r="D68" s="14" t="n">
        <v>786</v>
      </c>
      <c r="E68" s="14" t="n">
        <v>156</v>
      </c>
      <c r="F68" s="14" t="n">
        <v>97</v>
      </c>
      <c r="G68" s="14" t="n">
        <v>20206</v>
      </c>
      <c r="H68" s="14" t="n">
        <v>19088</v>
      </c>
      <c r="I68" s="14" t="n">
        <v>11762</v>
      </c>
      <c r="J68" s="14" t="n">
        <v>3133</v>
      </c>
      <c r="K68" s="14" t="n">
        <v>4194</v>
      </c>
    </row>
    <row r="69">
      <c r="A69" s="17" t="inlineStr">
        <is>
          <t>Three</t>
        </is>
      </c>
      <c r="B69" s="14" t="n">
        <v>374</v>
      </c>
      <c r="C69" s="14" t="n">
        <v>344</v>
      </c>
      <c r="D69" s="14" t="n">
        <v>259</v>
      </c>
      <c r="E69" s="14" t="n">
        <v>58</v>
      </c>
      <c r="F69" s="14" t="n">
        <v>26</v>
      </c>
      <c r="G69" s="14" t="n">
        <v>8140</v>
      </c>
      <c r="H69" s="14" t="n">
        <v>7932</v>
      </c>
      <c r="I69" s="14" t="n">
        <v>5148</v>
      </c>
      <c r="J69" s="14" t="n">
        <v>1181</v>
      </c>
      <c r="K69" s="14" t="n">
        <v>1602</v>
      </c>
    </row>
    <row r="70">
      <c r="A70" s="17" t="inlineStr">
        <is>
          <t>Four to nine</t>
        </is>
      </c>
      <c r="B70" s="14" t="n">
        <v>177</v>
      </c>
      <c r="C70" s="14" t="n">
        <v>166</v>
      </c>
      <c r="D70" s="14" t="n">
        <v>118</v>
      </c>
      <c r="E70" s="14" t="n">
        <v>23</v>
      </c>
      <c r="F70" s="14" t="n">
        <v>26</v>
      </c>
      <c r="G70" s="14" t="n">
        <v>13535</v>
      </c>
      <c r="H70" s="14" t="n">
        <v>13141</v>
      </c>
      <c r="I70" s="14" t="n">
        <v>7998</v>
      </c>
      <c r="J70" s="14" t="n">
        <v>1646</v>
      </c>
      <c r="K70" s="14" t="n">
        <v>3497</v>
      </c>
    </row>
    <row r="71">
      <c r="A71" s="17" t="inlineStr">
        <is>
          <t>Ten or more</t>
        </is>
      </c>
      <c r="B71" s="14" t="n">
        <v>13</v>
      </c>
      <c r="C71" s="14" t="n">
        <v>12</v>
      </c>
      <c r="D71" s="14" t="n">
        <v>6</v>
      </c>
      <c r="E71" s="14" t="n">
        <v>2</v>
      </c>
      <c r="F71" s="14" t="n">
        <v>5</v>
      </c>
      <c r="G71" s="14" t="n">
        <v>5404</v>
      </c>
      <c r="H71" s="14" t="n">
        <v>5264</v>
      </c>
      <c r="I71" s="14" t="n">
        <v>2450</v>
      </c>
      <c r="J71" s="14" t="n">
        <v>635</v>
      </c>
      <c r="K71" s="14" t="n">
        <v>2179</v>
      </c>
    </row>
    <row r="72" ht="24" customHeight="1" s="100">
      <c r="A72" s="15" t="inlineStr">
        <is>
          <t>Number of workers (main shift)</t>
        </is>
      </c>
      <c r="B72" s="21" t="n"/>
      <c r="C72" s="21" t="n"/>
      <c r="D72" s="21" t="n"/>
      <c r="E72" s="21" t="n"/>
      <c r="F72" s="21" t="n"/>
      <c r="G72" s="21" t="n"/>
      <c r="H72" s="21" t="n"/>
      <c r="I72" s="21" t="n"/>
      <c r="J72" s="21" t="n"/>
      <c r="K72" s="21" t="n"/>
    </row>
    <row r="73" ht="15" customHeight="1" s="100">
      <c r="A73" s="17" t="inlineStr">
        <is>
          <t>Fewer than 5</t>
        </is>
      </c>
      <c r="B73" s="14" t="n">
        <v>2892</v>
      </c>
      <c r="C73" s="14" t="n">
        <v>1917</v>
      </c>
      <c r="D73" s="14" t="n">
        <v>1547</v>
      </c>
      <c r="E73" s="14" t="n">
        <v>292</v>
      </c>
      <c r="F73" s="14" t="n">
        <v>78</v>
      </c>
      <c r="G73" s="14" t="n">
        <v>17751</v>
      </c>
      <c r="H73" s="14" t="n">
        <v>11783</v>
      </c>
      <c r="I73" s="14" t="n">
        <v>8984</v>
      </c>
      <c r="J73" s="14" t="n">
        <v>1713</v>
      </c>
      <c r="K73" s="14" t="n">
        <v>1086</v>
      </c>
    </row>
    <row r="74" ht="15" customHeight="1" s="100">
      <c r="A74" s="17" t="inlineStr">
        <is>
          <t>5 to 9</t>
        </is>
      </c>
      <c r="B74" s="14" t="n">
        <v>1085</v>
      </c>
      <c r="C74" s="14" t="n">
        <v>977</v>
      </c>
      <c r="D74" s="14" t="n">
        <v>777</v>
      </c>
      <c r="E74" s="14" t="n">
        <v>140</v>
      </c>
      <c r="F74" s="14" t="n">
        <v>61</v>
      </c>
      <c r="G74" s="14" t="n">
        <v>8973</v>
      </c>
      <c r="H74" s="14" t="n">
        <v>8205</v>
      </c>
      <c r="I74" s="14" t="n">
        <v>6262</v>
      </c>
      <c r="J74" s="14" t="n">
        <v>1188</v>
      </c>
      <c r="K74" s="14" t="n">
        <v>755</v>
      </c>
    </row>
    <row r="75" ht="15" customHeight="1" s="100">
      <c r="A75" s="17" t="inlineStr">
        <is>
          <t>10 to 19</t>
        </is>
      </c>
      <c r="B75" s="14" t="n">
        <v>731</v>
      </c>
      <c r="C75" s="14" t="n">
        <v>700</v>
      </c>
      <c r="D75" s="14" t="n">
        <v>515</v>
      </c>
      <c r="E75" s="14" t="n">
        <v>118</v>
      </c>
      <c r="F75" s="14" t="n">
        <v>66</v>
      </c>
      <c r="G75" s="14" t="n">
        <v>9623</v>
      </c>
      <c r="H75" s="14" t="n">
        <v>9137</v>
      </c>
      <c r="I75" s="14" t="n">
        <v>6320</v>
      </c>
      <c r="J75" s="14" t="n">
        <v>1690</v>
      </c>
      <c r="K75" s="14" t="n">
        <v>1126</v>
      </c>
    </row>
    <row r="76" ht="15" customHeight="1" s="100">
      <c r="A76" s="17" t="inlineStr">
        <is>
          <t>20 to 49</t>
        </is>
      </c>
      <c r="B76" s="14" t="n">
        <v>513</v>
      </c>
      <c r="C76" s="14" t="n">
        <v>495</v>
      </c>
      <c r="D76" s="14" t="n">
        <v>319</v>
      </c>
      <c r="E76" s="14" t="n">
        <v>78</v>
      </c>
      <c r="F76" s="14" t="n">
        <v>98</v>
      </c>
      <c r="G76" s="14" t="n">
        <v>14514</v>
      </c>
      <c r="H76" s="14" t="n">
        <v>14097</v>
      </c>
      <c r="I76" s="14" t="n">
        <v>7957</v>
      </c>
      <c r="J76" s="14" t="n">
        <v>2282</v>
      </c>
      <c r="K76" s="14" t="n">
        <v>3859</v>
      </c>
    </row>
    <row r="77" ht="15" customHeight="1" s="100">
      <c r="A77" s="17" t="inlineStr">
        <is>
          <t>50 to 99</t>
        </is>
      </c>
      <c r="B77" s="14" t="n">
        <v>206</v>
      </c>
      <c r="C77" s="14" t="n">
        <v>203</v>
      </c>
      <c r="D77" s="14" t="n">
        <v>122</v>
      </c>
      <c r="E77" s="14" t="n">
        <v>36</v>
      </c>
      <c r="F77" s="14" t="n">
        <v>46</v>
      </c>
      <c r="G77" s="14" t="n">
        <v>13476</v>
      </c>
      <c r="H77" s="14" t="n">
        <v>13171</v>
      </c>
      <c r="I77" s="14" t="n">
        <v>7105</v>
      </c>
      <c r="J77" s="14" t="n">
        <v>2192</v>
      </c>
      <c r="K77" s="14" t="n">
        <v>3873</v>
      </c>
    </row>
    <row r="78" ht="15" customHeight="1" s="100">
      <c r="A78" s="17" t="inlineStr">
        <is>
          <t>100 to 249</t>
        </is>
      </c>
      <c r="B78" s="14" t="n">
        <v>93</v>
      </c>
      <c r="C78" s="14" t="n">
        <v>93</v>
      </c>
      <c r="D78" s="14" t="n">
        <v>51</v>
      </c>
      <c r="E78" s="14" t="n">
        <v>20</v>
      </c>
      <c r="F78" s="14" t="n">
        <v>23</v>
      </c>
      <c r="G78" s="14" t="n">
        <v>10941</v>
      </c>
      <c r="H78" s="14" t="n">
        <v>10912</v>
      </c>
      <c r="I78" s="14" t="n">
        <v>5614</v>
      </c>
      <c r="J78" s="14" t="n">
        <v>1893</v>
      </c>
      <c r="K78" s="14" t="n">
        <v>3404</v>
      </c>
    </row>
    <row r="79" ht="15" customHeight="1" s="100">
      <c r="A79" s="17" t="inlineStr">
        <is>
          <t>250 or more</t>
        </is>
      </c>
      <c r="B79" s="14" t="n">
        <v>37</v>
      </c>
      <c r="C79" s="14" t="n">
        <v>37</v>
      </c>
      <c r="D79" s="14" t="n">
        <v>17</v>
      </c>
      <c r="E79" s="14" t="n">
        <v>6</v>
      </c>
      <c r="F79" s="14" t="n">
        <v>14</v>
      </c>
      <c r="G79" s="14" t="n">
        <v>11815</v>
      </c>
      <c r="H79" s="14" t="n">
        <v>11711</v>
      </c>
      <c r="I79" s="14" t="n">
        <v>5292</v>
      </c>
      <c r="J79" s="14" t="n">
        <v>1730</v>
      </c>
      <c r="K79" s="14" t="n">
        <v>4689</v>
      </c>
    </row>
    <row r="80" ht="24" customHeight="1" s="100">
      <c r="A80" s="15" t="inlineStr">
        <is>
          <t>Weekly operating hours</t>
        </is>
      </c>
      <c r="B80" s="21" t="n"/>
      <c r="C80" s="21" t="n"/>
      <c r="D80" s="21" t="n"/>
      <c r="E80" s="21" t="n"/>
      <c r="F80" s="21" t="n"/>
      <c r="G80" s="21" t="n"/>
      <c r="H80" s="21" t="n"/>
      <c r="I80" s="21" t="n"/>
      <c r="J80" s="21" t="n"/>
      <c r="K80" s="21" t="n"/>
    </row>
    <row r="81" ht="15" customHeight="1" s="100">
      <c r="A81" s="17" t="inlineStr">
        <is>
          <t>Fewer than 40</t>
        </is>
      </c>
      <c r="B81" s="14" t="n">
        <v>1149</v>
      </c>
      <c r="C81" s="14" t="n">
        <v>703</v>
      </c>
      <c r="D81" s="14" t="n">
        <v>575</v>
      </c>
      <c r="E81" s="14" t="n">
        <v>97</v>
      </c>
      <c r="F81" s="14" t="n">
        <v>31</v>
      </c>
      <c r="G81" s="14" t="n">
        <v>8220</v>
      </c>
      <c r="H81" s="14" t="n">
        <v>5137</v>
      </c>
      <c r="I81" s="14" t="n">
        <v>3777</v>
      </c>
      <c r="J81" s="14" t="n">
        <v>659</v>
      </c>
      <c r="K81" s="14" t="n">
        <v>701</v>
      </c>
    </row>
    <row r="82" ht="15" customHeight="1" s="100">
      <c r="A82" s="17" t="inlineStr">
        <is>
          <t>40 to 48</t>
        </is>
      </c>
      <c r="B82" s="14" t="n">
        <v>1346</v>
      </c>
      <c r="C82" s="14" t="n">
        <v>1107</v>
      </c>
      <c r="D82" s="14" t="n">
        <v>843</v>
      </c>
      <c r="E82" s="14" t="n">
        <v>193</v>
      </c>
      <c r="F82" s="14" t="n">
        <v>71</v>
      </c>
      <c r="G82" s="14" t="n">
        <v>15828</v>
      </c>
      <c r="H82" s="14" t="n">
        <v>14388</v>
      </c>
      <c r="I82" s="14" t="n">
        <v>9155</v>
      </c>
      <c r="J82" s="14" t="n">
        <v>2631</v>
      </c>
      <c r="K82" s="14" t="n">
        <v>2602</v>
      </c>
    </row>
    <row r="83" ht="15" customHeight="1" s="100">
      <c r="A83" s="17" t="inlineStr">
        <is>
          <t>49 to 60</t>
        </is>
      </c>
      <c r="B83" s="14" t="n">
        <v>1244</v>
      </c>
      <c r="C83" s="14" t="n">
        <v>1063</v>
      </c>
      <c r="D83" s="14" t="n">
        <v>789</v>
      </c>
      <c r="E83" s="14" t="n">
        <v>184</v>
      </c>
      <c r="F83" s="14" t="n">
        <v>89</v>
      </c>
      <c r="G83" s="14" t="n">
        <v>20529</v>
      </c>
      <c r="H83" s="14" t="n">
        <v>18878</v>
      </c>
      <c r="I83" s="14" t="n">
        <v>11623</v>
      </c>
      <c r="J83" s="14" t="n">
        <v>3487</v>
      </c>
      <c r="K83" s="14" t="n">
        <v>3768</v>
      </c>
    </row>
    <row r="84" ht="15" customHeight="1" s="100">
      <c r="A84" s="17" t="inlineStr">
        <is>
          <t>61 to 84</t>
        </is>
      </c>
      <c r="B84" s="14" t="n">
        <v>764</v>
      </c>
      <c r="C84" s="14" t="n">
        <v>676</v>
      </c>
      <c r="D84" s="14" t="n">
        <v>467</v>
      </c>
      <c r="E84" s="14" t="n">
        <v>111</v>
      </c>
      <c r="F84" s="14" t="n">
        <v>98</v>
      </c>
      <c r="G84" s="14" t="n">
        <v>15867</v>
      </c>
      <c r="H84" s="14" t="n">
        <v>15304</v>
      </c>
      <c r="I84" s="14" t="n">
        <v>7601</v>
      </c>
      <c r="J84" s="14" t="n">
        <v>2621</v>
      </c>
      <c r="K84" s="14" t="n">
        <v>5082</v>
      </c>
    </row>
    <row r="85" ht="15" customHeight="1" s="100">
      <c r="A85" s="17" t="inlineStr">
        <is>
          <t>85 to 167</t>
        </is>
      </c>
      <c r="B85" s="14" t="n">
        <v>479</v>
      </c>
      <c r="C85" s="14" t="n">
        <v>428</v>
      </c>
      <c r="D85" s="14" t="n">
        <v>315</v>
      </c>
      <c r="E85" s="14" t="n">
        <v>67</v>
      </c>
      <c r="F85" s="14" t="n">
        <v>46</v>
      </c>
      <c r="G85" s="14" t="n">
        <v>9395</v>
      </c>
      <c r="H85" s="14" t="n">
        <v>8937</v>
      </c>
      <c r="I85" s="14" t="n">
        <v>5247</v>
      </c>
      <c r="J85" s="14" t="n">
        <v>1470</v>
      </c>
      <c r="K85" s="14" t="n">
        <v>2220</v>
      </c>
    </row>
    <row r="86" ht="15" customHeight="1" s="100">
      <c r="A86" s="17" t="inlineStr">
        <is>
          <t>Open continuously</t>
        </is>
      </c>
      <c r="B86" s="14" t="n">
        <v>575</v>
      </c>
      <c r="C86" s="14" t="n">
        <v>447</v>
      </c>
      <c r="D86" s="14" t="n">
        <v>359</v>
      </c>
      <c r="E86" s="14" t="n">
        <v>38</v>
      </c>
      <c r="F86" s="14" t="n">
        <v>49</v>
      </c>
      <c r="G86" s="14" t="n">
        <v>17253</v>
      </c>
      <c r="H86" s="14" t="n">
        <v>16371</v>
      </c>
      <c r="I86" s="14" t="n">
        <v>10131</v>
      </c>
      <c r="J86" s="14" t="n">
        <v>1820</v>
      </c>
      <c r="K86" s="14" t="n">
        <v>4420</v>
      </c>
    </row>
    <row r="87" ht="24" customHeight="1" s="100">
      <c r="A87" s="15" t="inlineStr">
        <is>
          <t>Ownership and occupancy</t>
        </is>
      </c>
      <c r="B87" s="21" t="n"/>
      <c r="C87" s="21" t="n"/>
      <c r="D87" s="21" t="n"/>
      <c r="E87" s="21" t="n"/>
      <c r="F87" s="21" t="n"/>
      <c r="G87" s="21" t="n"/>
      <c r="H87" s="21" t="n"/>
      <c r="I87" s="21" t="n"/>
      <c r="J87" s="21" t="n"/>
      <c r="K87" s="21" t="n"/>
    </row>
    <row r="88" ht="15" customHeight="1" s="100">
      <c r="A88" s="17" t="inlineStr">
        <is>
          <t>Nongovernment owned</t>
        </is>
      </c>
      <c r="B88" s="14" t="n">
        <v>4781</v>
      </c>
      <c r="C88" s="14" t="n">
        <v>3791</v>
      </c>
      <c r="D88" s="14" t="n">
        <v>2851</v>
      </c>
      <c r="E88" s="14" t="n">
        <v>617</v>
      </c>
      <c r="F88" s="14" t="n">
        <v>323</v>
      </c>
      <c r="G88" s="14" t="n">
        <v>67550</v>
      </c>
      <c r="H88" s="14" t="n">
        <v>60645</v>
      </c>
      <c r="I88" s="14" t="n">
        <v>35837</v>
      </c>
      <c r="J88" s="14" t="n">
        <v>11091</v>
      </c>
      <c r="K88" s="14" t="n">
        <v>13717</v>
      </c>
    </row>
    <row r="89" ht="15" customHeight="1" s="100">
      <c r="A89" s="18" t="inlineStr">
        <is>
          <t>Owner occupied</t>
        </is>
      </c>
      <c r="B89" s="14" t="n">
        <v>2466</v>
      </c>
      <c r="C89" s="14" t="n">
        <v>2048</v>
      </c>
      <c r="D89" s="14" t="n">
        <v>1634</v>
      </c>
      <c r="E89" s="14" t="n">
        <v>289</v>
      </c>
      <c r="F89" s="14" t="n">
        <v>125</v>
      </c>
      <c r="G89" s="14" t="n">
        <v>30637</v>
      </c>
      <c r="H89" s="14" t="n">
        <v>27869</v>
      </c>
      <c r="I89" s="14" t="n">
        <v>19154</v>
      </c>
      <c r="J89" s="14" t="n">
        <v>4090</v>
      </c>
      <c r="K89" s="14" t="n">
        <v>4626</v>
      </c>
    </row>
    <row r="90" ht="15" customHeight="1" s="100">
      <c r="A90" s="18" t="inlineStr">
        <is>
          <t>Leased to tenant(s)</t>
        </is>
      </c>
      <c r="B90" s="14" t="n">
        <v>1745</v>
      </c>
      <c r="C90" s="14" t="n">
        <v>1401</v>
      </c>
      <c r="D90" s="14" t="n">
        <v>1001</v>
      </c>
      <c r="E90" s="14" t="n">
        <v>251</v>
      </c>
      <c r="F90" s="14" t="n">
        <v>149</v>
      </c>
      <c r="G90" s="14" t="n">
        <v>26115</v>
      </c>
      <c r="H90" s="14" t="n">
        <v>23900</v>
      </c>
      <c r="I90" s="14" t="n">
        <v>12749</v>
      </c>
      <c r="J90" s="14" t="n">
        <v>4804</v>
      </c>
      <c r="K90" s="14" t="n">
        <v>6347</v>
      </c>
    </row>
    <row r="91" ht="15" customHeight="1" s="100">
      <c r="A91" s="18" t="inlineStr">
        <is>
          <t>Owner occupied and leased</t>
        </is>
      </c>
      <c r="B91" s="14" t="n">
        <v>349</v>
      </c>
      <c r="C91" s="14" t="n">
        <v>316</v>
      </c>
      <c r="D91" s="14" t="n">
        <v>195</v>
      </c>
      <c r="E91" s="14" t="n">
        <v>75</v>
      </c>
      <c r="F91" s="14" t="n">
        <v>46</v>
      </c>
      <c r="G91" s="14" t="n">
        <v>8873</v>
      </c>
      <c r="H91" s="14" t="n">
        <v>8544</v>
      </c>
      <c r="I91" s="14" t="n">
        <v>3698</v>
      </c>
      <c r="J91" s="14" t="n">
        <v>2181</v>
      </c>
      <c r="K91" s="14" t="n">
        <v>2665</v>
      </c>
    </row>
    <row r="92" ht="15" customHeight="1" s="100">
      <c r="A92" s="18" t="inlineStr">
        <is>
          <t>Unoccupied</t>
        </is>
      </c>
      <c r="B92" s="14" t="n">
        <v>221</v>
      </c>
      <c r="C92" s="14" t="n">
        <v>26</v>
      </c>
      <c r="D92" s="14" t="n">
        <v>21</v>
      </c>
      <c r="E92" s="14" t="inlineStr">
        <is>
          <t>Q</t>
        </is>
      </c>
      <c r="F92" s="14" t="inlineStr">
        <is>
          <t>Q</t>
        </is>
      </c>
      <c r="G92" s="14" t="n">
        <v>1925</v>
      </c>
      <c r="H92" s="14" t="n">
        <v>332</v>
      </c>
      <c r="I92" s="14" t="n">
        <v>237</v>
      </c>
      <c r="J92" s="14" t="inlineStr">
        <is>
          <t>Q</t>
        </is>
      </c>
      <c r="K92" s="14" t="inlineStr">
        <is>
          <t>Q</t>
        </is>
      </c>
    </row>
    <row r="93" ht="15" customHeight="1" s="100">
      <c r="A93" s="17" t="inlineStr">
        <is>
          <t>Government owned</t>
        </is>
      </c>
      <c r="B93" s="14" t="n">
        <v>776</v>
      </c>
      <c r="C93" s="14" t="n">
        <v>632</v>
      </c>
      <c r="D93" s="14" t="n">
        <v>497</v>
      </c>
      <c r="E93" s="14" t="n">
        <v>72</v>
      </c>
      <c r="F93" s="14" t="n">
        <v>62</v>
      </c>
      <c r="G93" s="14" t="n">
        <v>19543</v>
      </c>
      <c r="H93" s="14" t="n">
        <v>18370</v>
      </c>
      <c r="I93" s="14" t="n">
        <v>11697</v>
      </c>
      <c r="J93" s="14" t="n">
        <v>1596</v>
      </c>
      <c r="K93" s="14" t="n">
        <v>5076</v>
      </c>
    </row>
    <row r="94" ht="15" customHeight="1" s="100">
      <c r="A94" s="18" t="inlineStr">
        <is>
          <t>Federal</t>
        </is>
      </c>
      <c r="B94" s="14" t="n">
        <v>33</v>
      </c>
      <c r="C94" s="14" t="n">
        <v>33</v>
      </c>
      <c r="D94" s="14" t="n">
        <v>29</v>
      </c>
      <c r="E94" s="14" t="inlineStr">
        <is>
          <t>Q</t>
        </is>
      </c>
      <c r="F94" s="14" t="n">
        <v>3</v>
      </c>
      <c r="G94" s="14" t="n">
        <v>1573</v>
      </c>
      <c r="H94" s="14" t="n">
        <v>1565</v>
      </c>
      <c r="I94" s="14" t="n">
        <v>837</v>
      </c>
      <c r="J94" s="14" t="inlineStr">
        <is>
          <t>Q</t>
        </is>
      </c>
      <c r="K94" s="14" t="n">
        <v>626</v>
      </c>
    </row>
    <row r="95" ht="15" customHeight="1" s="100">
      <c r="A95" s="18" t="inlineStr">
        <is>
          <t>State</t>
        </is>
      </c>
      <c r="B95" s="14" t="n">
        <v>185</v>
      </c>
      <c r="C95" s="14" t="n">
        <v>146</v>
      </c>
      <c r="D95" s="14" t="n">
        <v>106</v>
      </c>
      <c r="E95" s="14" t="n">
        <v>22</v>
      </c>
      <c r="F95" s="14" t="n">
        <v>19</v>
      </c>
      <c r="G95" s="14" t="n">
        <v>5539</v>
      </c>
      <c r="H95" s="14" t="n">
        <v>5270</v>
      </c>
      <c r="I95" s="14" t="n">
        <v>3188</v>
      </c>
      <c r="J95" s="14" t="n">
        <v>746</v>
      </c>
      <c r="K95" s="14" t="n">
        <v>1336</v>
      </c>
    </row>
    <row r="96" ht="15" customHeight="1" s="100">
      <c r="A96" s="18" t="inlineStr">
        <is>
          <t>Local</t>
        </is>
      </c>
      <c r="B96" s="14" t="n">
        <v>558</v>
      </c>
      <c r="C96" s="14" t="n">
        <v>452</v>
      </c>
      <c r="D96" s="14" t="n">
        <v>362</v>
      </c>
      <c r="E96" s="14" t="n">
        <v>50</v>
      </c>
      <c r="F96" s="14" t="n">
        <v>40</v>
      </c>
      <c r="G96" s="14" t="n">
        <v>12431</v>
      </c>
      <c r="H96" s="14" t="n">
        <v>11535</v>
      </c>
      <c r="I96" s="14" t="n">
        <v>7672</v>
      </c>
      <c r="J96" s="14" t="n">
        <v>749</v>
      </c>
      <c r="K96" s="14" t="n">
        <v>3115</v>
      </c>
    </row>
    <row r="97" ht="45.95" customHeight="1" s="100">
      <c r="A97" s="15" t="inlineStr">
        <is>
          <t>Party responsible for operation
and maintenance of energy
systems</t>
        </is>
      </c>
      <c r="B97" s="21" t="n"/>
      <c r="C97" s="21" t="n"/>
      <c r="D97" s="21" t="n"/>
      <c r="E97" s="21" t="n"/>
      <c r="F97" s="21" t="n"/>
      <c r="G97" s="21" t="n"/>
      <c r="H97" s="21" t="n"/>
      <c r="I97" s="21" t="n"/>
      <c r="J97" s="21" t="n"/>
      <c r="K97" s="21" t="n"/>
    </row>
    <row r="98" ht="15" customHeight="1" s="100">
      <c r="A98" s="17" t="inlineStr">
        <is>
          <t>Building owner</t>
        </is>
      </c>
      <c r="B98" s="14" t="n">
        <v>4715</v>
      </c>
      <c r="C98" s="14" t="n">
        <v>3706</v>
      </c>
      <c r="D98" s="14" t="n">
        <v>2841</v>
      </c>
      <c r="E98" s="14" t="n">
        <v>580</v>
      </c>
      <c r="F98" s="14" t="n">
        <v>285</v>
      </c>
      <c r="G98" s="14" t="n">
        <v>73702</v>
      </c>
      <c r="H98" s="14" t="n">
        <v>66462</v>
      </c>
      <c r="I98" s="14" t="n">
        <v>41135</v>
      </c>
      <c r="J98" s="14" t="n">
        <v>10474</v>
      </c>
      <c r="K98" s="14" t="n">
        <v>14852</v>
      </c>
    </row>
    <row r="99" ht="15" customHeight="1" s="100">
      <c r="A99" s="17" t="inlineStr">
        <is>
          <t>Business owner or tenant</t>
        </is>
      </c>
      <c r="B99" s="14" t="n">
        <v>724</v>
      </c>
      <c r="C99" s="14" t="n">
        <v>617</v>
      </c>
      <c r="D99" s="14" t="n">
        <v>432</v>
      </c>
      <c r="E99" s="14" t="n">
        <v>98</v>
      </c>
      <c r="F99" s="14" t="n">
        <v>87</v>
      </c>
      <c r="G99" s="14" t="n">
        <v>11309</v>
      </c>
      <c r="H99" s="14" t="n">
        <v>10617</v>
      </c>
      <c r="I99" s="14" t="n">
        <v>5269</v>
      </c>
      <c r="J99" s="14" t="n">
        <v>1896</v>
      </c>
      <c r="K99" s="14" t="n">
        <v>3452</v>
      </c>
    </row>
    <row r="100" ht="15" customHeight="1" s="100">
      <c r="A100" s="17" t="inlineStr">
        <is>
          <t>Property management</t>
        </is>
      </c>
      <c r="B100" s="14" t="n">
        <v>54</v>
      </c>
      <c r="C100" s="14" t="n">
        <v>42</v>
      </c>
      <c r="D100" s="14" t="n">
        <v>29</v>
      </c>
      <c r="E100" s="14" t="inlineStr">
        <is>
          <t>Q</t>
        </is>
      </c>
      <c r="F100" s="14" t="n">
        <v>7</v>
      </c>
      <c r="G100" s="14" t="n">
        <v>1250</v>
      </c>
      <c r="H100" s="14" t="n">
        <v>1177</v>
      </c>
      <c r="I100" s="14" t="n">
        <v>600</v>
      </c>
      <c r="J100" s="14" t="inlineStr">
        <is>
          <t>Q</t>
        </is>
      </c>
      <c r="K100" s="14" t="n">
        <v>400</v>
      </c>
    </row>
    <row r="101" ht="15" customHeight="1" s="100">
      <c r="A101" s="17" t="inlineStr">
        <is>
          <t>Other</t>
        </is>
      </c>
      <c r="B101" s="14" t="n">
        <v>64</v>
      </c>
      <c r="C101" s="14" t="n">
        <v>57</v>
      </c>
      <c r="D101" s="14" t="n">
        <v>46</v>
      </c>
      <c r="E101" s="14" t="inlineStr">
        <is>
          <t>Q</t>
        </is>
      </c>
      <c r="F101" s="14" t="inlineStr">
        <is>
          <t>Q</t>
        </is>
      </c>
      <c r="G101" s="14" t="n">
        <v>832</v>
      </c>
      <c r="H101" s="14" t="n">
        <v>759</v>
      </c>
      <c r="I101" s="14" t="n">
        <v>531</v>
      </c>
      <c r="J101" s="14" t="inlineStr">
        <is>
          <t>Q</t>
        </is>
      </c>
      <c r="K101" s="14" t="inlineStr">
        <is>
          <t>Q</t>
        </is>
      </c>
    </row>
    <row r="102" ht="33.95" customHeight="1" s="100">
      <c r="A102" s="15" t="inlineStr">
        <is>
          <t>Provider of direct input on energy-related equipment purchases</t>
        </is>
      </c>
      <c r="B102" s="21" t="n"/>
      <c r="C102" s="21" t="n"/>
      <c r="D102" s="21" t="n"/>
      <c r="E102" s="21" t="n"/>
      <c r="F102" s="21" t="n"/>
      <c r="G102" s="21" t="n"/>
      <c r="H102" s="21" t="n"/>
      <c r="I102" s="21" t="n"/>
      <c r="J102" s="21" t="n"/>
      <c r="K102" s="21" t="n"/>
    </row>
    <row r="103" ht="15" customHeight="1" s="100">
      <c r="A103" s="17" t="inlineStr">
        <is>
          <t>Building owner</t>
        </is>
      </c>
      <c r="B103" s="22" t="n">
        <v>4876</v>
      </c>
      <c r="C103" s="22" t="n">
        <v>3830</v>
      </c>
      <c r="D103" s="22" t="n">
        <v>2933</v>
      </c>
      <c r="E103" s="22" t="n">
        <v>591</v>
      </c>
      <c r="F103" s="22" t="n">
        <v>306</v>
      </c>
      <c r="G103" s="22" t="n">
        <v>76271</v>
      </c>
      <c r="H103" s="22" t="n">
        <v>68848</v>
      </c>
      <c r="I103" s="22" t="n">
        <v>42370</v>
      </c>
      <c r="J103" s="22" t="n">
        <v>10971</v>
      </c>
      <c r="K103" s="22" t="n">
        <v>15507</v>
      </c>
    </row>
    <row r="104" ht="15" customHeight="1" s="100">
      <c r="A104" s="17" t="inlineStr">
        <is>
          <t>Business owner or tenant</t>
        </is>
      </c>
      <c r="B104" s="14" t="n">
        <v>540</v>
      </c>
      <c r="C104" s="14" t="n">
        <v>466</v>
      </c>
      <c r="D104" s="14" t="n">
        <v>317</v>
      </c>
      <c r="E104" s="14" t="n">
        <v>85</v>
      </c>
      <c r="F104" s="14" t="n">
        <v>64</v>
      </c>
      <c r="G104" s="14" t="n">
        <v>8256</v>
      </c>
      <c r="H104" s="14" t="n">
        <v>7779</v>
      </c>
      <c r="I104" s="14" t="n">
        <v>3962</v>
      </c>
      <c r="J104" s="14" t="n">
        <v>1345</v>
      </c>
      <c r="K104" s="14" t="n">
        <v>2471</v>
      </c>
    </row>
    <row r="105" ht="15" customHeight="1" s="100">
      <c r="A105" s="17" t="inlineStr">
        <is>
          <t>Property management</t>
        </is>
      </c>
      <c r="B105" s="14" t="n">
        <v>35</v>
      </c>
      <c r="C105" s="14" t="n">
        <v>29</v>
      </c>
      <c r="D105" s="14" t="n">
        <v>23</v>
      </c>
      <c r="E105" s="14" t="inlineStr">
        <is>
          <t>Q</t>
        </is>
      </c>
      <c r="F105" s="14" t="inlineStr">
        <is>
          <t>Q</t>
        </is>
      </c>
      <c r="G105" s="14" t="n">
        <v>880</v>
      </c>
      <c r="H105" s="14" t="n">
        <v>784</v>
      </c>
      <c r="I105" s="14" t="n">
        <v>378</v>
      </c>
      <c r="J105" s="14" t="inlineStr">
        <is>
          <t>Q</t>
        </is>
      </c>
      <c r="K105" s="14" t="inlineStr">
        <is>
          <t>Q</t>
        </is>
      </c>
    </row>
    <row r="106" ht="15" customHeight="1" s="100">
      <c r="A106" s="17" t="inlineStr">
        <is>
          <t>Other</t>
        </is>
      </c>
      <c r="B106" s="14" t="n">
        <v>106</v>
      </c>
      <c r="C106" s="14" t="n">
        <v>98</v>
      </c>
      <c r="D106" s="14" t="n">
        <v>75</v>
      </c>
      <c r="E106" s="14" t="inlineStr">
        <is>
          <t>Q</t>
        </is>
      </c>
      <c r="F106" s="14" t="n">
        <v>12</v>
      </c>
      <c r="G106" s="14" t="n">
        <v>1686</v>
      </c>
      <c r="H106" s="14" t="n">
        <v>1605</v>
      </c>
      <c r="I106" s="14" t="n">
        <v>824</v>
      </c>
      <c r="J106" s="14" t="inlineStr">
        <is>
          <t>Q</t>
        </is>
      </c>
      <c r="K106" s="14" t="n">
        <v>549</v>
      </c>
    </row>
    <row r="107" ht="24" customHeight="1" s="100">
      <c r="A107" s="15" t="inlineStr">
        <is>
          <t>Campus or complex activity</t>
        </is>
      </c>
      <c r="B107" s="16" t="n"/>
      <c r="C107" s="16" t="n"/>
      <c r="D107" s="16" t="n"/>
      <c r="E107" s="16" t="n"/>
      <c r="F107" s="16" t="n"/>
      <c r="G107" s="16" t="n"/>
      <c r="H107" s="16" t="n"/>
      <c r="I107" s="16" t="n"/>
      <c r="J107" s="16" t="n"/>
      <c r="K107" s="16" t="n"/>
    </row>
    <row r="108" ht="15" customHeight="1" s="100">
      <c r="A108" s="17" t="inlineStr">
        <is>
          <t>Not part of a campus or complex</t>
        </is>
      </c>
      <c r="B108" s="14" t="n">
        <v>3683</v>
      </c>
      <c r="C108" s="14" t="n">
        <v>3084</v>
      </c>
      <c r="D108" s="14" t="n">
        <v>2369</v>
      </c>
      <c r="E108" s="14" t="n">
        <v>467</v>
      </c>
      <c r="F108" s="14" t="n">
        <v>248</v>
      </c>
      <c r="G108" s="14" t="n">
        <v>52275</v>
      </c>
      <c r="H108" s="14" t="n">
        <v>47942</v>
      </c>
      <c r="I108" s="14" t="n">
        <v>29176</v>
      </c>
      <c r="J108" s="14" t="n">
        <v>8061</v>
      </c>
      <c r="K108" s="14" t="n">
        <v>10705</v>
      </c>
    </row>
    <row r="109" ht="15" customHeight="1" s="100">
      <c r="A109" s="17" t="inlineStr">
        <is>
          <t>Primary or secondary school</t>
        </is>
      </c>
      <c r="B109" s="14" t="n">
        <v>237</v>
      </c>
      <c r="C109" s="14" t="n">
        <v>165</v>
      </c>
      <c r="D109" s="14" t="n">
        <v>115</v>
      </c>
      <c r="E109" s="14" t="n">
        <v>32</v>
      </c>
      <c r="F109" s="14" t="n">
        <v>19</v>
      </c>
      <c r="G109" s="14" t="n">
        <v>4616</v>
      </c>
      <c r="H109" s="14" t="n">
        <v>4214</v>
      </c>
      <c r="I109" s="14" t="n">
        <v>2522</v>
      </c>
      <c r="J109" s="14" t="n">
        <v>496</v>
      </c>
      <c r="K109" s="14" t="n">
        <v>1196</v>
      </c>
    </row>
    <row r="110" ht="15" customHeight="1" s="100">
      <c r="A110" s="17" t="inlineStr">
        <is>
          <t>College or university</t>
        </is>
      </c>
      <c r="B110" s="14" t="n">
        <v>84</v>
      </c>
      <c r="C110" s="14" t="n">
        <v>79</v>
      </c>
      <c r="D110" s="14" t="n">
        <v>63</v>
      </c>
      <c r="E110" s="14" t="n">
        <v>8</v>
      </c>
      <c r="F110" s="14" t="n">
        <v>8</v>
      </c>
      <c r="G110" s="14" t="n">
        <v>4068</v>
      </c>
      <c r="H110" s="14" t="n">
        <v>4010</v>
      </c>
      <c r="I110" s="14" t="n">
        <v>2951</v>
      </c>
      <c r="J110" s="14" t="n">
        <v>472</v>
      </c>
      <c r="K110" s="14" t="n">
        <v>587</v>
      </c>
    </row>
    <row r="111" ht="15" customHeight="1" s="100">
      <c r="A111" s="17" t="inlineStr">
        <is>
          <t>Office complex</t>
        </is>
      </c>
      <c r="B111" s="14" t="n">
        <v>154</v>
      </c>
      <c r="C111" s="14" t="n">
        <v>141</v>
      </c>
      <c r="D111" s="14" t="n">
        <v>93</v>
      </c>
      <c r="E111" s="14" t="n">
        <v>33</v>
      </c>
      <c r="F111" s="14" t="n">
        <v>15</v>
      </c>
      <c r="G111" s="14" t="n">
        <v>3456</v>
      </c>
      <c r="H111" s="14" t="n">
        <v>3395</v>
      </c>
      <c r="I111" s="14" t="n">
        <v>1606</v>
      </c>
      <c r="J111" s="14" t="n">
        <v>691</v>
      </c>
      <c r="K111" s="14" t="n">
        <v>1097</v>
      </c>
    </row>
    <row r="112" ht="15" customHeight="1" s="100">
      <c r="A112" s="17" t="inlineStr">
        <is>
          <t>Retail complex</t>
        </is>
      </c>
      <c r="B112" s="14" t="n">
        <v>258</v>
      </c>
      <c r="C112" s="14" t="n">
        <v>218</v>
      </c>
      <c r="D112" s="14" t="n">
        <v>139</v>
      </c>
      <c r="E112" s="14" t="n">
        <v>26</v>
      </c>
      <c r="F112" s="14" t="n">
        <v>53</v>
      </c>
      <c r="G112" s="14" t="n">
        <v>5159</v>
      </c>
      <c r="H112" s="14" t="n">
        <v>4921</v>
      </c>
      <c r="I112" s="14" t="n">
        <v>2014</v>
      </c>
      <c r="J112" s="14" t="n">
        <v>482</v>
      </c>
      <c r="K112" s="14" t="n">
        <v>2425</v>
      </c>
    </row>
    <row r="113" ht="15" customHeight="1" s="100">
      <c r="A113" s="17" t="inlineStr">
        <is>
          <t>Storage complex</t>
        </is>
      </c>
      <c r="B113" s="14" t="n">
        <v>314</v>
      </c>
      <c r="C113" s="14" t="n">
        <v>52</v>
      </c>
      <c r="D113" s="14" t="n">
        <v>29</v>
      </c>
      <c r="E113" s="14" t="n">
        <v>22</v>
      </c>
      <c r="F113" s="14" t="inlineStr">
        <is>
          <t>Q</t>
        </is>
      </c>
      <c r="G113" s="14" t="n">
        <v>3212</v>
      </c>
      <c r="H113" s="14" t="n">
        <v>1284</v>
      </c>
      <c r="I113" s="14" t="n">
        <v>643</v>
      </c>
      <c r="J113" s="14" t="n">
        <v>545</v>
      </c>
      <c r="K113" s="14" t="inlineStr">
        <is>
          <t>Q</t>
        </is>
      </c>
    </row>
    <row r="114" ht="15" customHeight="1" s="100">
      <c r="A114" s="17" t="inlineStr">
        <is>
          <t>Religious campus or complex</t>
        </is>
      </c>
      <c r="B114" s="14" t="n">
        <v>197</v>
      </c>
      <c r="C114" s="14" t="n">
        <v>181</v>
      </c>
      <c r="D114" s="14" t="n">
        <v>136</v>
      </c>
      <c r="E114" s="14" t="n">
        <v>36</v>
      </c>
      <c r="F114" s="14" t="inlineStr">
        <is>
          <t>Q</t>
        </is>
      </c>
      <c r="G114" s="14" t="n">
        <v>1932</v>
      </c>
      <c r="H114" s="14" t="n">
        <v>1810</v>
      </c>
      <c r="I114" s="14" t="n">
        <v>1159</v>
      </c>
      <c r="J114" s="14" t="n">
        <v>344</v>
      </c>
      <c r="K114" s="14" t="inlineStr">
        <is>
          <t>Q</t>
        </is>
      </c>
    </row>
    <row r="115" ht="15" customHeight="1" s="100">
      <c r="A115" s="17" t="inlineStr">
        <is>
          <t>Health care complex</t>
        </is>
      </c>
      <c r="B115" s="14" t="n">
        <v>52</v>
      </c>
      <c r="C115" s="14" t="n">
        <v>50</v>
      </c>
      <c r="D115" s="14" t="n">
        <v>42</v>
      </c>
      <c r="E115" s="14" t="inlineStr">
        <is>
          <t>Q</t>
        </is>
      </c>
      <c r="F115" s="14" t="n">
        <v>7</v>
      </c>
      <c r="G115" s="14" t="n">
        <v>3362</v>
      </c>
      <c r="H115" s="14" t="n">
        <v>3314</v>
      </c>
      <c r="I115" s="14" t="n">
        <v>2278</v>
      </c>
      <c r="J115" s="14" t="inlineStr">
        <is>
          <t>Q</t>
        </is>
      </c>
      <c r="K115" s="14" t="n">
        <v>912</v>
      </c>
    </row>
    <row r="116" ht="15" customHeight="1" s="100">
      <c r="A116" s="17" t="inlineStr">
        <is>
          <t>Lodging or resort complex</t>
        </is>
      </c>
      <c r="B116" s="14" t="n">
        <v>65</v>
      </c>
      <c r="C116" s="14" t="n">
        <v>61</v>
      </c>
      <c r="D116" s="14" t="n">
        <v>53</v>
      </c>
      <c r="E116" s="14" t="inlineStr">
        <is>
          <t>Q</t>
        </is>
      </c>
      <c r="F116" s="14" t="inlineStr">
        <is>
          <t>Q</t>
        </is>
      </c>
      <c r="G116" s="14" t="n">
        <v>1295</v>
      </c>
      <c r="H116" s="14" t="n">
        <v>1275</v>
      </c>
      <c r="I116" s="14" t="n">
        <v>1048</v>
      </c>
      <c r="J116" s="14" t="inlineStr">
        <is>
          <t>Q</t>
        </is>
      </c>
      <c r="K116" s="14" t="inlineStr">
        <is>
          <t>Q</t>
        </is>
      </c>
    </row>
    <row r="117" ht="15" customHeight="1" s="100">
      <c r="A117" s="17" t="inlineStr">
        <is>
          <t>Transportation complex</t>
        </is>
      </c>
      <c r="B117" s="14" t="n">
        <v>35</v>
      </c>
      <c r="C117" s="14" t="n">
        <v>32</v>
      </c>
      <c r="D117" s="14" t="n">
        <v>27</v>
      </c>
      <c r="E117" s="14" t="inlineStr">
        <is>
          <t>Q</t>
        </is>
      </c>
      <c r="F117" s="14" t="inlineStr">
        <is>
          <t>(*)</t>
        </is>
      </c>
      <c r="G117" s="14" t="n">
        <v>554</v>
      </c>
      <c r="H117" s="14" t="n">
        <v>494</v>
      </c>
      <c r="I117" s="14" t="n">
        <v>193</v>
      </c>
      <c r="J117" s="14" t="inlineStr">
        <is>
          <t>Q</t>
        </is>
      </c>
      <c r="K117" s="14" t="n">
        <v>200</v>
      </c>
    </row>
    <row r="118" ht="15" customHeight="1" s="100">
      <c r="A118" s="17" t="inlineStr">
        <is>
          <t>Government complex</t>
        </is>
      </c>
      <c r="B118" s="14" t="n">
        <v>104</v>
      </c>
      <c r="C118" s="14" t="n">
        <v>81</v>
      </c>
      <c r="D118" s="14" t="n">
        <v>71</v>
      </c>
      <c r="E118" s="14" t="inlineStr">
        <is>
          <t>Q</t>
        </is>
      </c>
      <c r="F118" s="14" t="n">
        <v>2</v>
      </c>
      <c r="G118" s="14" t="n">
        <v>2107</v>
      </c>
      <c r="H118" s="14" t="n">
        <v>1886</v>
      </c>
      <c r="I118" s="14" t="n">
        <v>1359</v>
      </c>
      <c r="J118" s="14" t="inlineStr">
        <is>
          <t>Q</t>
        </is>
      </c>
      <c r="K118" s="14" t="n">
        <v>415</v>
      </c>
    </row>
    <row r="119" ht="15" customHeight="1" s="100">
      <c r="A119" s="17" t="inlineStr">
        <is>
          <t>Other</t>
        </is>
      </c>
      <c r="B119" s="14" t="n">
        <v>371</v>
      </c>
      <c r="C119" s="14" t="n">
        <v>278</v>
      </c>
      <c r="D119" s="14" t="n">
        <v>209</v>
      </c>
      <c r="E119" s="14" t="n">
        <v>49</v>
      </c>
      <c r="F119" s="14" t="n">
        <v>20</v>
      </c>
      <c r="G119" s="14" t="n">
        <v>5057</v>
      </c>
      <c r="H119" s="14" t="n">
        <v>4470</v>
      </c>
      <c r="I119" s="14" t="n">
        <v>2584</v>
      </c>
      <c r="J119" s="14" t="n">
        <v>1228</v>
      </c>
      <c r="K119" s="14" t="n">
        <v>658</v>
      </c>
    </row>
    <row r="120" ht="44.2" customHeight="1" s="100">
      <c r="A120" s="15" t="inlineStr">
        <is>
          <t>Renovations in buildings
constructed before 2008
(more than one may apply)</t>
        </is>
      </c>
      <c r="B120" s="21" t="n"/>
      <c r="C120" s="21" t="n"/>
      <c r="D120" s="21" t="n"/>
      <c r="E120" s="21" t="n"/>
      <c r="F120" s="21" t="n"/>
      <c r="G120" s="21" t="n"/>
      <c r="H120" s="21" t="n"/>
      <c r="I120" s="21" t="n"/>
      <c r="J120" s="21" t="n"/>
      <c r="K120" s="21" t="n"/>
    </row>
    <row r="121" ht="15" customHeight="1" s="100">
      <c r="A121" s="17" t="inlineStr">
        <is>
          <t>Any type of renovation</t>
        </is>
      </c>
      <c r="B121" s="14" t="n">
        <v>2094</v>
      </c>
      <c r="C121" s="14" t="n">
        <v>1886</v>
      </c>
      <c r="D121" s="14" t="n">
        <v>1393</v>
      </c>
      <c r="E121" s="14" t="n">
        <v>297</v>
      </c>
      <c r="F121" s="14" t="n">
        <v>196</v>
      </c>
      <c r="G121" s="14" t="n">
        <v>42216</v>
      </c>
      <c r="H121" s="14" t="n">
        <v>40289</v>
      </c>
      <c r="I121" s="14" t="n">
        <v>22231</v>
      </c>
      <c r="J121" s="14" t="n">
        <v>6390</v>
      </c>
      <c r="K121" s="14" t="n">
        <v>11668</v>
      </c>
    </row>
    <row r="122" ht="15" customHeight="1" s="100">
      <c r="A122" s="18" t="inlineStr">
        <is>
          <t>Addition or annex</t>
        </is>
      </c>
      <c r="B122" s="14" t="n">
        <v>444</v>
      </c>
      <c r="C122" s="14" t="n">
        <v>424</v>
      </c>
      <c r="D122" s="14" t="n">
        <v>296</v>
      </c>
      <c r="E122" s="14" t="n">
        <v>74</v>
      </c>
      <c r="F122" s="14" t="n">
        <v>54</v>
      </c>
      <c r="G122" s="14" t="n">
        <v>13022</v>
      </c>
      <c r="H122" s="14" t="n">
        <v>12835</v>
      </c>
      <c r="I122" s="14" t="n">
        <v>7022</v>
      </c>
      <c r="J122" s="14" t="n">
        <v>1819</v>
      </c>
      <c r="K122" s="14" t="n">
        <v>3994</v>
      </c>
    </row>
    <row r="123" ht="15" customHeight="1" s="100">
      <c r="A123" s="18" t="inlineStr">
        <is>
          <t>Reduction in floorspace</t>
        </is>
      </c>
      <c r="B123" s="14" t="n">
        <v>71</v>
      </c>
      <c r="C123" s="14" t="n">
        <v>62</v>
      </c>
      <c r="D123" s="14" t="n">
        <v>52</v>
      </c>
      <c r="E123" s="14" t="inlineStr">
        <is>
          <t>Q</t>
        </is>
      </c>
      <c r="F123" s="14" t="n">
        <v>5</v>
      </c>
      <c r="G123" s="14" t="n">
        <v>1753</v>
      </c>
      <c r="H123" s="14" t="n">
        <v>1715</v>
      </c>
      <c r="I123" s="14" t="n">
        <v>935</v>
      </c>
      <c r="J123" s="14" t="inlineStr">
        <is>
          <t>Q</t>
        </is>
      </c>
      <c r="K123" s="14" t="n">
        <v>485</v>
      </c>
    </row>
    <row r="124" ht="15" customHeight="1" s="100">
      <c r="A124" s="18" t="inlineStr">
        <is>
          <t>Roof replacement</t>
        </is>
      </c>
      <c r="B124" s="14" t="n">
        <v>987</v>
      </c>
      <c r="C124" s="14" t="n">
        <v>881</v>
      </c>
      <c r="D124" s="14" t="n">
        <v>654</v>
      </c>
      <c r="E124" s="14" t="n">
        <v>133</v>
      </c>
      <c r="F124" s="14" t="n">
        <v>94</v>
      </c>
      <c r="G124" s="14" t="n">
        <v>20917</v>
      </c>
      <c r="H124" s="14" t="n">
        <v>20189</v>
      </c>
      <c r="I124" s="14" t="n">
        <v>10907</v>
      </c>
      <c r="J124" s="14" t="n">
        <v>3186</v>
      </c>
      <c r="K124" s="14" t="n">
        <v>6095</v>
      </c>
    </row>
    <row r="125" ht="15" customHeight="1" s="100">
      <c r="A125" s="18" t="inlineStr">
        <is>
          <t>Exterior wall replacement</t>
        </is>
      </c>
      <c r="B125" s="14" t="n">
        <v>194</v>
      </c>
      <c r="C125" s="14" t="n">
        <v>174</v>
      </c>
      <c r="D125" s="14" t="n">
        <v>130</v>
      </c>
      <c r="E125" s="14" t="n">
        <v>27</v>
      </c>
      <c r="F125" s="14" t="n">
        <v>17</v>
      </c>
      <c r="G125" s="14" t="n">
        <v>4230</v>
      </c>
      <c r="H125" s="14" t="n">
        <v>4144</v>
      </c>
      <c r="I125" s="14" t="n">
        <v>2261</v>
      </c>
      <c r="J125" s="14" t="n">
        <v>788</v>
      </c>
      <c r="K125" s="14" t="n">
        <v>1096</v>
      </c>
    </row>
    <row r="126" ht="15" customHeight="1" s="100">
      <c r="A126" s="18" t="inlineStr">
        <is>
          <t>Interior wall reconfiguration</t>
        </is>
      </c>
      <c r="B126" s="14" t="n">
        <v>889</v>
      </c>
      <c r="C126" s="14" t="n">
        <v>813</v>
      </c>
      <c r="D126" s="14" t="n">
        <v>563</v>
      </c>
      <c r="E126" s="14" t="n">
        <v>136</v>
      </c>
      <c r="F126" s="14" t="n">
        <v>114</v>
      </c>
      <c r="G126" s="14" t="n">
        <v>21340</v>
      </c>
      <c r="H126" s="14" t="n">
        <v>20777</v>
      </c>
      <c r="I126" s="14" t="n">
        <v>10449</v>
      </c>
      <c r="J126" s="14" t="n">
        <v>3418</v>
      </c>
      <c r="K126" s="14" t="n">
        <v>6911</v>
      </c>
    </row>
    <row r="127" ht="15" customHeight="1" s="100">
      <c r="A127" s="18" t="inlineStr">
        <is>
          <t>Window replacement</t>
        </is>
      </c>
      <c r="B127" s="14" t="n">
        <v>560</v>
      </c>
      <c r="C127" s="14" t="n">
        <v>526</v>
      </c>
      <c r="D127" s="14" t="n">
        <v>352</v>
      </c>
      <c r="E127" s="14" t="n">
        <v>107</v>
      </c>
      <c r="F127" s="14" t="n">
        <v>66</v>
      </c>
      <c r="G127" s="14" t="n">
        <v>12265</v>
      </c>
      <c r="H127" s="14" t="n">
        <v>11984</v>
      </c>
      <c r="I127" s="14" t="n">
        <v>6237</v>
      </c>
      <c r="J127" s="14" t="n">
        <v>1983</v>
      </c>
      <c r="K127" s="14" t="n">
        <v>3765</v>
      </c>
    </row>
    <row r="128" ht="15" customHeight="1" s="100">
      <c r="A128" s="18" t="inlineStr">
        <is>
          <t>HVAC equipment upgrade</t>
        </is>
      </c>
      <c r="B128" s="14" t="n">
        <v>1101</v>
      </c>
      <c r="C128" s="14" t="n">
        <v>1019</v>
      </c>
      <c r="D128" s="14" t="n">
        <v>722</v>
      </c>
      <c r="E128" s="14" t="n">
        <v>173</v>
      </c>
      <c r="F128" s="14" t="n">
        <v>123</v>
      </c>
      <c r="G128" s="14" t="n">
        <v>26779</v>
      </c>
      <c r="H128" s="14" t="n">
        <v>26061</v>
      </c>
      <c r="I128" s="14" t="n">
        <v>13578</v>
      </c>
      <c r="J128" s="14" t="n">
        <v>4230</v>
      </c>
      <c r="K128" s="14" t="n">
        <v>8253</v>
      </c>
    </row>
    <row r="129" ht="15" customHeight="1" s="100">
      <c r="A129" s="18" t="inlineStr">
        <is>
          <t>Lighting upgrade</t>
        </is>
      </c>
      <c r="B129" s="14" t="n">
        <v>982</v>
      </c>
      <c r="C129" s="14" t="n">
        <v>920</v>
      </c>
      <c r="D129" s="14" t="n">
        <v>660</v>
      </c>
      <c r="E129" s="14" t="n">
        <v>150</v>
      </c>
      <c r="F129" s="14" t="n">
        <v>110</v>
      </c>
      <c r="G129" s="14" t="n">
        <v>25503</v>
      </c>
      <c r="H129" s="14" t="n">
        <v>24671</v>
      </c>
      <c r="I129" s="14" t="n">
        <v>12695</v>
      </c>
      <c r="J129" s="14" t="n">
        <v>3900</v>
      </c>
      <c r="K129" s="14" t="n">
        <v>8076</v>
      </c>
    </row>
    <row r="130" ht="15" customHeight="1" s="100">
      <c r="A130" s="18" t="inlineStr">
        <is>
          <t>Electrical upgrade</t>
        </is>
      </c>
      <c r="B130" s="14" t="n">
        <v>747</v>
      </c>
      <c r="C130" s="14" t="n">
        <v>681</v>
      </c>
      <c r="D130" s="14" t="n">
        <v>487</v>
      </c>
      <c r="E130" s="14" t="n">
        <v>109</v>
      </c>
      <c r="F130" s="14" t="n">
        <v>85</v>
      </c>
      <c r="G130" s="14" t="n">
        <v>16160</v>
      </c>
      <c r="H130" s="14" t="n">
        <v>15675</v>
      </c>
      <c r="I130" s="14" t="n">
        <v>8123</v>
      </c>
      <c r="J130" s="14" t="n">
        <v>2398</v>
      </c>
      <c r="K130" s="14" t="n">
        <v>5154</v>
      </c>
    </row>
    <row r="131" ht="15" customHeight="1" s="100">
      <c r="A131" s="18" t="inlineStr">
        <is>
          <t>Plumbing system upgrade</t>
        </is>
      </c>
      <c r="B131" s="14" t="n">
        <v>644</v>
      </c>
      <c r="C131" s="14" t="n">
        <v>601</v>
      </c>
      <c r="D131" s="14" t="n">
        <v>422</v>
      </c>
      <c r="E131" s="14" t="n">
        <v>98</v>
      </c>
      <c r="F131" s="14" t="n">
        <v>81</v>
      </c>
      <c r="G131" s="14" t="n">
        <v>13828</v>
      </c>
      <c r="H131" s="14" t="n">
        <v>13544</v>
      </c>
      <c r="I131" s="14" t="n">
        <v>7147</v>
      </c>
      <c r="J131" s="14" t="n">
        <v>1944</v>
      </c>
      <c r="K131" s="14" t="n">
        <v>4452</v>
      </c>
    </row>
    <row r="132" ht="15" customHeight="1" s="100">
      <c r="A132" s="18" t="inlineStr">
        <is>
          <t>Insulation upgrade</t>
        </is>
      </c>
      <c r="B132" s="14" t="n">
        <v>382</v>
      </c>
      <c r="C132" s="14" t="n">
        <v>353</v>
      </c>
      <c r="D132" s="14" t="n">
        <v>248</v>
      </c>
      <c r="E132" s="14" t="n">
        <v>61</v>
      </c>
      <c r="F132" s="14" t="n">
        <v>44</v>
      </c>
      <c r="G132" s="14" t="n">
        <v>7607</v>
      </c>
      <c r="H132" s="14" t="n">
        <v>7331</v>
      </c>
      <c r="I132" s="14" t="n">
        <v>3785</v>
      </c>
      <c r="J132" s="14" t="n">
        <v>1176</v>
      </c>
      <c r="K132" s="14" t="n">
        <v>2370</v>
      </c>
    </row>
    <row r="133" ht="15" customHeight="1" s="100">
      <c r="A133" s="18" t="inlineStr">
        <is>
          <t>Fire, safety, or security upgrade</t>
        </is>
      </c>
      <c r="B133" s="14" t="n">
        <v>616</v>
      </c>
      <c r="C133" s="14" t="n">
        <v>585</v>
      </c>
      <c r="D133" s="14" t="n">
        <v>407</v>
      </c>
      <c r="E133" s="14" t="n">
        <v>101</v>
      </c>
      <c r="F133" s="14" t="n">
        <v>77</v>
      </c>
      <c r="G133" s="14" t="n">
        <v>17196</v>
      </c>
      <c r="H133" s="14" t="n">
        <v>16864</v>
      </c>
      <c r="I133" s="14" t="n">
        <v>8874</v>
      </c>
      <c r="J133" s="14" t="n">
        <v>2709</v>
      </c>
      <c r="K133" s="14" t="n">
        <v>5281</v>
      </c>
    </row>
    <row r="134" ht="15" customHeight="1" s="100">
      <c r="A134" s="18" t="inlineStr">
        <is>
          <t>Structural upgrade</t>
        </is>
      </c>
      <c r="B134" s="14" t="n">
        <v>152</v>
      </c>
      <c r="C134" s="14" t="n">
        <v>144</v>
      </c>
      <c r="D134" s="14" t="n">
        <v>108</v>
      </c>
      <c r="E134" s="14" t="n">
        <v>20</v>
      </c>
      <c r="F134" s="14" t="n">
        <v>16</v>
      </c>
      <c r="G134" s="14" t="n">
        <v>3913</v>
      </c>
      <c r="H134" s="14" t="n">
        <v>3853</v>
      </c>
      <c r="I134" s="14" t="n">
        <v>2137</v>
      </c>
      <c r="J134" s="14" t="n">
        <v>518</v>
      </c>
      <c r="K134" s="14" t="n">
        <v>1198</v>
      </c>
    </row>
    <row r="135" ht="15" customHeight="1" s="100">
      <c r="A135" s="18" t="inlineStr">
        <is>
          <t>Other</t>
        </is>
      </c>
      <c r="B135" s="14" t="n">
        <v>39</v>
      </c>
      <c r="C135" s="14" t="n">
        <v>34</v>
      </c>
      <c r="D135" s="14" t="n">
        <v>25</v>
      </c>
      <c r="E135" s="14" t="inlineStr">
        <is>
          <t>Q</t>
        </is>
      </c>
      <c r="F135" s="14" t="inlineStr">
        <is>
          <t>Q</t>
        </is>
      </c>
      <c r="G135" s="14" t="n">
        <v>848</v>
      </c>
      <c r="H135" s="14" t="n">
        <v>829</v>
      </c>
      <c r="I135" s="14" t="n">
        <v>321</v>
      </c>
      <c r="J135" s="14" t="inlineStr">
        <is>
          <t>Q</t>
        </is>
      </c>
      <c r="K135" s="14" t="inlineStr">
        <is>
          <t>Q</t>
        </is>
      </c>
    </row>
    <row r="136" ht="15" customHeight="1" s="100">
      <c r="A136" s="17" t="inlineStr">
        <is>
          <t>No renovations</t>
        </is>
      </c>
      <c r="B136" s="14" t="n">
        <v>3160</v>
      </c>
      <c r="C136" s="14" t="n">
        <v>2306</v>
      </c>
      <c r="D136" s="14" t="n">
        <v>1794</v>
      </c>
      <c r="E136" s="14" t="n">
        <v>354</v>
      </c>
      <c r="F136" s="14" t="n">
        <v>158</v>
      </c>
      <c r="G136" s="14" t="n">
        <v>39154</v>
      </c>
      <c r="H136" s="14" t="n">
        <v>33564</v>
      </c>
      <c r="I136" s="14" t="n">
        <v>22127</v>
      </c>
      <c r="J136" s="14" t="n">
        <v>5365</v>
      </c>
      <c r="K136" s="14" t="n">
        <v>6073</v>
      </c>
    </row>
    <row r="137" ht="15" customHeight="1" s="100">
      <c r="A137" s="17" t="inlineStr">
        <is>
          <t>Buildings constructed 2008 or later</t>
        </is>
      </c>
      <c r="B137" s="14" t="n">
        <v>303</v>
      </c>
      <c r="C137" s="14" t="n">
        <v>231</v>
      </c>
      <c r="D137" s="14" t="n">
        <v>161</v>
      </c>
      <c r="E137" s="14" t="n">
        <v>39</v>
      </c>
      <c r="F137" s="14" t="n">
        <v>30</v>
      </c>
      <c r="G137" s="14" t="n">
        <v>5723</v>
      </c>
      <c r="H137" s="14" t="n">
        <v>5162</v>
      </c>
      <c r="I137" s="14" t="n">
        <v>3176</v>
      </c>
      <c r="J137" s="14" t="n">
        <v>933</v>
      </c>
      <c r="K137" s="14" t="n">
        <v>1053</v>
      </c>
    </row>
    <row r="138" ht="33.95" customHeight="1" s="100">
      <c r="A138" s="15" t="inlineStr">
        <is>
          <t>Energy sources 
(more than one may apply)</t>
        </is>
      </c>
      <c r="B138" s="21" t="n"/>
      <c r="C138" s="21" t="n"/>
      <c r="D138" s="21" t="n"/>
      <c r="E138" s="21" t="n"/>
      <c r="F138" s="21" t="n"/>
      <c r="G138" s="21" t="n"/>
      <c r="H138" s="21" t="n"/>
      <c r="I138" s="21" t="n"/>
      <c r="J138" s="21" t="n"/>
      <c r="K138" s="21" t="n"/>
    </row>
    <row r="139" ht="15" customHeight="1" s="100">
      <c r="A139" s="17" t="inlineStr">
        <is>
          <t>Electricity</t>
        </is>
      </c>
      <c r="B139" s="14" t="n">
        <v>5234</v>
      </c>
      <c r="C139" s="14" t="n">
        <v>4423</v>
      </c>
      <c r="D139" s="14" t="n">
        <v>3348</v>
      </c>
      <c r="E139" s="14" t="n">
        <v>690</v>
      </c>
      <c r="F139" s="14" t="n">
        <v>385</v>
      </c>
      <c r="G139" s="14" t="n">
        <v>84869</v>
      </c>
      <c r="H139" s="14" t="n">
        <v>79015</v>
      </c>
      <c r="I139" s="14" t="n">
        <v>47534</v>
      </c>
      <c r="J139" s="14" t="n">
        <v>12688</v>
      </c>
      <c r="K139" s="14" t="n">
        <v>18793</v>
      </c>
    </row>
    <row r="140" ht="15" customHeight="1" s="100">
      <c r="A140" s="17" t="inlineStr">
        <is>
          <t>Natural gas</t>
        </is>
      </c>
      <c r="B140" s="14" t="n">
        <v>2933</v>
      </c>
      <c r="C140" s="14" t="n">
        <v>2742</v>
      </c>
      <c r="D140" s="14" t="n">
        <v>2073</v>
      </c>
      <c r="E140" s="14" t="n">
        <v>388</v>
      </c>
      <c r="F140" s="14" t="n">
        <v>282</v>
      </c>
      <c r="G140" s="14" t="n">
        <v>58725</v>
      </c>
      <c r="H140" s="14" t="n">
        <v>57019</v>
      </c>
      <c r="I140" s="14" t="n">
        <v>34005</v>
      </c>
      <c r="J140" s="14" t="n">
        <v>8211</v>
      </c>
      <c r="K140" s="14" t="n">
        <v>14803</v>
      </c>
    </row>
    <row r="141" ht="15" customHeight="1" s="100">
      <c r="A141" s="17" t="inlineStr">
        <is>
          <t>Fuel oil</t>
        </is>
      </c>
      <c r="B141" s="14" t="n">
        <v>467</v>
      </c>
      <c r="C141" s="14" t="n">
        <v>411</v>
      </c>
      <c r="D141" s="14" t="n">
        <v>314</v>
      </c>
      <c r="E141" s="14" t="n">
        <v>52</v>
      </c>
      <c r="F141" s="14" t="n">
        <v>45</v>
      </c>
      <c r="G141" s="14" t="n">
        <v>20200</v>
      </c>
      <c r="H141" s="14" t="n">
        <v>19708</v>
      </c>
      <c r="I141" s="14" t="n">
        <v>10979</v>
      </c>
      <c r="J141" s="14" t="n">
        <v>2510</v>
      </c>
      <c r="K141" s="14" t="n">
        <v>6219</v>
      </c>
    </row>
    <row r="142" ht="15" customHeight="1" s="100">
      <c r="A142" s="17" t="inlineStr">
        <is>
          <t>District heat</t>
        </is>
      </c>
      <c r="B142" s="14" t="n">
        <v>48</v>
      </c>
      <c r="C142" s="14" t="n">
        <v>45</v>
      </c>
      <c r="D142" s="14" t="n">
        <v>30</v>
      </c>
      <c r="E142" s="14" t="n">
        <v>6</v>
      </c>
      <c r="F142" s="14" t="n">
        <v>8</v>
      </c>
      <c r="G142" s="14" t="n">
        <v>5964</v>
      </c>
      <c r="H142" s="14" t="n">
        <v>5822</v>
      </c>
      <c r="I142" s="14" t="n">
        <v>3596</v>
      </c>
      <c r="J142" s="14" t="n">
        <v>501</v>
      </c>
      <c r="K142" s="14" t="n">
        <v>1725</v>
      </c>
    </row>
    <row r="143" ht="15" customHeight="1" s="100">
      <c r="A143" s="17" t="inlineStr">
        <is>
          <t>District chilled water</t>
        </is>
      </c>
      <c r="B143" s="14" t="n">
        <v>54</v>
      </c>
      <c r="C143" s="14" t="n">
        <v>51</v>
      </c>
      <c r="D143" s="14" t="n">
        <v>24</v>
      </c>
      <c r="E143" s="14" t="n">
        <v>19</v>
      </c>
      <c r="F143" s="14" t="n">
        <v>7</v>
      </c>
      <c r="G143" s="14" t="n">
        <v>4608</v>
      </c>
      <c r="H143" s="14" t="n">
        <v>4511</v>
      </c>
      <c r="I143" s="14" t="n">
        <v>2907</v>
      </c>
      <c r="J143" s="14" t="n">
        <v>450</v>
      </c>
      <c r="K143" s="14" t="n">
        <v>1154</v>
      </c>
    </row>
    <row r="144" ht="15" customHeight="1" s="100">
      <c r="A144" s="17" t="inlineStr">
        <is>
          <t>Propane</t>
        </is>
      </c>
      <c r="B144" s="14" t="n">
        <v>510</v>
      </c>
      <c r="C144" s="14" t="n">
        <v>466</v>
      </c>
      <c r="D144" s="14" t="n">
        <v>357</v>
      </c>
      <c r="E144" s="14" t="n">
        <v>72</v>
      </c>
      <c r="F144" s="14" t="n">
        <v>38</v>
      </c>
      <c r="G144" s="14" t="n">
        <v>7706</v>
      </c>
      <c r="H144" s="14" t="n">
        <v>7383</v>
      </c>
      <c r="I144" s="14" t="n">
        <v>4491</v>
      </c>
      <c r="J144" s="14" t="n">
        <v>1127</v>
      </c>
      <c r="K144" s="14" t="n">
        <v>1765</v>
      </c>
    </row>
    <row r="145" ht="15" customHeight="1" s="100" thickBot="1">
      <c r="A145" s="23" t="inlineStr">
        <is>
          <t>Other</t>
        </is>
      </c>
      <c r="B145" s="24" t="n">
        <v>172</v>
      </c>
      <c r="C145" s="24" t="n">
        <v>141</v>
      </c>
      <c r="D145" s="24" t="n">
        <v>104</v>
      </c>
      <c r="E145" s="24" t="n">
        <v>23</v>
      </c>
      <c r="F145" s="24" t="n">
        <v>14</v>
      </c>
      <c r="G145" s="24" t="n">
        <v>3826</v>
      </c>
      <c r="H145" s="24" t="n">
        <v>3679</v>
      </c>
      <c r="I145" s="24" t="n">
        <v>2260</v>
      </c>
      <c r="J145" s="24" t="n">
        <v>475</v>
      </c>
      <c r="K145" s="24" t="n">
        <v>944</v>
      </c>
    </row>
    <row r="146" ht="33.95" customHeight="1" s="100">
      <c r="A146" s="25" t="inlineStr">
        <is>
          <t>Water-heating energy sources
(more than one may apply)</t>
        </is>
      </c>
      <c r="B146" s="26" t="n"/>
      <c r="C146" s="26" t="n"/>
      <c r="D146" s="26" t="n"/>
      <c r="E146" s="26" t="n"/>
      <c r="F146" s="26" t="n"/>
      <c r="G146" s="26" t="n"/>
      <c r="H146" s="26" t="n"/>
      <c r="I146" s="26" t="n"/>
      <c r="J146" s="26" t="n"/>
      <c r="K146" s="27" t="n"/>
    </row>
    <row r="147" ht="15" customHeight="1" s="100">
      <c r="A147" s="28" t="inlineStr">
        <is>
          <t>Electricity</t>
        </is>
      </c>
      <c r="B147" s="29" t="n">
        <v>2658</v>
      </c>
      <c r="C147" s="29" t="n">
        <v>2658</v>
      </c>
      <c r="D147" s="29" t="n">
        <v>1901</v>
      </c>
      <c r="E147" s="29" t="n">
        <v>508</v>
      </c>
      <c r="F147" s="29" t="n">
        <v>250</v>
      </c>
      <c r="G147" s="29" t="n">
        <v>42755</v>
      </c>
      <c r="H147" s="29" t="n">
        <v>42755</v>
      </c>
      <c r="I147" s="29" t="n">
        <v>21435</v>
      </c>
      <c r="J147" s="29" t="n">
        <v>9362</v>
      </c>
      <c r="K147" s="30" t="n">
        <v>11957</v>
      </c>
    </row>
    <row r="148" ht="15" customHeight="1" s="100">
      <c r="A148" s="28" t="inlineStr">
        <is>
          <t>Natural gas</t>
        </is>
      </c>
      <c r="B148" s="29" t="n">
        <v>1758</v>
      </c>
      <c r="C148" s="29" t="n">
        <v>1758</v>
      </c>
      <c r="D148" s="29" t="n">
        <v>1367</v>
      </c>
      <c r="E148" s="29" t="n">
        <v>182</v>
      </c>
      <c r="F148" s="29" t="n">
        <v>209</v>
      </c>
      <c r="G148" s="29" t="n">
        <v>39523</v>
      </c>
      <c r="H148" s="29" t="n">
        <v>39523</v>
      </c>
      <c r="I148" s="29" t="n">
        <v>24806</v>
      </c>
      <c r="J148" s="29" t="n">
        <v>4088</v>
      </c>
      <c r="K148" s="30" t="n">
        <v>10629</v>
      </c>
    </row>
    <row r="149" ht="15" customHeight="1" s="100">
      <c r="A149" s="28" t="inlineStr">
        <is>
          <t>Fuel oil</t>
        </is>
      </c>
      <c r="B149" s="29" t="n">
        <v>77</v>
      </c>
      <c r="C149" s="29" t="n">
        <v>77</v>
      </c>
      <c r="D149" s="29" t="n">
        <v>63</v>
      </c>
      <c r="E149" s="29" t="inlineStr">
        <is>
          <t>Q</t>
        </is>
      </c>
      <c r="F149" s="29" t="n">
        <v>7</v>
      </c>
      <c r="G149" s="29" t="n">
        <v>1911</v>
      </c>
      <c r="H149" s="29" t="n">
        <v>1911</v>
      </c>
      <c r="I149" s="29" t="n">
        <v>1318</v>
      </c>
      <c r="J149" s="29" t="inlineStr">
        <is>
          <t>Q</t>
        </is>
      </c>
      <c r="K149" s="30" t="n">
        <v>467</v>
      </c>
    </row>
    <row r="150" ht="15" customHeight="1" s="100">
      <c r="A150" s="28" t="inlineStr">
        <is>
          <t>District heat</t>
        </is>
      </c>
      <c r="B150" s="29" t="n">
        <v>25</v>
      </c>
      <c r="C150" s="29" t="n">
        <v>25</v>
      </c>
      <c r="D150" s="29" t="n">
        <v>19</v>
      </c>
      <c r="E150" s="29" t="n">
        <v>3</v>
      </c>
      <c r="F150" s="29" t="n">
        <v>4</v>
      </c>
      <c r="G150" s="29" t="n">
        <v>4551</v>
      </c>
      <c r="H150" s="29" t="n">
        <v>4551</v>
      </c>
      <c r="I150" s="29" t="n">
        <v>3002</v>
      </c>
      <c r="J150" s="29" t="n">
        <v>325</v>
      </c>
      <c r="K150" s="30" t="n">
        <v>1224</v>
      </c>
    </row>
    <row r="151" ht="15" customHeight="1" s="100" thickBot="1">
      <c r="A151" s="31" t="inlineStr">
        <is>
          <t>Propane</t>
        </is>
      </c>
      <c r="B151" s="32" t="n">
        <v>142</v>
      </c>
      <c r="C151" s="32" t="n">
        <v>142</v>
      </c>
      <c r="D151" s="32" t="n">
        <v>106</v>
      </c>
      <c r="E151" s="32" t="inlineStr">
        <is>
          <t>Q</t>
        </is>
      </c>
      <c r="F151" s="32" t="n">
        <v>14</v>
      </c>
      <c r="G151" s="32" t="n">
        <v>1575</v>
      </c>
      <c r="H151" s="32" t="n">
        <v>1575</v>
      </c>
      <c r="I151" s="32" t="n">
        <v>1006</v>
      </c>
      <c r="J151" s="32" t="inlineStr">
        <is>
          <t>Q</t>
        </is>
      </c>
      <c r="K151" s="33" t="n">
        <v>348</v>
      </c>
    </row>
    <row r="152" ht="33.95" customHeight="1" s="100">
      <c r="A152" s="15" t="inlineStr">
        <is>
          <t>Energy end uses 
(more than one may apply)</t>
        </is>
      </c>
      <c r="B152" s="21" t="n"/>
      <c r="C152" s="21" t="n"/>
      <c r="D152" s="21" t="n"/>
      <c r="E152" s="21" t="n"/>
      <c r="F152" s="21" t="n"/>
      <c r="G152" s="21" t="n"/>
      <c r="H152" s="21" t="n"/>
      <c r="I152" s="21" t="n"/>
      <c r="J152" s="21" t="n"/>
      <c r="K152" s="21" t="n"/>
    </row>
    <row r="153" ht="15" customHeight="1" s="100">
      <c r="A153" s="17" t="inlineStr">
        <is>
          <t>Buildings with space heating</t>
        </is>
      </c>
      <c r="B153" s="14" t="n">
        <v>4722</v>
      </c>
      <c r="C153" s="14" t="n">
        <v>4237</v>
      </c>
      <c r="D153" s="14" t="n">
        <v>3229</v>
      </c>
      <c r="E153" s="14" t="n">
        <v>634</v>
      </c>
      <c r="F153" s="14" t="n">
        <v>374</v>
      </c>
      <c r="G153" s="14" t="n">
        <v>80078</v>
      </c>
      <c r="H153" s="14" t="n">
        <v>76584</v>
      </c>
      <c r="I153" s="14" t="n">
        <v>46147</v>
      </c>
      <c r="J153" s="14" t="n">
        <v>11914</v>
      </c>
      <c r="K153" s="14" t="n">
        <v>18523</v>
      </c>
    </row>
    <row r="154" ht="15" customHeight="1" s="100">
      <c r="A154" s="17" t="inlineStr">
        <is>
          <t>Buildings with cooling</t>
        </is>
      </c>
      <c r="B154" s="14" t="n">
        <v>4461</v>
      </c>
      <c r="C154" s="14" t="n">
        <v>4097</v>
      </c>
      <c r="D154" s="14" t="n">
        <v>3093</v>
      </c>
      <c r="E154" s="14" t="n">
        <v>631</v>
      </c>
      <c r="F154" s="14" t="n">
        <v>374</v>
      </c>
      <c r="G154" s="14" t="n">
        <v>79294</v>
      </c>
      <c r="H154" s="14" t="n">
        <v>76414</v>
      </c>
      <c r="I154" s="14" t="n">
        <v>45554</v>
      </c>
      <c r="J154" s="14" t="n">
        <v>12198</v>
      </c>
      <c r="K154" s="14" t="n">
        <v>18662</v>
      </c>
    </row>
    <row r="155" ht="15" customHeight="1" s="100">
      <c r="A155" s="17" t="inlineStr">
        <is>
          <t>Buildings with water heating</t>
        </is>
      </c>
      <c r="B155" s="14" t="n">
        <v>4423</v>
      </c>
      <c r="C155" s="14" t="n">
        <v>4423</v>
      </c>
      <c r="D155" s="14" t="n">
        <v>3348</v>
      </c>
      <c r="E155" s="14" t="n">
        <v>690</v>
      </c>
      <c r="F155" s="14" t="n">
        <v>385</v>
      </c>
      <c r="G155" s="14" t="n">
        <v>79015</v>
      </c>
      <c r="H155" s="14" t="n">
        <v>79015</v>
      </c>
      <c r="I155" s="14" t="n">
        <v>47534</v>
      </c>
      <c r="J155" s="14" t="n">
        <v>12688</v>
      </c>
      <c r="K155" s="14" t="n">
        <v>18793</v>
      </c>
    </row>
    <row r="156" ht="15" customHeight="1" s="100">
      <c r="A156" s="17" t="inlineStr">
        <is>
          <t>Buildings with cooking</t>
        </is>
      </c>
      <c r="B156" s="14" t="n">
        <v>1589</v>
      </c>
      <c r="C156" s="14" t="n">
        <v>1573</v>
      </c>
      <c r="D156" s="14" t="n">
        <v>1190</v>
      </c>
      <c r="E156" s="14" t="n">
        <v>176</v>
      </c>
      <c r="F156" s="14" t="n">
        <v>208</v>
      </c>
      <c r="G156" s="14" t="n">
        <v>38546</v>
      </c>
      <c r="H156" s="14" t="n">
        <v>38389</v>
      </c>
      <c r="I156" s="14" t="n">
        <v>21608</v>
      </c>
      <c r="J156" s="14" t="n">
        <v>4102</v>
      </c>
      <c r="K156" s="14" t="n">
        <v>12679</v>
      </c>
    </row>
    <row r="157" ht="15" customHeight="1" s="100">
      <c r="A157" s="17" t="inlineStr">
        <is>
          <t>Buildings with manufacturing</t>
        </is>
      </c>
      <c r="B157" s="14" t="n">
        <v>259</v>
      </c>
      <c r="C157" s="14" t="n">
        <v>228</v>
      </c>
      <c r="D157" s="14" t="n">
        <v>150</v>
      </c>
      <c r="E157" s="14" t="n">
        <v>55</v>
      </c>
      <c r="F157" s="14" t="n">
        <v>22</v>
      </c>
      <c r="G157" s="14" t="n">
        <v>5078</v>
      </c>
      <c r="H157" s="14" t="n">
        <v>4570</v>
      </c>
      <c r="I157" s="14" t="n">
        <v>2431</v>
      </c>
      <c r="J157" s="14" t="n">
        <v>1148</v>
      </c>
      <c r="K157" s="14" t="n">
        <v>990</v>
      </c>
    </row>
    <row r="158" ht="27.95" customHeight="1" s="100">
      <c r="A158" s="17" t="inlineStr">
        <is>
          <t>Buildings with electricity
generation</t>
        </is>
      </c>
      <c r="B158" s="14" t="n">
        <v>410</v>
      </c>
      <c r="C158" s="14" t="n">
        <v>395</v>
      </c>
      <c r="D158" s="14" t="n">
        <v>292</v>
      </c>
      <c r="E158" s="14" t="n">
        <v>34</v>
      </c>
      <c r="F158" s="14" t="n">
        <v>69</v>
      </c>
      <c r="G158" s="14" t="n">
        <v>25642</v>
      </c>
      <c r="H158" s="14" t="n">
        <v>25280</v>
      </c>
      <c r="I158" s="14" t="n">
        <v>14045</v>
      </c>
      <c r="J158" s="14" t="n">
        <v>2858</v>
      </c>
      <c r="K158" s="14" t="n">
        <v>8378</v>
      </c>
    </row>
    <row r="159" ht="44.2" customHeight="1" s="100">
      <c r="A159" s="15" t="inlineStr">
        <is>
          <t>Food preparation or serving areas 
in non-food service buildings
(more than one may apply)</t>
        </is>
      </c>
      <c r="B159" s="21" t="n"/>
      <c r="C159" s="21" t="n"/>
      <c r="D159" s="21" t="n"/>
      <c r="E159" s="21" t="n"/>
      <c r="F159" s="21" t="n"/>
      <c r="G159" s="21" t="n"/>
      <c r="H159" s="21" t="n"/>
      <c r="I159" s="21" t="n"/>
      <c r="J159" s="21" t="n"/>
      <c r="K159" s="21" t="n"/>
    </row>
    <row r="160" ht="15" customHeight="1" s="100">
      <c r="A160" s="17" t="inlineStr">
        <is>
          <t>Snack bar or concession stand</t>
        </is>
      </c>
      <c r="B160" s="14" t="n">
        <v>153</v>
      </c>
      <c r="C160" s="14" t="n">
        <v>150</v>
      </c>
      <c r="D160" s="14" t="n">
        <v>95</v>
      </c>
      <c r="E160" s="14" t="n">
        <v>17</v>
      </c>
      <c r="F160" s="14" t="n">
        <v>38</v>
      </c>
      <c r="G160" s="14" t="n">
        <v>9884</v>
      </c>
      <c r="H160" s="14" t="n">
        <v>9864</v>
      </c>
      <c r="I160" s="14" t="n">
        <v>4357</v>
      </c>
      <c r="J160" s="14" t="n">
        <v>899</v>
      </c>
      <c r="K160" s="14" t="n">
        <v>4608</v>
      </c>
    </row>
    <row r="161" ht="15" customHeight="1" s="100">
      <c r="A161" s="17" t="inlineStr">
        <is>
          <t>Fast food or small restaurant</t>
        </is>
      </c>
      <c r="B161" s="14" t="n">
        <v>173</v>
      </c>
      <c r="C161" s="14" t="n">
        <v>173</v>
      </c>
      <c r="D161" s="14" t="n">
        <v>97</v>
      </c>
      <c r="E161" s="14" t="n">
        <v>13</v>
      </c>
      <c r="F161" s="14" t="n">
        <v>63</v>
      </c>
      <c r="G161" s="14" t="n">
        <v>9787</v>
      </c>
      <c r="H161" s="14" t="n">
        <v>9778</v>
      </c>
      <c r="I161" s="14" t="n">
        <v>3500</v>
      </c>
      <c r="J161" s="14" t="n">
        <v>1131</v>
      </c>
      <c r="K161" s="14" t="n">
        <v>5147</v>
      </c>
    </row>
    <row r="162" ht="15" customHeight="1" s="100">
      <c r="A162" s="17" t="inlineStr">
        <is>
          <t>Cafeteria or large restaurant</t>
        </is>
      </c>
      <c r="B162" s="14" t="n">
        <v>130</v>
      </c>
      <c r="C162" s="14" t="n">
        <v>130</v>
      </c>
      <c r="D162" s="14" t="n">
        <v>81</v>
      </c>
      <c r="E162" s="14" t="n">
        <v>12</v>
      </c>
      <c r="F162" s="14" t="n">
        <v>38</v>
      </c>
      <c r="G162" s="14" t="n">
        <v>15222</v>
      </c>
      <c r="H162" s="14" t="n">
        <v>15219</v>
      </c>
      <c r="I162" s="14" t="n">
        <v>8204</v>
      </c>
      <c r="J162" s="14" t="n">
        <v>1429</v>
      </c>
      <c r="K162" s="14" t="n">
        <v>5587</v>
      </c>
    </row>
    <row r="163" ht="27.95" customHeight="1" s="100">
      <c r="A163" s="17" t="inlineStr">
        <is>
          <t>Commercial kitchen/
food preparation area</t>
        </is>
      </c>
      <c r="B163" s="14" t="n">
        <v>282</v>
      </c>
      <c r="C163" s="14" t="n">
        <v>282</v>
      </c>
      <c r="D163" s="14" t="n">
        <v>181</v>
      </c>
      <c r="E163" s="14" t="n">
        <v>41</v>
      </c>
      <c r="F163" s="14" t="n">
        <v>60</v>
      </c>
      <c r="G163" s="14" t="n">
        <v>16150</v>
      </c>
      <c r="H163" s="14" t="n">
        <v>16150</v>
      </c>
      <c r="I163" s="14" t="n">
        <v>8757</v>
      </c>
      <c r="J163" s="14" t="n">
        <v>1491</v>
      </c>
      <c r="K163" s="14" t="n">
        <v>5901</v>
      </c>
    </row>
    <row r="164" ht="15" customHeight="1" s="100">
      <c r="A164" s="17" t="inlineStr">
        <is>
          <t>Small kitchen area</t>
        </is>
      </c>
      <c r="B164" s="14" t="n">
        <v>736</v>
      </c>
      <c r="C164" s="14" t="n">
        <v>723</v>
      </c>
      <c r="D164" s="14" t="n">
        <v>577</v>
      </c>
      <c r="E164" s="14" t="n">
        <v>82</v>
      </c>
      <c r="F164" s="14" t="n">
        <v>64</v>
      </c>
      <c r="G164" s="14" t="n">
        <v>14054</v>
      </c>
      <c r="H164" s="14" t="n">
        <v>13926</v>
      </c>
      <c r="I164" s="14" t="n">
        <v>8428</v>
      </c>
      <c r="J164" s="14" t="n">
        <v>1284</v>
      </c>
      <c r="K164" s="14" t="n">
        <v>4213</v>
      </c>
    </row>
    <row r="165" ht="15" customHeight="1" s="100" thickBot="1">
      <c r="A165" s="18" t="n"/>
    </row>
    <row r="166" ht="153" customHeight="1" s="100">
      <c r="A166" s="110" t="inlineStr">
        <is>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 = Value rounds to zero in the units displayed.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is>
      </c>
      <c r="B166" s="111" t="n"/>
      <c r="C166" s="111" t="n"/>
      <c r="D166" s="111" t="n"/>
      <c r="E166" s="111" t="n"/>
      <c r="F166" s="111" t="n"/>
      <c r="G166" s="111" t="n"/>
      <c r="H166" s="111" t="n"/>
      <c r="I166" s="111" t="n"/>
      <c r="J166" s="111" t="n"/>
      <c r="K166" s="111" t="n"/>
    </row>
  </sheetData>
  <mergeCells count="10">
    <mergeCell ref="G3:K3"/>
    <mergeCell ref="B4:B5"/>
    <mergeCell ref="C4:C5"/>
    <mergeCell ref="G4:G5"/>
    <mergeCell ref="A166:K166"/>
    <mergeCell ref="D4:F4"/>
    <mergeCell ref="B3:F3"/>
    <mergeCell ref="H4:H5"/>
    <mergeCell ref="A2:K2"/>
    <mergeCell ref="I4:K4"/>
  </mergeCells>
  <pageMargins left="0.7" right="0.7" top="0.6" bottom="0.6" header="0.3" footer="0.3"/>
  <pageSetup orientation="portrait" scale="85" fitToHeight="0"/>
  <rowBreaks count="3" manualBreakCount="3">
    <brk id="45" min="0" max="16383" man="1"/>
    <brk id="79" min="0" max="16383" man="1"/>
    <brk id="106" min="0" max="16383" man="1"/>
  </rowBreaks>
</worksheet>
</file>

<file path=xl/worksheets/sheet15.xml><?xml version="1.0" encoding="utf-8"?>
<worksheet xmlns="http://schemas.openxmlformats.org/spreadsheetml/2006/main">
  <sheetPr>
    <outlinePr summaryBelow="1" summaryRight="1"/>
    <pageSetUpPr/>
  </sheetPr>
  <dimension ref="A1:AE92"/>
  <sheetViews>
    <sheetView workbookViewId="0">
      <selection activeCell="A1" sqref="A1"/>
    </sheetView>
  </sheetViews>
  <sheetFormatPr baseColWidth="8" defaultRowHeight="14.25"/>
  <sheetData>
    <row r="1">
      <c r="A1" t="inlineStr">
        <is>
          <t>Table 21.  Residential Sector Equipment Stock and Efficiency, and Distributed Generation</t>
        </is>
      </c>
    </row>
    <row r="2">
      <c r="A2" t="inlineStr">
        <is>
          <t>https://www.eia.gov/outlooks/aeo/data/browser/#/?id=30-AEO2026&amp;cases=electrnp&amp;sourcekey=0</t>
        </is>
      </c>
    </row>
    <row r="3">
      <c r="A3" t="inlineStr">
        <is>
          <t>Thu Apr 23 2026 15:00:43 GMT-0700 (Pacific Daylight Time)</t>
        </is>
      </c>
    </row>
    <row r="4">
      <c r="A4" t="inlineStr">
        <is>
          <t>Source: U.S. Energy Information Administration</t>
        </is>
      </c>
    </row>
    <row r="5">
      <c r="B5" t="inlineStr">
        <is>
          <t>full name</t>
        </is>
      </c>
      <c r="C5" t="inlineStr">
        <is>
          <t>api key</t>
        </is>
      </c>
      <c r="D5" t="inlineStr">
        <is>
          <t>units</t>
        </is>
      </c>
      <c r="E5" t="n">
        <v>2025</v>
      </c>
      <c r="F5" t="n">
        <v>2026</v>
      </c>
      <c r="G5" t="n">
        <v>2027</v>
      </c>
      <c r="H5" t="n">
        <v>2028</v>
      </c>
      <c r="I5" t="n">
        <v>2029</v>
      </c>
      <c r="J5" t="n">
        <v>2030</v>
      </c>
      <c r="K5" t="n">
        <v>2031</v>
      </c>
      <c r="L5" t="n">
        <v>2032</v>
      </c>
      <c r="M5" t="n">
        <v>2033</v>
      </c>
      <c r="N5" t="n">
        <v>2034</v>
      </c>
      <c r="O5" t="n">
        <v>2035</v>
      </c>
      <c r="P5" t="n">
        <v>2036</v>
      </c>
      <c r="Q5" t="n">
        <v>2037</v>
      </c>
      <c r="R5" t="n">
        <v>2038</v>
      </c>
      <c r="S5" t="n">
        <v>2039</v>
      </c>
      <c r="T5" t="n">
        <v>2040</v>
      </c>
      <c r="U5" t="n">
        <v>2041</v>
      </c>
      <c r="V5" t="n">
        <v>2042</v>
      </c>
      <c r="W5" t="n">
        <v>2043</v>
      </c>
      <c r="X5" t="n">
        <v>2044</v>
      </c>
      <c r="Y5" t="n">
        <v>2045</v>
      </c>
      <c r="Z5" t="n">
        <v>2046</v>
      </c>
      <c r="AA5" t="n">
        <v>2047</v>
      </c>
      <c r="AB5" t="n">
        <v>2048</v>
      </c>
      <c r="AC5" t="n">
        <v>2049</v>
      </c>
      <c r="AD5" t="n">
        <v>2050</v>
      </c>
      <c r="AE5" t="inlineStr">
        <is>
          <t>Growth (2025-2050)</t>
        </is>
      </c>
    </row>
    <row r="6">
      <c r="A6" t="inlineStr">
        <is>
          <t>Equipment Stock (million units)</t>
        </is>
      </c>
    </row>
    <row r="7">
      <c r="A7" t="inlineStr">
        <is>
          <t>Main Space Heaters</t>
        </is>
      </c>
    </row>
    <row r="8">
      <c r="A8" t="inlineStr">
        <is>
          <t>Electric Heat Pumps</t>
        </is>
      </c>
      <c r="B8" t="inlineStr">
        <is>
          <t>Residential Equipment: Equipment Stock: Main Space Heaters: Electric Heat Pumps: Alternative Electricity and Transportation</t>
        </is>
      </c>
      <c r="C8" t="inlineStr">
        <is>
          <t>AEO.2026.ELECTRNP.EQNR_STK_RESD_MSHR_EHP_NA_NA_MILL.A</t>
        </is>
      </c>
      <c r="D8" t="inlineStr">
        <is>
          <t>millions</t>
        </is>
      </c>
      <c r="E8" t="n">
        <v>17.311983</v>
      </c>
      <c r="F8" t="n">
        <v>17.749022</v>
      </c>
      <c r="G8" t="n">
        <v>18.189438</v>
      </c>
      <c r="H8" t="n">
        <v>18.620296</v>
      </c>
      <c r="I8" t="n">
        <v>19.048622</v>
      </c>
      <c r="J8" t="n">
        <v>19.472925</v>
      </c>
      <c r="K8" t="n">
        <v>19.896326</v>
      </c>
      <c r="L8" t="n">
        <v>20.319126</v>
      </c>
      <c r="M8" t="n">
        <v>20.735678</v>
      </c>
      <c r="N8" t="n">
        <v>21.139624</v>
      </c>
      <c r="O8" t="n">
        <v>21.534763</v>
      </c>
      <c r="P8" t="n">
        <v>21.918703</v>
      </c>
      <c r="Q8" t="n">
        <v>22.287914</v>
      </c>
      <c r="R8" t="n">
        <v>22.643486</v>
      </c>
      <c r="S8" t="n">
        <v>22.982574</v>
      </c>
      <c r="T8" t="n">
        <v>23.308935</v>
      </c>
      <c r="U8" t="n">
        <v>23.62145</v>
      </c>
      <c r="V8" t="n">
        <v>23.92503</v>
      </c>
      <c r="W8" t="n">
        <v>24.216194</v>
      </c>
      <c r="X8" t="n">
        <v>24.49782</v>
      </c>
      <c r="Y8" t="n">
        <v>24.778502</v>
      </c>
      <c r="Z8" t="n">
        <v>25.059135</v>
      </c>
      <c r="AA8" t="n">
        <v>25.339226</v>
      </c>
      <c r="AB8" t="n">
        <v>25.618916</v>
      </c>
      <c r="AC8" t="n">
        <v>25.898472</v>
      </c>
      <c r="AD8" t="n">
        <v>26.179152</v>
      </c>
      <c r="AE8" t="inlineStr">
        <is>
          <t>1.7%</t>
        </is>
      </c>
    </row>
    <row r="9">
      <c r="A9" t="inlineStr">
        <is>
          <t>Electric Other</t>
        </is>
      </c>
      <c r="B9" t="inlineStr">
        <is>
          <t>Residential Equipment: Equipment Stock: Main Space Heaters: Electric Other: Alternative Electricity and Transportation</t>
        </is>
      </c>
      <c r="C9" t="inlineStr">
        <is>
          <t>AEO.2026.ELECTRNP.EQNR_STK_RESD_MSHR_ELO_NA_NA_MILL.A</t>
        </is>
      </c>
      <c r="D9" t="inlineStr">
        <is>
          <t>millions</t>
        </is>
      </c>
      <c r="E9" t="n">
        <v>27.181431</v>
      </c>
      <c r="F9" t="n">
        <v>27.515512</v>
      </c>
      <c r="G9" t="n">
        <v>27.865957</v>
      </c>
      <c r="H9" t="n">
        <v>28.217012</v>
      </c>
      <c r="I9" t="n">
        <v>28.567572</v>
      </c>
      <c r="J9" t="n">
        <v>28.915745</v>
      </c>
      <c r="K9" t="n">
        <v>29.279917</v>
      </c>
      <c r="L9" t="n">
        <v>29.647375</v>
      </c>
      <c r="M9" t="n">
        <v>30.01017</v>
      </c>
      <c r="N9" t="n">
        <v>30.363132</v>
      </c>
      <c r="O9" t="n">
        <v>30.709728</v>
      </c>
      <c r="P9" t="n">
        <v>31.049109</v>
      </c>
      <c r="Q9" t="n">
        <v>31.363337</v>
      </c>
      <c r="R9" t="n">
        <v>31.661715</v>
      </c>
      <c r="S9" t="n">
        <v>31.943415</v>
      </c>
      <c r="T9" t="n">
        <v>32.213226</v>
      </c>
      <c r="U9" t="n">
        <v>32.469131</v>
      </c>
      <c r="V9" t="n">
        <v>32.713242</v>
      </c>
      <c r="W9" t="n">
        <v>32.952084</v>
      </c>
      <c r="X9" t="n">
        <v>33.19083</v>
      </c>
      <c r="Y9" t="n">
        <v>33.431499</v>
      </c>
      <c r="Z9" t="n">
        <v>33.672844</v>
      </c>
      <c r="AA9" t="n">
        <v>33.914619</v>
      </c>
      <c r="AB9" t="n">
        <v>34.156719</v>
      </c>
      <c r="AC9" t="n">
        <v>34.399776</v>
      </c>
      <c r="AD9" t="n">
        <v>34.644348</v>
      </c>
      <c r="AE9" t="inlineStr">
        <is>
          <t>1.0%</t>
        </is>
      </c>
    </row>
    <row r="10">
      <c r="A10" t="inlineStr">
        <is>
          <t>Natural Gas Heat Pumps</t>
        </is>
      </c>
      <c r="B10" t="inlineStr">
        <is>
          <t>Residential Equipment: Equipment Stock: Main Space Heaters: Natural Gas Heat Pumps: Alternative Electricity and Transportation</t>
        </is>
      </c>
      <c r="C10" t="inlineStr">
        <is>
          <t>AEO.2026.ELECTRNP.EQNR_STK_RESD_MSHR_NHU_NA_NA_MILL.A</t>
        </is>
      </c>
      <c r="D10" t="inlineStr">
        <is>
          <t>millions</t>
        </is>
      </c>
      <c r="E10" t="n">
        <v>1.353481</v>
      </c>
      <c r="F10" t="n">
        <v>1.362886</v>
      </c>
      <c r="G10" t="n">
        <v>1.372539</v>
      </c>
      <c r="H10" t="n">
        <v>1.381982</v>
      </c>
      <c r="I10" t="n">
        <v>1.391457</v>
      </c>
      <c r="J10" t="n">
        <v>1.401143</v>
      </c>
      <c r="K10" t="n">
        <v>1.411546</v>
      </c>
      <c r="L10" t="n">
        <v>1.422006</v>
      </c>
      <c r="M10" t="n">
        <v>1.432234</v>
      </c>
      <c r="N10" t="n">
        <v>1.442105</v>
      </c>
      <c r="O10" t="n">
        <v>1.451719</v>
      </c>
      <c r="P10" t="n">
        <v>1.461083</v>
      </c>
      <c r="Q10" t="n">
        <v>1.469427</v>
      </c>
      <c r="R10" t="n">
        <v>1.477178</v>
      </c>
      <c r="S10" t="n">
        <v>1.484383</v>
      </c>
      <c r="T10" t="n">
        <v>1.491171</v>
      </c>
      <c r="U10" t="n">
        <v>1.497475</v>
      </c>
      <c r="V10" t="n">
        <v>1.50339</v>
      </c>
      <c r="W10" t="n">
        <v>1.509154</v>
      </c>
      <c r="X10" t="n">
        <v>1.51497</v>
      </c>
      <c r="Y10" t="n">
        <v>1.520823</v>
      </c>
      <c r="Z10" t="n">
        <v>1.526682</v>
      </c>
      <c r="AA10" t="n">
        <v>1.532497</v>
      </c>
      <c r="AB10" t="n">
        <v>1.538285</v>
      </c>
      <c r="AC10" t="n">
        <v>1.544062</v>
      </c>
      <c r="AD10" t="n">
        <v>1.549853</v>
      </c>
      <c r="AE10" t="inlineStr">
        <is>
          <t>0.5%</t>
        </is>
      </c>
    </row>
    <row r="11">
      <c r="A11" t="inlineStr">
        <is>
          <t>Natural Gas Other</t>
        </is>
      </c>
      <c r="B11" t="inlineStr">
        <is>
          <t>Residential Equipment: Equipment Stock: Main Space Heaters: Natural Gas Other: Alternative Electricity and Transportation</t>
        </is>
      </c>
      <c r="C11" t="inlineStr">
        <is>
          <t>AEO.2026.ELECTRNP.EQNR_STK_RESD_MSHR_NGO_NA_NA_MILL.A</t>
        </is>
      </c>
      <c r="D11" t="inlineStr">
        <is>
          <t>millions</t>
        </is>
      </c>
      <c r="E11" t="n">
        <v>65.676498</v>
      </c>
      <c r="F11" t="n">
        <v>66.27507799999999</v>
      </c>
      <c r="G11" t="n">
        <v>66.880844</v>
      </c>
      <c r="H11" t="n">
        <v>67.47545599999999</v>
      </c>
      <c r="I11" t="n">
        <v>68.067947</v>
      </c>
      <c r="J11" t="n">
        <v>68.658012</v>
      </c>
      <c r="K11" t="n">
        <v>69.24447600000001</v>
      </c>
      <c r="L11" t="n">
        <v>69.829483</v>
      </c>
      <c r="M11" t="n">
        <v>70.404747</v>
      </c>
      <c r="N11" t="n">
        <v>70.963165</v>
      </c>
      <c r="O11" t="n">
        <v>71.50958300000001</v>
      </c>
      <c r="P11" t="n">
        <v>72.040466</v>
      </c>
      <c r="Q11" t="n">
        <v>72.550301</v>
      </c>
      <c r="R11" t="n">
        <v>73.04048899999999</v>
      </c>
      <c r="S11" t="n">
        <v>73.50748400000001</v>
      </c>
      <c r="T11" t="n">
        <v>73.95564299999999</v>
      </c>
      <c r="U11" t="n">
        <v>74.38256800000001</v>
      </c>
      <c r="V11" t="n">
        <v>74.796257</v>
      </c>
      <c r="W11" t="n">
        <v>75.19498400000001</v>
      </c>
      <c r="X11" t="n">
        <v>75.58287799999999</v>
      </c>
      <c r="Y11" t="n">
        <v>75.97184</v>
      </c>
      <c r="Z11" t="n">
        <v>76.362976</v>
      </c>
      <c r="AA11" t="n">
        <v>76.752701</v>
      </c>
      <c r="AB11" t="n">
        <v>77.141457</v>
      </c>
      <c r="AC11" t="n">
        <v>77.52977</v>
      </c>
      <c r="AD11" t="n">
        <v>77.919685</v>
      </c>
      <c r="AE11" t="inlineStr">
        <is>
          <t>0.7%</t>
        </is>
      </c>
    </row>
    <row r="12">
      <c r="A12" t="inlineStr">
        <is>
          <t>Distillate Fuel Oil</t>
        </is>
      </c>
      <c r="B12" t="inlineStr">
        <is>
          <t>Residential Equipment: Equipment Stock: Main Space Heaters: Distillate Fuel Oil: Alternative Electricity and Transportation</t>
        </is>
      </c>
      <c r="C12" t="inlineStr">
        <is>
          <t>AEO.2026.ELECTRNP.EQNR_STK_RESD_MSHR_DFO_NA_NA_MILL.A</t>
        </is>
      </c>
      <c r="D12" t="inlineStr">
        <is>
          <t>millions</t>
        </is>
      </c>
      <c r="E12" t="n">
        <v>4.673755</v>
      </c>
      <c r="F12" t="n">
        <v>4.64228</v>
      </c>
      <c r="G12" t="n">
        <v>4.610223</v>
      </c>
      <c r="H12" t="n">
        <v>4.578134</v>
      </c>
      <c r="I12" t="n">
        <v>4.546576</v>
      </c>
      <c r="J12" t="n">
        <v>4.515469</v>
      </c>
      <c r="K12" t="n">
        <v>4.483974</v>
      </c>
      <c r="L12" t="n">
        <v>4.453804</v>
      </c>
      <c r="M12" t="n">
        <v>4.424804</v>
      </c>
      <c r="N12" t="n">
        <v>4.397667</v>
      </c>
      <c r="O12" t="n">
        <v>4.372064</v>
      </c>
      <c r="P12" t="n">
        <v>4.347501</v>
      </c>
      <c r="Q12" t="n">
        <v>4.324221</v>
      </c>
      <c r="R12" t="n">
        <v>4.301682</v>
      </c>
      <c r="S12" t="n">
        <v>4.279857</v>
      </c>
      <c r="T12" t="n">
        <v>4.258628</v>
      </c>
      <c r="U12" t="n">
        <v>4.237717</v>
      </c>
      <c r="V12" t="n">
        <v>4.217582</v>
      </c>
      <c r="W12" t="n">
        <v>4.198093</v>
      </c>
      <c r="X12" t="n">
        <v>4.179298</v>
      </c>
      <c r="Y12" t="n">
        <v>4.161189</v>
      </c>
      <c r="Z12" t="n">
        <v>4.143591</v>
      </c>
      <c r="AA12" t="n">
        <v>4.125104</v>
      </c>
      <c r="AB12" t="n">
        <v>4.105833</v>
      </c>
      <c r="AC12" t="n">
        <v>4.085906</v>
      </c>
      <c r="AD12" t="n">
        <v>4.065665</v>
      </c>
      <c r="AE12" t="inlineStr">
        <is>
          <t>-0.6%</t>
        </is>
      </c>
    </row>
    <row r="13">
      <c r="A13" t="inlineStr">
        <is>
          <t>Propane</t>
        </is>
      </c>
      <c r="B13" t="inlineStr">
        <is>
          <t>Residential Equipment: Equipment Stock: Main Space Heaters: Propane: Alternative Electricity and Transportation</t>
        </is>
      </c>
      <c r="C13" t="inlineStr">
        <is>
          <t>AEO.2026.ELECTRNP.EQNR_STK_RESD_MSHR_PROP_NA_NA_MILL.A</t>
        </is>
      </c>
      <c r="D13" t="inlineStr">
        <is>
          <t>millions</t>
        </is>
      </c>
      <c r="E13" t="n">
        <v>5.239571</v>
      </c>
      <c r="F13" t="n">
        <v>5.254901</v>
      </c>
      <c r="G13" t="n">
        <v>5.275189</v>
      </c>
      <c r="H13" t="n">
        <v>5.292929</v>
      </c>
      <c r="I13" t="n">
        <v>5.315268</v>
      </c>
      <c r="J13" t="n">
        <v>5.332719</v>
      </c>
      <c r="K13" t="n">
        <v>5.345144</v>
      </c>
      <c r="L13" t="n">
        <v>5.356366</v>
      </c>
      <c r="M13" t="n">
        <v>5.366018</v>
      </c>
      <c r="N13" t="n">
        <v>5.374754</v>
      </c>
      <c r="O13" t="n">
        <v>5.382975</v>
      </c>
      <c r="P13" t="n">
        <v>5.390388</v>
      </c>
      <c r="Q13" t="n">
        <v>5.397145</v>
      </c>
      <c r="R13" t="n">
        <v>5.402469</v>
      </c>
      <c r="S13" t="n">
        <v>5.406065</v>
      </c>
      <c r="T13" t="n">
        <v>5.409037</v>
      </c>
      <c r="U13" t="n">
        <v>5.411285</v>
      </c>
      <c r="V13" t="n">
        <v>5.41324</v>
      </c>
      <c r="W13" t="n">
        <v>5.41502</v>
      </c>
      <c r="X13" t="n">
        <v>5.416883</v>
      </c>
      <c r="Y13" t="n">
        <v>5.419633</v>
      </c>
      <c r="Z13" t="n">
        <v>5.423519</v>
      </c>
      <c r="AA13" t="n">
        <v>5.425779</v>
      </c>
      <c r="AB13" t="n">
        <v>5.426469</v>
      </c>
      <c r="AC13" t="n">
        <v>5.425906</v>
      </c>
      <c r="AD13" t="n">
        <v>5.424696</v>
      </c>
      <c r="AE13" t="inlineStr">
        <is>
          <t>0.1%</t>
        </is>
      </c>
    </row>
    <row r="14">
      <c r="A14" t="inlineStr">
        <is>
          <t>Wood Stoves</t>
        </is>
      </c>
      <c r="B14" t="inlineStr">
        <is>
          <t>Residential Equipment: Equipment Stock: Main Space Heaters: Wood Stoves: Alternative Electricity and Transportation</t>
        </is>
      </c>
      <c r="C14" t="inlineStr">
        <is>
          <t>AEO.2026.ELECTRNP.EQNR_STK_RESD_MSHR_WDS_NA_NA_MILL.A</t>
        </is>
      </c>
      <c r="D14" t="inlineStr">
        <is>
          <t>millions</t>
        </is>
      </c>
      <c r="E14" t="n">
        <v>2.209099</v>
      </c>
      <c r="F14" t="n">
        <v>2.206372</v>
      </c>
      <c r="G14" t="n">
        <v>2.204716</v>
      </c>
      <c r="H14" t="n">
        <v>2.202679</v>
      </c>
      <c r="I14" t="n">
        <v>2.200257</v>
      </c>
      <c r="J14" t="n">
        <v>2.196498</v>
      </c>
      <c r="K14" t="n">
        <v>2.192493</v>
      </c>
      <c r="L14" t="n">
        <v>2.188411</v>
      </c>
      <c r="M14" t="n">
        <v>2.183818</v>
      </c>
      <c r="N14" t="n">
        <v>2.179103</v>
      </c>
      <c r="O14" t="n">
        <v>2.174059</v>
      </c>
      <c r="P14" t="n">
        <v>2.168741</v>
      </c>
      <c r="Q14" t="n">
        <v>2.162688</v>
      </c>
      <c r="R14" t="n">
        <v>2.15609</v>
      </c>
      <c r="S14" t="n">
        <v>2.148804</v>
      </c>
      <c r="T14" t="n">
        <v>2.141142</v>
      </c>
      <c r="U14" t="n">
        <v>2.133082</v>
      </c>
      <c r="V14" t="n">
        <v>2.125569</v>
      </c>
      <c r="W14" t="n">
        <v>2.118644</v>
      </c>
      <c r="X14" t="n">
        <v>2.112358</v>
      </c>
      <c r="Y14" t="n">
        <v>2.106657</v>
      </c>
      <c r="Z14" t="n">
        <v>2.101425</v>
      </c>
      <c r="AA14" t="n">
        <v>2.096687</v>
      </c>
      <c r="AB14" t="n">
        <v>2.092404</v>
      </c>
      <c r="AC14" t="n">
        <v>2.088661</v>
      </c>
      <c r="AD14" t="n">
        <v>2.085513</v>
      </c>
      <c r="AE14" t="inlineStr">
        <is>
          <t>-0.2%</t>
        </is>
      </c>
    </row>
    <row r="15">
      <c r="A15" t="inlineStr">
        <is>
          <t>Geothermal Heat Pumps</t>
        </is>
      </c>
      <c r="B15" t="inlineStr">
        <is>
          <t>Residential Equipment: Equipment Stock: Main Space Heaters: Geothermal Heat Pumps: Alternative Electricity and Transportation</t>
        </is>
      </c>
      <c r="C15" t="inlineStr">
        <is>
          <t>AEO.2026.ELECTRNP.EQNR_STK_RESD_MSHR_GEHP_NA_NA_MILL.A</t>
        </is>
      </c>
      <c r="D15" t="inlineStr">
        <is>
          <t>millions</t>
        </is>
      </c>
      <c r="E15" t="n">
        <v>1.313477</v>
      </c>
      <c r="F15" t="n">
        <v>1.323818</v>
      </c>
      <c r="G15" t="n">
        <v>1.335508</v>
      </c>
      <c r="H15" t="n">
        <v>1.347146</v>
      </c>
      <c r="I15" t="n">
        <v>1.358514</v>
      </c>
      <c r="J15" t="n">
        <v>1.368395</v>
      </c>
      <c r="K15" t="n">
        <v>1.378022</v>
      </c>
      <c r="L15" t="n">
        <v>1.387662</v>
      </c>
      <c r="M15" t="n">
        <v>1.397142</v>
      </c>
      <c r="N15" t="n">
        <v>1.406364</v>
      </c>
      <c r="O15" t="n">
        <v>1.415457</v>
      </c>
      <c r="P15" t="n">
        <v>1.424366</v>
      </c>
      <c r="Q15" t="n">
        <v>1.432796</v>
      </c>
      <c r="R15" t="n">
        <v>1.440846</v>
      </c>
      <c r="S15" t="n">
        <v>1.448364</v>
      </c>
      <c r="T15" t="n">
        <v>1.455673</v>
      </c>
      <c r="U15" t="n">
        <v>1.462747</v>
      </c>
      <c r="V15" t="n">
        <v>1.469619</v>
      </c>
      <c r="W15" t="n">
        <v>1.476322</v>
      </c>
      <c r="X15" t="n">
        <v>1.48297</v>
      </c>
      <c r="Y15" t="n">
        <v>1.489655</v>
      </c>
      <c r="Z15" t="n">
        <v>1.496316</v>
      </c>
      <c r="AA15" t="n">
        <v>1.502908</v>
      </c>
      <c r="AB15" t="n">
        <v>1.509388</v>
      </c>
      <c r="AC15" t="n">
        <v>1.515807</v>
      </c>
      <c r="AD15" t="n">
        <v>1.522205</v>
      </c>
      <c r="AE15" t="inlineStr">
        <is>
          <t>0.6%</t>
        </is>
      </c>
    </row>
    <row r="16">
      <c r="A16" t="inlineStr">
        <is>
          <t>Total</t>
        </is>
      </c>
      <c r="B16" t="inlineStr">
        <is>
          <t>Residential Equipment: Equipment Stock: Main Space Heaters: Total: Alternative Electricity and Transportation</t>
        </is>
      </c>
      <c r="C16" t="inlineStr">
        <is>
          <t>AEO.2026.ELECTRNP.EQNR_STK_RESD_MSHR_TOT_NA_NA_MILL.A</t>
        </is>
      </c>
      <c r="D16" t="inlineStr">
        <is>
          <t>millions</t>
        </is>
      </c>
      <c r="E16" t="n">
        <v>124.95929</v>
      </c>
      <c r="F16" t="n">
        <v>126.329865</v>
      </c>
      <c r="G16" t="n">
        <v>127.734421</v>
      </c>
      <c r="H16" t="n">
        <v>129.115646</v>
      </c>
      <c r="I16" t="n">
        <v>130.496231</v>
      </c>
      <c r="J16" t="n">
        <v>131.860916</v>
      </c>
      <c r="K16" t="n">
        <v>133.231888</v>
      </c>
      <c r="L16" t="n">
        <v>134.604233</v>
      </c>
      <c r="M16" t="n">
        <v>135.95462</v>
      </c>
      <c r="N16" t="n">
        <v>137.265915</v>
      </c>
      <c r="O16" t="n">
        <v>138.550354</v>
      </c>
      <c r="P16" t="n">
        <v>139.800354</v>
      </c>
      <c r="Q16" t="n">
        <v>140.987823</v>
      </c>
      <c r="R16" t="n">
        <v>142.123932</v>
      </c>
      <c r="S16" t="n">
        <v>143.200943</v>
      </c>
      <c r="T16" t="n">
        <v>144.233459</v>
      </c>
      <c r="U16" t="n">
        <v>145.215469</v>
      </c>
      <c r="V16" t="n">
        <v>146.163925</v>
      </c>
      <c r="W16" t="n">
        <v>147.08049</v>
      </c>
      <c r="X16" t="n">
        <v>147.977997</v>
      </c>
      <c r="Y16" t="n">
        <v>148.879807</v>
      </c>
      <c r="Z16" t="n">
        <v>149.786499</v>
      </c>
      <c r="AA16" t="n">
        <v>150.689529</v>
      </c>
      <c r="AB16" t="n">
        <v>151.589478</v>
      </c>
      <c r="AC16" t="n">
        <v>152.488342</v>
      </c>
      <c r="AD16" t="n">
        <v>153.391113</v>
      </c>
      <c r="AE16" t="inlineStr">
        <is>
          <t>0.8%</t>
        </is>
      </c>
    </row>
    <row r="17">
      <c r="A17" t="inlineStr">
        <is>
          <t>Space Cooling (million units)</t>
        </is>
      </c>
    </row>
    <row r="18">
      <c r="A18" t="inlineStr">
        <is>
          <t>Electric Heat Pumps</t>
        </is>
      </c>
      <c r="B18" t="inlineStr">
        <is>
          <t>Residential Equipment: Equipment Stock: Space Cooling: Electric Heat Pumps: Alternative Electricity and Transportation</t>
        </is>
      </c>
      <c r="C18" t="inlineStr">
        <is>
          <t>AEO.2026.ELECTRNP.EQNR_STK_RESD_SPC_EHP_NA_NA_MILL.A</t>
        </is>
      </c>
      <c r="D18" t="inlineStr">
        <is>
          <t>millions</t>
        </is>
      </c>
      <c r="E18" t="n">
        <v>17.311981</v>
      </c>
      <c r="F18" t="n">
        <v>17.749023</v>
      </c>
      <c r="G18" t="n">
        <v>18.189428</v>
      </c>
      <c r="H18" t="n">
        <v>18.620302</v>
      </c>
      <c r="I18" t="n">
        <v>19.048615</v>
      </c>
      <c r="J18" t="n">
        <v>19.472927</v>
      </c>
      <c r="K18" t="n">
        <v>19.89633</v>
      </c>
      <c r="L18" t="n">
        <v>20.319124</v>
      </c>
      <c r="M18" t="n">
        <v>20.735674</v>
      </c>
      <c r="N18" t="n">
        <v>21.139622</v>
      </c>
      <c r="O18" t="n">
        <v>21.534761</v>
      </c>
      <c r="P18" t="n">
        <v>21.918699</v>
      </c>
      <c r="Q18" t="n">
        <v>22.287916</v>
      </c>
      <c r="R18" t="n">
        <v>22.643476</v>
      </c>
      <c r="S18" t="n">
        <v>22.982578</v>
      </c>
      <c r="T18" t="n">
        <v>23.308931</v>
      </c>
      <c r="U18" t="n">
        <v>23.621456</v>
      </c>
      <c r="V18" t="n">
        <v>23.925043</v>
      </c>
      <c r="W18" t="n">
        <v>24.216196</v>
      </c>
      <c r="X18" t="n">
        <v>24.497822</v>
      </c>
      <c r="Y18" t="n">
        <v>24.778507</v>
      </c>
      <c r="Z18" t="n">
        <v>25.059124</v>
      </c>
      <c r="AA18" t="n">
        <v>25.339233</v>
      </c>
      <c r="AB18" t="n">
        <v>25.618923</v>
      </c>
      <c r="AC18" t="n">
        <v>25.898476</v>
      </c>
      <c r="AD18" t="n">
        <v>26.179153</v>
      </c>
      <c r="AE18" t="inlineStr">
        <is>
          <t>1.7%</t>
        </is>
      </c>
    </row>
    <row r="19">
      <c r="A19" t="inlineStr">
        <is>
          <t>Natural Gas Heat Pumps</t>
        </is>
      </c>
      <c r="B19" t="inlineStr">
        <is>
          <t>Residential Equipment: Equipment Stock: Space Cooling: Natural Gas Heat Pumps: Alternative Electricity and Transportation</t>
        </is>
      </c>
      <c r="C19" t="inlineStr">
        <is>
          <t>AEO.2026.ELECTRNP.EQNR_STK_RESD_SPC_NHU_NA_NA_MILL.A</t>
        </is>
      </c>
      <c r="D19" t="inlineStr">
        <is>
          <t>millions</t>
        </is>
      </c>
      <c r="E19" t="n">
        <v>1.353481</v>
      </c>
      <c r="F19" t="n">
        <v>1.362886</v>
      </c>
      <c r="G19" t="n">
        <v>1.372539</v>
      </c>
      <c r="H19" t="n">
        <v>1.381982</v>
      </c>
      <c r="I19" t="n">
        <v>1.391457</v>
      </c>
      <c r="J19" t="n">
        <v>1.401143</v>
      </c>
      <c r="K19" t="n">
        <v>1.411546</v>
      </c>
      <c r="L19" t="n">
        <v>1.422006</v>
      </c>
      <c r="M19" t="n">
        <v>1.432234</v>
      </c>
      <c r="N19" t="n">
        <v>1.442105</v>
      </c>
      <c r="O19" t="n">
        <v>1.45172</v>
      </c>
      <c r="P19" t="n">
        <v>1.461082</v>
      </c>
      <c r="Q19" t="n">
        <v>1.469427</v>
      </c>
      <c r="R19" t="n">
        <v>1.477178</v>
      </c>
      <c r="S19" t="n">
        <v>1.484383</v>
      </c>
      <c r="T19" t="n">
        <v>1.491172</v>
      </c>
      <c r="U19" t="n">
        <v>1.497475</v>
      </c>
      <c r="V19" t="n">
        <v>1.503389</v>
      </c>
      <c r="W19" t="n">
        <v>1.509155</v>
      </c>
      <c r="X19" t="n">
        <v>1.51497</v>
      </c>
      <c r="Y19" t="n">
        <v>1.520824</v>
      </c>
      <c r="Z19" t="n">
        <v>1.526682</v>
      </c>
      <c r="AA19" t="n">
        <v>1.532497</v>
      </c>
      <c r="AB19" t="n">
        <v>1.538285</v>
      </c>
      <c r="AC19" t="n">
        <v>1.544062</v>
      </c>
      <c r="AD19" t="n">
        <v>1.549853</v>
      </c>
      <c r="AE19" t="inlineStr">
        <is>
          <t>0.5%</t>
        </is>
      </c>
    </row>
    <row r="20">
      <c r="A20" t="inlineStr">
        <is>
          <t>Geothermal Heat Pumps</t>
        </is>
      </c>
      <c r="B20" t="inlineStr">
        <is>
          <t>Residential Equipment: Equipment Stock: Space Cooling: Geothermal Heat Pumps: Alternative Electricity and Transportation</t>
        </is>
      </c>
      <c r="C20" t="inlineStr">
        <is>
          <t>AEO.2026.ELECTRNP.EQNR_STK_RESD_SPC_GEHP_NA_NA_MILL.A</t>
        </is>
      </c>
      <c r="D20" t="inlineStr">
        <is>
          <t>millions</t>
        </is>
      </c>
      <c r="E20" t="n">
        <v>1.313476</v>
      </c>
      <c r="F20" t="n">
        <v>1.323818</v>
      </c>
      <c r="G20" t="n">
        <v>1.335508</v>
      </c>
      <c r="H20" t="n">
        <v>1.347146</v>
      </c>
      <c r="I20" t="n">
        <v>1.358514</v>
      </c>
      <c r="J20" t="n">
        <v>1.368396</v>
      </c>
      <c r="K20" t="n">
        <v>1.378022</v>
      </c>
      <c r="L20" t="n">
        <v>1.387662</v>
      </c>
      <c r="M20" t="n">
        <v>1.397142</v>
      </c>
      <c r="N20" t="n">
        <v>1.406364</v>
      </c>
      <c r="O20" t="n">
        <v>1.415457</v>
      </c>
      <c r="P20" t="n">
        <v>1.424366</v>
      </c>
      <c r="Q20" t="n">
        <v>1.432797</v>
      </c>
      <c r="R20" t="n">
        <v>1.440846</v>
      </c>
      <c r="S20" t="n">
        <v>1.448364</v>
      </c>
      <c r="T20" t="n">
        <v>1.455673</v>
      </c>
      <c r="U20" t="n">
        <v>1.462748</v>
      </c>
      <c r="V20" t="n">
        <v>1.469619</v>
      </c>
      <c r="W20" t="n">
        <v>1.476323</v>
      </c>
      <c r="X20" t="n">
        <v>1.482969</v>
      </c>
      <c r="Y20" t="n">
        <v>1.489655</v>
      </c>
      <c r="Z20" t="n">
        <v>1.496316</v>
      </c>
      <c r="AA20" t="n">
        <v>1.502908</v>
      </c>
      <c r="AB20" t="n">
        <v>1.509388</v>
      </c>
      <c r="AC20" t="n">
        <v>1.515807</v>
      </c>
      <c r="AD20" t="n">
        <v>1.522205</v>
      </c>
      <c r="AE20" t="inlineStr">
        <is>
          <t>0.6%</t>
        </is>
      </c>
    </row>
    <row r="21">
      <c r="A21" t="inlineStr">
        <is>
          <t>Central Air Conditioners</t>
        </is>
      </c>
      <c r="B21" t="inlineStr">
        <is>
          <t>Residential Equipment: Equipment Stock: Space Cooling: Central Air Conditioners: Alternative Electricity and Transportation</t>
        </is>
      </c>
      <c r="C21" t="inlineStr">
        <is>
          <t>AEO.2026.ELECTRNP.EQNR_STK_RESD_SPC_CAC_NA_NA_MILL.A</t>
        </is>
      </c>
      <c r="D21" t="inlineStr">
        <is>
          <t>millions</t>
        </is>
      </c>
      <c r="E21" t="n">
        <v>80.644836</v>
      </c>
      <c r="F21" t="n">
        <v>81.803375</v>
      </c>
      <c r="G21" t="n">
        <v>82.981056</v>
      </c>
      <c r="H21" t="n">
        <v>84.147583</v>
      </c>
      <c r="I21" t="n">
        <v>85.314003</v>
      </c>
      <c r="J21" t="n">
        <v>86.473328</v>
      </c>
      <c r="K21" t="n">
        <v>87.635994</v>
      </c>
      <c r="L21" t="n">
        <v>88.79895</v>
      </c>
      <c r="M21" t="n">
        <v>89.949646</v>
      </c>
      <c r="N21" t="n">
        <v>91.078987</v>
      </c>
      <c r="O21" t="n">
        <v>92.193398</v>
      </c>
      <c r="P21" t="n">
        <v>93.288849</v>
      </c>
      <c r="Q21" t="n">
        <v>94.35051</v>
      </c>
      <c r="R21" t="n">
        <v>95.384315</v>
      </c>
      <c r="S21" t="n">
        <v>96.3862</v>
      </c>
      <c r="T21" t="n">
        <v>97.36377</v>
      </c>
      <c r="U21" t="n">
        <v>98.313896</v>
      </c>
      <c r="V21" t="n">
        <v>99.24588</v>
      </c>
      <c r="W21" t="n">
        <v>100.160545</v>
      </c>
      <c r="X21" t="n">
        <v>101.064911</v>
      </c>
      <c r="Y21" t="n">
        <v>101.971619</v>
      </c>
      <c r="Z21" t="n">
        <v>102.881165</v>
      </c>
      <c r="AA21" t="n">
        <v>103.788918</v>
      </c>
      <c r="AB21" t="n">
        <v>104.695221</v>
      </c>
      <c r="AC21" t="n">
        <v>105.601059</v>
      </c>
      <c r="AD21" t="n">
        <v>106.509247</v>
      </c>
      <c r="AE21" t="inlineStr">
        <is>
          <t>1.1%</t>
        </is>
      </c>
    </row>
    <row r="22">
      <c r="A22" t="inlineStr">
        <is>
          <t>Room Air Conditioners</t>
        </is>
      </c>
      <c r="B22" t="inlineStr">
        <is>
          <t>Residential Equipment: Equipment Stock: Space Cooling: Room Air Conditioners: Alternative Electricity and Transportation</t>
        </is>
      </c>
      <c r="C22" t="inlineStr">
        <is>
          <t>AEO.2026.ELECTRNP.EQNR_STK_RESD_SPC_RAC_NA_NA_MILL.A</t>
        </is>
      </c>
      <c r="D22" t="inlineStr">
        <is>
          <t>millions</t>
        </is>
      </c>
      <c r="E22" t="n">
        <v>43.230812</v>
      </c>
      <c r="F22" t="n">
        <v>43.332207</v>
      </c>
      <c r="G22" t="n">
        <v>43.4426</v>
      </c>
      <c r="H22" t="n">
        <v>43.551468</v>
      </c>
      <c r="I22" t="n">
        <v>43.660194</v>
      </c>
      <c r="J22" t="n">
        <v>43.765266</v>
      </c>
      <c r="K22" t="n">
        <v>43.876236</v>
      </c>
      <c r="L22" t="n">
        <v>43.988445</v>
      </c>
      <c r="M22" t="n">
        <v>44.098244</v>
      </c>
      <c r="N22" t="n">
        <v>44.203854</v>
      </c>
      <c r="O22" t="n">
        <v>44.306885</v>
      </c>
      <c r="P22" t="n">
        <v>44.407001</v>
      </c>
      <c r="Q22" t="n">
        <v>44.495968</v>
      </c>
      <c r="R22" t="n">
        <v>44.577995</v>
      </c>
      <c r="S22" t="n">
        <v>44.652718</v>
      </c>
      <c r="T22" t="n">
        <v>44.722828</v>
      </c>
      <c r="U22" t="n">
        <v>44.787525</v>
      </c>
      <c r="V22" t="n">
        <v>44.848129</v>
      </c>
      <c r="W22" t="n">
        <v>44.906857</v>
      </c>
      <c r="X22" t="n">
        <v>44.966091</v>
      </c>
      <c r="Y22" t="n">
        <v>45.026669</v>
      </c>
      <c r="Z22" t="n">
        <v>45.088047</v>
      </c>
      <c r="AA22" t="n">
        <v>45.149471</v>
      </c>
      <c r="AB22" t="n">
        <v>45.210838</v>
      </c>
      <c r="AC22" t="n">
        <v>45.272564</v>
      </c>
      <c r="AD22" t="n">
        <v>45.335133</v>
      </c>
      <c r="AE22" t="inlineStr">
        <is>
          <t>0.2%</t>
        </is>
      </c>
    </row>
    <row r="23">
      <c r="A23" t="inlineStr">
        <is>
          <t>Total</t>
        </is>
      </c>
      <c r="B23" t="inlineStr">
        <is>
          <t>Residential Equipment: Equipment Stock: Space Cooling: Total: Alternative Electricity and Transportation</t>
        </is>
      </c>
      <c r="C23" t="inlineStr">
        <is>
          <t>AEO.2026.ELECTRNP.EQNR_STK_RESD_SPC_TOT_NA_NA_MILL.A</t>
        </is>
      </c>
      <c r="D23" t="inlineStr">
        <is>
          <t>millions</t>
        </is>
      </c>
      <c r="E23" t="n">
        <v>143.854584</v>
      </c>
      <c r="F23" t="n">
        <v>145.57132</v>
      </c>
      <c r="G23" t="n">
        <v>147.321136</v>
      </c>
      <c r="H23" t="n">
        <v>149.048492</v>
      </c>
      <c r="I23" t="n">
        <v>150.772781</v>
      </c>
      <c r="J23" t="n">
        <v>152.481049</v>
      </c>
      <c r="K23" t="n">
        <v>154.19812</v>
      </c>
      <c r="L23" t="n">
        <v>155.916183</v>
      </c>
      <c r="M23" t="n">
        <v>157.612946</v>
      </c>
      <c r="N23" t="n">
        <v>159.270935</v>
      </c>
      <c r="O23" t="n">
        <v>160.902222</v>
      </c>
      <c r="P23" t="n">
        <v>162.5</v>
      </c>
      <c r="Q23" t="n">
        <v>164.036621</v>
      </c>
      <c r="R23" t="n">
        <v>165.523804</v>
      </c>
      <c r="S23" t="n">
        <v>166.954254</v>
      </c>
      <c r="T23" t="n">
        <v>168.342377</v>
      </c>
      <c r="U23" t="n">
        <v>169.683105</v>
      </c>
      <c r="V23" t="n">
        <v>170.992065</v>
      </c>
      <c r="W23" t="n">
        <v>172.269073</v>
      </c>
      <c r="X23" t="n">
        <v>173.526764</v>
      </c>
      <c r="Y23" t="n">
        <v>174.787277</v>
      </c>
      <c r="Z23" t="n">
        <v>176.051331</v>
      </c>
      <c r="AA23" t="n">
        <v>177.313034</v>
      </c>
      <c r="AB23" t="n">
        <v>178.572662</v>
      </c>
      <c r="AC23" t="n">
        <v>179.83197</v>
      </c>
      <c r="AD23" t="n">
        <v>181.095581</v>
      </c>
      <c r="AE23" t="inlineStr">
        <is>
          <t>0.9%</t>
        </is>
      </c>
    </row>
    <row r="24">
      <c r="A24" t="inlineStr">
        <is>
          <t>Water Heaters (million units)</t>
        </is>
      </c>
    </row>
    <row r="25">
      <c r="A25" t="inlineStr">
        <is>
          <t>Electric</t>
        </is>
      </c>
      <c r="B25" t="inlineStr">
        <is>
          <t>Residential Equipment: Equipment Stock: Water Heaters: Electric: Alternative Electricity and Transportation</t>
        </is>
      </c>
      <c r="C25" t="inlineStr">
        <is>
          <t>AEO.2026.ELECTRNP.EQNR_STK_RESD_WHT_ELE_NA_NA_MILL.A</t>
        </is>
      </c>
      <c r="D25" t="inlineStr">
        <is>
          <t>millions</t>
        </is>
      </c>
      <c r="E25" t="n">
        <v>62.475159</v>
      </c>
      <c r="F25" t="n">
        <v>63.120701</v>
      </c>
      <c r="G25" t="n">
        <v>63.779793</v>
      </c>
      <c r="H25" t="n">
        <v>64.43132</v>
      </c>
      <c r="I25" t="n">
        <v>65.35385100000001</v>
      </c>
      <c r="J25" t="n">
        <v>66.246185</v>
      </c>
      <c r="K25" t="n">
        <v>67.135971</v>
      </c>
      <c r="L25" t="n">
        <v>68.01544199999999</v>
      </c>
      <c r="M25" t="n">
        <v>68.872505</v>
      </c>
      <c r="N25" t="n">
        <v>69.689301</v>
      </c>
      <c r="O25" t="n">
        <v>70.473305</v>
      </c>
      <c r="P25" t="n">
        <v>71.249405</v>
      </c>
      <c r="Q25" t="n">
        <v>71.99559000000001</v>
      </c>
      <c r="R25" t="n">
        <v>72.71917000000001</v>
      </c>
      <c r="S25" t="n">
        <v>73.41553500000001</v>
      </c>
      <c r="T25" t="n">
        <v>74.092468</v>
      </c>
      <c r="U25" t="n">
        <v>74.745132</v>
      </c>
      <c r="V25" t="n">
        <v>75.379486</v>
      </c>
      <c r="W25" t="n">
        <v>75.998474</v>
      </c>
      <c r="X25" t="n">
        <v>76.60758199999999</v>
      </c>
      <c r="Y25" t="n">
        <v>77.21809399999999</v>
      </c>
      <c r="Z25" t="n">
        <v>77.830139</v>
      </c>
      <c r="AA25" t="n">
        <v>78.438873</v>
      </c>
      <c r="AB25" t="n">
        <v>79.044281</v>
      </c>
      <c r="AC25" t="n">
        <v>79.64774300000001</v>
      </c>
      <c r="AD25" t="n">
        <v>80.251228</v>
      </c>
      <c r="AE25" t="inlineStr">
        <is>
          <t>1.0%</t>
        </is>
      </c>
    </row>
    <row r="26">
      <c r="A26" t="inlineStr">
        <is>
          <t>Natural Gas</t>
        </is>
      </c>
      <c r="B26" t="inlineStr">
        <is>
          <t>Residential Equipment: Equipment Stock: Water Heaters: Natural Gas: Alternative Electricity and Transportation</t>
        </is>
      </c>
      <c r="C26" t="inlineStr">
        <is>
          <t>AEO.2026.ELECTRNP.EQNR_STK_RESD_WHT_NG_NA_NA_MILL.A</t>
        </is>
      </c>
      <c r="D26" t="inlineStr">
        <is>
          <t>millions</t>
        </is>
      </c>
      <c r="E26" t="n">
        <v>65.115173</v>
      </c>
      <c r="F26" t="n">
        <v>65.88417099999999</v>
      </c>
      <c r="G26" t="n">
        <v>66.651428</v>
      </c>
      <c r="H26" t="n">
        <v>67.398285</v>
      </c>
      <c r="I26" t="n">
        <v>67.943634</v>
      </c>
      <c r="J26" t="n">
        <v>68.493774</v>
      </c>
      <c r="K26" t="n">
        <v>69.045731</v>
      </c>
      <c r="L26" t="n">
        <v>69.599312</v>
      </c>
      <c r="M26" t="n">
        <v>70.14283</v>
      </c>
      <c r="N26" t="n">
        <v>70.67482800000001</v>
      </c>
      <c r="O26" t="n">
        <v>71.197998</v>
      </c>
      <c r="P26" t="n">
        <v>71.701553</v>
      </c>
      <c r="Q26" t="n">
        <v>72.178955</v>
      </c>
      <c r="R26" t="n">
        <v>72.63323200000001</v>
      </c>
      <c r="S26" t="n">
        <v>73.061043</v>
      </c>
      <c r="T26" t="n">
        <v>73.46719400000001</v>
      </c>
      <c r="U26" t="n">
        <v>73.849609</v>
      </c>
      <c r="V26" t="n">
        <v>74.217758</v>
      </c>
      <c r="W26" t="n">
        <v>74.569519</v>
      </c>
      <c r="X26" t="n">
        <v>74.911041</v>
      </c>
      <c r="Y26" t="n">
        <v>75.25355500000001</v>
      </c>
      <c r="Z26" t="n">
        <v>75.59766399999999</v>
      </c>
      <c r="AA26" t="n">
        <v>75.939888</v>
      </c>
      <c r="AB26" t="n">
        <v>76.280815</v>
      </c>
      <c r="AC26" t="n">
        <v>76.620628</v>
      </c>
      <c r="AD26" t="n">
        <v>76.962227</v>
      </c>
      <c r="AE26" t="inlineStr">
        <is>
          <t>0.7%</t>
        </is>
      </c>
    </row>
    <row r="27">
      <c r="A27" t="inlineStr">
        <is>
          <t>Distillate Fuel Oil</t>
        </is>
      </c>
      <c r="B27" t="inlineStr">
        <is>
          <t>Residential Equipment: Equipment Stock: Water Heaters: Distillate Fuel Oil: Alternative Electricity and Transportation</t>
        </is>
      </c>
      <c r="C27" t="inlineStr">
        <is>
          <t>AEO.2026.ELECTRNP.EQNR_STK_RESD_WHT_DFO_NA_NA_MILL.A</t>
        </is>
      </c>
      <c r="D27" t="inlineStr">
        <is>
          <t>millions</t>
        </is>
      </c>
      <c r="E27" t="n">
        <v>2.224999</v>
      </c>
      <c r="F27" t="n">
        <v>2.137243</v>
      </c>
      <c r="G27" t="n">
        <v>2.054813</v>
      </c>
      <c r="H27" t="n">
        <v>1.979005</v>
      </c>
      <c r="I27" t="n">
        <v>1.905996</v>
      </c>
      <c r="J27" t="n">
        <v>1.841834</v>
      </c>
      <c r="K27" t="n">
        <v>1.785774</v>
      </c>
      <c r="L27" t="n">
        <v>1.73822</v>
      </c>
      <c r="M27" t="n">
        <v>1.699196</v>
      </c>
      <c r="N27" t="n">
        <v>1.669075</v>
      </c>
      <c r="O27" t="n">
        <v>1.648035</v>
      </c>
      <c r="P27" t="n">
        <v>1.625744</v>
      </c>
      <c r="Q27" t="n">
        <v>1.602431</v>
      </c>
      <c r="R27" t="n">
        <v>1.578433</v>
      </c>
      <c r="S27" t="n">
        <v>1.553985</v>
      </c>
      <c r="T27" t="n">
        <v>1.529364</v>
      </c>
      <c r="U27" t="n">
        <v>1.50473</v>
      </c>
      <c r="V27" t="n">
        <v>1.480259</v>
      </c>
      <c r="W27" t="n">
        <v>1.4561</v>
      </c>
      <c r="X27" t="n">
        <v>1.432403</v>
      </c>
      <c r="Y27" t="n">
        <v>1.409256</v>
      </c>
      <c r="Z27" t="n">
        <v>1.386725</v>
      </c>
      <c r="AA27" t="n">
        <v>1.364848</v>
      </c>
      <c r="AB27" t="n">
        <v>1.343653</v>
      </c>
      <c r="AC27" t="n">
        <v>1.32317</v>
      </c>
      <c r="AD27" t="n">
        <v>1.303432</v>
      </c>
      <c r="AE27" t="inlineStr">
        <is>
          <t>-2.1%</t>
        </is>
      </c>
    </row>
    <row r="28">
      <c r="A28" t="inlineStr">
        <is>
          <t>Propane</t>
        </is>
      </c>
      <c r="B28" t="inlineStr">
        <is>
          <t>Residential Equipment: Equipment Stock: Water Heaters: Propane: Alternative Electricity and Transportation</t>
        </is>
      </c>
      <c r="C28" t="inlineStr">
        <is>
          <t>AEO.2026.ELECTRNP.EQNR_STK_RESD_WHT_PROP_NA_NA_MILL.A</t>
        </is>
      </c>
      <c r="D28" t="inlineStr">
        <is>
          <t>millions</t>
        </is>
      </c>
      <c r="E28" t="n">
        <v>4.199949</v>
      </c>
      <c r="F28" t="n">
        <v>4.230966</v>
      </c>
      <c r="G28" t="n">
        <v>4.274209</v>
      </c>
      <c r="H28" t="n">
        <v>4.316001</v>
      </c>
      <c r="I28" t="n">
        <v>4.294023</v>
      </c>
      <c r="J28" t="n">
        <v>4.272385</v>
      </c>
      <c r="K28" t="n">
        <v>4.249826</v>
      </c>
      <c r="L28" t="n">
        <v>4.228853</v>
      </c>
      <c r="M28" t="n">
        <v>4.20994</v>
      </c>
      <c r="N28" t="n">
        <v>4.195131</v>
      </c>
      <c r="O28" t="n">
        <v>4.186061</v>
      </c>
      <c r="P28" t="n">
        <v>4.171363</v>
      </c>
      <c r="Q28" t="n">
        <v>4.151415</v>
      </c>
      <c r="R28" t="n">
        <v>4.126579</v>
      </c>
      <c r="S28" t="n">
        <v>4.096916</v>
      </c>
      <c r="T28" t="n">
        <v>4.06407</v>
      </c>
      <c r="U28" t="n">
        <v>4.028924</v>
      </c>
      <c r="V28" t="n">
        <v>3.992864</v>
      </c>
      <c r="W28" t="n">
        <v>3.956489</v>
      </c>
      <c r="X28" t="n">
        <v>3.92079</v>
      </c>
      <c r="Y28" t="n">
        <v>3.886379</v>
      </c>
      <c r="Z28" t="n">
        <v>3.853128</v>
      </c>
      <c r="AA28" t="n">
        <v>3.82083</v>
      </c>
      <c r="AB28" t="n">
        <v>3.789447</v>
      </c>
      <c r="AC28" t="n">
        <v>3.759233</v>
      </c>
      <c r="AD28" t="n">
        <v>3.730529</v>
      </c>
      <c r="AE28" t="inlineStr">
        <is>
          <t>-0.5%</t>
        </is>
      </c>
    </row>
    <row r="29">
      <c r="A29" t="inlineStr">
        <is>
          <t>Solar Thermal</t>
        </is>
      </c>
      <c r="B29" t="inlineStr">
        <is>
          <t>Residential Equipment: Equipment Stock: Water Heaters: Solar Thermal: Alternative Electricity and Transportation</t>
        </is>
      </c>
      <c r="C29" t="inlineStr">
        <is>
          <t>AEO.2026.ELECTRNP.EQNR_STK_RESD_WHT_SLR_THERM_NA_MILL.A</t>
        </is>
      </c>
      <c r="D29" t="inlineStr">
        <is>
          <t>millions</t>
        </is>
      </c>
      <c r="E29" t="n">
        <v>2.17795</v>
      </c>
      <c r="F29" t="n">
        <v>2.185155</v>
      </c>
      <c r="G29" t="n">
        <v>2.197155</v>
      </c>
      <c r="H29" t="n">
        <v>2.208678</v>
      </c>
      <c r="I29" t="n">
        <v>2.211119</v>
      </c>
      <c r="J29" t="n">
        <v>2.213908</v>
      </c>
      <c r="K29" t="n">
        <v>2.216808</v>
      </c>
      <c r="L29" t="n">
        <v>2.219646</v>
      </c>
      <c r="M29" t="n">
        <v>2.22244</v>
      </c>
      <c r="N29" t="n">
        <v>2.225163</v>
      </c>
      <c r="O29" t="n">
        <v>2.227813</v>
      </c>
      <c r="P29" t="n">
        <v>2.230457</v>
      </c>
      <c r="Q29" t="n">
        <v>2.233098</v>
      </c>
      <c r="R29" t="n">
        <v>2.235716</v>
      </c>
      <c r="S29" t="n">
        <v>2.238299</v>
      </c>
      <c r="T29" t="n">
        <v>2.240829</v>
      </c>
      <c r="U29" t="n">
        <v>2.243291</v>
      </c>
      <c r="V29" t="n">
        <v>2.245664</v>
      </c>
      <c r="W29" t="n">
        <v>2.247927</v>
      </c>
      <c r="X29" t="n">
        <v>2.250247</v>
      </c>
      <c r="Y29" t="n">
        <v>2.252614</v>
      </c>
      <c r="Z29" t="n">
        <v>2.25503</v>
      </c>
      <c r="AA29" t="n">
        <v>2.257498</v>
      </c>
      <c r="AB29" t="n">
        <v>2.260012</v>
      </c>
      <c r="AC29" t="n">
        <v>2.262555</v>
      </c>
      <c r="AD29" t="n">
        <v>2.265137</v>
      </c>
      <c r="AE29" t="inlineStr">
        <is>
          <t>0.2%</t>
        </is>
      </c>
    </row>
    <row r="30">
      <c r="A30" t="inlineStr">
        <is>
          <t>Total</t>
        </is>
      </c>
      <c r="B30" t="inlineStr">
        <is>
          <t>Residential Equipment: Equipment Stock: Water Heaters: Total: Alternative Electricity and Transportation</t>
        </is>
      </c>
      <c r="C30" t="inlineStr">
        <is>
          <t>AEO.2026.ELECTRNP.EQNR_STK_RESD_WHT_TOT_NA_NA_MILL.A</t>
        </is>
      </c>
      <c r="D30" t="inlineStr">
        <is>
          <t>millions</t>
        </is>
      </c>
      <c r="E30" t="n">
        <v>136.193237</v>
      </c>
      <c r="F30" t="n">
        <v>137.558228</v>
      </c>
      <c r="G30" t="n">
        <v>138.957397</v>
      </c>
      <c r="H30" t="n">
        <v>140.333282</v>
      </c>
      <c r="I30" t="n">
        <v>141.708618</v>
      </c>
      <c r="J30" t="n">
        <v>143.068085</v>
      </c>
      <c r="K30" t="n">
        <v>144.434113</v>
      </c>
      <c r="L30" t="n">
        <v>145.801468</v>
      </c>
      <c r="M30" t="n">
        <v>147.146927</v>
      </c>
      <c r="N30" t="n">
        <v>148.453491</v>
      </c>
      <c r="O30" t="n">
        <v>149.733215</v>
      </c>
      <c r="P30" t="n">
        <v>150.978516</v>
      </c>
      <c r="Q30" t="n">
        <v>152.161484</v>
      </c>
      <c r="R30" t="n">
        <v>153.293121</v>
      </c>
      <c r="S30" t="n">
        <v>154.365768</v>
      </c>
      <c r="T30" t="n">
        <v>155.393921</v>
      </c>
      <c r="U30" t="n">
        <v>156.371689</v>
      </c>
      <c r="V30" t="n">
        <v>157.316025</v>
      </c>
      <c r="W30" t="n">
        <v>158.2285</v>
      </c>
      <c r="X30" t="n">
        <v>159.122055</v>
      </c>
      <c r="Y30" t="n">
        <v>160.019897</v>
      </c>
      <c r="Z30" t="n">
        <v>160.922684</v>
      </c>
      <c r="AA30" t="n">
        <v>161.82193</v>
      </c>
      <c r="AB30" t="n">
        <v>162.718216</v>
      </c>
      <c r="AC30" t="n">
        <v>163.613327</v>
      </c>
      <c r="AD30" t="n">
        <v>164.512558</v>
      </c>
      <c r="AE30" t="inlineStr">
        <is>
          <t>0.8%</t>
        </is>
      </c>
    </row>
    <row r="31">
      <c r="A31" t="inlineStr">
        <is>
          <t>Cooking Equipment (million units)</t>
        </is>
      </c>
    </row>
    <row r="32">
      <c r="A32" t="inlineStr">
        <is>
          <t>Electric</t>
        </is>
      </c>
      <c r="B32" t="inlineStr">
        <is>
          <t>Residential Equipment: Equipment Stock: Cooking Equipment: Electric: Alternative Electricity and Transportation</t>
        </is>
      </c>
      <c r="C32" t="inlineStr">
        <is>
          <t>AEO.2026.ELECTRNP.EQNR_STK_RESD_CER_ELE_NA_NA_MILL.A</t>
        </is>
      </c>
      <c r="D32" t="inlineStr">
        <is>
          <t>millions</t>
        </is>
      </c>
      <c r="E32" t="n">
        <v>101.44487</v>
      </c>
      <c r="F32" t="n">
        <v>102.380219</v>
      </c>
      <c r="G32" t="n">
        <v>103.333115</v>
      </c>
      <c r="H32" t="n">
        <v>104.261024</v>
      </c>
      <c r="I32" t="n">
        <v>105.182686</v>
      </c>
      <c r="J32" t="n">
        <v>106.088013</v>
      </c>
      <c r="K32" t="n">
        <v>106.99604</v>
      </c>
      <c r="L32" t="n">
        <v>107.898102</v>
      </c>
      <c r="M32" t="n">
        <v>108.775696</v>
      </c>
      <c r="N32" t="n">
        <v>109.595596</v>
      </c>
      <c r="O32" t="n">
        <v>110.364578</v>
      </c>
      <c r="P32" t="n">
        <v>111.068726</v>
      </c>
      <c r="Q32" t="n">
        <v>111.677895</v>
      </c>
      <c r="R32" t="n">
        <v>112.264961</v>
      </c>
      <c r="S32" t="n">
        <v>112.842308</v>
      </c>
      <c r="T32" t="n">
        <v>113.424797</v>
      </c>
      <c r="U32" t="n">
        <v>114.018433</v>
      </c>
      <c r="V32" t="n">
        <v>114.642784</v>
      </c>
      <c r="W32" t="n">
        <v>115.23735</v>
      </c>
      <c r="X32" t="n">
        <v>115.812965</v>
      </c>
      <c r="Y32" t="n">
        <v>116.385933</v>
      </c>
      <c r="Z32" t="n">
        <v>116.955498</v>
      </c>
      <c r="AA32" t="n">
        <v>117.514168</v>
      </c>
      <c r="AB32" t="n">
        <v>118.061089</v>
      </c>
      <c r="AC32" t="n">
        <v>118.59642</v>
      </c>
      <c r="AD32" t="n">
        <v>119.122154</v>
      </c>
      <c r="AE32" t="inlineStr">
        <is>
          <t>0.6%</t>
        </is>
      </c>
    </row>
    <row r="33">
      <c r="A33" t="inlineStr">
        <is>
          <t>Natural Gas</t>
        </is>
      </c>
      <c r="B33" t="inlineStr">
        <is>
          <t>Residential Equipment: Equipment Stock: Cooking Equipment: Natural Gas: Alternative Electricity and Transportation</t>
        </is>
      </c>
      <c r="C33" t="inlineStr">
        <is>
          <t>AEO.2026.ELECTRNP.EQNR_STK_RESD_CER_NG_NA_NA_MILL.A</t>
        </is>
      </c>
      <c r="D33" t="inlineStr">
        <is>
          <t>millions</t>
        </is>
      </c>
      <c r="E33" t="n">
        <v>54.077557</v>
      </c>
      <c r="F33" t="n">
        <v>54.473881</v>
      </c>
      <c r="G33" t="n">
        <v>54.882652</v>
      </c>
      <c r="H33" t="n">
        <v>55.293209</v>
      </c>
      <c r="I33" t="n">
        <v>55.709217</v>
      </c>
      <c r="J33" t="n">
        <v>56.129211</v>
      </c>
      <c r="K33" t="n">
        <v>56.555218</v>
      </c>
      <c r="L33" t="n">
        <v>56.989883</v>
      </c>
      <c r="M33" t="n">
        <v>57.42915</v>
      </c>
      <c r="N33" t="n">
        <v>57.889847</v>
      </c>
      <c r="O33" t="n">
        <v>58.377193</v>
      </c>
      <c r="P33" t="n">
        <v>58.898079</v>
      </c>
      <c r="Q33" t="n">
        <v>59.454914</v>
      </c>
      <c r="R33" t="n">
        <v>59.983089</v>
      </c>
      <c r="S33" t="n">
        <v>60.462696</v>
      </c>
      <c r="T33" t="n">
        <v>60.892117</v>
      </c>
      <c r="U33" t="n">
        <v>61.25919</v>
      </c>
      <c r="V33" t="n">
        <v>61.560585</v>
      </c>
      <c r="W33" t="n">
        <v>61.861618</v>
      </c>
      <c r="X33" t="n">
        <v>62.164097</v>
      </c>
      <c r="Y33" t="n">
        <v>62.474186</v>
      </c>
      <c r="Z33" t="n">
        <v>62.793369</v>
      </c>
      <c r="AA33" t="n">
        <v>63.121021</v>
      </c>
      <c r="AB33" t="n">
        <v>63.458534</v>
      </c>
      <c r="AC33" t="n">
        <v>63.807617</v>
      </c>
      <c r="AD33" t="n">
        <v>64.17113500000001</v>
      </c>
      <c r="AE33" t="inlineStr">
        <is>
          <t>0.7%</t>
        </is>
      </c>
    </row>
    <row r="34">
      <c r="A34" t="inlineStr">
        <is>
          <t>Propane</t>
        </is>
      </c>
      <c r="B34" t="inlineStr">
        <is>
          <t>Residential Equipment: Equipment Stock: Cooking Equipment: Propane: Alternative Electricity and Transportation</t>
        </is>
      </c>
      <c r="C34" t="inlineStr">
        <is>
          <t>AEO.2026.ELECTRNP.EQNR_STK_RESD_CER_PROP_NA_NA_MILL.A</t>
        </is>
      </c>
      <c r="D34" t="inlineStr">
        <is>
          <t>millions</t>
        </is>
      </c>
      <c r="E34" t="n">
        <v>6.313086</v>
      </c>
      <c r="F34" t="n">
        <v>6.337418</v>
      </c>
      <c r="G34" t="n">
        <v>6.366057</v>
      </c>
      <c r="H34" t="n">
        <v>6.394745</v>
      </c>
      <c r="I34" t="n">
        <v>6.4238</v>
      </c>
      <c r="J34" t="n">
        <v>6.449594</v>
      </c>
      <c r="K34" t="n">
        <v>6.473336</v>
      </c>
      <c r="L34" t="n">
        <v>6.495827</v>
      </c>
      <c r="M34" t="n">
        <v>6.516507</v>
      </c>
      <c r="N34" t="n">
        <v>6.534659</v>
      </c>
      <c r="O34" t="n">
        <v>6.550374</v>
      </c>
      <c r="P34" t="n">
        <v>6.563093</v>
      </c>
      <c r="Q34" t="n">
        <v>6.572578</v>
      </c>
      <c r="R34" t="n">
        <v>6.581728</v>
      </c>
      <c r="S34" t="n">
        <v>6.59024</v>
      </c>
      <c r="T34" t="n">
        <v>6.599422</v>
      </c>
      <c r="U34" t="n">
        <v>6.609622</v>
      </c>
      <c r="V34" t="n">
        <v>6.621453</v>
      </c>
      <c r="W34" t="n">
        <v>6.631668</v>
      </c>
      <c r="X34" t="n">
        <v>6.640575</v>
      </c>
      <c r="Y34" t="n">
        <v>6.648939</v>
      </c>
      <c r="Z34" t="n">
        <v>6.656644</v>
      </c>
      <c r="AA34" t="n">
        <v>6.663402</v>
      </c>
      <c r="AB34" t="n">
        <v>6.669089</v>
      </c>
      <c r="AC34" t="n">
        <v>6.673856</v>
      </c>
      <c r="AD34" t="n">
        <v>6.678013</v>
      </c>
      <c r="AE34" t="inlineStr">
        <is>
          <t>0.2%</t>
        </is>
      </c>
    </row>
    <row r="35">
      <c r="A35" t="inlineStr">
        <is>
          <t>Total</t>
        </is>
      </c>
      <c r="B35" t="inlineStr">
        <is>
          <t>Residential Equipment: Equipment Stock: Cooking Equipment: Total: Alternative Electricity and Transportation</t>
        </is>
      </c>
      <c r="C35" t="inlineStr">
        <is>
          <t>AEO.2026.ELECTRNP.EQNR_STK_RESD_CER_TOT_NA_NA_MILL.A</t>
        </is>
      </c>
      <c r="D35" t="inlineStr">
        <is>
          <t>millions</t>
        </is>
      </c>
      <c r="E35" t="n">
        <v>161.83551</v>
      </c>
      <c r="F35" t="n">
        <v>163.191513</v>
      </c>
      <c r="G35" t="n">
        <v>164.581818</v>
      </c>
      <c r="H35" t="n">
        <v>165.948975</v>
      </c>
      <c r="I35" t="n">
        <v>167.315704</v>
      </c>
      <c r="J35" t="n">
        <v>168.666824</v>
      </c>
      <c r="K35" t="n">
        <v>170.024597</v>
      </c>
      <c r="L35" t="n">
        <v>171.38382</v>
      </c>
      <c r="M35" t="n">
        <v>172.721359</v>
      </c>
      <c r="N35" t="n">
        <v>174.020096</v>
      </c>
      <c r="O35" t="n">
        <v>175.292145</v>
      </c>
      <c r="P35" t="n">
        <v>176.529892</v>
      </c>
      <c r="Q35" t="n">
        <v>177.705383</v>
      </c>
      <c r="R35" t="n">
        <v>178.829773</v>
      </c>
      <c r="S35" t="n">
        <v>179.895248</v>
      </c>
      <c r="T35" t="n">
        <v>180.916336</v>
      </c>
      <c r="U35" t="n">
        <v>181.887238</v>
      </c>
      <c r="V35" t="n">
        <v>182.824829</v>
      </c>
      <c r="W35" t="n">
        <v>183.730637</v>
      </c>
      <c r="X35" t="n">
        <v>184.617645</v>
      </c>
      <c r="Y35" t="n">
        <v>185.509064</v>
      </c>
      <c r="Z35" t="n">
        <v>186.405518</v>
      </c>
      <c r="AA35" t="n">
        <v>187.298599</v>
      </c>
      <c r="AB35" t="n">
        <v>188.188705</v>
      </c>
      <c r="AC35" t="n">
        <v>189.077896</v>
      </c>
      <c r="AD35" t="n">
        <v>189.971298</v>
      </c>
      <c r="AE35" t="inlineStr">
        <is>
          <t>0.6%</t>
        </is>
      </c>
    </row>
    <row r="36">
      <c r="A36" t="inlineStr">
        <is>
          <t>Clothes Dryers (million units)</t>
        </is>
      </c>
    </row>
    <row r="37">
      <c r="A37" t="inlineStr">
        <is>
          <t>Electric</t>
        </is>
      </c>
      <c r="B37" t="inlineStr">
        <is>
          <t>Residential Equipment: Equipment Stock: Clothes Dryers: Electric: Alternative Electricity and Transportation</t>
        </is>
      </c>
      <c r="C37" t="inlineStr">
        <is>
          <t>AEO.2026.ELECTRNP.EQNR_STK_RESD_CDR_ELE_NA_NA_MILL.A</t>
        </is>
      </c>
      <c r="D37" t="inlineStr">
        <is>
          <t>millions</t>
        </is>
      </c>
      <c r="E37" t="n">
        <v>95.14431</v>
      </c>
      <c r="F37" t="n">
        <v>97.87314600000001</v>
      </c>
      <c r="G37" t="n">
        <v>100.648087</v>
      </c>
      <c r="H37" t="n">
        <v>103.425682</v>
      </c>
      <c r="I37" t="n">
        <v>106.189522</v>
      </c>
      <c r="J37" t="n">
        <v>108.940674</v>
      </c>
      <c r="K37" t="n">
        <v>111.672546</v>
      </c>
      <c r="L37" t="n">
        <v>114.384888</v>
      </c>
      <c r="M37" t="n">
        <v>117.081833</v>
      </c>
      <c r="N37" t="n">
        <v>119.745583</v>
      </c>
      <c r="O37" t="n">
        <v>122.390137</v>
      </c>
      <c r="P37" t="n">
        <v>125.005318</v>
      </c>
      <c r="Q37" t="n">
        <v>127.570015</v>
      </c>
      <c r="R37" t="n">
        <v>130.093079</v>
      </c>
      <c r="S37" t="n">
        <v>132.56723</v>
      </c>
      <c r="T37" t="n">
        <v>135.008743</v>
      </c>
      <c r="U37" t="n">
        <v>137.421295</v>
      </c>
      <c r="V37" t="n">
        <v>139.789841</v>
      </c>
      <c r="W37" t="n">
        <v>142.116501</v>
      </c>
      <c r="X37" t="n">
        <v>144.413208</v>
      </c>
      <c r="Y37" t="n">
        <v>146.704849</v>
      </c>
      <c r="Z37" t="n">
        <v>148.996155</v>
      </c>
      <c r="AA37" t="n">
        <v>151.276718</v>
      </c>
      <c r="AB37" t="n">
        <v>153.54921</v>
      </c>
      <c r="AC37" t="n">
        <v>155.817474</v>
      </c>
      <c r="AD37" t="n">
        <v>158.084946</v>
      </c>
      <c r="AE37" t="inlineStr">
        <is>
          <t>2.1%</t>
        </is>
      </c>
    </row>
    <row r="38">
      <c r="A38" t="inlineStr">
        <is>
          <t>Natural Gas</t>
        </is>
      </c>
      <c r="B38" t="inlineStr">
        <is>
          <t>Residential Equipment: Equipment Stock: Clothes Dryers: Natural Gas: Alternative Electricity and Transportation</t>
        </is>
      </c>
      <c r="C38" t="inlineStr">
        <is>
          <t>AEO.2026.ELECTRNP.EQNR_STK_RESD_CDR_NG_NA_NA_MILL.A</t>
        </is>
      </c>
      <c r="D38" t="inlineStr">
        <is>
          <t>millions</t>
        </is>
      </c>
      <c r="E38" t="n">
        <v>20.463491</v>
      </c>
      <c r="F38" t="n">
        <v>20.786949</v>
      </c>
      <c r="G38" t="n">
        <v>21.119661</v>
      </c>
      <c r="H38" t="n">
        <v>21.460751</v>
      </c>
      <c r="I38" t="n">
        <v>21.814619</v>
      </c>
      <c r="J38" t="n">
        <v>22.183361</v>
      </c>
      <c r="K38" t="n">
        <v>22.569464</v>
      </c>
      <c r="L38" t="n">
        <v>22.975388</v>
      </c>
      <c r="M38" t="n">
        <v>23.374451</v>
      </c>
      <c r="N38" t="n">
        <v>23.767054</v>
      </c>
      <c r="O38" t="n">
        <v>24.153271</v>
      </c>
      <c r="P38" t="n">
        <v>24.532173</v>
      </c>
      <c r="Q38" t="n">
        <v>24.902653</v>
      </c>
      <c r="R38" t="n">
        <v>25.263342</v>
      </c>
      <c r="S38" t="n">
        <v>25.611776</v>
      </c>
      <c r="T38" t="n">
        <v>25.946064</v>
      </c>
      <c r="U38" t="n">
        <v>26.263985</v>
      </c>
      <c r="V38" t="n">
        <v>26.590998</v>
      </c>
      <c r="W38" t="n">
        <v>26.924614</v>
      </c>
      <c r="X38" t="n">
        <v>27.264744</v>
      </c>
      <c r="Y38" t="n">
        <v>27.613161</v>
      </c>
      <c r="Z38" t="n">
        <v>27.969189</v>
      </c>
      <c r="AA38" t="n">
        <v>28.330772</v>
      </c>
      <c r="AB38" t="n">
        <v>28.696926</v>
      </c>
      <c r="AC38" t="n">
        <v>29.066328</v>
      </c>
      <c r="AD38" t="n">
        <v>29.43947</v>
      </c>
      <c r="AE38" t="inlineStr">
        <is>
          <t>1.5%</t>
        </is>
      </c>
    </row>
    <row r="39">
      <c r="A39" t="inlineStr">
        <is>
          <t>Total</t>
        </is>
      </c>
      <c r="B39" t="inlineStr">
        <is>
          <t>Residential Equipment: Equipment Stock: Clothes Dryers: Total: Alternative Electricity and Transportation</t>
        </is>
      </c>
      <c r="C39" t="inlineStr">
        <is>
          <t>AEO.2026.ELECTRNP.EQNR_STK_RESD_CDR_TOT_NA_NA_MILL.A</t>
        </is>
      </c>
      <c r="D39" t="inlineStr">
        <is>
          <t>millions</t>
        </is>
      </c>
      <c r="E39" t="n">
        <v>115.607803</v>
      </c>
      <c r="F39" t="n">
        <v>118.660095</v>
      </c>
      <c r="G39" t="n">
        <v>121.767746</v>
      </c>
      <c r="H39" t="n">
        <v>124.886429</v>
      </c>
      <c r="I39" t="n">
        <v>128.004135</v>
      </c>
      <c r="J39" t="n">
        <v>131.124039</v>
      </c>
      <c r="K39" t="n">
        <v>134.242004</v>
      </c>
      <c r="L39" t="n">
        <v>137.360275</v>
      </c>
      <c r="M39" t="n">
        <v>140.456284</v>
      </c>
      <c r="N39" t="n">
        <v>143.512634</v>
      </c>
      <c r="O39" t="n">
        <v>146.543411</v>
      </c>
      <c r="P39" t="n">
        <v>149.537491</v>
      </c>
      <c r="Q39" t="n">
        <v>152.472672</v>
      </c>
      <c r="R39" t="n">
        <v>155.356415</v>
      </c>
      <c r="S39" t="n">
        <v>158.179001</v>
      </c>
      <c r="T39" t="n">
        <v>160.954803</v>
      </c>
      <c r="U39" t="n">
        <v>163.685272</v>
      </c>
      <c r="V39" t="n">
        <v>166.380844</v>
      </c>
      <c r="W39" t="n">
        <v>169.041107</v>
      </c>
      <c r="X39" t="n">
        <v>171.677948</v>
      </c>
      <c r="Y39" t="n">
        <v>174.318008</v>
      </c>
      <c r="Z39" t="n">
        <v>176.965347</v>
      </c>
      <c r="AA39" t="n">
        <v>179.607483</v>
      </c>
      <c r="AB39" t="n">
        <v>182.24614</v>
      </c>
      <c r="AC39" t="n">
        <v>184.883804</v>
      </c>
      <c r="AD39" t="n">
        <v>187.524414</v>
      </c>
      <c r="AE39" t="inlineStr">
        <is>
          <t>2.0%</t>
        </is>
      </c>
    </row>
    <row r="40">
      <c r="A40" t="inlineStr">
        <is>
          <t>Other Appliances (million units)</t>
        </is>
      </c>
    </row>
    <row r="41">
      <c r="A41" t="inlineStr">
        <is>
          <t>Refrigerators</t>
        </is>
      </c>
      <c r="B41" t="inlineStr">
        <is>
          <t>Residential Equipment: Equipment Stock: Other Appliances: Refrigerators: Alternative Electricity and Transportation</t>
        </is>
      </c>
      <c r="C41" t="inlineStr">
        <is>
          <t>AEO.2026.ELECTRNP.EQNR_STK_RESD_OTAR_RFG_NA_NA_MILL.A</t>
        </is>
      </c>
      <c r="D41" t="inlineStr">
        <is>
          <t>millions</t>
        </is>
      </c>
      <c r="E41" t="n">
        <v>187.507324</v>
      </c>
      <c r="F41" t="n">
        <v>189.531998</v>
      </c>
      <c r="G41" t="n">
        <v>191.598602</v>
      </c>
      <c r="H41" t="n">
        <v>193.630844</v>
      </c>
      <c r="I41" t="n">
        <v>195.663559</v>
      </c>
      <c r="J41" t="n">
        <v>197.673782</v>
      </c>
      <c r="K41" t="n">
        <v>199.677979</v>
      </c>
      <c r="L41" t="n">
        <v>201.682709</v>
      </c>
      <c r="M41" t="n">
        <v>203.657333</v>
      </c>
      <c r="N41" t="n">
        <v>205.576859</v>
      </c>
      <c r="O41" t="n">
        <v>207.458237</v>
      </c>
      <c r="P41" t="n">
        <v>209.288742</v>
      </c>
      <c r="Q41" t="n">
        <v>211.043335</v>
      </c>
      <c r="R41" t="n">
        <v>212.728531</v>
      </c>
      <c r="S41" t="n">
        <v>214.331223</v>
      </c>
      <c r="T41" t="n">
        <v>215.870193</v>
      </c>
      <c r="U41" t="n">
        <v>217.337494</v>
      </c>
      <c r="V41" t="n">
        <v>218.759247</v>
      </c>
      <c r="W41" t="n">
        <v>220.13121</v>
      </c>
      <c r="X41" t="n">
        <v>221.469589</v>
      </c>
      <c r="Y41" t="n">
        <v>222.813278</v>
      </c>
      <c r="Z41" t="n">
        <v>224.164856</v>
      </c>
      <c r="AA41" t="n">
        <v>225.511566</v>
      </c>
      <c r="AB41" t="n">
        <v>226.854141</v>
      </c>
      <c r="AC41" t="n">
        <v>228.195084</v>
      </c>
      <c r="AD41" t="n">
        <v>229.54213</v>
      </c>
      <c r="AE41" t="inlineStr">
        <is>
          <t>0.8%</t>
        </is>
      </c>
    </row>
    <row r="42">
      <c r="A42" t="inlineStr">
        <is>
          <t>Freezers</t>
        </is>
      </c>
      <c r="B42" t="inlineStr">
        <is>
          <t>Residential Equipment: Equipment Stock: Other Appliances: Freezers: Alternative Electricity and Transportation</t>
        </is>
      </c>
      <c r="C42" t="inlineStr">
        <is>
          <t>AEO.2026.ELECTRNP.EQNR_STK_RESD_OTAR_FRZ_NA_NA_MILL.A</t>
        </is>
      </c>
      <c r="D42" t="inlineStr">
        <is>
          <t>millions</t>
        </is>
      </c>
      <c r="E42" t="n">
        <v>48.868607</v>
      </c>
      <c r="F42" t="n">
        <v>49.328506</v>
      </c>
      <c r="G42" t="n">
        <v>49.801876</v>
      </c>
      <c r="H42" t="n">
        <v>50.26841</v>
      </c>
      <c r="I42" t="n">
        <v>50.734222</v>
      </c>
      <c r="J42" t="n">
        <v>51.187572</v>
      </c>
      <c r="K42" t="n">
        <v>51.631802</v>
      </c>
      <c r="L42" t="n">
        <v>52.075958</v>
      </c>
      <c r="M42" t="n">
        <v>52.514103</v>
      </c>
      <c r="N42" t="n">
        <v>52.940769</v>
      </c>
      <c r="O42" t="n">
        <v>53.359661</v>
      </c>
      <c r="P42" t="n">
        <v>53.767311</v>
      </c>
      <c r="Q42" t="n">
        <v>54.163525</v>
      </c>
      <c r="R42" t="n">
        <v>54.546295</v>
      </c>
      <c r="S42" t="n">
        <v>54.911201</v>
      </c>
      <c r="T42" t="n">
        <v>55.263004</v>
      </c>
      <c r="U42" t="n">
        <v>55.600151</v>
      </c>
      <c r="V42" t="n">
        <v>55.928661</v>
      </c>
      <c r="W42" t="n">
        <v>56.245289</v>
      </c>
      <c r="X42" t="n">
        <v>56.55265</v>
      </c>
      <c r="Y42" t="n">
        <v>56.861313</v>
      </c>
      <c r="Z42" t="n">
        <v>57.172104</v>
      </c>
      <c r="AA42" t="n">
        <v>57.481895</v>
      </c>
      <c r="AB42" t="n">
        <v>57.790634</v>
      </c>
      <c r="AC42" t="n">
        <v>58.099026</v>
      </c>
      <c r="AD42" t="n">
        <v>58.408916</v>
      </c>
      <c r="AE42" t="inlineStr">
        <is>
          <t>0.7%</t>
        </is>
      </c>
    </row>
    <row r="43">
      <c r="A43" t="inlineStr">
        <is>
          <t>Stock Average Equipment Efficiency</t>
        </is>
      </c>
    </row>
    <row r="44">
      <c r="A44" t="inlineStr">
        <is>
          <t>Main Space Heaters</t>
        </is>
      </c>
    </row>
    <row r="45">
      <c r="A45" t="inlineStr">
        <is>
          <t>Electric Heat Pumps (HSPF)</t>
        </is>
      </c>
      <c r="B45" t="inlineStr">
        <is>
          <t>Residential Equipment: Stock Average Efficiency: Main Space Heaters: Electric Heat Pumps: Alternative Electricity and Transportation</t>
        </is>
      </c>
      <c r="C45" t="inlineStr">
        <is>
          <t>AEO.2026.ELECTRNP.EFI_STK_RESD_SPHR_EHP_NA_NA_HSPF.A</t>
        </is>
      </c>
      <c r="D45" t="inlineStr">
        <is>
          <t>HSPF</t>
        </is>
      </c>
      <c r="E45" t="n">
        <v>8.494412000000001</v>
      </c>
      <c r="F45" t="n">
        <v>8.614711</v>
      </c>
      <c r="G45" t="n">
        <v>8.735021</v>
      </c>
      <c r="H45" t="n">
        <v>8.858002000000001</v>
      </c>
      <c r="I45" t="n">
        <v>8.971166999999999</v>
      </c>
      <c r="J45" t="n">
        <v>9.075111</v>
      </c>
      <c r="K45" t="n">
        <v>9.169779</v>
      </c>
      <c r="L45" t="n">
        <v>9.255559</v>
      </c>
      <c r="M45" t="n">
        <v>9.332383</v>
      </c>
      <c r="N45" t="n">
        <v>9.401033999999999</v>
      </c>
      <c r="O45" t="n">
        <v>9.461356</v>
      </c>
      <c r="P45" t="n">
        <v>9.51375</v>
      </c>
      <c r="Q45" t="n">
        <v>9.558479</v>
      </c>
      <c r="R45" t="n">
        <v>9.595476</v>
      </c>
      <c r="S45" t="n">
        <v>9.624993</v>
      </c>
      <c r="T45" t="n">
        <v>9.648189</v>
      </c>
      <c r="U45" t="n">
        <v>9.662559</v>
      </c>
      <c r="V45" t="n">
        <v>9.667149999999999</v>
      </c>
      <c r="W45" t="n">
        <v>9.672117999999999</v>
      </c>
      <c r="X45" t="n">
        <v>9.677267000000001</v>
      </c>
      <c r="Y45" t="n">
        <v>9.682276</v>
      </c>
      <c r="Z45" t="n">
        <v>9.687082999999999</v>
      </c>
      <c r="AA45" t="n">
        <v>9.691750000000001</v>
      </c>
      <c r="AB45" t="n">
        <v>9.696254</v>
      </c>
      <c r="AC45" t="n">
        <v>9.700517</v>
      </c>
      <c r="AD45" t="n">
        <v>9.704503000000001</v>
      </c>
      <c r="AE45" t="inlineStr">
        <is>
          <t>0.5%</t>
        </is>
      </c>
    </row>
    <row r="46">
      <c r="A46" t="inlineStr">
        <is>
          <t>Natural Gas Heat Pumps (GCOP)</t>
        </is>
      </c>
      <c r="B46" t="inlineStr">
        <is>
          <t>Residential Equipment: Stock Average Efficiency: Main Space Heaters: Natural Gas Heat Pumps: Alternative Electricity and Transportation</t>
        </is>
      </c>
      <c r="C46" t="inlineStr">
        <is>
          <t>AEO.2026.ELECTRNP.EFI_STK_RESD_SPHR_NHU_NA_NA_GCOP.A</t>
        </is>
      </c>
      <c r="D46" t="inlineStr">
        <is>
          <t>GCOP</t>
        </is>
      </c>
      <c r="E46" t="n">
        <v>1.3</v>
      </c>
      <c r="F46" t="n">
        <v>1.3</v>
      </c>
      <c r="G46" t="n">
        <v>1.3</v>
      </c>
      <c r="H46" t="n">
        <v>1.3</v>
      </c>
      <c r="I46" t="n">
        <v>1.3</v>
      </c>
      <c r="J46" t="n">
        <v>1.3</v>
      </c>
      <c r="K46" t="n">
        <v>1.3</v>
      </c>
      <c r="L46" t="n">
        <v>1.3</v>
      </c>
      <c r="M46" t="n">
        <v>1.3</v>
      </c>
      <c r="N46" t="n">
        <v>1.3</v>
      </c>
      <c r="O46" t="n">
        <v>1.3</v>
      </c>
      <c r="P46" t="n">
        <v>1.3</v>
      </c>
      <c r="Q46" t="n">
        <v>1.3</v>
      </c>
      <c r="R46" t="n">
        <v>1.3</v>
      </c>
      <c r="S46" t="n">
        <v>1.3</v>
      </c>
      <c r="T46" t="n">
        <v>1.3</v>
      </c>
      <c r="U46" t="n">
        <v>1.3</v>
      </c>
      <c r="V46" t="n">
        <v>1.3</v>
      </c>
      <c r="W46" t="n">
        <v>1.3</v>
      </c>
      <c r="X46" t="n">
        <v>1.3</v>
      </c>
      <c r="Y46" t="n">
        <v>1.3</v>
      </c>
      <c r="Z46" t="n">
        <v>1.3</v>
      </c>
      <c r="AA46" t="n">
        <v>1.3</v>
      </c>
      <c r="AB46" t="n">
        <v>1.3</v>
      </c>
      <c r="AC46" t="n">
        <v>1.3</v>
      </c>
      <c r="AD46" t="n">
        <v>1.3</v>
      </c>
      <c r="AE46" t="inlineStr">
        <is>
          <t>0.0%</t>
        </is>
      </c>
    </row>
    <row r="47">
      <c r="A47" t="inlineStr">
        <is>
          <t>Geothermal Heat Pumps (COP)</t>
        </is>
      </c>
      <c r="B47" t="inlineStr">
        <is>
          <t>Residential Equipment: Stock Average Efficiency: Main Space Heaters: Geothermal Heat Pumps: Alternative Electricity and Transportation</t>
        </is>
      </c>
      <c r="C47" t="inlineStr">
        <is>
          <t>AEO.2026.ELECTRNP.EFI_STK_RESD_SPHR_GEHP_NA_NA_COP.A</t>
        </is>
      </c>
      <c r="D47" t="inlineStr">
        <is>
          <t>COP</t>
        </is>
      </c>
      <c r="E47" t="n">
        <v>3.202069</v>
      </c>
      <c r="F47" t="n">
        <v>3.220859</v>
      </c>
      <c r="G47" t="n">
        <v>3.239262</v>
      </c>
      <c r="H47" t="n">
        <v>3.258008</v>
      </c>
      <c r="I47" t="n">
        <v>3.276937</v>
      </c>
      <c r="J47" t="n">
        <v>3.295919</v>
      </c>
      <c r="K47" t="n">
        <v>3.315187</v>
      </c>
      <c r="L47" t="n">
        <v>3.333605</v>
      </c>
      <c r="M47" t="n">
        <v>3.35116</v>
      </c>
      <c r="N47" t="n">
        <v>3.367886</v>
      </c>
      <c r="O47" t="n">
        <v>3.383748</v>
      </c>
      <c r="P47" t="n">
        <v>3.398742</v>
      </c>
      <c r="Q47" t="n">
        <v>3.412921</v>
      </c>
      <c r="R47" t="n">
        <v>3.426215</v>
      </c>
      <c r="S47" t="n">
        <v>3.438614</v>
      </c>
      <c r="T47" t="n">
        <v>3.450181</v>
      </c>
      <c r="U47" t="n">
        <v>3.460697</v>
      </c>
      <c r="V47" t="n">
        <v>3.470215</v>
      </c>
      <c r="W47" t="n">
        <v>3.478648</v>
      </c>
      <c r="X47" t="n">
        <v>3.486041</v>
      </c>
      <c r="Y47" t="n">
        <v>3.492233</v>
      </c>
      <c r="Z47" t="n">
        <v>3.497434</v>
      </c>
      <c r="AA47" t="n">
        <v>3.501589</v>
      </c>
      <c r="AB47" t="n">
        <v>3.504642</v>
      </c>
      <c r="AC47" t="n">
        <v>3.506805</v>
      </c>
      <c r="AD47" t="n">
        <v>3.507983</v>
      </c>
      <c r="AE47" t="inlineStr">
        <is>
          <t>0.4%</t>
        </is>
      </c>
    </row>
    <row r="48">
      <c r="A48" t="inlineStr">
        <is>
          <t>Natural Gas Furnace (AFUE)</t>
        </is>
      </c>
      <c r="B48" t="inlineStr">
        <is>
          <t>Residential Equipment: Stock Average Efficiency: Main Space Heaters: Natural Gas Furnace: Alternative Electricity and Transportation</t>
        </is>
      </c>
      <c r="C48" t="inlineStr">
        <is>
          <t>AEO.2026.ELECTRNP.EFI_STK_RESD_SPHR_NFR_NA_NA_AFUE.A</t>
        </is>
      </c>
      <c r="D48" t="inlineStr">
        <is>
          <t>AFUE</t>
        </is>
      </c>
      <c r="E48" t="n">
        <v>0.821949</v>
      </c>
      <c r="F48" t="n">
        <v>0.826215</v>
      </c>
      <c r="G48" t="n">
        <v>0.8304</v>
      </c>
      <c r="H48" t="n">
        <v>0.83462</v>
      </c>
      <c r="I48" t="n">
        <v>0.842838</v>
      </c>
      <c r="J48" t="n">
        <v>0.851978</v>
      </c>
      <c r="K48" t="n">
        <v>0.861225</v>
      </c>
      <c r="L48" t="n">
        <v>0.870013</v>
      </c>
      <c r="M48" t="n">
        <v>0.878359</v>
      </c>
      <c r="N48" t="n">
        <v>0.886196</v>
      </c>
      <c r="O48" t="n">
        <v>0.893502</v>
      </c>
      <c r="P48" t="n">
        <v>0.900356</v>
      </c>
      <c r="Q48" t="n">
        <v>0.906728</v>
      </c>
      <c r="R48" t="n">
        <v>0.912645</v>
      </c>
      <c r="S48" t="n">
        <v>0.918086</v>
      </c>
      <c r="T48" t="n">
        <v>0.923074</v>
      </c>
      <c r="U48" t="n">
        <v>0.927592</v>
      </c>
      <c r="V48" t="n">
        <v>0.931675</v>
      </c>
      <c r="W48" t="n">
        <v>0.935279</v>
      </c>
      <c r="X48" t="n">
        <v>0.938381</v>
      </c>
      <c r="Y48" t="n">
        <v>0.940932</v>
      </c>
      <c r="Z48" t="n">
        <v>0.942906</v>
      </c>
      <c r="AA48" t="n">
        <v>0.944887</v>
      </c>
      <c r="AB48" t="n">
        <v>0.946836</v>
      </c>
      <c r="AC48" t="n">
        <v>0.948715</v>
      </c>
      <c r="AD48" t="n">
        <v>0.950491</v>
      </c>
      <c r="AE48" t="inlineStr">
        <is>
          <t>0.6%</t>
        </is>
      </c>
    </row>
    <row r="49">
      <c r="A49" t="inlineStr">
        <is>
          <t>Distillate Furnace (AFUE)</t>
        </is>
      </c>
      <c r="B49" t="inlineStr">
        <is>
          <t>Residential Equipment: Stock Average Efficiency: Main Space Heaters: Distillate Furnace: Alternative Electricity and Transportation</t>
        </is>
      </c>
      <c r="C49" t="inlineStr">
        <is>
          <t>AEO.2026.ELECTRNP.EFI_STK_RESD_SPHR_DFR_NA_NA_AFUE.A</t>
        </is>
      </c>
      <c r="D49" t="inlineStr">
        <is>
          <t>AFUE</t>
        </is>
      </c>
      <c r="E49" t="n">
        <v>0.832116</v>
      </c>
      <c r="F49" t="n">
        <v>0.8326440000000001</v>
      </c>
      <c r="G49" t="n">
        <v>0.833143</v>
      </c>
      <c r="H49" t="n">
        <v>0.833627</v>
      </c>
      <c r="I49" t="n">
        <v>0.834101</v>
      </c>
      <c r="J49" t="n">
        <v>0.834582</v>
      </c>
      <c r="K49" t="n">
        <v>0.835062</v>
      </c>
      <c r="L49" t="n">
        <v>0.835526</v>
      </c>
      <c r="M49" t="n">
        <v>0.835963</v>
      </c>
      <c r="N49" t="n">
        <v>0.836377</v>
      </c>
      <c r="O49" t="n">
        <v>0.836758</v>
      </c>
      <c r="P49" t="n">
        <v>0.837116</v>
      </c>
      <c r="Q49" t="n">
        <v>0.837445</v>
      </c>
      <c r="R49" t="n">
        <v>0.83775</v>
      </c>
      <c r="S49" t="n">
        <v>0.838033</v>
      </c>
      <c r="T49" t="n">
        <v>0.838292</v>
      </c>
      <c r="U49" t="n">
        <v>0.838525</v>
      </c>
      <c r="V49" t="n">
        <v>0.838736</v>
      </c>
      <c r="W49" t="n">
        <v>0.83892</v>
      </c>
      <c r="X49" t="n">
        <v>0.839077</v>
      </c>
      <c r="Y49" t="n">
        <v>0.839199</v>
      </c>
      <c r="Z49" t="n">
        <v>0.839295</v>
      </c>
      <c r="AA49" t="n">
        <v>0.839398</v>
      </c>
      <c r="AB49" t="n">
        <v>0.8395049999999999</v>
      </c>
      <c r="AC49" t="n">
        <v>0.839618</v>
      </c>
      <c r="AD49" t="n">
        <v>0.839736</v>
      </c>
      <c r="AE49" t="inlineStr">
        <is>
          <t>0.0%</t>
        </is>
      </c>
    </row>
    <row r="50">
      <c r="A50" t="inlineStr">
        <is>
          <t>Space Cooling</t>
        </is>
      </c>
    </row>
    <row r="51">
      <c r="A51" t="inlineStr">
        <is>
          <t>Electric Heat Pumps (SEER)</t>
        </is>
      </c>
      <c r="B51" t="inlineStr">
        <is>
          <t>Residential Equipment: Stock Average Efficiency: Space Cooling: Electric Heat Pumps: Alternative Electricity and Transportation</t>
        </is>
      </c>
      <c r="C51" t="inlineStr">
        <is>
          <t>AEO.2026.ELECTRNP.EFI_STK_RESD_SPC_EHP_NA_NA_SEER.A</t>
        </is>
      </c>
      <c r="D51" t="inlineStr">
        <is>
          <t>SEER</t>
        </is>
      </c>
      <c r="E51" t="n">
        <v>14.394477</v>
      </c>
      <c r="F51" t="n">
        <v>14.649236</v>
      </c>
      <c r="G51" t="n">
        <v>14.903358</v>
      </c>
      <c r="H51" t="n">
        <v>15.162802</v>
      </c>
      <c r="I51" t="n">
        <v>15.401136</v>
      </c>
      <c r="J51" t="n">
        <v>15.619678</v>
      </c>
      <c r="K51" t="n">
        <v>15.818392</v>
      </c>
      <c r="L51" t="n">
        <v>15.998156</v>
      </c>
      <c r="M51" t="n">
        <v>16.158895</v>
      </c>
      <c r="N51" t="n">
        <v>16.302317</v>
      </c>
      <c r="O51" t="n">
        <v>16.428106</v>
      </c>
      <c r="P51" t="n">
        <v>16.537176</v>
      </c>
      <c r="Q51" t="n">
        <v>16.630083</v>
      </c>
      <c r="R51" t="n">
        <v>16.706705</v>
      </c>
      <c r="S51" t="n">
        <v>16.767574</v>
      </c>
      <c r="T51" t="n">
        <v>16.818882</v>
      </c>
      <c r="U51" t="n">
        <v>16.85113</v>
      </c>
      <c r="V51" t="n">
        <v>16.862507</v>
      </c>
      <c r="W51" t="n">
        <v>16.874935</v>
      </c>
      <c r="X51" t="n">
        <v>16.887955</v>
      </c>
      <c r="Y51" t="n">
        <v>16.900826</v>
      </c>
      <c r="Z51" t="n">
        <v>16.913347</v>
      </c>
      <c r="AA51" t="n">
        <v>16.925617</v>
      </c>
      <c r="AB51" t="n">
        <v>16.937542</v>
      </c>
      <c r="AC51" t="n">
        <v>16.948915</v>
      </c>
      <c r="AD51" t="n">
        <v>16.959635</v>
      </c>
      <c r="AE51" t="inlineStr">
        <is>
          <t>0.7%</t>
        </is>
      </c>
    </row>
    <row r="52">
      <c r="A52" t="inlineStr">
        <is>
          <t>Natural Gas Heat Pumps (GCOP)</t>
        </is>
      </c>
      <c r="B52" t="inlineStr">
        <is>
          <t>Residential Equipment: Stock Average Efficiency: Space Cooling: Natural Gas Heat Pumps: Alternative Electricity and Transportation</t>
        </is>
      </c>
      <c r="C52" t="inlineStr">
        <is>
          <t>AEO.2026.ELECTRNP.EFI_STK_RESD_SPC_NHU_NA_NA_GCOP.A</t>
        </is>
      </c>
      <c r="D52" t="inlineStr">
        <is>
          <t>GCOP</t>
        </is>
      </c>
      <c r="E52" t="n">
        <v>0.629929</v>
      </c>
      <c r="F52" t="n">
        <v>0.636247</v>
      </c>
      <c r="G52" t="n">
        <v>0.642884</v>
      </c>
      <c r="H52" t="n">
        <v>0.649906</v>
      </c>
      <c r="I52" t="n">
        <v>0.65655</v>
      </c>
      <c r="J52" t="n">
        <v>0.662793</v>
      </c>
      <c r="K52" t="n">
        <v>0.668605</v>
      </c>
      <c r="L52" t="n">
        <v>0.673974</v>
      </c>
      <c r="M52" t="n">
        <v>0.678862</v>
      </c>
      <c r="N52" t="n">
        <v>0.683288</v>
      </c>
      <c r="O52" t="n">
        <v>0.687221</v>
      </c>
      <c r="P52" t="n">
        <v>0.690665</v>
      </c>
      <c r="Q52" t="n">
        <v>0.693611</v>
      </c>
      <c r="R52" t="n">
        <v>0.696038</v>
      </c>
      <c r="S52" t="n">
        <v>0.697942</v>
      </c>
      <c r="T52" t="n">
        <v>0.699288</v>
      </c>
      <c r="U52" t="n">
        <v>0.7</v>
      </c>
      <c r="V52" t="n">
        <v>0.7</v>
      </c>
      <c r="W52" t="n">
        <v>0.7</v>
      </c>
      <c r="X52" t="n">
        <v>0.7</v>
      </c>
      <c r="Y52" t="n">
        <v>0.7</v>
      </c>
      <c r="Z52" t="n">
        <v>0.7</v>
      </c>
      <c r="AA52" t="n">
        <v>0.7</v>
      </c>
      <c r="AB52" t="n">
        <v>0.7</v>
      </c>
      <c r="AC52" t="n">
        <v>0.7</v>
      </c>
      <c r="AD52" t="n">
        <v>0.7</v>
      </c>
      <c r="AE52" t="inlineStr">
        <is>
          <t>0.4%</t>
        </is>
      </c>
    </row>
    <row r="53">
      <c r="A53" t="inlineStr">
        <is>
          <t>Geothermal Heat Pumps (EER)</t>
        </is>
      </c>
      <c r="B53" t="inlineStr">
        <is>
          <t>Residential Equipment: Stock Average Efficiency: Space Cooling: Geothermal Heat Pumps: Alternative Electricity and Transportation</t>
        </is>
      </c>
      <c r="C53" t="inlineStr">
        <is>
          <t>AEO.2026.ELECTRNP.EFI_STK_RESD_SPC_GEHP_NA_NA_EER.A</t>
        </is>
      </c>
      <c r="D53" t="inlineStr">
        <is>
          <t>EER</t>
        </is>
      </c>
      <c r="E53" t="n">
        <v>14.018055</v>
      </c>
      <c r="F53" t="n">
        <v>14.153003</v>
      </c>
      <c r="G53" t="n">
        <v>14.285445</v>
      </c>
      <c r="H53" t="n">
        <v>14.420227</v>
      </c>
      <c r="I53" t="n">
        <v>14.556438</v>
      </c>
      <c r="J53" t="n">
        <v>14.693085</v>
      </c>
      <c r="K53" t="n">
        <v>14.831795</v>
      </c>
      <c r="L53" t="n">
        <v>14.964412</v>
      </c>
      <c r="M53" t="n">
        <v>15.090815</v>
      </c>
      <c r="N53" t="n">
        <v>15.211212</v>
      </c>
      <c r="O53" t="n">
        <v>15.325381</v>
      </c>
      <c r="P53" t="n">
        <v>15.433255</v>
      </c>
      <c r="Q53" t="n">
        <v>15.535234</v>
      </c>
      <c r="R53" t="n">
        <v>15.630803</v>
      </c>
      <c r="S53" t="n">
        <v>15.719887</v>
      </c>
      <c r="T53" t="n">
        <v>15.802962</v>
      </c>
      <c r="U53" t="n">
        <v>15.878443</v>
      </c>
      <c r="V53" t="n">
        <v>15.946691</v>
      </c>
      <c r="W53" t="n">
        <v>16.007122</v>
      </c>
      <c r="X53" t="n">
        <v>16.060036</v>
      </c>
      <c r="Y53" t="n">
        <v>16.104307</v>
      </c>
      <c r="Z53" t="n">
        <v>16.141459</v>
      </c>
      <c r="AA53" t="n">
        <v>16.171091</v>
      </c>
      <c r="AB53" t="n">
        <v>16.192818</v>
      </c>
      <c r="AC53" t="n">
        <v>16.208145</v>
      </c>
      <c r="AD53" t="n">
        <v>16.216425</v>
      </c>
      <c r="AE53" t="inlineStr">
        <is>
          <t>0.6%</t>
        </is>
      </c>
    </row>
    <row r="54">
      <c r="A54" t="inlineStr">
        <is>
          <t>Central Air Conditioners (SEER)</t>
        </is>
      </c>
      <c r="B54" t="inlineStr">
        <is>
          <t>Residential Equipment: Stock Average Efficiency: Space Cooling: Central Air Conditioners: Alternative Electricity and Transportation</t>
        </is>
      </c>
      <c r="C54" t="inlineStr">
        <is>
          <t>AEO.2026.ELECTRNP.EFI_STK_RESD_SPC_CAC_NA_NA_SEER.A</t>
        </is>
      </c>
      <c r="D54" t="inlineStr">
        <is>
          <t>SEER</t>
        </is>
      </c>
      <c r="E54" t="n">
        <v>13.182222</v>
      </c>
      <c r="F54" t="n">
        <v>13.332609</v>
      </c>
      <c r="G54" t="n">
        <v>13.483406</v>
      </c>
      <c r="H54" t="n">
        <v>13.636544</v>
      </c>
      <c r="I54" t="n">
        <v>13.779715</v>
      </c>
      <c r="J54" t="n">
        <v>13.925951</v>
      </c>
      <c r="K54" t="n">
        <v>14.060987</v>
      </c>
      <c r="L54" t="n">
        <v>14.184299</v>
      </c>
      <c r="M54" t="n">
        <v>14.295242</v>
      </c>
      <c r="N54" t="n">
        <v>14.394967</v>
      </c>
      <c r="O54" t="n">
        <v>14.482498</v>
      </c>
      <c r="P54" t="n">
        <v>14.557345</v>
      </c>
      <c r="Q54" t="n">
        <v>14.620028</v>
      </c>
      <c r="R54" t="n">
        <v>14.671937</v>
      </c>
      <c r="S54" t="n">
        <v>14.712533</v>
      </c>
      <c r="T54" t="n">
        <v>14.742565</v>
      </c>
      <c r="U54" t="n">
        <v>14.761471</v>
      </c>
      <c r="V54" t="n">
        <v>14.768062</v>
      </c>
      <c r="W54" t="n">
        <v>14.774351</v>
      </c>
      <c r="X54" t="n">
        <v>14.780355</v>
      </c>
      <c r="Y54" t="n">
        <v>14.786111</v>
      </c>
      <c r="Z54" t="n">
        <v>14.791622</v>
      </c>
      <c r="AA54" t="n">
        <v>14.796846</v>
      </c>
      <c r="AB54" t="n">
        <v>14.801774</v>
      </c>
      <c r="AC54" t="n">
        <v>14.806413</v>
      </c>
      <c r="AD54" t="n">
        <v>14.810778</v>
      </c>
      <c r="AE54" t="inlineStr">
        <is>
          <t>0.5%</t>
        </is>
      </c>
    </row>
    <row r="55">
      <c r="A55" t="inlineStr">
        <is>
          <t>Room Air Conditioners (EER)</t>
        </is>
      </c>
      <c r="B55" t="inlineStr">
        <is>
          <t>Residential Equipment: Stock Average Efficiency: Space Cooling: Room Air Conditioners: Alternative Electricity and Transportation</t>
        </is>
      </c>
      <c r="C55" t="inlineStr">
        <is>
          <t>AEO.2026.ELECTRNP.EFI_STK_RESD_SPC_RAC_NA_NA_EER.A</t>
        </is>
      </c>
      <c r="D55" t="inlineStr">
        <is>
          <t>EER</t>
        </is>
      </c>
      <c r="E55" t="n">
        <v>11.645765</v>
      </c>
      <c r="F55" t="n">
        <v>11.861027</v>
      </c>
      <c r="G55" t="n">
        <v>12.310933</v>
      </c>
      <c r="H55" t="n">
        <v>12.76936</v>
      </c>
      <c r="I55" t="n">
        <v>13.284547</v>
      </c>
      <c r="J55" t="n">
        <v>13.782188</v>
      </c>
      <c r="K55" t="n">
        <v>14.243883</v>
      </c>
      <c r="L55" t="n">
        <v>14.660746</v>
      </c>
      <c r="M55" t="n">
        <v>15.032824</v>
      </c>
      <c r="N55" t="n">
        <v>15.34953</v>
      </c>
      <c r="O55" t="n">
        <v>15.587445</v>
      </c>
      <c r="P55" t="n">
        <v>15.743828</v>
      </c>
      <c r="Q55" t="n">
        <v>15.817233</v>
      </c>
      <c r="R55" t="n">
        <v>15.875089</v>
      </c>
      <c r="S55" t="n">
        <v>15.918317</v>
      </c>
      <c r="T55" t="n">
        <v>15.94899</v>
      </c>
      <c r="U55" t="n">
        <v>15.969603</v>
      </c>
      <c r="V55" t="n">
        <v>15.982771</v>
      </c>
      <c r="W55" t="n">
        <v>15.990712</v>
      </c>
      <c r="X55" t="n">
        <v>15.995247</v>
      </c>
      <c r="Y55" t="n">
        <v>15.997692</v>
      </c>
      <c r="Z55" t="n">
        <v>15.998946</v>
      </c>
      <c r="AA55" t="n">
        <v>15.999543</v>
      </c>
      <c r="AB55" t="n">
        <v>15.999808</v>
      </c>
      <c r="AC55" t="n">
        <v>15.999928</v>
      </c>
      <c r="AD55" t="n">
        <v>15.999976</v>
      </c>
      <c r="AE55" t="inlineStr">
        <is>
          <t>1.3%</t>
        </is>
      </c>
    </row>
    <row r="56">
      <c r="A56" t="inlineStr">
        <is>
          <t>Water Heaters</t>
        </is>
      </c>
    </row>
    <row r="57">
      <c r="A57" t="inlineStr">
        <is>
          <t>Electric (EF)</t>
        </is>
      </c>
      <c r="B57" t="inlineStr">
        <is>
          <t>Residential Equipment: Stock Average Efficiency: Water Heaters: Electric: Alternative Electricity and Transportation</t>
        </is>
      </c>
      <c r="C57" t="inlineStr">
        <is>
          <t>AEO.2026.ELECTRNP.EFI_STK_RESD_WHT_ELE_NA_NA_EF.A</t>
        </is>
      </c>
      <c r="D57" t="inlineStr">
        <is>
          <t>EF</t>
        </is>
      </c>
      <c r="E57" t="n">
        <v>1.149943</v>
      </c>
      <c r="F57" t="n">
        <v>1.174917</v>
      </c>
      <c r="G57" t="n">
        <v>1.19136</v>
      </c>
      <c r="H57" t="n">
        <v>1.209078</v>
      </c>
      <c r="I57" t="n">
        <v>1.322374</v>
      </c>
      <c r="J57" t="n">
        <v>1.415462</v>
      </c>
      <c r="K57" t="n">
        <v>1.513617</v>
      </c>
      <c r="L57" t="n">
        <v>1.607691</v>
      </c>
      <c r="M57" t="n">
        <v>1.697708</v>
      </c>
      <c r="N57" t="n">
        <v>1.782251</v>
      </c>
      <c r="O57" t="n">
        <v>1.860952</v>
      </c>
      <c r="P57" t="n">
        <v>1.933254</v>
      </c>
      <c r="Q57" t="n">
        <v>1.998485</v>
      </c>
      <c r="R57" t="n">
        <v>2.05664</v>
      </c>
      <c r="S57" t="n">
        <v>2.107246</v>
      </c>
      <c r="T57" t="n">
        <v>2.15043</v>
      </c>
      <c r="U57" t="n">
        <v>2.185891</v>
      </c>
      <c r="V57" t="n">
        <v>2.213363</v>
      </c>
      <c r="W57" t="n">
        <v>2.233032</v>
      </c>
      <c r="X57" t="n">
        <v>2.251643</v>
      </c>
      <c r="Y57" t="n">
        <v>2.26908</v>
      </c>
      <c r="Z57" t="n">
        <v>2.285292</v>
      </c>
      <c r="AA57" t="n">
        <v>2.300254</v>
      </c>
      <c r="AB57" t="n">
        <v>2.313976</v>
      </c>
      <c r="AC57" t="n">
        <v>2.326515</v>
      </c>
      <c r="AD57" t="n">
        <v>2.337879</v>
      </c>
      <c r="AE57" t="inlineStr">
        <is>
          <t>2.9%</t>
        </is>
      </c>
    </row>
    <row r="58">
      <c r="A58" t="inlineStr">
        <is>
          <t>Natural Gas (EF)</t>
        </is>
      </c>
      <c r="B58" t="inlineStr">
        <is>
          <t>Residential Equipment: Stock Average Efficiency: Water Heaters: Natural Gas: Alternative Electricity and Transportation</t>
        </is>
      </c>
      <c r="C58" t="inlineStr">
        <is>
          <t>AEO.2026.ELECTRNP.EFI_STK_RESD_WHT_NG_NA_NA_EF.A</t>
        </is>
      </c>
      <c r="D58" t="inlineStr">
        <is>
          <t>EF</t>
        </is>
      </c>
      <c r="E58" t="n">
        <v>0.613419</v>
      </c>
      <c r="F58" t="n">
        <v>0.616896</v>
      </c>
      <c r="G58" t="n">
        <v>0.619763</v>
      </c>
      <c r="H58" t="n">
        <v>0.622133</v>
      </c>
      <c r="I58" t="n">
        <v>0.628677</v>
      </c>
      <c r="J58" t="n">
        <v>0.634337</v>
      </c>
      <c r="K58" t="n">
        <v>0.639269</v>
      </c>
      <c r="L58" t="n">
        <v>0.643449</v>
      </c>
      <c r="M58" t="n">
        <v>0.646743</v>
      </c>
      <c r="N58" t="n">
        <v>0.649166</v>
      </c>
      <c r="O58" t="n">
        <v>0.650777</v>
      </c>
      <c r="P58" t="n">
        <v>0.6523870000000001</v>
      </c>
      <c r="Q58" t="n">
        <v>0.653966</v>
      </c>
      <c r="R58" t="n">
        <v>0.6554990000000001</v>
      </c>
      <c r="S58" t="n">
        <v>0.656969</v>
      </c>
      <c r="T58" t="n">
        <v>0.658368</v>
      </c>
      <c r="U58" t="n">
        <v>0.659685</v>
      </c>
      <c r="V58" t="n">
        <v>0.660917</v>
      </c>
      <c r="W58" t="n">
        <v>0.662059</v>
      </c>
      <c r="X58" t="n">
        <v>0.66311</v>
      </c>
      <c r="Y58" t="n">
        <v>0.664071</v>
      </c>
      <c r="Z58" t="n">
        <v>0.664942</v>
      </c>
      <c r="AA58" t="n">
        <v>0.665724</v>
      </c>
      <c r="AB58" t="n">
        <v>0.666422</v>
      </c>
      <c r="AC58" t="n">
        <v>0.667041</v>
      </c>
      <c r="AD58" t="n">
        <v>0.667586</v>
      </c>
      <c r="AE58" t="inlineStr">
        <is>
          <t>0.3%</t>
        </is>
      </c>
    </row>
    <row r="59">
      <c r="A59" t="inlineStr">
        <is>
          <t>Distillate Fuel Oil (EF)</t>
        </is>
      </c>
      <c r="B59" t="inlineStr">
        <is>
          <t>Residential Equipment: Stock Average Efficiency: Water Heaters: Distillate Fuel Oil: Alternative Electricity and Transportation</t>
        </is>
      </c>
      <c r="C59" t="inlineStr">
        <is>
          <t>AEO.2026.ELECTRNP.EFI_STK_RESD_WHT_DFO_NA_NA_EF.A</t>
        </is>
      </c>
      <c r="D59" t="inlineStr">
        <is>
          <t>EF</t>
        </is>
      </c>
      <c r="E59" t="n">
        <v>0.55984</v>
      </c>
      <c r="F59" t="n">
        <v>0.572169</v>
      </c>
      <c r="G59" t="n">
        <v>0.584079</v>
      </c>
      <c r="H59" t="n">
        <v>0.595341</v>
      </c>
      <c r="I59" t="n">
        <v>0.606766</v>
      </c>
      <c r="J59" t="n">
        <v>0.616869</v>
      </c>
      <c r="K59" t="n">
        <v>0.6255849999999999</v>
      </c>
      <c r="L59" t="n">
        <v>0.632601</v>
      </c>
      <c r="M59" t="n">
        <v>0.637676</v>
      </c>
      <c r="N59" t="n">
        <v>0.640564</v>
      </c>
      <c r="O59" t="n">
        <v>0.641109</v>
      </c>
      <c r="P59" t="n">
        <v>0.641668</v>
      </c>
      <c r="Q59" t="n">
        <v>0.6422330000000001</v>
      </c>
      <c r="R59" t="n">
        <v>0.642799</v>
      </c>
      <c r="S59" t="n">
        <v>0.643363</v>
      </c>
      <c r="T59" t="n">
        <v>0.643918</v>
      </c>
      <c r="U59" t="n">
        <v>0.644462</v>
      </c>
      <c r="V59" t="n">
        <v>0.64499</v>
      </c>
      <c r="W59" t="n">
        <v>0.6455</v>
      </c>
      <c r="X59" t="n">
        <v>0.645988</v>
      </c>
      <c r="Y59" t="n">
        <v>0.6464530000000001</v>
      </c>
      <c r="Z59" t="n">
        <v>0.646892</v>
      </c>
      <c r="AA59" t="n">
        <v>0.647304</v>
      </c>
      <c r="AB59" t="n">
        <v>0.647688</v>
      </c>
      <c r="AC59" t="n">
        <v>0.648044</v>
      </c>
      <c r="AD59" t="n">
        <v>0.6483719999999999</v>
      </c>
      <c r="AE59" t="inlineStr">
        <is>
          <t>0.6%</t>
        </is>
      </c>
    </row>
    <row r="60">
      <c r="A60" t="inlineStr">
        <is>
          <t>Propane (EF)</t>
        </is>
      </c>
      <c r="B60" t="inlineStr">
        <is>
          <t>Residential Equipment: Stock Average Efficiency: Water Heaters: Propane: Alternative Electricity and Transportation</t>
        </is>
      </c>
      <c r="C60" t="inlineStr">
        <is>
          <t>AEO.2026.ELECTRNP.EFI_STK_RESD_WHT_PROP_NA_NA_EF.A</t>
        </is>
      </c>
      <c r="D60" t="inlineStr">
        <is>
          <t>EF</t>
        </is>
      </c>
      <c r="E60" t="n">
        <v>0.621927</v>
      </c>
      <c r="F60" t="n">
        <v>0.625153</v>
      </c>
      <c r="G60" t="n">
        <v>0.627432</v>
      </c>
      <c r="H60" t="n">
        <v>0.629172</v>
      </c>
      <c r="I60" t="n">
        <v>0.634517</v>
      </c>
      <c r="J60" t="n">
        <v>0.63917</v>
      </c>
      <c r="K60" t="n">
        <v>0.643133</v>
      </c>
      <c r="L60" t="n">
        <v>0.646393</v>
      </c>
      <c r="M60" t="n">
        <v>0.6488969999999999</v>
      </c>
      <c r="N60" t="n">
        <v>0.650628</v>
      </c>
      <c r="O60" t="n">
        <v>0.651559</v>
      </c>
      <c r="P60" t="n">
        <v>0.6525030000000001</v>
      </c>
      <c r="Q60" t="n">
        <v>0.6534450000000001</v>
      </c>
      <c r="R60" t="n">
        <v>0.654375</v>
      </c>
      <c r="S60" t="n">
        <v>0.655284</v>
      </c>
      <c r="T60" t="n">
        <v>0.6561669999999999</v>
      </c>
      <c r="U60" t="n">
        <v>0.657018</v>
      </c>
      <c r="V60" t="n">
        <v>0.657833</v>
      </c>
      <c r="W60" t="n">
        <v>0.658609</v>
      </c>
      <c r="X60" t="n">
        <v>0.659341</v>
      </c>
      <c r="Y60" t="n">
        <v>0.6600279999999999</v>
      </c>
      <c r="Z60" t="n">
        <v>0.6606649999999999</v>
      </c>
      <c r="AA60" t="n">
        <v>0.661251</v>
      </c>
      <c r="AB60" t="n">
        <v>0.661785</v>
      </c>
      <c r="AC60" t="n">
        <v>0.662269</v>
      </c>
      <c r="AD60" t="n">
        <v>0.662704</v>
      </c>
      <c r="AE60" t="inlineStr">
        <is>
          <t>0.3%</t>
        </is>
      </c>
    </row>
    <row r="61">
      <c r="A61" t="inlineStr">
        <is>
          <t>Other Appliances (kilowatthours per year)</t>
        </is>
      </c>
    </row>
    <row r="62">
      <c r="A62" t="inlineStr">
        <is>
          <t>Refrigerators</t>
        </is>
      </c>
      <c r="B62" t="inlineStr">
        <is>
          <t>Residential Equipment: Stock Average Efficiency: Other Appliances: Refrigerators: Alternative Electricity and Transportation</t>
        </is>
      </c>
      <c r="C62" t="inlineStr">
        <is>
          <t>AEO.2026.ELECTRNP.EFI_STK_RESD_OTAR_RFG_NA_NA_KWH.A</t>
        </is>
      </c>
      <c r="D62" t="inlineStr">
        <is>
          <t>kWh</t>
        </is>
      </c>
      <c r="E62" t="n">
        <v>596.525574</v>
      </c>
      <c r="F62" t="n">
        <v>587.685242</v>
      </c>
      <c r="G62" t="n">
        <v>578.720154</v>
      </c>
      <c r="H62" t="n">
        <v>569.706848</v>
      </c>
      <c r="I62" t="n">
        <v>561.178101</v>
      </c>
      <c r="J62" t="n">
        <v>548.501343</v>
      </c>
      <c r="K62" t="n">
        <v>536.269104</v>
      </c>
      <c r="L62" t="n">
        <v>524.465759</v>
      </c>
      <c r="M62" t="n">
        <v>513.087463</v>
      </c>
      <c r="N62" t="n">
        <v>502.114105</v>
      </c>
      <c r="O62" t="n">
        <v>491.578186</v>
      </c>
      <c r="P62" t="n">
        <v>481.782928</v>
      </c>
      <c r="Q62" t="n">
        <v>472.797028</v>
      </c>
      <c r="R62" t="n">
        <v>464.654297</v>
      </c>
      <c r="S62" t="n">
        <v>457.365601</v>
      </c>
      <c r="T62" t="n">
        <v>450.895355</v>
      </c>
      <c r="U62" t="n">
        <v>445.244843</v>
      </c>
      <c r="V62" t="n">
        <v>440.373627</v>
      </c>
      <c r="W62" t="n">
        <v>436.319031</v>
      </c>
      <c r="X62" t="n">
        <v>433.03894</v>
      </c>
      <c r="Y62" t="n">
        <v>430.560669</v>
      </c>
      <c r="Z62" t="n">
        <v>428.906555</v>
      </c>
      <c r="AA62" t="n">
        <v>428.04953</v>
      </c>
      <c r="AB62" t="n">
        <v>427.281921</v>
      </c>
      <c r="AC62" t="n">
        <v>426.600159</v>
      </c>
      <c r="AD62" t="n">
        <v>425.988586</v>
      </c>
      <c r="AE62" t="inlineStr">
        <is>
          <t>-1.3%</t>
        </is>
      </c>
    </row>
    <row r="63">
      <c r="A63" t="inlineStr">
        <is>
          <t>Freezers</t>
        </is>
      </c>
      <c r="B63" t="inlineStr">
        <is>
          <t>Residential Equipment: Stock Average Efficiency: Other Appliances: Freezers: Alternative Electricity and Transportation</t>
        </is>
      </c>
      <c r="C63" t="inlineStr">
        <is>
          <t>AEO.2026.ELECTRNP.EFI_STK_RESD_OTAR_FRZ_NA_NA_KWH.A</t>
        </is>
      </c>
      <c r="D63" t="inlineStr">
        <is>
          <t>kWh</t>
        </is>
      </c>
      <c r="E63" t="n">
        <v>458.943054</v>
      </c>
      <c r="F63" t="n">
        <v>454.386353</v>
      </c>
      <c r="G63" t="n">
        <v>449.854584</v>
      </c>
      <c r="H63" t="n">
        <v>445.281952</v>
      </c>
      <c r="I63" t="n">
        <v>440.632965</v>
      </c>
      <c r="J63" t="n">
        <v>433.892456</v>
      </c>
      <c r="K63" t="n">
        <v>427.017548</v>
      </c>
      <c r="L63" t="n">
        <v>420.047577</v>
      </c>
      <c r="M63" t="n">
        <v>413.356567</v>
      </c>
      <c r="N63" t="n">
        <v>406.947083</v>
      </c>
      <c r="O63" t="n">
        <v>400.83316</v>
      </c>
      <c r="P63" t="n">
        <v>395.00174</v>
      </c>
      <c r="Q63" t="n">
        <v>389.434753</v>
      </c>
      <c r="R63" t="n">
        <v>384.164764</v>
      </c>
      <c r="S63" t="n">
        <v>379.21167</v>
      </c>
      <c r="T63" t="n">
        <v>374.553558</v>
      </c>
      <c r="U63" t="n">
        <v>370.243713</v>
      </c>
      <c r="V63" t="n">
        <v>366.249695</v>
      </c>
      <c r="W63" t="n">
        <v>362.591187</v>
      </c>
      <c r="X63" t="n">
        <v>359.250061</v>
      </c>
      <c r="Y63" t="n">
        <v>356.207977</v>
      </c>
      <c r="Z63" t="n">
        <v>353.528564</v>
      </c>
      <c r="AA63" t="n">
        <v>351.185089</v>
      </c>
      <c r="AB63" t="n">
        <v>349.228699</v>
      </c>
      <c r="AC63" t="n">
        <v>347.686554</v>
      </c>
      <c r="AD63" t="n">
        <v>346.562897</v>
      </c>
      <c r="AE63" t="inlineStr">
        <is>
          <t>-1.1%</t>
        </is>
      </c>
    </row>
    <row r="64">
      <c r="A64" t="inlineStr">
        <is>
          <t>Building Shell Efficiency Index</t>
        </is>
      </c>
    </row>
    <row r="65">
      <c r="A65" t="inlineStr">
        <is>
          <t>Space Heating</t>
        </is>
      </c>
    </row>
    <row r="66">
      <c r="A66" t="inlineStr">
        <is>
          <t>Pre-2020 Homes</t>
        </is>
      </c>
      <c r="B66" t="inlineStr">
        <is>
          <t>Residential Equipment: Building Shell Efficiency Index: Space Heating: Pre-2020 Homes: Alternative Electricity and Transportation</t>
        </is>
      </c>
      <c r="C66" t="inlineStr">
        <is>
          <t>AEO.2026.ELECTRNP.EFI_BSE_RESD_SPH_OLD_NA_NA_Y15EQ1.A</t>
        </is>
      </c>
      <c r="D66" t="inlineStr">
        <is>
          <t>2020=1.00</t>
        </is>
      </c>
      <c r="E66" t="n">
        <v>0.956101</v>
      </c>
      <c r="F66" t="n">
        <v>0.950758</v>
      </c>
      <c r="G66" t="n">
        <v>0.945052</v>
      </c>
      <c r="H66" t="n">
        <v>0.938998</v>
      </c>
      <c r="I66" t="n">
        <v>0.932345</v>
      </c>
      <c r="J66" t="n">
        <v>0.925172</v>
      </c>
      <c r="K66" t="n">
        <v>0.917816</v>
      </c>
      <c r="L66" t="n">
        <v>0.910537</v>
      </c>
      <c r="M66" t="n">
        <v>0.90305</v>
      </c>
      <c r="N66" t="n">
        <v>0.895764</v>
      </c>
      <c r="O66" t="n">
        <v>0.888572</v>
      </c>
      <c r="P66" t="n">
        <v>0.881558</v>
      </c>
      <c r="Q66" t="n">
        <v>0.874511</v>
      </c>
      <c r="R66" t="n">
        <v>0.867545</v>
      </c>
      <c r="S66" t="n">
        <v>0.860613</v>
      </c>
      <c r="T66" t="n">
        <v>0.853716</v>
      </c>
      <c r="U66" t="n">
        <v>0.846866</v>
      </c>
      <c r="V66" t="n">
        <v>0.840177</v>
      </c>
      <c r="W66" t="n">
        <v>0.83362</v>
      </c>
      <c r="X66" t="n">
        <v>0.8271500000000001</v>
      </c>
      <c r="Y66" t="n">
        <v>0.82065</v>
      </c>
      <c r="Z66" t="n">
        <v>0.814016</v>
      </c>
      <c r="AA66" t="n">
        <v>0.807256</v>
      </c>
      <c r="AB66" t="n">
        <v>0.800451</v>
      </c>
      <c r="AC66" t="n">
        <v>0.793677</v>
      </c>
      <c r="AD66" t="n">
        <v>0.786926</v>
      </c>
      <c r="AE66" t="inlineStr">
        <is>
          <t>-0.8%</t>
        </is>
      </c>
    </row>
    <row r="67">
      <c r="A67" t="inlineStr">
        <is>
          <t>New Construction</t>
        </is>
      </c>
      <c r="B67" t="inlineStr">
        <is>
          <t>Residential Equipment: Building Shell Efficiency Index: Space Heating: New Construction: Alternative Electricity and Transportation</t>
        </is>
      </c>
      <c r="C67" t="inlineStr">
        <is>
          <t>AEO.2026.ELECTRNP.EFI_BSE_RESD_SPH_NCO_NA_NA_Y15EQ1.A</t>
        </is>
      </c>
      <c r="D67" t="inlineStr">
        <is>
          <t>2020=1.00</t>
        </is>
      </c>
      <c r="E67" t="n">
        <v>0.789724</v>
      </c>
      <c r="F67" t="n">
        <v>0.865747</v>
      </c>
      <c r="G67" t="n">
        <v>0.901509</v>
      </c>
      <c r="H67" t="n">
        <v>0.900807</v>
      </c>
      <c r="I67" t="n">
        <v>0.898675</v>
      </c>
      <c r="J67" t="n">
        <v>0.902115</v>
      </c>
      <c r="K67" t="n">
        <v>0.908102</v>
      </c>
      <c r="L67" t="n">
        <v>0.90784</v>
      </c>
      <c r="M67" t="n">
        <v>0.906341</v>
      </c>
      <c r="N67" t="n">
        <v>0.904926</v>
      </c>
      <c r="O67" t="n">
        <v>0.90334</v>
      </c>
      <c r="P67" t="n">
        <v>0.902405</v>
      </c>
      <c r="Q67" t="n">
        <v>0.895033</v>
      </c>
      <c r="R67" t="n">
        <v>0.891202</v>
      </c>
      <c r="S67" t="n">
        <v>0.888339</v>
      </c>
      <c r="T67" t="n">
        <v>0.885432</v>
      </c>
      <c r="U67" t="n">
        <v>0.881966</v>
      </c>
      <c r="V67" t="n">
        <v>0.8786</v>
      </c>
      <c r="W67" t="n">
        <v>0.878308</v>
      </c>
      <c r="X67" t="n">
        <v>0.879787</v>
      </c>
      <c r="Y67" t="n">
        <v>0.879173</v>
      </c>
      <c r="Z67" t="n">
        <v>0.877908</v>
      </c>
      <c r="AA67" t="n">
        <v>0.876591</v>
      </c>
      <c r="AB67" t="n">
        <v>0.875545</v>
      </c>
      <c r="AC67" t="n">
        <v>0.874588</v>
      </c>
      <c r="AD67" t="n">
        <v>0.873561</v>
      </c>
      <c r="AE67" t="inlineStr">
        <is>
          <t>0.4%</t>
        </is>
      </c>
    </row>
    <row r="68">
      <c r="A68" t="inlineStr">
        <is>
          <t>All Homes</t>
        </is>
      </c>
      <c r="B68" t="inlineStr">
        <is>
          <t>Residential Equipment: Building Shell Efficiency Index: Space Heating: All Homes: Alternative Electricity and Transportation</t>
        </is>
      </c>
      <c r="C68" t="inlineStr">
        <is>
          <t>AEO.2026.ELECTRNP.EFI_BSE_RESD_SPH_AHM_NA_NA_Y15EQ1.A</t>
        </is>
      </c>
      <c r="D68" t="inlineStr">
        <is>
          <t>2020=1.00</t>
        </is>
      </c>
      <c r="E68" t="n">
        <v>0.9475</v>
      </c>
      <c r="F68" t="n">
        <v>0.94159</v>
      </c>
      <c r="G68" t="n">
        <v>0.935891</v>
      </c>
      <c r="H68" t="n">
        <v>0.930009</v>
      </c>
      <c r="I68" t="n">
        <v>0.923702</v>
      </c>
      <c r="J68" t="n">
        <v>0.91712</v>
      </c>
      <c r="K68" t="n">
        <v>0.910592</v>
      </c>
      <c r="L68" t="n">
        <v>0.904272</v>
      </c>
      <c r="M68" t="n">
        <v>0.897896</v>
      </c>
      <c r="N68" t="n">
        <v>0.891807</v>
      </c>
      <c r="O68" t="n">
        <v>0.885903</v>
      </c>
      <c r="P68" t="n">
        <v>0.880253</v>
      </c>
      <c r="Q68" t="n">
        <v>0.874602</v>
      </c>
      <c r="R68" t="n">
        <v>0.869078</v>
      </c>
      <c r="S68" t="n">
        <v>0.863643</v>
      </c>
      <c r="T68" t="n">
        <v>0.858293</v>
      </c>
      <c r="U68" t="n">
        <v>0.853028</v>
      </c>
      <c r="V68" t="n">
        <v>0.847936</v>
      </c>
      <c r="W68" t="n">
        <v>0.84301</v>
      </c>
      <c r="X68" t="n">
        <v>0.838226</v>
      </c>
      <c r="Y68" t="n">
        <v>0.83348</v>
      </c>
      <c r="Z68" t="n">
        <v>0.828688</v>
      </c>
      <c r="AA68" t="n">
        <v>0.8238529999999999</v>
      </c>
      <c r="AB68" t="n">
        <v>0.81904</v>
      </c>
      <c r="AC68" t="n">
        <v>0.814306</v>
      </c>
      <c r="AD68" t="n">
        <v>0.809646</v>
      </c>
      <c r="AE68" t="inlineStr">
        <is>
          <t>-0.6%</t>
        </is>
      </c>
    </row>
    <row r="69">
      <c r="A69" t="inlineStr">
        <is>
          <t>Space Cooling</t>
        </is>
      </c>
    </row>
    <row r="70">
      <c r="A70" t="inlineStr">
        <is>
          <t>Pre-2020 Homes</t>
        </is>
      </c>
      <c r="B70" t="inlineStr">
        <is>
          <t>Residential Equipment: Building Shell Efficiency Index: Space Cooling: Pre-2020 Homes: Alternative Electricity and Transportation</t>
        </is>
      </c>
      <c r="C70" t="inlineStr">
        <is>
          <t>AEO.2026.ELECTRNP.EFI_BSE_RESD_SPC_OLD_NA_NA_Y15EQ1.A</t>
        </is>
      </c>
      <c r="D70" t="inlineStr">
        <is>
          <t>2020=1.00</t>
        </is>
      </c>
      <c r="E70" t="n">
        <v>0.984865</v>
      </c>
      <c r="F70" t="n">
        <v>0.983098</v>
      </c>
      <c r="G70" t="n">
        <v>0.9811299999999999</v>
      </c>
      <c r="H70" t="n">
        <v>0.978977</v>
      </c>
      <c r="I70" t="n">
        <v>0.976576</v>
      </c>
      <c r="J70" t="n">
        <v>0.974012</v>
      </c>
      <c r="K70" t="n">
        <v>0.971383</v>
      </c>
      <c r="L70" t="n">
        <v>0.968805</v>
      </c>
      <c r="M70" t="n">
        <v>0.966197</v>
      </c>
      <c r="N70" t="n">
        <v>0.963654</v>
      </c>
      <c r="O70" t="n">
        <v>0.9611189999999999</v>
      </c>
      <c r="P70" t="n">
        <v>0.958638</v>
      </c>
      <c r="Q70" t="n">
        <v>0.956141</v>
      </c>
      <c r="R70" t="n">
        <v>0.953668</v>
      </c>
      <c r="S70" t="n">
        <v>0.951209</v>
      </c>
      <c r="T70" t="n">
        <v>0.94877</v>
      </c>
      <c r="U70" t="n">
        <v>0.946343</v>
      </c>
      <c r="V70" t="n">
        <v>0.94397</v>
      </c>
      <c r="W70" t="n">
        <v>0.9416369999999999</v>
      </c>
      <c r="X70" t="n">
        <v>0.939331</v>
      </c>
      <c r="Y70" t="n">
        <v>0.937013</v>
      </c>
      <c r="Z70" t="n">
        <v>0.934647</v>
      </c>
      <c r="AA70" t="n">
        <v>0.932236</v>
      </c>
      <c r="AB70" t="n">
        <v>0.9298070000000001</v>
      </c>
      <c r="AC70" t="n">
        <v>0.927389</v>
      </c>
      <c r="AD70" t="n">
        <v>0.924984</v>
      </c>
      <c r="AE70" t="inlineStr">
        <is>
          <t>-0.3%</t>
        </is>
      </c>
    </row>
    <row r="71">
      <c r="A71" t="inlineStr">
        <is>
          <t>New Construction</t>
        </is>
      </c>
      <c r="B71" t="inlineStr">
        <is>
          <t>Residential Equipment: Building Shell Efficiency Index: Space Cooling: New Construction: Alternative Electricity and Transportation</t>
        </is>
      </c>
      <c r="C71" t="inlineStr">
        <is>
          <t>AEO.2026.ELECTRNP.EFI_BSE_RESD_SPC_NCO_NA_NA_Y15EQ1.A</t>
        </is>
      </c>
      <c r="D71" t="inlineStr">
        <is>
          <t>2020=1.00</t>
        </is>
      </c>
      <c r="E71" t="n">
        <v>0.9789330000000001</v>
      </c>
      <c r="F71" t="n">
        <v>1.006527</v>
      </c>
      <c r="G71" t="n">
        <v>1.023568</v>
      </c>
      <c r="H71" t="n">
        <v>1.023448</v>
      </c>
      <c r="I71" t="n">
        <v>1.022484</v>
      </c>
      <c r="J71" t="n">
        <v>1.022529</v>
      </c>
      <c r="K71" t="n">
        <v>1.026335</v>
      </c>
      <c r="L71" t="n">
        <v>1.026398</v>
      </c>
      <c r="M71" t="n">
        <v>1.025671</v>
      </c>
      <c r="N71" t="n">
        <v>1.025067</v>
      </c>
      <c r="O71" t="n">
        <v>1.024506</v>
      </c>
      <c r="P71" t="n">
        <v>1.024467</v>
      </c>
      <c r="Q71" t="n">
        <v>1.019954</v>
      </c>
      <c r="R71" t="n">
        <v>1.017898</v>
      </c>
      <c r="S71" t="n">
        <v>1.016372</v>
      </c>
      <c r="T71" t="n">
        <v>1.015388</v>
      </c>
      <c r="U71" t="n">
        <v>1.014135</v>
      </c>
      <c r="V71" t="n">
        <v>1.01255</v>
      </c>
      <c r="W71" t="n">
        <v>1.013225</v>
      </c>
      <c r="X71" t="n">
        <v>1.015143</v>
      </c>
      <c r="Y71" t="n">
        <v>1.015255</v>
      </c>
      <c r="Z71" t="n">
        <v>1.01481</v>
      </c>
      <c r="AA71" t="n">
        <v>1.014474</v>
      </c>
      <c r="AB71" t="n">
        <v>1.014172</v>
      </c>
      <c r="AC71" t="n">
        <v>1.014011</v>
      </c>
      <c r="AD71" t="n">
        <v>1.013783</v>
      </c>
      <c r="AE71" t="inlineStr">
        <is>
          <t>0.1%</t>
        </is>
      </c>
    </row>
    <row r="72">
      <c r="A72" t="inlineStr">
        <is>
          <t>All Homes</t>
        </is>
      </c>
      <c r="B72" t="inlineStr">
        <is>
          <t>Residential Equipment: Building Shell Efficiency Index: Space Cooling: All Homes: Alternative Electricity and Transportation</t>
        </is>
      </c>
      <c r="C72" t="inlineStr">
        <is>
          <t>AEO.2026.ELECTRNP.EFI_BSE_RESD_SPC_AHM_NA_NA_Y15EQ1.A</t>
        </is>
      </c>
      <c r="D72" t="inlineStr">
        <is>
          <t>2020=1.00</t>
        </is>
      </c>
      <c r="E72" t="n">
        <v>0.985082</v>
      </c>
      <c r="F72" t="n">
        <v>0.9836279999999999</v>
      </c>
      <c r="G72" t="n">
        <v>0.982187</v>
      </c>
      <c r="H72" t="n">
        <v>0.98059</v>
      </c>
      <c r="I72" t="n">
        <v>0.978785</v>
      </c>
      <c r="J72" t="n">
        <v>0.976858</v>
      </c>
      <c r="K72" t="n">
        <v>0.9749409999999999</v>
      </c>
      <c r="L72" t="n">
        <v>0.973101</v>
      </c>
      <c r="M72" t="n">
        <v>0.971248</v>
      </c>
      <c r="N72" t="n">
        <v>0.969462</v>
      </c>
      <c r="O72" t="n">
        <v>0.967695</v>
      </c>
      <c r="P72" t="n">
        <v>0.965988</v>
      </c>
      <c r="Q72" t="n">
        <v>0.9642309999999999</v>
      </c>
      <c r="R72" t="n">
        <v>0.962486</v>
      </c>
      <c r="S72" t="n">
        <v>0.960742</v>
      </c>
      <c r="T72" t="n">
        <v>0.959014</v>
      </c>
      <c r="U72" t="n">
        <v>0.95729</v>
      </c>
      <c r="V72" t="n">
        <v>0.955606</v>
      </c>
      <c r="W72" t="n">
        <v>0.953964</v>
      </c>
      <c r="X72" t="n">
        <v>0.952364</v>
      </c>
      <c r="Y72" t="n">
        <v>0.950769</v>
      </c>
      <c r="Z72" t="n">
        <v>0.949148</v>
      </c>
      <c r="AA72" t="n">
        <v>0.947501</v>
      </c>
      <c r="AB72" t="n">
        <v>0.9458490000000001</v>
      </c>
      <c r="AC72" t="n">
        <v>0.944219</v>
      </c>
      <c r="AD72" t="n">
        <v>0.942611</v>
      </c>
      <c r="AE72" t="inlineStr">
        <is>
          <t>-0.2%</t>
        </is>
      </c>
    </row>
    <row r="73">
      <c r="A73" t="inlineStr">
        <is>
          <t>Distributed Generation and</t>
        </is>
      </c>
    </row>
    <row r="74">
      <c r="A74" t="inlineStr">
        <is>
          <t>Combined Heat and Power</t>
        </is>
      </c>
    </row>
    <row r="75">
      <c r="A75" t="inlineStr">
        <is>
          <t>Generating Capacity (gigawatts)</t>
        </is>
      </c>
    </row>
    <row r="76">
      <c r="A76" t="inlineStr">
        <is>
          <t>Natural Gas Fuel Cells</t>
        </is>
      </c>
      <c r="B76" t="inlineStr">
        <is>
          <t>Residential: Combined Heat and Power: Generating Capacity: Fuel Cells: Alternative Electricity and Transportation</t>
        </is>
      </c>
      <c r="C76" t="inlineStr">
        <is>
          <t>AEO.2026.ELECTRNP.CAP_NA_COMM_CHP_FCL_NA_NA_MW.A</t>
        </is>
      </c>
      <c r="D76" t="inlineStr">
        <is>
          <t>GW</t>
        </is>
      </c>
      <c r="E76" t="n">
        <v>0.000505</v>
      </c>
      <c r="F76" t="n">
        <v>0.001105</v>
      </c>
      <c r="G76" t="n">
        <v>0.001689</v>
      </c>
      <c r="H76" t="n">
        <v>0.001702</v>
      </c>
      <c r="I76" t="n">
        <v>0.001715</v>
      </c>
      <c r="J76" t="n">
        <v>0.002529</v>
      </c>
      <c r="K76" t="n">
        <v>0.003616</v>
      </c>
      <c r="L76" t="n">
        <v>0.004737</v>
      </c>
      <c r="M76" t="n">
        <v>0.005609</v>
      </c>
      <c r="N76" t="n">
        <v>0.006702</v>
      </c>
      <c r="O76" t="n">
        <v>0.006715</v>
      </c>
      <c r="P76" t="n">
        <v>0.006728</v>
      </c>
      <c r="Q76" t="n">
        <v>0.006741</v>
      </c>
      <c r="R76" t="n">
        <v>0.006754</v>
      </c>
      <c r="S76" t="n">
        <v>0.006768</v>
      </c>
      <c r="T76" t="n">
        <v>0.006782</v>
      </c>
      <c r="U76" t="n">
        <v>0.006798</v>
      </c>
      <c r="V76" t="n">
        <v>0.006819</v>
      </c>
      <c r="W76" t="n">
        <v>0.006848</v>
      </c>
      <c r="X76" t="n">
        <v>0.006894</v>
      </c>
      <c r="Y76" t="n">
        <v>0.006973</v>
      </c>
      <c r="Z76" t="n">
        <v>0.007111</v>
      </c>
      <c r="AA76" t="n">
        <v>0.007249</v>
      </c>
      <c r="AB76" t="n">
        <v>0.007388</v>
      </c>
      <c r="AC76" t="n">
        <v>0.007528</v>
      </c>
      <c r="AD76" t="n">
        <v>0.007669</v>
      </c>
      <c r="AE76" t="inlineStr">
        <is>
          <t>11.5%</t>
        </is>
      </c>
    </row>
    <row r="77">
      <c r="A77" t="inlineStr">
        <is>
          <t>Solar Photovoltaic</t>
        </is>
      </c>
      <c r="B77" t="inlineStr">
        <is>
          <t>Residential: Combined Heat and Power: Generating Capacity: Solar Photovoltaic: Alternative Electricity and Transportation</t>
        </is>
      </c>
      <c r="C77" t="inlineStr">
        <is>
          <t>AEO.2026.ELECTRNP.CAP_NA_RESD_CHP_SLR_PHTVL_NA_MW.A</t>
        </is>
      </c>
      <c r="D77" t="inlineStr">
        <is>
          <t>GW</t>
        </is>
      </c>
      <c r="E77" t="n">
        <v>44.365597</v>
      </c>
      <c r="F77" t="n">
        <v>47.055515</v>
      </c>
      <c r="G77" t="n">
        <v>50.09021</v>
      </c>
      <c r="H77" t="n">
        <v>53.229542</v>
      </c>
      <c r="I77" t="n">
        <v>56.177746</v>
      </c>
      <c r="J77" t="n">
        <v>59.281429</v>
      </c>
      <c r="K77" t="n">
        <v>62.644226</v>
      </c>
      <c r="L77" t="n">
        <v>66.00039700000001</v>
      </c>
      <c r="M77" t="n">
        <v>69.527916</v>
      </c>
      <c r="N77" t="n">
        <v>73.271034</v>
      </c>
      <c r="O77" t="n">
        <v>77.27243799999999</v>
      </c>
      <c r="P77" t="n">
        <v>81.47043600000001</v>
      </c>
      <c r="Q77" t="n">
        <v>85.978043</v>
      </c>
      <c r="R77" t="n">
        <v>90.70051599999999</v>
      </c>
      <c r="S77" t="n">
        <v>95.67862700000001</v>
      </c>
      <c r="T77" t="n">
        <v>100.839439</v>
      </c>
      <c r="U77" t="n">
        <v>106.218834</v>
      </c>
      <c r="V77" t="n">
        <v>111.758263</v>
      </c>
      <c r="W77" t="n">
        <v>117.472054</v>
      </c>
      <c r="X77" t="n">
        <v>123.408279</v>
      </c>
      <c r="Y77" t="n">
        <v>129.492126</v>
      </c>
      <c r="Z77" t="n">
        <v>135.761734</v>
      </c>
      <c r="AA77" t="n">
        <v>142.224899</v>
      </c>
      <c r="AB77" t="n">
        <v>148.972382</v>
      </c>
      <c r="AC77" t="n">
        <v>155.844299</v>
      </c>
      <c r="AD77" t="n">
        <v>162.963379</v>
      </c>
      <c r="AE77" t="inlineStr">
        <is>
          <t>5.3%</t>
        </is>
      </c>
    </row>
    <row r="78">
      <c r="A78" t="inlineStr">
        <is>
          <t>Wind</t>
        </is>
      </c>
      <c r="B78" t="inlineStr">
        <is>
          <t>Residential: Combined Heat and Power: Generating Capacity: Wind: Alternative Electricity and Transportation</t>
        </is>
      </c>
      <c r="C78" t="inlineStr">
        <is>
          <t>AEO.2026.ELECTRNP.CAP_NA_RESD_CHP_WND_NA_NA_MW.A</t>
        </is>
      </c>
      <c r="D78" t="inlineStr">
        <is>
          <t>GW</t>
        </is>
      </c>
      <c r="E78" t="n">
        <v>0.161232</v>
      </c>
      <c r="F78" t="n">
        <v>0.161366</v>
      </c>
      <c r="G78" t="n">
        <v>0.16153</v>
      </c>
      <c r="H78" t="n">
        <v>0.161692</v>
      </c>
      <c r="I78" t="n">
        <v>0.161954</v>
      </c>
      <c r="J78" t="n">
        <v>0.16241</v>
      </c>
      <c r="K78" t="n">
        <v>0.163239</v>
      </c>
      <c r="L78" t="n">
        <v>0.164534</v>
      </c>
      <c r="M78" t="n">
        <v>0.166535</v>
      </c>
      <c r="N78" t="n">
        <v>0.169296</v>
      </c>
      <c r="O78" t="n">
        <v>0.1726</v>
      </c>
      <c r="P78" t="n">
        <v>0.176311</v>
      </c>
      <c r="Q78" t="n">
        <v>0.180427</v>
      </c>
      <c r="R78" t="n">
        <v>0.184751</v>
      </c>
      <c r="S78" t="n">
        <v>0.189183</v>
      </c>
      <c r="T78" t="n">
        <v>0.193883</v>
      </c>
      <c r="U78" t="n">
        <v>0.199127</v>
      </c>
      <c r="V78" t="n">
        <v>0.204729</v>
      </c>
      <c r="W78" t="n">
        <v>0.210513</v>
      </c>
      <c r="X78" t="n">
        <v>0.21644</v>
      </c>
      <c r="Y78" t="n">
        <v>0.222562</v>
      </c>
      <c r="Z78" t="n">
        <v>0.229229</v>
      </c>
      <c r="AA78" t="n">
        <v>0.236147</v>
      </c>
      <c r="AB78" t="n">
        <v>0.244054</v>
      </c>
      <c r="AC78" t="n">
        <v>0.252049</v>
      </c>
      <c r="AD78" t="n">
        <v>0.260129</v>
      </c>
      <c r="AE78" t="inlineStr">
        <is>
          <t>1.9%</t>
        </is>
      </c>
    </row>
    <row r="79">
      <c r="A79" t="inlineStr">
        <is>
          <t>Total</t>
        </is>
      </c>
      <c r="B79" t="inlineStr">
        <is>
          <t>Residential: Combined Heat and Power: Generating Capacity: Total: Alternative Electricity and Transportation</t>
        </is>
      </c>
      <c r="C79" t="inlineStr">
        <is>
          <t>AEO.2026.ELECTRNP.CAP_NA_RESD_CHP_TOT_NA_NA_MW.A</t>
        </is>
      </c>
      <c r="D79" t="inlineStr">
        <is>
          <t>GW</t>
        </is>
      </c>
      <c r="E79" t="n">
        <v>44.527336</v>
      </c>
      <c r="F79" t="n">
        <v>47.217987</v>
      </c>
      <c r="G79" t="n">
        <v>50.253429</v>
      </c>
      <c r="H79" t="n">
        <v>53.392937</v>
      </c>
      <c r="I79" t="n">
        <v>56.341415</v>
      </c>
      <c r="J79" t="n">
        <v>59.446369</v>
      </c>
      <c r="K79" t="n">
        <v>62.811081</v>
      </c>
      <c r="L79" t="n">
        <v>66.16967</v>
      </c>
      <c r="M79" t="n">
        <v>69.700058</v>
      </c>
      <c r="N79" t="n">
        <v>73.447029</v>
      </c>
      <c r="O79" t="n">
        <v>77.451752</v>
      </c>
      <c r="P79" t="n">
        <v>81.65347300000001</v>
      </c>
      <c r="Q79" t="n">
        <v>86.165215</v>
      </c>
      <c r="R79" t="n">
        <v>90.892021</v>
      </c>
      <c r="S79" t="n">
        <v>95.87457999999999</v>
      </c>
      <c r="T79" t="n">
        <v>101.040108</v>
      </c>
      <c r="U79" t="n">
        <v>106.424759</v>
      </c>
      <c r="V79" t="n">
        <v>111.96981</v>
      </c>
      <c r="W79" t="n">
        <v>117.689415</v>
      </c>
      <c r="X79" t="n">
        <v>123.631615</v>
      </c>
      <c r="Y79" t="n">
        <v>129.721664</v>
      </c>
      <c r="Z79" t="n">
        <v>135.998077</v>
      </c>
      <c r="AA79" t="n">
        <v>142.468292</v>
      </c>
      <c r="AB79" t="n">
        <v>149.223816</v>
      </c>
      <c r="AC79" t="n">
        <v>156.103867</v>
      </c>
      <c r="AD79" t="n">
        <v>163.231186</v>
      </c>
      <c r="AE79" t="inlineStr">
        <is>
          <t>5.3%</t>
        </is>
      </c>
    </row>
    <row r="80">
      <c r="A80" t="inlineStr">
        <is>
          <t>Net Generation (billion kilowatthours)</t>
        </is>
      </c>
    </row>
    <row r="81">
      <c r="A81" t="inlineStr">
        <is>
          <t>Natural Gas Fuel Cells</t>
        </is>
      </c>
      <c r="B81" t="inlineStr">
        <is>
          <t>Residential: Combined Heat and Power: Net Generation: Fuel Cells: Alternative Electricity and Transportation</t>
        </is>
      </c>
      <c r="C81" t="inlineStr">
        <is>
          <t>AEO.2026.ELECTRNP.GEN_NA_COMM_CHP_FCL_NA_NA_MILLKWH.A</t>
        </is>
      </c>
      <c r="D81" t="inlineStr">
        <is>
          <t>billion kWh</t>
        </is>
      </c>
      <c r="E81" t="n">
        <v>0.002002</v>
      </c>
      <c r="F81" t="n">
        <v>0.004375</v>
      </c>
      <c r="G81" t="n">
        <v>0.006688</v>
      </c>
      <c r="H81" t="n">
        <v>0.006739</v>
      </c>
      <c r="I81" t="n">
        <v>0.006791</v>
      </c>
      <c r="J81" t="n">
        <v>0.010015</v>
      </c>
      <c r="K81" t="n">
        <v>0.014319</v>
      </c>
      <c r="L81" t="n">
        <v>0.018757</v>
      </c>
      <c r="M81" t="n">
        <v>0.022213</v>
      </c>
      <c r="N81" t="n">
        <v>0.026542</v>
      </c>
      <c r="O81" t="n">
        <v>0.026593</v>
      </c>
      <c r="P81" t="n">
        <v>0.026644</v>
      </c>
      <c r="Q81" t="n">
        <v>0.026696</v>
      </c>
      <c r="R81" t="n">
        <v>0.026747</v>
      </c>
      <c r="S81" t="n">
        <v>0.026799</v>
      </c>
      <c r="T81" t="n">
        <v>0.026855</v>
      </c>
      <c r="U81" t="n">
        <v>0.026919</v>
      </c>
      <c r="V81" t="n">
        <v>0.027001</v>
      </c>
      <c r="W81" t="n">
        <v>0.027117</v>
      </c>
      <c r="X81" t="n">
        <v>0.027301</v>
      </c>
      <c r="Y81" t="n">
        <v>0.027612</v>
      </c>
      <c r="Z81" t="n">
        <v>0.028158</v>
      </c>
      <c r="AA81" t="n">
        <v>0.028707</v>
      </c>
      <c r="AB81" t="n">
        <v>0.029258</v>
      </c>
      <c r="AC81" t="n">
        <v>0.029812</v>
      </c>
      <c r="AD81" t="n">
        <v>0.030371</v>
      </c>
      <c r="AE81" t="inlineStr">
        <is>
          <t>11.5%</t>
        </is>
      </c>
    </row>
    <row r="82">
      <c r="A82" t="inlineStr">
        <is>
          <t>Solar Photovoltaic</t>
        </is>
      </c>
      <c r="B82" t="inlineStr">
        <is>
          <t>Residential: Combined Heat and Power: Net Generation: Solar Photovoltaic: Alternative Electricity and Transportation</t>
        </is>
      </c>
      <c r="C82" t="inlineStr">
        <is>
          <t>AEO.2026.ELECTRNP.GEN_NA_COMM_CHP_SLR_PHTVL_NA_MILLKWH.A</t>
        </is>
      </c>
      <c r="D82" t="inlineStr">
        <is>
          <t>billion kWh</t>
        </is>
      </c>
      <c r="E82" t="n">
        <v>65.763306</v>
      </c>
      <c r="F82" t="n">
        <v>69.51488500000001</v>
      </c>
      <c r="G82" t="n">
        <v>73.74960299999999</v>
      </c>
      <c r="H82" t="n">
        <v>78.11758399999999</v>
      </c>
      <c r="I82" t="n">
        <v>82.188416</v>
      </c>
      <c r="J82" t="n">
        <v>86.46453099999999</v>
      </c>
      <c r="K82" t="n">
        <v>91.093109</v>
      </c>
      <c r="L82" t="n">
        <v>95.70141599999999</v>
      </c>
      <c r="M82" t="n">
        <v>100.530121</v>
      </c>
      <c r="N82" t="n">
        <v>105.647018</v>
      </c>
      <c r="O82" t="n">
        <v>111.102661</v>
      </c>
      <c r="P82" t="n">
        <v>116.817886</v>
      </c>
      <c r="Q82" t="n">
        <v>122.939804</v>
      </c>
      <c r="R82" t="n">
        <v>129.349823</v>
      </c>
      <c r="S82" t="n">
        <v>136.10321</v>
      </c>
      <c r="T82" t="n">
        <v>143.093597</v>
      </c>
      <c r="U82" t="n">
        <v>150.360107</v>
      </c>
      <c r="V82" t="n">
        <v>157.830475</v>
      </c>
      <c r="W82" t="n">
        <v>165.531601</v>
      </c>
      <c r="X82" t="n">
        <v>173.530792</v>
      </c>
      <c r="Y82" t="n">
        <v>181.710403</v>
      </c>
      <c r="Z82" t="n">
        <v>190.129639</v>
      </c>
      <c r="AA82" t="n">
        <v>198.795319</v>
      </c>
      <c r="AB82" t="n">
        <v>207.822784</v>
      </c>
      <c r="AC82" t="n">
        <v>216.993149</v>
      </c>
      <c r="AD82" t="n">
        <v>226.492813</v>
      </c>
      <c r="AE82" t="inlineStr">
        <is>
          <t>5.1%</t>
        </is>
      </c>
    </row>
    <row r="83">
      <c r="A83" t="inlineStr">
        <is>
          <t>Wind</t>
        </is>
      </c>
      <c r="B83" t="inlineStr">
        <is>
          <t>Residential: Combined Heat and Power: Net Generation: Wind: Alternative Electricity and Transportation</t>
        </is>
      </c>
      <c r="C83" t="inlineStr">
        <is>
          <t>AEO.2026.ELECTRNP.GEN_NA_COMM_CHP_WND_NA_NA_MILLKWH.A</t>
        </is>
      </c>
      <c r="D83" t="inlineStr">
        <is>
          <t>billion kWh</t>
        </is>
      </c>
      <c r="E83" t="n">
        <v>0.172274</v>
      </c>
      <c r="F83" t="n">
        <v>0.172428</v>
      </c>
      <c r="G83" t="n">
        <v>0.172616</v>
      </c>
      <c r="H83" t="n">
        <v>0.172802</v>
      </c>
      <c r="I83" t="n">
        <v>0.173103</v>
      </c>
      <c r="J83" t="n">
        <v>0.173625</v>
      </c>
      <c r="K83" t="n">
        <v>0.174572</v>
      </c>
      <c r="L83" t="n">
        <v>0.176045</v>
      </c>
      <c r="M83" t="n">
        <v>0.178308</v>
      </c>
      <c r="N83" t="n">
        <v>0.181417</v>
      </c>
      <c r="O83" t="n">
        <v>0.185126</v>
      </c>
      <c r="P83" t="n">
        <v>0.189283</v>
      </c>
      <c r="Q83" t="n">
        <v>0.193886</v>
      </c>
      <c r="R83" t="n">
        <v>0.198717</v>
      </c>
      <c r="S83" t="n">
        <v>0.203668</v>
      </c>
      <c r="T83" t="n">
        <v>0.208914</v>
      </c>
      <c r="U83" t="n">
        <v>0.214761</v>
      </c>
      <c r="V83" t="n">
        <v>0.221002</v>
      </c>
      <c r="W83" t="n">
        <v>0.227441</v>
      </c>
      <c r="X83" t="n">
        <v>0.234035</v>
      </c>
      <c r="Y83" t="n">
        <v>0.240839</v>
      </c>
      <c r="Z83" t="n">
        <v>0.248212</v>
      </c>
      <c r="AA83" t="n">
        <v>0.255867</v>
      </c>
      <c r="AB83" t="n">
        <v>0.264578</v>
      </c>
      <c r="AC83" t="n">
        <v>0.273387</v>
      </c>
      <c r="AD83" t="n">
        <v>0.282286</v>
      </c>
      <c r="AE83" t="inlineStr">
        <is>
          <t>2.0%</t>
        </is>
      </c>
    </row>
    <row r="84">
      <c r="A84" t="inlineStr">
        <is>
          <t>Total</t>
        </is>
      </c>
      <c r="B84" t="inlineStr">
        <is>
          <t>Residential: Combined Heat and Power: Net Generation: Total: Alternative Electricity and Transportation</t>
        </is>
      </c>
      <c r="C84" t="inlineStr">
        <is>
          <t>AEO.2026.ELECTRNP.GEN_NA_COMM_CHP_TOT_NA_NA_MILLKWH.A</t>
        </is>
      </c>
      <c r="D84" t="inlineStr">
        <is>
          <t>billion kWh</t>
        </is>
      </c>
      <c r="E84" t="n">
        <v>65.93757600000001</v>
      </c>
      <c r="F84" t="n">
        <v>69.691681</v>
      </c>
      <c r="G84" t="n">
        <v>73.928909</v>
      </c>
      <c r="H84" t="n">
        <v>78.297127</v>
      </c>
      <c r="I84" t="n">
        <v>82.368309</v>
      </c>
      <c r="J84" t="n">
        <v>86.64816999999999</v>
      </c>
      <c r="K84" t="n">
        <v>91.282005</v>
      </c>
      <c r="L84" t="n">
        <v>95.89621699999999</v>
      </c>
      <c r="M84" t="n">
        <v>100.730644</v>
      </c>
      <c r="N84" t="n">
        <v>105.85498</v>
      </c>
      <c r="O84" t="n">
        <v>111.314384</v>
      </c>
      <c r="P84" t="n">
        <v>117.033813</v>
      </c>
      <c r="Q84" t="n">
        <v>123.160385</v>
      </c>
      <c r="R84" t="n">
        <v>129.575287</v>
      </c>
      <c r="S84" t="n">
        <v>136.333679</v>
      </c>
      <c r="T84" t="n">
        <v>143.329361</v>
      </c>
      <c r="U84" t="n">
        <v>150.601791</v>
      </c>
      <c r="V84" t="n">
        <v>158.078491</v>
      </c>
      <c r="W84" t="n">
        <v>165.786163</v>
      </c>
      <c r="X84" t="n">
        <v>173.79213</v>
      </c>
      <c r="Y84" t="n">
        <v>181.978867</v>
      </c>
      <c r="Z84" t="n">
        <v>190.406006</v>
      </c>
      <c r="AA84" t="n">
        <v>199.07988</v>
      </c>
      <c r="AB84" t="n">
        <v>208.116608</v>
      </c>
      <c r="AC84" t="n">
        <v>217.296356</v>
      </c>
      <c r="AD84" t="n">
        <v>226.805466</v>
      </c>
      <c r="AE84" t="inlineStr">
        <is>
          <t>5.1%</t>
        </is>
      </c>
    </row>
    <row r="85">
      <c r="A85" t="inlineStr">
        <is>
          <t>Disposition</t>
        </is>
      </c>
    </row>
    <row r="86">
      <c r="A86" t="inlineStr">
        <is>
          <t>Sales to the Grid</t>
        </is>
      </c>
      <c r="B86" t="inlineStr">
        <is>
          <t>Residential: Combined Heat and Power: Net Generation: Sales to the Grid: Alternative Electricity and Transportation</t>
        </is>
      </c>
      <c r="C86" t="inlineStr">
        <is>
          <t>AEO.2026.ELECTRNP.GEN_NA_COMM_CHP_STG_NA_NA_MILLKWH.A</t>
        </is>
      </c>
      <c r="D86" t="inlineStr">
        <is>
          <t>billion kWh</t>
        </is>
      </c>
      <c r="E86" t="n">
        <v>11.67818</v>
      </c>
      <c r="F86" t="n">
        <v>12.194283</v>
      </c>
      <c r="G86" t="n">
        <v>12.947095</v>
      </c>
      <c r="H86" t="n">
        <v>13.733868</v>
      </c>
      <c r="I86" t="n">
        <v>14.398316</v>
      </c>
      <c r="J86" t="n">
        <v>15.122087</v>
      </c>
      <c r="K86" t="n">
        <v>15.963413</v>
      </c>
      <c r="L86" t="n">
        <v>16.765619</v>
      </c>
      <c r="M86" t="n">
        <v>17.624851</v>
      </c>
      <c r="N86" t="n">
        <v>18.541655</v>
      </c>
      <c r="O86" t="n">
        <v>19.535112</v>
      </c>
      <c r="P86" t="n">
        <v>20.570559</v>
      </c>
      <c r="Q86" t="n">
        <v>21.70586</v>
      </c>
      <c r="R86" t="n">
        <v>22.895941</v>
      </c>
      <c r="S86" t="n">
        <v>24.190172</v>
      </c>
      <c r="T86" t="n">
        <v>25.53442</v>
      </c>
      <c r="U86" t="n">
        <v>26.944834</v>
      </c>
      <c r="V86" t="n">
        <v>28.379297</v>
      </c>
      <c r="W86" t="n">
        <v>29.894018</v>
      </c>
      <c r="X86" t="n">
        <v>31.475761</v>
      </c>
      <c r="Y86" t="n">
        <v>33.075306</v>
      </c>
      <c r="Z86" t="n">
        <v>34.696655</v>
      </c>
      <c r="AA86" t="n">
        <v>36.351891</v>
      </c>
      <c r="AB86" t="n">
        <v>38.104988</v>
      </c>
      <c r="AC86" t="n">
        <v>39.860676</v>
      </c>
      <c r="AD86" t="n">
        <v>41.713696</v>
      </c>
      <c r="AE86" t="inlineStr">
        <is>
          <t>5.2%</t>
        </is>
      </c>
    </row>
    <row r="87">
      <c r="A87" t="inlineStr">
        <is>
          <t>Generation for Own Use</t>
        </is>
      </c>
      <c r="B87" t="inlineStr">
        <is>
          <t>Residential: Combined Heat and Power: Net Generation: Generation for Own Use: Alternative Electricity and Transportation</t>
        </is>
      </c>
      <c r="C87" t="inlineStr">
        <is>
          <t>AEO.2026.ELECTRNP.GEN_NA_COMM_CHP_GFO_NA_NA_MILLKWH.A</t>
        </is>
      </c>
      <c r="D87" t="inlineStr">
        <is>
          <t>billion kWh</t>
        </is>
      </c>
      <c r="E87" t="n">
        <v>54.259399</v>
      </c>
      <c r="F87" t="n">
        <v>57.497406</v>
      </c>
      <c r="G87" t="n">
        <v>60.981812</v>
      </c>
      <c r="H87" t="n">
        <v>64.56326300000001</v>
      </c>
      <c r="I87" t="n">
        <v>67.970001</v>
      </c>
      <c r="J87" t="n">
        <v>71.52608499999999</v>
      </c>
      <c r="K87" t="n">
        <v>75.31858800000001</v>
      </c>
      <c r="L87" t="n">
        <v>79.1306</v>
      </c>
      <c r="M87" t="n">
        <v>83.105789</v>
      </c>
      <c r="N87" t="n">
        <v>87.31332399999999</v>
      </c>
      <c r="O87" t="n">
        <v>91.77926600000001</v>
      </c>
      <c r="P87" t="n">
        <v>96.463249</v>
      </c>
      <c r="Q87" t="n">
        <v>101.454521</v>
      </c>
      <c r="R87" t="n">
        <v>106.679352</v>
      </c>
      <c r="S87" t="n">
        <v>112.143501</v>
      </c>
      <c r="T87" t="n">
        <v>117.794945</v>
      </c>
      <c r="U87" t="n">
        <v>123.656952</v>
      </c>
      <c r="V87" t="n">
        <v>129.699173</v>
      </c>
      <c r="W87" t="n">
        <v>135.892136</v>
      </c>
      <c r="X87" t="n">
        <v>142.316376</v>
      </c>
      <c r="Y87" t="n">
        <v>148.903549</v>
      </c>
      <c r="Z87" t="n">
        <v>155.709351</v>
      </c>
      <c r="AA87" t="n">
        <v>162.727982</v>
      </c>
      <c r="AB87" t="n">
        <v>170.011642</v>
      </c>
      <c r="AC87" t="n">
        <v>177.435684</v>
      </c>
      <c r="AD87" t="n">
        <v>185.091766</v>
      </c>
      <c r="AE87" t="inlineStr">
        <is>
          <t>5.0%</t>
        </is>
      </c>
    </row>
    <row r="88">
      <c r="A88" t="inlineStr">
        <is>
          <t>Energy Input (trillion Btu)</t>
        </is>
      </c>
    </row>
    <row r="89">
      <c r="A89" t="inlineStr">
        <is>
          <t>Natural Gas Fuel Cells</t>
        </is>
      </c>
      <c r="B89" t="inlineStr">
        <is>
          <t>Residential: Combined Heat and Power: Energy Input: Fuel Cells: Alternative Electricity and Transportation</t>
        </is>
      </c>
      <c r="C89" t="inlineStr">
        <is>
          <t>AEO.2026.ELECTRNP.CNSM_NA_COMM_CHP_FCL_NA_NA_TRLBTU.A</t>
        </is>
      </c>
      <c r="D89" t="inlineStr">
        <is>
          <t>trillion Btu</t>
        </is>
      </c>
      <c r="E89" t="n">
        <v>0.015282</v>
      </c>
      <c r="F89" t="n">
        <v>0.033397</v>
      </c>
      <c r="G89" t="n">
        <v>0.051051</v>
      </c>
      <c r="H89" t="n">
        <v>0.051444</v>
      </c>
      <c r="I89" t="n">
        <v>0.051837</v>
      </c>
      <c r="J89" t="n">
        <v>0.076448</v>
      </c>
      <c r="K89" t="n">
        <v>0.109298</v>
      </c>
      <c r="L89" t="n">
        <v>0.143174</v>
      </c>
      <c r="M89" t="n">
        <v>0.169559</v>
      </c>
      <c r="N89" t="n">
        <v>0.202596</v>
      </c>
      <c r="O89" t="n">
        <v>0.202989</v>
      </c>
      <c r="P89" t="n">
        <v>0.203382</v>
      </c>
      <c r="Q89" t="n">
        <v>0.203775</v>
      </c>
      <c r="R89" t="n">
        <v>0.204168</v>
      </c>
      <c r="S89" t="n">
        <v>0.204565</v>
      </c>
      <c r="T89" t="n">
        <v>0.20499</v>
      </c>
      <c r="U89" t="n">
        <v>0.20548</v>
      </c>
      <c r="V89" t="n">
        <v>0.206107</v>
      </c>
      <c r="W89" t="n">
        <v>0.206993</v>
      </c>
      <c r="X89" t="n">
        <v>0.208397</v>
      </c>
      <c r="Y89" t="n">
        <v>0.210771</v>
      </c>
      <c r="Z89" t="n">
        <v>0.214935</v>
      </c>
      <c r="AA89" t="n">
        <v>0.219124</v>
      </c>
      <c r="AB89" t="n">
        <v>0.22333</v>
      </c>
      <c r="AC89" t="n">
        <v>0.227564</v>
      </c>
      <c r="AD89" t="n">
        <v>0.231824</v>
      </c>
      <c r="AE89" t="inlineStr">
        <is>
          <t>11.5%</t>
        </is>
      </c>
    </row>
    <row r="90">
      <c r="A90" t="inlineStr">
        <is>
          <t>Solar Photovoltaic</t>
        </is>
      </c>
      <c r="B90" t="inlineStr">
        <is>
          <t>Residential: Combined Heat and Power: Energy Input: Solar Photovoltaic: Alternative Electricity and Transportation</t>
        </is>
      </c>
      <c r="C90" t="inlineStr">
        <is>
          <t>AEO.2026.ELECTRNP.CNSM_NA_COMM_CHP_SLR_PHTVL_NA_TRLBTU.A</t>
        </is>
      </c>
      <c r="D90" t="inlineStr">
        <is>
          <t>trillion Btu</t>
        </is>
      </c>
      <c r="E90" t="n">
        <v>224.384369</v>
      </c>
      <c r="F90" t="n">
        <v>237.184769</v>
      </c>
      <c r="G90" t="n">
        <v>251.633636</v>
      </c>
      <c r="H90" t="n">
        <v>266.537201</v>
      </c>
      <c r="I90" t="n">
        <v>280.42688</v>
      </c>
      <c r="J90" t="n">
        <v>295.016968</v>
      </c>
      <c r="K90" t="n">
        <v>310.809692</v>
      </c>
      <c r="L90" t="n">
        <v>326.533203</v>
      </c>
      <c r="M90" t="n">
        <v>343.008728</v>
      </c>
      <c r="N90" t="n">
        <v>360.46759</v>
      </c>
      <c r="O90" t="n">
        <v>379.082275</v>
      </c>
      <c r="P90" t="n">
        <v>398.582581</v>
      </c>
      <c r="Q90" t="n">
        <v>419.470642</v>
      </c>
      <c r="R90" t="n">
        <v>441.341553</v>
      </c>
      <c r="S90" t="n">
        <v>464.384125</v>
      </c>
      <c r="T90" t="n">
        <v>488.235291</v>
      </c>
      <c r="U90" t="n">
        <v>513.028687</v>
      </c>
      <c r="V90" t="n">
        <v>538.517456</v>
      </c>
      <c r="W90" t="n">
        <v>564.793823</v>
      </c>
      <c r="X90" t="n">
        <v>592.0869750000001</v>
      </c>
      <c r="Y90" t="n">
        <v>619.995911</v>
      </c>
      <c r="Z90" t="n">
        <v>648.72229</v>
      </c>
      <c r="AA90" t="n">
        <v>678.289551</v>
      </c>
      <c r="AB90" t="n">
        <v>709.091309</v>
      </c>
      <c r="AC90" t="n">
        <v>740.380615</v>
      </c>
      <c r="AD90" t="n">
        <v>772.793457</v>
      </c>
      <c r="AE90" t="inlineStr">
        <is>
          <t>5.1%</t>
        </is>
      </c>
    </row>
    <row r="91">
      <c r="A91" t="inlineStr">
        <is>
          <t>Wind</t>
        </is>
      </c>
      <c r="B91" t="inlineStr">
        <is>
          <t>Residential: Combined Heat and Power: Energy Input: Wind: Alternative Electricity and Transportation</t>
        </is>
      </c>
      <c r="C91" t="inlineStr">
        <is>
          <t>AEO.2026.ELECTRNP.CNSM_NA_COMM_CHP_WND_NA_NA_TRLBTU.A</t>
        </is>
      </c>
      <c r="D91" t="inlineStr">
        <is>
          <t>trillion Btu</t>
        </is>
      </c>
      <c r="E91" t="n">
        <v>0.587799</v>
      </c>
      <c r="F91" t="n">
        <v>0.588324</v>
      </c>
      <c r="G91" t="n">
        <v>0.588965</v>
      </c>
      <c r="H91" t="n">
        <v>0.589601</v>
      </c>
      <c r="I91" t="n">
        <v>0.590628</v>
      </c>
      <c r="J91" t="n">
        <v>0.59241</v>
      </c>
      <c r="K91" t="n">
        <v>0.5956399999999999</v>
      </c>
      <c r="L91" t="n">
        <v>0.600666</v>
      </c>
      <c r="M91" t="n">
        <v>0.608387</v>
      </c>
      <c r="N91" t="n">
        <v>0.618995</v>
      </c>
      <c r="O91" t="n">
        <v>0.631648</v>
      </c>
      <c r="P91" t="n">
        <v>0.645833</v>
      </c>
      <c r="Q91" t="n">
        <v>0.661538</v>
      </c>
      <c r="R91" t="n">
        <v>0.678022</v>
      </c>
      <c r="S91" t="n">
        <v>0.6949149999999999</v>
      </c>
      <c r="T91" t="n">
        <v>0.712813</v>
      </c>
      <c r="U91" t="n">
        <v>0.732765</v>
      </c>
      <c r="V91" t="n">
        <v>0.754058</v>
      </c>
      <c r="W91" t="n">
        <v>0.77603</v>
      </c>
      <c r="X91" t="n">
        <v>0.798529</v>
      </c>
      <c r="Y91" t="n">
        <v>0.821743</v>
      </c>
      <c r="Z91" t="n">
        <v>0.846899</v>
      </c>
      <c r="AA91" t="n">
        <v>0.873017</v>
      </c>
      <c r="AB91" t="n">
        <v>0.90274</v>
      </c>
      <c r="AC91" t="n">
        <v>0.932795</v>
      </c>
      <c r="AD91" t="n">
        <v>0.963161</v>
      </c>
      <c r="AE91" t="inlineStr">
        <is>
          <t>2.0%</t>
        </is>
      </c>
    </row>
    <row r="92">
      <c r="A92" t="inlineStr">
        <is>
          <t>Total</t>
        </is>
      </c>
      <c r="B92" t="inlineStr">
        <is>
          <t>Residential: Combined Heat and Power: Energy Input: Total: Alternative Electricity and Transportation</t>
        </is>
      </c>
      <c r="C92" t="inlineStr">
        <is>
          <t>AEO.2026.ELECTRNP.CNSM_NA_COMM_CHP_TOT_NA_NA_TRLBTU.A</t>
        </is>
      </c>
      <c r="D92" t="inlineStr">
        <is>
          <t>trillion Btu</t>
        </is>
      </c>
      <c r="E92" t="n">
        <v>224.987442</v>
      </c>
      <c r="F92" t="n">
        <v>237.806488</v>
      </c>
      <c r="G92" t="n">
        <v>252.273651</v>
      </c>
      <c r="H92" t="n">
        <v>267.178253</v>
      </c>
      <c r="I92" t="n">
        <v>281.069366</v>
      </c>
      <c r="J92" t="n">
        <v>295.685822</v>
      </c>
      <c r="K92" t="n">
        <v>311.514618</v>
      </c>
      <c r="L92" t="n">
        <v>327.277069</v>
      </c>
      <c r="M92" t="n">
        <v>343.786682</v>
      </c>
      <c r="N92" t="n">
        <v>361.289185</v>
      </c>
      <c r="O92" t="n">
        <v>379.916931</v>
      </c>
      <c r="P92" t="n">
        <v>399.431793</v>
      </c>
      <c r="Q92" t="n">
        <v>420.335938</v>
      </c>
      <c r="R92" t="n">
        <v>442.223724</v>
      </c>
      <c r="S92" t="n">
        <v>465.2836</v>
      </c>
      <c r="T92" t="n">
        <v>489.153076</v>
      </c>
      <c r="U92" t="n">
        <v>513.96698</v>
      </c>
      <c r="V92" t="n">
        <v>539.4776000000001</v>
      </c>
      <c r="W92" t="n">
        <v>565.776794</v>
      </c>
      <c r="X92" t="n">
        <v>593.093872</v>
      </c>
      <c r="Y92" t="n">
        <v>621.028381</v>
      </c>
      <c r="Z92" t="n">
        <v>649.784119</v>
      </c>
      <c r="AA92" t="n">
        <v>679.381714</v>
      </c>
      <c r="AB92" t="n">
        <v>710.217346</v>
      </c>
      <c r="AC92" t="n">
        <v>741.5409550000001</v>
      </c>
      <c r="AD92" t="n">
        <v>773.9884029999999</v>
      </c>
      <c r="AE92" t="inlineStr">
        <is>
          <t>5.1%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0" customWidth="1" style="100" min="1" max="1"/>
  </cols>
  <sheetData>
    <row r="1">
      <c r="A1" s="129" t="inlineStr">
        <is>
          <t>Validation checks</t>
        </is>
      </c>
    </row>
    <row r="3">
      <c r="A3" s="129" t="inlineStr">
        <is>
          <t>Child-factor groups sum to 1 (per file/context/parent; rate-file reroutes excluded)</t>
        </is>
      </c>
    </row>
    <row r="4">
      <c r="A4" t="inlineStr">
        <is>
          <t>SoBCaICbIC-commercial.csv | Appliances | ISIC 01T03</t>
        </is>
      </c>
      <c r="B4">
        <f>('Factors applied'!$E$3+'Factors applied'!$E$4+'Factors applied'!$E$5)</f>
        <v/>
      </c>
      <c r="C4" s="129">
        <f>IF(ABS(B4-1)&lt;0.000000001,"PASS","FAIL")</f>
        <v/>
      </c>
    </row>
    <row r="5">
      <c r="A5" t="inlineStr">
        <is>
          <t>SoBCaICbIC-commercial.csv | Appliances | ISIC 07T08</t>
        </is>
      </c>
      <c r="B5">
        <f>('Factors applied'!$E$6+'Factors applied'!$E$7)</f>
        <v/>
      </c>
      <c r="C5" s="129">
        <f>IF(ABS(B5-1)&lt;0.000000001,"PASS","FAIL")</f>
        <v/>
      </c>
    </row>
    <row r="6">
      <c r="A6" t="inlineStr">
        <is>
          <t>SoBCaICbIC-commercial.csv | Appliances | ISIC 30</t>
        </is>
      </c>
      <c r="B6">
        <f>('Factors applied'!$E$8+'Factors applied'!$E$9)</f>
        <v/>
      </c>
      <c r="C6" s="129">
        <f>IF(ABS(B6-1)&lt;0.000000001,"PASS","FAIL")</f>
        <v/>
      </c>
    </row>
    <row r="7">
      <c r="A7" t="inlineStr">
        <is>
          <t>SoBCaICbIC-commercial.csv | Appliances | ISIC 49T53</t>
        </is>
      </c>
      <c r="B7">
        <f>('Factors applied'!$E$10+'Factors applied'!$E$11+'Factors applied'!$E$12+'Factors applied'!$E$13+'Factors applied'!$E$14)</f>
        <v/>
      </c>
      <c r="C7" s="129">
        <f>IF(ABS(B7-1)&lt;0.000000001,"PASS","FAIL")</f>
        <v/>
      </c>
    </row>
    <row r="8">
      <c r="A8" t="inlineStr">
        <is>
          <t>SoBCaICbIC-commercial.csv | Appliances | ISIC 69T82</t>
        </is>
      </c>
      <c r="B8">
        <f>('Factors applied'!$E$15+'Factors applied'!$E$16)</f>
        <v/>
      </c>
      <c r="C8" s="129">
        <f>IF(ABS(B8-1)&lt;0.000000001,"PASS","FAIL")</f>
        <v/>
      </c>
    </row>
    <row r="9">
      <c r="A9" t="inlineStr">
        <is>
          <t>SoBCaICbIC-commercial.csv | Appliances | ISIC 90T96</t>
        </is>
      </c>
      <c r="B9">
        <f>('Factors applied'!$E$17+'Factors applied'!$E$18)</f>
        <v/>
      </c>
      <c r="C9" s="129">
        <f>IF(ABS(B9-1)&lt;0.000000001,"PASS","FAIL")</f>
        <v/>
      </c>
    </row>
    <row r="10">
      <c r="A10" t="inlineStr">
        <is>
          <t>SoBCaICbIC-commercial.csv | Cooling | ISIC 01T03</t>
        </is>
      </c>
      <c r="B10">
        <f>('Factors applied'!$E$19+'Factors applied'!$E$20+'Factors applied'!$E$21)</f>
        <v/>
      </c>
      <c r="C10" s="129">
        <f>IF(ABS(B10-1)&lt;0.000000001,"PASS","FAIL")</f>
        <v/>
      </c>
    </row>
    <row r="11">
      <c r="A11" t="inlineStr">
        <is>
          <t>SoBCaICbIC-commercial.csv | Cooling | ISIC 07T08</t>
        </is>
      </c>
      <c r="B11">
        <f>('Factors applied'!$E$22+'Factors applied'!$E$23)</f>
        <v/>
      </c>
      <c r="C11" s="129">
        <f>IF(ABS(B11-1)&lt;0.000000001,"PASS","FAIL")</f>
        <v/>
      </c>
    </row>
    <row r="12">
      <c r="A12" t="inlineStr">
        <is>
          <t>SoBCaICbIC-commercial.csv | Cooling | ISIC 30</t>
        </is>
      </c>
      <c r="B12">
        <f>('Factors applied'!$E$24+'Factors applied'!$E$25)</f>
        <v/>
      </c>
      <c r="C12" s="129">
        <f>IF(ABS(B12-1)&lt;0.000000001,"PASS","FAIL")</f>
        <v/>
      </c>
    </row>
    <row r="13">
      <c r="A13" t="inlineStr">
        <is>
          <t>SoBCaICbIC-commercial.csv | Cooling | ISIC 49T53</t>
        </is>
      </c>
      <c r="B13">
        <f>('Factors applied'!$E$26+'Factors applied'!$E$27+'Factors applied'!$E$28+'Factors applied'!$E$29+'Factors applied'!$E$30)</f>
        <v/>
      </c>
      <c r="C13" s="129">
        <f>IF(ABS(B13-1)&lt;0.000000001,"PASS","FAIL")</f>
        <v/>
      </c>
    </row>
    <row r="14">
      <c r="A14" t="inlineStr">
        <is>
          <t>SoBCaICbIC-commercial.csv | Cooling | ISIC 69T82</t>
        </is>
      </c>
      <c r="B14">
        <f>('Factors applied'!$E$31+'Factors applied'!$E$32)</f>
        <v/>
      </c>
      <c r="C14" s="129">
        <f>IF(ABS(B14-1)&lt;0.000000001,"PASS","FAIL")</f>
        <v/>
      </c>
    </row>
    <row r="15">
      <c r="A15" t="inlineStr">
        <is>
          <t>SoBCaICbIC-commercial.csv | Cooling | ISIC 90T96</t>
        </is>
      </c>
      <c r="B15">
        <f>('Factors applied'!$E$33+'Factors applied'!$E$34)</f>
        <v/>
      </c>
      <c r="C15" s="129">
        <f>IF(ABS(B15-1)&lt;0.000000001,"PASS","FAIL")</f>
        <v/>
      </c>
    </row>
    <row r="16">
      <c r="A16" t="inlineStr">
        <is>
          <t>SoBCaICbIC-commercial.csv | Envelope | ISIC 01T03</t>
        </is>
      </c>
      <c r="B16">
        <f>('Factors applied'!$E$35+'Factors applied'!$E$36+'Factors applied'!$E$37)</f>
        <v/>
      </c>
      <c r="C16" s="129">
        <f>IF(ABS(B16-1)&lt;0.000000001,"PASS","FAIL")</f>
        <v/>
      </c>
    </row>
    <row r="17">
      <c r="A17" t="inlineStr">
        <is>
          <t>SoBCaICbIC-commercial.csv | Envelope | ISIC 07T08</t>
        </is>
      </c>
      <c r="B17">
        <f>('Factors applied'!$E$38+'Factors applied'!$E$39)</f>
        <v/>
      </c>
      <c r="C17" s="129">
        <f>IF(ABS(B17-1)&lt;0.000000001,"PASS","FAIL")</f>
        <v/>
      </c>
    </row>
    <row r="18">
      <c r="A18" t="inlineStr">
        <is>
          <t>SoBCaICbIC-commercial.csv | Envelope | ISIC 30</t>
        </is>
      </c>
      <c r="B18">
        <f>('Factors applied'!$E$40+'Factors applied'!$E$41)</f>
        <v/>
      </c>
      <c r="C18" s="129">
        <f>IF(ABS(B18-1)&lt;0.000000001,"PASS","FAIL")</f>
        <v/>
      </c>
    </row>
    <row r="19">
      <c r="A19" t="inlineStr">
        <is>
          <t>SoBCaICbIC-commercial.csv | Envelope | ISIC 49T53</t>
        </is>
      </c>
      <c r="B19">
        <f>('Factors applied'!$E$42+'Factors applied'!$E$43+'Factors applied'!$E$44+'Factors applied'!$E$45+'Factors applied'!$E$46)</f>
        <v/>
      </c>
      <c r="C19" s="129">
        <f>IF(ABS(B19-1)&lt;0.000000001,"PASS","FAIL")</f>
        <v/>
      </c>
    </row>
    <row r="20">
      <c r="A20" t="inlineStr">
        <is>
          <t>SoBCaICbIC-commercial.csv | Envelope | ISIC 69T82</t>
        </is>
      </c>
      <c r="B20">
        <f>('Factors applied'!$E$47+'Factors applied'!$E$48)</f>
        <v/>
      </c>
      <c r="C20" s="129">
        <f>IF(ABS(B20-1)&lt;0.000000001,"PASS","FAIL")</f>
        <v/>
      </c>
    </row>
    <row r="21">
      <c r="A21" t="inlineStr">
        <is>
          <t>SoBCaICbIC-commercial.csv | Envelope | ISIC 90T96</t>
        </is>
      </c>
      <c r="B21">
        <f>('Factors applied'!$E$49+'Factors applied'!$E$50)</f>
        <v/>
      </c>
      <c r="C21" s="129">
        <f>IF(ABS(B21-1)&lt;0.000000001,"PASS","FAIL")</f>
        <v/>
      </c>
    </row>
    <row r="22">
      <c r="A22" t="inlineStr">
        <is>
          <t>SoBCaICbIC-commercial.csv | Heating | ISIC 01T03</t>
        </is>
      </c>
      <c r="B22">
        <f>('Factors applied'!$E$51+'Factors applied'!$E$52+'Factors applied'!$E$53)</f>
        <v/>
      </c>
      <c r="C22" s="129">
        <f>IF(ABS(B22-1)&lt;0.000000001,"PASS","FAIL")</f>
        <v/>
      </c>
    </row>
    <row r="23">
      <c r="A23" t="inlineStr">
        <is>
          <t>SoBCaICbIC-commercial.csv | Heating | ISIC 07T08</t>
        </is>
      </c>
      <c r="B23">
        <f>('Factors applied'!$E$54+'Factors applied'!$E$55)</f>
        <v/>
      </c>
      <c r="C23" s="129">
        <f>IF(ABS(B23-1)&lt;0.000000001,"PASS","FAIL")</f>
        <v/>
      </c>
    </row>
    <row r="24">
      <c r="A24" t="inlineStr">
        <is>
          <t>SoBCaICbIC-commercial.csv | Heating | ISIC 30</t>
        </is>
      </c>
      <c r="B24">
        <f>('Factors applied'!$E$56+'Factors applied'!$E$57)</f>
        <v/>
      </c>
      <c r="C24" s="129">
        <f>IF(ABS(B24-1)&lt;0.000000001,"PASS","FAIL")</f>
        <v/>
      </c>
    </row>
    <row r="25">
      <c r="A25" t="inlineStr">
        <is>
          <t>SoBCaICbIC-commercial.csv | Heating | ISIC 49T53</t>
        </is>
      </c>
      <c r="B25">
        <f>('Factors applied'!$E$58+'Factors applied'!$E$59+'Factors applied'!$E$60+'Factors applied'!$E$61+'Factors applied'!$E$62)</f>
        <v/>
      </c>
      <c r="C25" s="129">
        <f>IF(ABS(B25-1)&lt;0.000000001,"PASS","FAIL")</f>
        <v/>
      </c>
    </row>
    <row r="26">
      <c r="A26" t="inlineStr">
        <is>
          <t>SoBCaICbIC-commercial.csv | Heating | ISIC 69T82</t>
        </is>
      </c>
      <c r="B26">
        <f>('Factors applied'!$E$63+'Factors applied'!$E$64)</f>
        <v/>
      </c>
      <c r="C26" s="129">
        <f>IF(ABS(B26-1)&lt;0.000000001,"PASS","FAIL")</f>
        <v/>
      </c>
    </row>
    <row r="27">
      <c r="A27" t="inlineStr">
        <is>
          <t>SoBCaICbIC-commercial.csv | Heating | ISIC 90T96</t>
        </is>
      </c>
      <c r="B27">
        <f>('Factors applied'!$E$65+'Factors applied'!$E$66)</f>
        <v/>
      </c>
      <c r="C27" s="129">
        <f>IF(ABS(B27-1)&lt;0.000000001,"PASS","FAIL")</f>
        <v/>
      </c>
    </row>
    <row r="28">
      <c r="A28" t="inlineStr">
        <is>
          <t>SoBCaICbIC-commercial.csv | Lighting | ISIC 01T03</t>
        </is>
      </c>
      <c r="B28">
        <f>('Factors applied'!$E$67+'Factors applied'!$E$68+'Factors applied'!$E$69)</f>
        <v/>
      </c>
      <c r="C28" s="129">
        <f>IF(ABS(B28-1)&lt;0.000000001,"PASS","FAIL")</f>
        <v/>
      </c>
    </row>
    <row r="29">
      <c r="A29" t="inlineStr">
        <is>
          <t>SoBCaICbIC-commercial.csv | Lighting | ISIC 07T08</t>
        </is>
      </c>
      <c r="B29">
        <f>('Factors applied'!$E$70+'Factors applied'!$E$71)</f>
        <v/>
      </c>
      <c r="C29" s="129">
        <f>IF(ABS(B29-1)&lt;0.000000001,"PASS","FAIL")</f>
        <v/>
      </c>
    </row>
    <row r="30">
      <c r="A30" t="inlineStr">
        <is>
          <t>SoBCaICbIC-commercial.csv | Lighting | ISIC 30</t>
        </is>
      </c>
      <c r="B30">
        <f>('Factors applied'!$E$72+'Factors applied'!$E$73)</f>
        <v/>
      </c>
      <c r="C30" s="129">
        <f>IF(ABS(B30-1)&lt;0.000000001,"PASS","FAIL")</f>
        <v/>
      </c>
    </row>
    <row r="31">
      <c r="A31" t="inlineStr">
        <is>
          <t>SoBCaICbIC-commercial.csv | Lighting | ISIC 49T53</t>
        </is>
      </c>
      <c r="B31">
        <f>('Factors applied'!$E$74+'Factors applied'!$E$75+'Factors applied'!$E$76+'Factors applied'!$E$77+'Factors applied'!$E$78)</f>
        <v/>
      </c>
      <c r="C31" s="129">
        <f>IF(ABS(B31-1)&lt;0.000000001,"PASS","FAIL")</f>
        <v/>
      </c>
    </row>
    <row r="32">
      <c r="A32" t="inlineStr">
        <is>
          <t>SoBCaICbIC-commercial.csv | Lighting | ISIC 69T82</t>
        </is>
      </c>
      <c r="B32">
        <f>('Factors applied'!$E$79+'Factors applied'!$E$80)</f>
        <v/>
      </c>
      <c r="C32" s="129">
        <f>IF(ABS(B32-1)&lt;0.000000001,"PASS","FAIL")</f>
        <v/>
      </c>
    </row>
    <row r="33">
      <c r="A33" t="inlineStr">
        <is>
          <t>SoBCaICbIC-commercial.csv | Lighting | ISIC 90T96</t>
        </is>
      </c>
      <c r="B33">
        <f>('Factors applied'!$E$81+'Factors applied'!$E$82)</f>
        <v/>
      </c>
      <c r="C33" s="129">
        <f>IF(ABS(B33-1)&lt;0.000000001,"PASS","FAIL")</f>
        <v/>
      </c>
    </row>
    <row r="34">
      <c r="A34" t="inlineStr">
        <is>
          <t>SoBCaICbIC-commercial.csv | Other | ISIC 01T03</t>
        </is>
      </c>
      <c r="B34">
        <f>('Factors applied'!$E$83+'Factors applied'!$E$84+'Factors applied'!$E$85)</f>
        <v/>
      </c>
      <c r="C34" s="129">
        <f>IF(ABS(B34-1)&lt;0.000000001,"PASS","FAIL")</f>
        <v/>
      </c>
    </row>
    <row r="35">
      <c r="A35" t="inlineStr">
        <is>
          <t>SoBCaICbIC-commercial.csv | Other | ISIC 07T08</t>
        </is>
      </c>
      <c r="B35">
        <f>('Factors applied'!$E$86+'Factors applied'!$E$87)</f>
        <v/>
      </c>
      <c r="C35" s="129">
        <f>IF(ABS(B35-1)&lt;0.000000001,"PASS","FAIL")</f>
        <v/>
      </c>
    </row>
    <row r="36">
      <c r="A36" t="inlineStr">
        <is>
          <t>SoBCaICbIC-commercial.csv | Other | ISIC 30</t>
        </is>
      </c>
      <c r="B36">
        <f>('Factors applied'!$E$88+'Factors applied'!$E$89)</f>
        <v/>
      </c>
      <c r="C36" s="129">
        <f>IF(ABS(B36-1)&lt;0.000000001,"PASS","FAIL")</f>
        <v/>
      </c>
    </row>
    <row r="37">
      <c r="A37" t="inlineStr">
        <is>
          <t>SoBCaICbIC-commercial.csv | Other | ISIC 49T53</t>
        </is>
      </c>
      <c r="B37">
        <f>('Factors applied'!$E$90+'Factors applied'!$E$91+'Factors applied'!$E$92+'Factors applied'!$E$93+'Factors applied'!$E$94)</f>
        <v/>
      </c>
      <c r="C37" s="129">
        <f>IF(ABS(B37-1)&lt;0.000000001,"PASS","FAIL")</f>
        <v/>
      </c>
    </row>
    <row r="38">
      <c r="A38" t="inlineStr">
        <is>
          <t>SoBCaICbIC-commercial.csv | Other | ISIC 69T82</t>
        </is>
      </c>
      <c r="B38">
        <f>('Factors applied'!$E$95+'Factors applied'!$E$96)</f>
        <v/>
      </c>
      <c r="C38" s="129">
        <f>IF(ABS(B38-1)&lt;0.000000001,"PASS","FAIL")</f>
        <v/>
      </c>
    </row>
    <row r="39">
      <c r="A39" t="inlineStr">
        <is>
          <t>SoBCaICbIC-commercial.csv | Other | ISIC 90T96</t>
        </is>
      </c>
      <c r="B39">
        <f>('Factors applied'!$E$97+'Factors applied'!$E$98)</f>
        <v/>
      </c>
      <c r="C39" s="129">
        <f>IF(ABS(B39-1)&lt;0.000000001,"PASS","FAIL")</f>
        <v/>
      </c>
    </row>
    <row r="40">
      <c r="A40" t="inlineStr">
        <is>
          <t>SoBCaICbIC-ruralresidential.csv | Appliances | ISIC 01T03</t>
        </is>
      </c>
      <c r="B40">
        <f>('Factors applied'!$E$99+'Factors applied'!$E$100+'Factors applied'!$E$101)</f>
        <v/>
      </c>
      <c r="C40" s="129">
        <f>IF(ABS(B40-1)&lt;0.000000001,"PASS","FAIL")</f>
        <v/>
      </c>
    </row>
    <row r="41">
      <c r="A41" t="inlineStr">
        <is>
          <t>SoBCaICbIC-ruralresidential.csv | Appliances | ISIC 07T08</t>
        </is>
      </c>
      <c r="B41">
        <f>('Factors applied'!$E$102+'Factors applied'!$E$103)</f>
        <v/>
      </c>
      <c r="C41" s="129">
        <f>IF(ABS(B41-1)&lt;0.000000001,"PASS","FAIL")</f>
        <v/>
      </c>
    </row>
    <row r="42">
      <c r="A42" t="inlineStr">
        <is>
          <t>SoBCaICbIC-ruralresidential.csv | Appliances | ISIC 30</t>
        </is>
      </c>
      <c r="B42">
        <f>('Factors applied'!$E$104+'Factors applied'!$E$105)</f>
        <v/>
      </c>
      <c r="C42" s="129">
        <f>IF(ABS(B42-1)&lt;0.000000001,"PASS","FAIL")</f>
        <v/>
      </c>
    </row>
    <row r="43">
      <c r="A43" t="inlineStr">
        <is>
          <t>SoBCaICbIC-ruralresidential.csv | Appliances | ISIC 49T53</t>
        </is>
      </c>
      <c r="B43">
        <f>('Factors applied'!$E$106+'Factors applied'!$E$107+'Factors applied'!$E$108+'Factors applied'!$E$109+'Factors applied'!$E$110)</f>
        <v/>
      </c>
      <c r="C43" s="129">
        <f>IF(ABS(B43-1)&lt;0.000000001,"PASS","FAIL")</f>
        <v/>
      </c>
    </row>
    <row r="44">
      <c r="A44" t="inlineStr">
        <is>
          <t>SoBCaICbIC-ruralresidential.csv | Appliances | ISIC 69T82</t>
        </is>
      </c>
      <c r="B44">
        <f>('Factors applied'!$E$111+'Factors applied'!$E$112)</f>
        <v/>
      </c>
      <c r="C44" s="129">
        <f>IF(ABS(B44-1)&lt;0.000000001,"PASS","FAIL")</f>
        <v/>
      </c>
    </row>
    <row r="45">
      <c r="A45" t="inlineStr">
        <is>
          <t>SoBCaICbIC-ruralresidential.csv | Appliances | ISIC 90T96</t>
        </is>
      </c>
      <c r="B45">
        <f>('Factors applied'!$E$113+'Factors applied'!$E$114)</f>
        <v/>
      </c>
      <c r="C45" s="129">
        <f>IF(ABS(B45-1)&lt;0.000000001,"PASS","FAIL")</f>
        <v/>
      </c>
    </row>
    <row r="46">
      <c r="A46" t="inlineStr">
        <is>
          <t>SoBCaICbIC-ruralresidential.csv | Cooling | ISIC 01T03</t>
        </is>
      </c>
      <c r="B46">
        <f>('Factors applied'!$E$115+'Factors applied'!$E$116+'Factors applied'!$E$117)</f>
        <v/>
      </c>
      <c r="C46" s="129">
        <f>IF(ABS(B46-1)&lt;0.000000001,"PASS","FAIL")</f>
        <v/>
      </c>
    </row>
    <row r="47">
      <c r="A47" t="inlineStr">
        <is>
          <t>SoBCaICbIC-ruralresidential.csv | Cooling | ISIC 07T08</t>
        </is>
      </c>
      <c r="B47">
        <f>('Factors applied'!$E$118+'Factors applied'!$E$119)</f>
        <v/>
      </c>
      <c r="C47" s="129">
        <f>IF(ABS(B47-1)&lt;0.000000001,"PASS","FAIL")</f>
        <v/>
      </c>
    </row>
    <row r="48">
      <c r="A48" t="inlineStr">
        <is>
          <t>SoBCaICbIC-ruralresidential.csv | Cooling | ISIC 30</t>
        </is>
      </c>
      <c r="B48">
        <f>('Factors applied'!$E$120+'Factors applied'!$E$121)</f>
        <v/>
      </c>
      <c r="C48" s="129">
        <f>IF(ABS(B48-1)&lt;0.000000001,"PASS","FAIL")</f>
        <v/>
      </c>
    </row>
    <row r="49">
      <c r="A49" t="inlineStr">
        <is>
          <t>SoBCaICbIC-ruralresidential.csv | Cooling | ISIC 49T53</t>
        </is>
      </c>
      <c r="B49">
        <f>('Factors applied'!$E$122+'Factors applied'!$E$123+'Factors applied'!$E$124+'Factors applied'!$E$125+'Factors applied'!$E$126)</f>
        <v/>
      </c>
      <c r="C49" s="129">
        <f>IF(ABS(B49-1)&lt;0.000000001,"PASS","FAIL")</f>
        <v/>
      </c>
    </row>
    <row r="50">
      <c r="A50" t="inlineStr">
        <is>
          <t>SoBCaICbIC-ruralresidential.csv | Cooling | ISIC 69T82</t>
        </is>
      </c>
      <c r="B50">
        <f>('Factors applied'!$E$127+'Factors applied'!$E$128)</f>
        <v/>
      </c>
      <c r="C50" s="129">
        <f>IF(ABS(B50-1)&lt;0.000000001,"PASS","FAIL")</f>
        <v/>
      </c>
    </row>
    <row r="51">
      <c r="A51" t="inlineStr">
        <is>
          <t>SoBCaICbIC-ruralresidential.csv | Cooling | ISIC 90T96</t>
        </is>
      </c>
      <c r="B51">
        <f>('Factors applied'!$E$129+'Factors applied'!$E$130)</f>
        <v/>
      </c>
      <c r="C51" s="129">
        <f>IF(ABS(B51-1)&lt;0.000000001,"PASS","FAIL")</f>
        <v/>
      </c>
    </row>
    <row r="52">
      <c r="A52" t="inlineStr">
        <is>
          <t>SoBCaICbIC-ruralresidential.csv | Envelope | ISIC 01T03</t>
        </is>
      </c>
      <c r="B52">
        <f>('Factors applied'!$E$131+'Factors applied'!$E$132+'Factors applied'!$E$133)</f>
        <v/>
      </c>
      <c r="C52" s="129">
        <f>IF(ABS(B52-1)&lt;0.000000001,"PASS","FAIL")</f>
        <v/>
      </c>
    </row>
    <row r="53">
      <c r="A53" t="inlineStr">
        <is>
          <t>SoBCaICbIC-ruralresidential.csv | Envelope | ISIC 07T08</t>
        </is>
      </c>
      <c r="B53">
        <f>('Factors applied'!$E$134+'Factors applied'!$E$135)</f>
        <v/>
      </c>
      <c r="C53" s="129">
        <f>IF(ABS(B53-1)&lt;0.000000001,"PASS","FAIL")</f>
        <v/>
      </c>
    </row>
    <row r="54">
      <c r="A54" t="inlineStr">
        <is>
          <t>SoBCaICbIC-ruralresidential.csv | Envelope | ISIC 30</t>
        </is>
      </c>
      <c r="B54">
        <f>('Factors applied'!$E$136+'Factors applied'!$E$137)</f>
        <v/>
      </c>
      <c r="C54" s="129">
        <f>IF(ABS(B54-1)&lt;0.000000001,"PASS","FAIL")</f>
        <v/>
      </c>
    </row>
    <row r="55">
      <c r="A55" t="inlineStr">
        <is>
          <t>SoBCaICbIC-ruralresidential.csv | Envelope | ISIC 49T53</t>
        </is>
      </c>
      <c r="B55">
        <f>('Factors applied'!$E$138+'Factors applied'!$E$139+'Factors applied'!$E$140+'Factors applied'!$E$141+'Factors applied'!$E$142)</f>
        <v/>
      </c>
      <c r="C55" s="129">
        <f>IF(ABS(B55-1)&lt;0.000000001,"PASS","FAIL")</f>
        <v/>
      </c>
    </row>
    <row r="56">
      <c r="A56" t="inlineStr">
        <is>
          <t>SoBCaICbIC-ruralresidential.csv | Envelope | ISIC 69T82</t>
        </is>
      </c>
      <c r="B56">
        <f>('Factors applied'!$E$143+'Factors applied'!$E$144)</f>
        <v/>
      </c>
      <c r="C56" s="129">
        <f>IF(ABS(B56-1)&lt;0.000000001,"PASS","FAIL")</f>
        <v/>
      </c>
    </row>
    <row r="57">
      <c r="A57" t="inlineStr">
        <is>
          <t>SoBCaICbIC-ruralresidential.csv | Envelope | ISIC 90T96</t>
        </is>
      </c>
      <c r="B57">
        <f>('Factors applied'!$E$145+'Factors applied'!$E$146)</f>
        <v/>
      </c>
      <c r="C57" s="129">
        <f>IF(ABS(B57-1)&lt;0.000000001,"PASS","FAIL")</f>
        <v/>
      </c>
    </row>
    <row r="58">
      <c r="A58" t="inlineStr">
        <is>
          <t>SoBCaICbIC-ruralresidential.csv | Heating | ISIC 01T03</t>
        </is>
      </c>
      <c r="B58">
        <f>('Factors applied'!$E$147+'Factors applied'!$E$148+'Factors applied'!$E$149)</f>
        <v/>
      </c>
      <c r="C58" s="129">
        <f>IF(ABS(B58-1)&lt;0.000000001,"PASS","FAIL")</f>
        <v/>
      </c>
    </row>
    <row r="59">
      <c r="A59" t="inlineStr">
        <is>
          <t>SoBCaICbIC-ruralresidential.csv | Heating | ISIC 07T08</t>
        </is>
      </c>
      <c r="B59">
        <f>('Factors applied'!$E$150+'Factors applied'!$E$151)</f>
        <v/>
      </c>
      <c r="C59" s="129">
        <f>IF(ABS(B59-1)&lt;0.000000001,"PASS","FAIL")</f>
        <v/>
      </c>
    </row>
    <row r="60">
      <c r="A60" t="inlineStr">
        <is>
          <t>SoBCaICbIC-ruralresidential.csv | Heating | ISIC 30</t>
        </is>
      </c>
      <c r="B60">
        <f>('Factors applied'!$E$152+'Factors applied'!$E$153)</f>
        <v/>
      </c>
      <c r="C60" s="129">
        <f>IF(ABS(B60-1)&lt;0.000000001,"PASS","FAIL")</f>
        <v/>
      </c>
    </row>
    <row r="61">
      <c r="A61" t="inlineStr">
        <is>
          <t>SoBCaICbIC-ruralresidential.csv | Heating | ISIC 49T53</t>
        </is>
      </c>
      <c r="B61">
        <f>('Factors applied'!$E$154+'Factors applied'!$E$155+'Factors applied'!$E$156+'Factors applied'!$E$157+'Factors applied'!$E$158)</f>
        <v/>
      </c>
      <c r="C61" s="129">
        <f>IF(ABS(B61-1)&lt;0.000000001,"PASS","FAIL")</f>
        <v/>
      </c>
    </row>
    <row r="62">
      <c r="A62" t="inlineStr">
        <is>
          <t>SoBCaICbIC-ruralresidential.csv | Heating | ISIC 69T82</t>
        </is>
      </c>
      <c r="B62">
        <f>('Factors applied'!$E$159+'Factors applied'!$E$160)</f>
        <v/>
      </c>
      <c r="C62" s="129">
        <f>IF(ABS(B62-1)&lt;0.000000001,"PASS","FAIL")</f>
        <v/>
      </c>
    </row>
    <row r="63">
      <c r="A63" t="inlineStr">
        <is>
          <t>SoBCaICbIC-ruralresidential.csv | Heating | ISIC 90T96</t>
        </is>
      </c>
      <c r="B63">
        <f>('Factors applied'!$E$161+'Factors applied'!$E$162)</f>
        <v/>
      </c>
      <c r="C63" s="129">
        <f>IF(ABS(B63-1)&lt;0.000000001,"PASS","FAIL")</f>
        <v/>
      </c>
    </row>
    <row r="64">
      <c r="A64" t="inlineStr">
        <is>
          <t>SoBCaICbIC-ruralresidential.csv | Lighting | ISIC 01T03</t>
        </is>
      </c>
      <c r="B64">
        <f>('Factors applied'!$E$163+'Factors applied'!$E$164+'Factors applied'!$E$165)</f>
        <v/>
      </c>
      <c r="C64" s="129">
        <f>IF(ABS(B64-1)&lt;0.000000001,"PASS","FAIL")</f>
        <v/>
      </c>
    </row>
    <row r="65">
      <c r="A65" t="inlineStr">
        <is>
          <t>SoBCaICbIC-ruralresidential.csv | Lighting | ISIC 07T08</t>
        </is>
      </c>
      <c r="B65">
        <f>('Factors applied'!$E$166+'Factors applied'!$E$167)</f>
        <v/>
      </c>
      <c r="C65" s="129">
        <f>IF(ABS(B65-1)&lt;0.000000001,"PASS","FAIL")</f>
        <v/>
      </c>
    </row>
    <row r="66">
      <c r="A66" t="inlineStr">
        <is>
          <t>SoBCaICbIC-ruralresidential.csv | Lighting | ISIC 30</t>
        </is>
      </c>
      <c r="B66">
        <f>('Factors applied'!$E$168+'Factors applied'!$E$169)</f>
        <v/>
      </c>
      <c r="C66" s="129">
        <f>IF(ABS(B66-1)&lt;0.000000001,"PASS","FAIL")</f>
        <v/>
      </c>
    </row>
    <row r="67">
      <c r="A67" t="inlineStr">
        <is>
          <t>SoBCaICbIC-ruralresidential.csv | Lighting | ISIC 49T53</t>
        </is>
      </c>
      <c r="B67">
        <f>('Factors applied'!$E$170+'Factors applied'!$E$171+'Factors applied'!$E$172+'Factors applied'!$E$173+'Factors applied'!$E$174)</f>
        <v/>
      </c>
      <c r="C67" s="129">
        <f>IF(ABS(B67-1)&lt;0.000000001,"PASS","FAIL")</f>
        <v/>
      </c>
    </row>
    <row r="68">
      <c r="A68" t="inlineStr">
        <is>
          <t>SoBCaICbIC-ruralresidential.csv | Lighting | ISIC 69T82</t>
        </is>
      </c>
      <c r="B68">
        <f>('Factors applied'!$E$175+'Factors applied'!$E$176)</f>
        <v/>
      </c>
      <c r="C68" s="129">
        <f>IF(ABS(B68-1)&lt;0.000000001,"PASS","FAIL")</f>
        <v/>
      </c>
    </row>
    <row r="69">
      <c r="A69" t="inlineStr">
        <is>
          <t>SoBCaICbIC-ruralresidential.csv | Lighting | ISIC 90T96</t>
        </is>
      </c>
      <c r="B69">
        <f>('Factors applied'!$E$177+'Factors applied'!$E$178)</f>
        <v/>
      </c>
      <c r="C69" s="129">
        <f>IF(ABS(B69-1)&lt;0.000000001,"PASS","FAIL")</f>
        <v/>
      </c>
    </row>
    <row r="70">
      <c r="A70" t="inlineStr">
        <is>
          <t>SoBCaICbIC-ruralresidential.csv | Other | ISIC 01T03</t>
        </is>
      </c>
      <c r="B70">
        <f>('Factors applied'!$E$179+'Factors applied'!$E$180+'Factors applied'!$E$181)</f>
        <v/>
      </c>
      <c r="C70" s="129">
        <f>IF(ABS(B70-1)&lt;0.000000001,"PASS","FAIL")</f>
        <v/>
      </c>
    </row>
    <row r="71">
      <c r="A71" t="inlineStr">
        <is>
          <t>SoBCaICbIC-ruralresidential.csv | Other | ISIC 07T08</t>
        </is>
      </c>
      <c r="B71">
        <f>('Factors applied'!$E$182+'Factors applied'!$E$183)</f>
        <v/>
      </c>
      <c r="C71" s="129">
        <f>IF(ABS(B71-1)&lt;0.000000001,"PASS","FAIL")</f>
        <v/>
      </c>
    </row>
    <row r="72">
      <c r="A72" t="inlineStr">
        <is>
          <t>SoBCaICbIC-ruralresidential.csv | Other | ISIC 30</t>
        </is>
      </c>
      <c r="B72">
        <f>('Factors applied'!$E$184+'Factors applied'!$E$185)</f>
        <v/>
      </c>
      <c r="C72" s="129">
        <f>IF(ABS(B72-1)&lt;0.000000001,"PASS","FAIL")</f>
        <v/>
      </c>
    </row>
    <row r="73">
      <c r="A73" t="inlineStr">
        <is>
          <t>SoBCaICbIC-ruralresidential.csv | Other | ISIC 49T53</t>
        </is>
      </c>
      <c r="B73">
        <f>('Factors applied'!$E$186+'Factors applied'!$E$187+'Factors applied'!$E$188+'Factors applied'!$E$189+'Factors applied'!$E$190)</f>
        <v/>
      </c>
      <c r="C73" s="129">
        <f>IF(ABS(B73-1)&lt;0.000000001,"PASS","FAIL")</f>
        <v/>
      </c>
    </row>
    <row r="74">
      <c r="A74" t="inlineStr">
        <is>
          <t>SoBCaICbIC-ruralresidential.csv | Other | ISIC 69T82</t>
        </is>
      </c>
      <c r="B74">
        <f>('Factors applied'!$E$191+'Factors applied'!$E$192)</f>
        <v/>
      </c>
      <c r="C74" s="129">
        <f>IF(ABS(B74-1)&lt;0.000000001,"PASS","FAIL")</f>
        <v/>
      </c>
    </row>
    <row r="75">
      <c r="A75" t="inlineStr">
        <is>
          <t>SoBCaICbIC-ruralresidential.csv | Other | ISIC 90T96</t>
        </is>
      </c>
      <c r="B75">
        <f>('Factors applied'!$E$193+'Factors applied'!$E$194)</f>
        <v/>
      </c>
      <c r="C75" s="129">
        <f>IF(ABS(B75-1)&lt;0.000000001,"PASS","FAIL")</f>
        <v/>
      </c>
    </row>
    <row r="76">
      <c r="A76" t="inlineStr">
        <is>
          <t>SoBCaICbIC-urbanresidential.csv | Appliances | ISIC 01T03</t>
        </is>
      </c>
      <c r="B76">
        <f>('Factors applied'!$E$195+'Factors applied'!$E$196+'Factors applied'!$E$197)</f>
        <v/>
      </c>
      <c r="C76" s="129">
        <f>IF(ABS(B76-1)&lt;0.000000001,"PASS","FAIL")</f>
        <v/>
      </c>
    </row>
    <row r="77">
      <c r="A77" t="inlineStr">
        <is>
          <t>SoBCaICbIC-urbanresidential.csv | Appliances | ISIC 07T08</t>
        </is>
      </c>
      <c r="B77">
        <f>('Factors applied'!$E$198+'Factors applied'!$E$199)</f>
        <v/>
      </c>
      <c r="C77" s="129">
        <f>IF(ABS(B77-1)&lt;0.000000001,"PASS","FAIL")</f>
        <v/>
      </c>
    </row>
    <row r="78">
      <c r="A78" t="inlineStr">
        <is>
          <t>SoBCaICbIC-urbanresidential.csv | Appliances | ISIC 30</t>
        </is>
      </c>
      <c r="B78">
        <f>('Factors applied'!$E$200+'Factors applied'!$E$201)</f>
        <v/>
      </c>
      <c r="C78" s="129">
        <f>IF(ABS(B78-1)&lt;0.000000001,"PASS","FAIL")</f>
        <v/>
      </c>
    </row>
    <row r="79">
      <c r="A79" t="inlineStr">
        <is>
          <t>SoBCaICbIC-urbanresidential.csv | Appliances | ISIC 49T53</t>
        </is>
      </c>
      <c r="B79">
        <f>('Factors applied'!$E$202+'Factors applied'!$E$203+'Factors applied'!$E$204+'Factors applied'!$E$205+'Factors applied'!$E$206)</f>
        <v/>
      </c>
      <c r="C79" s="129">
        <f>IF(ABS(B79-1)&lt;0.000000001,"PASS","FAIL")</f>
        <v/>
      </c>
    </row>
    <row r="80">
      <c r="A80" t="inlineStr">
        <is>
          <t>SoBCaICbIC-urbanresidential.csv | Appliances | ISIC 69T82</t>
        </is>
      </c>
      <c r="B80">
        <f>('Factors applied'!$E$207+'Factors applied'!$E$208)</f>
        <v/>
      </c>
      <c r="C80" s="129">
        <f>IF(ABS(B80-1)&lt;0.000000001,"PASS","FAIL")</f>
        <v/>
      </c>
    </row>
    <row r="81">
      <c r="A81" t="inlineStr">
        <is>
          <t>SoBCaICbIC-urbanresidential.csv | Appliances | ISIC 90T96</t>
        </is>
      </c>
      <c r="B81">
        <f>('Factors applied'!$E$209+'Factors applied'!$E$210)</f>
        <v/>
      </c>
      <c r="C81" s="129">
        <f>IF(ABS(B81-1)&lt;0.000000001,"PASS","FAIL")</f>
        <v/>
      </c>
    </row>
    <row r="82">
      <c r="A82" t="inlineStr">
        <is>
          <t>SoBCaICbIC-urbanresidential.csv | Cooling | ISIC 01T03</t>
        </is>
      </c>
      <c r="B82">
        <f>('Factors applied'!$E$211+'Factors applied'!$E$212+'Factors applied'!$E$213)</f>
        <v/>
      </c>
      <c r="C82" s="129">
        <f>IF(ABS(B82-1)&lt;0.000000001,"PASS","FAIL")</f>
        <v/>
      </c>
    </row>
    <row r="83">
      <c r="A83" t="inlineStr">
        <is>
          <t>SoBCaICbIC-urbanresidential.csv | Cooling | ISIC 07T08</t>
        </is>
      </c>
      <c r="B83">
        <f>('Factors applied'!$E$214+'Factors applied'!$E$215)</f>
        <v/>
      </c>
      <c r="C83" s="129">
        <f>IF(ABS(B83-1)&lt;0.000000001,"PASS","FAIL")</f>
        <v/>
      </c>
    </row>
    <row r="84">
      <c r="A84" t="inlineStr">
        <is>
          <t>SoBCaICbIC-urbanresidential.csv | Cooling | ISIC 30</t>
        </is>
      </c>
      <c r="B84">
        <f>('Factors applied'!$E$216+'Factors applied'!$E$217)</f>
        <v/>
      </c>
      <c r="C84" s="129">
        <f>IF(ABS(B84-1)&lt;0.000000001,"PASS","FAIL")</f>
        <v/>
      </c>
    </row>
    <row r="85">
      <c r="A85" t="inlineStr">
        <is>
          <t>SoBCaICbIC-urbanresidential.csv | Cooling | ISIC 49T53</t>
        </is>
      </c>
      <c r="B85">
        <f>('Factors applied'!$E$218+'Factors applied'!$E$219+'Factors applied'!$E$220+'Factors applied'!$E$221+'Factors applied'!$E$222)</f>
        <v/>
      </c>
      <c r="C85" s="129">
        <f>IF(ABS(B85-1)&lt;0.000000001,"PASS","FAIL")</f>
        <v/>
      </c>
    </row>
    <row r="86">
      <c r="A86" t="inlineStr">
        <is>
          <t>SoBCaICbIC-urbanresidential.csv | Cooling | ISIC 69T82</t>
        </is>
      </c>
      <c r="B86">
        <f>('Factors applied'!$E$223+'Factors applied'!$E$224)</f>
        <v/>
      </c>
      <c r="C86" s="129">
        <f>IF(ABS(B86-1)&lt;0.000000001,"PASS","FAIL")</f>
        <v/>
      </c>
    </row>
    <row r="87">
      <c r="A87" t="inlineStr">
        <is>
          <t>SoBCaICbIC-urbanresidential.csv | Cooling | ISIC 90T96</t>
        </is>
      </c>
      <c r="B87">
        <f>('Factors applied'!$E$225+'Factors applied'!$E$226)</f>
        <v/>
      </c>
      <c r="C87" s="129">
        <f>IF(ABS(B87-1)&lt;0.000000001,"PASS","FAIL")</f>
        <v/>
      </c>
    </row>
    <row r="88">
      <c r="A88" t="inlineStr">
        <is>
          <t>SoBCaICbIC-urbanresidential.csv | Envelope | ISIC 01T03</t>
        </is>
      </c>
      <c r="B88">
        <f>('Factors applied'!$E$227+'Factors applied'!$E$228+'Factors applied'!$E$229)</f>
        <v/>
      </c>
      <c r="C88" s="129">
        <f>IF(ABS(B88-1)&lt;0.000000001,"PASS","FAIL")</f>
        <v/>
      </c>
    </row>
    <row r="89">
      <c r="A89" t="inlineStr">
        <is>
          <t>SoBCaICbIC-urbanresidential.csv | Envelope | ISIC 07T08</t>
        </is>
      </c>
      <c r="B89">
        <f>('Factors applied'!$E$230+'Factors applied'!$E$231)</f>
        <v/>
      </c>
      <c r="C89" s="129">
        <f>IF(ABS(B89-1)&lt;0.000000001,"PASS","FAIL")</f>
        <v/>
      </c>
    </row>
    <row r="90">
      <c r="A90" t="inlineStr">
        <is>
          <t>SoBCaICbIC-urbanresidential.csv | Envelope | ISIC 30</t>
        </is>
      </c>
      <c r="B90">
        <f>('Factors applied'!$E$232+'Factors applied'!$E$233)</f>
        <v/>
      </c>
      <c r="C90" s="129">
        <f>IF(ABS(B90-1)&lt;0.000000001,"PASS","FAIL")</f>
        <v/>
      </c>
    </row>
    <row r="91">
      <c r="A91" t="inlineStr">
        <is>
          <t>SoBCaICbIC-urbanresidential.csv | Envelope | ISIC 49T53</t>
        </is>
      </c>
      <c r="B91">
        <f>('Factors applied'!$E$234+'Factors applied'!$E$235+'Factors applied'!$E$236+'Factors applied'!$E$237+'Factors applied'!$E$238)</f>
        <v/>
      </c>
      <c r="C91" s="129">
        <f>IF(ABS(B91-1)&lt;0.000000001,"PASS","FAIL")</f>
        <v/>
      </c>
    </row>
    <row r="92">
      <c r="A92" t="inlineStr">
        <is>
          <t>SoBCaICbIC-urbanresidential.csv | Envelope | ISIC 69T82</t>
        </is>
      </c>
      <c r="B92">
        <f>('Factors applied'!$E$239+'Factors applied'!$E$240)</f>
        <v/>
      </c>
      <c r="C92" s="129">
        <f>IF(ABS(B92-1)&lt;0.000000001,"PASS","FAIL")</f>
        <v/>
      </c>
    </row>
    <row r="93">
      <c r="A93" t="inlineStr">
        <is>
          <t>SoBCaICbIC-urbanresidential.csv | Envelope | ISIC 90T96</t>
        </is>
      </c>
      <c r="B93">
        <f>('Factors applied'!$E$241+'Factors applied'!$E$242)</f>
        <v/>
      </c>
      <c r="C93" s="129">
        <f>IF(ABS(B93-1)&lt;0.000000001,"PASS","FAIL")</f>
        <v/>
      </c>
    </row>
    <row r="94">
      <c r="A94" t="inlineStr">
        <is>
          <t>SoBCaICbIC-urbanresidential.csv | Heating | ISIC 01T03</t>
        </is>
      </c>
      <c r="B94">
        <f>('Factors applied'!$E$243+'Factors applied'!$E$244+'Factors applied'!$E$245)</f>
        <v/>
      </c>
      <c r="C94" s="129">
        <f>IF(ABS(B94-1)&lt;0.000000001,"PASS","FAIL")</f>
        <v/>
      </c>
    </row>
    <row r="95">
      <c r="A95" t="inlineStr">
        <is>
          <t>SoBCaICbIC-urbanresidential.csv | Heating | ISIC 07T08</t>
        </is>
      </c>
      <c r="B95">
        <f>('Factors applied'!$E$246+'Factors applied'!$E$247)</f>
        <v/>
      </c>
      <c r="C95" s="129">
        <f>IF(ABS(B95-1)&lt;0.000000001,"PASS","FAIL")</f>
        <v/>
      </c>
    </row>
    <row r="96">
      <c r="A96" t="inlineStr">
        <is>
          <t>SoBCaICbIC-urbanresidential.csv | Heating | ISIC 30</t>
        </is>
      </c>
      <c r="B96">
        <f>('Factors applied'!$E$248+'Factors applied'!$E$249)</f>
        <v/>
      </c>
      <c r="C96" s="129">
        <f>IF(ABS(B96-1)&lt;0.000000001,"PASS","FAIL")</f>
        <v/>
      </c>
    </row>
    <row r="97">
      <c r="A97" t="inlineStr">
        <is>
          <t>SoBCaICbIC-urbanresidential.csv | Heating | ISIC 49T53</t>
        </is>
      </c>
      <c r="B97">
        <f>('Factors applied'!$E$250+'Factors applied'!$E$251+'Factors applied'!$E$252+'Factors applied'!$E$253+'Factors applied'!$E$254)</f>
        <v/>
      </c>
      <c r="C97" s="129">
        <f>IF(ABS(B97-1)&lt;0.000000001,"PASS","FAIL")</f>
        <v/>
      </c>
    </row>
    <row r="98">
      <c r="A98" t="inlineStr">
        <is>
          <t>SoBCaICbIC-urbanresidential.csv | Heating | ISIC 69T82</t>
        </is>
      </c>
      <c r="B98">
        <f>('Factors applied'!$E$255+'Factors applied'!$E$256)</f>
        <v/>
      </c>
      <c r="C98" s="129">
        <f>IF(ABS(B98-1)&lt;0.000000001,"PASS","FAIL")</f>
        <v/>
      </c>
    </row>
    <row r="99">
      <c r="A99" t="inlineStr">
        <is>
          <t>SoBCaICbIC-urbanresidential.csv | Heating | ISIC 90T96</t>
        </is>
      </c>
      <c r="B99">
        <f>('Factors applied'!$E$257+'Factors applied'!$E$258)</f>
        <v/>
      </c>
      <c r="C99" s="129">
        <f>IF(ABS(B99-1)&lt;0.000000001,"PASS","FAIL")</f>
        <v/>
      </c>
    </row>
    <row r="100">
      <c r="A100" t="inlineStr">
        <is>
          <t>SoBCaICbIC-urbanresidential.csv | Lighting | ISIC 01T03</t>
        </is>
      </c>
      <c r="B100">
        <f>('Factors applied'!$E$259+'Factors applied'!$E$260+'Factors applied'!$E$261)</f>
        <v/>
      </c>
      <c r="C100" s="129">
        <f>IF(ABS(B100-1)&lt;0.000000001,"PASS","FAIL")</f>
        <v/>
      </c>
    </row>
    <row r="101">
      <c r="A101" t="inlineStr">
        <is>
          <t>SoBCaICbIC-urbanresidential.csv | Lighting | ISIC 07T08</t>
        </is>
      </c>
      <c r="B101">
        <f>('Factors applied'!$E$262+'Factors applied'!$E$263)</f>
        <v/>
      </c>
      <c r="C101" s="129">
        <f>IF(ABS(B101-1)&lt;0.000000001,"PASS","FAIL")</f>
        <v/>
      </c>
    </row>
    <row r="102">
      <c r="A102" t="inlineStr">
        <is>
          <t>SoBCaICbIC-urbanresidential.csv | Lighting | ISIC 30</t>
        </is>
      </c>
      <c r="B102">
        <f>('Factors applied'!$E$264+'Factors applied'!$E$265)</f>
        <v/>
      </c>
      <c r="C102" s="129">
        <f>IF(ABS(B102-1)&lt;0.000000001,"PASS","FAIL")</f>
        <v/>
      </c>
    </row>
    <row r="103">
      <c r="A103" t="inlineStr">
        <is>
          <t>SoBCaICbIC-urbanresidential.csv | Lighting | ISIC 49T53</t>
        </is>
      </c>
      <c r="B103">
        <f>('Factors applied'!$E$266+'Factors applied'!$E$267+'Factors applied'!$E$268+'Factors applied'!$E$269+'Factors applied'!$E$270)</f>
        <v/>
      </c>
      <c r="C103" s="129">
        <f>IF(ABS(B103-1)&lt;0.000000001,"PASS","FAIL")</f>
        <v/>
      </c>
    </row>
    <row r="104">
      <c r="A104" t="inlineStr">
        <is>
          <t>SoBCaICbIC-urbanresidential.csv | Lighting | ISIC 69T82</t>
        </is>
      </c>
      <c r="B104">
        <f>('Factors applied'!$E$271+'Factors applied'!$E$272)</f>
        <v/>
      </c>
      <c r="C104" s="129">
        <f>IF(ABS(B104-1)&lt;0.000000001,"PASS","FAIL")</f>
        <v/>
      </c>
    </row>
    <row r="105">
      <c r="A105" t="inlineStr">
        <is>
          <t>SoBCaICbIC-urbanresidential.csv | Lighting | ISIC 90T96</t>
        </is>
      </c>
      <c r="B105">
        <f>('Factors applied'!$E$273+'Factors applied'!$E$274)</f>
        <v/>
      </c>
      <c r="C105" s="129">
        <f>IF(ABS(B105-1)&lt;0.000000001,"PASS","FAIL")</f>
        <v/>
      </c>
    </row>
    <row r="106">
      <c r="A106" t="inlineStr">
        <is>
          <t>SoBCaICbIC-urbanresidential.csv | Other | ISIC 01T03</t>
        </is>
      </c>
      <c r="B106">
        <f>('Factors applied'!$E$275+'Factors applied'!$E$276+'Factors applied'!$E$277)</f>
        <v/>
      </c>
      <c r="C106" s="129">
        <f>IF(ABS(B106-1)&lt;0.000000001,"PASS","FAIL")</f>
        <v/>
      </c>
    </row>
    <row r="107">
      <c r="A107" t="inlineStr">
        <is>
          <t>SoBCaICbIC-urbanresidential.csv | Other | ISIC 07T08</t>
        </is>
      </c>
      <c r="B107">
        <f>('Factors applied'!$E$278+'Factors applied'!$E$279)</f>
        <v/>
      </c>
      <c r="C107" s="129">
        <f>IF(ABS(B107-1)&lt;0.000000001,"PASS","FAIL")</f>
        <v/>
      </c>
    </row>
    <row r="108">
      <c r="A108" t="inlineStr">
        <is>
          <t>SoBCaICbIC-urbanresidential.csv | Other | ISIC 30</t>
        </is>
      </c>
      <c r="B108">
        <f>('Factors applied'!$E$280+'Factors applied'!$E$281)</f>
        <v/>
      </c>
      <c r="C108" s="129">
        <f>IF(ABS(B108-1)&lt;0.000000001,"PASS","FAIL")</f>
        <v/>
      </c>
    </row>
    <row r="109">
      <c r="A109" t="inlineStr">
        <is>
          <t>SoBCaICbIC-urbanresidential.csv | Other | ISIC 49T53</t>
        </is>
      </c>
      <c r="B109">
        <f>('Factors applied'!$E$282+'Factors applied'!$E$283+'Factors applied'!$E$284+'Factors applied'!$E$285+'Factors applied'!$E$286)</f>
        <v/>
      </c>
      <c r="C109" s="129">
        <f>IF(ABS(B109-1)&lt;0.000000001,"PASS","FAIL")</f>
        <v/>
      </c>
    </row>
    <row r="110">
      <c r="A110" t="inlineStr">
        <is>
          <t>SoBCaICbIC-urbanresidential.csv | Other | ISIC 69T82</t>
        </is>
      </c>
      <c r="B110">
        <f>('Factors applied'!$E$287+'Factors applied'!$E$288)</f>
        <v/>
      </c>
      <c r="C110" s="129">
        <f>IF(ABS(B110-1)&lt;0.000000001,"PASS","FAIL")</f>
        <v/>
      </c>
    </row>
    <row r="111">
      <c r="A111" t="inlineStr">
        <is>
          <t>SoBCaICbIC-urbanresidential.csv | Other | ISIC 90T96</t>
        </is>
      </c>
      <c r="B111">
        <f>('Factors applied'!$E$289+'Factors applied'!$E$290)</f>
        <v/>
      </c>
      <c r="C111" s="129">
        <f>IF(ABS(B111-1)&lt;0.000000001,"PASS","FAIL")</f>
        <v/>
      </c>
    </row>
  </sheetData>
  <pageMargins left="0.75" right="0.75" top="1" bottom="1" header="0.5" footer="0.5"/>
</worksheet>
</file>

<file path=xl/worksheets/sheet17.xml><?xml version="1.0" encoding="utf-8"?>
<worksheet xmlns="http://schemas.openxmlformats.org/spreadsheetml/2006/main">
  <sheetPr>
    <tabColor rgb="001F3864"/>
    <outlinePr summaryBelow="1" summaryRight="1"/>
    <pageSetUpPr/>
  </sheetPr>
  <dimension ref="A1:BA7"/>
  <sheetViews>
    <sheetView topLeftCell="U1" workbookViewId="0">
      <selection activeCell="AG5" sqref="AG5"/>
    </sheetView>
  </sheetViews>
  <sheetFormatPr baseColWidth="8" defaultRowHeight="14.25"/>
  <cols>
    <col width="22.86328125" customWidth="1" style="100" min="1" max="1"/>
    <col width="11.1328125" customWidth="1" style="100" min="2" max="43"/>
  </cols>
  <sheetData>
    <row r="1">
      <c r="A1" s="130" t="inlineStr">
        <is>
          <t>Unit: dimensionless (%)</t>
        </is>
      </c>
      <c r="B1" s="129" t="inlineStr">
        <is>
          <t>ISIC 01</t>
        </is>
      </c>
      <c r="C1" s="129" t="inlineStr">
        <is>
          <t>ISIC 02</t>
        </is>
      </c>
      <c r="D1" s="129" t="inlineStr">
        <is>
          <t>ISIC 03</t>
        </is>
      </c>
      <c r="E1" s="129" t="inlineStr">
        <is>
          <t>ISIC 05</t>
        </is>
      </c>
      <c r="F1" s="129" t="inlineStr">
        <is>
          <t>ISIC 06</t>
        </is>
      </c>
      <c r="G1" s="129" t="inlineStr">
        <is>
          <t>ISIC 07</t>
        </is>
      </c>
      <c r="H1" s="129" t="inlineStr">
        <is>
          <t>ISIC 08</t>
        </is>
      </c>
      <c r="I1" s="129" t="inlineStr">
        <is>
          <t>ISIC 09</t>
        </is>
      </c>
      <c r="J1" s="129" t="inlineStr">
        <is>
          <t>ISIC 10T12</t>
        </is>
      </c>
      <c r="K1" s="129" t="inlineStr">
        <is>
          <t>ISIC 13T15</t>
        </is>
      </c>
      <c r="L1" s="129" t="inlineStr">
        <is>
          <t>ISIC 16</t>
        </is>
      </c>
      <c r="M1" s="129" t="inlineStr">
        <is>
          <t>ISIC 17T18</t>
        </is>
      </c>
      <c r="N1" s="129" t="inlineStr">
        <is>
          <t>ISIC 19</t>
        </is>
      </c>
      <c r="O1" s="129" t="inlineStr">
        <is>
          <t>ISIC 20</t>
        </is>
      </c>
      <c r="P1" s="129" t="inlineStr">
        <is>
          <t>ISIC 21</t>
        </is>
      </c>
      <c r="Q1" s="129" t="inlineStr">
        <is>
          <t>ISIC 22</t>
        </is>
      </c>
      <c r="R1" s="129" t="inlineStr">
        <is>
          <t>ISIC 231</t>
        </is>
      </c>
      <c r="S1" s="129" t="inlineStr">
        <is>
          <t>ISIC 239</t>
        </is>
      </c>
      <c r="T1" s="129" t="inlineStr">
        <is>
          <t>ISIC 241</t>
        </is>
      </c>
      <c r="U1" s="129" t="inlineStr">
        <is>
          <t>ISIC 242</t>
        </is>
      </c>
      <c r="V1" s="129" t="inlineStr">
        <is>
          <t>ISIC 25</t>
        </is>
      </c>
      <c r="W1" s="129" t="inlineStr">
        <is>
          <t>ISIC 26</t>
        </is>
      </c>
      <c r="X1" s="129" t="inlineStr">
        <is>
          <t>ISIC 27</t>
        </is>
      </c>
      <c r="Y1" s="129" t="inlineStr">
        <is>
          <t>ISIC 28</t>
        </is>
      </c>
      <c r="Z1" s="129" t="inlineStr">
        <is>
          <t>ISIC 29</t>
        </is>
      </c>
      <c r="AA1" s="129" t="inlineStr">
        <is>
          <t>ISIC 301</t>
        </is>
      </c>
      <c r="AB1" s="129" t="inlineStr">
        <is>
          <t>ISIC 302T309</t>
        </is>
      </c>
      <c r="AC1" s="129" t="inlineStr">
        <is>
          <t>ISIC 31T33</t>
        </is>
      </c>
      <c r="AD1" s="129" t="inlineStr">
        <is>
          <t>ISIC 351</t>
        </is>
      </c>
      <c r="AE1" s="129" t="inlineStr">
        <is>
          <t>ISIC 352T353</t>
        </is>
      </c>
      <c r="AF1" s="129" t="inlineStr">
        <is>
          <t>ISIC 36T39</t>
        </is>
      </c>
      <c r="AG1" s="129" t="inlineStr">
        <is>
          <t>ISIC 41T43</t>
        </is>
      </c>
      <c r="AH1" s="129" t="inlineStr">
        <is>
          <t>ISIC 45T47</t>
        </is>
      </c>
      <c r="AI1" s="129" t="inlineStr">
        <is>
          <t>ISIC 49</t>
        </is>
      </c>
      <c r="AJ1" s="129" t="inlineStr">
        <is>
          <t>ISIC 50</t>
        </is>
      </c>
      <c r="AK1" s="129" t="inlineStr">
        <is>
          <t>ISIC 51</t>
        </is>
      </c>
      <c r="AL1" s="129" t="inlineStr">
        <is>
          <t>ISIC 52</t>
        </is>
      </c>
      <c r="AM1" s="129" t="inlineStr">
        <is>
          <t>ISIC 53</t>
        </is>
      </c>
      <c r="AN1" s="129" t="inlineStr">
        <is>
          <t>ISIC 55T56</t>
        </is>
      </c>
      <c r="AO1" s="129" t="inlineStr">
        <is>
          <t>ISIC 58T60</t>
        </is>
      </c>
      <c r="AP1" s="129" t="inlineStr">
        <is>
          <t>ISIC 61</t>
        </is>
      </c>
      <c r="AQ1" s="129" t="inlineStr">
        <is>
          <t>ISIC 62T63</t>
        </is>
      </c>
      <c r="AR1" s="129" t="inlineStr">
        <is>
          <t>ISIC 64T66</t>
        </is>
      </c>
      <c r="AS1" s="129" t="inlineStr">
        <is>
          <t>ISIC 68</t>
        </is>
      </c>
      <c r="AT1" s="129" t="inlineStr">
        <is>
          <t>ISIC 69T75</t>
        </is>
      </c>
      <c r="AU1" s="129" t="inlineStr">
        <is>
          <t>ISIC 77T82</t>
        </is>
      </c>
      <c r="AV1" s="129" t="inlineStr">
        <is>
          <t>ISIC 84</t>
        </is>
      </c>
      <c r="AW1" s="129" t="inlineStr">
        <is>
          <t>ISIC 85</t>
        </is>
      </c>
      <c r="AX1" s="129" t="inlineStr">
        <is>
          <t>ISIC 86T88</t>
        </is>
      </c>
      <c r="AY1" s="129" t="inlineStr">
        <is>
          <t>ISIC 90T93</t>
        </is>
      </c>
      <c r="AZ1" s="129" t="inlineStr">
        <is>
          <t>ISIC 94T96</t>
        </is>
      </c>
      <c r="BA1" s="129" t="inlineStr">
        <is>
          <t>ISIC 97T98</t>
        </is>
      </c>
    </row>
    <row r="2">
      <c r="A2" t="inlineStr">
        <is>
          <t>Heating</t>
        </is>
      </c>
      <c r="B2">
        <f>(SUMIFS('Cost Breakdowns'!$C$3:$C$12,'Cost Breakdowns'!$A$3:$A$12,'SoBCaICbIC-urbanresidential'!$A2,'Cost Breakdowns'!$F$3:$F$12,"ISIC 01T03"))*'Factors applied'!$E$243</f>
        <v/>
      </c>
      <c r="C2">
        <f>(SUMIFS('Cost Breakdowns'!$C$3:$C$12,'Cost Breakdowns'!$A$3:$A$12,'SoBCaICbIC-urbanresidential'!$A2,'Cost Breakdowns'!$F$3:$F$12,"ISIC 01T03"))*'Factors applied'!$E$244</f>
        <v/>
      </c>
      <c r="D2">
        <f>(SUMIFS('Cost Breakdowns'!$C$3:$C$12,'Cost Breakdowns'!$A$3:$A$12,'SoBCaICbIC-urbanresidential'!$A2,'Cost Breakdowns'!$F$3:$F$12,"ISIC 01T03"))*'Factors applied'!$E$245</f>
        <v/>
      </c>
      <c r="E2">
        <f>(SUMIFS('Cost Breakdowns'!$C$3:$C$12,'Cost Breakdowns'!$A$3:$A$12,'SoBCaICbIC-urbanresidential'!$A2,'Cost Breakdowns'!$F$3:$F$12,"ISIC 05"))</f>
        <v/>
      </c>
      <c r="F2">
        <f>(SUMIFS('Cost Breakdowns'!$C$3:$C$12,'Cost Breakdowns'!$A$3:$A$12,'SoBCaICbIC-urbanresidential'!$A2,'Cost Breakdowns'!$F$3:$F$12,"ISIC 06"))</f>
        <v/>
      </c>
      <c r="G2">
        <f>(SUMIFS('Cost Breakdowns'!$C$3:$C$12,'Cost Breakdowns'!$A$3:$A$12,'SoBCaICbIC-urbanresidential'!$A2,'Cost Breakdowns'!$F$3:$F$12,"ISIC 07T08"))*'Factors applied'!$E$246</f>
        <v/>
      </c>
      <c r="H2">
        <f>(SUMIFS('Cost Breakdowns'!$C$3:$C$12,'Cost Breakdowns'!$A$3:$A$12,'SoBCaICbIC-urbanresidential'!$A2,'Cost Breakdowns'!$F$3:$F$12,"ISIC 07T08"))*'Factors applied'!$E$247</f>
        <v/>
      </c>
      <c r="I2">
        <f>(SUMIFS('Cost Breakdowns'!$C$3:$C$12,'Cost Breakdowns'!$A$3:$A$12,'SoBCaICbIC-urbanresidential'!$A2,'Cost Breakdowns'!$F$3:$F$12,"ISIC 09"))</f>
        <v/>
      </c>
      <c r="J2">
        <f>(SUMIFS('Cost Breakdowns'!$C$3:$C$12,'Cost Breakdowns'!$A$3:$A$12,'SoBCaICbIC-urbanresidential'!$A2,'Cost Breakdowns'!$F$3:$F$12,"ISIC 10T12"))</f>
        <v/>
      </c>
      <c r="K2">
        <f>(SUMIFS('Cost Breakdowns'!$C$3:$C$12,'Cost Breakdowns'!$A$3:$A$12,'SoBCaICbIC-urbanresidential'!$A2,'Cost Breakdowns'!$F$3:$F$12,"ISIC 13T15"))</f>
        <v/>
      </c>
      <c r="L2">
        <f>(SUMIFS('Cost Breakdowns'!$C$3:$C$12,'Cost Breakdowns'!$A$3:$A$12,'SoBCaICbIC-urbanresidential'!$A2,'Cost Breakdowns'!$F$3:$F$12,"ISIC 16"))</f>
        <v/>
      </c>
      <c r="M2">
        <f>(SUMIFS('Cost Breakdowns'!$C$3:$C$12,'Cost Breakdowns'!$A$3:$A$12,'SoBCaICbIC-urbanresidential'!$A2,'Cost Breakdowns'!$F$3:$F$12,"ISIC 17T18"))</f>
        <v/>
      </c>
      <c r="N2">
        <f>(SUMIFS('Cost Breakdowns'!$C$3:$C$12,'Cost Breakdowns'!$A$3:$A$12,'SoBCaICbIC-urbanresidential'!$A2,'Cost Breakdowns'!$F$3:$F$12,"ISIC 19"))</f>
        <v/>
      </c>
      <c r="O2">
        <f>(SUMIFS('Cost Breakdowns'!$C$3:$C$12,'Cost Breakdowns'!$A$3:$A$12,'SoBCaICbIC-urbanresidential'!$A2,'Cost Breakdowns'!$F$3:$F$12,"ISIC 20"))</f>
        <v/>
      </c>
      <c r="P2">
        <f>(SUMIFS('Cost Breakdowns'!$C$3:$C$12,'Cost Breakdowns'!$A$3:$A$12,'SoBCaICbIC-urbanresidential'!$A2,'Cost Breakdowns'!$F$3:$F$12,"ISIC 21"))</f>
        <v/>
      </c>
      <c r="Q2">
        <f>(SUMIFS('Cost Breakdowns'!$C$3:$C$12,'Cost Breakdowns'!$A$3:$A$12,'SoBCaICbIC-urbanresidential'!$A2,'Cost Breakdowns'!$F$3:$F$12,"ISIC 22"))</f>
        <v/>
      </c>
      <c r="R2">
        <f>(SUMIFS('Cost Breakdowns'!$C$3:$C$12,'Cost Breakdowns'!$A$3:$A$12,'SoBCaICbIC-urbanresidential'!$A2,'Cost Breakdowns'!$F$3:$F$12,"ISIC 231"))</f>
        <v/>
      </c>
      <c r="S2">
        <f>(SUMIFS('Cost Breakdowns'!$C$3:$C$12,'Cost Breakdowns'!$A$3:$A$12,'SoBCaICbIC-urbanresidential'!$A2,'Cost Breakdowns'!$F$3:$F$12,"ISIC 239"))</f>
        <v/>
      </c>
      <c r="T2">
        <f>(SUMIFS('Cost Breakdowns'!$C$3:$C$12,'Cost Breakdowns'!$A$3:$A$12,'SoBCaICbIC-urbanresidential'!$A2,'Cost Breakdowns'!$F$3:$F$12,"ISIC 241"))</f>
        <v/>
      </c>
      <c r="U2">
        <f>(SUMIFS('Cost Breakdowns'!$C$3:$C$12,'Cost Breakdowns'!$A$3:$A$12,'SoBCaICbIC-urbanresidential'!$A2,'Cost Breakdowns'!$F$3:$F$12,"ISIC 242"))</f>
        <v/>
      </c>
      <c r="V2">
        <f>(SUMIFS('Cost Breakdowns'!$C$3:$C$12,'Cost Breakdowns'!$A$3:$A$12,'SoBCaICbIC-urbanresidential'!$A2,'Cost Breakdowns'!$F$3:$F$12,"ISIC 25"))</f>
        <v/>
      </c>
      <c r="W2">
        <f>(SUMIFS('Cost Breakdowns'!$C$3:$C$12,'Cost Breakdowns'!$A$3:$A$12,'SoBCaICbIC-urbanresidential'!$A2,'Cost Breakdowns'!$F$3:$F$12,"ISIC 26"))</f>
        <v/>
      </c>
      <c r="X2">
        <f>(SUMIFS('Cost Breakdowns'!$C$3:$C$12,'Cost Breakdowns'!$A$3:$A$12,'SoBCaICbIC-urbanresidential'!$A2,'Cost Breakdowns'!$F$3:$F$12,"ISIC 27"))</f>
        <v/>
      </c>
      <c r="Y2">
        <f>(SUMIFS('Cost Breakdowns'!$C$3:$C$12,'Cost Breakdowns'!$A$3:$A$12,'SoBCaICbIC-urbanresidential'!$A2,'Cost Breakdowns'!$F$3:$F$12,"ISIC 28"))</f>
        <v/>
      </c>
      <c r="Z2">
        <f>(SUMIFS('Cost Breakdowns'!$C$3:$C$12,'Cost Breakdowns'!$A$3:$A$12,'SoBCaICbIC-urbanresidential'!$A2,'Cost Breakdowns'!$F$3:$F$12,"ISIC 29"))</f>
        <v/>
      </c>
      <c r="AA2">
        <f>(SUMIFS('Cost Breakdowns'!$C$3:$C$12,'Cost Breakdowns'!$A$3:$A$12,'SoBCaICbIC-urbanresidential'!$A2,'Cost Breakdowns'!$F$3:$F$12,"ISIC 30"))*'Factors applied'!$E$248</f>
        <v/>
      </c>
      <c r="AB2">
        <f>(SUMIFS('Cost Breakdowns'!$C$3:$C$12,'Cost Breakdowns'!$A$3:$A$12,'SoBCaICbIC-urbanresidential'!$A2,'Cost Breakdowns'!$F$3:$F$12,"ISIC 30"))*'Factors applied'!$E$249</f>
        <v/>
      </c>
      <c r="AC2">
        <f>(SUMIFS('Cost Breakdowns'!$C$3:$C$12,'Cost Breakdowns'!$A$3:$A$12,'SoBCaICbIC-urbanresidential'!$A2,'Cost Breakdowns'!$F$3:$F$12,"ISIC 31T33"))</f>
        <v/>
      </c>
      <c r="AD2">
        <f>(SUMIFS('Cost Breakdowns'!$C$3:$C$12,'Cost Breakdowns'!$A$3:$A$12,'SoBCaICbIC-urbanresidential'!$A2,'Cost Breakdowns'!$F$3:$F$12,"ISIC 351"))</f>
        <v/>
      </c>
      <c r="AE2">
        <f>(SUMIFS('Cost Breakdowns'!$C$3:$C$12,'Cost Breakdowns'!$A$3:$A$12,'SoBCaICbIC-urbanresidential'!$A2,'Cost Breakdowns'!$F$3:$F$12,"ISIC 352T353"))</f>
        <v/>
      </c>
      <c r="AF2">
        <f>(SUMIFS('Cost Breakdowns'!$C$3:$C$12,'Cost Breakdowns'!$A$3:$A$12,'SoBCaICbIC-urbanresidential'!$A2,'Cost Breakdowns'!$F$3:$F$12,"ISIC 36T39"))</f>
        <v/>
      </c>
      <c r="AG2">
        <f>(SUMIFS('Cost Breakdowns'!$C$3:$C$12,'Cost Breakdowns'!$A$3:$A$12,'SoBCaICbIC-urbanresidential'!$A2,'Cost Breakdowns'!$F$3:$F$12,"ISIC 41T43"))</f>
        <v/>
      </c>
      <c r="AH2">
        <f>(SUMIFS('Cost Breakdowns'!$C$3:$C$12,'Cost Breakdowns'!$A$3:$A$12,'SoBCaICbIC-urbanresidential'!$A2,'Cost Breakdowns'!$F$3:$F$12,"ISIC 45T47"))</f>
        <v/>
      </c>
      <c r="AI2">
        <f>(SUMIFS('Cost Breakdowns'!$C$3:$C$12,'Cost Breakdowns'!$A$3:$A$12,'SoBCaICbIC-urbanresidential'!$A2,'Cost Breakdowns'!$F$3:$F$12,"ISIC 49T53"))*'Factors applied'!$E$250</f>
        <v/>
      </c>
      <c r="AJ2">
        <f>(SUMIFS('Cost Breakdowns'!$C$3:$C$12,'Cost Breakdowns'!$A$3:$A$12,'SoBCaICbIC-urbanresidential'!$A2,'Cost Breakdowns'!$F$3:$F$12,"ISIC 49T53"))*'Factors applied'!$E$251</f>
        <v/>
      </c>
      <c r="AK2">
        <f>(SUMIFS('Cost Breakdowns'!$C$3:$C$12,'Cost Breakdowns'!$A$3:$A$12,'SoBCaICbIC-urbanresidential'!$A2,'Cost Breakdowns'!$F$3:$F$12,"ISIC 49T53"))*'Factors applied'!$E$252</f>
        <v/>
      </c>
      <c r="AL2">
        <f>(SUMIFS('Cost Breakdowns'!$C$3:$C$12,'Cost Breakdowns'!$A$3:$A$12,'SoBCaICbIC-urbanresidential'!$A2,'Cost Breakdowns'!$F$3:$F$12,"ISIC 49T53"))*'Factors applied'!$E$253</f>
        <v/>
      </c>
      <c r="AM2">
        <f>(SUMIFS('Cost Breakdowns'!$C$3:$C$12,'Cost Breakdowns'!$A$3:$A$12,'SoBCaICbIC-urbanresidential'!$A2,'Cost Breakdowns'!$F$3:$F$12,"ISIC 49T53"))*'Factors applied'!$E$254</f>
        <v/>
      </c>
      <c r="AN2">
        <f>(SUMIFS('Cost Breakdowns'!$C$3:$C$12,'Cost Breakdowns'!$A$3:$A$12,'SoBCaICbIC-urbanresidential'!$A2,'Cost Breakdowns'!$F$3:$F$12,"ISIC 55T56"))</f>
        <v/>
      </c>
      <c r="AO2">
        <f>(SUMIFS('Cost Breakdowns'!$C$3:$C$12,'Cost Breakdowns'!$A$3:$A$12,'SoBCaICbIC-urbanresidential'!$A2,'Cost Breakdowns'!$F$3:$F$12,"ISIC 58T60"))</f>
        <v/>
      </c>
      <c r="AP2">
        <f>(SUMIFS('Cost Breakdowns'!$C$3:$C$12,'Cost Breakdowns'!$A$3:$A$12,'SoBCaICbIC-urbanresidential'!$A2,'Cost Breakdowns'!$F$3:$F$12,"ISIC 61"))</f>
        <v/>
      </c>
      <c r="AQ2">
        <f>(SUMIFS('Cost Breakdowns'!$C$3:$C$12,'Cost Breakdowns'!$A$3:$A$12,'SoBCaICbIC-urbanresidential'!$A2,'Cost Breakdowns'!$F$3:$F$12,"ISIC 62T63"))</f>
        <v/>
      </c>
      <c r="AR2">
        <f>(SUMIFS('Cost Breakdowns'!$C$3:$C$12,'Cost Breakdowns'!$A$3:$A$12,'SoBCaICbIC-urbanresidential'!$A2,'Cost Breakdowns'!$F$3:$F$12,"ISIC 64T66"))</f>
        <v/>
      </c>
      <c r="AS2">
        <f>(SUMIFS('Cost Breakdowns'!$C$3:$C$12,'Cost Breakdowns'!$A$3:$A$12,'SoBCaICbIC-urbanresidential'!$A2,'Cost Breakdowns'!$F$3:$F$12,"ISIC 68"))</f>
        <v/>
      </c>
      <c r="AT2">
        <f>(SUMIFS('Cost Breakdowns'!$C$3:$C$12,'Cost Breakdowns'!$A$3:$A$12,'SoBCaICbIC-urbanresidential'!$A2,'Cost Breakdowns'!$F$3:$F$12,"ISIC 69T82"))*'Factors applied'!$E$255</f>
        <v/>
      </c>
      <c r="AU2">
        <f>(SUMIFS('Cost Breakdowns'!$C$3:$C$12,'Cost Breakdowns'!$A$3:$A$12,'SoBCaICbIC-urbanresidential'!$A2,'Cost Breakdowns'!$F$3:$F$12,"ISIC 69T82"))*'Factors applied'!$E$256</f>
        <v/>
      </c>
      <c r="AV2">
        <f>(SUMIFS('Cost Breakdowns'!$C$3:$C$12,'Cost Breakdowns'!$A$3:$A$12,'SoBCaICbIC-urbanresidential'!$A2,'Cost Breakdowns'!$F$3:$F$12,"ISIC 84"))</f>
        <v/>
      </c>
      <c r="AW2">
        <f>(SUMIFS('Cost Breakdowns'!$C$3:$C$12,'Cost Breakdowns'!$A$3:$A$12,'SoBCaICbIC-urbanresidential'!$A2,'Cost Breakdowns'!$F$3:$F$12,"ISIC 85"))</f>
        <v/>
      </c>
      <c r="AX2">
        <f>(SUMIFS('Cost Breakdowns'!$C$3:$C$12,'Cost Breakdowns'!$A$3:$A$12,'SoBCaICbIC-urbanresidential'!$A2,'Cost Breakdowns'!$F$3:$F$12,"ISIC 86T88"))</f>
        <v/>
      </c>
      <c r="AY2">
        <f>(SUMIFS('Cost Breakdowns'!$C$3:$C$12,'Cost Breakdowns'!$A$3:$A$12,'SoBCaICbIC-urbanresidential'!$A2,'Cost Breakdowns'!$F$3:$F$12,"ISIC 90T96"))*'Factors applied'!$E$257</f>
        <v/>
      </c>
      <c r="AZ2">
        <f>(SUMIFS('Cost Breakdowns'!$C$3:$C$12,'Cost Breakdowns'!$A$3:$A$12,'SoBCaICbIC-urbanresidential'!$A2,'Cost Breakdowns'!$F$3:$F$12,"ISIC 90T96"))*'Factors applied'!$E$258</f>
        <v/>
      </c>
      <c r="BA2">
        <f>(SUMIFS('Cost Breakdowns'!$C$3:$C$12,'Cost Breakdowns'!$A$3:$A$12,'SoBCaICbIC-urbanresidential'!$A2,'Cost Breakdowns'!$F$3:$F$12,"ISIC 97T98"))</f>
        <v/>
      </c>
    </row>
    <row r="3">
      <c r="A3" t="inlineStr">
        <is>
          <t>Cooling</t>
        </is>
      </c>
      <c r="B3">
        <f>(SUMIFS('Cost Breakdowns'!$C$3:$C$12,'Cost Breakdowns'!$A$3:$A$12,'SoBCaICbIC-urbanresidential'!$A3,'Cost Breakdowns'!$F$3:$F$12,"ISIC 01T03"))*'Factors applied'!$E$211</f>
        <v/>
      </c>
      <c r="C3">
        <f>(SUMIFS('Cost Breakdowns'!$C$3:$C$12,'Cost Breakdowns'!$A$3:$A$12,'SoBCaICbIC-urbanresidential'!$A3,'Cost Breakdowns'!$F$3:$F$12,"ISIC 01T03"))*'Factors applied'!$E$212</f>
        <v/>
      </c>
      <c r="D3">
        <f>(SUMIFS('Cost Breakdowns'!$C$3:$C$12,'Cost Breakdowns'!$A$3:$A$12,'SoBCaICbIC-urbanresidential'!$A3,'Cost Breakdowns'!$F$3:$F$12,"ISIC 01T03"))*'Factors applied'!$E$213</f>
        <v/>
      </c>
      <c r="E3">
        <f>(SUMIFS('Cost Breakdowns'!$C$3:$C$12,'Cost Breakdowns'!$A$3:$A$12,'SoBCaICbIC-urbanresidential'!$A3,'Cost Breakdowns'!$F$3:$F$12,"ISIC 05"))</f>
        <v/>
      </c>
      <c r="F3">
        <f>(SUMIFS('Cost Breakdowns'!$C$3:$C$12,'Cost Breakdowns'!$A$3:$A$12,'SoBCaICbIC-urbanresidential'!$A3,'Cost Breakdowns'!$F$3:$F$12,"ISIC 06"))</f>
        <v/>
      </c>
      <c r="G3">
        <f>(SUMIFS('Cost Breakdowns'!$C$3:$C$12,'Cost Breakdowns'!$A$3:$A$12,'SoBCaICbIC-urbanresidential'!$A3,'Cost Breakdowns'!$F$3:$F$12,"ISIC 07T08"))*'Factors applied'!$E$214</f>
        <v/>
      </c>
      <c r="H3">
        <f>(SUMIFS('Cost Breakdowns'!$C$3:$C$12,'Cost Breakdowns'!$A$3:$A$12,'SoBCaICbIC-urbanresidential'!$A3,'Cost Breakdowns'!$F$3:$F$12,"ISIC 07T08"))*'Factors applied'!$E$215</f>
        <v/>
      </c>
      <c r="I3">
        <f>(SUMIFS('Cost Breakdowns'!$C$3:$C$12,'Cost Breakdowns'!$A$3:$A$12,'SoBCaICbIC-urbanresidential'!$A3,'Cost Breakdowns'!$F$3:$F$12,"ISIC 09"))</f>
        <v/>
      </c>
      <c r="J3">
        <f>(SUMIFS('Cost Breakdowns'!$C$3:$C$12,'Cost Breakdowns'!$A$3:$A$12,'SoBCaICbIC-urbanresidential'!$A3,'Cost Breakdowns'!$F$3:$F$12,"ISIC 10T12"))</f>
        <v/>
      </c>
      <c r="K3">
        <f>(SUMIFS('Cost Breakdowns'!$C$3:$C$12,'Cost Breakdowns'!$A$3:$A$12,'SoBCaICbIC-urbanresidential'!$A3,'Cost Breakdowns'!$F$3:$F$12,"ISIC 13T15"))</f>
        <v/>
      </c>
      <c r="L3">
        <f>(SUMIFS('Cost Breakdowns'!$C$3:$C$12,'Cost Breakdowns'!$A$3:$A$12,'SoBCaICbIC-urbanresidential'!$A3,'Cost Breakdowns'!$F$3:$F$12,"ISIC 16"))</f>
        <v/>
      </c>
      <c r="M3">
        <f>(SUMIFS('Cost Breakdowns'!$C$3:$C$12,'Cost Breakdowns'!$A$3:$A$12,'SoBCaICbIC-urbanresidential'!$A3,'Cost Breakdowns'!$F$3:$F$12,"ISIC 17T18"))</f>
        <v/>
      </c>
      <c r="N3">
        <f>(SUMIFS('Cost Breakdowns'!$C$3:$C$12,'Cost Breakdowns'!$A$3:$A$12,'SoBCaICbIC-urbanresidential'!$A3,'Cost Breakdowns'!$F$3:$F$12,"ISIC 19"))</f>
        <v/>
      </c>
      <c r="O3">
        <f>(SUMIFS('Cost Breakdowns'!$C$3:$C$12,'Cost Breakdowns'!$A$3:$A$12,'SoBCaICbIC-urbanresidential'!$A3,'Cost Breakdowns'!$F$3:$F$12,"ISIC 20"))</f>
        <v/>
      </c>
      <c r="P3">
        <f>(SUMIFS('Cost Breakdowns'!$C$3:$C$12,'Cost Breakdowns'!$A$3:$A$12,'SoBCaICbIC-urbanresidential'!$A3,'Cost Breakdowns'!$F$3:$F$12,"ISIC 21"))</f>
        <v/>
      </c>
      <c r="Q3">
        <f>(SUMIFS('Cost Breakdowns'!$C$3:$C$12,'Cost Breakdowns'!$A$3:$A$12,'SoBCaICbIC-urbanresidential'!$A3,'Cost Breakdowns'!$F$3:$F$12,"ISIC 22"))</f>
        <v/>
      </c>
      <c r="R3">
        <f>(SUMIFS('Cost Breakdowns'!$C$3:$C$12,'Cost Breakdowns'!$A$3:$A$12,'SoBCaICbIC-urbanresidential'!$A3,'Cost Breakdowns'!$F$3:$F$12,"ISIC 231"))</f>
        <v/>
      </c>
      <c r="S3">
        <f>(SUMIFS('Cost Breakdowns'!$C$3:$C$12,'Cost Breakdowns'!$A$3:$A$12,'SoBCaICbIC-urbanresidential'!$A3,'Cost Breakdowns'!$F$3:$F$12,"ISIC 239"))</f>
        <v/>
      </c>
      <c r="T3">
        <f>(SUMIFS('Cost Breakdowns'!$C$3:$C$12,'Cost Breakdowns'!$A$3:$A$12,'SoBCaICbIC-urbanresidential'!$A3,'Cost Breakdowns'!$F$3:$F$12,"ISIC 241"))</f>
        <v/>
      </c>
      <c r="U3">
        <f>(SUMIFS('Cost Breakdowns'!$C$3:$C$12,'Cost Breakdowns'!$A$3:$A$12,'SoBCaICbIC-urbanresidential'!$A3,'Cost Breakdowns'!$F$3:$F$12,"ISIC 242"))</f>
        <v/>
      </c>
      <c r="V3">
        <f>(SUMIFS('Cost Breakdowns'!$C$3:$C$12,'Cost Breakdowns'!$A$3:$A$12,'SoBCaICbIC-urbanresidential'!$A3,'Cost Breakdowns'!$F$3:$F$12,"ISIC 25"))</f>
        <v/>
      </c>
      <c r="W3">
        <f>(SUMIFS('Cost Breakdowns'!$C$3:$C$12,'Cost Breakdowns'!$A$3:$A$12,'SoBCaICbIC-urbanresidential'!$A3,'Cost Breakdowns'!$F$3:$F$12,"ISIC 26"))</f>
        <v/>
      </c>
      <c r="X3">
        <f>(SUMIFS('Cost Breakdowns'!$C$3:$C$12,'Cost Breakdowns'!$A$3:$A$12,'SoBCaICbIC-urbanresidential'!$A3,'Cost Breakdowns'!$F$3:$F$12,"ISIC 27"))</f>
        <v/>
      </c>
      <c r="Y3">
        <f>(SUMIFS('Cost Breakdowns'!$C$3:$C$12,'Cost Breakdowns'!$A$3:$A$12,'SoBCaICbIC-urbanresidential'!$A3,'Cost Breakdowns'!$F$3:$F$12,"ISIC 28"))</f>
        <v/>
      </c>
      <c r="Z3">
        <f>(SUMIFS('Cost Breakdowns'!$C$3:$C$12,'Cost Breakdowns'!$A$3:$A$12,'SoBCaICbIC-urbanresidential'!$A3,'Cost Breakdowns'!$F$3:$F$12,"ISIC 29"))</f>
        <v/>
      </c>
      <c r="AA3">
        <f>(SUMIFS('Cost Breakdowns'!$C$3:$C$12,'Cost Breakdowns'!$A$3:$A$12,'SoBCaICbIC-urbanresidential'!$A3,'Cost Breakdowns'!$F$3:$F$12,"ISIC 30"))*'Factors applied'!$E$216</f>
        <v/>
      </c>
      <c r="AB3">
        <f>(SUMIFS('Cost Breakdowns'!$C$3:$C$12,'Cost Breakdowns'!$A$3:$A$12,'SoBCaICbIC-urbanresidential'!$A3,'Cost Breakdowns'!$F$3:$F$12,"ISIC 30"))*'Factors applied'!$E$217</f>
        <v/>
      </c>
      <c r="AC3">
        <f>(SUMIFS('Cost Breakdowns'!$C$3:$C$12,'Cost Breakdowns'!$A$3:$A$12,'SoBCaICbIC-urbanresidential'!$A3,'Cost Breakdowns'!$F$3:$F$12,"ISIC 31T33"))</f>
        <v/>
      </c>
      <c r="AD3">
        <f>(SUMIFS('Cost Breakdowns'!$C$3:$C$12,'Cost Breakdowns'!$A$3:$A$12,'SoBCaICbIC-urbanresidential'!$A3,'Cost Breakdowns'!$F$3:$F$12,"ISIC 351"))</f>
        <v/>
      </c>
      <c r="AE3">
        <f>(SUMIFS('Cost Breakdowns'!$C$3:$C$12,'Cost Breakdowns'!$A$3:$A$12,'SoBCaICbIC-urbanresidential'!$A3,'Cost Breakdowns'!$F$3:$F$12,"ISIC 352T353"))</f>
        <v/>
      </c>
      <c r="AF3">
        <f>(SUMIFS('Cost Breakdowns'!$C$3:$C$12,'Cost Breakdowns'!$A$3:$A$12,'SoBCaICbIC-urbanresidential'!$A3,'Cost Breakdowns'!$F$3:$F$12,"ISIC 36T39"))</f>
        <v/>
      </c>
      <c r="AG3">
        <f>(SUMIFS('Cost Breakdowns'!$C$3:$C$12,'Cost Breakdowns'!$A$3:$A$12,'SoBCaICbIC-urbanresidential'!$A3,'Cost Breakdowns'!$F$3:$F$12,"ISIC 41T43"))</f>
        <v/>
      </c>
      <c r="AH3">
        <f>(SUMIFS('Cost Breakdowns'!$C$3:$C$12,'Cost Breakdowns'!$A$3:$A$12,'SoBCaICbIC-urbanresidential'!$A3,'Cost Breakdowns'!$F$3:$F$12,"ISIC 45T47"))</f>
        <v/>
      </c>
      <c r="AI3">
        <f>(SUMIFS('Cost Breakdowns'!$C$3:$C$12,'Cost Breakdowns'!$A$3:$A$12,'SoBCaICbIC-urbanresidential'!$A3,'Cost Breakdowns'!$F$3:$F$12,"ISIC 49T53"))*'Factors applied'!$E$218</f>
        <v/>
      </c>
      <c r="AJ3">
        <f>(SUMIFS('Cost Breakdowns'!$C$3:$C$12,'Cost Breakdowns'!$A$3:$A$12,'SoBCaICbIC-urbanresidential'!$A3,'Cost Breakdowns'!$F$3:$F$12,"ISIC 49T53"))*'Factors applied'!$E$219</f>
        <v/>
      </c>
      <c r="AK3">
        <f>(SUMIFS('Cost Breakdowns'!$C$3:$C$12,'Cost Breakdowns'!$A$3:$A$12,'SoBCaICbIC-urbanresidential'!$A3,'Cost Breakdowns'!$F$3:$F$12,"ISIC 49T53"))*'Factors applied'!$E$220</f>
        <v/>
      </c>
      <c r="AL3">
        <f>(SUMIFS('Cost Breakdowns'!$C$3:$C$12,'Cost Breakdowns'!$A$3:$A$12,'SoBCaICbIC-urbanresidential'!$A3,'Cost Breakdowns'!$F$3:$F$12,"ISIC 49T53"))*'Factors applied'!$E$221</f>
        <v/>
      </c>
      <c r="AM3">
        <f>(SUMIFS('Cost Breakdowns'!$C$3:$C$12,'Cost Breakdowns'!$A$3:$A$12,'SoBCaICbIC-urbanresidential'!$A3,'Cost Breakdowns'!$F$3:$F$12,"ISIC 49T53"))*'Factors applied'!$E$222</f>
        <v/>
      </c>
      <c r="AN3">
        <f>(SUMIFS('Cost Breakdowns'!$C$3:$C$12,'Cost Breakdowns'!$A$3:$A$12,'SoBCaICbIC-urbanresidential'!$A3,'Cost Breakdowns'!$F$3:$F$12,"ISIC 55T56"))</f>
        <v/>
      </c>
      <c r="AO3">
        <f>(SUMIFS('Cost Breakdowns'!$C$3:$C$12,'Cost Breakdowns'!$A$3:$A$12,'SoBCaICbIC-urbanresidential'!$A3,'Cost Breakdowns'!$F$3:$F$12,"ISIC 58T60"))</f>
        <v/>
      </c>
      <c r="AP3">
        <f>(SUMIFS('Cost Breakdowns'!$C$3:$C$12,'Cost Breakdowns'!$A$3:$A$12,'SoBCaICbIC-urbanresidential'!$A3,'Cost Breakdowns'!$F$3:$F$12,"ISIC 61"))</f>
        <v/>
      </c>
      <c r="AQ3">
        <f>(SUMIFS('Cost Breakdowns'!$C$3:$C$12,'Cost Breakdowns'!$A$3:$A$12,'SoBCaICbIC-urbanresidential'!$A3,'Cost Breakdowns'!$F$3:$F$12,"ISIC 62T63"))</f>
        <v/>
      </c>
      <c r="AR3">
        <f>(SUMIFS('Cost Breakdowns'!$C$3:$C$12,'Cost Breakdowns'!$A$3:$A$12,'SoBCaICbIC-urbanresidential'!$A3,'Cost Breakdowns'!$F$3:$F$12,"ISIC 64T66"))</f>
        <v/>
      </c>
      <c r="AS3">
        <f>(SUMIFS('Cost Breakdowns'!$C$3:$C$12,'Cost Breakdowns'!$A$3:$A$12,'SoBCaICbIC-urbanresidential'!$A3,'Cost Breakdowns'!$F$3:$F$12,"ISIC 68"))</f>
        <v/>
      </c>
      <c r="AT3">
        <f>(SUMIFS('Cost Breakdowns'!$C$3:$C$12,'Cost Breakdowns'!$A$3:$A$12,'SoBCaICbIC-urbanresidential'!$A3,'Cost Breakdowns'!$F$3:$F$12,"ISIC 69T82"))*'Factors applied'!$E$223</f>
        <v/>
      </c>
      <c r="AU3">
        <f>(SUMIFS('Cost Breakdowns'!$C$3:$C$12,'Cost Breakdowns'!$A$3:$A$12,'SoBCaICbIC-urbanresidential'!$A3,'Cost Breakdowns'!$F$3:$F$12,"ISIC 69T82"))*'Factors applied'!$E$224</f>
        <v/>
      </c>
      <c r="AV3">
        <f>(SUMIFS('Cost Breakdowns'!$C$3:$C$12,'Cost Breakdowns'!$A$3:$A$12,'SoBCaICbIC-urbanresidential'!$A3,'Cost Breakdowns'!$F$3:$F$12,"ISIC 84"))</f>
        <v/>
      </c>
      <c r="AW3">
        <f>(SUMIFS('Cost Breakdowns'!$C$3:$C$12,'Cost Breakdowns'!$A$3:$A$12,'SoBCaICbIC-urbanresidential'!$A3,'Cost Breakdowns'!$F$3:$F$12,"ISIC 85"))</f>
        <v/>
      </c>
      <c r="AX3">
        <f>(SUMIFS('Cost Breakdowns'!$C$3:$C$12,'Cost Breakdowns'!$A$3:$A$12,'SoBCaICbIC-urbanresidential'!$A3,'Cost Breakdowns'!$F$3:$F$12,"ISIC 86T88"))</f>
        <v/>
      </c>
      <c r="AY3">
        <f>(SUMIFS('Cost Breakdowns'!$C$3:$C$12,'Cost Breakdowns'!$A$3:$A$12,'SoBCaICbIC-urbanresidential'!$A3,'Cost Breakdowns'!$F$3:$F$12,"ISIC 90T96"))*'Factors applied'!$E$225</f>
        <v/>
      </c>
      <c r="AZ3">
        <f>(SUMIFS('Cost Breakdowns'!$C$3:$C$12,'Cost Breakdowns'!$A$3:$A$12,'SoBCaICbIC-urbanresidential'!$A3,'Cost Breakdowns'!$F$3:$F$12,"ISIC 90T96"))*'Factors applied'!$E$226</f>
        <v/>
      </c>
      <c r="BA3">
        <f>(SUMIFS('Cost Breakdowns'!$C$3:$C$12,'Cost Breakdowns'!$A$3:$A$12,'SoBCaICbIC-urbanresidential'!$A3,'Cost Breakdowns'!$F$3:$F$12,"ISIC 97T98"))</f>
        <v/>
      </c>
    </row>
    <row r="4">
      <c r="A4" t="inlineStr">
        <is>
          <t>Envelope</t>
        </is>
      </c>
      <c r="B4">
        <f>(SUMIFS('Cost Breakdowns'!$C$3:$C$12,'Cost Breakdowns'!$A$3:$A$12,'SoBCaICbIC-urbanresidential'!$A4,'Cost Breakdowns'!$F$3:$F$12,"ISIC 01T03"))*'Factors applied'!$E$227</f>
        <v/>
      </c>
      <c r="C4">
        <f>(SUMIFS('Cost Breakdowns'!$C$3:$C$12,'Cost Breakdowns'!$A$3:$A$12,'SoBCaICbIC-urbanresidential'!$A4,'Cost Breakdowns'!$F$3:$F$12,"ISIC 01T03"))*'Factors applied'!$E$228</f>
        <v/>
      </c>
      <c r="D4">
        <f>(SUMIFS('Cost Breakdowns'!$C$3:$C$12,'Cost Breakdowns'!$A$3:$A$12,'SoBCaICbIC-urbanresidential'!$A4,'Cost Breakdowns'!$F$3:$F$12,"ISIC 01T03"))*'Factors applied'!$E$229</f>
        <v/>
      </c>
      <c r="E4">
        <f>(SUMIFS('Cost Breakdowns'!$C$3:$C$12,'Cost Breakdowns'!$A$3:$A$12,'SoBCaICbIC-urbanresidential'!$A4,'Cost Breakdowns'!$F$3:$F$12,"ISIC 05"))</f>
        <v/>
      </c>
      <c r="F4">
        <f>(SUMIFS('Cost Breakdowns'!$C$3:$C$12,'Cost Breakdowns'!$A$3:$A$12,'SoBCaICbIC-urbanresidential'!$A4,'Cost Breakdowns'!$F$3:$F$12,"ISIC 06"))</f>
        <v/>
      </c>
      <c r="G4">
        <f>(SUMIFS('Cost Breakdowns'!$C$3:$C$12,'Cost Breakdowns'!$A$3:$A$12,'SoBCaICbIC-urbanresidential'!$A4,'Cost Breakdowns'!$F$3:$F$12,"ISIC 07T08"))*'Factors applied'!$E$230</f>
        <v/>
      </c>
      <c r="H4">
        <f>(SUMIFS('Cost Breakdowns'!$C$3:$C$12,'Cost Breakdowns'!$A$3:$A$12,'SoBCaICbIC-urbanresidential'!$A4,'Cost Breakdowns'!$F$3:$F$12,"ISIC 07T08"))*'Factors applied'!$E$231</f>
        <v/>
      </c>
      <c r="I4">
        <f>(SUMIFS('Cost Breakdowns'!$C$3:$C$12,'Cost Breakdowns'!$A$3:$A$12,'SoBCaICbIC-urbanresidential'!$A4,'Cost Breakdowns'!$F$3:$F$12,"ISIC 09"))</f>
        <v/>
      </c>
      <c r="J4">
        <f>(SUMIFS('Cost Breakdowns'!$C$3:$C$12,'Cost Breakdowns'!$A$3:$A$12,'SoBCaICbIC-urbanresidential'!$A4,'Cost Breakdowns'!$F$3:$F$12,"ISIC 10T12"))</f>
        <v/>
      </c>
      <c r="K4">
        <f>(SUMIFS('Cost Breakdowns'!$C$3:$C$12,'Cost Breakdowns'!$A$3:$A$12,'SoBCaICbIC-urbanresidential'!$A4,'Cost Breakdowns'!$F$3:$F$12,"ISIC 13T15"))</f>
        <v/>
      </c>
      <c r="L4">
        <f>(SUMIFS('Cost Breakdowns'!$C$3:$C$12,'Cost Breakdowns'!$A$3:$A$12,'SoBCaICbIC-urbanresidential'!$A4,'Cost Breakdowns'!$F$3:$F$12,"ISIC 16"))</f>
        <v/>
      </c>
      <c r="M4">
        <f>(SUMIFS('Cost Breakdowns'!$C$3:$C$12,'Cost Breakdowns'!$A$3:$A$12,'SoBCaICbIC-urbanresidential'!$A4,'Cost Breakdowns'!$F$3:$F$12,"ISIC 17T18"))</f>
        <v/>
      </c>
      <c r="N4">
        <f>(SUMIFS('Cost Breakdowns'!$C$3:$C$12,'Cost Breakdowns'!$A$3:$A$12,'SoBCaICbIC-urbanresidential'!$A4,'Cost Breakdowns'!$F$3:$F$12,"ISIC 19"))</f>
        <v/>
      </c>
      <c r="O4">
        <f>(SUMIFS('Cost Breakdowns'!$C$3:$C$12,'Cost Breakdowns'!$A$3:$A$12,'SoBCaICbIC-urbanresidential'!$A4,'Cost Breakdowns'!$F$3:$F$12,"ISIC 20"))</f>
        <v/>
      </c>
      <c r="P4">
        <f>(SUMIFS('Cost Breakdowns'!$C$3:$C$12,'Cost Breakdowns'!$A$3:$A$12,'SoBCaICbIC-urbanresidential'!$A4,'Cost Breakdowns'!$F$3:$F$12,"ISIC 21"))</f>
        <v/>
      </c>
      <c r="Q4">
        <f>(SUMIFS('Cost Breakdowns'!$C$3:$C$12,'Cost Breakdowns'!$A$3:$A$12,'SoBCaICbIC-urbanresidential'!$A4,'Cost Breakdowns'!$F$3:$F$12,"ISIC 22"))</f>
        <v/>
      </c>
      <c r="R4">
        <f>(SUMIFS('Cost Breakdowns'!$C$3:$C$12,'Cost Breakdowns'!$A$3:$A$12,'SoBCaICbIC-urbanresidential'!$A4,'Cost Breakdowns'!$F$3:$F$12,"ISIC 231"))</f>
        <v/>
      </c>
      <c r="S4">
        <f>(SUMIFS('Cost Breakdowns'!$C$3:$C$12,'Cost Breakdowns'!$A$3:$A$12,'SoBCaICbIC-urbanresidential'!$A4,'Cost Breakdowns'!$F$3:$F$12,"ISIC 239"))</f>
        <v/>
      </c>
      <c r="T4">
        <f>(SUMIFS('Cost Breakdowns'!$C$3:$C$12,'Cost Breakdowns'!$A$3:$A$12,'SoBCaICbIC-urbanresidential'!$A4,'Cost Breakdowns'!$F$3:$F$12,"ISIC 241"))</f>
        <v/>
      </c>
      <c r="U4">
        <f>(SUMIFS('Cost Breakdowns'!$C$3:$C$12,'Cost Breakdowns'!$A$3:$A$12,'SoBCaICbIC-urbanresidential'!$A4,'Cost Breakdowns'!$F$3:$F$12,"ISIC 242"))</f>
        <v/>
      </c>
      <c r="V4">
        <f>(SUMIFS('Cost Breakdowns'!$C$3:$C$12,'Cost Breakdowns'!$A$3:$A$12,'SoBCaICbIC-urbanresidential'!$A4,'Cost Breakdowns'!$F$3:$F$12,"ISIC 25"))</f>
        <v/>
      </c>
      <c r="W4">
        <f>(SUMIFS('Cost Breakdowns'!$C$3:$C$12,'Cost Breakdowns'!$A$3:$A$12,'SoBCaICbIC-urbanresidential'!$A4,'Cost Breakdowns'!$F$3:$F$12,"ISIC 26"))</f>
        <v/>
      </c>
      <c r="X4">
        <f>(SUMIFS('Cost Breakdowns'!$C$3:$C$12,'Cost Breakdowns'!$A$3:$A$12,'SoBCaICbIC-urbanresidential'!$A4,'Cost Breakdowns'!$F$3:$F$12,"ISIC 27"))</f>
        <v/>
      </c>
      <c r="Y4">
        <f>(SUMIFS('Cost Breakdowns'!$C$3:$C$12,'Cost Breakdowns'!$A$3:$A$12,'SoBCaICbIC-urbanresidential'!$A4,'Cost Breakdowns'!$F$3:$F$12,"ISIC 28"))</f>
        <v/>
      </c>
      <c r="Z4">
        <f>(SUMIFS('Cost Breakdowns'!$C$3:$C$12,'Cost Breakdowns'!$A$3:$A$12,'SoBCaICbIC-urbanresidential'!$A4,'Cost Breakdowns'!$F$3:$F$12,"ISIC 29"))</f>
        <v/>
      </c>
      <c r="AA4">
        <f>(SUMIFS('Cost Breakdowns'!$C$3:$C$12,'Cost Breakdowns'!$A$3:$A$12,'SoBCaICbIC-urbanresidential'!$A4,'Cost Breakdowns'!$F$3:$F$12,"ISIC 30"))*'Factors applied'!$E$232</f>
        <v/>
      </c>
      <c r="AB4">
        <f>(SUMIFS('Cost Breakdowns'!$C$3:$C$12,'Cost Breakdowns'!$A$3:$A$12,'SoBCaICbIC-urbanresidential'!$A4,'Cost Breakdowns'!$F$3:$F$12,"ISIC 30"))*'Factors applied'!$E$233</f>
        <v/>
      </c>
      <c r="AC4">
        <f>(SUMIFS('Cost Breakdowns'!$C$3:$C$12,'Cost Breakdowns'!$A$3:$A$12,'SoBCaICbIC-urbanresidential'!$A4,'Cost Breakdowns'!$F$3:$F$12,"ISIC 31T33"))</f>
        <v/>
      </c>
      <c r="AD4">
        <f>(SUMIFS('Cost Breakdowns'!$C$3:$C$12,'Cost Breakdowns'!$A$3:$A$12,'SoBCaICbIC-urbanresidential'!$A4,'Cost Breakdowns'!$F$3:$F$12,"ISIC 351"))</f>
        <v/>
      </c>
      <c r="AE4">
        <f>(SUMIFS('Cost Breakdowns'!$C$3:$C$12,'Cost Breakdowns'!$A$3:$A$12,'SoBCaICbIC-urbanresidential'!$A4,'Cost Breakdowns'!$F$3:$F$12,"ISIC 352T353"))</f>
        <v/>
      </c>
      <c r="AF4">
        <f>(SUMIFS('Cost Breakdowns'!$C$3:$C$12,'Cost Breakdowns'!$A$3:$A$12,'SoBCaICbIC-urbanresidential'!$A4,'Cost Breakdowns'!$F$3:$F$12,"ISIC 36T39"))</f>
        <v/>
      </c>
      <c r="AG4">
        <f>(SUMIFS('Cost Breakdowns'!$C$3:$C$12,'Cost Breakdowns'!$A$3:$A$12,'SoBCaICbIC-urbanresidential'!$A4,'Cost Breakdowns'!$F$3:$F$12,"ISIC 41T43"))</f>
        <v/>
      </c>
      <c r="AH4">
        <f>(SUMIFS('Cost Breakdowns'!$C$3:$C$12,'Cost Breakdowns'!$A$3:$A$12,'SoBCaICbIC-urbanresidential'!$A4,'Cost Breakdowns'!$F$3:$F$12,"ISIC 45T47"))</f>
        <v/>
      </c>
      <c r="AI4">
        <f>(SUMIFS('Cost Breakdowns'!$C$3:$C$12,'Cost Breakdowns'!$A$3:$A$12,'SoBCaICbIC-urbanresidential'!$A4,'Cost Breakdowns'!$F$3:$F$12,"ISIC 49T53"))*'Factors applied'!$E$234</f>
        <v/>
      </c>
      <c r="AJ4">
        <f>(SUMIFS('Cost Breakdowns'!$C$3:$C$12,'Cost Breakdowns'!$A$3:$A$12,'SoBCaICbIC-urbanresidential'!$A4,'Cost Breakdowns'!$F$3:$F$12,"ISIC 49T53"))*'Factors applied'!$E$235</f>
        <v/>
      </c>
      <c r="AK4">
        <f>(SUMIFS('Cost Breakdowns'!$C$3:$C$12,'Cost Breakdowns'!$A$3:$A$12,'SoBCaICbIC-urbanresidential'!$A4,'Cost Breakdowns'!$F$3:$F$12,"ISIC 49T53"))*'Factors applied'!$E$236</f>
        <v/>
      </c>
      <c r="AL4">
        <f>(SUMIFS('Cost Breakdowns'!$C$3:$C$12,'Cost Breakdowns'!$A$3:$A$12,'SoBCaICbIC-urbanresidential'!$A4,'Cost Breakdowns'!$F$3:$F$12,"ISIC 49T53"))*'Factors applied'!$E$237</f>
        <v/>
      </c>
      <c r="AM4">
        <f>(SUMIFS('Cost Breakdowns'!$C$3:$C$12,'Cost Breakdowns'!$A$3:$A$12,'SoBCaICbIC-urbanresidential'!$A4,'Cost Breakdowns'!$F$3:$F$12,"ISIC 49T53"))*'Factors applied'!$E$238</f>
        <v/>
      </c>
      <c r="AN4">
        <f>(SUMIFS('Cost Breakdowns'!$C$3:$C$12,'Cost Breakdowns'!$A$3:$A$12,'SoBCaICbIC-urbanresidential'!$A4,'Cost Breakdowns'!$F$3:$F$12,"ISIC 55T56"))</f>
        <v/>
      </c>
      <c r="AO4">
        <f>(SUMIFS('Cost Breakdowns'!$C$3:$C$12,'Cost Breakdowns'!$A$3:$A$12,'SoBCaICbIC-urbanresidential'!$A4,'Cost Breakdowns'!$F$3:$F$12,"ISIC 58T60"))</f>
        <v/>
      </c>
      <c r="AP4">
        <f>(SUMIFS('Cost Breakdowns'!$C$3:$C$12,'Cost Breakdowns'!$A$3:$A$12,'SoBCaICbIC-urbanresidential'!$A4,'Cost Breakdowns'!$F$3:$F$12,"ISIC 61"))</f>
        <v/>
      </c>
      <c r="AQ4">
        <f>(SUMIFS('Cost Breakdowns'!$C$3:$C$12,'Cost Breakdowns'!$A$3:$A$12,'SoBCaICbIC-urbanresidential'!$A4,'Cost Breakdowns'!$F$3:$F$12,"ISIC 62T63"))</f>
        <v/>
      </c>
      <c r="AR4">
        <f>(SUMIFS('Cost Breakdowns'!$C$3:$C$12,'Cost Breakdowns'!$A$3:$A$12,'SoBCaICbIC-urbanresidential'!$A4,'Cost Breakdowns'!$F$3:$F$12,"ISIC 64T66"))</f>
        <v/>
      </c>
      <c r="AS4">
        <f>(SUMIFS('Cost Breakdowns'!$C$3:$C$12,'Cost Breakdowns'!$A$3:$A$12,'SoBCaICbIC-urbanresidential'!$A4,'Cost Breakdowns'!$F$3:$F$12,"ISIC 68"))</f>
        <v/>
      </c>
      <c r="AT4">
        <f>(SUMIFS('Cost Breakdowns'!$C$3:$C$12,'Cost Breakdowns'!$A$3:$A$12,'SoBCaICbIC-urbanresidential'!$A4,'Cost Breakdowns'!$F$3:$F$12,"ISIC 69T82"))*'Factors applied'!$E$239</f>
        <v/>
      </c>
      <c r="AU4">
        <f>(SUMIFS('Cost Breakdowns'!$C$3:$C$12,'Cost Breakdowns'!$A$3:$A$12,'SoBCaICbIC-urbanresidential'!$A4,'Cost Breakdowns'!$F$3:$F$12,"ISIC 69T82"))*'Factors applied'!$E$240</f>
        <v/>
      </c>
      <c r="AV4">
        <f>(SUMIFS('Cost Breakdowns'!$C$3:$C$12,'Cost Breakdowns'!$A$3:$A$12,'SoBCaICbIC-urbanresidential'!$A4,'Cost Breakdowns'!$F$3:$F$12,"ISIC 84"))</f>
        <v/>
      </c>
      <c r="AW4">
        <f>(SUMIFS('Cost Breakdowns'!$C$3:$C$12,'Cost Breakdowns'!$A$3:$A$12,'SoBCaICbIC-urbanresidential'!$A4,'Cost Breakdowns'!$F$3:$F$12,"ISIC 85"))</f>
        <v/>
      </c>
      <c r="AX4">
        <f>(SUMIFS('Cost Breakdowns'!$C$3:$C$12,'Cost Breakdowns'!$A$3:$A$12,'SoBCaICbIC-urbanresidential'!$A4,'Cost Breakdowns'!$F$3:$F$12,"ISIC 86T88"))</f>
        <v/>
      </c>
      <c r="AY4">
        <f>(SUMIFS('Cost Breakdowns'!$C$3:$C$12,'Cost Breakdowns'!$A$3:$A$12,'SoBCaICbIC-urbanresidential'!$A4,'Cost Breakdowns'!$F$3:$F$12,"ISIC 90T96"))*'Factors applied'!$E$241</f>
        <v/>
      </c>
      <c r="AZ4">
        <f>(SUMIFS('Cost Breakdowns'!$C$3:$C$12,'Cost Breakdowns'!$A$3:$A$12,'SoBCaICbIC-urbanresidential'!$A4,'Cost Breakdowns'!$F$3:$F$12,"ISIC 90T96"))*'Factors applied'!$E$242</f>
        <v/>
      </c>
      <c r="BA4">
        <f>(SUMIFS('Cost Breakdowns'!$C$3:$C$12,'Cost Breakdowns'!$A$3:$A$12,'SoBCaICbIC-urbanresidential'!$A4,'Cost Breakdowns'!$F$3:$F$12,"ISIC 97T98"))</f>
        <v/>
      </c>
    </row>
    <row r="5">
      <c r="A5" t="inlineStr">
        <is>
          <t>Lighting</t>
        </is>
      </c>
      <c r="B5">
        <f>(SUMIFS('Cost Breakdowns'!$C$3:$C$12,'Cost Breakdowns'!$A$3:$A$12,'SoBCaICbIC-urbanresidential'!$A5,'Cost Breakdowns'!$F$3:$F$12,"ISIC 01T03"))*'Factors applied'!$E$259</f>
        <v/>
      </c>
      <c r="C5">
        <f>(SUMIFS('Cost Breakdowns'!$C$3:$C$12,'Cost Breakdowns'!$A$3:$A$12,'SoBCaICbIC-urbanresidential'!$A5,'Cost Breakdowns'!$F$3:$F$12,"ISIC 01T03"))*'Factors applied'!$E$260</f>
        <v/>
      </c>
      <c r="D5">
        <f>(SUMIFS('Cost Breakdowns'!$C$3:$C$12,'Cost Breakdowns'!$A$3:$A$12,'SoBCaICbIC-urbanresidential'!$A5,'Cost Breakdowns'!$F$3:$F$12,"ISIC 01T03"))*'Factors applied'!$E$261</f>
        <v/>
      </c>
      <c r="E5">
        <f>(SUMIFS('Cost Breakdowns'!$C$3:$C$12,'Cost Breakdowns'!$A$3:$A$12,'SoBCaICbIC-urbanresidential'!$A5,'Cost Breakdowns'!$F$3:$F$12,"ISIC 05"))</f>
        <v/>
      </c>
      <c r="F5">
        <f>(SUMIFS('Cost Breakdowns'!$C$3:$C$12,'Cost Breakdowns'!$A$3:$A$12,'SoBCaICbIC-urbanresidential'!$A5,'Cost Breakdowns'!$F$3:$F$12,"ISIC 06"))</f>
        <v/>
      </c>
      <c r="G5">
        <f>(SUMIFS('Cost Breakdowns'!$C$3:$C$12,'Cost Breakdowns'!$A$3:$A$12,'SoBCaICbIC-urbanresidential'!$A5,'Cost Breakdowns'!$F$3:$F$12,"ISIC 07T08"))*'Factors applied'!$E$262</f>
        <v/>
      </c>
      <c r="H5">
        <f>(SUMIFS('Cost Breakdowns'!$C$3:$C$12,'Cost Breakdowns'!$A$3:$A$12,'SoBCaICbIC-urbanresidential'!$A5,'Cost Breakdowns'!$F$3:$F$12,"ISIC 07T08"))*'Factors applied'!$E$263</f>
        <v/>
      </c>
      <c r="I5">
        <f>(SUMIFS('Cost Breakdowns'!$C$3:$C$12,'Cost Breakdowns'!$A$3:$A$12,'SoBCaICbIC-urbanresidential'!$A5,'Cost Breakdowns'!$F$3:$F$12,"ISIC 09"))</f>
        <v/>
      </c>
      <c r="J5">
        <f>(SUMIFS('Cost Breakdowns'!$C$3:$C$12,'Cost Breakdowns'!$A$3:$A$12,'SoBCaICbIC-urbanresidential'!$A5,'Cost Breakdowns'!$F$3:$F$12,"ISIC 10T12"))</f>
        <v/>
      </c>
      <c r="K5">
        <f>(SUMIFS('Cost Breakdowns'!$C$3:$C$12,'Cost Breakdowns'!$A$3:$A$12,'SoBCaICbIC-urbanresidential'!$A5,'Cost Breakdowns'!$F$3:$F$12,"ISIC 13T15"))</f>
        <v/>
      </c>
      <c r="L5">
        <f>(SUMIFS('Cost Breakdowns'!$C$3:$C$12,'Cost Breakdowns'!$A$3:$A$12,'SoBCaICbIC-urbanresidential'!$A5,'Cost Breakdowns'!$F$3:$F$12,"ISIC 16"))</f>
        <v/>
      </c>
      <c r="M5">
        <f>(SUMIFS('Cost Breakdowns'!$C$3:$C$12,'Cost Breakdowns'!$A$3:$A$12,'SoBCaICbIC-urbanresidential'!$A5,'Cost Breakdowns'!$F$3:$F$12,"ISIC 17T18"))</f>
        <v/>
      </c>
      <c r="N5">
        <f>(SUMIFS('Cost Breakdowns'!$C$3:$C$12,'Cost Breakdowns'!$A$3:$A$12,'SoBCaICbIC-urbanresidential'!$A5,'Cost Breakdowns'!$F$3:$F$12,"ISIC 19"))</f>
        <v/>
      </c>
      <c r="O5">
        <f>(SUMIFS('Cost Breakdowns'!$C$3:$C$12,'Cost Breakdowns'!$A$3:$A$12,'SoBCaICbIC-urbanresidential'!$A5,'Cost Breakdowns'!$F$3:$F$12,"ISIC 20"))</f>
        <v/>
      </c>
      <c r="P5">
        <f>(SUMIFS('Cost Breakdowns'!$C$3:$C$12,'Cost Breakdowns'!$A$3:$A$12,'SoBCaICbIC-urbanresidential'!$A5,'Cost Breakdowns'!$F$3:$F$12,"ISIC 21"))</f>
        <v/>
      </c>
      <c r="Q5">
        <f>(SUMIFS('Cost Breakdowns'!$C$3:$C$12,'Cost Breakdowns'!$A$3:$A$12,'SoBCaICbIC-urbanresidential'!$A5,'Cost Breakdowns'!$F$3:$F$12,"ISIC 22"))</f>
        <v/>
      </c>
      <c r="R5">
        <f>(SUMIFS('Cost Breakdowns'!$C$3:$C$12,'Cost Breakdowns'!$A$3:$A$12,'SoBCaICbIC-urbanresidential'!$A5,'Cost Breakdowns'!$F$3:$F$12,"ISIC 231"))</f>
        <v/>
      </c>
      <c r="S5">
        <f>(SUMIFS('Cost Breakdowns'!$C$3:$C$12,'Cost Breakdowns'!$A$3:$A$12,'SoBCaICbIC-urbanresidential'!$A5,'Cost Breakdowns'!$F$3:$F$12,"ISIC 239"))</f>
        <v/>
      </c>
      <c r="T5">
        <f>(SUMIFS('Cost Breakdowns'!$C$3:$C$12,'Cost Breakdowns'!$A$3:$A$12,'SoBCaICbIC-urbanresidential'!$A5,'Cost Breakdowns'!$F$3:$F$12,"ISIC 241"))</f>
        <v/>
      </c>
      <c r="U5">
        <f>(SUMIFS('Cost Breakdowns'!$C$3:$C$12,'Cost Breakdowns'!$A$3:$A$12,'SoBCaICbIC-urbanresidential'!$A5,'Cost Breakdowns'!$F$3:$F$12,"ISIC 242"))</f>
        <v/>
      </c>
      <c r="V5">
        <f>(SUMIFS('Cost Breakdowns'!$C$3:$C$12,'Cost Breakdowns'!$A$3:$A$12,'SoBCaICbIC-urbanresidential'!$A5,'Cost Breakdowns'!$F$3:$F$12,"ISIC 25"))</f>
        <v/>
      </c>
      <c r="W5">
        <f>(SUMIFS('Cost Breakdowns'!$C$3:$C$12,'Cost Breakdowns'!$A$3:$A$12,'SoBCaICbIC-urbanresidential'!$A5,'Cost Breakdowns'!$F$3:$F$12,"ISIC 26"))</f>
        <v/>
      </c>
      <c r="X5">
        <f>(SUMIFS('Cost Breakdowns'!$C$3:$C$12,'Cost Breakdowns'!$A$3:$A$12,'SoBCaICbIC-urbanresidential'!$A5,'Cost Breakdowns'!$F$3:$F$12,"ISIC 27"))</f>
        <v/>
      </c>
      <c r="Y5">
        <f>(SUMIFS('Cost Breakdowns'!$C$3:$C$12,'Cost Breakdowns'!$A$3:$A$12,'SoBCaICbIC-urbanresidential'!$A5,'Cost Breakdowns'!$F$3:$F$12,"ISIC 28"))</f>
        <v/>
      </c>
      <c r="Z5">
        <f>(SUMIFS('Cost Breakdowns'!$C$3:$C$12,'Cost Breakdowns'!$A$3:$A$12,'SoBCaICbIC-urbanresidential'!$A5,'Cost Breakdowns'!$F$3:$F$12,"ISIC 29"))</f>
        <v/>
      </c>
      <c r="AA5">
        <f>(SUMIFS('Cost Breakdowns'!$C$3:$C$12,'Cost Breakdowns'!$A$3:$A$12,'SoBCaICbIC-urbanresidential'!$A5,'Cost Breakdowns'!$F$3:$F$12,"ISIC 30"))*'Factors applied'!$E$264</f>
        <v/>
      </c>
      <c r="AB5">
        <f>(SUMIFS('Cost Breakdowns'!$C$3:$C$12,'Cost Breakdowns'!$A$3:$A$12,'SoBCaICbIC-urbanresidential'!$A5,'Cost Breakdowns'!$F$3:$F$12,"ISIC 30"))*'Factors applied'!$E$265</f>
        <v/>
      </c>
      <c r="AC5">
        <f>(SUMIFS('Cost Breakdowns'!$C$3:$C$12,'Cost Breakdowns'!$A$3:$A$12,'SoBCaICbIC-urbanresidential'!$A5,'Cost Breakdowns'!$F$3:$F$12,"ISIC 31T33"))</f>
        <v/>
      </c>
      <c r="AD5">
        <f>(SUMIFS('Cost Breakdowns'!$C$3:$C$12,'Cost Breakdowns'!$A$3:$A$12,'SoBCaICbIC-urbanresidential'!$A5,'Cost Breakdowns'!$F$3:$F$12,"ISIC 351"))</f>
        <v/>
      </c>
      <c r="AE5">
        <f>(SUMIFS('Cost Breakdowns'!$C$3:$C$12,'Cost Breakdowns'!$A$3:$A$12,'SoBCaICbIC-urbanresidential'!$A5,'Cost Breakdowns'!$F$3:$F$12,"ISIC 352T353"))</f>
        <v/>
      </c>
      <c r="AF5">
        <f>(SUMIFS('Cost Breakdowns'!$C$3:$C$12,'Cost Breakdowns'!$A$3:$A$12,'SoBCaICbIC-urbanresidential'!$A5,'Cost Breakdowns'!$F$3:$F$12,"ISIC 36T39"))</f>
        <v/>
      </c>
      <c r="AG5">
        <f>(SUMIFS('Cost Breakdowns'!$C$3:$C$12,'Cost Breakdowns'!$A$3:$A$12,'SoBCaICbIC-urbanresidential'!$A5,'Cost Breakdowns'!$F$3:$F$12,"ISIC 41T43"))</f>
        <v/>
      </c>
      <c r="AH5">
        <f>(SUMIFS('Cost Breakdowns'!$C$3:$C$12,'Cost Breakdowns'!$A$3:$A$12,'SoBCaICbIC-urbanresidential'!$A5,'Cost Breakdowns'!$F$3:$F$12,"ISIC 45T47"))</f>
        <v/>
      </c>
      <c r="AI5">
        <f>(SUMIFS('Cost Breakdowns'!$C$3:$C$12,'Cost Breakdowns'!$A$3:$A$12,'SoBCaICbIC-urbanresidential'!$A5,'Cost Breakdowns'!$F$3:$F$12,"ISIC 49T53"))*'Factors applied'!$E$266</f>
        <v/>
      </c>
      <c r="AJ5">
        <f>(SUMIFS('Cost Breakdowns'!$C$3:$C$12,'Cost Breakdowns'!$A$3:$A$12,'SoBCaICbIC-urbanresidential'!$A5,'Cost Breakdowns'!$F$3:$F$12,"ISIC 49T53"))*'Factors applied'!$E$267</f>
        <v/>
      </c>
      <c r="AK5">
        <f>(SUMIFS('Cost Breakdowns'!$C$3:$C$12,'Cost Breakdowns'!$A$3:$A$12,'SoBCaICbIC-urbanresidential'!$A5,'Cost Breakdowns'!$F$3:$F$12,"ISIC 49T53"))*'Factors applied'!$E$268</f>
        <v/>
      </c>
      <c r="AL5">
        <f>(SUMIFS('Cost Breakdowns'!$C$3:$C$12,'Cost Breakdowns'!$A$3:$A$12,'SoBCaICbIC-urbanresidential'!$A5,'Cost Breakdowns'!$F$3:$F$12,"ISIC 49T53"))*'Factors applied'!$E$269</f>
        <v/>
      </c>
      <c r="AM5">
        <f>(SUMIFS('Cost Breakdowns'!$C$3:$C$12,'Cost Breakdowns'!$A$3:$A$12,'SoBCaICbIC-urbanresidential'!$A5,'Cost Breakdowns'!$F$3:$F$12,"ISIC 49T53"))*'Factors applied'!$E$270</f>
        <v/>
      </c>
      <c r="AN5">
        <f>(SUMIFS('Cost Breakdowns'!$C$3:$C$12,'Cost Breakdowns'!$A$3:$A$12,'SoBCaICbIC-urbanresidential'!$A5,'Cost Breakdowns'!$F$3:$F$12,"ISIC 55T56"))</f>
        <v/>
      </c>
      <c r="AO5">
        <f>(SUMIFS('Cost Breakdowns'!$C$3:$C$12,'Cost Breakdowns'!$A$3:$A$12,'SoBCaICbIC-urbanresidential'!$A5,'Cost Breakdowns'!$F$3:$F$12,"ISIC 58T60"))</f>
        <v/>
      </c>
      <c r="AP5">
        <f>(SUMIFS('Cost Breakdowns'!$C$3:$C$12,'Cost Breakdowns'!$A$3:$A$12,'SoBCaICbIC-urbanresidential'!$A5,'Cost Breakdowns'!$F$3:$F$12,"ISIC 61"))</f>
        <v/>
      </c>
      <c r="AQ5">
        <f>(SUMIFS('Cost Breakdowns'!$C$3:$C$12,'Cost Breakdowns'!$A$3:$A$12,'SoBCaICbIC-urbanresidential'!$A5,'Cost Breakdowns'!$F$3:$F$12,"ISIC 62T63"))</f>
        <v/>
      </c>
      <c r="AR5">
        <f>(SUMIFS('Cost Breakdowns'!$C$3:$C$12,'Cost Breakdowns'!$A$3:$A$12,'SoBCaICbIC-urbanresidential'!$A5,'Cost Breakdowns'!$F$3:$F$12,"ISIC 64T66"))</f>
        <v/>
      </c>
      <c r="AS5">
        <f>(SUMIFS('Cost Breakdowns'!$C$3:$C$12,'Cost Breakdowns'!$A$3:$A$12,'SoBCaICbIC-urbanresidential'!$A5,'Cost Breakdowns'!$F$3:$F$12,"ISIC 68"))</f>
        <v/>
      </c>
      <c r="AT5">
        <f>(SUMIFS('Cost Breakdowns'!$C$3:$C$12,'Cost Breakdowns'!$A$3:$A$12,'SoBCaICbIC-urbanresidential'!$A5,'Cost Breakdowns'!$F$3:$F$12,"ISIC 69T82"))*'Factors applied'!$E$271</f>
        <v/>
      </c>
      <c r="AU5">
        <f>(SUMIFS('Cost Breakdowns'!$C$3:$C$12,'Cost Breakdowns'!$A$3:$A$12,'SoBCaICbIC-urbanresidential'!$A5,'Cost Breakdowns'!$F$3:$F$12,"ISIC 69T82"))*'Factors applied'!$E$272</f>
        <v/>
      </c>
      <c r="AV5">
        <f>(SUMIFS('Cost Breakdowns'!$C$3:$C$12,'Cost Breakdowns'!$A$3:$A$12,'SoBCaICbIC-urbanresidential'!$A5,'Cost Breakdowns'!$F$3:$F$12,"ISIC 84"))</f>
        <v/>
      </c>
      <c r="AW5">
        <f>(SUMIFS('Cost Breakdowns'!$C$3:$C$12,'Cost Breakdowns'!$A$3:$A$12,'SoBCaICbIC-urbanresidential'!$A5,'Cost Breakdowns'!$F$3:$F$12,"ISIC 85"))</f>
        <v/>
      </c>
      <c r="AX5">
        <f>(SUMIFS('Cost Breakdowns'!$C$3:$C$12,'Cost Breakdowns'!$A$3:$A$12,'SoBCaICbIC-urbanresidential'!$A5,'Cost Breakdowns'!$F$3:$F$12,"ISIC 86T88"))</f>
        <v/>
      </c>
      <c r="AY5">
        <f>(SUMIFS('Cost Breakdowns'!$C$3:$C$12,'Cost Breakdowns'!$A$3:$A$12,'SoBCaICbIC-urbanresidential'!$A5,'Cost Breakdowns'!$F$3:$F$12,"ISIC 90T96"))*'Factors applied'!$E$273</f>
        <v/>
      </c>
      <c r="AZ5">
        <f>(SUMIFS('Cost Breakdowns'!$C$3:$C$12,'Cost Breakdowns'!$A$3:$A$12,'SoBCaICbIC-urbanresidential'!$A5,'Cost Breakdowns'!$F$3:$F$12,"ISIC 90T96"))*'Factors applied'!$E$274</f>
        <v/>
      </c>
      <c r="BA5">
        <f>(SUMIFS('Cost Breakdowns'!$C$3:$C$12,'Cost Breakdowns'!$A$3:$A$12,'SoBCaICbIC-urbanresidential'!$A5,'Cost Breakdowns'!$F$3:$F$12,"ISIC 97T98"))</f>
        <v/>
      </c>
    </row>
    <row r="6">
      <c r="A6" t="inlineStr">
        <is>
          <t>Appliances</t>
        </is>
      </c>
      <c r="B6">
        <f>(SUMIFS('Cost Breakdowns'!$C$3:$C$12,'Cost Breakdowns'!$A$3:$A$12,'SoBCaICbIC-urbanresidential'!$A6,'Cost Breakdowns'!$F$3:$F$12,"ISIC 01T03"))*'Factors applied'!$E$195</f>
        <v/>
      </c>
      <c r="C6">
        <f>(SUMIFS('Cost Breakdowns'!$C$3:$C$12,'Cost Breakdowns'!$A$3:$A$12,'SoBCaICbIC-urbanresidential'!$A6,'Cost Breakdowns'!$F$3:$F$12,"ISIC 01T03"))*'Factors applied'!$E$196</f>
        <v/>
      </c>
      <c r="D6">
        <f>(SUMIFS('Cost Breakdowns'!$C$3:$C$12,'Cost Breakdowns'!$A$3:$A$12,'SoBCaICbIC-urbanresidential'!$A6,'Cost Breakdowns'!$F$3:$F$12,"ISIC 01T03"))*'Factors applied'!$E$197</f>
        <v/>
      </c>
      <c r="E6">
        <f>(SUMIFS('Cost Breakdowns'!$C$3:$C$12,'Cost Breakdowns'!$A$3:$A$12,'SoBCaICbIC-urbanresidential'!$A6,'Cost Breakdowns'!$F$3:$F$12,"ISIC 05"))</f>
        <v/>
      </c>
      <c r="F6">
        <f>(SUMIFS('Cost Breakdowns'!$C$3:$C$12,'Cost Breakdowns'!$A$3:$A$12,'SoBCaICbIC-urbanresidential'!$A6,'Cost Breakdowns'!$F$3:$F$12,"ISIC 06"))</f>
        <v/>
      </c>
      <c r="G6">
        <f>(SUMIFS('Cost Breakdowns'!$C$3:$C$12,'Cost Breakdowns'!$A$3:$A$12,'SoBCaICbIC-urbanresidential'!$A6,'Cost Breakdowns'!$F$3:$F$12,"ISIC 07T08"))*'Factors applied'!$E$198</f>
        <v/>
      </c>
      <c r="H6">
        <f>(SUMIFS('Cost Breakdowns'!$C$3:$C$12,'Cost Breakdowns'!$A$3:$A$12,'SoBCaICbIC-urbanresidential'!$A6,'Cost Breakdowns'!$F$3:$F$12,"ISIC 07T08"))*'Factors applied'!$E$199</f>
        <v/>
      </c>
      <c r="I6">
        <f>(SUMIFS('Cost Breakdowns'!$C$3:$C$12,'Cost Breakdowns'!$A$3:$A$12,'SoBCaICbIC-urbanresidential'!$A6,'Cost Breakdowns'!$F$3:$F$12,"ISIC 09"))</f>
        <v/>
      </c>
      <c r="J6">
        <f>(SUMIFS('Cost Breakdowns'!$C$3:$C$12,'Cost Breakdowns'!$A$3:$A$12,'SoBCaICbIC-urbanresidential'!$A6,'Cost Breakdowns'!$F$3:$F$12,"ISIC 10T12"))</f>
        <v/>
      </c>
      <c r="K6">
        <f>(SUMIFS('Cost Breakdowns'!$C$3:$C$12,'Cost Breakdowns'!$A$3:$A$12,'SoBCaICbIC-urbanresidential'!$A6,'Cost Breakdowns'!$F$3:$F$12,"ISIC 13T15"))</f>
        <v/>
      </c>
      <c r="L6">
        <f>(SUMIFS('Cost Breakdowns'!$C$3:$C$12,'Cost Breakdowns'!$A$3:$A$12,'SoBCaICbIC-urbanresidential'!$A6,'Cost Breakdowns'!$F$3:$F$12,"ISIC 16"))</f>
        <v/>
      </c>
      <c r="M6">
        <f>(SUMIFS('Cost Breakdowns'!$C$3:$C$12,'Cost Breakdowns'!$A$3:$A$12,'SoBCaICbIC-urbanresidential'!$A6,'Cost Breakdowns'!$F$3:$F$12,"ISIC 17T18"))</f>
        <v/>
      </c>
      <c r="N6">
        <f>(SUMIFS('Cost Breakdowns'!$C$3:$C$12,'Cost Breakdowns'!$A$3:$A$12,'SoBCaICbIC-urbanresidential'!$A6,'Cost Breakdowns'!$F$3:$F$12,"ISIC 19"))</f>
        <v/>
      </c>
      <c r="O6">
        <f>(SUMIFS('Cost Breakdowns'!$C$3:$C$12,'Cost Breakdowns'!$A$3:$A$12,'SoBCaICbIC-urbanresidential'!$A6,'Cost Breakdowns'!$F$3:$F$12,"ISIC 20"))</f>
        <v/>
      </c>
      <c r="P6">
        <f>(SUMIFS('Cost Breakdowns'!$C$3:$C$12,'Cost Breakdowns'!$A$3:$A$12,'SoBCaICbIC-urbanresidential'!$A6,'Cost Breakdowns'!$F$3:$F$12,"ISIC 21"))</f>
        <v/>
      </c>
      <c r="Q6">
        <f>(SUMIFS('Cost Breakdowns'!$C$3:$C$12,'Cost Breakdowns'!$A$3:$A$12,'SoBCaICbIC-urbanresidential'!$A6,'Cost Breakdowns'!$F$3:$F$12,"ISIC 22"))</f>
        <v/>
      </c>
      <c r="R6">
        <f>(SUMIFS('Cost Breakdowns'!$C$3:$C$12,'Cost Breakdowns'!$A$3:$A$12,'SoBCaICbIC-urbanresidential'!$A6,'Cost Breakdowns'!$F$3:$F$12,"ISIC 231"))</f>
        <v/>
      </c>
      <c r="S6">
        <f>(SUMIFS('Cost Breakdowns'!$C$3:$C$12,'Cost Breakdowns'!$A$3:$A$12,'SoBCaICbIC-urbanresidential'!$A6,'Cost Breakdowns'!$F$3:$F$12,"ISIC 239"))</f>
        <v/>
      </c>
      <c r="T6">
        <f>(SUMIFS('Cost Breakdowns'!$C$3:$C$12,'Cost Breakdowns'!$A$3:$A$12,'SoBCaICbIC-urbanresidential'!$A6,'Cost Breakdowns'!$F$3:$F$12,"ISIC 241"))</f>
        <v/>
      </c>
      <c r="U6">
        <f>(SUMIFS('Cost Breakdowns'!$C$3:$C$12,'Cost Breakdowns'!$A$3:$A$12,'SoBCaICbIC-urbanresidential'!$A6,'Cost Breakdowns'!$F$3:$F$12,"ISIC 242"))</f>
        <v/>
      </c>
      <c r="V6">
        <f>(SUMIFS('Cost Breakdowns'!$C$3:$C$12,'Cost Breakdowns'!$A$3:$A$12,'SoBCaICbIC-urbanresidential'!$A6,'Cost Breakdowns'!$F$3:$F$12,"ISIC 25"))</f>
        <v/>
      </c>
      <c r="W6">
        <f>(SUMIFS('Cost Breakdowns'!$C$3:$C$12,'Cost Breakdowns'!$A$3:$A$12,'SoBCaICbIC-urbanresidential'!$A6,'Cost Breakdowns'!$F$3:$F$12,"ISIC 26"))</f>
        <v/>
      </c>
      <c r="X6">
        <f>(SUMIFS('Cost Breakdowns'!$C$3:$C$12,'Cost Breakdowns'!$A$3:$A$12,'SoBCaICbIC-urbanresidential'!$A6,'Cost Breakdowns'!$F$3:$F$12,"ISIC 27"))</f>
        <v/>
      </c>
      <c r="Y6">
        <f>(SUMIFS('Cost Breakdowns'!$C$3:$C$12,'Cost Breakdowns'!$A$3:$A$12,'SoBCaICbIC-urbanresidential'!$A6,'Cost Breakdowns'!$F$3:$F$12,"ISIC 28"))</f>
        <v/>
      </c>
      <c r="Z6">
        <f>(SUMIFS('Cost Breakdowns'!$C$3:$C$12,'Cost Breakdowns'!$A$3:$A$12,'SoBCaICbIC-urbanresidential'!$A6,'Cost Breakdowns'!$F$3:$F$12,"ISIC 29"))</f>
        <v/>
      </c>
      <c r="AA6">
        <f>(SUMIFS('Cost Breakdowns'!$C$3:$C$12,'Cost Breakdowns'!$A$3:$A$12,'SoBCaICbIC-urbanresidential'!$A6,'Cost Breakdowns'!$F$3:$F$12,"ISIC 30"))*'Factors applied'!$E$200</f>
        <v/>
      </c>
      <c r="AB6">
        <f>(SUMIFS('Cost Breakdowns'!$C$3:$C$12,'Cost Breakdowns'!$A$3:$A$12,'SoBCaICbIC-urbanresidential'!$A6,'Cost Breakdowns'!$F$3:$F$12,"ISIC 30"))*'Factors applied'!$E$201</f>
        <v/>
      </c>
      <c r="AC6">
        <f>(SUMIFS('Cost Breakdowns'!$C$3:$C$12,'Cost Breakdowns'!$A$3:$A$12,'SoBCaICbIC-urbanresidential'!$A6,'Cost Breakdowns'!$F$3:$F$12,"ISIC 31T33"))</f>
        <v/>
      </c>
      <c r="AD6">
        <f>(SUMIFS('Cost Breakdowns'!$C$3:$C$12,'Cost Breakdowns'!$A$3:$A$12,'SoBCaICbIC-urbanresidential'!$A6,'Cost Breakdowns'!$F$3:$F$12,"ISIC 351"))</f>
        <v/>
      </c>
      <c r="AE6">
        <f>(SUMIFS('Cost Breakdowns'!$C$3:$C$12,'Cost Breakdowns'!$A$3:$A$12,'SoBCaICbIC-urbanresidential'!$A6,'Cost Breakdowns'!$F$3:$F$12,"ISIC 352T353"))</f>
        <v/>
      </c>
      <c r="AF6">
        <f>(SUMIFS('Cost Breakdowns'!$C$3:$C$12,'Cost Breakdowns'!$A$3:$A$12,'SoBCaICbIC-urbanresidential'!$A6,'Cost Breakdowns'!$F$3:$F$12,"ISIC 36T39"))</f>
        <v/>
      </c>
      <c r="AG6">
        <f>(SUMIFS('Cost Breakdowns'!$C$3:$C$12,'Cost Breakdowns'!$A$3:$A$12,'SoBCaICbIC-urbanresidential'!$A6,'Cost Breakdowns'!$F$3:$F$12,"ISIC 41T43"))</f>
        <v/>
      </c>
      <c r="AH6">
        <f>(SUMIFS('Cost Breakdowns'!$C$3:$C$12,'Cost Breakdowns'!$A$3:$A$12,'SoBCaICbIC-urbanresidential'!$A6,'Cost Breakdowns'!$F$3:$F$12,"ISIC 45T47"))</f>
        <v/>
      </c>
      <c r="AI6">
        <f>(SUMIFS('Cost Breakdowns'!$C$3:$C$12,'Cost Breakdowns'!$A$3:$A$12,'SoBCaICbIC-urbanresidential'!$A6,'Cost Breakdowns'!$F$3:$F$12,"ISIC 49T53"))*'Factors applied'!$E$202</f>
        <v/>
      </c>
      <c r="AJ6">
        <f>(SUMIFS('Cost Breakdowns'!$C$3:$C$12,'Cost Breakdowns'!$A$3:$A$12,'SoBCaICbIC-urbanresidential'!$A6,'Cost Breakdowns'!$F$3:$F$12,"ISIC 49T53"))*'Factors applied'!$E$203</f>
        <v/>
      </c>
      <c r="AK6">
        <f>(SUMIFS('Cost Breakdowns'!$C$3:$C$12,'Cost Breakdowns'!$A$3:$A$12,'SoBCaICbIC-urbanresidential'!$A6,'Cost Breakdowns'!$F$3:$F$12,"ISIC 49T53"))*'Factors applied'!$E$204</f>
        <v/>
      </c>
      <c r="AL6">
        <f>(SUMIFS('Cost Breakdowns'!$C$3:$C$12,'Cost Breakdowns'!$A$3:$A$12,'SoBCaICbIC-urbanresidential'!$A6,'Cost Breakdowns'!$F$3:$F$12,"ISIC 49T53"))*'Factors applied'!$E$205</f>
        <v/>
      </c>
      <c r="AM6">
        <f>(SUMIFS('Cost Breakdowns'!$C$3:$C$12,'Cost Breakdowns'!$A$3:$A$12,'SoBCaICbIC-urbanresidential'!$A6,'Cost Breakdowns'!$F$3:$F$12,"ISIC 49T53"))*'Factors applied'!$E$206</f>
        <v/>
      </c>
      <c r="AN6">
        <f>(SUMIFS('Cost Breakdowns'!$C$3:$C$12,'Cost Breakdowns'!$A$3:$A$12,'SoBCaICbIC-urbanresidential'!$A6,'Cost Breakdowns'!$F$3:$F$12,"ISIC 55T56"))</f>
        <v/>
      </c>
      <c r="AO6">
        <f>(SUMIFS('Cost Breakdowns'!$C$3:$C$12,'Cost Breakdowns'!$A$3:$A$12,'SoBCaICbIC-urbanresidential'!$A6,'Cost Breakdowns'!$F$3:$F$12,"ISIC 58T60"))</f>
        <v/>
      </c>
      <c r="AP6">
        <f>(SUMIFS('Cost Breakdowns'!$C$3:$C$12,'Cost Breakdowns'!$A$3:$A$12,'SoBCaICbIC-urbanresidential'!$A6,'Cost Breakdowns'!$F$3:$F$12,"ISIC 61"))</f>
        <v/>
      </c>
      <c r="AQ6">
        <f>(SUMIFS('Cost Breakdowns'!$C$3:$C$12,'Cost Breakdowns'!$A$3:$A$12,'SoBCaICbIC-urbanresidential'!$A6,'Cost Breakdowns'!$F$3:$F$12,"ISIC 62T63"))</f>
        <v/>
      </c>
      <c r="AR6">
        <f>(SUMIFS('Cost Breakdowns'!$C$3:$C$12,'Cost Breakdowns'!$A$3:$A$12,'SoBCaICbIC-urbanresidential'!$A6,'Cost Breakdowns'!$F$3:$F$12,"ISIC 64T66"))</f>
        <v/>
      </c>
      <c r="AS6">
        <f>(SUMIFS('Cost Breakdowns'!$C$3:$C$12,'Cost Breakdowns'!$A$3:$A$12,'SoBCaICbIC-urbanresidential'!$A6,'Cost Breakdowns'!$F$3:$F$12,"ISIC 68"))</f>
        <v/>
      </c>
      <c r="AT6">
        <f>(SUMIFS('Cost Breakdowns'!$C$3:$C$12,'Cost Breakdowns'!$A$3:$A$12,'SoBCaICbIC-urbanresidential'!$A6,'Cost Breakdowns'!$F$3:$F$12,"ISIC 69T82"))*'Factors applied'!$E$207</f>
        <v/>
      </c>
      <c r="AU6">
        <f>(SUMIFS('Cost Breakdowns'!$C$3:$C$12,'Cost Breakdowns'!$A$3:$A$12,'SoBCaICbIC-urbanresidential'!$A6,'Cost Breakdowns'!$F$3:$F$12,"ISIC 69T82"))*'Factors applied'!$E$208</f>
        <v/>
      </c>
      <c r="AV6">
        <f>(SUMIFS('Cost Breakdowns'!$C$3:$C$12,'Cost Breakdowns'!$A$3:$A$12,'SoBCaICbIC-urbanresidential'!$A6,'Cost Breakdowns'!$F$3:$F$12,"ISIC 84"))</f>
        <v/>
      </c>
      <c r="AW6">
        <f>(SUMIFS('Cost Breakdowns'!$C$3:$C$12,'Cost Breakdowns'!$A$3:$A$12,'SoBCaICbIC-urbanresidential'!$A6,'Cost Breakdowns'!$F$3:$F$12,"ISIC 85"))</f>
        <v/>
      </c>
      <c r="AX6">
        <f>(SUMIFS('Cost Breakdowns'!$C$3:$C$12,'Cost Breakdowns'!$A$3:$A$12,'SoBCaICbIC-urbanresidential'!$A6,'Cost Breakdowns'!$F$3:$F$12,"ISIC 86T88"))</f>
        <v/>
      </c>
      <c r="AY6">
        <f>(SUMIFS('Cost Breakdowns'!$C$3:$C$12,'Cost Breakdowns'!$A$3:$A$12,'SoBCaICbIC-urbanresidential'!$A6,'Cost Breakdowns'!$F$3:$F$12,"ISIC 90T96"))*'Factors applied'!$E$209</f>
        <v/>
      </c>
      <c r="AZ6">
        <f>(SUMIFS('Cost Breakdowns'!$C$3:$C$12,'Cost Breakdowns'!$A$3:$A$12,'SoBCaICbIC-urbanresidential'!$A6,'Cost Breakdowns'!$F$3:$F$12,"ISIC 90T96"))*'Factors applied'!$E$210</f>
        <v/>
      </c>
      <c r="BA6">
        <f>(SUMIFS('Cost Breakdowns'!$C$3:$C$12,'Cost Breakdowns'!$A$3:$A$12,'SoBCaICbIC-urbanresidential'!$A6,'Cost Breakdowns'!$F$3:$F$12,"ISIC 97T98"))</f>
        <v/>
      </c>
    </row>
    <row r="7">
      <c r="A7" t="inlineStr">
        <is>
          <t>Other</t>
        </is>
      </c>
      <c r="B7">
        <f>(SUMIFS('Cost Breakdowns'!$C$3:$C$12,'Cost Breakdowns'!$A$3:$A$12,'SoBCaICbIC-urbanresidential'!$A7,'Cost Breakdowns'!$F$3:$F$12,"ISIC 01T03"))*'Factors applied'!$E$275</f>
        <v/>
      </c>
      <c r="C7">
        <f>(SUMIFS('Cost Breakdowns'!$C$3:$C$12,'Cost Breakdowns'!$A$3:$A$12,'SoBCaICbIC-urbanresidential'!$A7,'Cost Breakdowns'!$F$3:$F$12,"ISIC 01T03"))*'Factors applied'!$E$276</f>
        <v/>
      </c>
      <c r="D7">
        <f>(SUMIFS('Cost Breakdowns'!$C$3:$C$12,'Cost Breakdowns'!$A$3:$A$12,'SoBCaICbIC-urbanresidential'!$A7,'Cost Breakdowns'!$F$3:$F$12,"ISIC 01T03"))*'Factors applied'!$E$277</f>
        <v/>
      </c>
      <c r="E7">
        <f>(SUMIFS('Cost Breakdowns'!$C$3:$C$12,'Cost Breakdowns'!$A$3:$A$12,'SoBCaICbIC-urbanresidential'!$A7,'Cost Breakdowns'!$F$3:$F$12,"ISIC 05"))</f>
        <v/>
      </c>
      <c r="F7">
        <f>(SUMIFS('Cost Breakdowns'!$C$3:$C$12,'Cost Breakdowns'!$A$3:$A$12,'SoBCaICbIC-urbanresidential'!$A7,'Cost Breakdowns'!$F$3:$F$12,"ISIC 06"))</f>
        <v/>
      </c>
      <c r="G7">
        <f>(SUMIFS('Cost Breakdowns'!$C$3:$C$12,'Cost Breakdowns'!$A$3:$A$12,'SoBCaICbIC-urbanresidential'!$A7,'Cost Breakdowns'!$F$3:$F$12,"ISIC 07T08"))*'Factors applied'!$E$278</f>
        <v/>
      </c>
      <c r="H7">
        <f>(SUMIFS('Cost Breakdowns'!$C$3:$C$12,'Cost Breakdowns'!$A$3:$A$12,'SoBCaICbIC-urbanresidential'!$A7,'Cost Breakdowns'!$F$3:$F$12,"ISIC 07T08"))*'Factors applied'!$E$279</f>
        <v/>
      </c>
      <c r="I7">
        <f>(SUMIFS('Cost Breakdowns'!$C$3:$C$12,'Cost Breakdowns'!$A$3:$A$12,'SoBCaICbIC-urbanresidential'!$A7,'Cost Breakdowns'!$F$3:$F$12,"ISIC 09"))</f>
        <v/>
      </c>
      <c r="J7">
        <f>(SUMIFS('Cost Breakdowns'!$C$3:$C$12,'Cost Breakdowns'!$A$3:$A$12,'SoBCaICbIC-urbanresidential'!$A7,'Cost Breakdowns'!$F$3:$F$12,"ISIC 10T12"))</f>
        <v/>
      </c>
      <c r="K7">
        <f>(SUMIFS('Cost Breakdowns'!$C$3:$C$12,'Cost Breakdowns'!$A$3:$A$12,'SoBCaICbIC-urbanresidential'!$A7,'Cost Breakdowns'!$F$3:$F$12,"ISIC 13T15"))</f>
        <v/>
      </c>
      <c r="L7">
        <f>(SUMIFS('Cost Breakdowns'!$C$3:$C$12,'Cost Breakdowns'!$A$3:$A$12,'SoBCaICbIC-urbanresidential'!$A7,'Cost Breakdowns'!$F$3:$F$12,"ISIC 16"))</f>
        <v/>
      </c>
      <c r="M7">
        <f>(SUMIFS('Cost Breakdowns'!$C$3:$C$12,'Cost Breakdowns'!$A$3:$A$12,'SoBCaICbIC-urbanresidential'!$A7,'Cost Breakdowns'!$F$3:$F$12,"ISIC 17T18"))</f>
        <v/>
      </c>
      <c r="N7">
        <f>(SUMIFS('Cost Breakdowns'!$C$3:$C$12,'Cost Breakdowns'!$A$3:$A$12,'SoBCaICbIC-urbanresidential'!$A7,'Cost Breakdowns'!$F$3:$F$12,"ISIC 19"))</f>
        <v/>
      </c>
      <c r="O7">
        <f>(SUMIFS('Cost Breakdowns'!$C$3:$C$12,'Cost Breakdowns'!$A$3:$A$12,'SoBCaICbIC-urbanresidential'!$A7,'Cost Breakdowns'!$F$3:$F$12,"ISIC 20"))</f>
        <v/>
      </c>
      <c r="P7">
        <f>(SUMIFS('Cost Breakdowns'!$C$3:$C$12,'Cost Breakdowns'!$A$3:$A$12,'SoBCaICbIC-urbanresidential'!$A7,'Cost Breakdowns'!$F$3:$F$12,"ISIC 21"))</f>
        <v/>
      </c>
      <c r="Q7">
        <f>(SUMIFS('Cost Breakdowns'!$C$3:$C$12,'Cost Breakdowns'!$A$3:$A$12,'SoBCaICbIC-urbanresidential'!$A7,'Cost Breakdowns'!$F$3:$F$12,"ISIC 22"))</f>
        <v/>
      </c>
      <c r="R7">
        <f>(SUMIFS('Cost Breakdowns'!$C$3:$C$12,'Cost Breakdowns'!$A$3:$A$12,'SoBCaICbIC-urbanresidential'!$A7,'Cost Breakdowns'!$F$3:$F$12,"ISIC 231"))</f>
        <v/>
      </c>
      <c r="S7">
        <f>(SUMIFS('Cost Breakdowns'!$C$3:$C$12,'Cost Breakdowns'!$A$3:$A$12,'SoBCaICbIC-urbanresidential'!$A7,'Cost Breakdowns'!$F$3:$F$12,"ISIC 239"))</f>
        <v/>
      </c>
      <c r="T7">
        <f>(SUMIFS('Cost Breakdowns'!$C$3:$C$12,'Cost Breakdowns'!$A$3:$A$12,'SoBCaICbIC-urbanresidential'!$A7,'Cost Breakdowns'!$F$3:$F$12,"ISIC 241"))</f>
        <v/>
      </c>
      <c r="U7">
        <f>(SUMIFS('Cost Breakdowns'!$C$3:$C$12,'Cost Breakdowns'!$A$3:$A$12,'SoBCaICbIC-urbanresidential'!$A7,'Cost Breakdowns'!$F$3:$F$12,"ISIC 242"))</f>
        <v/>
      </c>
      <c r="V7">
        <f>(SUMIFS('Cost Breakdowns'!$C$3:$C$12,'Cost Breakdowns'!$A$3:$A$12,'SoBCaICbIC-urbanresidential'!$A7,'Cost Breakdowns'!$F$3:$F$12,"ISIC 25"))</f>
        <v/>
      </c>
      <c r="W7">
        <f>(SUMIFS('Cost Breakdowns'!$C$3:$C$12,'Cost Breakdowns'!$A$3:$A$12,'SoBCaICbIC-urbanresidential'!$A7,'Cost Breakdowns'!$F$3:$F$12,"ISIC 26"))</f>
        <v/>
      </c>
      <c r="X7">
        <f>(SUMIFS('Cost Breakdowns'!$C$3:$C$12,'Cost Breakdowns'!$A$3:$A$12,'SoBCaICbIC-urbanresidential'!$A7,'Cost Breakdowns'!$F$3:$F$12,"ISIC 27"))</f>
        <v/>
      </c>
      <c r="Y7">
        <f>(SUMIFS('Cost Breakdowns'!$C$3:$C$12,'Cost Breakdowns'!$A$3:$A$12,'SoBCaICbIC-urbanresidential'!$A7,'Cost Breakdowns'!$F$3:$F$12,"ISIC 28"))</f>
        <v/>
      </c>
      <c r="Z7">
        <f>(SUMIFS('Cost Breakdowns'!$C$3:$C$12,'Cost Breakdowns'!$A$3:$A$12,'SoBCaICbIC-urbanresidential'!$A7,'Cost Breakdowns'!$F$3:$F$12,"ISIC 29"))</f>
        <v/>
      </c>
      <c r="AA7">
        <f>(SUMIFS('Cost Breakdowns'!$C$3:$C$12,'Cost Breakdowns'!$A$3:$A$12,'SoBCaICbIC-urbanresidential'!$A7,'Cost Breakdowns'!$F$3:$F$12,"ISIC 30"))*'Factors applied'!$E$280</f>
        <v/>
      </c>
      <c r="AB7">
        <f>(SUMIFS('Cost Breakdowns'!$C$3:$C$12,'Cost Breakdowns'!$A$3:$A$12,'SoBCaICbIC-urbanresidential'!$A7,'Cost Breakdowns'!$F$3:$F$12,"ISIC 30"))*'Factors applied'!$E$281</f>
        <v/>
      </c>
      <c r="AC7">
        <f>(SUMIFS('Cost Breakdowns'!$C$3:$C$12,'Cost Breakdowns'!$A$3:$A$12,'SoBCaICbIC-urbanresidential'!$A7,'Cost Breakdowns'!$F$3:$F$12,"ISIC 31T33"))</f>
        <v/>
      </c>
      <c r="AD7">
        <f>(SUMIFS('Cost Breakdowns'!$C$3:$C$12,'Cost Breakdowns'!$A$3:$A$12,'SoBCaICbIC-urbanresidential'!$A7,'Cost Breakdowns'!$F$3:$F$12,"ISIC 351"))</f>
        <v/>
      </c>
      <c r="AE7">
        <f>(SUMIFS('Cost Breakdowns'!$C$3:$C$12,'Cost Breakdowns'!$A$3:$A$12,'SoBCaICbIC-urbanresidential'!$A7,'Cost Breakdowns'!$F$3:$F$12,"ISIC 352T353"))</f>
        <v/>
      </c>
      <c r="AF7">
        <f>(SUMIFS('Cost Breakdowns'!$C$3:$C$12,'Cost Breakdowns'!$A$3:$A$12,'SoBCaICbIC-urbanresidential'!$A7,'Cost Breakdowns'!$F$3:$F$12,"ISIC 36T39"))</f>
        <v/>
      </c>
      <c r="AG7">
        <f>(SUMIFS('Cost Breakdowns'!$C$3:$C$12,'Cost Breakdowns'!$A$3:$A$12,'SoBCaICbIC-urbanresidential'!$A7,'Cost Breakdowns'!$F$3:$F$12,"ISIC 41T43"))</f>
        <v/>
      </c>
      <c r="AH7">
        <f>(SUMIFS('Cost Breakdowns'!$C$3:$C$12,'Cost Breakdowns'!$A$3:$A$12,'SoBCaICbIC-urbanresidential'!$A7,'Cost Breakdowns'!$F$3:$F$12,"ISIC 45T47"))</f>
        <v/>
      </c>
      <c r="AI7">
        <f>(SUMIFS('Cost Breakdowns'!$C$3:$C$12,'Cost Breakdowns'!$A$3:$A$12,'SoBCaICbIC-urbanresidential'!$A7,'Cost Breakdowns'!$F$3:$F$12,"ISIC 49T53"))*'Factors applied'!$E$282</f>
        <v/>
      </c>
      <c r="AJ7">
        <f>(SUMIFS('Cost Breakdowns'!$C$3:$C$12,'Cost Breakdowns'!$A$3:$A$12,'SoBCaICbIC-urbanresidential'!$A7,'Cost Breakdowns'!$F$3:$F$12,"ISIC 49T53"))*'Factors applied'!$E$283</f>
        <v/>
      </c>
      <c r="AK7">
        <f>(SUMIFS('Cost Breakdowns'!$C$3:$C$12,'Cost Breakdowns'!$A$3:$A$12,'SoBCaICbIC-urbanresidential'!$A7,'Cost Breakdowns'!$F$3:$F$12,"ISIC 49T53"))*'Factors applied'!$E$284</f>
        <v/>
      </c>
      <c r="AL7">
        <f>(SUMIFS('Cost Breakdowns'!$C$3:$C$12,'Cost Breakdowns'!$A$3:$A$12,'SoBCaICbIC-urbanresidential'!$A7,'Cost Breakdowns'!$F$3:$F$12,"ISIC 49T53"))*'Factors applied'!$E$285</f>
        <v/>
      </c>
      <c r="AM7">
        <f>(SUMIFS('Cost Breakdowns'!$C$3:$C$12,'Cost Breakdowns'!$A$3:$A$12,'SoBCaICbIC-urbanresidential'!$A7,'Cost Breakdowns'!$F$3:$F$12,"ISIC 49T53"))*'Factors applied'!$E$286</f>
        <v/>
      </c>
      <c r="AN7">
        <f>(SUMIFS('Cost Breakdowns'!$C$3:$C$12,'Cost Breakdowns'!$A$3:$A$12,'SoBCaICbIC-urbanresidential'!$A7,'Cost Breakdowns'!$F$3:$F$12,"ISIC 55T56"))</f>
        <v/>
      </c>
      <c r="AO7">
        <f>(SUMIFS('Cost Breakdowns'!$C$3:$C$12,'Cost Breakdowns'!$A$3:$A$12,'SoBCaICbIC-urbanresidential'!$A7,'Cost Breakdowns'!$F$3:$F$12,"ISIC 58T60"))</f>
        <v/>
      </c>
      <c r="AP7">
        <f>(SUMIFS('Cost Breakdowns'!$C$3:$C$12,'Cost Breakdowns'!$A$3:$A$12,'SoBCaICbIC-urbanresidential'!$A7,'Cost Breakdowns'!$F$3:$F$12,"ISIC 61"))</f>
        <v/>
      </c>
      <c r="AQ7">
        <f>(SUMIFS('Cost Breakdowns'!$C$3:$C$12,'Cost Breakdowns'!$A$3:$A$12,'SoBCaICbIC-urbanresidential'!$A7,'Cost Breakdowns'!$F$3:$F$12,"ISIC 62T63"))</f>
        <v/>
      </c>
      <c r="AR7">
        <f>(SUMIFS('Cost Breakdowns'!$C$3:$C$12,'Cost Breakdowns'!$A$3:$A$12,'SoBCaICbIC-urbanresidential'!$A7,'Cost Breakdowns'!$F$3:$F$12,"ISIC 64T66"))</f>
        <v/>
      </c>
      <c r="AS7">
        <f>(SUMIFS('Cost Breakdowns'!$C$3:$C$12,'Cost Breakdowns'!$A$3:$A$12,'SoBCaICbIC-urbanresidential'!$A7,'Cost Breakdowns'!$F$3:$F$12,"ISIC 68"))</f>
        <v/>
      </c>
      <c r="AT7">
        <f>(SUMIFS('Cost Breakdowns'!$C$3:$C$12,'Cost Breakdowns'!$A$3:$A$12,'SoBCaICbIC-urbanresidential'!$A7,'Cost Breakdowns'!$F$3:$F$12,"ISIC 69T82"))*'Factors applied'!$E$287</f>
        <v/>
      </c>
      <c r="AU7">
        <f>(SUMIFS('Cost Breakdowns'!$C$3:$C$12,'Cost Breakdowns'!$A$3:$A$12,'SoBCaICbIC-urbanresidential'!$A7,'Cost Breakdowns'!$F$3:$F$12,"ISIC 69T82"))*'Factors applied'!$E$288</f>
        <v/>
      </c>
      <c r="AV7">
        <f>(SUMIFS('Cost Breakdowns'!$C$3:$C$12,'Cost Breakdowns'!$A$3:$A$12,'SoBCaICbIC-urbanresidential'!$A7,'Cost Breakdowns'!$F$3:$F$12,"ISIC 84"))</f>
        <v/>
      </c>
      <c r="AW7">
        <f>(SUMIFS('Cost Breakdowns'!$C$3:$C$12,'Cost Breakdowns'!$A$3:$A$12,'SoBCaICbIC-urbanresidential'!$A7,'Cost Breakdowns'!$F$3:$F$12,"ISIC 85"))</f>
        <v/>
      </c>
      <c r="AX7">
        <f>(SUMIFS('Cost Breakdowns'!$C$3:$C$12,'Cost Breakdowns'!$A$3:$A$12,'SoBCaICbIC-urbanresidential'!$A7,'Cost Breakdowns'!$F$3:$F$12,"ISIC 86T88"))</f>
        <v/>
      </c>
      <c r="AY7">
        <f>(SUMIFS('Cost Breakdowns'!$C$3:$C$12,'Cost Breakdowns'!$A$3:$A$12,'SoBCaICbIC-urbanresidential'!$A7,'Cost Breakdowns'!$F$3:$F$12,"ISIC 90T96"))*'Factors applied'!$E$289</f>
        <v/>
      </c>
      <c r="AZ7">
        <f>(SUMIFS('Cost Breakdowns'!$C$3:$C$12,'Cost Breakdowns'!$A$3:$A$12,'SoBCaICbIC-urbanresidential'!$A7,'Cost Breakdowns'!$F$3:$F$12,"ISIC 90T96"))*'Factors applied'!$E$290</f>
        <v/>
      </c>
      <c r="BA7">
        <f>(SUMIFS('Cost Breakdowns'!$C$3:$C$12,'Cost Breakdowns'!$A$3:$A$12,'SoBCaICbIC-urbanresidential'!$A7,'Cost Breakdowns'!$F$3:$F$12,"ISIC 97T98"))</f>
        <v/>
      </c>
    </row>
  </sheetData>
  <pageMargins left="0.7" right="0.7" top="0.75" bottom="0.75" header="0.3" footer="0.3"/>
  <pageSetup orientation="portrait"/>
</worksheet>
</file>

<file path=xl/worksheets/sheet18.xml><?xml version="1.0" encoding="utf-8"?>
<worksheet xmlns="http://schemas.openxmlformats.org/spreadsheetml/2006/main">
  <sheetPr>
    <tabColor rgb="001F3864"/>
    <outlinePr summaryBelow="1" summaryRight="1"/>
    <pageSetUpPr/>
  </sheetPr>
  <dimension ref="A1:BA7"/>
  <sheetViews>
    <sheetView workbookViewId="0">
      <selection activeCell="Q4" sqref="Q4"/>
    </sheetView>
  </sheetViews>
  <sheetFormatPr baseColWidth="8" defaultRowHeight="14.25"/>
  <cols>
    <col width="22.86328125" customWidth="1" style="100" min="1" max="1"/>
    <col width="10.53125" customWidth="1" style="100" min="2" max="43"/>
  </cols>
  <sheetData>
    <row r="1">
      <c r="A1" s="130" t="inlineStr">
        <is>
          <t>Unit: dimensionless (%)</t>
        </is>
      </c>
      <c r="B1" s="129" t="inlineStr">
        <is>
          <t>ISIC 01</t>
        </is>
      </c>
      <c r="C1" s="129" t="inlineStr">
        <is>
          <t>ISIC 02</t>
        </is>
      </c>
      <c r="D1" s="129" t="inlineStr">
        <is>
          <t>ISIC 03</t>
        </is>
      </c>
      <c r="E1" s="129" t="inlineStr">
        <is>
          <t>ISIC 05</t>
        </is>
      </c>
      <c r="F1" s="129" t="inlineStr">
        <is>
          <t>ISIC 06</t>
        </is>
      </c>
      <c r="G1" s="129" t="inlineStr">
        <is>
          <t>ISIC 07</t>
        </is>
      </c>
      <c r="H1" s="129" t="inlineStr">
        <is>
          <t>ISIC 08</t>
        </is>
      </c>
      <c r="I1" s="129" t="inlineStr">
        <is>
          <t>ISIC 09</t>
        </is>
      </c>
      <c r="J1" s="129" t="inlineStr">
        <is>
          <t>ISIC 10T12</t>
        </is>
      </c>
      <c r="K1" s="129" t="inlineStr">
        <is>
          <t>ISIC 13T15</t>
        </is>
      </c>
      <c r="L1" s="129" t="inlineStr">
        <is>
          <t>ISIC 16</t>
        </is>
      </c>
      <c r="M1" s="129" t="inlineStr">
        <is>
          <t>ISIC 17T18</t>
        </is>
      </c>
      <c r="N1" s="129" t="inlineStr">
        <is>
          <t>ISIC 19</t>
        </is>
      </c>
      <c r="O1" s="129" t="inlineStr">
        <is>
          <t>ISIC 20</t>
        </is>
      </c>
      <c r="P1" s="129" t="inlineStr">
        <is>
          <t>ISIC 21</t>
        </is>
      </c>
      <c r="Q1" s="129" t="inlineStr">
        <is>
          <t>ISIC 22</t>
        </is>
      </c>
      <c r="R1" s="129" t="inlineStr">
        <is>
          <t>ISIC 231</t>
        </is>
      </c>
      <c r="S1" s="129" t="inlineStr">
        <is>
          <t>ISIC 239</t>
        </is>
      </c>
      <c r="T1" s="129" t="inlineStr">
        <is>
          <t>ISIC 241</t>
        </is>
      </c>
      <c r="U1" s="129" t="inlineStr">
        <is>
          <t>ISIC 242</t>
        </is>
      </c>
      <c r="V1" s="129" t="inlineStr">
        <is>
          <t>ISIC 25</t>
        </is>
      </c>
      <c r="W1" s="129" t="inlineStr">
        <is>
          <t>ISIC 26</t>
        </is>
      </c>
      <c r="X1" s="129" t="inlineStr">
        <is>
          <t>ISIC 27</t>
        </is>
      </c>
      <c r="Y1" s="129" t="inlineStr">
        <is>
          <t>ISIC 28</t>
        </is>
      </c>
      <c r="Z1" s="129" t="inlineStr">
        <is>
          <t>ISIC 29</t>
        </is>
      </c>
      <c r="AA1" s="129" t="inlineStr">
        <is>
          <t>ISIC 301</t>
        </is>
      </c>
      <c r="AB1" s="129" t="inlineStr">
        <is>
          <t>ISIC 302T309</t>
        </is>
      </c>
      <c r="AC1" s="129" t="inlineStr">
        <is>
          <t>ISIC 31T33</t>
        </is>
      </c>
      <c r="AD1" s="129" t="inlineStr">
        <is>
          <t>ISIC 351</t>
        </is>
      </c>
      <c r="AE1" s="129" t="inlineStr">
        <is>
          <t>ISIC 352T353</t>
        </is>
      </c>
      <c r="AF1" s="129" t="inlineStr">
        <is>
          <t>ISIC 36T39</t>
        </is>
      </c>
      <c r="AG1" s="129" t="inlineStr">
        <is>
          <t>ISIC 41T43</t>
        </is>
      </c>
      <c r="AH1" s="129" t="inlineStr">
        <is>
          <t>ISIC 45T47</t>
        </is>
      </c>
      <c r="AI1" s="129" t="inlineStr">
        <is>
          <t>ISIC 49</t>
        </is>
      </c>
      <c r="AJ1" s="129" t="inlineStr">
        <is>
          <t>ISIC 50</t>
        </is>
      </c>
      <c r="AK1" s="129" t="inlineStr">
        <is>
          <t>ISIC 51</t>
        </is>
      </c>
      <c r="AL1" s="129" t="inlineStr">
        <is>
          <t>ISIC 52</t>
        </is>
      </c>
      <c r="AM1" s="129" t="inlineStr">
        <is>
          <t>ISIC 53</t>
        </is>
      </c>
      <c r="AN1" s="129" t="inlineStr">
        <is>
          <t>ISIC 55T56</t>
        </is>
      </c>
      <c r="AO1" s="129" t="inlineStr">
        <is>
          <t>ISIC 58T60</t>
        </is>
      </c>
      <c r="AP1" s="129" t="inlineStr">
        <is>
          <t>ISIC 61</t>
        </is>
      </c>
      <c r="AQ1" s="129" t="inlineStr">
        <is>
          <t>ISIC 62T63</t>
        </is>
      </c>
      <c r="AR1" s="129" t="inlineStr">
        <is>
          <t>ISIC 64T66</t>
        </is>
      </c>
      <c r="AS1" s="129" t="inlineStr">
        <is>
          <t>ISIC 68</t>
        </is>
      </c>
      <c r="AT1" s="129" t="inlineStr">
        <is>
          <t>ISIC 69T75</t>
        </is>
      </c>
      <c r="AU1" s="129" t="inlineStr">
        <is>
          <t>ISIC 77T82</t>
        </is>
      </c>
      <c r="AV1" s="129" t="inlineStr">
        <is>
          <t>ISIC 84</t>
        </is>
      </c>
      <c r="AW1" s="129" t="inlineStr">
        <is>
          <t>ISIC 85</t>
        </is>
      </c>
      <c r="AX1" s="129" t="inlineStr">
        <is>
          <t>ISIC 86T88</t>
        </is>
      </c>
      <c r="AY1" s="129" t="inlineStr">
        <is>
          <t>ISIC 90T93</t>
        </is>
      </c>
      <c r="AZ1" s="129" t="inlineStr">
        <is>
          <t>ISIC 94T96</t>
        </is>
      </c>
      <c r="BA1" s="129" t="inlineStr">
        <is>
          <t>ISIC 97T98</t>
        </is>
      </c>
    </row>
    <row r="2">
      <c r="A2" t="inlineStr">
        <is>
          <t>Heating</t>
        </is>
      </c>
      <c r="B2">
        <f>(SUMIFS('Cost Breakdowns'!$D$3:$D$12,'Cost Breakdowns'!$A$3:$A$12,'SoBCaICbIC-urbanresidential'!$A2,'Cost Breakdowns'!$F$3:$F$12,"ISIC 01T03"))*'Factors applied'!$E$147</f>
        <v/>
      </c>
      <c r="C2">
        <f>(SUMIFS('Cost Breakdowns'!$D$3:$D$12,'Cost Breakdowns'!$A$3:$A$12,'SoBCaICbIC-urbanresidential'!$A2,'Cost Breakdowns'!$F$3:$F$12,"ISIC 01T03"))*'Factors applied'!$E$148</f>
        <v/>
      </c>
      <c r="D2">
        <f>(SUMIFS('Cost Breakdowns'!$D$3:$D$12,'Cost Breakdowns'!$A$3:$A$12,'SoBCaICbIC-urbanresidential'!$A2,'Cost Breakdowns'!$F$3:$F$12,"ISIC 01T03"))*'Factors applied'!$E$149</f>
        <v/>
      </c>
      <c r="E2">
        <f>(SUMIFS('Cost Breakdowns'!$D$3:$D$12,'Cost Breakdowns'!$A$3:$A$12,'SoBCaICbIC-urbanresidential'!$A2,'Cost Breakdowns'!$F$3:$F$12,"ISIC 05"))</f>
        <v/>
      </c>
      <c r="F2">
        <f>(SUMIFS('Cost Breakdowns'!$D$3:$D$12,'Cost Breakdowns'!$A$3:$A$12,'SoBCaICbIC-urbanresidential'!$A2,'Cost Breakdowns'!$F$3:$F$12,"ISIC 06"))</f>
        <v/>
      </c>
      <c r="G2">
        <f>(SUMIFS('Cost Breakdowns'!$D$3:$D$12,'Cost Breakdowns'!$A$3:$A$12,'SoBCaICbIC-urbanresidential'!$A2,'Cost Breakdowns'!$F$3:$F$12,"ISIC 07T08"))*'Factors applied'!$E$150</f>
        <v/>
      </c>
      <c r="H2">
        <f>(SUMIFS('Cost Breakdowns'!$D$3:$D$12,'Cost Breakdowns'!$A$3:$A$12,'SoBCaICbIC-urbanresidential'!$A2,'Cost Breakdowns'!$F$3:$F$12,"ISIC 07T08"))*'Factors applied'!$E$151</f>
        <v/>
      </c>
      <c r="I2">
        <f>(SUMIFS('Cost Breakdowns'!$D$3:$D$12,'Cost Breakdowns'!$A$3:$A$12,'SoBCaICbIC-urbanresidential'!$A2,'Cost Breakdowns'!$F$3:$F$12,"ISIC 09"))</f>
        <v/>
      </c>
      <c r="J2">
        <f>(SUMIFS('Cost Breakdowns'!$D$3:$D$12,'Cost Breakdowns'!$A$3:$A$12,'SoBCaICbIC-urbanresidential'!$A2,'Cost Breakdowns'!$F$3:$F$12,"ISIC 10T12"))</f>
        <v/>
      </c>
      <c r="K2">
        <f>(SUMIFS('Cost Breakdowns'!$D$3:$D$12,'Cost Breakdowns'!$A$3:$A$12,'SoBCaICbIC-urbanresidential'!$A2,'Cost Breakdowns'!$F$3:$F$12,"ISIC 13T15"))</f>
        <v/>
      </c>
      <c r="L2">
        <f>(SUMIFS('Cost Breakdowns'!$D$3:$D$12,'Cost Breakdowns'!$A$3:$A$12,'SoBCaICbIC-urbanresidential'!$A2,'Cost Breakdowns'!$F$3:$F$12,"ISIC 16"))</f>
        <v/>
      </c>
      <c r="M2">
        <f>(SUMIFS('Cost Breakdowns'!$D$3:$D$12,'Cost Breakdowns'!$A$3:$A$12,'SoBCaICbIC-urbanresidential'!$A2,'Cost Breakdowns'!$F$3:$F$12,"ISIC 17T18"))</f>
        <v/>
      </c>
      <c r="N2">
        <f>(SUMIFS('Cost Breakdowns'!$D$3:$D$12,'Cost Breakdowns'!$A$3:$A$12,'SoBCaICbIC-urbanresidential'!$A2,'Cost Breakdowns'!$F$3:$F$12,"ISIC 19"))</f>
        <v/>
      </c>
      <c r="O2">
        <f>(SUMIFS('Cost Breakdowns'!$D$3:$D$12,'Cost Breakdowns'!$A$3:$A$12,'SoBCaICbIC-urbanresidential'!$A2,'Cost Breakdowns'!$F$3:$F$12,"ISIC 20"))</f>
        <v/>
      </c>
      <c r="P2">
        <f>(SUMIFS('Cost Breakdowns'!$D$3:$D$12,'Cost Breakdowns'!$A$3:$A$12,'SoBCaICbIC-urbanresidential'!$A2,'Cost Breakdowns'!$F$3:$F$12,"ISIC 21"))</f>
        <v/>
      </c>
      <c r="Q2">
        <f>(SUMIFS('Cost Breakdowns'!$D$3:$D$12,'Cost Breakdowns'!$A$3:$A$12,'SoBCaICbIC-urbanresidential'!$A2,'Cost Breakdowns'!$F$3:$F$12,"ISIC 22"))</f>
        <v/>
      </c>
      <c r="R2">
        <f>(SUMIFS('Cost Breakdowns'!$D$3:$D$12,'Cost Breakdowns'!$A$3:$A$12,'SoBCaICbIC-urbanresidential'!$A2,'Cost Breakdowns'!$F$3:$F$12,"ISIC 231"))</f>
        <v/>
      </c>
      <c r="S2">
        <f>(SUMIFS('Cost Breakdowns'!$D$3:$D$12,'Cost Breakdowns'!$A$3:$A$12,'SoBCaICbIC-urbanresidential'!$A2,'Cost Breakdowns'!$F$3:$F$12,"ISIC 239"))</f>
        <v/>
      </c>
      <c r="T2">
        <f>(SUMIFS('Cost Breakdowns'!$D$3:$D$12,'Cost Breakdowns'!$A$3:$A$12,'SoBCaICbIC-urbanresidential'!$A2,'Cost Breakdowns'!$F$3:$F$12,"ISIC 241"))</f>
        <v/>
      </c>
      <c r="U2">
        <f>(SUMIFS('Cost Breakdowns'!$D$3:$D$12,'Cost Breakdowns'!$A$3:$A$12,'SoBCaICbIC-urbanresidential'!$A2,'Cost Breakdowns'!$F$3:$F$12,"ISIC 242"))</f>
        <v/>
      </c>
      <c r="V2">
        <f>(SUMIFS('Cost Breakdowns'!$D$3:$D$12,'Cost Breakdowns'!$A$3:$A$12,'SoBCaICbIC-urbanresidential'!$A2,'Cost Breakdowns'!$F$3:$F$12,"ISIC 25"))</f>
        <v/>
      </c>
      <c r="W2">
        <f>(SUMIFS('Cost Breakdowns'!$D$3:$D$12,'Cost Breakdowns'!$A$3:$A$12,'SoBCaICbIC-urbanresidential'!$A2,'Cost Breakdowns'!$F$3:$F$12,"ISIC 26"))</f>
        <v/>
      </c>
      <c r="X2">
        <f>(SUMIFS('Cost Breakdowns'!$D$3:$D$12,'Cost Breakdowns'!$A$3:$A$12,'SoBCaICbIC-urbanresidential'!$A2,'Cost Breakdowns'!$F$3:$F$12,"ISIC 27"))</f>
        <v/>
      </c>
      <c r="Y2">
        <f>(SUMIFS('Cost Breakdowns'!$D$3:$D$12,'Cost Breakdowns'!$A$3:$A$12,'SoBCaICbIC-urbanresidential'!$A2,'Cost Breakdowns'!$F$3:$F$12,"ISIC 28"))</f>
        <v/>
      </c>
      <c r="Z2">
        <f>(SUMIFS('Cost Breakdowns'!$D$3:$D$12,'Cost Breakdowns'!$A$3:$A$12,'SoBCaICbIC-urbanresidential'!$A2,'Cost Breakdowns'!$F$3:$F$12,"ISIC 29"))</f>
        <v/>
      </c>
      <c r="AA2">
        <f>(SUMIFS('Cost Breakdowns'!$D$3:$D$12,'Cost Breakdowns'!$A$3:$A$12,'SoBCaICbIC-urbanresidential'!$A2,'Cost Breakdowns'!$F$3:$F$12,"ISIC 30"))*'Factors applied'!$E$152</f>
        <v/>
      </c>
      <c r="AB2">
        <f>(SUMIFS('Cost Breakdowns'!$D$3:$D$12,'Cost Breakdowns'!$A$3:$A$12,'SoBCaICbIC-urbanresidential'!$A2,'Cost Breakdowns'!$F$3:$F$12,"ISIC 30"))*'Factors applied'!$E$153</f>
        <v/>
      </c>
      <c r="AC2">
        <f>(SUMIFS('Cost Breakdowns'!$D$3:$D$12,'Cost Breakdowns'!$A$3:$A$12,'SoBCaICbIC-urbanresidential'!$A2,'Cost Breakdowns'!$F$3:$F$12,"ISIC 31T33"))</f>
        <v/>
      </c>
      <c r="AD2">
        <f>(SUMIFS('Cost Breakdowns'!$D$3:$D$12,'Cost Breakdowns'!$A$3:$A$12,'SoBCaICbIC-urbanresidential'!$A2,'Cost Breakdowns'!$F$3:$F$12,"ISIC 351"))</f>
        <v/>
      </c>
      <c r="AE2">
        <f>(SUMIFS('Cost Breakdowns'!$D$3:$D$12,'Cost Breakdowns'!$A$3:$A$12,'SoBCaICbIC-urbanresidential'!$A2,'Cost Breakdowns'!$F$3:$F$12,"ISIC 352T353"))</f>
        <v/>
      </c>
      <c r="AF2">
        <f>(SUMIFS('Cost Breakdowns'!$D$3:$D$12,'Cost Breakdowns'!$A$3:$A$12,'SoBCaICbIC-urbanresidential'!$A2,'Cost Breakdowns'!$F$3:$F$12,"ISIC 36T39"))</f>
        <v/>
      </c>
      <c r="AG2">
        <f>(SUMIFS('Cost Breakdowns'!$D$3:$D$12,'Cost Breakdowns'!$A$3:$A$12,'SoBCaICbIC-urbanresidential'!$A2,'Cost Breakdowns'!$F$3:$F$12,"ISIC 41T43"))</f>
        <v/>
      </c>
      <c r="AH2">
        <f>(SUMIFS('Cost Breakdowns'!$D$3:$D$12,'Cost Breakdowns'!$A$3:$A$12,'SoBCaICbIC-urbanresidential'!$A2,'Cost Breakdowns'!$F$3:$F$12,"ISIC 45T47"))</f>
        <v/>
      </c>
      <c r="AI2">
        <f>(SUMIFS('Cost Breakdowns'!$D$3:$D$12,'Cost Breakdowns'!$A$3:$A$12,'SoBCaICbIC-urbanresidential'!$A2,'Cost Breakdowns'!$F$3:$F$12,"ISIC 49T53"))*'Factors applied'!$E$154</f>
        <v/>
      </c>
      <c r="AJ2">
        <f>(SUMIFS('Cost Breakdowns'!$D$3:$D$12,'Cost Breakdowns'!$A$3:$A$12,'SoBCaICbIC-urbanresidential'!$A2,'Cost Breakdowns'!$F$3:$F$12,"ISIC 49T53"))*'Factors applied'!$E$155</f>
        <v/>
      </c>
      <c r="AK2">
        <f>(SUMIFS('Cost Breakdowns'!$D$3:$D$12,'Cost Breakdowns'!$A$3:$A$12,'SoBCaICbIC-urbanresidential'!$A2,'Cost Breakdowns'!$F$3:$F$12,"ISIC 49T53"))*'Factors applied'!$E$156</f>
        <v/>
      </c>
      <c r="AL2">
        <f>(SUMIFS('Cost Breakdowns'!$D$3:$D$12,'Cost Breakdowns'!$A$3:$A$12,'SoBCaICbIC-urbanresidential'!$A2,'Cost Breakdowns'!$F$3:$F$12,"ISIC 49T53"))*'Factors applied'!$E$157</f>
        <v/>
      </c>
      <c r="AM2">
        <f>(SUMIFS('Cost Breakdowns'!$D$3:$D$12,'Cost Breakdowns'!$A$3:$A$12,'SoBCaICbIC-urbanresidential'!$A2,'Cost Breakdowns'!$F$3:$F$12,"ISIC 49T53"))*'Factors applied'!$E$158</f>
        <v/>
      </c>
      <c r="AN2">
        <f>(SUMIFS('Cost Breakdowns'!$D$3:$D$12,'Cost Breakdowns'!$A$3:$A$12,'SoBCaICbIC-urbanresidential'!$A2,'Cost Breakdowns'!$F$3:$F$12,"ISIC 55T56"))</f>
        <v/>
      </c>
      <c r="AO2">
        <f>(SUMIFS('Cost Breakdowns'!$D$3:$D$12,'Cost Breakdowns'!$A$3:$A$12,'SoBCaICbIC-urbanresidential'!$A2,'Cost Breakdowns'!$F$3:$F$12,"ISIC 58T60"))</f>
        <v/>
      </c>
      <c r="AP2">
        <f>(SUMIFS('Cost Breakdowns'!$D$3:$D$12,'Cost Breakdowns'!$A$3:$A$12,'SoBCaICbIC-urbanresidential'!$A2,'Cost Breakdowns'!$F$3:$F$12,"ISIC 61"))</f>
        <v/>
      </c>
      <c r="AQ2">
        <f>(SUMIFS('Cost Breakdowns'!$D$3:$D$12,'Cost Breakdowns'!$A$3:$A$12,'SoBCaICbIC-urbanresidential'!$A2,'Cost Breakdowns'!$F$3:$F$12,"ISIC 62T63"))</f>
        <v/>
      </c>
      <c r="AR2">
        <f>(SUMIFS('Cost Breakdowns'!$D$3:$D$12,'Cost Breakdowns'!$A$3:$A$12,'SoBCaICbIC-urbanresidential'!$A2,'Cost Breakdowns'!$F$3:$F$12,"ISIC 64T66"))</f>
        <v/>
      </c>
      <c r="AS2">
        <f>(SUMIFS('Cost Breakdowns'!$D$3:$D$12,'Cost Breakdowns'!$A$3:$A$12,'SoBCaICbIC-urbanresidential'!$A2,'Cost Breakdowns'!$F$3:$F$12,"ISIC 68"))</f>
        <v/>
      </c>
      <c r="AT2">
        <f>(SUMIFS('Cost Breakdowns'!$D$3:$D$12,'Cost Breakdowns'!$A$3:$A$12,'SoBCaICbIC-urbanresidential'!$A2,'Cost Breakdowns'!$F$3:$F$12,"ISIC 69T82"))*'Factors applied'!$E$159</f>
        <v/>
      </c>
      <c r="AU2">
        <f>(SUMIFS('Cost Breakdowns'!$D$3:$D$12,'Cost Breakdowns'!$A$3:$A$12,'SoBCaICbIC-urbanresidential'!$A2,'Cost Breakdowns'!$F$3:$F$12,"ISIC 69T82"))*'Factors applied'!$E$160</f>
        <v/>
      </c>
      <c r="AV2">
        <f>(SUMIFS('Cost Breakdowns'!$D$3:$D$12,'Cost Breakdowns'!$A$3:$A$12,'SoBCaICbIC-urbanresidential'!$A2,'Cost Breakdowns'!$F$3:$F$12,"ISIC 84"))</f>
        <v/>
      </c>
      <c r="AW2">
        <f>(SUMIFS('Cost Breakdowns'!$D$3:$D$12,'Cost Breakdowns'!$A$3:$A$12,'SoBCaICbIC-urbanresidential'!$A2,'Cost Breakdowns'!$F$3:$F$12,"ISIC 85"))</f>
        <v/>
      </c>
      <c r="AX2">
        <f>(SUMIFS('Cost Breakdowns'!$D$3:$D$12,'Cost Breakdowns'!$A$3:$A$12,'SoBCaICbIC-urbanresidential'!$A2,'Cost Breakdowns'!$F$3:$F$12,"ISIC 86T88"))</f>
        <v/>
      </c>
      <c r="AY2">
        <f>(SUMIFS('Cost Breakdowns'!$D$3:$D$12,'Cost Breakdowns'!$A$3:$A$12,'SoBCaICbIC-urbanresidential'!$A2,'Cost Breakdowns'!$F$3:$F$12,"ISIC 90T96"))*'Factors applied'!$E$161</f>
        <v/>
      </c>
      <c r="AZ2">
        <f>(SUMIFS('Cost Breakdowns'!$D$3:$D$12,'Cost Breakdowns'!$A$3:$A$12,'SoBCaICbIC-urbanresidential'!$A2,'Cost Breakdowns'!$F$3:$F$12,"ISIC 90T96"))*'Factors applied'!$E$162</f>
        <v/>
      </c>
      <c r="BA2">
        <f>(SUMIFS('Cost Breakdowns'!$D$3:$D$12,'Cost Breakdowns'!$A$3:$A$12,'SoBCaICbIC-urbanresidential'!$A2,'Cost Breakdowns'!$F$3:$F$12,"ISIC 97T98"))</f>
        <v/>
      </c>
    </row>
    <row r="3">
      <c r="A3" t="inlineStr">
        <is>
          <t>Cooling</t>
        </is>
      </c>
      <c r="B3">
        <f>(SUMIFS('Cost Breakdowns'!$D$3:$D$12,'Cost Breakdowns'!$A$3:$A$12,'SoBCaICbIC-urbanresidential'!$A3,'Cost Breakdowns'!$F$3:$F$12,"ISIC 01T03"))*'Factors applied'!$E$115</f>
        <v/>
      </c>
      <c r="C3">
        <f>(SUMIFS('Cost Breakdowns'!$D$3:$D$12,'Cost Breakdowns'!$A$3:$A$12,'SoBCaICbIC-urbanresidential'!$A3,'Cost Breakdowns'!$F$3:$F$12,"ISIC 01T03"))*'Factors applied'!$E$116</f>
        <v/>
      </c>
      <c r="D3">
        <f>(SUMIFS('Cost Breakdowns'!$D$3:$D$12,'Cost Breakdowns'!$A$3:$A$12,'SoBCaICbIC-urbanresidential'!$A3,'Cost Breakdowns'!$F$3:$F$12,"ISIC 01T03"))*'Factors applied'!$E$117</f>
        <v/>
      </c>
      <c r="E3">
        <f>(SUMIFS('Cost Breakdowns'!$D$3:$D$12,'Cost Breakdowns'!$A$3:$A$12,'SoBCaICbIC-urbanresidential'!$A3,'Cost Breakdowns'!$F$3:$F$12,"ISIC 05"))</f>
        <v/>
      </c>
      <c r="F3">
        <f>(SUMIFS('Cost Breakdowns'!$D$3:$D$12,'Cost Breakdowns'!$A$3:$A$12,'SoBCaICbIC-urbanresidential'!$A3,'Cost Breakdowns'!$F$3:$F$12,"ISIC 06"))</f>
        <v/>
      </c>
      <c r="G3">
        <f>(SUMIFS('Cost Breakdowns'!$D$3:$D$12,'Cost Breakdowns'!$A$3:$A$12,'SoBCaICbIC-urbanresidential'!$A3,'Cost Breakdowns'!$F$3:$F$12,"ISIC 07T08"))*'Factors applied'!$E$118</f>
        <v/>
      </c>
      <c r="H3">
        <f>(SUMIFS('Cost Breakdowns'!$D$3:$D$12,'Cost Breakdowns'!$A$3:$A$12,'SoBCaICbIC-urbanresidential'!$A3,'Cost Breakdowns'!$F$3:$F$12,"ISIC 07T08"))*'Factors applied'!$E$119</f>
        <v/>
      </c>
      <c r="I3">
        <f>(SUMIFS('Cost Breakdowns'!$D$3:$D$12,'Cost Breakdowns'!$A$3:$A$12,'SoBCaICbIC-urbanresidential'!$A3,'Cost Breakdowns'!$F$3:$F$12,"ISIC 09"))</f>
        <v/>
      </c>
      <c r="J3">
        <f>(SUMIFS('Cost Breakdowns'!$D$3:$D$12,'Cost Breakdowns'!$A$3:$A$12,'SoBCaICbIC-urbanresidential'!$A3,'Cost Breakdowns'!$F$3:$F$12,"ISIC 10T12"))</f>
        <v/>
      </c>
      <c r="K3">
        <f>(SUMIFS('Cost Breakdowns'!$D$3:$D$12,'Cost Breakdowns'!$A$3:$A$12,'SoBCaICbIC-urbanresidential'!$A3,'Cost Breakdowns'!$F$3:$F$12,"ISIC 13T15"))</f>
        <v/>
      </c>
      <c r="L3">
        <f>(SUMIFS('Cost Breakdowns'!$D$3:$D$12,'Cost Breakdowns'!$A$3:$A$12,'SoBCaICbIC-urbanresidential'!$A3,'Cost Breakdowns'!$F$3:$F$12,"ISIC 16"))</f>
        <v/>
      </c>
      <c r="M3">
        <f>(SUMIFS('Cost Breakdowns'!$D$3:$D$12,'Cost Breakdowns'!$A$3:$A$12,'SoBCaICbIC-urbanresidential'!$A3,'Cost Breakdowns'!$F$3:$F$12,"ISIC 17T18"))</f>
        <v/>
      </c>
      <c r="N3">
        <f>(SUMIFS('Cost Breakdowns'!$D$3:$D$12,'Cost Breakdowns'!$A$3:$A$12,'SoBCaICbIC-urbanresidential'!$A3,'Cost Breakdowns'!$F$3:$F$12,"ISIC 19"))</f>
        <v/>
      </c>
      <c r="O3">
        <f>(SUMIFS('Cost Breakdowns'!$D$3:$D$12,'Cost Breakdowns'!$A$3:$A$12,'SoBCaICbIC-urbanresidential'!$A3,'Cost Breakdowns'!$F$3:$F$12,"ISIC 20"))</f>
        <v/>
      </c>
      <c r="P3">
        <f>(SUMIFS('Cost Breakdowns'!$D$3:$D$12,'Cost Breakdowns'!$A$3:$A$12,'SoBCaICbIC-urbanresidential'!$A3,'Cost Breakdowns'!$F$3:$F$12,"ISIC 21"))</f>
        <v/>
      </c>
      <c r="Q3">
        <f>(SUMIFS('Cost Breakdowns'!$D$3:$D$12,'Cost Breakdowns'!$A$3:$A$12,'SoBCaICbIC-urbanresidential'!$A3,'Cost Breakdowns'!$F$3:$F$12,"ISIC 22"))</f>
        <v/>
      </c>
      <c r="R3">
        <f>(SUMIFS('Cost Breakdowns'!$D$3:$D$12,'Cost Breakdowns'!$A$3:$A$12,'SoBCaICbIC-urbanresidential'!$A3,'Cost Breakdowns'!$F$3:$F$12,"ISIC 231"))</f>
        <v/>
      </c>
      <c r="S3">
        <f>(SUMIFS('Cost Breakdowns'!$D$3:$D$12,'Cost Breakdowns'!$A$3:$A$12,'SoBCaICbIC-urbanresidential'!$A3,'Cost Breakdowns'!$F$3:$F$12,"ISIC 239"))</f>
        <v/>
      </c>
      <c r="T3">
        <f>(SUMIFS('Cost Breakdowns'!$D$3:$D$12,'Cost Breakdowns'!$A$3:$A$12,'SoBCaICbIC-urbanresidential'!$A3,'Cost Breakdowns'!$F$3:$F$12,"ISIC 241"))</f>
        <v/>
      </c>
      <c r="U3">
        <f>(SUMIFS('Cost Breakdowns'!$D$3:$D$12,'Cost Breakdowns'!$A$3:$A$12,'SoBCaICbIC-urbanresidential'!$A3,'Cost Breakdowns'!$F$3:$F$12,"ISIC 242"))</f>
        <v/>
      </c>
      <c r="V3">
        <f>(SUMIFS('Cost Breakdowns'!$D$3:$D$12,'Cost Breakdowns'!$A$3:$A$12,'SoBCaICbIC-urbanresidential'!$A3,'Cost Breakdowns'!$F$3:$F$12,"ISIC 25"))</f>
        <v/>
      </c>
      <c r="W3">
        <f>(SUMIFS('Cost Breakdowns'!$D$3:$D$12,'Cost Breakdowns'!$A$3:$A$12,'SoBCaICbIC-urbanresidential'!$A3,'Cost Breakdowns'!$F$3:$F$12,"ISIC 26"))</f>
        <v/>
      </c>
      <c r="X3">
        <f>(SUMIFS('Cost Breakdowns'!$D$3:$D$12,'Cost Breakdowns'!$A$3:$A$12,'SoBCaICbIC-urbanresidential'!$A3,'Cost Breakdowns'!$F$3:$F$12,"ISIC 27"))</f>
        <v/>
      </c>
      <c r="Y3">
        <f>(SUMIFS('Cost Breakdowns'!$D$3:$D$12,'Cost Breakdowns'!$A$3:$A$12,'SoBCaICbIC-urbanresidential'!$A3,'Cost Breakdowns'!$F$3:$F$12,"ISIC 28"))</f>
        <v/>
      </c>
      <c r="Z3">
        <f>(SUMIFS('Cost Breakdowns'!$D$3:$D$12,'Cost Breakdowns'!$A$3:$A$12,'SoBCaICbIC-urbanresidential'!$A3,'Cost Breakdowns'!$F$3:$F$12,"ISIC 29"))</f>
        <v/>
      </c>
      <c r="AA3">
        <f>(SUMIFS('Cost Breakdowns'!$D$3:$D$12,'Cost Breakdowns'!$A$3:$A$12,'SoBCaICbIC-urbanresidential'!$A3,'Cost Breakdowns'!$F$3:$F$12,"ISIC 30"))*'Factors applied'!$E$120</f>
        <v/>
      </c>
      <c r="AB3">
        <f>(SUMIFS('Cost Breakdowns'!$D$3:$D$12,'Cost Breakdowns'!$A$3:$A$12,'SoBCaICbIC-urbanresidential'!$A3,'Cost Breakdowns'!$F$3:$F$12,"ISIC 30"))*'Factors applied'!$E$121</f>
        <v/>
      </c>
      <c r="AC3">
        <f>(SUMIFS('Cost Breakdowns'!$D$3:$D$12,'Cost Breakdowns'!$A$3:$A$12,'SoBCaICbIC-urbanresidential'!$A3,'Cost Breakdowns'!$F$3:$F$12,"ISIC 31T33"))</f>
        <v/>
      </c>
      <c r="AD3">
        <f>(SUMIFS('Cost Breakdowns'!$D$3:$D$12,'Cost Breakdowns'!$A$3:$A$12,'SoBCaICbIC-urbanresidential'!$A3,'Cost Breakdowns'!$F$3:$F$12,"ISIC 351"))</f>
        <v/>
      </c>
      <c r="AE3">
        <f>(SUMIFS('Cost Breakdowns'!$D$3:$D$12,'Cost Breakdowns'!$A$3:$A$12,'SoBCaICbIC-urbanresidential'!$A3,'Cost Breakdowns'!$F$3:$F$12,"ISIC 352T353"))</f>
        <v/>
      </c>
      <c r="AF3">
        <f>(SUMIFS('Cost Breakdowns'!$D$3:$D$12,'Cost Breakdowns'!$A$3:$A$12,'SoBCaICbIC-urbanresidential'!$A3,'Cost Breakdowns'!$F$3:$F$12,"ISIC 36T39"))</f>
        <v/>
      </c>
      <c r="AG3">
        <f>(SUMIFS('Cost Breakdowns'!$D$3:$D$12,'Cost Breakdowns'!$A$3:$A$12,'SoBCaICbIC-urbanresidential'!$A3,'Cost Breakdowns'!$F$3:$F$12,"ISIC 41T43"))</f>
        <v/>
      </c>
      <c r="AH3">
        <f>(SUMIFS('Cost Breakdowns'!$D$3:$D$12,'Cost Breakdowns'!$A$3:$A$12,'SoBCaICbIC-urbanresidential'!$A3,'Cost Breakdowns'!$F$3:$F$12,"ISIC 45T47"))</f>
        <v/>
      </c>
      <c r="AI3">
        <f>(SUMIFS('Cost Breakdowns'!$D$3:$D$12,'Cost Breakdowns'!$A$3:$A$12,'SoBCaICbIC-urbanresidential'!$A3,'Cost Breakdowns'!$F$3:$F$12,"ISIC 49T53"))*'Factors applied'!$E$122</f>
        <v/>
      </c>
      <c r="AJ3">
        <f>(SUMIFS('Cost Breakdowns'!$D$3:$D$12,'Cost Breakdowns'!$A$3:$A$12,'SoBCaICbIC-urbanresidential'!$A3,'Cost Breakdowns'!$F$3:$F$12,"ISIC 49T53"))*'Factors applied'!$E$123</f>
        <v/>
      </c>
      <c r="AK3">
        <f>(SUMIFS('Cost Breakdowns'!$D$3:$D$12,'Cost Breakdowns'!$A$3:$A$12,'SoBCaICbIC-urbanresidential'!$A3,'Cost Breakdowns'!$F$3:$F$12,"ISIC 49T53"))*'Factors applied'!$E$124</f>
        <v/>
      </c>
      <c r="AL3">
        <f>(SUMIFS('Cost Breakdowns'!$D$3:$D$12,'Cost Breakdowns'!$A$3:$A$12,'SoBCaICbIC-urbanresidential'!$A3,'Cost Breakdowns'!$F$3:$F$12,"ISIC 49T53"))*'Factors applied'!$E$125</f>
        <v/>
      </c>
      <c r="AM3">
        <f>(SUMIFS('Cost Breakdowns'!$D$3:$D$12,'Cost Breakdowns'!$A$3:$A$12,'SoBCaICbIC-urbanresidential'!$A3,'Cost Breakdowns'!$F$3:$F$12,"ISIC 49T53"))*'Factors applied'!$E$126</f>
        <v/>
      </c>
      <c r="AN3">
        <f>(SUMIFS('Cost Breakdowns'!$D$3:$D$12,'Cost Breakdowns'!$A$3:$A$12,'SoBCaICbIC-urbanresidential'!$A3,'Cost Breakdowns'!$F$3:$F$12,"ISIC 55T56"))</f>
        <v/>
      </c>
      <c r="AO3">
        <f>(SUMIFS('Cost Breakdowns'!$D$3:$D$12,'Cost Breakdowns'!$A$3:$A$12,'SoBCaICbIC-urbanresidential'!$A3,'Cost Breakdowns'!$F$3:$F$12,"ISIC 58T60"))</f>
        <v/>
      </c>
      <c r="AP3">
        <f>(SUMIFS('Cost Breakdowns'!$D$3:$D$12,'Cost Breakdowns'!$A$3:$A$12,'SoBCaICbIC-urbanresidential'!$A3,'Cost Breakdowns'!$F$3:$F$12,"ISIC 61"))</f>
        <v/>
      </c>
      <c r="AQ3">
        <f>(SUMIFS('Cost Breakdowns'!$D$3:$D$12,'Cost Breakdowns'!$A$3:$A$12,'SoBCaICbIC-urbanresidential'!$A3,'Cost Breakdowns'!$F$3:$F$12,"ISIC 62T63"))</f>
        <v/>
      </c>
      <c r="AR3">
        <f>(SUMIFS('Cost Breakdowns'!$D$3:$D$12,'Cost Breakdowns'!$A$3:$A$12,'SoBCaICbIC-urbanresidential'!$A3,'Cost Breakdowns'!$F$3:$F$12,"ISIC 64T66"))</f>
        <v/>
      </c>
      <c r="AS3">
        <f>(SUMIFS('Cost Breakdowns'!$D$3:$D$12,'Cost Breakdowns'!$A$3:$A$12,'SoBCaICbIC-urbanresidential'!$A3,'Cost Breakdowns'!$F$3:$F$12,"ISIC 68"))</f>
        <v/>
      </c>
      <c r="AT3">
        <f>(SUMIFS('Cost Breakdowns'!$D$3:$D$12,'Cost Breakdowns'!$A$3:$A$12,'SoBCaICbIC-urbanresidential'!$A3,'Cost Breakdowns'!$F$3:$F$12,"ISIC 69T82"))*'Factors applied'!$E$127</f>
        <v/>
      </c>
      <c r="AU3">
        <f>(SUMIFS('Cost Breakdowns'!$D$3:$D$12,'Cost Breakdowns'!$A$3:$A$12,'SoBCaICbIC-urbanresidential'!$A3,'Cost Breakdowns'!$F$3:$F$12,"ISIC 69T82"))*'Factors applied'!$E$128</f>
        <v/>
      </c>
      <c r="AV3">
        <f>(SUMIFS('Cost Breakdowns'!$D$3:$D$12,'Cost Breakdowns'!$A$3:$A$12,'SoBCaICbIC-urbanresidential'!$A3,'Cost Breakdowns'!$F$3:$F$12,"ISIC 84"))</f>
        <v/>
      </c>
      <c r="AW3">
        <f>(SUMIFS('Cost Breakdowns'!$D$3:$D$12,'Cost Breakdowns'!$A$3:$A$12,'SoBCaICbIC-urbanresidential'!$A3,'Cost Breakdowns'!$F$3:$F$12,"ISIC 85"))</f>
        <v/>
      </c>
      <c r="AX3">
        <f>(SUMIFS('Cost Breakdowns'!$D$3:$D$12,'Cost Breakdowns'!$A$3:$A$12,'SoBCaICbIC-urbanresidential'!$A3,'Cost Breakdowns'!$F$3:$F$12,"ISIC 86T88"))</f>
        <v/>
      </c>
      <c r="AY3">
        <f>(SUMIFS('Cost Breakdowns'!$D$3:$D$12,'Cost Breakdowns'!$A$3:$A$12,'SoBCaICbIC-urbanresidential'!$A3,'Cost Breakdowns'!$F$3:$F$12,"ISIC 90T96"))*'Factors applied'!$E$129</f>
        <v/>
      </c>
      <c r="AZ3">
        <f>(SUMIFS('Cost Breakdowns'!$D$3:$D$12,'Cost Breakdowns'!$A$3:$A$12,'SoBCaICbIC-urbanresidential'!$A3,'Cost Breakdowns'!$F$3:$F$12,"ISIC 90T96"))*'Factors applied'!$E$130</f>
        <v/>
      </c>
      <c r="BA3">
        <f>(SUMIFS('Cost Breakdowns'!$D$3:$D$12,'Cost Breakdowns'!$A$3:$A$12,'SoBCaICbIC-urbanresidential'!$A3,'Cost Breakdowns'!$F$3:$F$12,"ISIC 97T98"))</f>
        <v/>
      </c>
    </row>
    <row r="4">
      <c r="A4" t="inlineStr">
        <is>
          <t>Envelope</t>
        </is>
      </c>
      <c r="B4">
        <f>(SUMIFS('Cost Breakdowns'!$D$3:$D$12,'Cost Breakdowns'!$A$3:$A$12,'SoBCaICbIC-urbanresidential'!$A4,'Cost Breakdowns'!$F$3:$F$12,"ISIC 01T03"))*'Factors applied'!$E$131</f>
        <v/>
      </c>
      <c r="C4">
        <f>(SUMIFS('Cost Breakdowns'!$D$3:$D$12,'Cost Breakdowns'!$A$3:$A$12,'SoBCaICbIC-urbanresidential'!$A4,'Cost Breakdowns'!$F$3:$F$12,"ISIC 01T03"))*'Factors applied'!$E$132</f>
        <v/>
      </c>
      <c r="D4">
        <f>(SUMIFS('Cost Breakdowns'!$D$3:$D$12,'Cost Breakdowns'!$A$3:$A$12,'SoBCaICbIC-urbanresidential'!$A4,'Cost Breakdowns'!$F$3:$F$12,"ISIC 01T03"))*'Factors applied'!$E$133</f>
        <v/>
      </c>
      <c r="E4">
        <f>(SUMIFS('Cost Breakdowns'!$D$3:$D$12,'Cost Breakdowns'!$A$3:$A$12,'SoBCaICbIC-urbanresidential'!$A4,'Cost Breakdowns'!$F$3:$F$12,"ISIC 05"))</f>
        <v/>
      </c>
      <c r="F4">
        <f>(SUMIFS('Cost Breakdowns'!$D$3:$D$12,'Cost Breakdowns'!$A$3:$A$12,'SoBCaICbIC-urbanresidential'!$A4,'Cost Breakdowns'!$F$3:$F$12,"ISIC 06"))</f>
        <v/>
      </c>
      <c r="G4">
        <f>(SUMIFS('Cost Breakdowns'!$D$3:$D$12,'Cost Breakdowns'!$A$3:$A$12,'SoBCaICbIC-urbanresidential'!$A4,'Cost Breakdowns'!$F$3:$F$12,"ISIC 07T08"))*'Factors applied'!$E$134</f>
        <v/>
      </c>
      <c r="H4">
        <f>(SUMIFS('Cost Breakdowns'!$D$3:$D$12,'Cost Breakdowns'!$A$3:$A$12,'SoBCaICbIC-urbanresidential'!$A4,'Cost Breakdowns'!$F$3:$F$12,"ISIC 07T08"))*'Factors applied'!$E$135</f>
        <v/>
      </c>
      <c r="I4">
        <f>(SUMIFS('Cost Breakdowns'!$D$3:$D$12,'Cost Breakdowns'!$A$3:$A$12,'SoBCaICbIC-urbanresidential'!$A4,'Cost Breakdowns'!$F$3:$F$12,"ISIC 09"))</f>
        <v/>
      </c>
      <c r="J4">
        <f>(SUMIFS('Cost Breakdowns'!$D$3:$D$12,'Cost Breakdowns'!$A$3:$A$12,'SoBCaICbIC-urbanresidential'!$A4,'Cost Breakdowns'!$F$3:$F$12,"ISIC 10T12"))</f>
        <v/>
      </c>
      <c r="K4">
        <f>(SUMIFS('Cost Breakdowns'!$D$3:$D$12,'Cost Breakdowns'!$A$3:$A$12,'SoBCaICbIC-urbanresidential'!$A4,'Cost Breakdowns'!$F$3:$F$12,"ISIC 13T15"))</f>
        <v/>
      </c>
      <c r="L4">
        <f>(SUMIFS('Cost Breakdowns'!$D$3:$D$12,'Cost Breakdowns'!$A$3:$A$12,'SoBCaICbIC-urbanresidential'!$A4,'Cost Breakdowns'!$F$3:$F$12,"ISIC 16"))</f>
        <v/>
      </c>
      <c r="M4">
        <f>(SUMIFS('Cost Breakdowns'!$D$3:$D$12,'Cost Breakdowns'!$A$3:$A$12,'SoBCaICbIC-urbanresidential'!$A4,'Cost Breakdowns'!$F$3:$F$12,"ISIC 17T18"))</f>
        <v/>
      </c>
      <c r="N4">
        <f>(SUMIFS('Cost Breakdowns'!$D$3:$D$12,'Cost Breakdowns'!$A$3:$A$12,'SoBCaICbIC-urbanresidential'!$A4,'Cost Breakdowns'!$F$3:$F$12,"ISIC 19"))</f>
        <v/>
      </c>
      <c r="O4">
        <f>(SUMIFS('Cost Breakdowns'!$D$3:$D$12,'Cost Breakdowns'!$A$3:$A$12,'SoBCaICbIC-urbanresidential'!$A4,'Cost Breakdowns'!$F$3:$F$12,"ISIC 20"))</f>
        <v/>
      </c>
      <c r="P4">
        <f>(SUMIFS('Cost Breakdowns'!$D$3:$D$12,'Cost Breakdowns'!$A$3:$A$12,'SoBCaICbIC-urbanresidential'!$A4,'Cost Breakdowns'!$F$3:$F$12,"ISIC 21"))</f>
        <v/>
      </c>
      <c r="Q4">
        <f>(SUMIFS('Cost Breakdowns'!$D$3:$D$12,'Cost Breakdowns'!$A$3:$A$12,'SoBCaICbIC-urbanresidential'!$A4,'Cost Breakdowns'!$F$3:$F$12,"ISIC 22"))</f>
        <v/>
      </c>
      <c r="R4">
        <f>(SUMIFS('Cost Breakdowns'!$D$3:$D$12,'Cost Breakdowns'!$A$3:$A$12,'SoBCaICbIC-urbanresidential'!$A4,'Cost Breakdowns'!$F$3:$F$12,"ISIC 231"))</f>
        <v/>
      </c>
      <c r="S4">
        <f>(SUMIFS('Cost Breakdowns'!$D$3:$D$12,'Cost Breakdowns'!$A$3:$A$12,'SoBCaICbIC-urbanresidential'!$A4,'Cost Breakdowns'!$F$3:$F$12,"ISIC 239"))</f>
        <v/>
      </c>
      <c r="T4">
        <f>(SUMIFS('Cost Breakdowns'!$D$3:$D$12,'Cost Breakdowns'!$A$3:$A$12,'SoBCaICbIC-urbanresidential'!$A4,'Cost Breakdowns'!$F$3:$F$12,"ISIC 241"))</f>
        <v/>
      </c>
      <c r="U4">
        <f>(SUMIFS('Cost Breakdowns'!$D$3:$D$12,'Cost Breakdowns'!$A$3:$A$12,'SoBCaICbIC-urbanresidential'!$A4,'Cost Breakdowns'!$F$3:$F$12,"ISIC 242"))</f>
        <v/>
      </c>
      <c r="V4">
        <f>(SUMIFS('Cost Breakdowns'!$D$3:$D$12,'Cost Breakdowns'!$A$3:$A$12,'SoBCaICbIC-urbanresidential'!$A4,'Cost Breakdowns'!$F$3:$F$12,"ISIC 25"))</f>
        <v/>
      </c>
      <c r="W4">
        <f>(SUMIFS('Cost Breakdowns'!$D$3:$D$12,'Cost Breakdowns'!$A$3:$A$12,'SoBCaICbIC-urbanresidential'!$A4,'Cost Breakdowns'!$F$3:$F$12,"ISIC 26"))</f>
        <v/>
      </c>
      <c r="X4">
        <f>(SUMIFS('Cost Breakdowns'!$D$3:$D$12,'Cost Breakdowns'!$A$3:$A$12,'SoBCaICbIC-urbanresidential'!$A4,'Cost Breakdowns'!$F$3:$F$12,"ISIC 27"))</f>
        <v/>
      </c>
      <c r="Y4">
        <f>(SUMIFS('Cost Breakdowns'!$D$3:$D$12,'Cost Breakdowns'!$A$3:$A$12,'SoBCaICbIC-urbanresidential'!$A4,'Cost Breakdowns'!$F$3:$F$12,"ISIC 28"))</f>
        <v/>
      </c>
      <c r="Z4">
        <f>(SUMIFS('Cost Breakdowns'!$D$3:$D$12,'Cost Breakdowns'!$A$3:$A$12,'SoBCaICbIC-urbanresidential'!$A4,'Cost Breakdowns'!$F$3:$F$12,"ISIC 29"))</f>
        <v/>
      </c>
      <c r="AA4">
        <f>(SUMIFS('Cost Breakdowns'!$D$3:$D$12,'Cost Breakdowns'!$A$3:$A$12,'SoBCaICbIC-urbanresidential'!$A4,'Cost Breakdowns'!$F$3:$F$12,"ISIC 30"))*'Factors applied'!$E$136</f>
        <v/>
      </c>
      <c r="AB4">
        <f>(SUMIFS('Cost Breakdowns'!$D$3:$D$12,'Cost Breakdowns'!$A$3:$A$12,'SoBCaICbIC-urbanresidential'!$A4,'Cost Breakdowns'!$F$3:$F$12,"ISIC 30"))*'Factors applied'!$E$137</f>
        <v/>
      </c>
      <c r="AC4">
        <f>(SUMIFS('Cost Breakdowns'!$D$3:$D$12,'Cost Breakdowns'!$A$3:$A$12,'SoBCaICbIC-urbanresidential'!$A4,'Cost Breakdowns'!$F$3:$F$12,"ISIC 31T33"))</f>
        <v/>
      </c>
      <c r="AD4">
        <f>(SUMIFS('Cost Breakdowns'!$D$3:$D$12,'Cost Breakdowns'!$A$3:$A$12,'SoBCaICbIC-urbanresidential'!$A4,'Cost Breakdowns'!$F$3:$F$12,"ISIC 351"))</f>
        <v/>
      </c>
      <c r="AE4">
        <f>(SUMIFS('Cost Breakdowns'!$D$3:$D$12,'Cost Breakdowns'!$A$3:$A$12,'SoBCaICbIC-urbanresidential'!$A4,'Cost Breakdowns'!$F$3:$F$12,"ISIC 352T353"))</f>
        <v/>
      </c>
      <c r="AF4">
        <f>(SUMIFS('Cost Breakdowns'!$D$3:$D$12,'Cost Breakdowns'!$A$3:$A$12,'SoBCaICbIC-urbanresidential'!$A4,'Cost Breakdowns'!$F$3:$F$12,"ISIC 36T39"))</f>
        <v/>
      </c>
      <c r="AG4">
        <f>(SUMIFS('Cost Breakdowns'!$D$3:$D$12,'Cost Breakdowns'!$A$3:$A$12,'SoBCaICbIC-urbanresidential'!$A4,'Cost Breakdowns'!$F$3:$F$12,"ISIC 41T43"))</f>
        <v/>
      </c>
      <c r="AH4">
        <f>(SUMIFS('Cost Breakdowns'!$D$3:$D$12,'Cost Breakdowns'!$A$3:$A$12,'SoBCaICbIC-urbanresidential'!$A4,'Cost Breakdowns'!$F$3:$F$12,"ISIC 45T47"))</f>
        <v/>
      </c>
      <c r="AI4">
        <f>(SUMIFS('Cost Breakdowns'!$D$3:$D$12,'Cost Breakdowns'!$A$3:$A$12,'SoBCaICbIC-urbanresidential'!$A4,'Cost Breakdowns'!$F$3:$F$12,"ISIC 49T53"))*'Factors applied'!$E$138</f>
        <v/>
      </c>
      <c r="AJ4">
        <f>(SUMIFS('Cost Breakdowns'!$D$3:$D$12,'Cost Breakdowns'!$A$3:$A$12,'SoBCaICbIC-urbanresidential'!$A4,'Cost Breakdowns'!$F$3:$F$12,"ISIC 49T53"))*'Factors applied'!$E$139</f>
        <v/>
      </c>
      <c r="AK4">
        <f>(SUMIFS('Cost Breakdowns'!$D$3:$D$12,'Cost Breakdowns'!$A$3:$A$12,'SoBCaICbIC-urbanresidential'!$A4,'Cost Breakdowns'!$F$3:$F$12,"ISIC 49T53"))*'Factors applied'!$E$140</f>
        <v/>
      </c>
      <c r="AL4">
        <f>(SUMIFS('Cost Breakdowns'!$D$3:$D$12,'Cost Breakdowns'!$A$3:$A$12,'SoBCaICbIC-urbanresidential'!$A4,'Cost Breakdowns'!$F$3:$F$12,"ISIC 49T53"))*'Factors applied'!$E$141</f>
        <v/>
      </c>
      <c r="AM4">
        <f>(SUMIFS('Cost Breakdowns'!$D$3:$D$12,'Cost Breakdowns'!$A$3:$A$12,'SoBCaICbIC-urbanresidential'!$A4,'Cost Breakdowns'!$F$3:$F$12,"ISIC 49T53"))*'Factors applied'!$E$142</f>
        <v/>
      </c>
      <c r="AN4">
        <f>(SUMIFS('Cost Breakdowns'!$D$3:$D$12,'Cost Breakdowns'!$A$3:$A$12,'SoBCaICbIC-urbanresidential'!$A4,'Cost Breakdowns'!$F$3:$F$12,"ISIC 55T56"))</f>
        <v/>
      </c>
      <c r="AO4">
        <f>(SUMIFS('Cost Breakdowns'!$D$3:$D$12,'Cost Breakdowns'!$A$3:$A$12,'SoBCaICbIC-urbanresidential'!$A4,'Cost Breakdowns'!$F$3:$F$12,"ISIC 58T60"))</f>
        <v/>
      </c>
      <c r="AP4">
        <f>(SUMIFS('Cost Breakdowns'!$D$3:$D$12,'Cost Breakdowns'!$A$3:$A$12,'SoBCaICbIC-urbanresidential'!$A4,'Cost Breakdowns'!$F$3:$F$12,"ISIC 61"))</f>
        <v/>
      </c>
      <c r="AQ4">
        <f>(SUMIFS('Cost Breakdowns'!$D$3:$D$12,'Cost Breakdowns'!$A$3:$A$12,'SoBCaICbIC-urbanresidential'!$A4,'Cost Breakdowns'!$F$3:$F$12,"ISIC 62T63"))</f>
        <v/>
      </c>
      <c r="AR4">
        <f>(SUMIFS('Cost Breakdowns'!$D$3:$D$12,'Cost Breakdowns'!$A$3:$A$12,'SoBCaICbIC-urbanresidential'!$A4,'Cost Breakdowns'!$F$3:$F$12,"ISIC 64T66"))</f>
        <v/>
      </c>
      <c r="AS4">
        <f>(SUMIFS('Cost Breakdowns'!$D$3:$D$12,'Cost Breakdowns'!$A$3:$A$12,'SoBCaICbIC-urbanresidential'!$A4,'Cost Breakdowns'!$F$3:$F$12,"ISIC 68"))</f>
        <v/>
      </c>
      <c r="AT4">
        <f>(SUMIFS('Cost Breakdowns'!$D$3:$D$12,'Cost Breakdowns'!$A$3:$A$12,'SoBCaICbIC-urbanresidential'!$A4,'Cost Breakdowns'!$F$3:$F$12,"ISIC 69T82"))*'Factors applied'!$E$143</f>
        <v/>
      </c>
      <c r="AU4">
        <f>(SUMIFS('Cost Breakdowns'!$D$3:$D$12,'Cost Breakdowns'!$A$3:$A$12,'SoBCaICbIC-urbanresidential'!$A4,'Cost Breakdowns'!$F$3:$F$12,"ISIC 69T82"))*'Factors applied'!$E$144</f>
        <v/>
      </c>
      <c r="AV4">
        <f>(SUMIFS('Cost Breakdowns'!$D$3:$D$12,'Cost Breakdowns'!$A$3:$A$12,'SoBCaICbIC-urbanresidential'!$A4,'Cost Breakdowns'!$F$3:$F$12,"ISIC 84"))</f>
        <v/>
      </c>
      <c r="AW4">
        <f>(SUMIFS('Cost Breakdowns'!$D$3:$D$12,'Cost Breakdowns'!$A$3:$A$12,'SoBCaICbIC-urbanresidential'!$A4,'Cost Breakdowns'!$F$3:$F$12,"ISIC 85"))</f>
        <v/>
      </c>
      <c r="AX4">
        <f>(SUMIFS('Cost Breakdowns'!$D$3:$D$12,'Cost Breakdowns'!$A$3:$A$12,'SoBCaICbIC-urbanresidential'!$A4,'Cost Breakdowns'!$F$3:$F$12,"ISIC 86T88"))</f>
        <v/>
      </c>
      <c r="AY4">
        <f>(SUMIFS('Cost Breakdowns'!$D$3:$D$12,'Cost Breakdowns'!$A$3:$A$12,'SoBCaICbIC-urbanresidential'!$A4,'Cost Breakdowns'!$F$3:$F$12,"ISIC 90T96"))*'Factors applied'!$E$145</f>
        <v/>
      </c>
      <c r="AZ4">
        <f>(SUMIFS('Cost Breakdowns'!$D$3:$D$12,'Cost Breakdowns'!$A$3:$A$12,'SoBCaICbIC-urbanresidential'!$A4,'Cost Breakdowns'!$F$3:$F$12,"ISIC 90T96"))*'Factors applied'!$E$146</f>
        <v/>
      </c>
      <c r="BA4">
        <f>(SUMIFS('Cost Breakdowns'!$D$3:$D$12,'Cost Breakdowns'!$A$3:$A$12,'SoBCaICbIC-urbanresidential'!$A4,'Cost Breakdowns'!$F$3:$F$12,"ISIC 97T98"))</f>
        <v/>
      </c>
    </row>
    <row r="5">
      <c r="A5" t="inlineStr">
        <is>
          <t>Lighting</t>
        </is>
      </c>
      <c r="B5">
        <f>(SUMIFS('Cost Breakdowns'!$D$3:$D$12,'Cost Breakdowns'!$A$3:$A$12,'SoBCaICbIC-urbanresidential'!$A5,'Cost Breakdowns'!$F$3:$F$12,"ISIC 01T03"))*'Factors applied'!$E$163</f>
        <v/>
      </c>
      <c r="C5">
        <f>(SUMIFS('Cost Breakdowns'!$D$3:$D$12,'Cost Breakdowns'!$A$3:$A$12,'SoBCaICbIC-urbanresidential'!$A5,'Cost Breakdowns'!$F$3:$F$12,"ISIC 01T03"))*'Factors applied'!$E$164</f>
        <v/>
      </c>
      <c r="D5">
        <f>(SUMIFS('Cost Breakdowns'!$D$3:$D$12,'Cost Breakdowns'!$A$3:$A$12,'SoBCaICbIC-urbanresidential'!$A5,'Cost Breakdowns'!$F$3:$F$12,"ISIC 01T03"))*'Factors applied'!$E$165</f>
        <v/>
      </c>
      <c r="E5">
        <f>(SUMIFS('Cost Breakdowns'!$D$3:$D$12,'Cost Breakdowns'!$A$3:$A$12,'SoBCaICbIC-urbanresidential'!$A5,'Cost Breakdowns'!$F$3:$F$12,"ISIC 05"))</f>
        <v/>
      </c>
      <c r="F5">
        <f>(SUMIFS('Cost Breakdowns'!$D$3:$D$12,'Cost Breakdowns'!$A$3:$A$12,'SoBCaICbIC-urbanresidential'!$A5,'Cost Breakdowns'!$F$3:$F$12,"ISIC 06"))</f>
        <v/>
      </c>
      <c r="G5">
        <f>(SUMIFS('Cost Breakdowns'!$D$3:$D$12,'Cost Breakdowns'!$A$3:$A$12,'SoBCaICbIC-urbanresidential'!$A5,'Cost Breakdowns'!$F$3:$F$12,"ISIC 07T08"))*'Factors applied'!$E$166</f>
        <v/>
      </c>
      <c r="H5">
        <f>(SUMIFS('Cost Breakdowns'!$D$3:$D$12,'Cost Breakdowns'!$A$3:$A$12,'SoBCaICbIC-urbanresidential'!$A5,'Cost Breakdowns'!$F$3:$F$12,"ISIC 07T08"))*'Factors applied'!$E$167</f>
        <v/>
      </c>
      <c r="I5">
        <f>(SUMIFS('Cost Breakdowns'!$D$3:$D$12,'Cost Breakdowns'!$A$3:$A$12,'SoBCaICbIC-urbanresidential'!$A5,'Cost Breakdowns'!$F$3:$F$12,"ISIC 09"))</f>
        <v/>
      </c>
      <c r="J5">
        <f>(SUMIFS('Cost Breakdowns'!$D$3:$D$12,'Cost Breakdowns'!$A$3:$A$12,'SoBCaICbIC-urbanresidential'!$A5,'Cost Breakdowns'!$F$3:$F$12,"ISIC 10T12"))</f>
        <v/>
      </c>
      <c r="K5">
        <f>(SUMIFS('Cost Breakdowns'!$D$3:$D$12,'Cost Breakdowns'!$A$3:$A$12,'SoBCaICbIC-urbanresidential'!$A5,'Cost Breakdowns'!$F$3:$F$12,"ISIC 13T15"))</f>
        <v/>
      </c>
      <c r="L5">
        <f>(SUMIFS('Cost Breakdowns'!$D$3:$D$12,'Cost Breakdowns'!$A$3:$A$12,'SoBCaICbIC-urbanresidential'!$A5,'Cost Breakdowns'!$F$3:$F$12,"ISIC 16"))</f>
        <v/>
      </c>
      <c r="M5">
        <f>(SUMIFS('Cost Breakdowns'!$D$3:$D$12,'Cost Breakdowns'!$A$3:$A$12,'SoBCaICbIC-urbanresidential'!$A5,'Cost Breakdowns'!$F$3:$F$12,"ISIC 17T18"))</f>
        <v/>
      </c>
      <c r="N5">
        <f>(SUMIFS('Cost Breakdowns'!$D$3:$D$12,'Cost Breakdowns'!$A$3:$A$12,'SoBCaICbIC-urbanresidential'!$A5,'Cost Breakdowns'!$F$3:$F$12,"ISIC 19"))</f>
        <v/>
      </c>
      <c r="O5">
        <f>(SUMIFS('Cost Breakdowns'!$D$3:$D$12,'Cost Breakdowns'!$A$3:$A$12,'SoBCaICbIC-urbanresidential'!$A5,'Cost Breakdowns'!$F$3:$F$12,"ISIC 20"))</f>
        <v/>
      </c>
      <c r="P5">
        <f>(SUMIFS('Cost Breakdowns'!$D$3:$D$12,'Cost Breakdowns'!$A$3:$A$12,'SoBCaICbIC-urbanresidential'!$A5,'Cost Breakdowns'!$F$3:$F$12,"ISIC 21"))</f>
        <v/>
      </c>
      <c r="Q5">
        <f>(SUMIFS('Cost Breakdowns'!$D$3:$D$12,'Cost Breakdowns'!$A$3:$A$12,'SoBCaICbIC-urbanresidential'!$A5,'Cost Breakdowns'!$F$3:$F$12,"ISIC 22"))</f>
        <v/>
      </c>
      <c r="R5">
        <f>(SUMIFS('Cost Breakdowns'!$D$3:$D$12,'Cost Breakdowns'!$A$3:$A$12,'SoBCaICbIC-urbanresidential'!$A5,'Cost Breakdowns'!$F$3:$F$12,"ISIC 231"))</f>
        <v/>
      </c>
      <c r="S5">
        <f>(SUMIFS('Cost Breakdowns'!$D$3:$D$12,'Cost Breakdowns'!$A$3:$A$12,'SoBCaICbIC-urbanresidential'!$A5,'Cost Breakdowns'!$F$3:$F$12,"ISIC 239"))</f>
        <v/>
      </c>
      <c r="T5">
        <f>(SUMIFS('Cost Breakdowns'!$D$3:$D$12,'Cost Breakdowns'!$A$3:$A$12,'SoBCaICbIC-urbanresidential'!$A5,'Cost Breakdowns'!$F$3:$F$12,"ISIC 241"))</f>
        <v/>
      </c>
      <c r="U5">
        <f>(SUMIFS('Cost Breakdowns'!$D$3:$D$12,'Cost Breakdowns'!$A$3:$A$12,'SoBCaICbIC-urbanresidential'!$A5,'Cost Breakdowns'!$F$3:$F$12,"ISIC 242"))</f>
        <v/>
      </c>
      <c r="V5">
        <f>(SUMIFS('Cost Breakdowns'!$D$3:$D$12,'Cost Breakdowns'!$A$3:$A$12,'SoBCaICbIC-urbanresidential'!$A5,'Cost Breakdowns'!$F$3:$F$12,"ISIC 25"))</f>
        <v/>
      </c>
      <c r="W5">
        <f>(SUMIFS('Cost Breakdowns'!$D$3:$D$12,'Cost Breakdowns'!$A$3:$A$12,'SoBCaICbIC-urbanresidential'!$A5,'Cost Breakdowns'!$F$3:$F$12,"ISIC 26"))</f>
        <v/>
      </c>
      <c r="X5">
        <f>(SUMIFS('Cost Breakdowns'!$D$3:$D$12,'Cost Breakdowns'!$A$3:$A$12,'SoBCaICbIC-urbanresidential'!$A5,'Cost Breakdowns'!$F$3:$F$12,"ISIC 27"))</f>
        <v/>
      </c>
      <c r="Y5">
        <f>(SUMIFS('Cost Breakdowns'!$D$3:$D$12,'Cost Breakdowns'!$A$3:$A$12,'SoBCaICbIC-urbanresidential'!$A5,'Cost Breakdowns'!$F$3:$F$12,"ISIC 28"))</f>
        <v/>
      </c>
      <c r="Z5">
        <f>(SUMIFS('Cost Breakdowns'!$D$3:$D$12,'Cost Breakdowns'!$A$3:$A$12,'SoBCaICbIC-urbanresidential'!$A5,'Cost Breakdowns'!$F$3:$F$12,"ISIC 29"))</f>
        <v/>
      </c>
      <c r="AA5">
        <f>(SUMIFS('Cost Breakdowns'!$D$3:$D$12,'Cost Breakdowns'!$A$3:$A$12,'SoBCaICbIC-urbanresidential'!$A5,'Cost Breakdowns'!$F$3:$F$12,"ISIC 30"))*'Factors applied'!$E$168</f>
        <v/>
      </c>
      <c r="AB5">
        <f>(SUMIFS('Cost Breakdowns'!$D$3:$D$12,'Cost Breakdowns'!$A$3:$A$12,'SoBCaICbIC-urbanresidential'!$A5,'Cost Breakdowns'!$F$3:$F$12,"ISIC 30"))*'Factors applied'!$E$169</f>
        <v/>
      </c>
      <c r="AC5">
        <f>(SUMIFS('Cost Breakdowns'!$D$3:$D$12,'Cost Breakdowns'!$A$3:$A$12,'SoBCaICbIC-urbanresidential'!$A5,'Cost Breakdowns'!$F$3:$F$12,"ISIC 31T33"))</f>
        <v/>
      </c>
      <c r="AD5">
        <f>(SUMIFS('Cost Breakdowns'!$D$3:$D$12,'Cost Breakdowns'!$A$3:$A$12,'SoBCaICbIC-urbanresidential'!$A5,'Cost Breakdowns'!$F$3:$F$12,"ISIC 351"))</f>
        <v/>
      </c>
      <c r="AE5">
        <f>(SUMIFS('Cost Breakdowns'!$D$3:$D$12,'Cost Breakdowns'!$A$3:$A$12,'SoBCaICbIC-urbanresidential'!$A5,'Cost Breakdowns'!$F$3:$F$12,"ISIC 352T353"))</f>
        <v/>
      </c>
      <c r="AF5">
        <f>(SUMIFS('Cost Breakdowns'!$D$3:$D$12,'Cost Breakdowns'!$A$3:$A$12,'SoBCaICbIC-urbanresidential'!$A5,'Cost Breakdowns'!$F$3:$F$12,"ISIC 36T39"))</f>
        <v/>
      </c>
      <c r="AG5">
        <f>(SUMIFS('Cost Breakdowns'!$D$3:$D$12,'Cost Breakdowns'!$A$3:$A$12,'SoBCaICbIC-urbanresidential'!$A5,'Cost Breakdowns'!$F$3:$F$12,"ISIC 41T43"))</f>
        <v/>
      </c>
      <c r="AH5">
        <f>(SUMIFS('Cost Breakdowns'!$D$3:$D$12,'Cost Breakdowns'!$A$3:$A$12,'SoBCaICbIC-urbanresidential'!$A5,'Cost Breakdowns'!$F$3:$F$12,"ISIC 45T47"))</f>
        <v/>
      </c>
      <c r="AI5">
        <f>(SUMIFS('Cost Breakdowns'!$D$3:$D$12,'Cost Breakdowns'!$A$3:$A$12,'SoBCaICbIC-urbanresidential'!$A5,'Cost Breakdowns'!$F$3:$F$12,"ISIC 49T53"))*'Factors applied'!$E$170</f>
        <v/>
      </c>
      <c r="AJ5">
        <f>(SUMIFS('Cost Breakdowns'!$D$3:$D$12,'Cost Breakdowns'!$A$3:$A$12,'SoBCaICbIC-urbanresidential'!$A5,'Cost Breakdowns'!$F$3:$F$12,"ISIC 49T53"))*'Factors applied'!$E$171</f>
        <v/>
      </c>
      <c r="AK5">
        <f>(SUMIFS('Cost Breakdowns'!$D$3:$D$12,'Cost Breakdowns'!$A$3:$A$12,'SoBCaICbIC-urbanresidential'!$A5,'Cost Breakdowns'!$F$3:$F$12,"ISIC 49T53"))*'Factors applied'!$E$172</f>
        <v/>
      </c>
      <c r="AL5">
        <f>(SUMIFS('Cost Breakdowns'!$D$3:$D$12,'Cost Breakdowns'!$A$3:$A$12,'SoBCaICbIC-urbanresidential'!$A5,'Cost Breakdowns'!$F$3:$F$12,"ISIC 49T53"))*'Factors applied'!$E$173</f>
        <v/>
      </c>
      <c r="AM5">
        <f>(SUMIFS('Cost Breakdowns'!$D$3:$D$12,'Cost Breakdowns'!$A$3:$A$12,'SoBCaICbIC-urbanresidential'!$A5,'Cost Breakdowns'!$F$3:$F$12,"ISIC 49T53"))*'Factors applied'!$E$174</f>
        <v/>
      </c>
      <c r="AN5">
        <f>(SUMIFS('Cost Breakdowns'!$D$3:$D$12,'Cost Breakdowns'!$A$3:$A$12,'SoBCaICbIC-urbanresidential'!$A5,'Cost Breakdowns'!$F$3:$F$12,"ISIC 55T56"))</f>
        <v/>
      </c>
      <c r="AO5">
        <f>(SUMIFS('Cost Breakdowns'!$D$3:$D$12,'Cost Breakdowns'!$A$3:$A$12,'SoBCaICbIC-urbanresidential'!$A5,'Cost Breakdowns'!$F$3:$F$12,"ISIC 58T60"))</f>
        <v/>
      </c>
      <c r="AP5">
        <f>(SUMIFS('Cost Breakdowns'!$D$3:$D$12,'Cost Breakdowns'!$A$3:$A$12,'SoBCaICbIC-urbanresidential'!$A5,'Cost Breakdowns'!$F$3:$F$12,"ISIC 61"))</f>
        <v/>
      </c>
      <c r="AQ5">
        <f>(SUMIFS('Cost Breakdowns'!$D$3:$D$12,'Cost Breakdowns'!$A$3:$A$12,'SoBCaICbIC-urbanresidential'!$A5,'Cost Breakdowns'!$F$3:$F$12,"ISIC 62T63"))</f>
        <v/>
      </c>
      <c r="AR5">
        <f>(SUMIFS('Cost Breakdowns'!$D$3:$D$12,'Cost Breakdowns'!$A$3:$A$12,'SoBCaICbIC-urbanresidential'!$A5,'Cost Breakdowns'!$F$3:$F$12,"ISIC 64T66"))</f>
        <v/>
      </c>
      <c r="AS5">
        <f>(SUMIFS('Cost Breakdowns'!$D$3:$D$12,'Cost Breakdowns'!$A$3:$A$12,'SoBCaICbIC-urbanresidential'!$A5,'Cost Breakdowns'!$F$3:$F$12,"ISIC 68"))</f>
        <v/>
      </c>
      <c r="AT5">
        <f>(SUMIFS('Cost Breakdowns'!$D$3:$D$12,'Cost Breakdowns'!$A$3:$A$12,'SoBCaICbIC-urbanresidential'!$A5,'Cost Breakdowns'!$F$3:$F$12,"ISIC 69T82"))*'Factors applied'!$E$175</f>
        <v/>
      </c>
      <c r="AU5">
        <f>(SUMIFS('Cost Breakdowns'!$D$3:$D$12,'Cost Breakdowns'!$A$3:$A$12,'SoBCaICbIC-urbanresidential'!$A5,'Cost Breakdowns'!$F$3:$F$12,"ISIC 69T82"))*'Factors applied'!$E$176</f>
        <v/>
      </c>
      <c r="AV5">
        <f>(SUMIFS('Cost Breakdowns'!$D$3:$D$12,'Cost Breakdowns'!$A$3:$A$12,'SoBCaICbIC-urbanresidential'!$A5,'Cost Breakdowns'!$F$3:$F$12,"ISIC 84"))</f>
        <v/>
      </c>
      <c r="AW5">
        <f>(SUMIFS('Cost Breakdowns'!$D$3:$D$12,'Cost Breakdowns'!$A$3:$A$12,'SoBCaICbIC-urbanresidential'!$A5,'Cost Breakdowns'!$F$3:$F$12,"ISIC 85"))</f>
        <v/>
      </c>
      <c r="AX5">
        <f>(SUMIFS('Cost Breakdowns'!$D$3:$D$12,'Cost Breakdowns'!$A$3:$A$12,'SoBCaICbIC-urbanresidential'!$A5,'Cost Breakdowns'!$F$3:$F$12,"ISIC 86T88"))</f>
        <v/>
      </c>
      <c r="AY5">
        <f>(SUMIFS('Cost Breakdowns'!$D$3:$D$12,'Cost Breakdowns'!$A$3:$A$12,'SoBCaICbIC-urbanresidential'!$A5,'Cost Breakdowns'!$F$3:$F$12,"ISIC 90T96"))*'Factors applied'!$E$177</f>
        <v/>
      </c>
      <c r="AZ5">
        <f>(SUMIFS('Cost Breakdowns'!$D$3:$D$12,'Cost Breakdowns'!$A$3:$A$12,'SoBCaICbIC-urbanresidential'!$A5,'Cost Breakdowns'!$F$3:$F$12,"ISIC 90T96"))*'Factors applied'!$E$178</f>
        <v/>
      </c>
      <c r="BA5">
        <f>(SUMIFS('Cost Breakdowns'!$D$3:$D$12,'Cost Breakdowns'!$A$3:$A$12,'SoBCaICbIC-urbanresidential'!$A5,'Cost Breakdowns'!$F$3:$F$12,"ISIC 97T98"))</f>
        <v/>
      </c>
    </row>
    <row r="6">
      <c r="A6" t="inlineStr">
        <is>
          <t>Appliances</t>
        </is>
      </c>
      <c r="B6">
        <f>(SUMIFS('Cost Breakdowns'!$D$3:$D$12,'Cost Breakdowns'!$A$3:$A$12,'SoBCaICbIC-urbanresidential'!$A6,'Cost Breakdowns'!$F$3:$F$12,"ISIC 01T03"))*'Factors applied'!$E$99</f>
        <v/>
      </c>
      <c r="C6">
        <f>(SUMIFS('Cost Breakdowns'!$D$3:$D$12,'Cost Breakdowns'!$A$3:$A$12,'SoBCaICbIC-urbanresidential'!$A6,'Cost Breakdowns'!$F$3:$F$12,"ISIC 01T03"))*'Factors applied'!$E$100</f>
        <v/>
      </c>
      <c r="D6">
        <f>(SUMIFS('Cost Breakdowns'!$D$3:$D$12,'Cost Breakdowns'!$A$3:$A$12,'SoBCaICbIC-urbanresidential'!$A6,'Cost Breakdowns'!$F$3:$F$12,"ISIC 01T03"))*'Factors applied'!$E$101</f>
        <v/>
      </c>
      <c r="E6">
        <f>(SUMIFS('Cost Breakdowns'!$D$3:$D$12,'Cost Breakdowns'!$A$3:$A$12,'SoBCaICbIC-urbanresidential'!$A6,'Cost Breakdowns'!$F$3:$F$12,"ISIC 05"))</f>
        <v/>
      </c>
      <c r="F6">
        <f>(SUMIFS('Cost Breakdowns'!$D$3:$D$12,'Cost Breakdowns'!$A$3:$A$12,'SoBCaICbIC-urbanresidential'!$A6,'Cost Breakdowns'!$F$3:$F$12,"ISIC 06"))</f>
        <v/>
      </c>
      <c r="G6">
        <f>(SUMIFS('Cost Breakdowns'!$D$3:$D$12,'Cost Breakdowns'!$A$3:$A$12,'SoBCaICbIC-urbanresidential'!$A6,'Cost Breakdowns'!$F$3:$F$12,"ISIC 07T08"))*'Factors applied'!$E$102</f>
        <v/>
      </c>
      <c r="H6">
        <f>(SUMIFS('Cost Breakdowns'!$D$3:$D$12,'Cost Breakdowns'!$A$3:$A$12,'SoBCaICbIC-urbanresidential'!$A6,'Cost Breakdowns'!$F$3:$F$12,"ISIC 07T08"))*'Factors applied'!$E$103</f>
        <v/>
      </c>
      <c r="I6">
        <f>(SUMIFS('Cost Breakdowns'!$D$3:$D$12,'Cost Breakdowns'!$A$3:$A$12,'SoBCaICbIC-urbanresidential'!$A6,'Cost Breakdowns'!$F$3:$F$12,"ISIC 09"))</f>
        <v/>
      </c>
      <c r="J6">
        <f>(SUMIFS('Cost Breakdowns'!$D$3:$D$12,'Cost Breakdowns'!$A$3:$A$12,'SoBCaICbIC-urbanresidential'!$A6,'Cost Breakdowns'!$F$3:$F$12,"ISIC 10T12"))</f>
        <v/>
      </c>
      <c r="K6">
        <f>(SUMIFS('Cost Breakdowns'!$D$3:$D$12,'Cost Breakdowns'!$A$3:$A$12,'SoBCaICbIC-urbanresidential'!$A6,'Cost Breakdowns'!$F$3:$F$12,"ISIC 13T15"))</f>
        <v/>
      </c>
      <c r="L6">
        <f>(SUMIFS('Cost Breakdowns'!$D$3:$D$12,'Cost Breakdowns'!$A$3:$A$12,'SoBCaICbIC-urbanresidential'!$A6,'Cost Breakdowns'!$F$3:$F$12,"ISIC 16"))</f>
        <v/>
      </c>
      <c r="M6">
        <f>(SUMIFS('Cost Breakdowns'!$D$3:$D$12,'Cost Breakdowns'!$A$3:$A$12,'SoBCaICbIC-urbanresidential'!$A6,'Cost Breakdowns'!$F$3:$F$12,"ISIC 17T18"))</f>
        <v/>
      </c>
      <c r="N6">
        <f>(SUMIFS('Cost Breakdowns'!$D$3:$D$12,'Cost Breakdowns'!$A$3:$A$12,'SoBCaICbIC-urbanresidential'!$A6,'Cost Breakdowns'!$F$3:$F$12,"ISIC 19"))</f>
        <v/>
      </c>
      <c r="O6">
        <f>(SUMIFS('Cost Breakdowns'!$D$3:$D$12,'Cost Breakdowns'!$A$3:$A$12,'SoBCaICbIC-urbanresidential'!$A6,'Cost Breakdowns'!$F$3:$F$12,"ISIC 20"))</f>
        <v/>
      </c>
      <c r="P6">
        <f>(SUMIFS('Cost Breakdowns'!$D$3:$D$12,'Cost Breakdowns'!$A$3:$A$12,'SoBCaICbIC-urbanresidential'!$A6,'Cost Breakdowns'!$F$3:$F$12,"ISIC 21"))</f>
        <v/>
      </c>
      <c r="Q6">
        <f>(SUMIFS('Cost Breakdowns'!$D$3:$D$12,'Cost Breakdowns'!$A$3:$A$12,'SoBCaICbIC-urbanresidential'!$A6,'Cost Breakdowns'!$F$3:$F$12,"ISIC 22"))</f>
        <v/>
      </c>
      <c r="R6">
        <f>(SUMIFS('Cost Breakdowns'!$D$3:$D$12,'Cost Breakdowns'!$A$3:$A$12,'SoBCaICbIC-urbanresidential'!$A6,'Cost Breakdowns'!$F$3:$F$12,"ISIC 231"))</f>
        <v/>
      </c>
      <c r="S6">
        <f>(SUMIFS('Cost Breakdowns'!$D$3:$D$12,'Cost Breakdowns'!$A$3:$A$12,'SoBCaICbIC-urbanresidential'!$A6,'Cost Breakdowns'!$F$3:$F$12,"ISIC 239"))</f>
        <v/>
      </c>
      <c r="T6">
        <f>(SUMIFS('Cost Breakdowns'!$D$3:$D$12,'Cost Breakdowns'!$A$3:$A$12,'SoBCaICbIC-urbanresidential'!$A6,'Cost Breakdowns'!$F$3:$F$12,"ISIC 241"))</f>
        <v/>
      </c>
      <c r="U6">
        <f>(SUMIFS('Cost Breakdowns'!$D$3:$D$12,'Cost Breakdowns'!$A$3:$A$12,'SoBCaICbIC-urbanresidential'!$A6,'Cost Breakdowns'!$F$3:$F$12,"ISIC 242"))</f>
        <v/>
      </c>
      <c r="V6">
        <f>(SUMIFS('Cost Breakdowns'!$D$3:$D$12,'Cost Breakdowns'!$A$3:$A$12,'SoBCaICbIC-urbanresidential'!$A6,'Cost Breakdowns'!$F$3:$F$12,"ISIC 25"))</f>
        <v/>
      </c>
      <c r="W6">
        <f>(SUMIFS('Cost Breakdowns'!$D$3:$D$12,'Cost Breakdowns'!$A$3:$A$12,'SoBCaICbIC-urbanresidential'!$A6,'Cost Breakdowns'!$F$3:$F$12,"ISIC 26"))</f>
        <v/>
      </c>
      <c r="X6">
        <f>(SUMIFS('Cost Breakdowns'!$D$3:$D$12,'Cost Breakdowns'!$A$3:$A$12,'SoBCaICbIC-urbanresidential'!$A6,'Cost Breakdowns'!$F$3:$F$12,"ISIC 27"))</f>
        <v/>
      </c>
      <c r="Y6">
        <f>(SUMIFS('Cost Breakdowns'!$D$3:$D$12,'Cost Breakdowns'!$A$3:$A$12,'SoBCaICbIC-urbanresidential'!$A6,'Cost Breakdowns'!$F$3:$F$12,"ISIC 28"))</f>
        <v/>
      </c>
      <c r="Z6">
        <f>(SUMIFS('Cost Breakdowns'!$D$3:$D$12,'Cost Breakdowns'!$A$3:$A$12,'SoBCaICbIC-urbanresidential'!$A6,'Cost Breakdowns'!$F$3:$F$12,"ISIC 29"))</f>
        <v/>
      </c>
      <c r="AA6">
        <f>(SUMIFS('Cost Breakdowns'!$D$3:$D$12,'Cost Breakdowns'!$A$3:$A$12,'SoBCaICbIC-urbanresidential'!$A6,'Cost Breakdowns'!$F$3:$F$12,"ISIC 30"))*'Factors applied'!$E$104</f>
        <v/>
      </c>
      <c r="AB6">
        <f>(SUMIFS('Cost Breakdowns'!$D$3:$D$12,'Cost Breakdowns'!$A$3:$A$12,'SoBCaICbIC-urbanresidential'!$A6,'Cost Breakdowns'!$F$3:$F$12,"ISIC 30"))*'Factors applied'!$E$105</f>
        <v/>
      </c>
      <c r="AC6">
        <f>(SUMIFS('Cost Breakdowns'!$D$3:$D$12,'Cost Breakdowns'!$A$3:$A$12,'SoBCaICbIC-urbanresidential'!$A6,'Cost Breakdowns'!$F$3:$F$12,"ISIC 31T33"))</f>
        <v/>
      </c>
      <c r="AD6">
        <f>(SUMIFS('Cost Breakdowns'!$D$3:$D$12,'Cost Breakdowns'!$A$3:$A$12,'SoBCaICbIC-urbanresidential'!$A6,'Cost Breakdowns'!$F$3:$F$12,"ISIC 351"))</f>
        <v/>
      </c>
      <c r="AE6">
        <f>(SUMIFS('Cost Breakdowns'!$D$3:$D$12,'Cost Breakdowns'!$A$3:$A$12,'SoBCaICbIC-urbanresidential'!$A6,'Cost Breakdowns'!$F$3:$F$12,"ISIC 352T353"))</f>
        <v/>
      </c>
      <c r="AF6">
        <f>(SUMIFS('Cost Breakdowns'!$D$3:$D$12,'Cost Breakdowns'!$A$3:$A$12,'SoBCaICbIC-urbanresidential'!$A6,'Cost Breakdowns'!$F$3:$F$12,"ISIC 36T39"))</f>
        <v/>
      </c>
      <c r="AG6">
        <f>(SUMIFS('Cost Breakdowns'!$D$3:$D$12,'Cost Breakdowns'!$A$3:$A$12,'SoBCaICbIC-urbanresidential'!$A6,'Cost Breakdowns'!$F$3:$F$12,"ISIC 41T43"))</f>
        <v/>
      </c>
      <c r="AH6">
        <f>(SUMIFS('Cost Breakdowns'!$D$3:$D$12,'Cost Breakdowns'!$A$3:$A$12,'SoBCaICbIC-urbanresidential'!$A6,'Cost Breakdowns'!$F$3:$F$12,"ISIC 45T47"))</f>
        <v/>
      </c>
      <c r="AI6">
        <f>(SUMIFS('Cost Breakdowns'!$D$3:$D$12,'Cost Breakdowns'!$A$3:$A$12,'SoBCaICbIC-urbanresidential'!$A6,'Cost Breakdowns'!$F$3:$F$12,"ISIC 49T53"))*'Factors applied'!$E$106</f>
        <v/>
      </c>
      <c r="AJ6">
        <f>(SUMIFS('Cost Breakdowns'!$D$3:$D$12,'Cost Breakdowns'!$A$3:$A$12,'SoBCaICbIC-urbanresidential'!$A6,'Cost Breakdowns'!$F$3:$F$12,"ISIC 49T53"))*'Factors applied'!$E$107</f>
        <v/>
      </c>
      <c r="AK6">
        <f>(SUMIFS('Cost Breakdowns'!$D$3:$D$12,'Cost Breakdowns'!$A$3:$A$12,'SoBCaICbIC-urbanresidential'!$A6,'Cost Breakdowns'!$F$3:$F$12,"ISIC 49T53"))*'Factors applied'!$E$108</f>
        <v/>
      </c>
      <c r="AL6">
        <f>(SUMIFS('Cost Breakdowns'!$D$3:$D$12,'Cost Breakdowns'!$A$3:$A$12,'SoBCaICbIC-urbanresidential'!$A6,'Cost Breakdowns'!$F$3:$F$12,"ISIC 49T53"))*'Factors applied'!$E$109</f>
        <v/>
      </c>
      <c r="AM6">
        <f>(SUMIFS('Cost Breakdowns'!$D$3:$D$12,'Cost Breakdowns'!$A$3:$A$12,'SoBCaICbIC-urbanresidential'!$A6,'Cost Breakdowns'!$F$3:$F$12,"ISIC 49T53"))*'Factors applied'!$E$110</f>
        <v/>
      </c>
      <c r="AN6">
        <f>(SUMIFS('Cost Breakdowns'!$D$3:$D$12,'Cost Breakdowns'!$A$3:$A$12,'SoBCaICbIC-urbanresidential'!$A6,'Cost Breakdowns'!$F$3:$F$12,"ISIC 55T56"))</f>
        <v/>
      </c>
      <c r="AO6">
        <f>(SUMIFS('Cost Breakdowns'!$D$3:$D$12,'Cost Breakdowns'!$A$3:$A$12,'SoBCaICbIC-urbanresidential'!$A6,'Cost Breakdowns'!$F$3:$F$12,"ISIC 58T60"))</f>
        <v/>
      </c>
      <c r="AP6">
        <f>(SUMIFS('Cost Breakdowns'!$D$3:$D$12,'Cost Breakdowns'!$A$3:$A$12,'SoBCaICbIC-urbanresidential'!$A6,'Cost Breakdowns'!$F$3:$F$12,"ISIC 61"))</f>
        <v/>
      </c>
      <c r="AQ6">
        <f>(SUMIFS('Cost Breakdowns'!$D$3:$D$12,'Cost Breakdowns'!$A$3:$A$12,'SoBCaICbIC-urbanresidential'!$A6,'Cost Breakdowns'!$F$3:$F$12,"ISIC 62T63"))</f>
        <v/>
      </c>
      <c r="AR6">
        <f>(SUMIFS('Cost Breakdowns'!$D$3:$D$12,'Cost Breakdowns'!$A$3:$A$12,'SoBCaICbIC-urbanresidential'!$A6,'Cost Breakdowns'!$F$3:$F$12,"ISIC 64T66"))</f>
        <v/>
      </c>
      <c r="AS6">
        <f>(SUMIFS('Cost Breakdowns'!$D$3:$D$12,'Cost Breakdowns'!$A$3:$A$12,'SoBCaICbIC-urbanresidential'!$A6,'Cost Breakdowns'!$F$3:$F$12,"ISIC 68"))</f>
        <v/>
      </c>
      <c r="AT6">
        <f>(SUMIFS('Cost Breakdowns'!$D$3:$D$12,'Cost Breakdowns'!$A$3:$A$12,'SoBCaICbIC-urbanresidential'!$A6,'Cost Breakdowns'!$F$3:$F$12,"ISIC 69T82"))*'Factors applied'!$E$111</f>
        <v/>
      </c>
      <c r="AU6">
        <f>(SUMIFS('Cost Breakdowns'!$D$3:$D$12,'Cost Breakdowns'!$A$3:$A$12,'SoBCaICbIC-urbanresidential'!$A6,'Cost Breakdowns'!$F$3:$F$12,"ISIC 69T82"))*'Factors applied'!$E$112</f>
        <v/>
      </c>
      <c r="AV6">
        <f>(SUMIFS('Cost Breakdowns'!$D$3:$D$12,'Cost Breakdowns'!$A$3:$A$12,'SoBCaICbIC-urbanresidential'!$A6,'Cost Breakdowns'!$F$3:$F$12,"ISIC 84"))</f>
        <v/>
      </c>
      <c r="AW6">
        <f>(SUMIFS('Cost Breakdowns'!$D$3:$D$12,'Cost Breakdowns'!$A$3:$A$12,'SoBCaICbIC-urbanresidential'!$A6,'Cost Breakdowns'!$F$3:$F$12,"ISIC 85"))</f>
        <v/>
      </c>
      <c r="AX6">
        <f>(SUMIFS('Cost Breakdowns'!$D$3:$D$12,'Cost Breakdowns'!$A$3:$A$12,'SoBCaICbIC-urbanresidential'!$A6,'Cost Breakdowns'!$F$3:$F$12,"ISIC 86T88"))</f>
        <v/>
      </c>
      <c r="AY6">
        <f>(SUMIFS('Cost Breakdowns'!$D$3:$D$12,'Cost Breakdowns'!$A$3:$A$12,'SoBCaICbIC-urbanresidential'!$A6,'Cost Breakdowns'!$F$3:$F$12,"ISIC 90T96"))*'Factors applied'!$E$113</f>
        <v/>
      </c>
      <c r="AZ6">
        <f>(SUMIFS('Cost Breakdowns'!$D$3:$D$12,'Cost Breakdowns'!$A$3:$A$12,'SoBCaICbIC-urbanresidential'!$A6,'Cost Breakdowns'!$F$3:$F$12,"ISIC 90T96"))*'Factors applied'!$E$114</f>
        <v/>
      </c>
      <c r="BA6">
        <f>(SUMIFS('Cost Breakdowns'!$D$3:$D$12,'Cost Breakdowns'!$A$3:$A$12,'SoBCaICbIC-urbanresidential'!$A6,'Cost Breakdowns'!$F$3:$F$12,"ISIC 97T98"))</f>
        <v/>
      </c>
    </row>
    <row r="7">
      <c r="A7" t="inlineStr">
        <is>
          <t>Other</t>
        </is>
      </c>
      <c r="B7">
        <f>(SUMIFS('Cost Breakdowns'!$D$3:$D$12,'Cost Breakdowns'!$A$3:$A$12,'SoBCaICbIC-urbanresidential'!$A7,'Cost Breakdowns'!$F$3:$F$12,"ISIC 01T03"))*'Factors applied'!$E$179</f>
        <v/>
      </c>
      <c r="C7">
        <f>(SUMIFS('Cost Breakdowns'!$D$3:$D$12,'Cost Breakdowns'!$A$3:$A$12,'SoBCaICbIC-urbanresidential'!$A7,'Cost Breakdowns'!$F$3:$F$12,"ISIC 01T03"))*'Factors applied'!$E$180</f>
        <v/>
      </c>
      <c r="D7">
        <f>(SUMIFS('Cost Breakdowns'!$D$3:$D$12,'Cost Breakdowns'!$A$3:$A$12,'SoBCaICbIC-urbanresidential'!$A7,'Cost Breakdowns'!$F$3:$F$12,"ISIC 01T03"))*'Factors applied'!$E$181</f>
        <v/>
      </c>
      <c r="E7">
        <f>(SUMIFS('Cost Breakdowns'!$D$3:$D$12,'Cost Breakdowns'!$A$3:$A$12,'SoBCaICbIC-urbanresidential'!$A7,'Cost Breakdowns'!$F$3:$F$12,"ISIC 05"))</f>
        <v/>
      </c>
      <c r="F7">
        <f>(SUMIFS('Cost Breakdowns'!$D$3:$D$12,'Cost Breakdowns'!$A$3:$A$12,'SoBCaICbIC-urbanresidential'!$A7,'Cost Breakdowns'!$F$3:$F$12,"ISIC 06"))</f>
        <v/>
      </c>
      <c r="G7">
        <f>(SUMIFS('Cost Breakdowns'!$D$3:$D$12,'Cost Breakdowns'!$A$3:$A$12,'SoBCaICbIC-urbanresidential'!$A7,'Cost Breakdowns'!$F$3:$F$12,"ISIC 07T08"))*'Factors applied'!$E$182</f>
        <v/>
      </c>
      <c r="H7">
        <f>(SUMIFS('Cost Breakdowns'!$D$3:$D$12,'Cost Breakdowns'!$A$3:$A$12,'SoBCaICbIC-urbanresidential'!$A7,'Cost Breakdowns'!$F$3:$F$12,"ISIC 07T08"))*'Factors applied'!$E$183</f>
        <v/>
      </c>
      <c r="I7">
        <f>(SUMIFS('Cost Breakdowns'!$D$3:$D$12,'Cost Breakdowns'!$A$3:$A$12,'SoBCaICbIC-urbanresidential'!$A7,'Cost Breakdowns'!$F$3:$F$12,"ISIC 09"))</f>
        <v/>
      </c>
      <c r="J7">
        <f>(SUMIFS('Cost Breakdowns'!$D$3:$D$12,'Cost Breakdowns'!$A$3:$A$12,'SoBCaICbIC-urbanresidential'!$A7,'Cost Breakdowns'!$F$3:$F$12,"ISIC 10T12"))</f>
        <v/>
      </c>
      <c r="K7">
        <f>(SUMIFS('Cost Breakdowns'!$D$3:$D$12,'Cost Breakdowns'!$A$3:$A$12,'SoBCaICbIC-urbanresidential'!$A7,'Cost Breakdowns'!$F$3:$F$12,"ISIC 13T15"))</f>
        <v/>
      </c>
      <c r="L7">
        <f>(SUMIFS('Cost Breakdowns'!$D$3:$D$12,'Cost Breakdowns'!$A$3:$A$12,'SoBCaICbIC-urbanresidential'!$A7,'Cost Breakdowns'!$F$3:$F$12,"ISIC 16"))</f>
        <v/>
      </c>
      <c r="M7">
        <f>(SUMIFS('Cost Breakdowns'!$D$3:$D$12,'Cost Breakdowns'!$A$3:$A$12,'SoBCaICbIC-urbanresidential'!$A7,'Cost Breakdowns'!$F$3:$F$12,"ISIC 17T18"))</f>
        <v/>
      </c>
      <c r="N7">
        <f>(SUMIFS('Cost Breakdowns'!$D$3:$D$12,'Cost Breakdowns'!$A$3:$A$12,'SoBCaICbIC-urbanresidential'!$A7,'Cost Breakdowns'!$F$3:$F$12,"ISIC 19"))</f>
        <v/>
      </c>
      <c r="O7">
        <f>(SUMIFS('Cost Breakdowns'!$D$3:$D$12,'Cost Breakdowns'!$A$3:$A$12,'SoBCaICbIC-urbanresidential'!$A7,'Cost Breakdowns'!$F$3:$F$12,"ISIC 20"))</f>
        <v/>
      </c>
      <c r="P7">
        <f>(SUMIFS('Cost Breakdowns'!$D$3:$D$12,'Cost Breakdowns'!$A$3:$A$12,'SoBCaICbIC-urbanresidential'!$A7,'Cost Breakdowns'!$F$3:$F$12,"ISIC 21"))</f>
        <v/>
      </c>
      <c r="Q7">
        <f>(SUMIFS('Cost Breakdowns'!$D$3:$D$12,'Cost Breakdowns'!$A$3:$A$12,'SoBCaICbIC-urbanresidential'!$A7,'Cost Breakdowns'!$F$3:$F$12,"ISIC 22"))</f>
        <v/>
      </c>
      <c r="R7">
        <f>(SUMIFS('Cost Breakdowns'!$D$3:$D$12,'Cost Breakdowns'!$A$3:$A$12,'SoBCaICbIC-urbanresidential'!$A7,'Cost Breakdowns'!$F$3:$F$12,"ISIC 231"))</f>
        <v/>
      </c>
      <c r="S7">
        <f>(SUMIFS('Cost Breakdowns'!$D$3:$D$12,'Cost Breakdowns'!$A$3:$A$12,'SoBCaICbIC-urbanresidential'!$A7,'Cost Breakdowns'!$F$3:$F$12,"ISIC 239"))</f>
        <v/>
      </c>
      <c r="T7">
        <f>(SUMIFS('Cost Breakdowns'!$D$3:$D$12,'Cost Breakdowns'!$A$3:$A$12,'SoBCaICbIC-urbanresidential'!$A7,'Cost Breakdowns'!$F$3:$F$12,"ISIC 241"))</f>
        <v/>
      </c>
      <c r="U7">
        <f>(SUMIFS('Cost Breakdowns'!$D$3:$D$12,'Cost Breakdowns'!$A$3:$A$12,'SoBCaICbIC-urbanresidential'!$A7,'Cost Breakdowns'!$F$3:$F$12,"ISIC 242"))</f>
        <v/>
      </c>
      <c r="V7">
        <f>(SUMIFS('Cost Breakdowns'!$D$3:$D$12,'Cost Breakdowns'!$A$3:$A$12,'SoBCaICbIC-urbanresidential'!$A7,'Cost Breakdowns'!$F$3:$F$12,"ISIC 25"))</f>
        <v/>
      </c>
      <c r="W7">
        <f>(SUMIFS('Cost Breakdowns'!$D$3:$D$12,'Cost Breakdowns'!$A$3:$A$12,'SoBCaICbIC-urbanresidential'!$A7,'Cost Breakdowns'!$F$3:$F$12,"ISIC 26"))</f>
        <v/>
      </c>
      <c r="X7">
        <f>(SUMIFS('Cost Breakdowns'!$D$3:$D$12,'Cost Breakdowns'!$A$3:$A$12,'SoBCaICbIC-urbanresidential'!$A7,'Cost Breakdowns'!$F$3:$F$12,"ISIC 27"))</f>
        <v/>
      </c>
      <c r="Y7">
        <f>(SUMIFS('Cost Breakdowns'!$D$3:$D$12,'Cost Breakdowns'!$A$3:$A$12,'SoBCaICbIC-urbanresidential'!$A7,'Cost Breakdowns'!$F$3:$F$12,"ISIC 28"))</f>
        <v/>
      </c>
      <c r="Z7">
        <f>(SUMIFS('Cost Breakdowns'!$D$3:$D$12,'Cost Breakdowns'!$A$3:$A$12,'SoBCaICbIC-urbanresidential'!$A7,'Cost Breakdowns'!$F$3:$F$12,"ISIC 29"))</f>
        <v/>
      </c>
      <c r="AA7">
        <f>(SUMIFS('Cost Breakdowns'!$D$3:$D$12,'Cost Breakdowns'!$A$3:$A$12,'SoBCaICbIC-urbanresidential'!$A7,'Cost Breakdowns'!$F$3:$F$12,"ISIC 30"))*'Factors applied'!$E$184</f>
        <v/>
      </c>
      <c r="AB7">
        <f>(SUMIFS('Cost Breakdowns'!$D$3:$D$12,'Cost Breakdowns'!$A$3:$A$12,'SoBCaICbIC-urbanresidential'!$A7,'Cost Breakdowns'!$F$3:$F$12,"ISIC 30"))*'Factors applied'!$E$185</f>
        <v/>
      </c>
      <c r="AC7">
        <f>(SUMIFS('Cost Breakdowns'!$D$3:$D$12,'Cost Breakdowns'!$A$3:$A$12,'SoBCaICbIC-urbanresidential'!$A7,'Cost Breakdowns'!$F$3:$F$12,"ISIC 31T33"))</f>
        <v/>
      </c>
      <c r="AD7">
        <f>(SUMIFS('Cost Breakdowns'!$D$3:$D$12,'Cost Breakdowns'!$A$3:$A$12,'SoBCaICbIC-urbanresidential'!$A7,'Cost Breakdowns'!$F$3:$F$12,"ISIC 351"))</f>
        <v/>
      </c>
      <c r="AE7">
        <f>(SUMIFS('Cost Breakdowns'!$D$3:$D$12,'Cost Breakdowns'!$A$3:$A$12,'SoBCaICbIC-urbanresidential'!$A7,'Cost Breakdowns'!$F$3:$F$12,"ISIC 352T353"))</f>
        <v/>
      </c>
      <c r="AF7">
        <f>(SUMIFS('Cost Breakdowns'!$D$3:$D$12,'Cost Breakdowns'!$A$3:$A$12,'SoBCaICbIC-urbanresidential'!$A7,'Cost Breakdowns'!$F$3:$F$12,"ISIC 36T39"))</f>
        <v/>
      </c>
      <c r="AG7">
        <f>(SUMIFS('Cost Breakdowns'!$D$3:$D$12,'Cost Breakdowns'!$A$3:$A$12,'SoBCaICbIC-urbanresidential'!$A7,'Cost Breakdowns'!$F$3:$F$12,"ISIC 41T43"))</f>
        <v/>
      </c>
      <c r="AH7">
        <f>(SUMIFS('Cost Breakdowns'!$D$3:$D$12,'Cost Breakdowns'!$A$3:$A$12,'SoBCaICbIC-urbanresidential'!$A7,'Cost Breakdowns'!$F$3:$F$12,"ISIC 45T47"))</f>
        <v/>
      </c>
      <c r="AI7">
        <f>(SUMIFS('Cost Breakdowns'!$D$3:$D$12,'Cost Breakdowns'!$A$3:$A$12,'SoBCaICbIC-urbanresidential'!$A7,'Cost Breakdowns'!$F$3:$F$12,"ISIC 49T53"))*'Factors applied'!$E$186</f>
        <v/>
      </c>
      <c r="AJ7">
        <f>(SUMIFS('Cost Breakdowns'!$D$3:$D$12,'Cost Breakdowns'!$A$3:$A$12,'SoBCaICbIC-urbanresidential'!$A7,'Cost Breakdowns'!$F$3:$F$12,"ISIC 49T53"))*'Factors applied'!$E$187</f>
        <v/>
      </c>
      <c r="AK7">
        <f>(SUMIFS('Cost Breakdowns'!$D$3:$D$12,'Cost Breakdowns'!$A$3:$A$12,'SoBCaICbIC-urbanresidential'!$A7,'Cost Breakdowns'!$F$3:$F$12,"ISIC 49T53"))*'Factors applied'!$E$188</f>
        <v/>
      </c>
      <c r="AL7">
        <f>(SUMIFS('Cost Breakdowns'!$D$3:$D$12,'Cost Breakdowns'!$A$3:$A$12,'SoBCaICbIC-urbanresidential'!$A7,'Cost Breakdowns'!$F$3:$F$12,"ISIC 49T53"))*'Factors applied'!$E$189</f>
        <v/>
      </c>
      <c r="AM7">
        <f>(SUMIFS('Cost Breakdowns'!$D$3:$D$12,'Cost Breakdowns'!$A$3:$A$12,'SoBCaICbIC-urbanresidential'!$A7,'Cost Breakdowns'!$F$3:$F$12,"ISIC 49T53"))*'Factors applied'!$E$190</f>
        <v/>
      </c>
      <c r="AN7">
        <f>(SUMIFS('Cost Breakdowns'!$D$3:$D$12,'Cost Breakdowns'!$A$3:$A$12,'SoBCaICbIC-urbanresidential'!$A7,'Cost Breakdowns'!$F$3:$F$12,"ISIC 55T56"))</f>
        <v/>
      </c>
      <c r="AO7">
        <f>(SUMIFS('Cost Breakdowns'!$D$3:$D$12,'Cost Breakdowns'!$A$3:$A$12,'SoBCaICbIC-urbanresidential'!$A7,'Cost Breakdowns'!$F$3:$F$12,"ISIC 58T60"))</f>
        <v/>
      </c>
      <c r="AP7">
        <f>(SUMIFS('Cost Breakdowns'!$D$3:$D$12,'Cost Breakdowns'!$A$3:$A$12,'SoBCaICbIC-urbanresidential'!$A7,'Cost Breakdowns'!$F$3:$F$12,"ISIC 61"))</f>
        <v/>
      </c>
      <c r="AQ7">
        <f>(SUMIFS('Cost Breakdowns'!$D$3:$D$12,'Cost Breakdowns'!$A$3:$A$12,'SoBCaICbIC-urbanresidential'!$A7,'Cost Breakdowns'!$F$3:$F$12,"ISIC 62T63"))</f>
        <v/>
      </c>
      <c r="AR7">
        <f>(SUMIFS('Cost Breakdowns'!$D$3:$D$12,'Cost Breakdowns'!$A$3:$A$12,'SoBCaICbIC-urbanresidential'!$A7,'Cost Breakdowns'!$F$3:$F$12,"ISIC 64T66"))</f>
        <v/>
      </c>
      <c r="AS7">
        <f>(SUMIFS('Cost Breakdowns'!$D$3:$D$12,'Cost Breakdowns'!$A$3:$A$12,'SoBCaICbIC-urbanresidential'!$A7,'Cost Breakdowns'!$F$3:$F$12,"ISIC 68"))</f>
        <v/>
      </c>
      <c r="AT7">
        <f>(SUMIFS('Cost Breakdowns'!$D$3:$D$12,'Cost Breakdowns'!$A$3:$A$12,'SoBCaICbIC-urbanresidential'!$A7,'Cost Breakdowns'!$F$3:$F$12,"ISIC 69T82"))*'Factors applied'!$E$191</f>
        <v/>
      </c>
      <c r="AU7">
        <f>(SUMIFS('Cost Breakdowns'!$D$3:$D$12,'Cost Breakdowns'!$A$3:$A$12,'SoBCaICbIC-urbanresidential'!$A7,'Cost Breakdowns'!$F$3:$F$12,"ISIC 69T82"))*'Factors applied'!$E$192</f>
        <v/>
      </c>
      <c r="AV7">
        <f>(SUMIFS('Cost Breakdowns'!$D$3:$D$12,'Cost Breakdowns'!$A$3:$A$12,'SoBCaICbIC-urbanresidential'!$A7,'Cost Breakdowns'!$F$3:$F$12,"ISIC 84"))</f>
        <v/>
      </c>
      <c r="AW7">
        <f>(SUMIFS('Cost Breakdowns'!$D$3:$D$12,'Cost Breakdowns'!$A$3:$A$12,'SoBCaICbIC-urbanresidential'!$A7,'Cost Breakdowns'!$F$3:$F$12,"ISIC 85"))</f>
        <v/>
      </c>
      <c r="AX7">
        <f>(SUMIFS('Cost Breakdowns'!$D$3:$D$12,'Cost Breakdowns'!$A$3:$A$12,'SoBCaICbIC-urbanresidential'!$A7,'Cost Breakdowns'!$F$3:$F$12,"ISIC 86T88"))</f>
        <v/>
      </c>
      <c r="AY7">
        <f>(SUMIFS('Cost Breakdowns'!$D$3:$D$12,'Cost Breakdowns'!$A$3:$A$12,'SoBCaICbIC-urbanresidential'!$A7,'Cost Breakdowns'!$F$3:$F$12,"ISIC 90T96"))*'Factors applied'!$E$193</f>
        <v/>
      </c>
      <c r="AZ7">
        <f>(SUMIFS('Cost Breakdowns'!$D$3:$D$12,'Cost Breakdowns'!$A$3:$A$12,'SoBCaICbIC-urbanresidential'!$A7,'Cost Breakdowns'!$F$3:$F$12,"ISIC 90T96"))*'Factors applied'!$E$194</f>
        <v/>
      </c>
      <c r="BA7">
        <f>(SUMIFS('Cost Breakdowns'!$D$3:$D$12,'Cost Breakdowns'!$A$3:$A$12,'SoBCaICbIC-urbanresidential'!$A7,'Cost Breakdowns'!$F$3:$F$12,"ISIC 97T98"))</f>
        <v/>
      </c>
    </row>
  </sheetData>
  <pageMargins left="0.7" right="0.7" top="0.75" bottom="0.75" header="0.3" footer="0.3"/>
</worksheet>
</file>

<file path=xl/worksheets/sheet19.xml><?xml version="1.0" encoding="utf-8"?>
<worksheet xmlns="http://schemas.openxmlformats.org/spreadsheetml/2006/main">
  <sheetPr>
    <tabColor rgb="001F3864"/>
    <outlinePr summaryBelow="1" summaryRight="1"/>
    <pageSetUpPr/>
  </sheetPr>
  <dimension ref="A1:BA7"/>
  <sheetViews>
    <sheetView workbookViewId="0">
      <selection activeCell="AA4" sqref="AA4"/>
    </sheetView>
  </sheetViews>
  <sheetFormatPr baseColWidth="8" defaultRowHeight="14.25"/>
  <cols>
    <col width="22.86328125" customWidth="1" style="100" min="1" max="1"/>
    <col width="10.86328125" customWidth="1" style="100" min="2" max="43"/>
  </cols>
  <sheetData>
    <row r="1">
      <c r="A1" s="130" t="inlineStr">
        <is>
          <t>Unit: dimensionless (%)</t>
        </is>
      </c>
      <c r="B1" s="129" t="inlineStr">
        <is>
          <t>ISIC 01</t>
        </is>
      </c>
      <c r="C1" s="129" t="inlineStr">
        <is>
          <t>ISIC 02</t>
        </is>
      </c>
      <c r="D1" s="129" t="inlineStr">
        <is>
          <t>ISIC 03</t>
        </is>
      </c>
      <c r="E1" s="129" t="inlineStr">
        <is>
          <t>ISIC 05</t>
        </is>
      </c>
      <c r="F1" s="129" t="inlineStr">
        <is>
          <t>ISIC 06</t>
        </is>
      </c>
      <c r="G1" s="129" t="inlineStr">
        <is>
          <t>ISIC 07</t>
        </is>
      </c>
      <c r="H1" s="129" t="inlineStr">
        <is>
          <t>ISIC 08</t>
        </is>
      </c>
      <c r="I1" s="129" t="inlineStr">
        <is>
          <t>ISIC 09</t>
        </is>
      </c>
      <c r="J1" s="129" t="inlineStr">
        <is>
          <t>ISIC 10T12</t>
        </is>
      </c>
      <c r="K1" s="129" t="inlineStr">
        <is>
          <t>ISIC 13T15</t>
        </is>
      </c>
      <c r="L1" s="129" t="inlineStr">
        <is>
          <t>ISIC 16</t>
        </is>
      </c>
      <c r="M1" s="129" t="inlineStr">
        <is>
          <t>ISIC 17T18</t>
        </is>
      </c>
      <c r="N1" s="129" t="inlineStr">
        <is>
          <t>ISIC 19</t>
        </is>
      </c>
      <c r="O1" s="129" t="inlineStr">
        <is>
          <t>ISIC 20</t>
        </is>
      </c>
      <c r="P1" s="129" t="inlineStr">
        <is>
          <t>ISIC 21</t>
        </is>
      </c>
      <c r="Q1" s="129" t="inlineStr">
        <is>
          <t>ISIC 22</t>
        </is>
      </c>
      <c r="R1" s="129" t="inlineStr">
        <is>
          <t>ISIC 231</t>
        </is>
      </c>
      <c r="S1" s="129" t="inlineStr">
        <is>
          <t>ISIC 239</t>
        </is>
      </c>
      <c r="T1" s="129" t="inlineStr">
        <is>
          <t>ISIC 241</t>
        </is>
      </c>
      <c r="U1" s="129" t="inlineStr">
        <is>
          <t>ISIC 242</t>
        </is>
      </c>
      <c r="V1" s="129" t="inlineStr">
        <is>
          <t>ISIC 25</t>
        </is>
      </c>
      <c r="W1" s="129" t="inlineStr">
        <is>
          <t>ISIC 26</t>
        </is>
      </c>
      <c r="X1" s="129" t="inlineStr">
        <is>
          <t>ISIC 27</t>
        </is>
      </c>
      <c r="Y1" s="129" t="inlineStr">
        <is>
          <t>ISIC 28</t>
        </is>
      </c>
      <c r="Z1" s="129" t="inlineStr">
        <is>
          <t>ISIC 29</t>
        </is>
      </c>
      <c r="AA1" s="129" t="inlineStr">
        <is>
          <t>ISIC 301</t>
        </is>
      </c>
      <c r="AB1" s="129" t="inlineStr">
        <is>
          <t>ISIC 302T309</t>
        </is>
      </c>
      <c r="AC1" s="129" t="inlineStr">
        <is>
          <t>ISIC 31T33</t>
        </is>
      </c>
      <c r="AD1" s="129" t="inlineStr">
        <is>
          <t>ISIC 351</t>
        </is>
      </c>
      <c r="AE1" s="129" t="inlineStr">
        <is>
          <t>ISIC 352T353</t>
        </is>
      </c>
      <c r="AF1" s="129" t="inlineStr">
        <is>
          <t>ISIC 36T39</t>
        </is>
      </c>
      <c r="AG1" s="129" t="inlineStr">
        <is>
          <t>ISIC 41T43</t>
        </is>
      </c>
      <c r="AH1" s="129" t="inlineStr">
        <is>
          <t>ISIC 45T47</t>
        </is>
      </c>
      <c r="AI1" s="129" t="inlineStr">
        <is>
          <t>ISIC 49</t>
        </is>
      </c>
      <c r="AJ1" s="129" t="inlineStr">
        <is>
          <t>ISIC 50</t>
        </is>
      </c>
      <c r="AK1" s="129" t="inlineStr">
        <is>
          <t>ISIC 51</t>
        </is>
      </c>
      <c r="AL1" s="129" t="inlineStr">
        <is>
          <t>ISIC 52</t>
        </is>
      </c>
      <c r="AM1" s="129" t="inlineStr">
        <is>
          <t>ISIC 53</t>
        </is>
      </c>
      <c r="AN1" s="129" t="inlineStr">
        <is>
          <t>ISIC 55T56</t>
        </is>
      </c>
      <c r="AO1" s="129" t="inlineStr">
        <is>
          <t>ISIC 58T60</t>
        </is>
      </c>
      <c r="AP1" s="129" t="inlineStr">
        <is>
          <t>ISIC 61</t>
        </is>
      </c>
      <c r="AQ1" s="129" t="inlineStr">
        <is>
          <t>ISIC 62T63</t>
        </is>
      </c>
      <c r="AR1" s="129" t="inlineStr">
        <is>
          <t>ISIC 64T66</t>
        </is>
      </c>
      <c r="AS1" s="129" t="inlineStr">
        <is>
          <t>ISIC 68</t>
        </is>
      </c>
      <c r="AT1" s="129" t="inlineStr">
        <is>
          <t>ISIC 69T75</t>
        </is>
      </c>
      <c r="AU1" s="129" t="inlineStr">
        <is>
          <t>ISIC 77T82</t>
        </is>
      </c>
      <c r="AV1" s="129" t="inlineStr">
        <is>
          <t>ISIC 84</t>
        </is>
      </c>
      <c r="AW1" s="129" t="inlineStr">
        <is>
          <t>ISIC 85</t>
        </is>
      </c>
      <c r="AX1" s="129" t="inlineStr">
        <is>
          <t>ISIC 86T88</t>
        </is>
      </c>
      <c r="AY1" s="129" t="inlineStr">
        <is>
          <t>ISIC 90T93</t>
        </is>
      </c>
      <c r="AZ1" s="129" t="inlineStr">
        <is>
          <t>ISIC 94T96</t>
        </is>
      </c>
      <c r="BA1" s="129" t="inlineStr">
        <is>
          <t>ISIC 97T98</t>
        </is>
      </c>
    </row>
    <row r="2">
      <c r="A2" t="inlineStr">
        <is>
          <t>Heating</t>
        </is>
      </c>
      <c r="B2">
        <f>(SUMIFS('Cost Breakdowns'!$E$3:$E$12,'Cost Breakdowns'!$A$3:$A$12,'SoBCaICbIC-urbanresidential'!$A2,'Cost Breakdowns'!$F$3:$F$12,"ISIC 01T03"))*'Factors applied'!$E$51</f>
        <v/>
      </c>
      <c r="C2">
        <f>(SUMIFS('Cost Breakdowns'!$E$3:$E$12,'Cost Breakdowns'!$A$3:$A$12,'SoBCaICbIC-urbanresidential'!$A2,'Cost Breakdowns'!$F$3:$F$12,"ISIC 01T03"))*'Factors applied'!$E$52</f>
        <v/>
      </c>
      <c r="D2">
        <f>(SUMIFS('Cost Breakdowns'!$E$3:$E$12,'Cost Breakdowns'!$A$3:$A$12,'SoBCaICbIC-urbanresidential'!$A2,'Cost Breakdowns'!$F$3:$F$12,"ISIC 01T03"))*'Factors applied'!$E$53</f>
        <v/>
      </c>
      <c r="E2">
        <f>(SUMIFS('Cost Breakdowns'!$E$3:$E$12,'Cost Breakdowns'!$A$3:$A$12,'SoBCaICbIC-urbanresidential'!$A2,'Cost Breakdowns'!$F$3:$F$12,"ISIC 05"))</f>
        <v/>
      </c>
      <c r="F2">
        <f>(SUMIFS('Cost Breakdowns'!$E$3:$E$12,'Cost Breakdowns'!$A$3:$A$12,'SoBCaICbIC-urbanresidential'!$A2,'Cost Breakdowns'!$F$3:$F$12,"ISIC 06"))</f>
        <v/>
      </c>
      <c r="G2">
        <f>(SUMIFS('Cost Breakdowns'!$E$3:$E$12,'Cost Breakdowns'!$A$3:$A$12,'SoBCaICbIC-urbanresidential'!$A2,'Cost Breakdowns'!$F$3:$F$12,"ISIC 07T08"))*'Factors applied'!$E$54</f>
        <v/>
      </c>
      <c r="H2">
        <f>(SUMIFS('Cost Breakdowns'!$E$3:$E$12,'Cost Breakdowns'!$A$3:$A$12,'SoBCaICbIC-urbanresidential'!$A2,'Cost Breakdowns'!$F$3:$F$12,"ISIC 07T08"))*'Factors applied'!$E$55</f>
        <v/>
      </c>
      <c r="I2">
        <f>(SUMIFS('Cost Breakdowns'!$E$3:$E$12,'Cost Breakdowns'!$A$3:$A$12,'SoBCaICbIC-urbanresidential'!$A2,'Cost Breakdowns'!$F$3:$F$12,"ISIC 09"))</f>
        <v/>
      </c>
      <c r="J2">
        <f>(SUMIFS('Cost Breakdowns'!$E$3:$E$12,'Cost Breakdowns'!$A$3:$A$12,'SoBCaICbIC-urbanresidential'!$A2,'Cost Breakdowns'!$F$3:$F$12,"ISIC 10T12"))</f>
        <v/>
      </c>
      <c r="K2">
        <f>(SUMIFS('Cost Breakdowns'!$E$3:$E$12,'Cost Breakdowns'!$A$3:$A$12,'SoBCaICbIC-urbanresidential'!$A2,'Cost Breakdowns'!$F$3:$F$12,"ISIC 13T15"))</f>
        <v/>
      </c>
      <c r="L2">
        <f>(SUMIFS('Cost Breakdowns'!$E$3:$E$12,'Cost Breakdowns'!$A$3:$A$12,'SoBCaICbIC-urbanresidential'!$A2,'Cost Breakdowns'!$F$3:$F$12,"ISIC 16"))</f>
        <v/>
      </c>
      <c r="M2">
        <f>(SUMIFS('Cost Breakdowns'!$E$3:$E$12,'Cost Breakdowns'!$A$3:$A$12,'SoBCaICbIC-urbanresidential'!$A2,'Cost Breakdowns'!$F$3:$F$12,"ISIC 17T18"))</f>
        <v/>
      </c>
      <c r="N2">
        <f>(SUMIFS('Cost Breakdowns'!$E$3:$E$12,'Cost Breakdowns'!$A$3:$A$12,'SoBCaICbIC-urbanresidential'!$A2,'Cost Breakdowns'!$F$3:$F$12,"ISIC 19"))</f>
        <v/>
      </c>
      <c r="O2">
        <f>(SUMIFS('Cost Breakdowns'!$E$3:$E$12,'Cost Breakdowns'!$A$3:$A$12,'SoBCaICbIC-urbanresidential'!$A2,'Cost Breakdowns'!$F$3:$F$12,"ISIC 20"))</f>
        <v/>
      </c>
      <c r="P2">
        <f>(SUMIFS('Cost Breakdowns'!$E$3:$E$12,'Cost Breakdowns'!$A$3:$A$12,'SoBCaICbIC-urbanresidential'!$A2,'Cost Breakdowns'!$F$3:$F$12,"ISIC 21"))</f>
        <v/>
      </c>
      <c r="Q2">
        <f>(SUMIFS('Cost Breakdowns'!$E$3:$E$12,'Cost Breakdowns'!$A$3:$A$12,'SoBCaICbIC-urbanresidential'!$A2,'Cost Breakdowns'!$F$3:$F$12,"ISIC 22"))</f>
        <v/>
      </c>
      <c r="R2">
        <f>(SUMIFS('Cost Breakdowns'!$E$3:$E$12,'Cost Breakdowns'!$A$3:$A$12,'SoBCaICbIC-urbanresidential'!$A2,'Cost Breakdowns'!$F$3:$F$12,"ISIC 231"))</f>
        <v/>
      </c>
      <c r="S2">
        <f>(SUMIFS('Cost Breakdowns'!$E$3:$E$12,'Cost Breakdowns'!$A$3:$A$12,'SoBCaICbIC-urbanresidential'!$A2,'Cost Breakdowns'!$F$3:$F$12,"ISIC 239"))</f>
        <v/>
      </c>
      <c r="T2">
        <f>(SUMIFS('Cost Breakdowns'!$E$3:$E$12,'Cost Breakdowns'!$A$3:$A$12,'SoBCaICbIC-urbanresidential'!$A2,'Cost Breakdowns'!$F$3:$F$12,"ISIC 241"))</f>
        <v/>
      </c>
      <c r="U2">
        <f>(SUMIFS('Cost Breakdowns'!$E$3:$E$12,'Cost Breakdowns'!$A$3:$A$12,'SoBCaICbIC-urbanresidential'!$A2,'Cost Breakdowns'!$F$3:$F$12,"ISIC 242"))</f>
        <v/>
      </c>
      <c r="V2">
        <f>(SUMIFS('Cost Breakdowns'!$E$3:$E$12,'Cost Breakdowns'!$A$3:$A$12,'SoBCaICbIC-urbanresidential'!$A2,'Cost Breakdowns'!$F$3:$F$12,"ISIC 25"))</f>
        <v/>
      </c>
      <c r="W2">
        <f>(SUMIFS('Cost Breakdowns'!$E$3:$E$12,'Cost Breakdowns'!$A$3:$A$12,'SoBCaICbIC-urbanresidential'!$A2,'Cost Breakdowns'!$F$3:$F$12,"ISIC 26"))</f>
        <v/>
      </c>
      <c r="X2">
        <f>(SUMIFS('Cost Breakdowns'!$E$3:$E$12,'Cost Breakdowns'!$A$3:$A$12,'SoBCaICbIC-urbanresidential'!$A2,'Cost Breakdowns'!$F$3:$F$12,"ISIC 27"))</f>
        <v/>
      </c>
      <c r="Y2">
        <f>(SUMIFS('Cost Breakdowns'!$E$3:$E$12,'Cost Breakdowns'!$A$3:$A$12,'SoBCaICbIC-urbanresidential'!$A2,'Cost Breakdowns'!$F$3:$F$12,"ISIC 28"))</f>
        <v/>
      </c>
      <c r="Z2">
        <f>(SUMIFS('Cost Breakdowns'!$E$3:$E$12,'Cost Breakdowns'!$A$3:$A$12,'SoBCaICbIC-urbanresidential'!$A2,'Cost Breakdowns'!$F$3:$F$12,"ISIC 29"))</f>
        <v/>
      </c>
      <c r="AA2">
        <f>(SUMIFS('Cost Breakdowns'!$E$3:$E$12,'Cost Breakdowns'!$A$3:$A$12,'SoBCaICbIC-urbanresidential'!$A2,'Cost Breakdowns'!$F$3:$F$12,"ISIC 30"))*'Factors applied'!$E$56</f>
        <v/>
      </c>
      <c r="AB2">
        <f>(SUMIFS('Cost Breakdowns'!$E$3:$E$12,'Cost Breakdowns'!$A$3:$A$12,'SoBCaICbIC-urbanresidential'!$A2,'Cost Breakdowns'!$F$3:$F$12,"ISIC 30"))*'Factors applied'!$E$57</f>
        <v/>
      </c>
      <c r="AC2">
        <f>(SUMIFS('Cost Breakdowns'!$E$3:$E$12,'Cost Breakdowns'!$A$3:$A$12,'SoBCaICbIC-urbanresidential'!$A2,'Cost Breakdowns'!$F$3:$F$12,"ISIC 31T33"))</f>
        <v/>
      </c>
      <c r="AD2">
        <f>(SUMIFS('Cost Breakdowns'!$E$3:$E$12,'Cost Breakdowns'!$A$3:$A$12,'SoBCaICbIC-urbanresidential'!$A2,'Cost Breakdowns'!$F$3:$F$12,"ISIC 351"))</f>
        <v/>
      </c>
      <c r="AE2">
        <f>(SUMIFS('Cost Breakdowns'!$E$3:$E$12,'Cost Breakdowns'!$A$3:$A$12,'SoBCaICbIC-urbanresidential'!$A2,'Cost Breakdowns'!$F$3:$F$12,"ISIC 352T353"))</f>
        <v/>
      </c>
      <c r="AF2">
        <f>(SUMIFS('Cost Breakdowns'!$E$3:$E$12,'Cost Breakdowns'!$A$3:$A$12,'SoBCaICbIC-urbanresidential'!$A2,'Cost Breakdowns'!$F$3:$F$12,"ISIC 36T39"))</f>
        <v/>
      </c>
      <c r="AG2">
        <f>(SUMIFS('Cost Breakdowns'!$E$3:$E$12,'Cost Breakdowns'!$A$3:$A$12,'SoBCaICbIC-urbanresidential'!$A2,'Cost Breakdowns'!$F$3:$F$12,"ISIC 41T43"))</f>
        <v/>
      </c>
      <c r="AH2">
        <f>(SUMIFS('Cost Breakdowns'!$E$3:$E$12,'Cost Breakdowns'!$A$3:$A$12,'SoBCaICbIC-urbanresidential'!$A2,'Cost Breakdowns'!$F$3:$F$12,"ISIC 45T47"))</f>
        <v/>
      </c>
      <c r="AI2">
        <f>(SUMIFS('Cost Breakdowns'!$E$3:$E$12,'Cost Breakdowns'!$A$3:$A$12,'SoBCaICbIC-urbanresidential'!$A2,'Cost Breakdowns'!$F$3:$F$12,"ISIC 49T53"))*'Factors applied'!$E$58</f>
        <v/>
      </c>
      <c r="AJ2">
        <f>(SUMIFS('Cost Breakdowns'!$E$3:$E$12,'Cost Breakdowns'!$A$3:$A$12,'SoBCaICbIC-urbanresidential'!$A2,'Cost Breakdowns'!$F$3:$F$12,"ISIC 49T53"))*'Factors applied'!$E$59</f>
        <v/>
      </c>
      <c r="AK2">
        <f>(SUMIFS('Cost Breakdowns'!$E$3:$E$12,'Cost Breakdowns'!$A$3:$A$12,'SoBCaICbIC-urbanresidential'!$A2,'Cost Breakdowns'!$F$3:$F$12,"ISIC 49T53"))*'Factors applied'!$E$60</f>
        <v/>
      </c>
      <c r="AL2">
        <f>(SUMIFS('Cost Breakdowns'!$E$3:$E$12,'Cost Breakdowns'!$A$3:$A$12,'SoBCaICbIC-urbanresidential'!$A2,'Cost Breakdowns'!$F$3:$F$12,"ISIC 49T53"))*'Factors applied'!$E$61</f>
        <v/>
      </c>
      <c r="AM2">
        <f>(SUMIFS('Cost Breakdowns'!$E$3:$E$12,'Cost Breakdowns'!$A$3:$A$12,'SoBCaICbIC-urbanresidential'!$A2,'Cost Breakdowns'!$F$3:$F$12,"ISIC 49T53"))*'Factors applied'!$E$62</f>
        <v/>
      </c>
      <c r="AN2">
        <f>(SUMIFS('Cost Breakdowns'!$E$3:$E$12,'Cost Breakdowns'!$A$3:$A$12,'SoBCaICbIC-urbanresidential'!$A2,'Cost Breakdowns'!$F$3:$F$12,"ISIC 55T56"))</f>
        <v/>
      </c>
      <c r="AO2">
        <f>(SUMIFS('Cost Breakdowns'!$E$3:$E$12,'Cost Breakdowns'!$A$3:$A$12,'SoBCaICbIC-urbanresidential'!$A2,'Cost Breakdowns'!$F$3:$F$12,"ISIC 58T60"))</f>
        <v/>
      </c>
      <c r="AP2">
        <f>(SUMIFS('Cost Breakdowns'!$E$3:$E$12,'Cost Breakdowns'!$A$3:$A$12,'SoBCaICbIC-urbanresidential'!$A2,'Cost Breakdowns'!$F$3:$F$12,"ISIC 61"))</f>
        <v/>
      </c>
      <c r="AQ2">
        <f>(SUMIFS('Cost Breakdowns'!$E$3:$E$12,'Cost Breakdowns'!$A$3:$A$12,'SoBCaICbIC-urbanresidential'!$A2,'Cost Breakdowns'!$F$3:$F$12,"ISIC 62T63"))</f>
        <v/>
      </c>
      <c r="AR2">
        <f>(SUMIFS('Cost Breakdowns'!$E$3:$E$12,'Cost Breakdowns'!$A$3:$A$12,'SoBCaICbIC-urbanresidential'!$A2,'Cost Breakdowns'!$F$3:$F$12,"ISIC 64T66"))</f>
        <v/>
      </c>
      <c r="AS2">
        <f>(SUMIFS('Cost Breakdowns'!$E$3:$E$12,'Cost Breakdowns'!$A$3:$A$12,'SoBCaICbIC-urbanresidential'!$A2,'Cost Breakdowns'!$F$3:$F$12,"ISIC 68"))</f>
        <v/>
      </c>
      <c r="AT2">
        <f>(SUMIFS('Cost Breakdowns'!$E$3:$E$12,'Cost Breakdowns'!$A$3:$A$12,'SoBCaICbIC-urbanresidential'!$A2,'Cost Breakdowns'!$F$3:$F$12,"ISIC 69T82"))*'Factors applied'!$E$63</f>
        <v/>
      </c>
      <c r="AU2">
        <f>(SUMIFS('Cost Breakdowns'!$E$3:$E$12,'Cost Breakdowns'!$A$3:$A$12,'SoBCaICbIC-urbanresidential'!$A2,'Cost Breakdowns'!$F$3:$F$12,"ISIC 69T82"))*'Factors applied'!$E$64</f>
        <v/>
      </c>
      <c r="AV2">
        <f>(SUMIFS('Cost Breakdowns'!$E$3:$E$12,'Cost Breakdowns'!$A$3:$A$12,'SoBCaICbIC-urbanresidential'!$A2,'Cost Breakdowns'!$F$3:$F$12,"ISIC 84"))</f>
        <v/>
      </c>
      <c r="AW2">
        <f>(SUMIFS('Cost Breakdowns'!$E$3:$E$12,'Cost Breakdowns'!$A$3:$A$12,'SoBCaICbIC-urbanresidential'!$A2,'Cost Breakdowns'!$F$3:$F$12,"ISIC 85"))</f>
        <v/>
      </c>
      <c r="AX2">
        <f>(SUMIFS('Cost Breakdowns'!$E$3:$E$12,'Cost Breakdowns'!$A$3:$A$12,'SoBCaICbIC-urbanresidential'!$A2,'Cost Breakdowns'!$F$3:$F$12,"ISIC 86T88"))</f>
        <v/>
      </c>
      <c r="AY2">
        <f>(SUMIFS('Cost Breakdowns'!$E$3:$E$12,'Cost Breakdowns'!$A$3:$A$12,'SoBCaICbIC-urbanresidential'!$A2,'Cost Breakdowns'!$F$3:$F$12,"ISIC 90T96"))*'Factors applied'!$E$65</f>
        <v/>
      </c>
      <c r="AZ2">
        <f>(SUMIFS('Cost Breakdowns'!$E$3:$E$12,'Cost Breakdowns'!$A$3:$A$12,'SoBCaICbIC-urbanresidential'!$A2,'Cost Breakdowns'!$F$3:$F$12,"ISIC 90T96"))*'Factors applied'!$E$66</f>
        <v/>
      </c>
      <c r="BA2">
        <f>(SUMIFS('Cost Breakdowns'!$E$3:$E$12,'Cost Breakdowns'!$A$3:$A$12,'SoBCaICbIC-urbanresidential'!$A2,'Cost Breakdowns'!$F$3:$F$12,"ISIC 97T98"))</f>
        <v/>
      </c>
    </row>
    <row r="3">
      <c r="A3" t="inlineStr">
        <is>
          <t>Cooling</t>
        </is>
      </c>
      <c r="B3">
        <f>(SUMIFS('Cost Breakdowns'!$E$3:$E$12,'Cost Breakdowns'!$A$3:$A$12,'SoBCaICbIC-urbanresidential'!$A3,'Cost Breakdowns'!$F$3:$F$12,"ISIC 01T03"))*'Factors applied'!$E$19</f>
        <v/>
      </c>
      <c r="C3">
        <f>(SUMIFS('Cost Breakdowns'!$E$3:$E$12,'Cost Breakdowns'!$A$3:$A$12,'SoBCaICbIC-urbanresidential'!$A3,'Cost Breakdowns'!$F$3:$F$12,"ISIC 01T03"))*'Factors applied'!$E$20</f>
        <v/>
      </c>
      <c r="D3">
        <f>(SUMIFS('Cost Breakdowns'!$E$3:$E$12,'Cost Breakdowns'!$A$3:$A$12,'SoBCaICbIC-urbanresidential'!$A3,'Cost Breakdowns'!$F$3:$F$12,"ISIC 01T03"))*'Factors applied'!$E$21</f>
        <v/>
      </c>
      <c r="E3">
        <f>(SUMIFS('Cost Breakdowns'!$E$3:$E$12,'Cost Breakdowns'!$A$3:$A$12,'SoBCaICbIC-urbanresidential'!$A3,'Cost Breakdowns'!$F$3:$F$12,"ISIC 05"))</f>
        <v/>
      </c>
      <c r="F3">
        <f>(SUMIFS('Cost Breakdowns'!$E$3:$E$12,'Cost Breakdowns'!$A$3:$A$12,'SoBCaICbIC-urbanresidential'!$A3,'Cost Breakdowns'!$F$3:$F$12,"ISIC 06"))</f>
        <v/>
      </c>
      <c r="G3">
        <f>(SUMIFS('Cost Breakdowns'!$E$3:$E$12,'Cost Breakdowns'!$A$3:$A$12,'SoBCaICbIC-urbanresidential'!$A3,'Cost Breakdowns'!$F$3:$F$12,"ISIC 07T08"))*'Factors applied'!$E$22</f>
        <v/>
      </c>
      <c r="H3">
        <f>(SUMIFS('Cost Breakdowns'!$E$3:$E$12,'Cost Breakdowns'!$A$3:$A$12,'SoBCaICbIC-urbanresidential'!$A3,'Cost Breakdowns'!$F$3:$F$12,"ISIC 07T08"))*'Factors applied'!$E$23</f>
        <v/>
      </c>
      <c r="I3">
        <f>(SUMIFS('Cost Breakdowns'!$E$3:$E$12,'Cost Breakdowns'!$A$3:$A$12,'SoBCaICbIC-urbanresidential'!$A3,'Cost Breakdowns'!$F$3:$F$12,"ISIC 09"))</f>
        <v/>
      </c>
      <c r="J3">
        <f>(SUMIFS('Cost Breakdowns'!$E$3:$E$12,'Cost Breakdowns'!$A$3:$A$12,'SoBCaICbIC-urbanresidential'!$A3,'Cost Breakdowns'!$F$3:$F$12,"ISIC 10T12"))</f>
        <v/>
      </c>
      <c r="K3">
        <f>(SUMIFS('Cost Breakdowns'!$E$3:$E$12,'Cost Breakdowns'!$A$3:$A$12,'SoBCaICbIC-urbanresidential'!$A3,'Cost Breakdowns'!$F$3:$F$12,"ISIC 13T15"))</f>
        <v/>
      </c>
      <c r="L3">
        <f>(SUMIFS('Cost Breakdowns'!$E$3:$E$12,'Cost Breakdowns'!$A$3:$A$12,'SoBCaICbIC-urbanresidential'!$A3,'Cost Breakdowns'!$F$3:$F$12,"ISIC 16"))</f>
        <v/>
      </c>
      <c r="M3">
        <f>(SUMIFS('Cost Breakdowns'!$E$3:$E$12,'Cost Breakdowns'!$A$3:$A$12,'SoBCaICbIC-urbanresidential'!$A3,'Cost Breakdowns'!$F$3:$F$12,"ISIC 17T18"))</f>
        <v/>
      </c>
      <c r="N3">
        <f>(SUMIFS('Cost Breakdowns'!$E$3:$E$12,'Cost Breakdowns'!$A$3:$A$12,'SoBCaICbIC-urbanresidential'!$A3,'Cost Breakdowns'!$F$3:$F$12,"ISIC 19"))</f>
        <v/>
      </c>
      <c r="O3">
        <f>(SUMIFS('Cost Breakdowns'!$E$3:$E$12,'Cost Breakdowns'!$A$3:$A$12,'SoBCaICbIC-urbanresidential'!$A3,'Cost Breakdowns'!$F$3:$F$12,"ISIC 20"))</f>
        <v/>
      </c>
      <c r="P3">
        <f>(SUMIFS('Cost Breakdowns'!$E$3:$E$12,'Cost Breakdowns'!$A$3:$A$12,'SoBCaICbIC-urbanresidential'!$A3,'Cost Breakdowns'!$F$3:$F$12,"ISIC 21"))</f>
        <v/>
      </c>
      <c r="Q3">
        <f>(SUMIFS('Cost Breakdowns'!$E$3:$E$12,'Cost Breakdowns'!$A$3:$A$12,'SoBCaICbIC-urbanresidential'!$A3,'Cost Breakdowns'!$F$3:$F$12,"ISIC 22"))</f>
        <v/>
      </c>
      <c r="R3">
        <f>(SUMIFS('Cost Breakdowns'!$E$3:$E$12,'Cost Breakdowns'!$A$3:$A$12,'SoBCaICbIC-urbanresidential'!$A3,'Cost Breakdowns'!$F$3:$F$12,"ISIC 231"))</f>
        <v/>
      </c>
      <c r="S3">
        <f>(SUMIFS('Cost Breakdowns'!$E$3:$E$12,'Cost Breakdowns'!$A$3:$A$12,'SoBCaICbIC-urbanresidential'!$A3,'Cost Breakdowns'!$F$3:$F$12,"ISIC 239"))</f>
        <v/>
      </c>
      <c r="T3">
        <f>(SUMIFS('Cost Breakdowns'!$E$3:$E$12,'Cost Breakdowns'!$A$3:$A$12,'SoBCaICbIC-urbanresidential'!$A3,'Cost Breakdowns'!$F$3:$F$12,"ISIC 241"))</f>
        <v/>
      </c>
      <c r="U3">
        <f>(SUMIFS('Cost Breakdowns'!$E$3:$E$12,'Cost Breakdowns'!$A$3:$A$12,'SoBCaICbIC-urbanresidential'!$A3,'Cost Breakdowns'!$F$3:$F$12,"ISIC 242"))</f>
        <v/>
      </c>
      <c r="V3">
        <f>(SUMIFS('Cost Breakdowns'!$E$3:$E$12,'Cost Breakdowns'!$A$3:$A$12,'SoBCaICbIC-urbanresidential'!$A3,'Cost Breakdowns'!$F$3:$F$12,"ISIC 25"))</f>
        <v/>
      </c>
      <c r="W3">
        <f>(SUMIFS('Cost Breakdowns'!$E$3:$E$12,'Cost Breakdowns'!$A$3:$A$12,'SoBCaICbIC-urbanresidential'!$A3,'Cost Breakdowns'!$F$3:$F$12,"ISIC 26"))</f>
        <v/>
      </c>
      <c r="X3">
        <f>(SUMIFS('Cost Breakdowns'!$E$3:$E$12,'Cost Breakdowns'!$A$3:$A$12,'SoBCaICbIC-urbanresidential'!$A3,'Cost Breakdowns'!$F$3:$F$12,"ISIC 27"))</f>
        <v/>
      </c>
      <c r="Y3">
        <f>(SUMIFS('Cost Breakdowns'!$E$3:$E$12,'Cost Breakdowns'!$A$3:$A$12,'SoBCaICbIC-urbanresidential'!$A3,'Cost Breakdowns'!$F$3:$F$12,"ISIC 28"))</f>
        <v/>
      </c>
      <c r="Z3">
        <f>(SUMIFS('Cost Breakdowns'!$E$3:$E$12,'Cost Breakdowns'!$A$3:$A$12,'SoBCaICbIC-urbanresidential'!$A3,'Cost Breakdowns'!$F$3:$F$12,"ISIC 29"))</f>
        <v/>
      </c>
      <c r="AA3">
        <f>(SUMIFS('Cost Breakdowns'!$E$3:$E$12,'Cost Breakdowns'!$A$3:$A$12,'SoBCaICbIC-urbanresidential'!$A3,'Cost Breakdowns'!$F$3:$F$12,"ISIC 30"))*'Factors applied'!$E$24</f>
        <v/>
      </c>
      <c r="AB3">
        <f>(SUMIFS('Cost Breakdowns'!$E$3:$E$12,'Cost Breakdowns'!$A$3:$A$12,'SoBCaICbIC-urbanresidential'!$A3,'Cost Breakdowns'!$F$3:$F$12,"ISIC 30"))*'Factors applied'!$E$25</f>
        <v/>
      </c>
      <c r="AC3">
        <f>(SUMIFS('Cost Breakdowns'!$E$3:$E$12,'Cost Breakdowns'!$A$3:$A$12,'SoBCaICbIC-urbanresidential'!$A3,'Cost Breakdowns'!$F$3:$F$12,"ISIC 31T33"))</f>
        <v/>
      </c>
      <c r="AD3">
        <f>(SUMIFS('Cost Breakdowns'!$E$3:$E$12,'Cost Breakdowns'!$A$3:$A$12,'SoBCaICbIC-urbanresidential'!$A3,'Cost Breakdowns'!$F$3:$F$12,"ISIC 351"))</f>
        <v/>
      </c>
      <c r="AE3">
        <f>(SUMIFS('Cost Breakdowns'!$E$3:$E$12,'Cost Breakdowns'!$A$3:$A$12,'SoBCaICbIC-urbanresidential'!$A3,'Cost Breakdowns'!$F$3:$F$12,"ISIC 352T353"))</f>
        <v/>
      </c>
      <c r="AF3">
        <f>(SUMIFS('Cost Breakdowns'!$E$3:$E$12,'Cost Breakdowns'!$A$3:$A$12,'SoBCaICbIC-urbanresidential'!$A3,'Cost Breakdowns'!$F$3:$F$12,"ISIC 36T39"))</f>
        <v/>
      </c>
      <c r="AG3">
        <f>(SUMIFS('Cost Breakdowns'!$E$3:$E$12,'Cost Breakdowns'!$A$3:$A$12,'SoBCaICbIC-urbanresidential'!$A3,'Cost Breakdowns'!$F$3:$F$12,"ISIC 41T43"))</f>
        <v/>
      </c>
      <c r="AH3">
        <f>(SUMIFS('Cost Breakdowns'!$E$3:$E$12,'Cost Breakdowns'!$A$3:$A$12,'SoBCaICbIC-urbanresidential'!$A3,'Cost Breakdowns'!$F$3:$F$12,"ISIC 45T47"))</f>
        <v/>
      </c>
      <c r="AI3">
        <f>(SUMIFS('Cost Breakdowns'!$E$3:$E$12,'Cost Breakdowns'!$A$3:$A$12,'SoBCaICbIC-urbanresidential'!$A3,'Cost Breakdowns'!$F$3:$F$12,"ISIC 49T53"))*'Factors applied'!$E$26</f>
        <v/>
      </c>
      <c r="AJ3">
        <f>(SUMIFS('Cost Breakdowns'!$E$3:$E$12,'Cost Breakdowns'!$A$3:$A$12,'SoBCaICbIC-urbanresidential'!$A3,'Cost Breakdowns'!$F$3:$F$12,"ISIC 49T53"))*'Factors applied'!$E$27</f>
        <v/>
      </c>
      <c r="AK3">
        <f>(SUMIFS('Cost Breakdowns'!$E$3:$E$12,'Cost Breakdowns'!$A$3:$A$12,'SoBCaICbIC-urbanresidential'!$A3,'Cost Breakdowns'!$F$3:$F$12,"ISIC 49T53"))*'Factors applied'!$E$28</f>
        <v/>
      </c>
      <c r="AL3">
        <f>(SUMIFS('Cost Breakdowns'!$E$3:$E$12,'Cost Breakdowns'!$A$3:$A$12,'SoBCaICbIC-urbanresidential'!$A3,'Cost Breakdowns'!$F$3:$F$12,"ISIC 49T53"))*'Factors applied'!$E$29</f>
        <v/>
      </c>
      <c r="AM3">
        <f>(SUMIFS('Cost Breakdowns'!$E$3:$E$12,'Cost Breakdowns'!$A$3:$A$12,'SoBCaICbIC-urbanresidential'!$A3,'Cost Breakdowns'!$F$3:$F$12,"ISIC 49T53"))*'Factors applied'!$E$30</f>
        <v/>
      </c>
      <c r="AN3">
        <f>(SUMIFS('Cost Breakdowns'!$E$3:$E$12,'Cost Breakdowns'!$A$3:$A$12,'SoBCaICbIC-urbanresidential'!$A3,'Cost Breakdowns'!$F$3:$F$12,"ISIC 55T56"))</f>
        <v/>
      </c>
      <c r="AO3">
        <f>(SUMIFS('Cost Breakdowns'!$E$3:$E$12,'Cost Breakdowns'!$A$3:$A$12,'SoBCaICbIC-urbanresidential'!$A3,'Cost Breakdowns'!$F$3:$F$12,"ISIC 58T60"))</f>
        <v/>
      </c>
      <c r="AP3">
        <f>(SUMIFS('Cost Breakdowns'!$E$3:$E$12,'Cost Breakdowns'!$A$3:$A$12,'SoBCaICbIC-urbanresidential'!$A3,'Cost Breakdowns'!$F$3:$F$12,"ISIC 61"))</f>
        <v/>
      </c>
      <c r="AQ3">
        <f>(SUMIFS('Cost Breakdowns'!$E$3:$E$12,'Cost Breakdowns'!$A$3:$A$12,'SoBCaICbIC-urbanresidential'!$A3,'Cost Breakdowns'!$F$3:$F$12,"ISIC 62T63"))</f>
        <v/>
      </c>
      <c r="AR3">
        <f>(SUMIFS('Cost Breakdowns'!$E$3:$E$12,'Cost Breakdowns'!$A$3:$A$12,'SoBCaICbIC-urbanresidential'!$A3,'Cost Breakdowns'!$F$3:$F$12,"ISIC 64T66"))</f>
        <v/>
      </c>
      <c r="AS3">
        <f>(SUMIFS('Cost Breakdowns'!$E$3:$E$12,'Cost Breakdowns'!$A$3:$A$12,'SoBCaICbIC-urbanresidential'!$A3,'Cost Breakdowns'!$F$3:$F$12,"ISIC 68"))</f>
        <v/>
      </c>
      <c r="AT3">
        <f>(SUMIFS('Cost Breakdowns'!$E$3:$E$12,'Cost Breakdowns'!$A$3:$A$12,'SoBCaICbIC-urbanresidential'!$A3,'Cost Breakdowns'!$F$3:$F$12,"ISIC 69T82"))*'Factors applied'!$E$31</f>
        <v/>
      </c>
      <c r="AU3">
        <f>(SUMIFS('Cost Breakdowns'!$E$3:$E$12,'Cost Breakdowns'!$A$3:$A$12,'SoBCaICbIC-urbanresidential'!$A3,'Cost Breakdowns'!$F$3:$F$12,"ISIC 69T82"))*'Factors applied'!$E$32</f>
        <v/>
      </c>
      <c r="AV3">
        <f>(SUMIFS('Cost Breakdowns'!$E$3:$E$12,'Cost Breakdowns'!$A$3:$A$12,'SoBCaICbIC-urbanresidential'!$A3,'Cost Breakdowns'!$F$3:$F$12,"ISIC 84"))</f>
        <v/>
      </c>
      <c r="AW3">
        <f>(SUMIFS('Cost Breakdowns'!$E$3:$E$12,'Cost Breakdowns'!$A$3:$A$12,'SoBCaICbIC-urbanresidential'!$A3,'Cost Breakdowns'!$F$3:$F$12,"ISIC 85"))</f>
        <v/>
      </c>
      <c r="AX3">
        <f>(SUMIFS('Cost Breakdowns'!$E$3:$E$12,'Cost Breakdowns'!$A$3:$A$12,'SoBCaICbIC-urbanresidential'!$A3,'Cost Breakdowns'!$F$3:$F$12,"ISIC 86T88"))</f>
        <v/>
      </c>
      <c r="AY3">
        <f>(SUMIFS('Cost Breakdowns'!$E$3:$E$12,'Cost Breakdowns'!$A$3:$A$12,'SoBCaICbIC-urbanresidential'!$A3,'Cost Breakdowns'!$F$3:$F$12,"ISIC 90T96"))*'Factors applied'!$E$33</f>
        <v/>
      </c>
      <c r="AZ3">
        <f>(SUMIFS('Cost Breakdowns'!$E$3:$E$12,'Cost Breakdowns'!$A$3:$A$12,'SoBCaICbIC-urbanresidential'!$A3,'Cost Breakdowns'!$F$3:$F$12,"ISIC 90T96"))*'Factors applied'!$E$34</f>
        <v/>
      </c>
      <c r="BA3">
        <f>(SUMIFS('Cost Breakdowns'!$E$3:$E$12,'Cost Breakdowns'!$A$3:$A$12,'SoBCaICbIC-urbanresidential'!$A3,'Cost Breakdowns'!$F$3:$F$12,"ISIC 97T98"))</f>
        <v/>
      </c>
    </row>
    <row r="4">
      <c r="A4" t="inlineStr">
        <is>
          <t>Envelope</t>
        </is>
      </c>
      <c r="B4">
        <f>(SUMIFS('Cost Breakdowns'!$E$3:$E$12,'Cost Breakdowns'!$A$3:$A$12,'SoBCaICbIC-urbanresidential'!$A4,'Cost Breakdowns'!$F$3:$F$12,"ISIC 01T03"))*'Factors applied'!$E$35</f>
        <v/>
      </c>
      <c r="C4">
        <f>(SUMIFS('Cost Breakdowns'!$E$3:$E$12,'Cost Breakdowns'!$A$3:$A$12,'SoBCaICbIC-urbanresidential'!$A4,'Cost Breakdowns'!$F$3:$F$12,"ISIC 01T03"))*'Factors applied'!$E$36</f>
        <v/>
      </c>
      <c r="D4">
        <f>(SUMIFS('Cost Breakdowns'!$E$3:$E$12,'Cost Breakdowns'!$A$3:$A$12,'SoBCaICbIC-urbanresidential'!$A4,'Cost Breakdowns'!$F$3:$F$12,"ISIC 01T03"))*'Factors applied'!$E$37</f>
        <v/>
      </c>
      <c r="E4">
        <f>(SUMIFS('Cost Breakdowns'!$E$3:$E$12,'Cost Breakdowns'!$A$3:$A$12,'SoBCaICbIC-urbanresidential'!$A4,'Cost Breakdowns'!$F$3:$F$12,"ISIC 05"))</f>
        <v/>
      </c>
      <c r="F4">
        <f>(SUMIFS('Cost Breakdowns'!$E$3:$E$12,'Cost Breakdowns'!$A$3:$A$12,'SoBCaICbIC-urbanresidential'!$A4,'Cost Breakdowns'!$F$3:$F$12,"ISIC 06"))</f>
        <v/>
      </c>
      <c r="G4">
        <f>(SUMIFS('Cost Breakdowns'!$E$3:$E$12,'Cost Breakdowns'!$A$3:$A$12,'SoBCaICbIC-urbanresidential'!$A4,'Cost Breakdowns'!$F$3:$F$12,"ISIC 07T08"))*'Factors applied'!$E$38</f>
        <v/>
      </c>
      <c r="H4">
        <f>(SUMIFS('Cost Breakdowns'!$E$3:$E$12,'Cost Breakdowns'!$A$3:$A$12,'SoBCaICbIC-urbanresidential'!$A4,'Cost Breakdowns'!$F$3:$F$12,"ISIC 07T08"))*'Factors applied'!$E$39</f>
        <v/>
      </c>
      <c r="I4">
        <f>(SUMIFS('Cost Breakdowns'!$E$3:$E$12,'Cost Breakdowns'!$A$3:$A$12,'SoBCaICbIC-urbanresidential'!$A4,'Cost Breakdowns'!$F$3:$F$12,"ISIC 09"))</f>
        <v/>
      </c>
      <c r="J4">
        <f>(SUMIFS('Cost Breakdowns'!$E$3:$E$12,'Cost Breakdowns'!$A$3:$A$12,'SoBCaICbIC-urbanresidential'!$A4,'Cost Breakdowns'!$F$3:$F$12,"ISIC 10T12"))</f>
        <v/>
      </c>
      <c r="K4">
        <f>(SUMIFS('Cost Breakdowns'!$E$3:$E$12,'Cost Breakdowns'!$A$3:$A$12,'SoBCaICbIC-urbanresidential'!$A4,'Cost Breakdowns'!$F$3:$F$12,"ISIC 13T15"))</f>
        <v/>
      </c>
      <c r="L4">
        <f>(SUMIFS('Cost Breakdowns'!$E$3:$E$12,'Cost Breakdowns'!$A$3:$A$12,'SoBCaICbIC-urbanresidential'!$A4,'Cost Breakdowns'!$F$3:$F$12,"ISIC 16"))</f>
        <v/>
      </c>
      <c r="M4">
        <f>(SUMIFS('Cost Breakdowns'!$E$3:$E$12,'Cost Breakdowns'!$A$3:$A$12,'SoBCaICbIC-urbanresidential'!$A4,'Cost Breakdowns'!$F$3:$F$12,"ISIC 17T18"))</f>
        <v/>
      </c>
      <c r="N4">
        <f>(SUMIFS('Cost Breakdowns'!$E$3:$E$12,'Cost Breakdowns'!$A$3:$A$12,'SoBCaICbIC-urbanresidential'!$A4,'Cost Breakdowns'!$F$3:$F$12,"ISIC 19"))</f>
        <v/>
      </c>
      <c r="O4">
        <f>(SUMIFS('Cost Breakdowns'!$E$3:$E$12,'Cost Breakdowns'!$A$3:$A$12,'SoBCaICbIC-urbanresidential'!$A4,'Cost Breakdowns'!$F$3:$F$12,"ISIC 20"))</f>
        <v/>
      </c>
      <c r="P4">
        <f>(SUMIFS('Cost Breakdowns'!$E$3:$E$12,'Cost Breakdowns'!$A$3:$A$12,'SoBCaICbIC-urbanresidential'!$A4,'Cost Breakdowns'!$F$3:$F$12,"ISIC 21"))</f>
        <v/>
      </c>
      <c r="Q4">
        <f>(SUMIFS('Cost Breakdowns'!$E$3:$E$12,'Cost Breakdowns'!$A$3:$A$12,'SoBCaICbIC-urbanresidential'!$A4,'Cost Breakdowns'!$F$3:$F$12,"ISIC 22"))</f>
        <v/>
      </c>
      <c r="R4">
        <f>(SUMIFS('Cost Breakdowns'!$E$3:$E$12,'Cost Breakdowns'!$A$3:$A$12,'SoBCaICbIC-urbanresidential'!$A4,'Cost Breakdowns'!$F$3:$F$12,"ISIC 231"))</f>
        <v/>
      </c>
      <c r="S4">
        <f>(SUMIFS('Cost Breakdowns'!$E$3:$E$12,'Cost Breakdowns'!$A$3:$A$12,'SoBCaICbIC-urbanresidential'!$A4,'Cost Breakdowns'!$F$3:$F$12,"ISIC 239"))</f>
        <v/>
      </c>
      <c r="T4">
        <f>(SUMIFS('Cost Breakdowns'!$E$3:$E$12,'Cost Breakdowns'!$A$3:$A$12,'SoBCaICbIC-urbanresidential'!$A4,'Cost Breakdowns'!$F$3:$F$12,"ISIC 241"))</f>
        <v/>
      </c>
      <c r="U4">
        <f>(SUMIFS('Cost Breakdowns'!$E$3:$E$12,'Cost Breakdowns'!$A$3:$A$12,'SoBCaICbIC-urbanresidential'!$A4,'Cost Breakdowns'!$F$3:$F$12,"ISIC 242"))</f>
        <v/>
      </c>
      <c r="V4">
        <f>(SUMIFS('Cost Breakdowns'!$E$3:$E$12,'Cost Breakdowns'!$A$3:$A$12,'SoBCaICbIC-urbanresidential'!$A4,'Cost Breakdowns'!$F$3:$F$12,"ISIC 25"))</f>
        <v/>
      </c>
      <c r="W4">
        <f>(SUMIFS('Cost Breakdowns'!$E$3:$E$12,'Cost Breakdowns'!$A$3:$A$12,'SoBCaICbIC-urbanresidential'!$A4,'Cost Breakdowns'!$F$3:$F$12,"ISIC 26"))</f>
        <v/>
      </c>
      <c r="X4">
        <f>(SUMIFS('Cost Breakdowns'!$E$3:$E$12,'Cost Breakdowns'!$A$3:$A$12,'SoBCaICbIC-urbanresidential'!$A4,'Cost Breakdowns'!$F$3:$F$12,"ISIC 27"))</f>
        <v/>
      </c>
      <c r="Y4">
        <f>(SUMIFS('Cost Breakdowns'!$E$3:$E$12,'Cost Breakdowns'!$A$3:$A$12,'SoBCaICbIC-urbanresidential'!$A4,'Cost Breakdowns'!$F$3:$F$12,"ISIC 28"))</f>
        <v/>
      </c>
      <c r="Z4">
        <f>(SUMIFS('Cost Breakdowns'!$E$3:$E$12,'Cost Breakdowns'!$A$3:$A$12,'SoBCaICbIC-urbanresidential'!$A4,'Cost Breakdowns'!$F$3:$F$12,"ISIC 29"))</f>
        <v/>
      </c>
      <c r="AA4">
        <f>(SUMIFS('Cost Breakdowns'!$E$3:$E$12,'Cost Breakdowns'!$A$3:$A$12,'SoBCaICbIC-urbanresidential'!$A4,'Cost Breakdowns'!$F$3:$F$12,"ISIC 30"))*'Factors applied'!$E$40</f>
        <v/>
      </c>
      <c r="AB4">
        <f>(SUMIFS('Cost Breakdowns'!$E$3:$E$12,'Cost Breakdowns'!$A$3:$A$12,'SoBCaICbIC-urbanresidential'!$A4,'Cost Breakdowns'!$F$3:$F$12,"ISIC 30"))*'Factors applied'!$E$41</f>
        <v/>
      </c>
      <c r="AC4">
        <f>(SUMIFS('Cost Breakdowns'!$E$3:$E$12,'Cost Breakdowns'!$A$3:$A$12,'SoBCaICbIC-urbanresidential'!$A4,'Cost Breakdowns'!$F$3:$F$12,"ISIC 31T33"))</f>
        <v/>
      </c>
      <c r="AD4">
        <f>(SUMIFS('Cost Breakdowns'!$E$3:$E$12,'Cost Breakdowns'!$A$3:$A$12,'SoBCaICbIC-urbanresidential'!$A4,'Cost Breakdowns'!$F$3:$F$12,"ISIC 351"))</f>
        <v/>
      </c>
      <c r="AE4">
        <f>(SUMIFS('Cost Breakdowns'!$E$3:$E$12,'Cost Breakdowns'!$A$3:$A$12,'SoBCaICbIC-urbanresidential'!$A4,'Cost Breakdowns'!$F$3:$F$12,"ISIC 352T353"))</f>
        <v/>
      </c>
      <c r="AF4">
        <f>(SUMIFS('Cost Breakdowns'!$E$3:$E$12,'Cost Breakdowns'!$A$3:$A$12,'SoBCaICbIC-urbanresidential'!$A4,'Cost Breakdowns'!$F$3:$F$12,"ISIC 36T39"))</f>
        <v/>
      </c>
      <c r="AG4">
        <f>(SUMIFS('Cost Breakdowns'!$E$3:$E$12,'Cost Breakdowns'!$A$3:$A$12,'SoBCaICbIC-urbanresidential'!$A4,'Cost Breakdowns'!$F$3:$F$12,"ISIC 41T43"))</f>
        <v/>
      </c>
      <c r="AH4">
        <f>(SUMIFS('Cost Breakdowns'!$E$3:$E$12,'Cost Breakdowns'!$A$3:$A$12,'SoBCaICbIC-urbanresidential'!$A4,'Cost Breakdowns'!$F$3:$F$12,"ISIC 45T47"))</f>
        <v/>
      </c>
      <c r="AI4">
        <f>(SUMIFS('Cost Breakdowns'!$E$3:$E$12,'Cost Breakdowns'!$A$3:$A$12,'SoBCaICbIC-urbanresidential'!$A4,'Cost Breakdowns'!$F$3:$F$12,"ISIC 49T53"))*'Factors applied'!$E$42</f>
        <v/>
      </c>
      <c r="AJ4">
        <f>(SUMIFS('Cost Breakdowns'!$E$3:$E$12,'Cost Breakdowns'!$A$3:$A$12,'SoBCaICbIC-urbanresidential'!$A4,'Cost Breakdowns'!$F$3:$F$12,"ISIC 49T53"))*'Factors applied'!$E$43</f>
        <v/>
      </c>
      <c r="AK4">
        <f>(SUMIFS('Cost Breakdowns'!$E$3:$E$12,'Cost Breakdowns'!$A$3:$A$12,'SoBCaICbIC-urbanresidential'!$A4,'Cost Breakdowns'!$F$3:$F$12,"ISIC 49T53"))*'Factors applied'!$E$44</f>
        <v/>
      </c>
      <c r="AL4">
        <f>(SUMIFS('Cost Breakdowns'!$E$3:$E$12,'Cost Breakdowns'!$A$3:$A$12,'SoBCaICbIC-urbanresidential'!$A4,'Cost Breakdowns'!$F$3:$F$12,"ISIC 49T53"))*'Factors applied'!$E$45</f>
        <v/>
      </c>
      <c r="AM4">
        <f>(SUMIFS('Cost Breakdowns'!$E$3:$E$12,'Cost Breakdowns'!$A$3:$A$12,'SoBCaICbIC-urbanresidential'!$A4,'Cost Breakdowns'!$F$3:$F$12,"ISIC 49T53"))*'Factors applied'!$E$46</f>
        <v/>
      </c>
      <c r="AN4">
        <f>(SUMIFS('Cost Breakdowns'!$E$3:$E$12,'Cost Breakdowns'!$A$3:$A$12,'SoBCaICbIC-urbanresidential'!$A4,'Cost Breakdowns'!$F$3:$F$12,"ISIC 55T56"))</f>
        <v/>
      </c>
      <c r="AO4">
        <f>(SUMIFS('Cost Breakdowns'!$E$3:$E$12,'Cost Breakdowns'!$A$3:$A$12,'SoBCaICbIC-urbanresidential'!$A4,'Cost Breakdowns'!$F$3:$F$12,"ISIC 58T60"))</f>
        <v/>
      </c>
      <c r="AP4">
        <f>(SUMIFS('Cost Breakdowns'!$E$3:$E$12,'Cost Breakdowns'!$A$3:$A$12,'SoBCaICbIC-urbanresidential'!$A4,'Cost Breakdowns'!$F$3:$F$12,"ISIC 61"))</f>
        <v/>
      </c>
      <c r="AQ4">
        <f>(SUMIFS('Cost Breakdowns'!$E$3:$E$12,'Cost Breakdowns'!$A$3:$A$12,'SoBCaICbIC-urbanresidential'!$A4,'Cost Breakdowns'!$F$3:$F$12,"ISIC 62T63"))</f>
        <v/>
      </c>
      <c r="AR4">
        <f>(SUMIFS('Cost Breakdowns'!$E$3:$E$12,'Cost Breakdowns'!$A$3:$A$12,'SoBCaICbIC-urbanresidential'!$A4,'Cost Breakdowns'!$F$3:$F$12,"ISIC 64T66"))</f>
        <v/>
      </c>
      <c r="AS4">
        <f>(SUMIFS('Cost Breakdowns'!$E$3:$E$12,'Cost Breakdowns'!$A$3:$A$12,'SoBCaICbIC-urbanresidential'!$A4,'Cost Breakdowns'!$F$3:$F$12,"ISIC 68"))</f>
        <v/>
      </c>
      <c r="AT4">
        <f>(SUMIFS('Cost Breakdowns'!$E$3:$E$12,'Cost Breakdowns'!$A$3:$A$12,'SoBCaICbIC-urbanresidential'!$A4,'Cost Breakdowns'!$F$3:$F$12,"ISIC 69T82"))*'Factors applied'!$E$47</f>
        <v/>
      </c>
      <c r="AU4">
        <f>(SUMIFS('Cost Breakdowns'!$E$3:$E$12,'Cost Breakdowns'!$A$3:$A$12,'SoBCaICbIC-urbanresidential'!$A4,'Cost Breakdowns'!$F$3:$F$12,"ISIC 69T82"))*'Factors applied'!$E$48</f>
        <v/>
      </c>
      <c r="AV4">
        <f>(SUMIFS('Cost Breakdowns'!$E$3:$E$12,'Cost Breakdowns'!$A$3:$A$12,'SoBCaICbIC-urbanresidential'!$A4,'Cost Breakdowns'!$F$3:$F$12,"ISIC 84"))</f>
        <v/>
      </c>
      <c r="AW4">
        <f>(SUMIFS('Cost Breakdowns'!$E$3:$E$12,'Cost Breakdowns'!$A$3:$A$12,'SoBCaICbIC-urbanresidential'!$A4,'Cost Breakdowns'!$F$3:$F$12,"ISIC 85"))</f>
        <v/>
      </c>
      <c r="AX4">
        <f>(SUMIFS('Cost Breakdowns'!$E$3:$E$12,'Cost Breakdowns'!$A$3:$A$12,'SoBCaICbIC-urbanresidential'!$A4,'Cost Breakdowns'!$F$3:$F$12,"ISIC 86T88"))</f>
        <v/>
      </c>
      <c r="AY4">
        <f>(SUMIFS('Cost Breakdowns'!$E$3:$E$12,'Cost Breakdowns'!$A$3:$A$12,'SoBCaICbIC-urbanresidential'!$A4,'Cost Breakdowns'!$F$3:$F$12,"ISIC 90T96"))*'Factors applied'!$E$49</f>
        <v/>
      </c>
      <c r="AZ4">
        <f>(SUMIFS('Cost Breakdowns'!$E$3:$E$12,'Cost Breakdowns'!$A$3:$A$12,'SoBCaICbIC-urbanresidential'!$A4,'Cost Breakdowns'!$F$3:$F$12,"ISIC 90T96"))*'Factors applied'!$E$50</f>
        <v/>
      </c>
      <c r="BA4">
        <f>(SUMIFS('Cost Breakdowns'!$E$3:$E$12,'Cost Breakdowns'!$A$3:$A$12,'SoBCaICbIC-urbanresidential'!$A4,'Cost Breakdowns'!$F$3:$F$12,"ISIC 97T98"))</f>
        <v/>
      </c>
    </row>
    <row r="5">
      <c r="A5" t="inlineStr">
        <is>
          <t>Lighting</t>
        </is>
      </c>
      <c r="B5">
        <f>(SUMIFS('Cost Breakdowns'!$E$3:$E$12,'Cost Breakdowns'!$A$3:$A$12,'SoBCaICbIC-urbanresidential'!$A5,'Cost Breakdowns'!$F$3:$F$12,"ISIC 01T03"))*'Factors applied'!$E$67</f>
        <v/>
      </c>
      <c r="C5">
        <f>(SUMIFS('Cost Breakdowns'!$E$3:$E$12,'Cost Breakdowns'!$A$3:$A$12,'SoBCaICbIC-urbanresidential'!$A5,'Cost Breakdowns'!$F$3:$F$12,"ISIC 01T03"))*'Factors applied'!$E$68</f>
        <v/>
      </c>
      <c r="D5">
        <f>(SUMIFS('Cost Breakdowns'!$E$3:$E$12,'Cost Breakdowns'!$A$3:$A$12,'SoBCaICbIC-urbanresidential'!$A5,'Cost Breakdowns'!$F$3:$F$12,"ISIC 01T03"))*'Factors applied'!$E$69</f>
        <v/>
      </c>
      <c r="E5">
        <f>(SUMIFS('Cost Breakdowns'!$E$3:$E$12,'Cost Breakdowns'!$A$3:$A$12,'SoBCaICbIC-urbanresidential'!$A5,'Cost Breakdowns'!$F$3:$F$12,"ISIC 05"))</f>
        <v/>
      </c>
      <c r="F5">
        <f>(SUMIFS('Cost Breakdowns'!$E$3:$E$12,'Cost Breakdowns'!$A$3:$A$12,'SoBCaICbIC-urbanresidential'!$A5,'Cost Breakdowns'!$F$3:$F$12,"ISIC 06"))</f>
        <v/>
      </c>
      <c r="G5">
        <f>(SUMIFS('Cost Breakdowns'!$E$3:$E$12,'Cost Breakdowns'!$A$3:$A$12,'SoBCaICbIC-urbanresidential'!$A5,'Cost Breakdowns'!$F$3:$F$12,"ISIC 07T08"))*'Factors applied'!$E$70</f>
        <v/>
      </c>
      <c r="H5">
        <f>(SUMIFS('Cost Breakdowns'!$E$3:$E$12,'Cost Breakdowns'!$A$3:$A$12,'SoBCaICbIC-urbanresidential'!$A5,'Cost Breakdowns'!$F$3:$F$12,"ISIC 07T08"))*'Factors applied'!$E$71</f>
        <v/>
      </c>
      <c r="I5">
        <f>(SUMIFS('Cost Breakdowns'!$E$3:$E$12,'Cost Breakdowns'!$A$3:$A$12,'SoBCaICbIC-urbanresidential'!$A5,'Cost Breakdowns'!$F$3:$F$12,"ISIC 09"))</f>
        <v/>
      </c>
      <c r="J5">
        <f>(SUMIFS('Cost Breakdowns'!$E$3:$E$12,'Cost Breakdowns'!$A$3:$A$12,'SoBCaICbIC-urbanresidential'!$A5,'Cost Breakdowns'!$F$3:$F$12,"ISIC 10T12"))</f>
        <v/>
      </c>
      <c r="K5">
        <f>(SUMIFS('Cost Breakdowns'!$E$3:$E$12,'Cost Breakdowns'!$A$3:$A$12,'SoBCaICbIC-urbanresidential'!$A5,'Cost Breakdowns'!$F$3:$F$12,"ISIC 13T15"))</f>
        <v/>
      </c>
      <c r="L5">
        <f>(SUMIFS('Cost Breakdowns'!$E$3:$E$12,'Cost Breakdowns'!$A$3:$A$12,'SoBCaICbIC-urbanresidential'!$A5,'Cost Breakdowns'!$F$3:$F$12,"ISIC 16"))</f>
        <v/>
      </c>
      <c r="M5">
        <f>(SUMIFS('Cost Breakdowns'!$E$3:$E$12,'Cost Breakdowns'!$A$3:$A$12,'SoBCaICbIC-urbanresidential'!$A5,'Cost Breakdowns'!$F$3:$F$12,"ISIC 17T18"))</f>
        <v/>
      </c>
      <c r="N5">
        <f>(SUMIFS('Cost Breakdowns'!$E$3:$E$12,'Cost Breakdowns'!$A$3:$A$12,'SoBCaICbIC-urbanresidential'!$A5,'Cost Breakdowns'!$F$3:$F$12,"ISIC 19"))</f>
        <v/>
      </c>
      <c r="O5">
        <f>(SUMIFS('Cost Breakdowns'!$E$3:$E$12,'Cost Breakdowns'!$A$3:$A$12,'SoBCaICbIC-urbanresidential'!$A5,'Cost Breakdowns'!$F$3:$F$12,"ISIC 20"))</f>
        <v/>
      </c>
      <c r="P5">
        <f>(SUMIFS('Cost Breakdowns'!$E$3:$E$12,'Cost Breakdowns'!$A$3:$A$12,'SoBCaICbIC-urbanresidential'!$A5,'Cost Breakdowns'!$F$3:$F$12,"ISIC 21"))</f>
        <v/>
      </c>
      <c r="Q5">
        <f>(SUMIFS('Cost Breakdowns'!$E$3:$E$12,'Cost Breakdowns'!$A$3:$A$12,'SoBCaICbIC-urbanresidential'!$A5,'Cost Breakdowns'!$F$3:$F$12,"ISIC 22"))</f>
        <v/>
      </c>
      <c r="R5">
        <f>(SUMIFS('Cost Breakdowns'!$E$3:$E$12,'Cost Breakdowns'!$A$3:$A$12,'SoBCaICbIC-urbanresidential'!$A5,'Cost Breakdowns'!$F$3:$F$12,"ISIC 231"))</f>
        <v/>
      </c>
      <c r="S5">
        <f>(SUMIFS('Cost Breakdowns'!$E$3:$E$12,'Cost Breakdowns'!$A$3:$A$12,'SoBCaICbIC-urbanresidential'!$A5,'Cost Breakdowns'!$F$3:$F$12,"ISIC 239"))</f>
        <v/>
      </c>
      <c r="T5">
        <f>(SUMIFS('Cost Breakdowns'!$E$3:$E$12,'Cost Breakdowns'!$A$3:$A$12,'SoBCaICbIC-urbanresidential'!$A5,'Cost Breakdowns'!$F$3:$F$12,"ISIC 241"))</f>
        <v/>
      </c>
      <c r="U5">
        <f>(SUMIFS('Cost Breakdowns'!$E$3:$E$12,'Cost Breakdowns'!$A$3:$A$12,'SoBCaICbIC-urbanresidential'!$A5,'Cost Breakdowns'!$F$3:$F$12,"ISIC 242"))</f>
        <v/>
      </c>
      <c r="V5">
        <f>(SUMIFS('Cost Breakdowns'!$E$3:$E$12,'Cost Breakdowns'!$A$3:$A$12,'SoBCaICbIC-urbanresidential'!$A5,'Cost Breakdowns'!$F$3:$F$12,"ISIC 25"))</f>
        <v/>
      </c>
      <c r="W5">
        <f>(SUMIFS('Cost Breakdowns'!$E$3:$E$12,'Cost Breakdowns'!$A$3:$A$12,'SoBCaICbIC-urbanresidential'!$A5,'Cost Breakdowns'!$F$3:$F$12,"ISIC 26"))</f>
        <v/>
      </c>
      <c r="X5">
        <f>(SUMIFS('Cost Breakdowns'!$E$3:$E$12,'Cost Breakdowns'!$A$3:$A$12,'SoBCaICbIC-urbanresidential'!$A5,'Cost Breakdowns'!$F$3:$F$12,"ISIC 27"))</f>
        <v/>
      </c>
      <c r="Y5">
        <f>(SUMIFS('Cost Breakdowns'!$E$3:$E$12,'Cost Breakdowns'!$A$3:$A$12,'SoBCaICbIC-urbanresidential'!$A5,'Cost Breakdowns'!$F$3:$F$12,"ISIC 28"))</f>
        <v/>
      </c>
      <c r="Z5">
        <f>(SUMIFS('Cost Breakdowns'!$E$3:$E$12,'Cost Breakdowns'!$A$3:$A$12,'SoBCaICbIC-urbanresidential'!$A5,'Cost Breakdowns'!$F$3:$F$12,"ISIC 29"))</f>
        <v/>
      </c>
      <c r="AA5">
        <f>(SUMIFS('Cost Breakdowns'!$E$3:$E$12,'Cost Breakdowns'!$A$3:$A$12,'SoBCaICbIC-urbanresidential'!$A5,'Cost Breakdowns'!$F$3:$F$12,"ISIC 30"))*'Factors applied'!$E$72</f>
        <v/>
      </c>
      <c r="AB5">
        <f>(SUMIFS('Cost Breakdowns'!$E$3:$E$12,'Cost Breakdowns'!$A$3:$A$12,'SoBCaICbIC-urbanresidential'!$A5,'Cost Breakdowns'!$F$3:$F$12,"ISIC 30"))*'Factors applied'!$E$73</f>
        <v/>
      </c>
      <c r="AC5">
        <f>(SUMIFS('Cost Breakdowns'!$E$3:$E$12,'Cost Breakdowns'!$A$3:$A$12,'SoBCaICbIC-urbanresidential'!$A5,'Cost Breakdowns'!$F$3:$F$12,"ISIC 31T33"))</f>
        <v/>
      </c>
      <c r="AD5">
        <f>(SUMIFS('Cost Breakdowns'!$E$3:$E$12,'Cost Breakdowns'!$A$3:$A$12,'SoBCaICbIC-urbanresidential'!$A5,'Cost Breakdowns'!$F$3:$F$12,"ISIC 351"))</f>
        <v/>
      </c>
      <c r="AE5">
        <f>(SUMIFS('Cost Breakdowns'!$E$3:$E$12,'Cost Breakdowns'!$A$3:$A$12,'SoBCaICbIC-urbanresidential'!$A5,'Cost Breakdowns'!$F$3:$F$12,"ISIC 352T353"))</f>
        <v/>
      </c>
      <c r="AF5">
        <f>(SUMIFS('Cost Breakdowns'!$E$3:$E$12,'Cost Breakdowns'!$A$3:$A$12,'SoBCaICbIC-urbanresidential'!$A5,'Cost Breakdowns'!$F$3:$F$12,"ISIC 36T39"))</f>
        <v/>
      </c>
      <c r="AG5">
        <f>(SUMIFS('Cost Breakdowns'!$E$3:$E$12,'Cost Breakdowns'!$A$3:$A$12,'SoBCaICbIC-urbanresidential'!$A5,'Cost Breakdowns'!$F$3:$F$12,"ISIC 41T43"))</f>
        <v/>
      </c>
      <c r="AH5">
        <f>(SUMIFS('Cost Breakdowns'!$E$3:$E$12,'Cost Breakdowns'!$A$3:$A$12,'SoBCaICbIC-urbanresidential'!$A5,'Cost Breakdowns'!$F$3:$F$12,"ISIC 45T47"))</f>
        <v/>
      </c>
      <c r="AI5">
        <f>(SUMIFS('Cost Breakdowns'!$E$3:$E$12,'Cost Breakdowns'!$A$3:$A$12,'SoBCaICbIC-urbanresidential'!$A5,'Cost Breakdowns'!$F$3:$F$12,"ISIC 49T53"))*'Factors applied'!$E$74</f>
        <v/>
      </c>
      <c r="AJ5">
        <f>(SUMIFS('Cost Breakdowns'!$E$3:$E$12,'Cost Breakdowns'!$A$3:$A$12,'SoBCaICbIC-urbanresidential'!$A5,'Cost Breakdowns'!$F$3:$F$12,"ISIC 49T53"))*'Factors applied'!$E$75</f>
        <v/>
      </c>
      <c r="AK5">
        <f>(SUMIFS('Cost Breakdowns'!$E$3:$E$12,'Cost Breakdowns'!$A$3:$A$12,'SoBCaICbIC-urbanresidential'!$A5,'Cost Breakdowns'!$F$3:$F$12,"ISIC 49T53"))*'Factors applied'!$E$76</f>
        <v/>
      </c>
      <c r="AL5">
        <f>(SUMIFS('Cost Breakdowns'!$E$3:$E$12,'Cost Breakdowns'!$A$3:$A$12,'SoBCaICbIC-urbanresidential'!$A5,'Cost Breakdowns'!$F$3:$F$12,"ISIC 49T53"))*'Factors applied'!$E$77</f>
        <v/>
      </c>
      <c r="AM5">
        <f>(SUMIFS('Cost Breakdowns'!$E$3:$E$12,'Cost Breakdowns'!$A$3:$A$12,'SoBCaICbIC-urbanresidential'!$A5,'Cost Breakdowns'!$F$3:$F$12,"ISIC 49T53"))*'Factors applied'!$E$78</f>
        <v/>
      </c>
      <c r="AN5">
        <f>(SUMIFS('Cost Breakdowns'!$E$3:$E$12,'Cost Breakdowns'!$A$3:$A$12,'SoBCaICbIC-urbanresidential'!$A5,'Cost Breakdowns'!$F$3:$F$12,"ISIC 55T56"))</f>
        <v/>
      </c>
      <c r="AO5">
        <f>(SUMIFS('Cost Breakdowns'!$E$3:$E$12,'Cost Breakdowns'!$A$3:$A$12,'SoBCaICbIC-urbanresidential'!$A5,'Cost Breakdowns'!$F$3:$F$12,"ISIC 58T60"))</f>
        <v/>
      </c>
      <c r="AP5">
        <f>(SUMIFS('Cost Breakdowns'!$E$3:$E$12,'Cost Breakdowns'!$A$3:$A$12,'SoBCaICbIC-urbanresidential'!$A5,'Cost Breakdowns'!$F$3:$F$12,"ISIC 61"))</f>
        <v/>
      </c>
      <c r="AQ5">
        <f>(SUMIFS('Cost Breakdowns'!$E$3:$E$12,'Cost Breakdowns'!$A$3:$A$12,'SoBCaICbIC-urbanresidential'!$A5,'Cost Breakdowns'!$F$3:$F$12,"ISIC 62T63"))</f>
        <v/>
      </c>
      <c r="AR5">
        <f>(SUMIFS('Cost Breakdowns'!$E$3:$E$12,'Cost Breakdowns'!$A$3:$A$12,'SoBCaICbIC-urbanresidential'!$A5,'Cost Breakdowns'!$F$3:$F$12,"ISIC 64T66"))</f>
        <v/>
      </c>
      <c r="AS5">
        <f>(SUMIFS('Cost Breakdowns'!$E$3:$E$12,'Cost Breakdowns'!$A$3:$A$12,'SoBCaICbIC-urbanresidential'!$A5,'Cost Breakdowns'!$F$3:$F$12,"ISIC 68"))</f>
        <v/>
      </c>
      <c r="AT5">
        <f>(SUMIFS('Cost Breakdowns'!$E$3:$E$12,'Cost Breakdowns'!$A$3:$A$12,'SoBCaICbIC-urbanresidential'!$A5,'Cost Breakdowns'!$F$3:$F$12,"ISIC 69T82"))*'Factors applied'!$E$79</f>
        <v/>
      </c>
      <c r="AU5">
        <f>(SUMIFS('Cost Breakdowns'!$E$3:$E$12,'Cost Breakdowns'!$A$3:$A$12,'SoBCaICbIC-urbanresidential'!$A5,'Cost Breakdowns'!$F$3:$F$12,"ISIC 69T82"))*'Factors applied'!$E$80</f>
        <v/>
      </c>
      <c r="AV5">
        <f>(SUMIFS('Cost Breakdowns'!$E$3:$E$12,'Cost Breakdowns'!$A$3:$A$12,'SoBCaICbIC-urbanresidential'!$A5,'Cost Breakdowns'!$F$3:$F$12,"ISIC 84"))</f>
        <v/>
      </c>
      <c r="AW5">
        <f>(SUMIFS('Cost Breakdowns'!$E$3:$E$12,'Cost Breakdowns'!$A$3:$A$12,'SoBCaICbIC-urbanresidential'!$A5,'Cost Breakdowns'!$F$3:$F$12,"ISIC 85"))</f>
        <v/>
      </c>
      <c r="AX5">
        <f>(SUMIFS('Cost Breakdowns'!$E$3:$E$12,'Cost Breakdowns'!$A$3:$A$12,'SoBCaICbIC-urbanresidential'!$A5,'Cost Breakdowns'!$F$3:$F$12,"ISIC 86T88"))</f>
        <v/>
      </c>
      <c r="AY5">
        <f>(SUMIFS('Cost Breakdowns'!$E$3:$E$12,'Cost Breakdowns'!$A$3:$A$12,'SoBCaICbIC-urbanresidential'!$A5,'Cost Breakdowns'!$F$3:$F$12,"ISIC 90T96"))*'Factors applied'!$E$81</f>
        <v/>
      </c>
      <c r="AZ5">
        <f>(SUMIFS('Cost Breakdowns'!$E$3:$E$12,'Cost Breakdowns'!$A$3:$A$12,'SoBCaICbIC-urbanresidential'!$A5,'Cost Breakdowns'!$F$3:$F$12,"ISIC 90T96"))*'Factors applied'!$E$82</f>
        <v/>
      </c>
      <c r="BA5">
        <f>(SUMIFS('Cost Breakdowns'!$E$3:$E$12,'Cost Breakdowns'!$A$3:$A$12,'SoBCaICbIC-urbanresidential'!$A5,'Cost Breakdowns'!$F$3:$F$12,"ISIC 97T98"))</f>
        <v/>
      </c>
    </row>
    <row r="6">
      <c r="A6" t="inlineStr">
        <is>
          <t>Appliances</t>
        </is>
      </c>
      <c r="B6">
        <f>(SUMIFS('Cost Breakdowns'!$E$3:$E$12,'Cost Breakdowns'!$A$3:$A$12,'SoBCaICbIC-urbanresidential'!$A6,'Cost Breakdowns'!$F$3:$F$12,"ISIC 01T03"))*'Factors applied'!$E$3</f>
        <v/>
      </c>
      <c r="C6">
        <f>(SUMIFS('Cost Breakdowns'!$E$3:$E$12,'Cost Breakdowns'!$A$3:$A$12,'SoBCaICbIC-urbanresidential'!$A6,'Cost Breakdowns'!$F$3:$F$12,"ISIC 01T03"))*'Factors applied'!$E$4</f>
        <v/>
      </c>
      <c r="D6">
        <f>(SUMIFS('Cost Breakdowns'!$E$3:$E$12,'Cost Breakdowns'!$A$3:$A$12,'SoBCaICbIC-urbanresidential'!$A6,'Cost Breakdowns'!$F$3:$F$12,"ISIC 01T03"))*'Factors applied'!$E$5</f>
        <v/>
      </c>
      <c r="E6">
        <f>(SUMIFS('Cost Breakdowns'!$E$3:$E$12,'Cost Breakdowns'!$A$3:$A$12,'SoBCaICbIC-urbanresidential'!$A6,'Cost Breakdowns'!$F$3:$F$12,"ISIC 05"))</f>
        <v/>
      </c>
      <c r="F6">
        <f>(SUMIFS('Cost Breakdowns'!$E$3:$E$12,'Cost Breakdowns'!$A$3:$A$12,'SoBCaICbIC-urbanresidential'!$A6,'Cost Breakdowns'!$F$3:$F$12,"ISIC 06"))</f>
        <v/>
      </c>
      <c r="G6">
        <f>(SUMIFS('Cost Breakdowns'!$E$3:$E$12,'Cost Breakdowns'!$A$3:$A$12,'SoBCaICbIC-urbanresidential'!$A6,'Cost Breakdowns'!$F$3:$F$12,"ISIC 07T08"))*'Factors applied'!$E$6</f>
        <v/>
      </c>
      <c r="H6">
        <f>(SUMIFS('Cost Breakdowns'!$E$3:$E$12,'Cost Breakdowns'!$A$3:$A$12,'SoBCaICbIC-urbanresidential'!$A6,'Cost Breakdowns'!$F$3:$F$12,"ISIC 07T08"))*'Factors applied'!$E$7</f>
        <v/>
      </c>
      <c r="I6">
        <f>(SUMIFS('Cost Breakdowns'!$E$3:$E$12,'Cost Breakdowns'!$A$3:$A$12,'SoBCaICbIC-urbanresidential'!$A6,'Cost Breakdowns'!$F$3:$F$12,"ISIC 09"))</f>
        <v/>
      </c>
      <c r="J6">
        <f>(SUMIFS('Cost Breakdowns'!$E$3:$E$12,'Cost Breakdowns'!$A$3:$A$12,'SoBCaICbIC-urbanresidential'!$A6,'Cost Breakdowns'!$F$3:$F$12,"ISIC 10T12"))</f>
        <v/>
      </c>
      <c r="K6">
        <f>(SUMIFS('Cost Breakdowns'!$E$3:$E$12,'Cost Breakdowns'!$A$3:$A$12,'SoBCaICbIC-urbanresidential'!$A6,'Cost Breakdowns'!$F$3:$F$12,"ISIC 13T15"))</f>
        <v/>
      </c>
      <c r="L6">
        <f>(SUMIFS('Cost Breakdowns'!$E$3:$E$12,'Cost Breakdowns'!$A$3:$A$12,'SoBCaICbIC-urbanresidential'!$A6,'Cost Breakdowns'!$F$3:$F$12,"ISIC 16"))</f>
        <v/>
      </c>
      <c r="M6">
        <f>(SUMIFS('Cost Breakdowns'!$E$3:$E$12,'Cost Breakdowns'!$A$3:$A$12,'SoBCaICbIC-urbanresidential'!$A6,'Cost Breakdowns'!$F$3:$F$12,"ISIC 17T18"))</f>
        <v/>
      </c>
      <c r="N6">
        <f>(SUMIFS('Cost Breakdowns'!$E$3:$E$12,'Cost Breakdowns'!$A$3:$A$12,'SoBCaICbIC-urbanresidential'!$A6,'Cost Breakdowns'!$F$3:$F$12,"ISIC 19"))</f>
        <v/>
      </c>
      <c r="O6">
        <f>(SUMIFS('Cost Breakdowns'!$E$3:$E$12,'Cost Breakdowns'!$A$3:$A$12,'SoBCaICbIC-urbanresidential'!$A6,'Cost Breakdowns'!$F$3:$F$12,"ISIC 20"))</f>
        <v/>
      </c>
      <c r="P6">
        <f>(SUMIFS('Cost Breakdowns'!$E$3:$E$12,'Cost Breakdowns'!$A$3:$A$12,'SoBCaICbIC-urbanresidential'!$A6,'Cost Breakdowns'!$F$3:$F$12,"ISIC 21"))</f>
        <v/>
      </c>
      <c r="Q6">
        <f>(SUMIFS('Cost Breakdowns'!$E$3:$E$12,'Cost Breakdowns'!$A$3:$A$12,'SoBCaICbIC-urbanresidential'!$A6,'Cost Breakdowns'!$F$3:$F$12,"ISIC 22"))</f>
        <v/>
      </c>
      <c r="R6">
        <f>(SUMIFS('Cost Breakdowns'!$E$3:$E$12,'Cost Breakdowns'!$A$3:$A$12,'SoBCaICbIC-urbanresidential'!$A6,'Cost Breakdowns'!$F$3:$F$12,"ISIC 231"))</f>
        <v/>
      </c>
      <c r="S6">
        <f>(SUMIFS('Cost Breakdowns'!$E$3:$E$12,'Cost Breakdowns'!$A$3:$A$12,'SoBCaICbIC-urbanresidential'!$A6,'Cost Breakdowns'!$F$3:$F$12,"ISIC 239"))</f>
        <v/>
      </c>
      <c r="T6">
        <f>(SUMIFS('Cost Breakdowns'!$E$3:$E$12,'Cost Breakdowns'!$A$3:$A$12,'SoBCaICbIC-urbanresidential'!$A6,'Cost Breakdowns'!$F$3:$F$12,"ISIC 241"))</f>
        <v/>
      </c>
      <c r="U6">
        <f>(SUMIFS('Cost Breakdowns'!$E$3:$E$12,'Cost Breakdowns'!$A$3:$A$12,'SoBCaICbIC-urbanresidential'!$A6,'Cost Breakdowns'!$F$3:$F$12,"ISIC 242"))</f>
        <v/>
      </c>
      <c r="V6">
        <f>(SUMIFS('Cost Breakdowns'!$E$3:$E$12,'Cost Breakdowns'!$A$3:$A$12,'SoBCaICbIC-urbanresidential'!$A6,'Cost Breakdowns'!$F$3:$F$12,"ISIC 25"))</f>
        <v/>
      </c>
      <c r="W6">
        <f>(SUMIFS('Cost Breakdowns'!$E$3:$E$12,'Cost Breakdowns'!$A$3:$A$12,'SoBCaICbIC-urbanresidential'!$A6,'Cost Breakdowns'!$F$3:$F$12,"ISIC 26"))</f>
        <v/>
      </c>
      <c r="X6">
        <f>(SUMIFS('Cost Breakdowns'!$E$3:$E$12,'Cost Breakdowns'!$A$3:$A$12,'SoBCaICbIC-urbanresidential'!$A6,'Cost Breakdowns'!$F$3:$F$12,"ISIC 27"))</f>
        <v/>
      </c>
      <c r="Y6">
        <f>(SUMIFS('Cost Breakdowns'!$E$3:$E$12,'Cost Breakdowns'!$A$3:$A$12,'SoBCaICbIC-urbanresidential'!$A6,'Cost Breakdowns'!$F$3:$F$12,"ISIC 28"))</f>
        <v/>
      </c>
      <c r="Z6">
        <f>(SUMIFS('Cost Breakdowns'!$E$3:$E$12,'Cost Breakdowns'!$A$3:$A$12,'SoBCaICbIC-urbanresidential'!$A6,'Cost Breakdowns'!$F$3:$F$12,"ISIC 29"))</f>
        <v/>
      </c>
      <c r="AA6">
        <f>(SUMIFS('Cost Breakdowns'!$E$3:$E$12,'Cost Breakdowns'!$A$3:$A$12,'SoBCaICbIC-urbanresidential'!$A6,'Cost Breakdowns'!$F$3:$F$12,"ISIC 30"))*'Factors applied'!$E$8</f>
        <v/>
      </c>
      <c r="AB6">
        <f>(SUMIFS('Cost Breakdowns'!$E$3:$E$12,'Cost Breakdowns'!$A$3:$A$12,'SoBCaICbIC-urbanresidential'!$A6,'Cost Breakdowns'!$F$3:$F$12,"ISIC 30"))*'Factors applied'!$E$9</f>
        <v/>
      </c>
      <c r="AC6">
        <f>(SUMIFS('Cost Breakdowns'!$E$3:$E$12,'Cost Breakdowns'!$A$3:$A$12,'SoBCaICbIC-urbanresidential'!$A6,'Cost Breakdowns'!$F$3:$F$12,"ISIC 31T33"))</f>
        <v/>
      </c>
      <c r="AD6">
        <f>(SUMIFS('Cost Breakdowns'!$E$3:$E$12,'Cost Breakdowns'!$A$3:$A$12,'SoBCaICbIC-urbanresidential'!$A6,'Cost Breakdowns'!$F$3:$F$12,"ISIC 351"))</f>
        <v/>
      </c>
      <c r="AE6">
        <f>(SUMIFS('Cost Breakdowns'!$E$3:$E$12,'Cost Breakdowns'!$A$3:$A$12,'SoBCaICbIC-urbanresidential'!$A6,'Cost Breakdowns'!$F$3:$F$12,"ISIC 352T353"))</f>
        <v/>
      </c>
      <c r="AF6">
        <f>(SUMIFS('Cost Breakdowns'!$E$3:$E$12,'Cost Breakdowns'!$A$3:$A$12,'SoBCaICbIC-urbanresidential'!$A6,'Cost Breakdowns'!$F$3:$F$12,"ISIC 36T39"))</f>
        <v/>
      </c>
      <c r="AG6">
        <f>(SUMIFS('Cost Breakdowns'!$E$3:$E$12,'Cost Breakdowns'!$A$3:$A$12,'SoBCaICbIC-urbanresidential'!$A6,'Cost Breakdowns'!$F$3:$F$12,"ISIC 41T43"))</f>
        <v/>
      </c>
      <c r="AH6">
        <f>(SUMIFS('Cost Breakdowns'!$E$3:$E$12,'Cost Breakdowns'!$A$3:$A$12,'SoBCaICbIC-urbanresidential'!$A6,'Cost Breakdowns'!$F$3:$F$12,"ISIC 45T47"))</f>
        <v/>
      </c>
      <c r="AI6">
        <f>(SUMIFS('Cost Breakdowns'!$E$3:$E$12,'Cost Breakdowns'!$A$3:$A$12,'SoBCaICbIC-urbanresidential'!$A6,'Cost Breakdowns'!$F$3:$F$12,"ISIC 49T53"))*'Factors applied'!$E$10</f>
        <v/>
      </c>
      <c r="AJ6">
        <f>(SUMIFS('Cost Breakdowns'!$E$3:$E$12,'Cost Breakdowns'!$A$3:$A$12,'SoBCaICbIC-urbanresidential'!$A6,'Cost Breakdowns'!$F$3:$F$12,"ISIC 49T53"))*'Factors applied'!$E$11</f>
        <v/>
      </c>
      <c r="AK6">
        <f>(SUMIFS('Cost Breakdowns'!$E$3:$E$12,'Cost Breakdowns'!$A$3:$A$12,'SoBCaICbIC-urbanresidential'!$A6,'Cost Breakdowns'!$F$3:$F$12,"ISIC 49T53"))*'Factors applied'!$E$12</f>
        <v/>
      </c>
      <c r="AL6">
        <f>(SUMIFS('Cost Breakdowns'!$E$3:$E$12,'Cost Breakdowns'!$A$3:$A$12,'SoBCaICbIC-urbanresidential'!$A6,'Cost Breakdowns'!$F$3:$F$12,"ISIC 49T53"))*'Factors applied'!$E$13</f>
        <v/>
      </c>
      <c r="AM6">
        <f>(SUMIFS('Cost Breakdowns'!$E$3:$E$12,'Cost Breakdowns'!$A$3:$A$12,'SoBCaICbIC-urbanresidential'!$A6,'Cost Breakdowns'!$F$3:$F$12,"ISIC 49T53"))*'Factors applied'!$E$14</f>
        <v/>
      </c>
      <c r="AN6">
        <f>(SUMIFS('Cost Breakdowns'!$E$3:$E$12,'Cost Breakdowns'!$A$3:$A$12,'SoBCaICbIC-urbanresidential'!$A6,'Cost Breakdowns'!$F$3:$F$12,"ISIC 55T56"))</f>
        <v/>
      </c>
      <c r="AO6">
        <f>(SUMIFS('Cost Breakdowns'!$E$3:$E$12,'Cost Breakdowns'!$A$3:$A$12,'SoBCaICbIC-urbanresidential'!$A6,'Cost Breakdowns'!$F$3:$F$12,"ISIC 58T60"))</f>
        <v/>
      </c>
      <c r="AP6">
        <f>(SUMIFS('Cost Breakdowns'!$E$3:$E$12,'Cost Breakdowns'!$A$3:$A$12,'SoBCaICbIC-urbanresidential'!$A6,'Cost Breakdowns'!$F$3:$F$12,"ISIC 61"))</f>
        <v/>
      </c>
      <c r="AQ6">
        <f>(SUMIFS('Cost Breakdowns'!$E$3:$E$12,'Cost Breakdowns'!$A$3:$A$12,'SoBCaICbIC-urbanresidential'!$A6,'Cost Breakdowns'!$F$3:$F$12,"ISIC 62T63"))</f>
        <v/>
      </c>
      <c r="AR6">
        <f>(SUMIFS('Cost Breakdowns'!$E$3:$E$12,'Cost Breakdowns'!$A$3:$A$12,'SoBCaICbIC-urbanresidential'!$A6,'Cost Breakdowns'!$F$3:$F$12,"ISIC 64T66"))</f>
        <v/>
      </c>
      <c r="AS6">
        <f>(SUMIFS('Cost Breakdowns'!$E$3:$E$12,'Cost Breakdowns'!$A$3:$A$12,'SoBCaICbIC-urbanresidential'!$A6,'Cost Breakdowns'!$F$3:$F$12,"ISIC 68"))</f>
        <v/>
      </c>
      <c r="AT6">
        <f>(SUMIFS('Cost Breakdowns'!$E$3:$E$12,'Cost Breakdowns'!$A$3:$A$12,'SoBCaICbIC-urbanresidential'!$A6,'Cost Breakdowns'!$F$3:$F$12,"ISIC 69T82"))*'Factors applied'!$E$15</f>
        <v/>
      </c>
      <c r="AU6">
        <f>(SUMIFS('Cost Breakdowns'!$E$3:$E$12,'Cost Breakdowns'!$A$3:$A$12,'SoBCaICbIC-urbanresidential'!$A6,'Cost Breakdowns'!$F$3:$F$12,"ISIC 69T82"))*'Factors applied'!$E$16</f>
        <v/>
      </c>
      <c r="AV6">
        <f>(SUMIFS('Cost Breakdowns'!$E$3:$E$12,'Cost Breakdowns'!$A$3:$A$12,'SoBCaICbIC-urbanresidential'!$A6,'Cost Breakdowns'!$F$3:$F$12,"ISIC 84"))</f>
        <v/>
      </c>
      <c r="AW6">
        <f>(SUMIFS('Cost Breakdowns'!$E$3:$E$12,'Cost Breakdowns'!$A$3:$A$12,'SoBCaICbIC-urbanresidential'!$A6,'Cost Breakdowns'!$F$3:$F$12,"ISIC 85"))</f>
        <v/>
      </c>
      <c r="AX6">
        <f>(SUMIFS('Cost Breakdowns'!$E$3:$E$12,'Cost Breakdowns'!$A$3:$A$12,'SoBCaICbIC-urbanresidential'!$A6,'Cost Breakdowns'!$F$3:$F$12,"ISIC 86T88"))</f>
        <v/>
      </c>
      <c r="AY6">
        <f>(SUMIFS('Cost Breakdowns'!$E$3:$E$12,'Cost Breakdowns'!$A$3:$A$12,'SoBCaICbIC-urbanresidential'!$A6,'Cost Breakdowns'!$F$3:$F$12,"ISIC 90T96"))*'Factors applied'!$E$17</f>
        <v/>
      </c>
      <c r="AZ6">
        <f>(SUMIFS('Cost Breakdowns'!$E$3:$E$12,'Cost Breakdowns'!$A$3:$A$12,'SoBCaICbIC-urbanresidential'!$A6,'Cost Breakdowns'!$F$3:$F$12,"ISIC 90T96"))*'Factors applied'!$E$18</f>
        <v/>
      </c>
      <c r="BA6">
        <f>(SUMIFS('Cost Breakdowns'!$E$3:$E$12,'Cost Breakdowns'!$A$3:$A$12,'SoBCaICbIC-urbanresidential'!$A6,'Cost Breakdowns'!$F$3:$F$12,"ISIC 97T98"))</f>
        <v/>
      </c>
    </row>
    <row r="7">
      <c r="A7" t="inlineStr">
        <is>
          <t>Other</t>
        </is>
      </c>
      <c r="B7">
        <f>(SUMIFS('Cost Breakdowns'!$E$3:$E$12,'Cost Breakdowns'!$A$3:$A$12,'SoBCaICbIC-urbanresidential'!$A7,'Cost Breakdowns'!$F$3:$F$12,"ISIC 01T03"))*'Factors applied'!$E$83</f>
        <v/>
      </c>
      <c r="C7">
        <f>(SUMIFS('Cost Breakdowns'!$E$3:$E$12,'Cost Breakdowns'!$A$3:$A$12,'SoBCaICbIC-urbanresidential'!$A7,'Cost Breakdowns'!$F$3:$F$12,"ISIC 01T03"))*'Factors applied'!$E$84</f>
        <v/>
      </c>
      <c r="D7">
        <f>(SUMIFS('Cost Breakdowns'!$E$3:$E$12,'Cost Breakdowns'!$A$3:$A$12,'SoBCaICbIC-urbanresidential'!$A7,'Cost Breakdowns'!$F$3:$F$12,"ISIC 01T03"))*'Factors applied'!$E$85</f>
        <v/>
      </c>
      <c r="E7">
        <f>(SUMIFS('Cost Breakdowns'!$E$3:$E$12,'Cost Breakdowns'!$A$3:$A$12,'SoBCaICbIC-urbanresidential'!$A7,'Cost Breakdowns'!$F$3:$F$12,"ISIC 05"))</f>
        <v/>
      </c>
      <c r="F7">
        <f>(SUMIFS('Cost Breakdowns'!$E$3:$E$12,'Cost Breakdowns'!$A$3:$A$12,'SoBCaICbIC-urbanresidential'!$A7,'Cost Breakdowns'!$F$3:$F$12,"ISIC 06"))</f>
        <v/>
      </c>
      <c r="G7">
        <f>(SUMIFS('Cost Breakdowns'!$E$3:$E$12,'Cost Breakdowns'!$A$3:$A$12,'SoBCaICbIC-urbanresidential'!$A7,'Cost Breakdowns'!$F$3:$F$12,"ISIC 07T08"))*'Factors applied'!$E$86</f>
        <v/>
      </c>
      <c r="H7">
        <f>(SUMIFS('Cost Breakdowns'!$E$3:$E$12,'Cost Breakdowns'!$A$3:$A$12,'SoBCaICbIC-urbanresidential'!$A7,'Cost Breakdowns'!$F$3:$F$12,"ISIC 07T08"))*'Factors applied'!$E$87</f>
        <v/>
      </c>
      <c r="I7">
        <f>(SUMIFS('Cost Breakdowns'!$E$3:$E$12,'Cost Breakdowns'!$A$3:$A$12,'SoBCaICbIC-urbanresidential'!$A7,'Cost Breakdowns'!$F$3:$F$12,"ISIC 09"))</f>
        <v/>
      </c>
      <c r="J7">
        <f>(SUMIFS('Cost Breakdowns'!$E$3:$E$12,'Cost Breakdowns'!$A$3:$A$12,'SoBCaICbIC-urbanresidential'!$A7,'Cost Breakdowns'!$F$3:$F$12,"ISIC 10T12"))</f>
        <v/>
      </c>
      <c r="K7">
        <f>(SUMIFS('Cost Breakdowns'!$E$3:$E$12,'Cost Breakdowns'!$A$3:$A$12,'SoBCaICbIC-urbanresidential'!$A7,'Cost Breakdowns'!$F$3:$F$12,"ISIC 13T15"))</f>
        <v/>
      </c>
      <c r="L7">
        <f>(SUMIFS('Cost Breakdowns'!$E$3:$E$12,'Cost Breakdowns'!$A$3:$A$12,'SoBCaICbIC-urbanresidential'!$A7,'Cost Breakdowns'!$F$3:$F$12,"ISIC 16"))</f>
        <v/>
      </c>
      <c r="M7">
        <f>(SUMIFS('Cost Breakdowns'!$E$3:$E$12,'Cost Breakdowns'!$A$3:$A$12,'SoBCaICbIC-urbanresidential'!$A7,'Cost Breakdowns'!$F$3:$F$12,"ISIC 17T18"))</f>
        <v/>
      </c>
      <c r="N7">
        <f>(SUMIFS('Cost Breakdowns'!$E$3:$E$12,'Cost Breakdowns'!$A$3:$A$12,'SoBCaICbIC-urbanresidential'!$A7,'Cost Breakdowns'!$F$3:$F$12,"ISIC 19"))</f>
        <v/>
      </c>
      <c r="O7">
        <f>(SUMIFS('Cost Breakdowns'!$E$3:$E$12,'Cost Breakdowns'!$A$3:$A$12,'SoBCaICbIC-urbanresidential'!$A7,'Cost Breakdowns'!$F$3:$F$12,"ISIC 20"))</f>
        <v/>
      </c>
      <c r="P7">
        <f>(SUMIFS('Cost Breakdowns'!$E$3:$E$12,'Cost Breakdowns'!$A$3:$A$12,'SoBCaICbIC-urbanresidential'!$A7,'Cost Breakdowns'!$F$3:$F$12,"ISIC 21"))</f>
        <v/>
      </c>
      <c r="Q7">
        <f>(SUMIFS('Cost Breakdowns'!$E$3:$E$12,'Cost Breakdowns'!$A$3:$A$12,'SoBCaICbIC-urbanresidential'!$A7,'Cost Breakdowns'!$F$3:$F$12,"ISIC 22"))</f>
        <v/>
      </c>
      <c r="R7">
        <f>(SUMIFS('Cost Breakdowns'!$E$3:$E$12,'Cost Breakdowns'!$A$3:$A$12,'SoBCaICbIC-urbanresidential'!$A7,'Cost Breakdowns'!$F$3:$F$12,"ISIC 231"))</f>
        <v/>
      </c>
      <c r="S7">
        <f>(SUMIFS('Cost Breakdowns'!$E$3:$E$12,'Cost Breakdowns'!$A$3:$A$12,'SoBCaICbIC-urbanresidential'!$A7,'Cost Breakdowns'!$F$3:$F$12,"ISIC 239"))</f>
        <v/>
      </c>
      <c r="T7">
        <f>(SUMIFS('Cost Breakdowns'!$E$3:$E$12,'Cost Breakdowns'!$A$3:$A$12,'SoBCaICbIC-urbanresidential'!$A7,'Cost Breakdowns'!$F$3:$F$12,"ISIC 241"))</f>
        <v/>
      </c>
      <c r="U7">
        <f>(SUMIFS('Cost Breakdowns'!$E$3:$E$12,'Cost Breakdowns'!$A$3:$A$12,'SoBCaICbIC-urbanresidential'!$A7,'Cost Breakdowns'!$F$3:$F$12,"ISIC 242"))</f>
        <v/>
      </c>
      <c r="V7">
        <f>(SUMIFS('Cost Breakdowns'!$E$3:$E$12,'Cost Breakdowns'!$A$3:$A$12,'SoBCaICbIC-urbanresidential'!$A7,'Cost Breakdowns'!$F$3:$F$12,"ISIC 25"))</f>
        <v/>
      </c>
      <c r="W7">
        <f>(SUMIFS('Cost Breakdowns'!$E$3:$E$12,'Cost Breakdowns'!$A$3:$A$12,'SoBCaICbIC-urbanresidential'!$A7,'Cost Breakdowns'!$F$3:$F$12,"ISIC 26"))</f>
        <v/>
      </c>
      <c r="X7">
        <f>(SUMIFS('Cost Breakdowns'!$E$3:$E$12,'Cost Breakdowns'!$A$3:$A$12,'SoBCaICbIC-urbanresidential'!$A7,'Cost Breakdowns'!$F$3:$F$12,"ISIC 27"))</f>
        <v/>
      </c>
      <c r="Y7">
        <f>(SUMIFS('Cost Breakdowns'!$E$3:$E$12,'Cost Breakdowns'!$A$3:$A$12,'SoBCaICbIC-urbanresidential'!$A7,'Cost Breakdowns'!$F$3:$F$12,"ISIC 28"))</f>
        <v/>
      </c>
      <c r="Z7">
        <f>(SUMIFS('Cost Breakdowns'!$E$3:$E$12,'Cost Breakdowns'!$A$3:$A$12,'SoBCaICbIC-urbanresidential'!$A7,'Cost Breakdowns'!$F$3:$F$12,"ISIC 29"))</f>
        <v/>
      </c>
      <c r="AA7">
        <f>(SUMIFS('Cost Breakdowns'!$E$3:$E$12,'Cost Breakdowns'!$A$3:$A$12,'SoBCaICbIC-urbanresidential'!$A7,'Cost Breakdowns'!$F$3:$F$12,"ISIC 30"))*'Factors applied'!$E$88</f>
        <v/>
      </c>
      <c r="AB7">
        <f>(SUMIFS('Cost Breakdowns'!$E$3:$E$12,'Cost Breakdowns'!$A$3:$A$12,'SoBCaICbIC-urbanresidential'!$A7,'Cost Breakdowns'!$F$3:$F$12,"ISIC 30"))*'Factors applied'!$E$89</f>
        <v/>
      </c>
      <c r="AC7">
        <f>(SUMIFS('Cost Breakdowns'!$E$3:$E$12,'Cost Breakdowns'!$A$3:$A$12,'SoBCaICbIC-urbanresidential'!$A7,'Cost Breakdowns'!$F$3:$F$12,"ISIC 31T33"))</f>
        <v/>
      </c>
      <c r="AD7">
        <f>(SUMIFS('Cost Breakdowns'!$E$3:$E$12,'Cost Breakdowns'!$A$3:$A$12,'SoBCaICbIC-urbanresidential'!$A7,'Cost Breakdowns'!$F$3:$F$12,"ISIC 351"))</f>
        <v/>
      </c>
      <c r="AE7">
        <f>(SUMIFS('Cost Breakdowns'!$E$3:$E$12,'Cost Breakdowns'!$A$3:$A$12,'SoBCaICbIC-urbanresidential'!$A7,'Cost Breakdowns'!$F$3:$F$12,"ISIC 352T353"))</f>
        <v/>
      </c>
      <c r="AF7">
        <f>(SUMIFS('Cost Breakdowns'!$E$3:$E$12,'Cost Breakdowns'!$A$3:$A$12,'SoBCaICbIC-urbanresidential'!$A7,'Cost Breakdowns'!$F$3:$F$12,"ISIC 36T39"))</f>
        <v/>
      </c>
      <c r="AG7">
        <f>(SUMIFS('Cost Breakdowns'!$E$3:$E$12,'Cost Breakdowns'!$A$3:$A$12,'SoBCaICbIC-urbanresidential'!$A7,'Cost Breakdowns'!$F$3:$F$12,"ISIC 41T43"))</f>
        <v/>
      </c>
      <c r="AH7">
        <f>(SUMIFS('Cost Breakdowns'!$E$3:$E$12,'Cost Breakdowns'!$A$3:$A$12,'SoBCaICbIC-urbanresidential'!$A7,'Cost Breakdowns'!$F$3:$F$12,"ISIC 45T47"))</f>
        <v/>
      </c>
      <c r="AI7">
        <f>(SUMIFS('Cost Breakdowns'!$E$3:$E$12,'Cost Breakdowns'!$A$3:$A$12,'SoBCaICbIC-urbanresidential'!$A7,'Cost Breakdowns'!$F$3:$F$12,"ISIC 49T53"))*'Factors applied'!$E$90</f>
        <v/>
      </c>
      <c r="AJ7">
        <f>(SUMIFS('Cost Breakdowns'!$E$3:$E$12,'Cost Breakdowns'!$A$3:$A$12,'SoBCaICbIC-urbanresidential'!$A7,'Cost Breakdowns'!$F$3:$F$12,"ISIC 49T53"))*'Factors applied'!$E$91</f>
        <v/>
      </c>
      <c r="AK7">
        <f>(SUMIFS('Cost Breakdowns'!$E$3:$E$12,'Cost Breakdowns'!$A$3:$A$12,'SoBCaICbIC-urbanresidential'!$A7,'Cost Breakdowns'!$F$3:$F$12,"ISIC 49T53"))*'Factors applied'!$E$92</f>
        <v/>
      </c>
      <c r="AL7">
        <f>(SUMIFS('Cost Breakdowns'!$E$3:$E$12,'Cost Breakdowns'!$A$3:$A$12,'SoBCaICbIC-urbanresidential'!$A7,'Cost Breakdowns'!$F$3:$F$12,"ISIC 49T53"))*'Factors applied'!$E$93</f>
        <v/>
      </c>
      <c r="AM7">
        <f>(SUMIFS('Cost Breakdowns'!$E$3:$E$12,'Cost Breakdowns'!$A$3:$A$12,'SoBCaICbIC-urbanresidential'!$A7,'Cost Breakdowns'!$F$3:$F$12,"ISIC 49T53"))*'Factors applied'!$E$94</f>
        <v/>
      </c>
      <c r="AN7">
        <f>(SUMIFS('Cost Breakdowns'!$E$3:$E$12,'Cost Breakdowns'!$A$3:$A$12,'SoBCaICbIC-urbanresidential'!$A7,'Cost Breakdowns'!$F$3:$F$12,"ISIC 55T56"))</f>
        <v/>
      </c>
      <c r="AO7">
        <f>(SUMIFS('Cost Breakdowns'!$E$3:$E$12,'Cost Breakdowns'!$A$3:$A$12,'SoBCaICbIC-urbanresidential'!$A7,'Cost Breakdowns'!$F$3:$F$12,"ISIC 58T60"))</f>
        <v/>
      </c>
      <c r="AP7">
        <f>(SUMIFS('Cost Breakdowns'!$E$3:$E$12,'Cost Breakdowns'!$A$3:$A$12,'SoBCaICbIC-urbanresidential'!$A7,'Cost Breakdowns'!$F$3:$F$12,"ISIC 61"))</f>
        <v/>
      </c>
      <c r="AQ7">
        <f>(SUMIFS('Cost Breakdowns'!$E$3:$E$12,'Cost Breakdowns'!$A$3:$A$12,'SoBCaICbIC-urbanresidential'!$A7,'Cost Breakdowns'!$F$3:$F$12,"ISIC 62T63"))</f>
        <v/>
      </c>
      <c r="AR7">
        <f>(SUMIFS('Cost Breakdowns'!$E$3:$E$12,'Cost Breakdowns'!$A$3:$A$12,'SoBCaICbIC-urbanresidential'!$A7,'Cost Breakdowns'!$F$3:$F$12,"ISIC 64T66"))</f>
        <v/>
      </c>
      <c r="AS7">
        <f>(SUMIFS('Cost Breakdowns'!$E$3:$E$12,'Cost Breakdowns'!$A$3:$A$12,'SoBCaICbIC-urbanresidential'!$A7,'Cost Breakdowns'!$F$3:$F$12,"ISIC 68"))</f>
        <v/>
      </c>
      <c r="AT7">
        <f>(SUMIFS('Cost Breakdowns'!$E$3:$E$12,'Cost Breakdowns'!$A$3:$A$12,'SoBCaICbIC-urbanresidential'!$A7,'Cost Breakdowns'!$F$3:$F$12,"ISIC 69T82"))*'Factors applied'!$E$95</f>
        <v/>
      </c>
      <c r="AU7">
        <f>(SUMIFS('Cost Breakdowns'!$E$3:$E$12,'Cost Breakdowns'!$A$3:$A$12,'SoBCaICbIC-urbanresidential'!$A7,'Cost Breakdowns'!$F$3:$F$12,"ISIC 69T82"))*'Factors applied'!$E$96</f>
        <v/>
      </c>
      <c r="AV7">
        <f>(SUMIFS('Cost Breakdowns'!$E$3:$E$12,'Cost Breakdowns'!$A$3:$A$12,'SoBCaICbIC-urbanresidential'!$A7,'Cost Breakdowns'!$F$3:$F$12,"ISIC 84"))</f>
        <v/>
      </c>
      <c r="AW7">
        <f>(SUMIFS('Cost Breakdowns'!$E$3:$E$12,'Cost Breakdowns'!$A$3:$A$12,'SoBCaICbIC-urbanresidential'!$A7,'Cost Breakdowns'!$F$3:$F$12,"ISIC 85"))</f>
        <v/>
      </c>
      <c r="AX7">
        <f>(SUMIFS('Cost Breakdowns'!$E$3:$E$12,'Cost Breakdowns'!$A$3:$A$12,'SoBCaICbIC-urbanresidential'!$A7,'Cost Breakdowns'!$F$3:$F$12,"ISIC 86T88"))</f>
        <v/>
      </c>
      <c r="AY7">
        <f>(SUMIFS('Cost Breakdowns'!$E$3:$E$12,'Cost Breakdowns'!$A$3:$A$12,'SoBCaICbIC-urbanresidential'!$A7,'Cost Breakdowns'!$F$3:$F$12,"ISIC 90T96"))*'Factors applied'!$E$97</f>
        <v/>
      </c>
      <c r="AZ7">
        <f>(SUMIFS('Cost Breakdowns'!$E$3:$E$12,'Cost Breakdowns'!$A$3:$A$12,'SoBCaICbIC-urbanresidential'!$A7,'Cost Breakdowns'!$F$3:$F$12,"ISIC 90T96"))*'Factors applied'!$E$98</f>
        <v/>
      </c>
      <c r="BA7">
        <f>(SUMIFS('Cost Breakdowns'!$E$3:$E$12,'Cost Breakdowns'!$A$3:$A$12,'SoBCaICbIC-urbanresidential'!$A7,'Cost Breakdowns'!$F$3:$F$12,"ISIC 97T98"))</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Robbie Orvis</dc:creator>
  <dcterms:created xmlns:dcterms="http://purl.org/dc/terms/" xmlns:xsi="http://www.w3.org/2001/XMLSchema-instance" xsi:type="dcterms:W3CDTF">2020-06-18T16:32:51Z</dcterms:created>
  <dcterms:modified xmlns:dcterms="http://purl.org/dc/terms/" xmlns:xsi="http://www.w3.org/2001/XMLSchema-instance" xsi:type="dcterms:W3CDTF">2026-07-21T14:40:48Z</dcterms:modified>
  <cp:lastModifiedBy>Olivia Ashmoore</cp:lastModifiedBy>
</cp:coreProperties>
</file>