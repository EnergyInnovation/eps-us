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CiDESCTY\"/>
    </mc:Choice>
  </mc:AlternateContent>
  <xr:revisionPtr revIDLastSave="0" documentId="13_ncr:1_{B380D71F-535A-4C10-A987-C1C11F047F8C}" xr6:coauthVersionLast="47" xr6:coauthVersionMax="47" xr10:uidLastSave="{00000000-0000-0000-0000-000000000000}"/>
  <bookViews>
    <workbookView xWindow="-120" yWindow="-120" windowWidth="29040" windowHeight="17520" tabRatio="905" activeTab="5" xr2:uid="{EAFC2935-000E-413A-B5D2-814429F7674A}"/>
  </bookViews>
  <sheets>
    <sheet name="About" sheetId="1" r:id="rId1"/>
    <sheet name="Table 21" sheetId="19" r:id="rId2"/>
    <sheet name="Calculations" sheetId="21" r:id="rId3"/>
    <sheet name="CiDESCTY-urban-residential" sheetId="6" r:id="rId4"/>
    <sheet name="CiDESCTY-rural-residential" sheetId="10" r:id="rId5"/>
    <sheet name="CiDESCTY-commercial" sheetId="7" r:id="rId6"/>
  </sheets>
  <definedNames>
    <definedName name="billion_kw_to_MW">About!$B$35</definedName>
    <definedName name="gigwatt_to_megawatt">About!$B$36</definedName>
    <definedName name="Percent_rural">About!$A$33</definedName>
    <definedName name="Percent_Urban">About!$A$32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" i="10" l="1"/>
  <c r="D8" i="10"/>
  <c r="E8" i="10"/>
  <c r="F8" i="10"/>
  <c r="B8" i="10"/>
  <c r="C8" i="6"/>
  <c r="D8" i="6"/>
  <c r="E8" i="6"/>
  <c r="F8" i="6"/>
  <c r="B8" i="6"/>
  <c r="D8" i="21"/>
  <c r="C8" i="21"/>
  <c r="C9" i="21"/>
  <c r="D9" i="21"/>
  <c r="D2" i="21"/>
  <c r="E2" i="21"/>
  <c r="E5" i="21" s="1"/>
  <c r="F2" i="21"/>
  <c r="F5" i="21" s="1"/>
  <c r="G2" i="21"/>
  <c r="G5" i="21" s="1"/>
  <c r="H2" i="21"/>
  <c r="H5" i="21" s="1"/>
  <c r="I2" i="21"/>
  <c r="I5" i="21" s="1"/>
  <c r="J2" i="21"/>
  <c r="J5" i="21" s="1"/>
  <c r="K2" i="21"/>
  <c r="K5" i="21" s="1"/>
  <c r="L2" i="21"/>
  <c r="L5" i="21" s="1"/>
  <c r="M2" i="21"/>
  <c r="M5" i="21" s="1"/>
  <c r="D3" i="21"/>
  <c r="D6" i="21" s="1"/>
  <c r="E3" i="21"/>
  <c r="F3" i="21"/>
  <c r="F6" i="21" s="1"/>
  <c r="G3" i="21"/>
  <c r="G6" i="21" s="1"/>
  <c r="H3" i="21"/>
  <c r="I3" i="21"/>
  <c r="I6" i="21" s="1"/>
  <c r="J3" i="21"/>
  <c r="K3" i="21"/>
  <c r="L3" i="21"/>
  <c r="L6" i="21" s="1"/>
  <c r="M3" i="21"/>
  <c r="M6" i="21" s="1"/>
  <c r="C3" i="21"/>
  <c r="C2" i="21"/>
  <c r="D5" i="21" l="1"/>
  <c r="H6" i="21"/>
  <c r="E6" i="21"/>
  <c r="J6" i="21"/>
  <c r="M8" i="21"/>
  <c r="M9" i="21"/>
  <c r="J8" i="21"/>
  <c r="J9" i="21"/>
  <c r="H8" i="21"/>
  <c r="H9" i="21"/>
  <c r="F8" i="21"/>
  <c r="F9" i="21"/>
  <c r="L8" i="21"/>
  <c r="L9" i="21"/>
  <c r="K8" i="21"/>
  <c r="K9" i="21"/>
  <c r="I8" i="21"/>
  <c r="I9" i="21"/>
  <c r="G8" i="21"/>
  <c r="G9" i="21"/>
  <c r="E8" i="21"/>
  <c r="E9" i="21"/>
  <c r="K6" i="21"/>
  <c r="B35" i="1" l="1"/>
</calcChain>
</file>

<file path=xl/sharedStrings.xml><?xml version="1.0" encoding="utf-8"?>
<sst xmlns="http://schemas.openxmlformats.org/spreadsheetml/2006/main" count="885" uniqueCount="475">
  <si>
    <t>Energy Information Administration</t>
  </si>
  <si>
    <t>Equipment Stock (million units)</t>
  </si>
  <si>
    <t>Stock Average Equipment Efficiency</t>
  </si>
  <si>
    <t>- -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</si>
  <si>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</si>
  <si>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</si>
  <si>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</si>
  <si>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</si>
  <si>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</si>
  <si>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</si>
  <si>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</si>
  <si>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</si>
  <si>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</si>
  <si>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Urban</t>
  </si>
  <si>
    <t>Rural</t>
  </si>
  <si>
    <t>Sources:</t>
  </si>
  <si>
    <t>Urban vs. Rural Residential Households</t>
  </si>
  <si>
    <t>Residential Energy Consumption Survey (RECS)</t>
  </si>
  <si>
    <t>Table HC2.1</t>
  </si>
  <si>
    <t>lignite</t>
  </si>
  <si>
    <t>hard coal</t>
  </si>
  <si>
    <t>onshore wind</t>
  </si>
  <si>
    <t>offshore wind</t>
  </si>
  <si>
    <t>Propane</t>
  </si>
  <si>
    <t>Urban Rural Split</t>
  </si>
  <si>
    <t>crude oil</t>
  </si>
  <si>
    <t>heavy or residual fuel oil</t>
  </si>
  <si>
    <t>municipal solid waste</t>
  </si>
  <si>
    <t>MW</t>
  </si>
  <si>
    <t>Table 21 and Table 22</t>
  </si>
  <si>
    <t>Conversion from billion kilowatthours to megawatthours</t>
  </si>
  <si>
    <t>Conversion from gigawatts to megawatts</t>
  </si>
  <si>
    <t>Net Generation (billion kilowatthours)</t>
  </si>
  <si>
    <t>Generating Capacity (gigawatts)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</si>
  <si>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</si>
  <si>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</si>
  <si>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</si>
  <si>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</si>
  <si>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</si>
  <si>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</si>
  <si>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</si>
  <si>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</si>
  <si>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</si>
  <si>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</si>
  <si>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</si>
  <si>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</si>
  <si>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Kerosene</t>
  </si>
  <si>
    <t>Wood Stoves</t>
  </si>
  <si>
    <t>Geothermal Heat Pumps</t>
  </si>
  <si>
    <t>Total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</si>
  <si>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</si>
  <si>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</si>
  <si>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</si>
  <si>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</si>
  <si>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</si>
  <si>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</si>
  <si>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Solar Thermal</t>
  </si>
  <si>
    <t>Cooking Equipment (million units)</t>
  </si>
  <si>
    <t>Clothes Dryers (million units)</t>
  </si>
  <si>
    <t>Other Appliances (million units)</t>
  </si>
  <si>
    <t>Refrigerators</t>
  </si>
  <si>
    <t>Freezers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</si>
  <si>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</si>
  <si>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</si>
  <si>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</si>
  <si>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</si>
  <si>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</si>
  <si>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</si>
  <si>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</si>
  <si>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</si>
  <si>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</si>
  <si>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</si>
  <si>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</si>
  <si>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</si>
  <si>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</si>
  <si>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</si>
  <si>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</si>
  <si>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</si>
  <si>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</si>
  <si>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</si>
  <si>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</si>
  <si>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</si>
  <si>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</si>
  <si>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</si>
  <si>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</si>
  <si>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</si>
  <si>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</si>
  <si>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</si>
  <si>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Pre-2015 Homes</t>
  </si>
  <si>
    <t>2015=1.00</t>
  </si>
  <si>
    <t>New Construction</t>
  </si>
  <si>
    <t>All Homes</t>
  </si>
  <si>
    <t>Distributed Generation and</t>
  </si>
  <si>
    <t>Combined Heat and Power</t>
  </si>
  <si>
    <t>Natural Gas Fuel Cells</t>
  </si>
  <si>
    <t>GW</t>
  </si>
  <si>
    <t>Solar Photovoltaic</t>
  </si>
  <si>
    <t>Wind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</si>
  <si>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</si>
  <si>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</si>
  <si>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</si>
  <si>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</si>
  <si>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</si>
  <si>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</si>
  <si>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https://www.eia.gov/outlooks/aeo/data/browser/#/?id=32-AEO2021&amp;region=0-0&amp;cases=highogs&amp;start=2019&amp;end=2050&amp;f=A&amp;sourcekey=0</t>
  </si>
  <si>
    <t>https://www.eia.gov/outlooks/aeo/data/browser/#/?id=30-AEO2021&amp;region=0-0&amp;cases=highogs&amp;start=2019&amp;end=2050&amp;f=A&amp;sourcekey=0</t>
  </si>
  <si>
    <t>Annual Energy Outlook 2021</t>
  </si>
  <si>
    <t>https://www.eia.gov/consumption/residential/data/2020/hc/xls/HC%202.1.xlsx</t>
  </si>
  <si>
    <t>https://www.eia.gov/consumption/residential/data/2020/?src=%E2%80%B9%20Consumption%20%20%20%20%20%20Residential%20Energy%20Consumption%20Survey%20(RECS)-f1</t>
  </si>
  <si>
    <t>Distributed Generation and Capacity - 2020</t>
  </si>
  <si>
    <t>https://www.eia.gov/outlooks/aeo/data/browser/#/?id=30-AEO2022&amp;sourcekey=0</t>
  </si>
  <si>
    <t>https://www.eia.gov/outlooks/aeo/data/browser/#/?id=32-AEO2022&amp;cases=ref2022&amp;sourcekey=0</t>
  </si>
  <si>
    <t>We adjust EIA's projections by the amount of distributed solar we expect to be deployed</t>
  </si>
  <si>
    <t>due to the Inflation Reduction Act (see tab for methodology).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</si>
  <si>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</si>
  <si>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</si>
  <si>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</si>
  <si>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</si>
  <si>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</si>
  <si>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</si>
  <si>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</si>
  <si>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</si>
  <si>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</si>
  <si>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BDESC BAU Distributed Electricity Source Capacity</t>
  </si>
  <si>
    <t>Annual Energy Outlook 2023</t>
  </si>
  <si>
    <t>Distributed Capacity - 2021-2050</t>
  </si>
  <si>
    <t>https://www.eia.gov/outlooks/aeo/data/browser/#/?id=30-AEO2023&amp;region=0-0&amp;cases=ref2023~noIRA&amp;start=2021&amp;end=2050&amp;f=A&amp;sourcekey=0</t>
  </si>
  <si>
    <t>Tue May 13 2025 16:32:14 GMT-0700 (Pacific Daylight Time)</t>
  </si>
  <si>
    <t>Growth (2022-2050)</t>
  </si>
  <si>
    <t>Residential Equipment: Equipment Stock: Main Space Heaters: Electric Heat Pumps</t>
  </si>
  <si>
    <t>Reference case</t>
  </si>
  <si>
    <t>Residential Equipment: Equipment Stock: Main Space Heaters: Electric Heat Pumps: Reference case</t>
  </si>
  <si>
    <t>AEO.2023.REF2023.EQNR_STK_RESD_MSHR_EHP_NA_NA_MILL.A</t>
  </si>
  <si>
    <t>No Inflation Reduction Act</t>
  </si>
  <si>
    <t>Residential Equipment: Equipment Stock: Main Space Heaters: Electric Heat Pumps: No Inflation Reduction Act</t>
  </si>
  <si>
    <t>AEO.2023.NOIRA.EQNR_STK_RESD_MSHR_EHP_NA_NA_MILL.A</t>
  </si>
  <si>
    <t>Residential Equipment: Equipment Stock: Main Space Heaters: Electric Other</t>
  </si>
  <si>
    <t>Residential Equipment: Equipment Stock: Main Space Heaters: Electric Other: Reference case</t>
  </si>
  <si>
    <t>AEO.2023.REF2023.EQNR_STK_RESD_MSHR_ELO_NA_NA_MILL.A</t>
  </si>
  <si>
    <t>Residential Equipment: Equipment Stock: Main Space Heaters: Electric Other: No Inflation Reduction Act</t>
  </si>
  <si>
    <t>AEO.2023.NOIRA.EQNR_STK_RESD_MSHR_ELO_NA_NA_MILL.A</t>
  </si>
  <si>
    <t>Residential Equipment: Equipment Stock: Main Space Heaters: Natural Gas Heat Pumps</t>
  </si>
  <si>
    <t>Residential Equipment: Equipment Stock: Main Space Heaters: Natural Gas Heat Pumps: Reference case</t>
  </si>
  <si>
    <t>AEO.2023.REF2023.EQNR_STK_RESD_MSHR_NHU_NA_NA_MILL.A</t>
  </si>
  <si>
    <t>Residential Equipment: Equipment Stock: Main Space Heaters: Natural Gas Heat Pumps: No Inflation Reduction Act</t>
  </si>
  <si>
    <t>AEO.2023.NOIRA.EQNR_STK_RESD_MSHR_NHU_NA_NA_MILL.A</t>
  </si>
  <si>
    <t>Residential Equipment: Equipment Stock: Main Space Heaters: Natural Gas Other</t>
  </si>
  <si>
    <t>Residential Equipment: Equipment Stock: Main Space Heaters: Natural Gas Other: Reference case</t>
  </si>
  <si>
    <t>AEO.2023.REF2023.EQNR_STK_RESD_MSHR_NGO_NA_NA_MILL.A</t>
  </si>
  <si>
    <t>Residential Equipment: Equipment Stock: Main Space Heaters: Natural Gas Other: No Inflation Reduction Act</t>
  </si>
  <si>
    <t>AEO.2023.NOIRA.EQNR_STK_RESD_MSHR_NGO_NA_NA_MILL.A</t>
  </si>
  <si>
    <t>Residential Equipment: Equipment Stock: Main Space Heaters: Distillate Fuel Oil</t>
  </si>
  <si>
    <t>Residential Equipment: Equipment Stock: Main Space Heaters: Distillate Fuel Oil: Reference case</t>
  </si>
  <si>
    <t>AEO.2023.REF2023.EQNR_STK_RESD_MSHR_DFO_NA_NA_MILL.A</t>
  </si>
  <si>
    <t>Residential Equipment: Equipment Stock: Main Space Heaters: Distillate Fuel Oil: No Inflation Reduction Act</t>
  </si>
  <si>
    <t>AEO.2023.NOIRA.EQNR_STK_RESD_MSHR_DFO_NA_NA_MILL.A</t>
  </si>
  <si>
    <t>Residential Equipment: Equipment Stock: Main Space Heaters: Propane</t>
  </si>
  <si>
    <t>Residential Equipment: Equipment Stock: Main Space Heaters: Propane: Reference case</t>
  </si>
  <si>
    <t>AEO.2023.REF2023.EQNR_STK_RESD_MSHR_PROP_NA_NA_MILL.A</t>
  </si>
  <si>
    <t>Residential Equipment: Equipment Stock: Main Space Heaters: Propane: No Inflation Reduction Act</t>
  </si>
  <si>
    <t>AEO.2023.NOIRA.EQNR_STK_RESD_MSHR_PROP_NA_NA_MILL.A</t>
  </si>
  <si>
    <t>Residential Equipment: Equipment Stock: Main Space Heaters: Kerosene</t>
  </si>
  <si>
    <t>Residential Equipment: Equipment Stock: Main Space Heaters: Kerosene: Reference case</t>
  </si>
  <si>
    <t>AEO.2023.REF2023.EQNR_STK_RESD_MSHR_KRS_NA_NA_MILL.A</t>
  </si>
  <si>
    <t>Residential Equipment: Equipment Stock: Main Space Heaters: Kerosene: No Inflation Reduction Act</t>
  </si>
  <si>
    <t>AEO.2023.NOIRA.EQNR_STK_RESD_MSHR_KRS_NA_NA_MILL.A</t>
  </si>
  <si>
    <t>Residential Equipment: Equipment Stock: Main Space Heaters: Wood Stoves</t>
  </si>
  <si>
    <t>Residential Equipment: Equipment Stock: Main Space Heaters: Wood Stoves: Reference case</t>
  </si>
  <si>
    <t>AEO.2023.REF2023.EQNR_STK_RESD_MSHR_WDS_NA_NA_MILL.A</t>
  </si>
  <si>
    <t>Residential Equipment: Equipment Stock: Main Space Heaters: Wood Stoves: No Inflation Reduction Act</t>
  </si>
  <si>
    <t>AEO.2023.NOIRA.EQNR_STK_RESD_MSHR_WDS_NA_NA_MILL.A</t>
  </si>
  <si>
    <t>Residential Equipment: Equipment Stock: Main Space Heaters: Geothermal Heat Pumps</t>
  </si>
  <si>
    <t>Residential Equipment: Equipment Stock: Main Space Heaters: Geothermal Heat Pumps: Reference case</t>
  </si>
  <si>
    <t>AEO.2023.REF2023.EQNR_STK_RESD_MSHR_GEHP_NA_NA_MILL.A</t>
  </si>
  <si>
    <t>Residential Equipment: Equipment Stock: Main Space Heaters: Geothermal Heat Pumps: No Inflation Reduction Act</t>
  </si>
  <si>
    <t>AEO.2023.NOIRA.EQNR_STK_RESD_MSHR_GEHP_NA_NA_MILL.A</t>
  </si>
  <si>
    <t>Residential Equipment: Equipment Stock: Main Space Heaters: Total</t>
  </si>
  <si>
    <t>Residential Equipment: Equipment Stock: Main Space Heaters: Total: Reference case</t>
  </si>
  <si>
    <t>AEO.2023.REF2023.EQNR_STK_RESD_MSHR_TOT_NA_NA_MILL.A</t>
  </si>
  <si>
    <t>Residential Equipment: Equipment Stock: Main Space Heaters: Total: No Inflation Reduction Act</t>
  </si>
  <si>
    <t>AEO.2023.NOIRA.EQNR_STK_RESD_MSHR_TOT_NA_NA_MILL.A</t>
  </si>
  <si>
    <t>Residential Equipment: Equipment Stock: Space Cooling: Electric Heat Pumps</t>
  </si>
  <si>
    <t>Residential Equipment: Equipment Stock: Space Cooling: Electric Heat Pumps: Reference case</t>
  </si>
  <si>
    <t>AEO.2023.REF2023.EQNR_STK_RESD_SPC_EHP_NA_NA_MILL.A</t>
  </si>
  <si>
    <t>Residential Equipment: Equipment Stock: Space Cooling: Electric Heat Pumps: No Inflation Reduction Act</t>
  </si>
  <si>
    <t>AEO.2023.NOIRA.EQNR_STK_RESD_SPC_EHP_NA_NA_MILL.A</t>
  </si>
  <si>
    <t>Residential Equipment: Equipment Stock: Space Cooling: Natural Gas Heat Pumps</t>
  </si>
  <si>
    <t>Residential Equipment: Equipment Stock: Space Cooling: Natural Gas Heat Pumps: Reference case</t>
  </si>
  <si>
    <t>AEO.2023.REF2023.EQNR_STK_RESD_SPC_NHU_NA_NA_MILL.A</t>
  </si>
  <si>
    <t>Residential Equipment: Equipment Stock: Space Cooling: Natural Gas Heat Pumps: No Inflation Reduction Act</t>
  </si>
  <si>
    <t>AEO.2023.NOIRA.EQNR_STK_RESD_SPC_NHU_NA_NA_MILL.A</t>
  </si>
  <si>
    <t>Residential Equipment: Equipment Stock: Space Cooling: Geothermal Heat Pumps</t>
  </si>
  <si>
    <t>Residential Equipment: Equipment Stock: Space Cooling: Geothermal Heat Pumps: Reference case</t>
  </si>
  <si>
    <t>AEO.2023.REF2023.EQNR_STK_RESD_SPC_GEHP_NA_NA_MILL.A</t>
  </si>
  <si>
    <t>Residential Equipment: Equipment Stock: Space Cooling: Geothermal Heat Pumps: No Inflation Reduction Act</t>
  </si>
  <si>
    <t>AEO.2023.NOIRA.EQNR_STK_RESD_SPC_GEHP_NA_NA_MILL.A</t>
  </si>
  <si>
    <t>Residential Equipment: Equipment Stock: Space Cooling: Central Air Conditioners</t>
  </si>
  <si>
    <t>Residential Equipment: Equipment Stock: Space Cooling: Central Air Conditioners: Reference case</t>
  </si>
  <si>
    <t>AEO.2023.REF2023.EQNR_STK_RESD_SPC_CAC_NA_NA_MILL.A</t>
  </si>
  <si>
    <t>Residential Equipment: Equipment Stock: Space Cooling: Central Air Conditioners: No Inflation Reduction Act</t>
  </si>
  <si>
    <t>AEO.2023.NOIRA.EQNR_STK_RESD_SPC_CAC_NA_NA_MILL.A</t>
  </si>
  <si>
    <t>Residential Equipment: Equipment Stock: Space Cooling: Room Air Conditioners</t>
  </si>
  <si>
    <t>Residential Equipment: Equipment Stock: Space Cooling: Room Air Conditioners: Reference case</t>
  </si>
  <si>
    <t>AEO.2023.REF2023.EQNR_STK_RESD_SPC_RAC_NA_NA_MILL.A</t>
  </si>
  <si>
    <t>Residential Equipment: Equipment Stock: Space Cooling: Room Air Conditioners: No Inflation Reduction Act</t>
  </si>
  <si>
    <t>AEO.2023.NOIRA.EQNR_STK_RESD_SPC_RAC_NA_NA_MILL.A</t>
  </si>
  <si>
    <t>Residential Equipment: Equipment Stock: Space Cooling: Total</t>
  </si>
  <si>
    <t>Residential Equipment: Equipment Stock: Space Cooling: Total: Reference case</t>
  </si>
  <si>
    <t>AEO.2023.REF2023.EQNR_STK_RESD_SPC_TOT_NA_NA_MILL.A</t>
  </si>
  <si>
    <t>Residential Equipment: Equipment Stock: Space Cooling: Total: No Inflation Reduction Act</t>
  </si>
  <si>
    <t>AEO.2023.NOIRA.EQNR_STK_RESD_SPC_TOT_NA_NA_MILL.A</t>
  </si>
  <si>
    <t>Residential Equipment: Equipment Stock: Water Heaters: Electric</t>
  </si>
  <si>
    <t>Residential Equipment: Equipment Stock: Water Heaters: Electric: Reference case</t>
  </si>
  <si>
    <t>AEO.2023.REF2023.EQNR_STK_RESD_WHT_ELE_NA_NA_MILL.A</t>
  </si>
  <si>
    <t>Residential Equipment: Equipment Stock: Water Heaters: Electric: No Inflation Reduction Act</t>
  </si>
  <si>
    <t>AEO.2023.NOIRA.EQNR_STK_RESD_WHT_ELE_NA_NA_MILL.A</t>
  </si>
  <si>
    <t>Residential Equipment: Equipment Stock: Water Heaters: Natural Gas</t>
  </si>
  <si>
    <t>Residential Equipment: Equipment Stock: Water Heaters: Natural Gas: Reference case</t>
  </si>
  <si>
    <t>AEO.2023.REF2023.EQNR_STK_RESD_WHT_NG_NA_NA_MILL.A</t>
  </si>
  <si>
    <t>Residential Equipment: Equipment Stock: Water Heaters: Natural Gas: No Inflation Reduction Act</t>
  </si>
  <si>
    <t>AEO.2023.NOIRA.EQNR_STK_RESD_WHT_NG_NA_NA_MILL.A</t>
  </si>
  <si>
    <t>Residential Equipment: Equipment Stock: Water Heaters: Distillate Fuel Oil</t>
  </si>
  <si>
    <t>Residential Equipment: Equipment Stock: Water Heaters: Distillate Fuel Oil: Reference case</t>
  </si>
  <si>
    <t>AEO.2023.REF2023.EQNR_STK_RESD_WHT_DFO_NA_NA_MILL.A</t>
  </si>
  <si>
    <t>Residential Equipment: Equipment Stock: Water Heaters: Distillate Fuel Oil: No Inflation Reduction Act</t>
  </si>
  <si>
    <t>AEO.2023.NOIRA.EQNR_STK_RESD_WHT_DFO_NA_NA_MILL.A</t>
  </si>
  <si>
    <t>Residential Equipment: Equipment Stock: Water Heaters: Propane</t>
  </si>
  <si>
    <t>Residential Equipment: Equipment Stock: Water Heaters: Propane: Reference case</t>
  </si>
  <si>
    <t>AEO.2023.REF2023.EQNR_STK_RESD_WHT_PROP_NA_NA_MILL.A</t>
  </si>
  <si>
    <t>Residential Equipment: Equipment Stock: Water Heaters: Propane: No Inflation Reduction Act</t>
  </si>
  <si>
    <t>AEO.2023.NOIRA.EQNR_STK_RESD_WHT_PROP_NA_NA_MILL.A</t>
  </si>
  <si>
    <t>Residential Equipment: Equipment Stock: Water Heaters: Solar Thermal</t>
  </si>
  <si>
    <t>Residential Equipment: Equipment Stock: Water Heaters: Solar Thermal: Reference case</t>
  </si>
  <si>
    <t>AEO.2023.REF2023.EQNR_STK_RESD_WHT_SLR_THERM_NA_MILL.A</t>
  </si>
  <si>
    <t>Residential Equipment: Equipment Stock: Water Heaters: Solar Thermal: No Inflation Reduction Act</t>
  </si>
  <si>
    <t>AEO.2023.NOIRA.EQNR_STK_RESD_WHT_SLR_THERM_NA_MILL.A</t>
  </si>
  <si>
    <t>Residential Equipment: Equipment Stock: Water Heaters: Total</t>
  </si>
  <si>
    <t>Residential Equipment: Equipment Stock: Water Heaters: Total: Reference case</t>
  </si>
  <si>
    <t>AEO.2023.REF2023.EQNR_STK_RESD_WHT_TOT_NA_NA_MILL.A</t>
  </si>
  <si>
    <t>Residential Equipment: Equipment Stock: Water Heaters: Total: No Inflation Reduction Act</t>
  </si>
  <si>
    <t>AEO.2023.NOIRA.EQNR_STK_RESD_WHT_TOT_NA_NA_MILL.A</t>
  </si>
  <si>
    <t>Residential Equipment: Equipment Stock: Cooking Equipment: Electric</t>
  </si>
  <si>
    <t>Residential Equipment: Equipment Stock: Cooking Equipment: Electric: Reference case</t>
  </si>
  <si>
    <t>AEO.2023.REF2023.EQNR_STK_RESD_CER_ELE_NA_NA_MILL.A</t>
  </si>
  <si>
    <t>Residential Equipment: Equipment Stock: Cooking Equipment: Electric: No Inflation Reduction Act</t>
  </si>
  <si>
    <t>AEO.2023.NOIRA.EQNR_STK_RESD_CER_ELE_NA_NA_MILL.A</t>
  </si>
  <si>
    <t>Residential Equipment: Equipment Stock: Cooking Equipment: Natural Gas</t>
  </si>
  <si>
    <t>Residential Equipment: Equipment Stock: Cooking Equipment: Natural Gas: Reference case</t>
  </si>
  <si>
    <t>AEO.2023.REF2023.EQNR_STK_RESD_CER_NG_NA_NA_MILL.A</t>
  </si>
  <si>
    <t>Residential Equipment: Equipment Stock: Cooking Equipment: Natural Gas: No Inflation Reduction Act</t>
  </si>
  <si>
    <t>AEO.2023.NOIRA.EQNR_STK_RESD_CER_NG_NA_NA_MILL.A</t>
  </si>
  <si>
    <t>Residential Equipment: Equipment Stock: Cooking Equipment: Propane</t>
  </si>
  <si>
    <t>Residential Equipment: Equipment Stock: Cooking Equipment: Propane: Reference case</t>
  </si>
  <si>
    <t>AEO.2023.REF2023.EQNR_STK_RESD_CER_PROP_NA_NA_MILL.A</t>
  </si>
  <si>
    <t>Residential Equipment: Equipment Stock: Cooking Equipment: Propane: No Inflation Reduction Act</t>
  </si>
  <si>
    <t>AEO.2023.NOIRA.EQNR_STK_RESD_CER_PROP_NA_NA_MILL.A</t>
  </si>
  <si>
    <t>Residential Equipment: Equipment Stock: Cooking Equipment: Total</t>
  </si>
  <si>
    <t>Residential Equipment: Equipment Stock: Cooking Equipment: Total: Reference case</t>
  </si>
  <si>
    <t>AEO.2023.REF2023.EQNR_STK_RESD_CER_TOT_NA_NA_MILL.A</t>
  </si>
  <si>
    <t>Residential Equipment: Equipment Stock: Cooking Equipment: Total: No Inflation Reduction Act</t>
  </si>
  <si>
    <t>AEO.2023.NOIRA.EQNR_STK_RESD_CER_TOT_NA_NA_MILL.A</t>
  </si>
  <si>
    <t>Residential Equipment: Equipment Stock: Clothes Dryers: Electric</t>
  </si>
  <si>
    <t>Residential Equipment: Equipment Stock: Clothes Dryers: Electric: Reference case</t>
  </si>
  <si>
    <t>AEO.2023.REF2023.EQNR_STK_RESD_CDR_ELE_NA_NA_MILL.A</t>
  </si>
  <si>
    <t>Residential Equipment: Equipment Stock: Clothes Dryers: Electric: No Inflation Reduction Act</t>
  </si>
  <si>
    <t>AEO.2023.NOIRA.EQNR_STK_RESD_CDR_ELE_NA_NA_MILL.A</t>
  </si>
  <si>
    <t>Residential Equipment: Equipment Stock: Clothes Dryers: Natural Gas</t>
  </si>
  <si>
    <t>Residential Equipment: Equipment Stock: Clothes Dryers: Natural Gas: Reference case</t>
  </si>
  <si>
    <t>AEO.2023.REF2023.EQNR_STK_RESD_CDR_NG_NA_NA_MILL.A</t>
  </si>
  <si>
    <t>Residential Equipment: Equipment Stock: Clothes Dryers: Natural Gas: No Inflation Reduction Act</t>
  </si>
  <si>
    <t>AEO.2023.NOIRA.EQNR_STK_RESD_CDR_NG_NA_NA_MILL.A</t>
  </si>
  <si>
    <t>Residential Equipment: Equipment Stock: Clothes Dryers: Total</t>
  </si>
  <si>
    <t>Residential Equipment: Equipment Stock: Clothes Dryers: Total: Reference case</t>
  </si>
  <si>
    <t>AEO.2023.REF2023.EQNR_STK_RESD_CDR_TOT_NA_NA_MILL.A</t>
  </si>
  <si>
    <t>Residential Equipment: Equipment Stock: Clothes Dryers: Total: No Inflation Reduction Act</t>
  </si>
  <si>
    <t>AEO.2023.NOIRA.EQNR_STK_RESD_CDR_TOT_NA_NA_MILL.A</t>
  </si>
  <si>
    <t>Residential Equipment: Equipment Stock: Other Appliances: Refrigerators</t>
  </si>
  <si>
    <t>Residential Equipment: Equipment Stock: Other Appliances: Refrigerators: Reference case</t>
  </si>
  <si>
    <t>AEO.2023.REF2023.EQNR_STK_RESD_OTAR_RFG_NA_NA_MILL.A</t>
  </si>
  <si>
    <t>Residential Equipment: Equipment Stock: Other Appliances: Refrigerators: No Inflation Reduction Act</t>
  </si>
  <si>
    <t>AEO.2023.NOIRA.EQNR_STK_RESD_OTAR_RFG_NA_NA_MILL.A</t>
  </si>
  <si>
    <t>Residential Equipment: Equipment Stock: Other Appliances: Freezers</t>
  </si>
  <si>
    <t>Residential Equipment: Equipment Stock: Other Appliances: Freezers: Reference case</t>
  </si>
  <si>
    <t>AEO.2023.REF2023.EQNR_STK_RESD_OTAR_FRZ_NA_NA_MILL.A</t>
  </si>
  <si>
    <t>Residential Equipment: Equipment Stock: Other Appliances: Freezers: No Inflation Reduction Act</t>
  </si>
  <si>
    <t>AEO.2023.NOIRA.EQNR_STK_RESD_OTAR_FRZ_NA_NA_MILL.A</t>
  </si>
  <si>
    <t>Residential Equipment: Stock Average Efficiency: Main Space Heaters: Electric Heat Pumps</t>
  </si>
  <si>
    <t>Residential Equipment: Stock Average Efficiency: Main Space Heaters: Electric Heat Pumps: Reference case</t>
  </si>
  <si>
    <t>AEO.2023.REF2023.EFI_STK_RESD_SPHR_EHP_NA_NA_HSPF.A</t>
  </si>
  <si>
    <t>Residential Equipment: Stock Average Efficiency: Main Space Heaters: Electric Heat Pumps: No Inflation Reduction Act</t>
  </si>
  <si>
    <t>AEO.2023.NOIRA.EFI_STK_RESD_SPHR_EHP_NA_NA_HSPF.A</t>
  </si>
  <si>
    <t>Residential Equipment: Stock Average Efficiency: Main Space Heaters: Natural Gas Heat Pumps</t>
  </si>
  <si>
    <t>Residential Equipment: Stock Average Efficiency: Main Space Heaters: Natural Gas Heat Pumps: Reference case</t>
  </si>
  <si>
    <t>AEO.2023.REF2023.EFI_STK_RESD_SPHR_NHU_NA_NA_GCOP.A</t>
  </si>
  <si>
    <t>Residential Equipment: Stock Average Efficiency: Main Space Heaters: Natural Gas Heat Pumps: No Inflation Reduction Act</t>
  </si>
  <si>
    <t>AEO.2023.NOIRA.EFI_STK_RESD_SPHR_NHU_NA_NA_GCOP.A</t>
  </si>
  <si>
    <t>Residential Equipment: Stock Average Efficiency: Main Space Heaters: Geothermal Heat Pumps</t>
  </si>
  <si>
    <t>Residential Equipment: Stock Average Efficiency: Main Space Heaters: Geothermal Heat Pumps: Reference case</t>
  </si>
  <si>
    <t>AEO.2023.REF2023.EFI_STK_RESD_SPHR_GEHP_NA_NA_COP.A</t>
  </si>
  <si>
    <t>Residential Equipment: Stock Average Efficiency: Main Space Heaters: Geothermal Heat Pumps: No Inflation Reduction Act</t>
  </si>
  <si>
    <t>AEO.2023.NOIRA.EFI_STK_RESD_SPHR_GEHP_NA_NA_COP.A</t>
  </si>
  <si>
    <t>Residential Equipment: Stock Average Efficiency: Main Space Heaters: Natural Gas Furnace</t>
  </si>
  <si>
    <t>Residential Equipment: Stock Average Efficiency: Main Space Heaters: Natural Gas Furnace: Reference case</t>
  </si>
  <si>
    <t>AEO.2023.REF2023.EFI_STK_RESD_SPHR_NFR_NA_NA_AFUE.A</t>
  </si>
  <si>
    <t>Residential Equipment: Stock Average Efficiency: Main Space Heaters: Natural Gas Furnace: No Inflation Reduction Act</t>
  </si>
  <si>
    <t>AEO.2023.NOIRA.EFI_STK_RESD_SPHR_NFR_NA_NA_AFUE.A</t>
  </si>
  <si>
    <t>Residential Equipment: Stock Average Efficiency: Main Space Heaters: Distillate Furnace</t>
  </si>
  <si>
    <t>Residential Equipment: Stock Average Efficiency: Main Space Heaters: Distillate Furnace: Reference case</t>
  </si>
  <si>
    <t>AEO.2023.REF2023.EFI_STK_RESD_SPHR_DFR_NA_NA_AFUE.A</t>
  </si>
  <si>
    <t>Residential Equipment: Stock Average Efficiency: Main Space Heaters: Distillate Furnace: No Inflation Reduction Act</t>
  </si>
  <si>
    <t>AEO.2023.NOIRA.EFI_STK_RESD_SPHR_DFR_NA_NA_AFUE.A</t>
  </si>
  <si>
    <t>Residential Equipment: Stock Average Efficiency: Space Cooling: Electric Heat Pumps</t>
  </si>
  <si>
    <t>Residential Equipment: Stock Average Efficiency: Space Cooling: Electric Heat Pumps: Reference case</t>
  </si>
  <si>
    <t>AEO.2023.REF2023.EFI_STK_RESD_SPC_EHP_NA_NA_SEER.A</t>
  </si>
  <si>
    <t>Residential Equipment: Stock Average Efficiency: Space Cooling: Electric Heat Pumps: No Inflation Reduction Act</t>
  </si>
  <si>
    <t>AEO.2023.NOIRA.EFI_STK_RESD_SPC_EHP_NA_NA_SEER.A</t>
  </si>
  <si>
    <t>Residential Equipment: Stock Average Efficiency: Space Cooling: Natural Gas Heat Pumps</t>
  </si>
  <si>
    <t>Residential Equipment: Stock Average Efficiency: Space Cooling: Natural Gas Heat Pumps: Reference case</t>
  </si>
  <si>
    <t>AEO.2023.REF2023.EFI_STK_RESD_SPC_NHU_NA_NA_GCOP.A</t>
  </si>
  <si>
    <t>Residential Equipment: Stock Average Efficiency: Space Cooling: Natural Gas Heat Pumps: No Inflation Reduction Act</t>
  </si>
  <si>
    <t>AEO.2023.NOIRA.EFI_STK_RESD_SPC_NHU_NA_NA_GCOP.A</t>
  </si>
  <si>
    <t>Residential Equipment: Stock Average Efficiency: Space Cooling: Geothermal Heat Pumps</t>
  </si>
  <si>
    <t>Residential Equipment: Stock Average Efficiency: Space Cooling: Geothermal Heat Pumps: Reference case</t>
  </si>
  <si>
    <t>AEO.2023.REF2023.EFI_STK_RESD_SPC_GEHP_NA_NA_EER.A</t>
  </si>
  <si>
    <t>Residential Equipment: Stock Average Efficiency: Space Cooling: Geothermal Heat Pumps: No Inflation Reduction Act</t>
  </si>
  <si>
    <t>AEO.2023.NOIRA.EFI_STK_RESD_SPC_GEHP_NA_NA_EER.A</t>
  </si>
  <si>
    <t>Residential Equipment: Stock Average Efficiency: Space Cooling: Central Air Conditioners</t>
  </si>
  <si>
    <t>Residential Equipment: Stock Average Efficiency: Space Cooling: Central Air Conditioners: Reference case</t>
  </si>
  <si>
    <t>AEO.2023.REF2023.EFI_STK_RESD_SPC_CAC_NA_NA_SEER.A</t>
  </si>
  <si>
    <t>Residential Equipment: Stock Average Efficiency: Space Cooling: Central Air Conditioners: No Inflation Reduction Act</t>
  </si>
  <si>
    <t>AEO.2023.NOIRA.EFI_STK_RESD_SPC_CAC_NA_NA_SEER.A</t>
  </si>
  <si>
    <t>Residential Equipment: Stock Average Efficiency: Space Cooling: Room Air Conditioners</t>
  </si>
  <si>
    <t>Residential Equipment: Stock Average Efficiency: Space Cooling: Room Air Conditioners: Reference case</t>
  </si>
  <si>
    <t>AEO.2023.REF2023.EFI_STK_RESD_SPC_RAC_NA_NA_EER.A</t>
  </si>
  <si>
    <t>Residential Equipment: Stock Average Efficiency: Space Cooling: Room Air Conditioners: No Inflation Reduction Act</t>
  </si>
  <si>
    <t>AEO.2023.NOIRA.EFI_STK_RESD_SPC_RAC_NA_NA_EER.A</t>
  </si>
  <si>
    <t>Residential Equipment: Stock Average Efficiency: Water Heaters: Electric</t>
  </si>
  <si>
    <t>Residential Equipment: Stock Average Efficiency: Water Heaters: Electric: Reference case</t>
  </si>
  <si>
    <t>AEO.2023.REF2023.EFI_STK_RESD_WHT_ELE_NA_NA_EF.A</t>
  </si>
  <si>
    <t>Residential Equipment: Stock Average Efficiency: Water Heaters: Electric: No Inflation Reduction Act</t>
  </si>
  <si>
    <t>AEO.2023.NOIRA.EFI_STK_RESD_WHT_ELE_NA_NA_EF.A</t>
  </si>
  <si>
    <t>Residential Equipment: Stock Average Efficiency: Water Heaters: Natural Gas</t>
  </si>
  <si>
    <t>Residential Equipment: Stock Average Efficiency: Water Heaters: Natural Gas: Reference case</t>
  </si>
  <si>
    <t>AEO.2023.REF2023.EFI_STK_RESD_WHT_NG_NA_NA_EF.A</t>
  </si>
  <si>
    <t>Residential Equipment: Stock Average Efficiency: Water Heaters: Natural Gas: No Inflation Reduction Act</t>
  </si>
  <si>
    <t>AEO.2023.NOIRA.EFI_STK_RESD_WHT_NG_NA_NA_EF.A</t>
  </si>
  <si>
    <t>Residential Equipment: Stock Average Efficiency: Water Heaters: Distillate Fuel Oil</t>
  </si>
  <si>
    <t>Residential Equipment: Stock Average Efficiency: Water Heaters: Distillate Fuel Oil: Reference case</t>
  </si>
  <si>
    <t>AEO.2023.REF2023.EFI_STK_RESD_WHT_DFO_NA_NA_EF.A</t>
  </si>
  <si>
    <t>Residential Equipment: Stock Average Efficiency: Water Heaters: Distillate Fuel Oil: No Inflation Reduction Act</t>
  </si>
  <si>
    <t>AEO.2023.NOIRA.EFI_STK_RESD_WHT_DFO_NA_NA_EF.A</t>
  </si>
  <si>
    <t>Residential Equipment: Stock Average Efficiency: Water Heaters: Propane</t>
  </si>
  <si>
    <t>Residential Equipment: Stock Average Efficiency: Water Heaters: Propane: Reference case</t>
  </si>
  <si>
    <t>AEO.2023.REF2023.EFI_STK_RESD_WHT_PROP_NA_NA_EF.A</t>
  </si>
  <si>
    <t>Residential Equipment: Stock Average Efficiency: Water Heaters: Propane: No Inflation Reduction Act</t>
  </si>
  <si>
    <t>AEO.2023.NOIRA.EFI_STK_RESD_WHT_PROP_NA_NA_EF.A</t>
  </si>
  <si>
    <t>Residential Equipment: Stock Average Efficiency: Other Appliances: Refrigerators</t>
  </si>
  <si>
    <t>Residential Equipment: Stock Average Efficiency: Other Appliances: Refrigerators: Reference case</t>
  </si>
  <si>
    <t>AEO.2023.REF2023.EFI_STK_RESD_OTAR_RFG_NA_NA_KWH.A</t>
  </si>
  <si>
    <t>Residential Equipment: Stock Average Efficiency: Other Appliances: Refrigerators: No Inflation Reduction Act</t>
  </si>
  <si>
    <t>AEO.2023.NOIRA.EFI_STK_RESD_OTAR_RFG_NA_NA_KWH.A</t>
  </si>
  <si>
    <t>Residential Equipment: Stock Average Efficiency: Other Appliances: Freezers</t>
  </si>
  <si>
    <t>Residential Equipment: Stock Average Efficiency: Other Appliances: Freezers: Reference case</t>
  </si>
  <si>
    <t>AEO.2023.REF2023.EFI_STK_RESD_OTAR_FRZ_NA_NA_KWH.A</t>
  </si>
  <si>
    <t>Residential Equipment: Stock Average Efficiency: Other Appliances: Freezers: No Inflation Reduction Act</t>
  </si>
  <si>
    <t>AEO.2023.NOIRA.EFI_STK_RESD_OTAR_FRZ_NA_NA_KWH.A</t>
  </si>
  <si>
    <t>Residential Equipment: Building Shell Efficiency Index: Space Heating: Pre-2015 Homes</t>
  </si>
  <si>
    <t>Residential Equipment: Building Shell Efficiency Index: Space Heating: Pre-2015 Homes: Reference case</t>
  </si>
  <si>
    <t>AEO.2023.REF2023.EFI_BSE_RESD_SPH_OLD_NA_NA_Y15EQ1.A</t>
  </si>
  <si>
    <t>Residential Equipment: Building Shell Efficiency Index: Space Heating: Pre-2015 Homes: No Inflation Reduction Act</t>
  </si>
  <si>
    <t>AEO.2023.NOIRA.EFI_BSE_RESD_SPH_OLD_NA_NA_Y15EQ1.A</t>
  </si>
  <si>
    <t>Residential Equipment: Building Shell Efficiency Index: Space Heating: New Construction</t>
  </si>
  <si>
    <t>Residential Equipment: Building Shell Efficiency Index: Space Heating: New Construction: Reference case</t>
  </si>
  <si>
    <t>AEO.2023.REF2023.EFI_BSE_RESD_SPH_NCO_NA_NA_Y15EQ1.A</t>
  </si>
  <si>
    <t>Residential Equipment: Building Shell Efficiency Index: Space Heating: New Construction: No Inflation Reduction Act</t>
  </si>
  <si>
    <t>AEO.2023.NOIRA.EFI_BSE_RESD_SPH_NCO_NA_NA_Y15EQ1.A</t>
  </si>
  <si>
    <t>Residential Equipment: Building Shell Efficiency Index: Space Heating: All Homes</t>
  </si>
  <si>
    <t>Residential Equipment: Building Shell Efficiency Index: Space Heating: All Homes: Reference case</t>
  </si>
  <si>
    <t>AEO.2023.REF2023.EFI_BSE_RESD_SPH_AHM_NA_NA_Y15EQ1.A</t>
  </si>
  <si>
    <t>Residential Equipment: Building Shell Efficiency Index: Space Heating: All Homes: No Inflation Reduction Act</t>
  </si>
  <si>
    <t>AEO.2023.NOIRA.EFI_BSE_RESD_SPH_AHM_NA_NA_Y15EQ1.A</t>
  </si>
  <si>
    <t>Residential Equipment: Building Shell Efficiency Index: Space Cooling: Pre-2015 Homes</t>
  </si>
  <si>
    <t>Residential Equipment: Building Shell Efficiency Index: Space Cooling: Pre-2015 Homes: Reference case</t>
  </si>
  <si>
    <t>AEO.2023.REF2023.EFI_BSE_RESD_SPC_OLD_NA_NA_Y15EQ1.A</t>
  </si>
  <si>
    <t>Residential Equipment: Building Shell Efficiency Index: Space Cooling: Pre-2015 Homes: No Inflation Reduction Act</t>
  </si>
  <si>
    <t>AEO.2023.NOIRA.EFI_BSE_RESD_SPC_OLD_NA_NA_Y15EQ1.A</t>
  </si>
  <si>
    <t>Residential Equipment: Building Shell Efficiency Index: Space Cooling: New Construction</t>
  </si>
  <si>
    <t>Residential Equipment: Building Shell Efficiency Index: Space Cooling: New Construction: Reference case</t>
  </si>
  <si>
    <t>AEO.2023.REF2023.EFI_BSE_RESD_SPC_NCO_NA_NA_Y15EQ1.A</t>
  </si>
  <si>
    <t>Residential Equipment: Building Shell Efficiency Index: Space Cooling: New Construction: No Inflation Reduction Act</t>
  </si>
  <si>
    <t>AEO.2023.NOIRA.EFI_BSE_RESD_SPC_NCO_NA_NA_Y15EQ1.A</t>
  </si>
  <si>
    <t>Residential Equipment: Building Shell Efficiency Index: Space Cooling: All Homes</t>
  </si>
  <si>
    <t>Residential Equipment: Building Shell Efficiency Index: Space Cooling: All Homes: Reference case</t>
  </si>
  <si>
    <t>AEO.2023.REF2023.EFI_BSE_RESD_SPC_AHM_NA_NA_Y15EQ1.A</t>
  </si>
  <si>
    <t>Residential Equipment: Building Shell Efficiency Index: Space Cooling: All Homes: No Inflation Reduction Act</t>
  </si>
  <si>
    <t>AEO.2023.NOIRA.EFI_BSE_RESD_SPC_AHM_NA_NA_Y15EQ1.A</t>
  </si>
  <si>
    <t>Residential: Combined Heat and Power: Generating Capacity: Fuel Cells</t>
  </si>
  <si>
    <t>Residential: Combined Heat and Power: Generating Capacity: Fuel Cells: Reference case</t>
  </si>
  <si>
    <t>AEO.2023.REF2023.CAP_NA_COMM_CHP_FCL_NA_NA_MW.A</t>
  </si>
  <si>
    <t>Residential: Combined Heat and Power: Generating Capacity: Fuel Cells: No Inflation Reduction Act</t>
  </si>
  <si>
    <t>AEO.2023.NOIRA.CAP_NA_COMM_CHP_FCL_NA_NA_MW.A</t>
  </si>
  <si>
    <t>Residential: Combined Heat and Power: Generating Capacity: Solar Photovoltaic</t>
  </si>
  <si>
    <t>Residential: Combined Heat and Power: Generating Capacity: Solar Photovoltaic: Reference case</t>
  </si>
  <si>
    <t>AEO.2023.REF2023.CAP_NA_RESD_CHP_SLR_PHTVL_NA_MW.A</t>
  </si>
  <si>
    <t>Residential: Combined Heat and Power: Generating Capacity: Solar Photovoltaic: No Inflation Reduction Act</t>
  </si>
  <si>
    <t>AEO.2023.NOIRA.CAP_NA_RESD_CHP_SLR_PHTVL_NA_MW.A</t>
  </si>
  <si>
    <t>Residential: Combined Heat and Power: Generating Capacity: Wind</t>
  </si>
  <si>
    <t>Residential: Combined Heat and Power: Generating Capacity: Wind: Reference case</t>
  </si>
  <si>
    <t>AEO.2023.REF2023.CAP_NA_RESD_CHP_WND_NA_NA_MW.A</t>
  </si>
  <si>
    <t>Residential: Combined Heat and Power: Generating Capacity: Wind: No Inflation Reduction Act</t>
  </si>
  <si>
    <t>AEO.2023.NOIRA.CAP_NA_RESD_CHP_WND_NA_NA_MW.A</t>
  </si>
  <si>
    <t>Residential: Combined Heat and Power: Generating Capacity: Total</t>
  </si>
  <si>
    <t>Residential: Combined Heat and Power: Generating Capacity: Total: Reference case</t>
  </si>
  <si>
    <t>AEO.2023.REF2023.CAP_NA_RESD_CHP_TOT_NA_NA_MW.A</t>
  </si>
  <si>
    <t>Residential: Combined Heat and Power: Generating Capacity: Total: No Inflation Reduction Act</t>
  </si>
  <si>
    <t>AEO.2023.NOIRA.CAP_NA_RESD_CHP_TOT_NA_NA_MW.A</t>
  </si>
  <si>
    <t>Residential: Combined Heat and Power: Net Generation: Fuel Cells</t>
  </si>
  <si>
    <t>Residential: Combined Heat and Power: Net Generation: Fuel Cells: Reference case</t>
  </si>
  <si>
    <t>AEO.2023.REF2023.GEN_NA_COMM_CHP_FCL_NA_NA_MILLKWH.A</t>
  </si>
  <si>
    <t>Residential: Combined Heat and Power: Net Generation: Fuel Cells: No Inflation Reduction Act</t>
  </si>
  <si>
    <t>AEO.2023.NOIRA.GEN_NA_COMM_CHP_FCL_NA_NA_MILLKWH.A</t>
  </si>
  <si>
    <t>Residential: Combined Heat and Power: Net Generation: Solar Photovoltaic</t>
  </si>
  <si>
    <t>Residential: Combined Heat and Power: Net Generation: Solar Photovoltaic: Reference case</t>
  </si>
  <si>
    <t>AEO.2023.REF2023.GEN_NA_COMM_CHP_SLR_PHTVL_NA_MILLKWH.A</t>
  </si>
  <si>
    <t>Residential: Combined Heat and Power: Net Generation: Solar Photovoltaic: No Inflation Reduction Act</t>
  </si>
  <si>
    <t>AEO.2023.NOIRA.GEN_NA_COMM_CHP_SLR_PHTVL_NA_MILLKWH.A</t>
  </si>
  <si>
    <t>Residential: Combined Heat and Power: Net Generation: Wind</t>
  </si>
  <si>
    <t>Residential: Combined Heat and Power: Net Generation: Wind: Reference case</t>
  </si>
  <si>
    <t>AEO.2023.REF2023.GEN_NA_COMM_CHP_WND_NA_NA_MILLKWH.A</t>
  </si>
  <si>
    <t>Residential: Combined Heat and Power: Net Generation: Wind: No Inflation Reduction Act</t>
  </si>
  <si>
    <t>AEO.2023.NOIRA.GEN_NA_COMM_CHP_WND_NA_NA_MILLKWH.A</t>
  </si>
  <si>
    <t>Residential: Combined Heat and Power: Net Generation: Total</t>
  </si>
  <si>
    <t>Residential: Combined Heat and Power: Net Generation: Total: Reference case</t>
  </si>
  <si>
    <t>AEO.2023.REF2023.GEN_NA_COMM_CHP_TOT_NA_NA_MILLKWH.A</t>
  </si>
  <si>
    <t>Residential: Combined Heat and Power: Net Generation: Total: No Inflation Reduction Act</t>
  </si>
  <si>
    <t>AEO.2023.NOIRA.GEN_NA_COMM_CHP_TOT_NA_NA_MILLKWH.A</t>
  </si>
  <si>
    <t>Residential: Combined Heat and Power: Net Generation: Sales to the Grid</t>
  </si>
  <si>
    <t>Residential: Combined Heat and Power: Net Generation: Sales to the Grid: Reference case</t>
  </si>
  <si>
    <t>AEO.2023.REF2023.GEN_NA_COMM_CHP_STG_NA_NA_MILLKWH.A</t>
  </si>
  <si>
    <t>Residential: Combined Heat and Power: Net Generation: Sales to the Grid: No Inflation Reduction Act</t>
  </si>
  <si>
    <t>AEO.2023.NOIRA.GEN_NA_COMM_CHP_STG_NA_NA_MILLKWH.A</t>
  </si>
  <si>
    <t>Residential: Combined Heat and Power: Net Generation: Generation for Own Use</t>
  </si>
  <si>
    <t>Residential: Combined Heat and Power: Net Generation: Generation for Own Use: Reference case</t>
  </si>
  <si>
    <t>AEO.2023.REF2023.GEN_NA_COMM_CHP_GFO_NA_NA_MILLKWH.A</t>
  </si>
  <si>
    <t>Residential: Combined Heat and Power: Net Generation: Generation for Own Use: No Inflation Reduction Act</t>
  </si>
  <si>
    <t>AEO.2023.NOIRA.GEN_NA_COMM_CHP_GFO_NA_NA_MILLKWH.A</t>
  </si>
  <si>
    <t>Residential: Combined Heat and Power: Energy Input: Fuel Cells</t>
  </si>
  <si>
    <t>Residential: Combined Heat and Power: Energy Input: Fuel Cells: Reference case</t>
  </si>
  <si>
    <t>AEO.2023.REF2023.CNSM_NA_COMM_CHP_FCL_NA_NA_TRLBTU.A</t>
  </si>
  <si>
    <t>Residential: Combined Heat and Power: Energy Input: Fuel Cells: No Inflation Reduction Act</t>
  </si>
  <si>
    <t>AEO.2023.NOIRA.CNSM_NA_COMM_CHP_FCL_NA_NA_TRLBTU.A</t>
  </si>
  <si>
    <t>Residential: Combined Heat and Power: Energy Input: Solar Photovoltaic</t>
  </si>
  <si>
    <t>Residential: Combined Heat and Power: Energy Input: Solar Photovoltaic: Reference case</t>
  </si>
  <si>
    <t>AEO.2023.REF2023.CNSM_NA_COMM_CHP_SLR_PHTVL_NA_TRLBTU.A</t>
  </si>
  <si>
    <t>Residential: Combined Heat and Power: Energy Input: Solar Photovoltaic: No Inflation Reduction Act</t>
  </si>
  <si>
    <t>AEO.2023.NOIRA.CNSM_NA_COMM_CHP_SLR_PHTVL_NA_TRLBTU.A</t>
  </si>
  <si>
    <t>Residential: Combined Heat and Power: Energy Input: Wind</t>
  </si>
  <si>
    <t>Residential: Combined Heat and Power: Energy Input: Wind: Reference case</t>
  </si>
  <si>
    <t>AEO.2023.REF2023.CNSM_NA_COMM_CHP_WND_NA_NA_TRLBTU.A</t>
  </si>
  <si>
    <t>Residential: Combined Heat and Power: Energy Input: Wind: No Inflation Reduction Act</t>
  </si>
  <si>
    <t>AEO.2023.NOIRA.CNSM_NA_COMM_CHP_WND_NA_NA_TRLBTU.A</t>
  </si>
  <si>
    <t>Residential: Combined Heat and Power: Energy Input: Total</t>
  </si>
  <si>
    <t>Residential: Combined Heat and Power: Energy Input: Total: Reference case</t>
  </si>
  <si>
    <t>AEO.2023.REF2023.CNSM_NA_COMM_CHP_TOT_NA_NA_TRLBTU.A</t>
  </si>
  <si>
    <t>Residential: Combined Heat and Power: Energy Input: Total: No Inflation Reduction Act</t>
  </si>
  <si>
    <t>AEO.2023.NOIRA.CNSM_NA_COMM_CHP_TOT_NA_NA_TRLBTU.A</t>
  </si>
  <si>
    <t>Reference Case</t>
  </si>
  <si>
    <t>No IRA Case</t>
  </si>
  <si>
    <t>Residential Distributed Solar Capacity (GW)</t>
  </si>
  <si>
    <t>Rural residential change in additions (MW)</t>
  </si>
  <si>
    <t>Urban residential change in additions (MW)</t>
  </si>
  <si>
    <t>Reference Case, New Additions</t>
  </si>
  <si>
    <t>No IRA Case, New Additions</t>
  </si>
  <si>
    <t>NA</t>
  </si>
  <si>
    <t>IRA credits end 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</si>
</sst>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9" fontId="5" fillId="0" borderId="0" applyFont="0" applyFill="0" applyBorder="0" applyAlignment="0" applyProtection="0"/>
    <xf numFmtId="0" fontId="6" fillId="0" borderId="6" applyNumberFormat="0" applyProtection="0">
      <alignment horizontal="left" wrapText="1"/>
    </xf>
    <xf numFmtId="43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6" borderId="9" applyNumberFormat="0" applyAlignment="0" applyProtection="0"/>
    <xf numFmtId="0" fontId="14" fillId="7" borderId="10" applyNumberFormat="0" applyAlignment="0" applyProtection="0"/>
    <xf numFmtId="0" fontId="15" fillId="7" borderId="9" applyNumberFormat="0" applyAlignment="0" applyProtection="0"/>
    <xf numFmtId="0" fontId="16" fillId="0" borderId="11" applyNumberFormat="0" applyFill="0" applyAlignment="0" applyProtection="0"/>
    <xf numFmtId="0" fontId="17" fillId="8" borderId="12" applyNumberFormat="0" applyAlignment="0" applyProtection="0"/>
    <xf numFmtId="0" fontId="18" fillId="0" borderId="0" applyNumberFormat="0" applyFill="0" applyBorder="0" applyAlignment="0" applyProtection="0"/>
    <xf numFmtId="0" fontId="5" fillId="9" borderId="13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0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0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0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0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0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0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21" fillId="5" borderId="0" applyNumberFormat="0" applyBorder="0" applyAlignment="0" applyProtection="0"/>
    <xf numFmtId="0" fontId="20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9" borderId="0" applyNumberFormat="0" applyBorder="0" applyAlignment="0" applyProtection="0"/>
    <xf numFmtId="0" fontId="20" fillId="33" borderId="0" applyNumberFormat="0" applyBorder="0" applyAlignment="0" applyProtection="0"/>
    <xf numFmtId="0" fontId="22" fillId="0" borderId="0" applyNumberFormat="0" applyFill="0" applyBorder="0" applyAlignment="0" applyProtection="0"/>
    <xf numFmtId="0" fontId="23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164" fontId="0" fillId="0" borderId="0" xfId="8" applyNumberFormat="1" applyFont="1"/>
    <xf numFmtId="0" fontId="0" fillId="0" borderId="0" xfId="0" applyAlignment="1">
      <alignment wrapText="1"/>
    </xf>
    <xf numFmtId="3" fontId="0" fillId="0" borderId="0" xfId="0" applyNumberFormat="1"/>
    <xf numFmtId="165" fontId="0" fillId="0" borderId="0" xfId="10" applyNumberFormat="1" applyFont="1"/>
    <xf numFmtId="165" fontId="0" fillId="0" borderId="0" xfId="0" applyNumberFormat="1"/>
    <xf numFmtId="10" fontId="0" fillId="0" borderId="0" xfId="0" applyNumberFormat="1"/>
    <xf numFmtId="0" fontId="22" fillId="0" borderId="0" xfId="52" applyAlignment="1">
      <alignment wrapText="1"/>
    </xf>
    <xf numFmtId="0" fontId="22" fillId="0" borderId="0" xfId="52"/>
    <xf numFmtId="0" fontId="24" fillId="0" borderId="0" xfId="0" applyFont="1"/>
    <xf numFmtId="0" fontId="25" fillId="0" borderId="0" xfId="0" applyFont="1" applyAlignment="1">
      <alignment vertical="center"/>
    </xf>
  </cellXfs>
  <cellStyles count="54">
    <cellStyle name="20% - Accent1" xfId="28" builtinId="30" customBuiltin="1"/>
    <cellStyle name="20% - Accent2" xfId="31" builtinId="34" customBuiltin="1"/>
    <cellStyle name="20% - Accent3" xfId="34" builtinId="38" customBuiltin="1"/>
    <cellStyle name="20% - Accent4" xfId="37" builtinId="42" customBuiltin="1"/>
    <cellStyle name="20% - Accent5" xfId="40" builtinId="46" customBuiltin="1"/>
    <cellStyle name="20% - Accent6" xfId="43" builtinId="50" customBuiltin="1"/>
    <cellStyle name="40% - Accent1" xfId="29" builtinId="31" customBuiltin="1"/>
    <cellStyle name="40% - Accent2" xfId="32" builtinId="35" customBuiltin="1"/>
    <cellStyle name="40% - Accent3" xfId="35" builtinId="39" customBuiltin="1"/>
    <cellStyle name="40% - Accent4" xfId="38" builtinId="43" customBuiltin="1"/>
    <cellStyle name="40% - Accent5" xfId="41" builtinId="47" customBuiltin="1"/>
    <cellStyle name="40% - Accent6" xfId="44" builtinId="51" customBuiltin="1"/>
    <cellStyle name="60% - Accent1 2" xfId="46" xr:uid="{C2C72341-02A2-4A97-B448-8BF00C2F4FDA}"/>
    <cellStyle name="60% - Accent2 2" xfId="47" xr:uid="{0AD0C64B-D897-421D-BE7A-6998DB55E58E}"/>
    <cellStyle name="60% - Accent3 2" xfId="48" xr:uid="{52DD3F5A-D1FF-426A-8FAD-806E1C9D59E7}"/>
    <cellStyle name="60% - Accent4 2" xfId="49" xr:uid="{EB04BF8A-B91E-49B8-98A3-8C134AF77B8E}"/>
    <cellStyle name="60% - Accent5 2" xfId="50" xr:uid="{962591F8-F306-4AA9-A952-2AEFF1530B0E}"/>
    <cellStyle name="60% - Accent6 2" xfId="51" xr:uid="{34D9D440-2157-40A6-8DC8-D7F06B43F39F}"/>
    <cellStyle name="Accent1" xfId="27" builtinId="29" customBuiltin="1"/>
    <cellStyle name="Accent2" xfId="30" builtinId="33" customBuiltin="1"/>
    <cellStyle name="Accent3" xfId="33" builtinId="37" customBuiltin="1"/>
    <cellStyle name="Accent4" xfId="36" builtinId="41" customBuiltin="1"/>
    <cellStyle name="Accent5" xfId="39" builtinId="45" customBuiltin="1"/>
    <cellStyle name="Accent6" xfId="42" builtinId="49" customBuiltin="1"/>
    <cellStyle name="Bad" xfId="17" builtinId="27" customBuiltin="1"/>
    <cellStyle name="Body: normal cell" xfId="5" xr:uid="{00000000-0005-0000-0000-000000000000}"/>
    <cellStyle name="Calculation" xfId="20" builtinId="22" customBuiltin="1"/>
    <cellStyle name="Check Cell" xfId="22" builtinId="23" customBuiltin="1"/>
    <cellStyle name="Comma" xfId="10" builtinId="3"/>
    <cellStyle name="Explanatory Text" xfId="25" builtinId="53" customBuiltin="1"/>
    <cellStyle name="Font: Calibri, 9pt regular" xfId="1" xr:uid="{00000000-0005-0000-0000-000001000000}"/>
    <cellStyle name="Footnotes: top row" xfId="6" xr:uid="{00000000-0005-0000-0000-000002000000}"/>
    <cellStyle name="Good" xfId="16" builtinId="26" customBuiltin="1"/>
    <cellStyle name="Header: bottom row" xfId="2" xr:uid="{00000000-0005-0000-0000-000003000000}"/>
    <cellStyle name="Header: top rows" xfId="9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52" builtinId="8"/>
    <cellStyle name="Input" xfId="18" builtinId="20" customBuiltin="1"/>
    <cellStyle name="Linked Cell" xfId="21" builtinId="24" customBuiltin="1"/>
    <cellStyle name="Neutral 2" xfId="45" xr:uid="{09445B5B-F6BE-47A3-8B4B-90B358DD6365}"/>
    <cellStyle name="Normal" xfId="0" builtinId="0"/>
    <cellStyle name="Normal 2" xfId="7" xr:uid="{00000000-0005-0000-0000-000006000000}"/>
    <cellStyle name="Normal 3" xfId="53" xr:uid="{6D5BFB4D-1C20-4C02-A8DF-639CF758385B}"/>
    <cellStyle name="Note" xfId="24" builtinId="10" customBuiltin="1"/>
    <cellStyle name="Output" xfId="19" builtinId="21" customBuiltin="1"/>
    <cellStyle name="Parent row" xfId="4" xr:uid="{00000000-0005-0000-0000-000007000000}"/>
    <cellStyle name="Percent" xfId="8" builtinId="5"/>
    <cellStyle name="Table title" xfId="3" xr:uid="{00000000-0005-0000-0000-000009000000}"/>
    <cellStyle name="Title" xfId="11" builtinId="15" customBuiltin="1"/>
    <cellStyle name="Total" xfId="26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outlooks/aeo/data/browser/" TargetMode="External"/><Relationship Id="rId2" Type="http://schemas.openxmlformats.org/officeDocument/2006/relationships/hyperlink" Target="https://www.eia.gov/consumption/residential/data/2020/?src=%E2%80%B9%20Consumption%20%20%20%20%20%20Residential%20Energy%20Consumption%20Survey%20(RECS)-f1" TargetMode="External"/><Relationship Id="rId1" Type="http://schemas.openxmlformats.org/officeDocument/2006/relationships/hyperlink" Target="https://www.eia.gov/consumption/residential/data/2020/hc/xls/HC%202.1.xlsx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eia.gov/outlooks/aeo/data/brows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opLeftCell="A20" workbookViewId="0">
      <selection activeCell="A31" sqref="A31"/>
    </sheetView>
  </sheetViews>
  <sheetFormatPr defaultRowHeight="15" x14ac:dyDescent="0.25"/>
  <cols>
    <col min="1" max="1" width="17.140625" customWidth="1"/>
    <col min="2" max="2" width="51" customWidth="1"/>
    <col min="4" max="4" width="14.42578125" bestFit="1" customWidth="1"/>
    <col min="5" max="5" width="10.85546875" bestFit="1" customWidth="1"/>
  </cols>
  <sheetData>
    <row r="1" spans="1:2" x14ac:dyDescent="0.25">
      <c r="A1" s="1" t="s">
        <v>123</v>
      </c>
    </row>
    <row r="3" spans="1:2" x14ac:dyDescent="0.25">
      <c r="A3" s="1" t="s">
        <v>15</v>
      </c>
      <c r="B3" s="3" t="s">
        <v>125</v>
      </c>
    </row>
    <row r="4" spans="1:2" x14ac:dyDescent="0.25">
      <c r="B4" t="s">
        <v>0</v>
      </c>
    </row>
    <row r="5" spans="1:2" x14ac:dyDescent="0.25">
      <c r="B5" s="2">
        <v>2023</v>
      </c>
    </row>
    <row r="6" spans="1:2" x14ac:dyDescent="0.25">
      <c r="B6" t="s">
        <v>124</v>
      </c>
    </row>
    <row r="7" spans="1:2" ht="30" x14ac:dyDescent="0.25">
      <c r="B7" s="10" t="s">
        <v>110</v>
      </c>
    </row>
    <row r="8" spans="1:2" ht="30" x14ac:dyDescent="0.25">
      <c r="B8" s="10" t="s">
        <v>111</v>
      </c>
    </row>
    <row r="9" spans="1:2" x14ac:dyDescent="0.25">
      <c r="B9" t="s">
        <v>29</v>
      </c>
    </row>
    <row r="11" spans="1:2" x14ac:dyDescent="0.25">
      <c r="B11" s="3" t="s">
        <v>109</v>
      </c>
    </row>
    <row r="12" spans="1:2" x14ac:dyDescent="0.25">
      <c r="B12" t="s">
        <v>0</v>
      </c>
    </row>
    <row r="13" spans="1:2" x14ac:dyDescent="0.25">
      <c r="B13" s="2">
        <v>2021</v>
      </c>
    </row>
    <row r="14" spans="1:2" x14ac:dyDescent="0.25">
      <c r="B14" t="s">
        <v>106</v>
      </c>
    </row>
    <row r="15" spans="1:2" ht="60" x14ac:dyDescent="0.25">
      <c r="B15" s="10" t="s">
        <v>105</v>
      </c>
    </row>
    <row r="16" spans="1:2" ht="60" x14ac:dyDescent="0.25">
      <c r="B16" s="10" t="s">
        <v>104</v>
      </c>
    </row>
    <row r="17" spans="1:2" x14ac:dyDescent="0.25">
      <c r="B17" t="s">
        <v>29</v>
      </c>
    </row>
    <row r="19" spans="1:2" x14ac:dyDescent="0.25">
      <c r="B19" s="3" t="s">
        <v>16</v>
      </c>
    </row>
    <row r="20" spans="1:2" x14ac:dyDescent="0.25">
      <c r="B20" t="s">
        <v>0</v>
      </c>
    </row>
    <row r="21" spans="1:2" x14ac:dyDescent="0.25">
      <c r="B21" s="2">
        <v>2020</v>
      </c>
    </row>
    <row r="22" spans="1:2" x14ac:dyDescent="0.25">
      <c r="B22" t="s">
        <v>17</v>
      </c>
    </row>
    <row r="23" spans="1:2" x14ac:dyDescent="0.25">
      <c r="B23" s="11" t="s">
        <v>108</v>
      </c>
    </row>
    <row r="24" spans="1:2" x14ac:dyDescent="0.25">
      <c r="B24" s="11" t="s">
        <v>107</v>
      </c>
    </row>
    <row r="25" spans="1:2" x14ac:dyDescent="0.25">
      <c r="B25" t="s">
        <v>18</v>
      </c>
    </row>
    <row r="27" spans="1:2" x14ac:dyDescent="0.25">
      <c r="A27" s="1" t="s">
        <v>12</v>
      </c>
    </row>
    <row r="28" spans="1:2" x14ac:dyDescent="0.25">
      <c r="A28" t="s">
        <v>112</v>
      </c>
    </row>
    <row r="29" spans="1:2" x14ac:dyDescent="0.25">
      <c r="A29" t="s">
        <v>113</v>
      </c>
    </row>
    <row r="30" spans="1:2" x14ac:dyDescent="0.25">
      <c r="A30" t="s">
        <v>474</v>
      </c>
    </row>
    <row r="31" spans="1:2" x14ac:dyDescent="0.25">
      <c r="A31" s="1" t="s">
        <v>24</v>
      </c>
    </row>
    <row r="32" spans="1:2" x14ac:dyDescent="0.25">
      <c r="A32" s="4">
        <v>0.81308184246741677</v>
      </c>
      <c r="B32" t="s">
        <v>13</v>
      </c>
    </row>
    <row r="33" spans="1:6" x14ac:dyDescent="0.25">
      <c r="A33" s="4">
        <v>0.18691815753258317</v>
      </c>
      <c r="B33" t="s">
        <v>14</v>
      </c>
    </row>
    <row r="35" spans="1:6" ht="60" x14ac:dyDescent="0.25">
      <c r="A35" s="5" t="s">
        <v>30</v>
      </c>
      <c r="B35">
        <f>10^6</f>
        <v>1000000</v>
      </c>
      <c r="C35" s="6"/>
      <c r="D35" s="7"/>
      <c r="E35" s="8"/>
    </row>
    <row r="36" spans="1:6" x14ac:dyDescent="0.25">
      <c r="A36" t="s">
        <v>31</v>
      </c>
      <c r="B36">
        <v>1000</v>
      </c>
      <c r="F36" s="8"/>
    </row>
  </sheetData>
  <hyperlinks>
    <hyperlink ref="B24" r:id="rId1" xr:uid="{4AF0AB73-D0E4-4FE5-BBEA-528CC825570E}"/>
    <hyperlink ref="B23" r:id="rId2" xr:uid="{D7708223-4A37-4EB1-A9D1-D689355820F5}"/>
    <hyperlink ref="B7" r:id="rId3" location="/?id=30-AEO2022&amp;sourcekey=0" xr:uid="{4CA0ADFE-7678-454E-AB8A-49047F597107}"/>
    <hyperlink ref="B8" r:id="rId4" location="/?id=32-AEO2022&amp;cases=ref2022&amp;sourcekey=0" xr:uid="{AD1548F3-80A9-479D-8E0C-362D5ED82A26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4F30-E57B-4412-9A61-7D098BFC4C5D}">
  <dimension ref="A1:AI227"/>
  <sheetViews>
    <sheetView topLeftCell="A157" workbookViewId="0">
      <selection sqref="A1:XFD1048576"/>
    </sheetView>
  </sheetViews>
  <sheetFormatPr defaultColWidth="27.7109375" defaultRowHeight="15" x14ac:dyDescent="0.25"/>
  <sheetData>
    <row r="1" spans="1:35" x14ac:dyDescent="0.25">
      <c r="A1" t="s">
        <v>34</v>
      </c>
    </row>
    <row r="2" spans="1:35" x14ac:dyDescent="0.25">
      <c r="A2" t="s">
        <v>126</v>
      </c>
    </row>
    <row r="3" spans="1:35" x14ac:dyDescent="0.25">
      <c r="A3" t="s">
        <v>127</v>
      </c>
    </row>
    <row r="4" spans="1:35" x14ac:dyDescent="0.25">
      <c r="A4" t="s">
        <v>35</v>
      </c>
    </row>
    <row r="5" spans="1:35" x14ac:dyDescent="0.25">
      <c r="B5" t="s">
        <v>36</v>
      </c>
      <c r="C5" t="s">
        <v>37</v>
      </c>
      <c r="D5" t="s">
        <v>38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128</v>
      </c>
    </row>
    <row r="6" spans="1:35" x14ac:dyDescent="0.25">
      <c r="A6" t="s">
        <v>1</v>
      </c>
    </row>
    <row r="7" spans="1:35" x14ac:dyDescent="0.25">
      <c r="A7" t="s">
        <v>39</v>
      </c>
    </row>
    <row r="8" spans="1:35" x14ac:dyDescent="0.25">
      <c r="A8" t="s">
        <v>40</v>
      </c>
      <c r="B8" t="s">
        <v>129</v>
      </c>
      <c r="D8" t="s">
        <v>41</v>
      </c>
    </row>
    <row r="9" spans="1:35" x14ac:dyDescent="0.25">
      <c r="A9" t="s">
        <v>130</v>
      </c>
      <c r="B9" t="s">
        <v>131</v>
      </c>
      <c r="C9" t="s">
        <v>132</v>
      </c>
      <c r="D9" t="s">
        <v>41</v>
      </c>
      <c r="F9">
        <v>13.315578</v>
      </c>
      <c r="G9">
        <v>13.570746</v>
      </c>
      <c r="H9">
        <v>13.822851</v>
      </c>
      <c r="I9">
        <v>14.081016999999999</v>
      </c>
      <c r="J9">
        <v>14.338543</v>
      </c>
      <c r="K9">
        <v>14.596683000000001</v>
      </c>
      <c r="L9">
        <v>14.856007</v>
      </c>
      <c r="M9">
        <v>15.113205000000001</v>
      </c>
      <c r="N9">
        <v>15.364176</v>
      </c>
      <c r="O9">
        <v>15.610795</v>
      </c>
      <c r="P9">
        <v>15.855648</v>
      </c>
      <c r="Q9">
        <v>16.095499</v>
      </c>
      <c r="R9">
        <v>16.328896</v>
      </c>
      <c r="S9">
        <v>16.560500999999999</v>
      </c>
      <c r="T9">
        <v>16.79364</v>
      </c>
      <c r="U9">
        <v>17.026976000000001</v>
      </c>
      <c r="V9">
        <v>17.258600000000001</v>
      </c>
      <c r="W9">
        <v>17.487826999999999</v>
      </c>
      <c r="X9">
        <v>17.718792000000001</v>
      </c>
      <c r="Y9">
        <v>17.949728</v>
      </c>
      <c r="Z9">
        <v>18.178336999999999</v>
      </c>
      <c r="AA9">
        <v>18.406141000000002</v>
      </c>
      <c r="AB9">
        <v>18.633220999999999</v>
      </c>
      <c r="AC9">
        <v>18.859971999999999</v>
      </c>
      <c r="AD9">
        <v>19.086086000000002</v>
      </c>
      <c r="AE9">
        <v>19.312725</v>
      </c>
      <c r="AF9">
        <v>19.538191000000001</v>
      </c>
      <c r="AG9">
        <v>19.762443999999999</v>
      </c>
      <c r="AH9">
        <v>19.985924000000001</v>
      </c>
      <c r="AI9" s="9">
        <v>1.4999999999999999E-2</v>
      </c>
    </row>
    <row r="10" spans="1:35" x14ac:dyDescent="0.25">
      <c r="A10" t="s">
        <v>133</v>
      </c>
      <c r="B10" t="s">
        <v>134</v>
      </c>
      <c r="C10" t="s">
        <v>135</v>
      </c>
      <c r="D10" t="s">
        <v>41</v>
      </c>
      <c r="F10">
        <v>13.315576999999999</v>
      </c>
      <c r="G10">
        <v>13.57014</v>
      </c>
      <c r="H10">
        <v>13.820798999999999</v>
      </c>
      <c r="I10">
        <v>14.076959</v>
      </c>
      <c r="J10">
        <v>14.334101</v>
      </c>
      <c r="K10">
        <v>14.592862999999999</v>
      </c>
      <c r="L10">
        <v>14.852471</v>
      </c>
      <c r="M10">
        <v>15.108972</v>
      </c>
      <c r="N10">
        <v>15.358029999999999</v>
      </c>
      <c r="O10">
        <v>15.601753</v>
      </c>
      <c r="P10">
        <v>15.843781999999999</v>
      </c>
      <c r="Q10">
        <v>16.081530000000001</v>
      </c>
      <c r="R10">
        <v>16.313980000000001</v>
      </c>
      <c r="S10">
        <v>16.545704000000001</v>
      </c>
      <c r="T10">
        <v>16.779347999999999</v>
      </c>
      <c r="U10">
        <v>17.013324999999998</v>
      </c>
      <c r="V10">
        <v>17.245787</v>
      </c>
      <c r="W10">
        <v>17.476032</v>
      </c>
      <c r="X10">
        <v>17.707825</v>
      </c>
      <c r="Y10">
        <v>17.940854999999999</v>
      </c>
      <c r="Z10">
        <v>18.172121000000001</v>
      </c>
      <c r="AA10">
        <v>18.401899</v>
      </c>
      <c r="AB10">
        <v>18.629539000000001</v>
      </c>
      <c r="AC10">
        <v>18.855181000000002</v>
      </c>
      <c r="AD10">
        <v>19.078987000000001</v>
      </c>
      <c r="AE10">
        <v>19.303121999999998</v>
      </c>
      <c r="AF10">
        <v>19.526785</v>
      </c>
      <c r="AG10">
        <v>19.750774</v>
      </c>
      <c r="AH10">
        <v>19.973880999999999</v>
      </c>
      <c r="AI10" s="9">
        <v>1.4999999999999999E-2</v>
      </c>
    </row>
    <row r="11" spans="1:35" x14ac:dyDescent="0.25">
      <c r="A11" t="s">
        <v>42</v>
      </c>
      <c r="B11" t="s">
        <v>136</v>
      </c>
      <c r="D11" t="s">
        <v>41</v>
      </c>
    </row>
    <row r="12" spans="1:35" x14ac:dyDescent="0.25">
      <c r="A12" t="s">
        <v>130</v>
      </c>
      <c r="B12" t="s">
        <v>137</v>
      </c>
      <c r="C12" t="s">
        <v>138</v>
      </c>
      <c r="D12" t="s">
        <v>41</v>
      </c>
      <c r="F12">
        <v>31.010973</v>
      </c>
      <c r="G12">
        <v>31.191192999999998</v>
      </c>
      <c r="H12">
        <v>31.367004000000001</v>
      </c>
      <c r="I12">
        <v>31.545936999999999</v>
      </c>
      <c r="J12">
        <v>31.728054</v>
      </c>
      <c r="K12">
        <v>31.914145999999999</v>
      </c>
      <c r="L12">
        <v>32.103335999999999</v>
      </c>
      <c r="M12">
        <v>32.291443000000001</v>
      </c>
      <c r="N12">
        <v>32.472884999999998</v>
      </c>
      <c r="O12">
        <v>32.650379000000001</v>
      </c>
      <c r="P12">
        <v>32.828147999999999</v>
      </c>
      <c r="Q12">
        <v>33.003276999999997</v>
      </c>
      <c r="R12">
        <v>33.172893999999999</v>
      </c>
      <c r="S12">
        <v>33.339801999999999</v>
      </c>
      <c r="T12">
        <v>33.508488</v>
      </c>
      <c r="U12">
        <v>33.676701000000001</v>
      </c>
      <c r="V12">
        <v>33.844833000000001</v>
      </c>
      <c r="W12">
        <v>34.012619000000001</v>
      </c>
      <c r="X12">
        <v>34.183968</v>
      </c>
      <c r="Y12">
        <v>34.355839000000003</v>
      </c>
      <c r="Z12">
        <v>34.525658</v>
      </c>
      <c r="AA12">
        <v>34.694195000000001</v>
      </c>
      <c r="AB12">
        <v>34.861164000000002</v>
      </c>
      <c r="AC12">
        <v>35.026974000000003</v>
      </c>
      <c r="AD12">
        <v>35.191212</v>
      </c>
      <c r="AE12">
        <v>35.356566999999998</v>
      </c>
      <c r="AF12">
        <v>35.521110999999998</v>
      </c>
      <c r="AG12">
        <v>35.685035999999997</v>
      </c>
      <c r="AH12">
        <v>35.849113000000003</v>
      </c>
      <c r="AI12" s="9">
        <v>5.0000000000000001E-3</v>
      </c>
    </row>
    <row r="13" spans="1:35" x14ac:dyDescent="0.25">
      <c r="A13" t="s">
        <v>133</v>
      </c>
      <c r="B13" t="s">
        <v>139</v>
      </c>
      <c r="C13" t="s">
        <v>140</v>
      </c>
      <c r="D13" t="s">
        <v>41</v>
      </c>
      <c r="F13">
        <v>31.010946000000001</v>
      </c>
      <c r="G13">
        <v>31.191137000000001</v>
      </c>
      <c r="H13">
        <v>31.364958000000001</v>
      </c>
      <c r="I13">
        <v>31.541792000000001</v>
      </c>
      <c r="J13">
        <v>31.723896</v>
      </c>
      <c r="K13">
        <v>31.911014999999999</v>
      </c>
      <c r="L13">
        <v>32.100662</v>
      </c>
      <c r="M13">
        <v>32.287635999999999</v>
      </c>
      <c r="N13">
        <v>32.465800999999999</v>
      </c>
      <c r="O13">
        <v>32.638668000000003</v>
      </c>
      <c r="P13">
        <v>32.811957999999997</v>
      </c>
      <c r="Q13">
        <v>32.983432999999998</v>
      </c>
      <c r="R13">
        <v>33.151051000000002</v>
      </c>
      <c r="S13">
        <v>33.317664999999998</v>
      </c>
      <c r="T13">
        <v>33.486319999999999</v>
      </c>
      <c r="U13">
        <v>33.654269999999997</v>
      </c>
      <c r="V13">
        <v>33.822310999999999</v>
      </c>
      <c r="W13">
        <v>33.989792000000001</v>
      </c>
      <c r="X13">
        <v>34.161029999999997</v>
      </c>
      <c r="Y13">
        <v>34.334727999999998</v>
      </c>
      <c r="Z13">
        <v>34.506991999999997</v>
      </c>
      <c r="AA13">
        <v>34.676772999999997</v>
      </c>
      <c r="AB13">
        <v>34.842854000000003</v>
      </c>
      <c r="AC13">
        <v>35.005619000000003</v>
      </c>
      <c r="AD13">
        <v>35.165768</v>
      </c>
      <c r="AE13">
        <v>35.326740000000001</v>
      </c>
      <c r="AF13">
        <v>35.488112999999998</v>
      </c>
      <c r="AG13">
        <v>35.651133999999999</v>
      </c>
      <c r="AH13">
        <v>35.814224000000003</v>
      </c>
      <c r="AI13" s="9">
        <v>5.0000000000000001E-3</v>
      </c>
    </row>
    <row r="14" spans="1:35" x14ac:dyDescent="0.25">
      <c r="A14" t="s">
        <v>43</v>
      </c>
      <c r="B14" t="s">
        <v>141</v>
      </c>
      <c r="D14" t="s">
        <v>41</v>
      </c>
    </row>
    <row r="15" spans="1:35" x14ac:dyDescent="0.25">
      <c r="A15" t="s">
        <v>130</v>
      </c>
      <c r="B15" t="s">
        <v>142</v>
      </c>
      <c r="C15" t="s">
        <v>143</v>
      </c>
      <c r="D15" t="s">
        <v>41</v>
      </c>
      <c r="F15">
        <v>1.3211980000000001</v>
      </c>
      <c r="G15">
        <v>1.3192429999999999</v>
      </c>
      <c r="H15">
        <v>1.317296</v>
      </c>
      <c r="I15">
        <v>1.3153570000000001</v>
      </c>
      <c r="J15">
        <v>1.313426</v>
      </c>
      <c r="K15">
        <v>1.3115030000000001</v>
      </c>
      <c r="L15">
        <v>1.3095870000000001</v>
      </c>
      <c r="M15">
        <v>1.307679</v>
      </c>
      <c r="N15">
        <v>1.3057799999999999</v>
      </c>
      <c r="O15">
        <v>1.3038860000000001</v>
      </c>
      <c r="P15">
        <v>1.302001</v>
      </c>
      <c r="Q15">
        <v>1.300122</v>
      </c>
      <c r="R15">
        <v>1.298251</v>
      </c>
      <c r="S15">
        <v>1.296387</v>
      </c>
      <c r="T15">
        <v>1.29453</v>
      </c>
      <c r="U15">
        <v>1.2926800000000001</v>
      </c>
      <c r="V15">
        <v>1.290837</v>
      </c>
      <c r="W15">
        <v>1.2890010000000001</v>
      </c>
      <c r="X15">
        <v>1.2871710000000001</v>
      </c>
      <c r="Y15">
        <v>1.2853479999999999</v>
      </c>
      <c r="Z15">
        <v>1.283531</v>
      </c>
      <c r="AA15">
        <v>1.2817210000000001</v>
      </c>
      <c r="AB15">
        <v>1.2799179999999999</v>
      </c>
      <c r="AC15">
        <v>1.2781199999999999</v>
      </c>
      <c r="AD15">
        <v>1.27633</v>
      </c>
      <c r="AE15">
        <v>1.274545</v>
      </c>
      <c r="AF15">
        <v>1.2727660000000001</v>
      </c>
      <c r="AG15">
        <v>1.270993</v>
      </c>
      <c r="AH15">
        <v>1.2692270000000001</v>
      </c>
      <c r="AI15" s="9">
        <v>-1E-3</v>
      </c>
    </row>
    <row r="16" spans="1:35" x14ac:dyDescent="0.25">
      <c r="A16" t="s">
        <v>133</v>
      </c>
      <c r="B16" t="s">
        <v>144</v>
      </c>
      <c r="C16" t="s">
        <v>145</v>
      </c>
      <c r="D16" t="s">
        <v>41</v>
      </c>
      <c r="F16">
        <v>1.3211980000000001</v>
      </c>
      <c r="G16">
        <v>1.3192429999999999</v>
      </c>
      <c r="H16">
        <v>1.317296</v>
      </c>
      <c r="I16">
        <v>1.3153570000000001</v>
      </c>
      <c r="J16">
        <v>1.313426</v>
      </c>
      <c r="K16">
        <v>1.3115030000000001</v>
      </c>
      <c r="L16">
        <v>1.3095870000000001</v>
      </c>
      <c r="M16">
        <v>1.307679</v>
      </c>
      <c r="N16">
        <v>1.3057799999999999</v>
      </c>
      <c r="O16">
        <v>1.3038860000000001</v>
      </c>
      <c r="P16">
        <v>1.302001</v>
      </c>
      <c r="Q16">
        <v>1.300122</v>
      </c>
      <c r="R16">
        <v>1.298251</v>
      </c>
      <c r="S16">
        <v>1.296387</v>
      </c>
      <c r="T16">
        <v>1.29453</v>
      </c>
      <c r="U16">
        <v>1.2926800000000001</v>
      </c>
      <c r="V16">
        <v>1.290837</v>
      </c>
      <c r="W16">
        <v>1.2890010000000001</v>
      </c>
      <c r="X16">
        <v>1.2871710000000001</v>
      </c>
      <c r="Y16">
        <v>1.2853479999999999</v>
      </c>
      <c r="Z16">
        <v>1.2835319999999999</v>
      </c>
      <c r="AA16">
        <v>1.2817210000000001</v>
      </c>
      <c r="AB16">
        <v>1.2799179999999999</v>
      </c>
      <c r="AC16">
        <v>1.2781199999999999</v>
      </c>
      <c r="AD16">
        <v>1.27633</v>
      </c>
      <c r="AE16">
        <v>1.274545</v>
      </c>
      <c r="AF16">
        <v>1.2727660000000001</v>
      </c>
      <c r="AG16">
        <v>1.270993</v>
      </c>
      <c r="AH16">
        <v>1.2692270000000001</v>
      </c>
      <c r="AI16" s="9">
        <v>-1E-3</v>
      </c>
    </row>
    <row r="17" spans="1:35" x14ac:dyDescent="0.25">
      <c r="A17" t="s">
        <v>44</v>
      </c>
      <c r="B17" t="s">
        <v>146</v>
      </c>
      <c r="D17" t="s">
        <v>41</v>
      </c>
    </row>
    <row r="18" spans="1:35" x14ac:dyDescent="0.25">
      <c r="A18" t="s">
        <v>130</v>
      </c>
      <c r="B18" t="s">
        <v>147</v>
      </c>
      <c r="C18" t="s">
        <v>148</v>
      </c>
      <c r="D18" t="s">
        <v>41</v>
      </c>
      <c r="F18">
        <v>62.066788000000003</v>
      </c>
      <c r="G18">
        <v>62.868740000000003</v>
      </c>
      <c r="H18">
        <v>63.678131</v>
      </c>
      <c r="I18">
        <v>64.503296000000006</v>
      </c>
      <c r="J18">
        <v>65.321770000000001</v>
      </c>
      <c r="K18">
        <v>66.136948000000004</v>
      </c>
      <c r="L18">
        <v>66.951583999999997</v>
      </c>
      <c r="M18">
        <v>67.756225999999998</v>
      </c>
      <c r="N18">
        <v>68.541175999999993</v>
      </c>
      <c r="O18">
        <v>69.310355999999999</v>
      </c>
      <c r="P18">
        <v>70.070587000000003</v>
      </c>
      <c r="Q18">
        <v>70.812531000000007</v>
      </c>
      <c r="R18">
        <v>71.531357</v>
      </c>
      <c r="S18">
        <v>72.239448999999993</v>
      </c>
      <c r="T18">
        <v>72.944846999999996</v>
      </c>
      <c r="U18">
        <v>73.643249999999995</v>
      </c>
      <c r="V18">
        <v>74.338699000000005</v>
      </c>
      <c r="W18">
        <v>75.029205000000005</v>
      </c>
      <c r="X18">
        <v>75.724936999999997</v>
      </c>
      <c r="Y18">
        <v>76.420006000000001</v>
      </c>
      <c r="Z18">
        <v>77.106728000000004</v>
      </c>
      <c r="AA18">
        <v>77.789856</v>
      </c>
      <c r="AB18">
        <v>78.469795000000005</v>
      </c>
      <c r="AC18">
        <v>79.146407999999994</v>
      </c>
      <c r="AD18">
        <v>79.816353000000007</v>
      </c>
      <c r="AE18">
        <v>80.482451999999995</v>
      </c>
      <c r="AF18">
        <v>81.140998999999994</v>
      </c>
      <c r="AG18">
        <v>81.790313999999995</v>
      </c>
      <c r="AH18">
        <v>82.431442000000004</v>
      </c>
      <c r="AI18" s="9">
        <v>0.01</v>
      </c>
    </row>
    <row r="19" spans="1:35" x14ac:dyDescent="0.25">
      <c r="A19" t="s">
        <v>133</v>
      </c>
      <c r="B19" t="s">
        <v>149</v>
      </c>
      <c r="C19" t="s">
        <v>150</v>
      </c>
      <c r="D19" t="s">
        <v>41</v>
      </c>
      <c r="F19">
        <v>62.066806999999997</v>
      </c>
      <c r="G19">
        <v>62.870078999999997</v>
      </c>
      <c r="H19">
        <v>63.677287999999997</v>
      </c>
      <c r="I19">
        <v>64.499129999999994</v>
      </c>
      <c r="J19">
        <v>65.318252999999999</v>
      </c>
      <c r="K19">
        <v>66.137489000000002</v>
      </c>
      <c r="L19">
        <v>66.956596000000005</v>
      </c>
      <c r="M19">
        <v>67.764328000000006</v>
      </c>
      <c r="N19">
        <v>68.549080000000004</v>
      </c>
      <c r="O19">
        <v>69.315810999999997</v>
      </c>
      <c r="P19">
        <v>70.073807000000002</v>
      </c>
      <c r="Q19">
        <v>70.814673999999997</v>
      </c>
      <c r="R19">
        <v>71.534706</v>
      </c>
      <c r="S19">
        <v>72.247246000000004</v>
      </c>
      <c r="T19">
        <v>72.957938999999996</v>
      </c>
      <c r="U19">
        <v>73.660872999999995</v>
      </c>
      <c r="V19">
        <v>74.360816999999997</v>
      </c>
      <c r="W19">
        <v>75.054908999999995</v>
      </c>
      <c r="X19">
        <v>75.754195999999993</v>
      </c>
      <c r="Y19">
        <v>76.455985999999996</v>
      </c>
      <c r="Z19">
        <v>77.150322000000003</v>
      </c>
      <c r="AA19">
        <v>77.838263999999995</v>
      </c>
      <c r="AB19">
        <v>78.519058000000001</v>
      </c>
      <c r="AC19">
        <v>79.192359999999994</v>
      </c>
      <c r="AD19">
        <v>79.857819000000006</v>
      </c>
      <c r="AE19">
        <v>80.518265</v>
      </c>
      <c r="AF19">
        <v>81.172111999999998</v>
      </c>
      <c r="AG19">
        <v>81.820533999999995</v>
      </c>
      <c r="AH19">
        <v>82.461242999999996</v>
      </c>
      <c r="AI19" s="9">
        <v>0.01</v>
      </c>
    </row>
    <row r="20" spans="1:35" x14ac:dyDescent="0.25">
      <c r="A20" t="s">
        <v>45</v>
      </c>
      <c r="B20" t="s">
        <v>151</v>
      </c>
      <c r="D20" t="s">
        <v>41</v>
      </c>
    </row>
    <row r="21" spans="1:35" x14ac:dyDescent="0.25">
      <c r="A21" t="s">
        <v>130</v>
      </c>
      <c r="B21" t="s">
        <v>152</v>
      </c>
      <c r="C21" t="s">
        <v>153</v>
      </c>
      <c r="D21" t="s">
        <v>41</v>
      </c>
      <c r="F21">
        <v>5.4549620000000001</v>
      </c>
      <c r="G21">
        <v>5.405786</v>
      </c>
      <c r="H21">
        <v>5.3574520000000003</v>
      </c>
      <c r="I21">
        <v>5.3095049999999997</v>
      </c>
      <c r="J21">
        <v>5.2618830000000001</v>
      </c>
      <c r="K21">
        <v>5.215992</v>
      </c>
      <c r="L21">
        <v>5.1721000000000004</v>
      </c>
      <c r="M21">
        <v>5.1304889999999999</v>
      </c>
      <c r="N21">
        <v>5.0911799999999996</v>
      </c>
      <c r="O21">
        <v>5.0534650000000001</v>
      </c>
      <c r="P21">
        <v>5.0174200000000004</v>
      </c>
      <c r="Q21">
        <v>4.9827329999999996</v>
      </c>
      <c r="R21">
        <v>4.9490759999999998</v>
      </c>
      <c r="S21">
        <v>4.9163410000000001</v>
      </c>
      <c r="T21">
        <v>4.8843360000000002</v>
      </c>
      <c r="U21">
        <v>4.8536840000000003</v>
      </c>
      <c r="V21">
        <v>4.8241370000000003</v>
      </c>
      <c r="W21">
        <v>4.7953789999999996</v>
      </c>
      <c r="X21">
        <v>4.7674130000000003</v>
      </c>
      <c r="Y21">
        <v>4.7396039999999999</v>
      </c>
      <c r="Z21">
        <v>4.710267</v>
      </c>
      <c r="AA21">
        <v>4.6794609999999999</v>
      </c>
      <c r="AB21">
        <v>4.6474070000000003</v>
      </c>
      <c r="AC21">
        <v>4.614363</v>
      </c>
      <c r="AD21">
        <v>4.5804809999999998</v>
      </c>
      <c r="AE21">
        <v>4.5451759999999997</v>
      </c>
      <c r="AF21">
        <v>4.5088460000000001</v>
      </c>
      <c r="AG21">
        <v>4.4718939999999998</v>
      </c>
      <c r="AH21">
        <v>4.4347300000000001</v>
      </c>
      <c r="AI21" s="9">
        <v>-7.0000000000000001E-3</v>
      </c>
    </row>
    <row r="22" spans="1:35" x14ac:dyDescent="0.25">
      <c r="A22" t="s">
        <v>133</v>
      </c>
      <c r="B22" t="s">
        <v>154</v>
      </c>
      <c r="C22" t="s">
        <v>155</v>
      </c>
      <c r="D22" t="s">
        <v>41</v>
      </c>
      <c r="F22">
        <v>5.4549640000000004</v>
      </c>
      <c r="G22">
        <v>5.4057890000000004</v>
      </c>
      <c r="H22">
        <v>5.3574400000000004</v>
      </c>
      <c r="I22">
        <v>5.3094770000000002</v>
      </c>
      <c r="J22">
        <v>5.2618739999999997</v>
      </c>
      <c r="K22">
        <v>5.2160270000000004</v>
      </c>
      <c r="L22">
        <v>5.1721919999999999</v>
      </c>
      <c r="M22">
        <v>5.1306380000000003</v>
      </c>
      <c r="N22">
        <v>5.0913700000000004</v>
      </c>
      <c r="O22">
        <v>5.0536890000000003</v>
      </c>
      <c r="P22">
        <v>5.0176819999999998</v>
      </c>
      <c r="Q22">
        <v>4.9830439999999996</v>
      </c>
      <c r="R22">
        <v>4.9494480000000003</v>
      </c>
      <c r="S22">
        <v>4.9167949999999996</v>
      </c>
      <c r="T22">
        <v>4.8848789999999997</v>
      </c>
      <c r="U22">
        <v>4.854311</v>
      </c>
      <c r="V22">
        <v>4.8248519999999999</v>
      </c>
      <c r="W22">
        <v>4.7961729999999996</v>
      </c>
      <c r="X22">
        <v>4.7682840000000004</v>
      </c>
      <c r="Y22">
        <v>4.7405670000000004</v>
      </c>
      <c r="Z22">
        <v>4.7113250000000004</v>
      </c>
      <c r="AA22">
        <v>4.6806049999999999</v>
      </c>
      <c r="AB22">
        <v>4.648612</v>
      </c>
      <c r="AC22">
        <v>4.6156040000000003</v>
      </c>
      <c r="AD22">
        <v>4.5817490000000003</v>
      </c>
      <c r="AE22">
        <v>4.5464650000000004</v>
      </c>
      <c r="AF22">
        <v>4.5101610000000001</v>
      </c>
      <c r="AG22">
        <v>4.4732539999999998</v>
      </c>
      <c r="AH22">
        <v>4.4361370000000004</v>
      </c>
      <c r="AI22" s="9">
        <v>-7.0000000000000001E-3</v>
      </c>
    </row>
    <row r="23" spans="1:35" x14ac:dyDescent="0.25">
      <c r="A23" t="s">
        <v>23</v>
      </c>
      <c r="B23" t="s">
        <v>156</v>
      </c>
      <c r="D23" t="s">
        <v>41</v>
      </c>
    </row>
    <row r="24" spans="1:35" x14ac:dyDescent="0.25">
      <c r="A24" t="s">
        <v>130</v>
      </c>
      <c r="B24" t="s">
        <v>157</v>
      </c>
      <c r="C24" t="s">
        <v>158</v>
      </c>
      <c r="D24" t="s">
        <v>41</v>
      </c>
      <c r="F24">
        <v>5.2928980000000001</v>
      </c>
      <c r="G24">
        <v>5.2831060000000001</v>
      </c>
      <c r="H24">
        <v>5.2724070000000003</v>
      </c>
      <c r="I24">
        <v>5.2618099999999997</v>
      </c>
      <c r="J24">
        <v>5.2519349999999996</v>
      </c>
      <c r="K24">
        <v>5.2451020000000002</v>
      </c>
      <c r="L24">
        <v>5.2407050000000002</v>
      </c>
      <c r="M24">
        <v>5.2380440000000004</v>
      </c>
      <c r="N24">
        <v>5.2354919999999998</v>
      </c>
      <c r="O24">
        <v>5.2330779999999999</v>
      </c>
      <c r="P24">
        <v>5.2313200000000002</v>
      </c>
      <c r="Q24">
        <v>5.2297989999999999</v>
      </c>
      <c r="R24">
        <v>5.228008</v>
      </c>
      <c r="S24">
        <v>5.2259960000000003</v>
      </c>
      <c r="T24">
        <v>5.2241090000000003</v>
      </c>
      <c r="U24">
        <v>5.2214749999999999</v>
      </c>
      <c r="V24">
        <v>5.2180169999999997</v>
      </c>
      <c r="W24">
        <v>5.2139480000000002</v>
      </c>
      <c r="X24">
        <v>5.2102320000000004</v>
      </c>
      <c r="Y24">
        <v>5.207039</v>
      </c>
      <c r="Z24">
        <v>5.202483</v>
      </c>
      <c r="AA24">
        <v>5.196987</v>
      </c>
      <c r="AB24">
        <v>5.1909239999999999</v>
      </c>
      <c r="AC24">
        <v>5.1845889999999999</v>
      </c>
      <c r="AD24">
        <v>5.1779979999999997</v>
      </c>
      <c r="AE24">
        <v>5.1716179999999996</v>
      </c>
      <c r="AF24">
        <v>5.1653520000000004</v>
      </c>
      <c r="AG24">
        <v>5.1593140000000002</v>
      </c>
      <c r="AH24">
        <v>5.1537879999999996</v>
      </c>
      <c r="AI24" s="9">
        <v>-1E-3</v>
      </c>
    </row>
    <row r="25" spans="1:35" x14ac:dyDescent="0.25">
      <c r="A25" t="s">
        <v>133</v>
      </c>
      <c r="B25" t="s">
        <v>159</v>
      </c>
      <c r="C25" t="s">
        <v>160</v>
      </c>
      <c r="D25" t="s">
        <v>41</v>
      </c>
      <c r="F25">
        <v>5.2929009999999996</v>
      </c>
      <c r="G25">
        <v>5.2831349999999997</v>
      </c>
      <c r="H25">
        <v>5.2721330000000002</v>
      </c>
      <c r="I25">
        <v>5.2611679999999996</v>
      </c>
      <c r="J25">
        <v>5.251296</v>
      </c>
      <c r="K25">
        <v>5.2443429999999998</v>
      </c>
      <c r="L25">
        <v>5.2394470000000002</v>
      </c>
      <c r="M25">
        <v>5.2358000000000002</v>
      </c>
      <c r="N25">
        <v>5.2318670000000003</v>
      </c>
      <c r="O25">
        <v>5.2278820000000001</v>
      </c>
      <c r="P25">
        <v>5.2246880000000004</v>
      </c>
      <c r="Q25">
        <v>5.222016</v>
      </c>
      <c r="R25">
        <v>5.2196100000000003</v>
      </c>
      <c r="S25">
        <v>5.2174120000000004</v>
      </c>
      <c r="T25">
        <v>5.2154660000000002</v>
      </c>
      <c r="U25">
        <v>5.2127080000000001</v>
      </c>
      <c r="V25">
        <v>5.2090949999999996</v>
      </c>
      <c r="W25">
        <v>5.204637</v>
      </c>
      <c r="X25">
        <v>5.2005379999999999</v>
      </c>
      <c r="Y25">
        <v>5.1974049999999998</v>
      </c>
      <c r="Z25">
        <v>5.1932260000000001</v>
      </c>
      <c r="AA25">
        <v>5.1881139999999997</v>
      </c>
      <c r="AB25">
        <v>5.182061</v>
      </c>
      <c r="AC25">
        <v>5.1752729999999998</v>
      </c>
      <c r="AD25">
        <v>5.1679259999999996</v>
      </c>
      <c r="AE25">
        <v>5.1605949999999998</v>
      </c>
      <c r="AF25">
        <v>5.1534899999999997</v>
      </c>
      <c r="AG25">
        <v>5.1469050000000003</v>
      </c>
      <c r="AH25">
        <v>5.1406700000000001</v>
      </c>
      <c r="AI25" s="9">
        <v>-1E-3</v>
      </c>
    </row>
    <row r="26" spans="1:35" x14ac:dyDescent="0.25">
      <c r="A26" t="s">
        <v>46</v>
      </c>
      <c r="B26" t="s">
        <v>161</v>
      </c>
      <c r="D26" t="s">
        <v>41</v>
      </c>
    </row>
    <row r="27" spans="1:35" x14ac:dyDescent="0.25">
      <c r="A27" t="s">
        <v>130</v>
      </c>
      <c r="B27" t="s">
        <v>162</v>
      </c>
      <c r="C27" t="s">
        <v>163</v>
      </c>
      <c r="D27" t="s">
        <v>41</v>
      </c>
      <c r="F27">
        <v>3.901E-3</v>
      </c>
      <c r="G27">
        <v>7.0899999999999999E-3</v>
      </c>
      <c r="H27">
        <v>9.9970000000000007E-3</v>
      </c>
      <c r="I27">
        <v>1.2782999999999999E-2</v>
      </c>
      <c r="J27">
        <v>1.5616E-2</v>
      </c>
      <c r="K27">
        <v>1.8460000000000001E-2</v>
      </c>
      <c r="L27">
        <v>2.1281999999999999E-2</v>
      </c>
      <c r="M27">
        <v>2.4013E-2</v>
      </c>
      <c r="N27">
        <v>2.6530999999999999E-2</v>
      </c>
      <c r="O27">
        <v>2.8896999999999999E-2</v>
      </c>
      <c r="P27">
        <v>3.1215E-2</v>
      </c>
      <c r="Q27">
        <v>3.3522000000000003E-2</v>
      </c>
      <c r="R27">
        <v>3.5761000000000001E-2</v>
      </c>
      <c r="S27">
        <v>3.7892000000000002E-2</v>
      </c>
      <c r="T27">
        <v>3.9987000000000002E-2</v>
      </c>
      <c r="U27">
        <v>4.1972000000000002E-2</v>
      </c>
      <c r="V27">
        <v>4.3840999999999998E-2</v>
      </c>
      <c r="W27">
        <v>4.5630999999999998E-2</v>
      </c>
      <c r="X27">
        <v>4.7425000000000002E-2</v>
      </c>
      <c r="Y27">
        <v>4.9188999999999997E-2</v>
      </c>
      <c r="Z27">
        <v>5.0904999999999999E-2</v>
      </c>
      <c r="AA27">
        <v>5.2554999999999998E-2</v>
      </c>
      <c r="AB27">
        <v>5.4129999999999998E-2</v>
      </c>
      <c r="AC27">
        <v>5.5631E-2</v>
      </c>
      <c r="AD27">
        <v>5.7044999999999998E-2</v>
      </c>
      <c r="AE27">
        <v>5.8409000000000003E-2</v>
      </c>
      <c r="AF27">
        <v>5.9715999999999998E-2</v>
      </c>
      <c r="AG27">
        <v>6.0957999999999998E-2</v>
      </c>
      <c r="AH27">
        <v>6.2150999999999998E-2</v>
      </c>
      <c r="AI27" s="9">
        <v>0.104</v>
      </c>
    </row>
    <row r="28" spans="1:35" x14ac:dyDescent="0.25">
      <c r="A28" t="s">
        <v>133</v>
      </c>
      <c r="B28" t="s">
        <v>164</v>
      </c>
      <c r="C28" t="s">
        <v>165</v>
      </c>
      <c r="D28" t="s">
        <v>41</v>
      </c>
      <c r="F28">
        <v>3.901E-3</v>
      </c>
      <c r="G28">
        <v>7.0879999999999997E-3</v>
      </c>
      <c r="H28">
        <v>9.9620000000000004E-3</v>
      </c>
      <c r="I28">
        <v>1.2709E-2</v>
      </c>
      <c r="J28">
        <v>1.5547E-2</v>
      </c>
      <c r="K28">
        <v>1.8429999999999998E-2</v>
      </c>
      <c r="L28">
        <v>2.1298000000000001E-2</v>
      </c>
      <c r="M28">
        <v>2.4062E-2</v>
      </c>
      <c r="N28">
        <v>2.6578999999999998E-2</v>
      </c>
      <c r="O28">
        <v>2.8922E-2</v>
      </c>
      <c r="P28">
        <v>3.1223000000000001E-2</v>
      </c>
      <c r="Q28">
        <v>3.3530999999999998E-2</v>
      </c>
      <c r="R28">
        <v>3.5800999999999999E-2</v>
      </c>
      <c r="S28">
        <v>3.7996000000000002E-2</v>
      </c>
      <c r="T28">
        <v>4.0166E-2</v>
      </c>
      <c r="U28">
        <v>4.2221000000000002E-2</v>
      </c>
      <c r="V28">
        <v>4.4157000000000002E-2</v>
      </c>
      <c r="W28">
        <v>4.6006999999999999E-2</v>
      </c>
      <c r="X28">
        <v>4.7855000000000002E-2</v>
      </c>
      <c r="Y28">
        <v>4.9696999999999998E-2</v>
      </c>
      <c r="Z28">
        <v>5.1499000000000003E-2</v>
      </c>
      <c r="AA28">
        <v>5.3208999999999999E-2</v>
      </c>
      <c r="AB28">
        <v>5.4803999999999999E-2</v>
      </c>
      <c r="AC28">
        <v>5.6279999999999997E-2</v>
      </c>
      <c r="AD28">
        <v>5.7647999999999998E-2</v>
      </c>
      <c r="AE28">
        <v>5.8961E-2</v>
      </c>
      <c r="AF28">
        <v>6.0229999999999999E-2</v>
      </c>
      <c r="AG28">
        <v>6.1470999999999998E-2</v>
      </c>
      <c r="AH28">
        <v>6.2670000000000003E-2</v>
      </c>
      <c r="AI28" s="9">
        <v>0.104</v>
      </c>
    </row>
    <row r="29" spans="1:35" x14ac:dyDescent="0.25">
      <c r="A29" t="s">
        <v>47</v>
      </c>
      <c r="B29" t="s">
        <v>166</v>
      </c>
      <c r="D29" t="s">
        <v>41</v>
      </c>
    </row>
    <row r="30" spans="1:35" x14ac:dyDescent="0.25">
      <c r="A30" t="s">
        <v>130</v>
      </c>
      <c r="B30" t="s">
        <v>167</v>
      </c>
      <c r="C30" t="s">
        <v>168</v>
      </c>
      <c r="D30" t="s">
        <v>41</v>
      </c>
      <c r="F30">
        <v>3.2972389999999998</v>
      </c>
      <c r="G30">
        <v>3.2656149999999999</v>
      </c>
      <c r="H30">
        <v>3.2377530000000001</v>
      </c>
      <c r="I30">
        <v>3.2113849999999999</v>
      </c>
      <c r="J30">
        <v>3.186906</v>
      </c>
      <c r="K30">
        <v>3.163538</v>
      </c>
      <c r="L30">
        <v>3.1406529999999999</v>
      </c>
      <c r="M30">
        <v>3.1177139999999999</v>
      </c>
      <c r="N30">
        <v>3.0947770000000001</v>
      </c>
      <c r="O30">
        <v>3.0714139999999999</v>
      </c>
      <c r="P30">
        <v>3.0475460000000001</v>
      </c>
      <c r="Q30">
        <v>3.023053</v>
      </c>
      <c r="R30">
        <v>2.9979589999999998</v>
      </c>
      <c r="S30">
        <v>2.9721950000000001</v>
      </c>
      <c r="T30">
        <v>2.94591</v>
      </c>
      <c r="U30">
        <v>2.9204159999999999</v>
      </c>
      <c r="V30">
        <v>2.8956949999999999</v>
      </c>
      <c r="W30">
        <v>2.8719939999999999</v>
      </c>
      <c r="X30">
        <v>2.848303</v>
      </c>
      <c r="Y30">
        <v>2.8256489999999999</v>
      </c>
      <c r="Z30">
        <v>2.8041770000000001</v>
      </c>
      <c r="AA30">
        <v>2.7839320000000001</v>
      </c>
      <c r="AB30">
        <v>2.7650519999999998</v>
      </c>
      <c r="AC30">
        <v>2.7473010000000002</v>
      </c>
      <c r="AD30">
        <v>2.7304279999999999</v>
      </c>
      <c r="AE30">
        <v>2.713511</v>
      </c>
      <c r="AF30">
        <v>2.69659</v>
      </c>
      <c r="AG30">
        <v>2.679538</v>
      </c>
      <c r="AH30">
        <v>2.662318</v>
      </c>
      <c r="AI30" s="9">
        <v>-8.0000000000000002E-3</v>
      </c>
    </row>
    <row r="31" spans="1:35" x14ac:dyDescent="0.25">
      <c r="A31" t="s">
        <v>133</v>
      </c>
      <c r="B31" t="s">
        <v>169</v>
      </c>
      <c r="C31" t="s">
        <v>170</v>
      </c>
      <c r="D31" t="s">
        <v>41</v>
      </c>
      <c r="F31">
        <v>3.2972380000000001</v>
      </c>
      <c r="G31">
        <v>3.265914</v>
      </c>
      <c r="H31">
        <v>3.2382569999999999</v>
      </c>
      <c r="I31">
        <v>3.21217</v>
      </c>
      <c r="J31">
        <v>3.18771</v>
      </c>
      <c r="K31">
        <v>3.164094</v>
      </c>
      <c r="L31">
        <v>3.140895</v>
      </c>
      <c r="M31">
        <v>3.1175639999999998</v>
      </c>
      <c r="N31">
        <v>3.094042</v>
      </c>
      <c r="O31">
        <v>3.0700660000000002</v>
      </c>
      <c r="P31">
        <v>3.0456460000000001</v>
      </c>
      <c r="Q31">
        <v>3.0206520000000001</v>
      </c>
      <c r="R31">
        <v>2.9950809999999999</v>
      </c>
      <c r="S31">
        <v>2.9690789999999998</v>
      </c>
      <c r="T31">
        <v>2.9425870000000001</v>
      </c>
      <c r="U31">
        <v>2.9167269999999998</v>
      </c>
      <c r="V31">
        <v>2.8915310000000001</v>
      </c>
      <c r="W31">
        <v>2.8669150000000001</v>
      </c>
      <c r="X31">
        <v>2.842543</v>
      </c>
      <c r="Y31">
        <v>2.819394</v>
      </c>
      <c r="Z31">
        <v>2.7974809999999999</v>
      </c>
      <c r="AA31">
        <v>2.7767539999999999</v>
      </c>
      <c r="AB31">
        <v>2.7574000000000001</v>
      </c>
      <c r="AC31">
        <v>2.7393149999999999</v>
      </c>
      <c r="AD31">
        <v>2.7224460000000001</v>
      </c>
      <c r="AE31">
        <v>2.70547</v>
      </c>
      <c r="AF31">
        <v>2.6884950000000001</v>
      </c>
      <c r="AG31">
        <v>2.6714099999999998</v>
      </c>
      <c r="AH31">
        <v>2.6542370000000002</v>
      </c>
      <c r="AI31" s="9">
        <v>-8.0000000000000002E-3</v>
      </c>
    </row>
    <row r="32" spans="1:35" x14ac:dyDescent="0.25">
      <c r="A32" t="s">
        <v>48</v>
      </c>
      <c r="B32" t="s">
        <v>171</v>
      </c>
      <c r="D32" t="s">
        <v>41</v>
      </c>
    </row>
    <row r="33" spans="1:35" x14ac:dyDescent="0.25">
      <c r="A33" t="s">
        <v>130</v>
      </c>
      <c r="B33" t="s">
        <v>172</v>
      </c>
      <c r="C33" t="s">
        <v>173</v>
      </c>
      <c r="D33" t="s">
        <v>41</v>
      </c>
      <c r="F33">
        <v>0.71603600000000001</v>
      </c>
      <c r="G33">
        <v>0.77875899999999998</v>
      </c>
      <c r="H33">
        <v>0.84013400000000005</v>
      </c>
      <c r="I33">
        <v>0.90150600000000003</v>
      </c>
      <c r="J33">
        <v>0.96045499999999995</v>
      </c>
      <c r="K33">
        <v>1.0181720000000001</v>
      </c>
      <c r="L33">
        <v>1.07555</v>
      </c>
      <c r="M33">
        <v>1.132757</v>
      </c>
      <c r="N33">
        <v>1.189252</v>
      </c>
      <c r="O33">
        <v>1.2455270000000001</v>
      </c>
      <c r="P33">
        <v>1.3019069999999999</v>
      </c>
      <c r="Q33">
        <v>1.3580190000000001</v>
      </c>
      <c r="R33">
        <v>1.41364</v>
      </c>
      <c r="S33">
        <v>1.469565</v>
      </c>
      <c r="T33">
        <v>1.5259419999999999</v>
      </c>
      <c r="U33">
        <v>1.5812489999999999</v>
      </c>
      <c r="V33">
        <v>1.635567</v>
      </c>
      <c r="W33">
        <v>1.68851</v>
      </c>
      <c r="X33">
        <v>1.741698</v>
      </c>
      <c r="Y33">
        <v>1.7939620000000001</v>
      </c>
      <c r="Z33">
        <v>1.844503</v>
      </c>
      <c r="AA33">
        <v>1.893613</v>
      </c>
      <c r="AB33">
        <v>1.9412290000000001</v>
      </c>
      <c r="AC33">
        <v>1.9875970000000001</v>
      </c>
      <c r="AD33">
        <v>2.0328300000000001</v>
      </c>
      <c r="AE33">
        <v>2.0777929999999998</v>
      </c>
      <c r="AF33">
        <v>2.1223239999999999</v>
      </c>
      <c r="AG33">
        <v>2.1664560000000002</v>
      </c>
      <c r="AH33">
        <v>2.2103090000000001</v>
      </c>
      <c r="AI33" s="9">
        <v>4.1000000000000002E-2</v>
      </c>
    </row>
    <row r="34" spans="1:35" x14ac:dyDescent="0.25">
      <c r="A34" t="s">
        <v>133</v>
      </c>
      <c r="B34" t="s">
        <v>174</v>
      </c>
      <c r="C34" t="s">
        <v>175</v>
      </c>
      <c r="D34" t="s">
        <v>41</v>
      </c>
      <c r="F34">
        <v>0.71603700000000003</v>
      </c>
      <c r="G34">
        <v>0.778447</v>
      </c>
      <c r="H34">
        <v>0.83950599999999997</v>
      </c>
      <c r="I34">
        <v>0.90032800000000002</v>
      </c>
      <c r="J34">
        <v>0.95915600000000001</v>
      </c>
      <c r="K34">
        <v>1.0171840000000001</v>
      </c>
      <c r="L34">
        <v>1.0749569999999999</v>
      </c>
      <c r="M34">
        <v>1.1325879999999999</v>
      </c>
      <c r="N34">
        <v>1.1895960000000001</v>
      </c>
      <c r="O34">
        <v>1.246297</v>
      </c>
      <c r="P34">
        <v>1.303042</v>
      </c>
      <c r="Q34">
        <v>1.3595170000000001</v>
      </c>
      <c r="R34">
        <v>1.4155629999999999</v>
      </c>
      <c r="S34">
        <v>1.4718089999999999</v>
      </c>
      <c r="T34">
        <v>1.5285139999999999</v>
      </c>
      <c r="U34">
        <v>1.584293</v>
      </c>
      <c r="V34">
        <v>1.6391869999999999</v>
      </c>
      <c r="W34">
        <v>1.6931449999999999</v>
      </c>
      <c r="X34">
        <v>1.74709</v>
      </c>
      <c r="Y34">
        <v>1.800065</v>
      </c>
      <c r="Z34">
        <v>1.851353</v>
      </c>
      <c r="AA34">
        <v>1.901173</v>
      </c>
      <c r="AB34">
        <v>1.949357</v>
      </c>
      <c r="AC34">
        <v>1.995965</v>
      </c>
      <c r="AD34">
        <v>2.0410029999999999</v>
      </c>
      <c r="AE34">
        <v>2.0857730000000001</v>
      </c>
      <c r="AF34">
        <v>2.1301109999999999</v>
      </c>
      <c r="AG34">
        <v>2.174191</v>
      </c>
      <c r="AH34">
        <v>2.2179479999999998</v>
      </c>
      <c r="AI34" s="9">
        <v>4.1000000000000002E-2</v>
      </c>
    </row>
    <row r="35" spans="1:35" x14ac:dyDescent="0.25">
      <c r="A35" t="s">
        <v>49</v>
      </c>
      <c r="B35" t="s">
        <v>176</v>
      </c>
      <c r="D35" t="s">
        <v>41</v>
      </c>
    </row>
    <row r="36" spans="1:35" x14ac:dyDescent="0.25">
      <c r="A36" t="s">
        <v>130</v>
      </c>
      <c r="B36" t="s">
        <v>177</v>
      </c>
      <c r="C36" t="s">
        <v>178</v>
      </c>
      <c r="D36" t="s">
        <v>41</v>
      </c>
      <c r="F36">
        <v>122.47957599999999</v>
      </c>
      <c r="G36">
        <v>123.690269</v>
      </c>
      <c r="H36">
        <v>124.90303</v>
      </c>
      <c r="I36">
        <v>126.14258599999999</v>
      </c>
      <c r="J36">
        <v>127.378601</v>
      </c>
      <c r="K36">
        <v>128.620544</v>
      </c>
      <c r="L36">
        <v>129.870789</v>
      </c>
      <c r="M36">
        <v>131.111557</v>
      </c>
      <c r="N36">
        <v>132.32124300000001</v>
      </c>
      <c r="O36">
        <v>133.50779700000001</v>
      </c>
      <c r="P36">
        <v>134.68579099999999</v>
      </c>
      <c r="Q36">
        <v>135.838562</v>
      </c>
      <c r="R36">
        <v>136.95584099999999</v>
      </c>
      <c r="S36">
        <v>138.058121</v>
      </c>
      <c r="T36">
        <v>139.161789</v>
      </c>
      <c r="U36">
        <v>140.258408</v>
      </c>
      <c r="V36">
        <v>141.350235</v>
      </c>
      <c r="W36">
        <v>142.43409700000001</v>
      </c>
      <c r="X36">
        <v>143.52993799999999</v>
      </c>
      <c r="Y36">
        <v>144.62638899999999</v>
      </c>
      <c r="Z36">
        <v>145.70658900000001</v>
      </c>
      <c r="AA36">
        <v>146.778458</v>
      </c>
      <c r="AB36">
        <v>147.842804</v>
      </c>
      <c r="AC36">
        <v>148.90095500000001</v>
      </c>
      <c r="AD36">
        <v>149.948746</v>
      </c>
      <c r="AE36">
        <v>150.99279799999999</v>
      </c>
      <c r="AF36">
        <v>152.025925</v>
      </c>
      <c r="AG36">
        <v>153.04695100000001</v>
      </c>
      <c r="AH36">
        <v>154.05900600000001</v>
      </c>
      <c r="AI36" s="9">
        <v>8.0000000000000002E-3</v>
      </c>
    </row>
    <row r="37" spans="1:35" x14ac:dyDescent="0.25">
      <c r="A37" t="s">
        <v>133</v>
      </c>
      <c r="B37" t="s">
        <v>179</v>
      </c>
      <c r="C37" t="s">
        <v>180</v>
      </c>
      <c r="D37" t="s">
        <v>41</v>
      </c>
      <c r="F37">
        <v>122.479561</v>
      </c>
      <c r="G37">
        <v>123.690979</v>
      </c>
      <c r="H37">
        <v>124.897644</v>
      </c>
      <c r="I37">
        <v>126.129105</v>
      </c>
      <c r="J37">
        <v>127.36526499999999</v>
      </c>
      <c r="K37">
        <v>128.61294599999999</v>
      </c>
      <c r="L37">
        <v>129.86810299999999</v>
      </c>
      <c r="M37">
        <v>131.10926799999999</v>
      </c>
      <c r="N37">
        <v>132.31213399999999</v>
      </c>
      <c r="O37">
        <v>133.48696899999999</v>
      </c>
      <c r="P37">
        <v>134.65382399999999</v>
      </c>
      <c r="Q37">
        <v>135.79852299999999</v>
      </c>
      <c r="R37">
        <v>136.91348300000001</v>
      </c>
      <c r="S37">
        <v>138.020081</v>
      </c>
      <c r="T37">
        <v>139.12974500000001</v>
      </c>
      <c r="U37">
        <v>140.231415</v>
      </c>
      <c r="V37">
        <v>141.32856799999999</v>
      </c>
      <c r="W37">
        <v>142.41661099999999</v>
      </c>
      <c r="X37">
        <v>143.51651000000001</v>
      </c>
      <c r="Y37">
        <v>144.62403900000001</v>
      </c>
      <c r="Z37">
        <v>145.71785</v>
      </c>
      <c r="AA37">
        <v>146.798508</v>
      </c>
      <c r="AB37">
        <v>147.86360199999999</v>
      </c>
      <c r="AC37">
        <v>148.91372699999999</v>
      </c>
      <c r="AD37">
        <v>149.94967700000001</v>
      </c>
      <c r="AE37">
        <v>150.97993500000001</v>
      </c>
      <c r="AF37">
        <v>152.00225800000001</v>
      </c>
      <c r="AG37">
        <v>153.020691</v>
      </c>
      <c r="AH37">
        <v>154.03022799999999</v>
      </c>
      <c r="AI37" s="9">
        <v>8.0000000000000002E-3</v>
      </c>
    </row>
    <row r="38" spans="1:35" x14ac:dyDescent="0.25">
      <c r="A38" t="s">
        <v>50</v>
      </c>
    </row>
    <row r="39" spans="1:35" x14ac:dyDescent="0.25">
      <c r="A39" t="s">
        <v>40</v>
      </c>
      <c r="B39" t="s">
        <v>181</v>
      </c>
      <c r="D39" t="s">
        <v>41</v>
      </c>
    </row>
    <row r="40" spans="1:35" x14ac:dyDescent="0.25">
      <c r="A40" t="s">
        <v>130</v>
      </c>
      <c r="B40" t="s">
        <v>182</v>
      </c>
      <c r="C40" t="s">
        <v>183</v>
      </c>
      <c r="D40" t="s">
        <v>41</v>
      </c>
      <c r="F40">
        <v>13.315581</v>
      </c>
      <c r="G40">
        <v>13.570746</v>
      </c>
      <c r="H40">
        <v>13.822850000000001</v>
      </c>
      <c r="I40">
        <v>14.081021</v>
      </c>
      <c r="J40">
        <v>14.338547</v>
      </c>
      <c r="K40">
        <v>14.596686</v>
      </c>
      <c r="L40">
        <v>14.856006000000001</v>
      </c>
      <c r="M40">
        <v>15.113201</v>
      </c>
      <c r="N40">
        <v>15.364179</v>
      </c>
      <c r="O40">
        <v>15.610802</v>
      </c>
      <c r="P40">
        <v>15.855643000000001</v>
      </c>
      <c r="Q40">
        <v>16.095504999999999</v>
      </c>
      <c r="R40">
        <v>16.328897000000001</v>
      </c>
      <c r="S40">
        <v>16.560503000000001</v>
      </c>
      <c r="T40">
        <v>16.793638000000001</v>
      </c>
      <c r="U40">
        <v>17.026976000000001</v>
      </c>
      <c r="V40">
        <v>17.258607999999999</v>
      </c>
      <c r="W40">
        <v>17.487829000000001</v>
      </c>
      <c r="X40">
        <v>17.718796000000001</v>
      </c>
      <c r="Y40">
        <v>17.949732000000001</v>
      </c>
      <c r="Z40">
        <v>18.178335000000001</v>
      </c>
      <c r="AA40">
        <v>18.406144999999999</v>
      </c>
      <c r="AB40">
        <v>18.633223999999998</v>
      </c>
      <c r="AC40">
        <v>18.859974000000001</v>
      </c>
      <c r="AD40">
        <v>19.086088</v>
      </c>
      <c r="AE40">
        <v>19.312730999999999</v>
      </c>
      <c r="AF40">
        <v>19.538191000000001</v>
      </c>
      <c r="AG40">
        <v>19.762447000000002</v>
      </c>
      <c r="AH40">
        <v>19.985924000000001</v>
      </c>
      <c r="AI40" s="9">
        <v>1.4999999999999999E-2</v>
      </c>
    </row>
    <row r="41" spans="1:35" x14ac:dyDescent="0.25">
      <c r="A41" t="s">
        <v>133</v>
      </c>
      <c r="B41" t="s">
        <v>184</v>
      </c>
      <c r="C41" t="s">
        <v>185</v>
      </c>
      <c r="D41" t="s">
        <v>41</v>
      </c>
      <c r="F41">
        <v>13.315576</v>
      </c>
      <c r="G41">
        <v>13.570135000000001</v>
      </c>
      <c r="H41">
        <v>13.820800999999999</v>
      </c>
      <c r="I41">
        <v>14.076962</v>
      </c>
      <c r="J41">
        <v>14.334104999999999</v>
      </c>
      <c r="K41">
        <v>14.592866000000001</v>
      </c>
      <c r="L41">
        <v>14.852468</v>
      </c>
      <c r="M41">
        <v>15.108966000000001</v>
      </c>
      <c r="N41">
        <v>15.358041</v>
      </c>
      <c r="O41">
        <v>15.601760000000001</v>
      </c>
      <c r="P41">
        <v>15.843781</v>
      </c>
      <c r="Q41">
        <v>16.081531999999999</v>
      </c>
      <c r="R41">
        <v>16.313977999999999</v>
      </c>
      <c r="S41">
        <v>16.545704000000001</v>
      </c>
      <c r="T41">
        <v>16.779350000000001</v>
      </c>
      <c r="U41">
        <v>17.013318999999999</v>
      </c>
      <c r="V41">
        <v>17.245778999999999</v>
      </c>
      <c r="W41">
        <v>17.476037999999999</v>
      </c>
      <c r="X41">
        <v>17.707820999999999</v>
      </c>
      <c r="Y41">
        <v>17.940859</v>
      </c>
      <c r="Z41">
        <v>18.172127</v>
      </c>
      <c r="AA41">
        <v>18.401899</v>
      </c>
      <c r="AB41">
        <v>18.629545</v>
      </c>
      <c r="AC41">
        <v>18.855183</v>
      </c>
      <c r="AD41">
        <v>19.078984999999999</v>
      </c>
      <c r="AE41">
        <v>19.303121999999998</v>
      </c>
      <c r="AF41">
        <v>19.526779000000001</v>
      </c>
      <c r="AG41">
        <v>19.750772000000001</v>
      </c>
      <c r="AH41">
        <v>19.973879</v>
      </c>
      <c r="AI41" s="9">
        <v>1.4999999999999999E-2</v>
      </c>
    </row>
    <row r="42" spans="1:35" x14ac:dyDescent="0.25">
      <c r="A42" t="s">
        <v>43</v>
      </c>
      <c r="B42" t="s">
        <v>186</v>
      </c>
      <c r="D42" t="s">
        <v>41</v>
      </c>
    </row>
    <row r="43" spans="1:35" x14ac:dyDescent="0.25">
      <c r="A43" t="s">
        <v>130</v>
      </c>
      <c r="B43" t="s">
        <v>187</v>
      </c>
      <c r="C43" t="s">
        <v>188</v>
      </c>
      <c r="D43" t="s">
        <v>41</v>
      </c>
      <c r="F43">
        <v>1.3211980000000001</v>
      </c>
      <c r="G43">
        <v>1.319242</v>
      </c>
      <c r="H43">
        <v>1.317296</v>
      </c>
      <c r="I43">
        <v>1.3153570000000001</v>
      </c>
      <c r="J43">
        <v>1.313426</v>
      </c>
      <c r="K43">
        <v>1.3115030000000001</v>
      </c>
      <c r="L43">
        <v>1.3095870000000001</v>
      </c>
      <c r="M43">
        <v>1.307679</v>
      </c>
      <c r="N43">
        <v>1.305779</v>
      </c>
      <c r="O43">
        <v>1.3038860000000001</v>
      </c>
      <c r="P43">
        <v>1.302001</v>
      </c>
      <c r="Q43">
        <v>1.300122</v>
      </c>
      <c r="R43">
        <v>1.298251</v>
      </c>
      <c r="S43">
        <v>1.296387</v>
      </c>
      <c r="T43">
        <v>1.29453</v>
      </c>
      <c r="U43">
        <v>1.2926800000000001</v>
      </c>
      <c r="V43">
        <v>1.290837</v>
      </c>
      <c r="W43">
        <v>1.2890010000000001</v>
      </c>
      <c r="X43">
        <v>1.2871710000000001</v>
      </c>
      <c r="Y43">
        <v>1.2853479999999999</v>
      </c>
      <c r="Z43">
        <v>1.283531</v>
      </c>
      <c r="AA43">
        <v>1.2817210000000001</v>
      </c>
      <c r="AB43">
        <v>1.2799179999999999</v>
      </c>
      <c r="AC43">
        <v>1.2781199999999999</v>
      </c>
      <c r="AD43">
        <v>1.276329</v>
      </c>
      <c r="AE43">
        <v>1.274545</v>
      </c>
      <c r="AF43">
        <v>1.2727660000000001</v>
      </c>
      <c r="AG43">
        <v>1.270993</v>
      </c>
      <c r="AH43">
        <v>1.2692270000000001</v>
      </c>
      <c r="AI43" s="9">
        <v>-1E-3</v>
      </c>
    </row>
    <row r="44" spans="1:35" x14ac:dyDescent="0.25">
      <c r="A44" t="s">
        <v>133</v>
      </c>
      <c r="B44" t="s">
        <v>189</v>
      </c>
      <c r="C44" t="s">
        <v>190</v>
      </c>
      <c r="D44" t="s">
        <v>41</v>
      </c>
      <c r="F44">
        <v>1.3211980000000001</v>
      </c>
      <c r="G44">
        <v>1.319242</v>
      </c>
      <c r="H44">
        <v>1.317296</v>
      </c>
      <c r="I44">
        <v>1.3153570000000001</v>
      </c>
      <c r="J44">
        <v>1.313426</v>
      </c>
      <c r="K44">
        <v>1.3115030000000001</v>
      </c>
      <c r="L44">
        <v>1.3095870000000001</v>
      </c>
      <c r="M44">
        <v>1.307679</v>
      </c>
      <c r="N44">
        <v>1.305779</v>
      </c>
      <c r="O44">
        <v>1.3038860000000001</v>
      </c>
      <c r="P44">
        <v>1.302001</v>
      </c>
      <c r="Q44">
        <v>1.300122</v>
      </c>
      <c r="R44">
        <v>1.298251</v>
      </c>
      <c r="S44">
        <v>1.296387</v>
      </c>
      <c r="T44">
        <v>1.29453</v>
      </c>
      <c r="U44">
        <v>1.2926800000000001</v>
      </c>
      <c r="V44">
        <v>1.290837</v>
      </c>
      <c r="W44">
        <v>1.2890010000000001</v>
      </c>
      <c r="X44">
        <v>1.2871710000000001</v>
      </c>
      <c r="Y44">
        <v>1.2853479999999999</v>
      </c>
      <c r="Z44">
        <v>1.283531</v>
      </c>
      <c r="AA44">
        <v>1.2817210000000001</v>
      </c>
      <c r="AB44">
        <v>1.2799179999999999</v>
      </c>
      <c r="AC44">
        <v>1.2781199999999999</v>
      </c>
      <c r="AD44">
        <v>1.27633</v>
      </c>
      <c r="AE44">
        <v>1.274545</v>
      </c>
      <c r="AF44">
        <v>1.2727660000000001</v>
      </c>
      <c r="AG44">
        <v>1.270993</v>
      </c>
      <c r="AH44">
        <v>1.2692270000000001</v>
      </c>
      <c r="AI44" s="9">
        <v>-1E-3</v>
      </c>
    </row>
    <row r="45" spans="1:35" x14ac:dyDescent="0.25">
      <c r="A45" t="s">
        <v>48</v>
      </c>
      <c r="B45" t="s">
        <v>191</v>
      </c>
      <c r="D45" t="s">
        <v>41</v>
      </c>
    </row>
    <row r="46" spans="1:35" x14ac:dyDescent="0.25">
      <c r="A46" t="s">
        <v>130</v>
      </c>
      <c r="B46" t="s">
        <v>192</v>
      </c>
      <c r="C46" t="s">
        <v>193</v>
      </c>
      <c r="D46" t="s">
        <v>41</v>
      </c>
      <c r="F46">
        <v>0.71603600000000001</v>
      </c>
      <c r="G46">
        <v>0.77875899999999998</v>
      </c>
      <c r="H46">
        <v>0.84013400000000005</v>
      </c>
      <c r="I46">
        <v>0.90150600000000003</v>
      </c>
      <c r="J46">
        <v>0.96045400000000003</v>
      </c>
      <c r="K46">
        <v>1.0181720000000001</v>
      </c>
      <c r="L46">
        <v>1.0755490000000001</v>
      </c>
      <c r="M46">
        <v>1.1327560000000001</v>
      </c>
      <c r="N46">
        <v>1.189252</v>
      </c>
      <c r="O46">
        <v>1.2455259999999999</v>
      </c>
      <c r="P46">
        <v>1.3019080000000001</v>
      </c>
      <c r="Q46">
        <v>1.35802</v>
      </c>
      <c r="R46">
        <v>1.41364</v>
      </c>
      <c r="S46">
        <v>1.4695659999999999</v>
      </c>
      <c r="T46">
        <v>1.5259419999999999</v>
      </c>
      <c r="U46">
        <v>1.581248</v>
      </c>
      <c r="V46">
        <v>1.635567</v>
      </c>
      <c r="W46">
        <v>1.6885110000000001</v>
      </c>
      <c r="X46">
        <v>1.7416970000000001</v>
      </c>
      <c r="Y46">
        <v>1.7939620000000001</v>
      </c>
      <c r="Z46">
        <v>1.844503</v>
      </c>
      <c r="AA46">
        <v>1.893613</v>
      </c>
      <c r="AB46">
        <v>1.9412290000000001</v>
      </c>
      <c r="AC46">
        <v>1.9875959999999999</v>
      </c>
      <c r="AD46">
        <v>2.0328300000000001</v>
      </c>
      <c r="AE46">
        <v>2.0777939999999999</v>
      </c>
      <c r="AF46">
        <v>2.122325</v>
      </c>
      <c r="AG46">
        <v>2.166455</v>
      </c>
      <c r="AH46">
        <v>2.2103090000000001</v>
      </c>
      <c r="AI46" s="9">
        <v>4.1000000000000002E-2</v>
      </c>
    </row>
    <row r="47" spans="1:35" x14ac:dyDescent="0.25">
      <c r="A47" t="s">
        <v>133</v>
      </c>
      <c r="B47" t="s">
        <v>194</v>
      </c>
      <c r="C47" t="s">
        <v>195</v>
      </c>
      <c r="D47" t="s">
        <v>41</v>
      </c>
      <c r="F47">
        <v>0.71603700000000003</v>
      </c>
      <c r="G47">
        <v>0.778447</v>
      </c>
      <c r="H47">
        <v>0.83950599999999997</v>
      </c>
      <c r="I47">
        <v>0.90032800000000002</v>
      </c>
      <c r="J47">
        <v>0.95915600000000001</v>
      </c>
      <c r="K47">
        <v>1.0171829999999999</v>
      </c>
      <c r="L47">
        <v>1.074956</v>
      </c>
      <c r="M47">
        <v>1.132587</v>
      </c>
      <c r="N47">
        <v>1.189597</v>
      </c>
      <c r="O47">
        <v>1.246297</v>
      </c>
      <c r="P47">
        <v>1.303043</v>
      </c>
      <c r="Q47">
        <v>1.3595170000000001</v>
      </c>
      <c r="R47">
        <v>1.415565</v>
      </c>
      <c r="S47">
        <v>1.4718100000000001</v>
      </c>
      <c r="T47">
        <v>1.5285139999999999</v>
      </c>
      <c r="U47">
        <v>1.584292</v>
      </c>
      <c r="V47">
        <v>1.6391880000000001</v>
      </c>
      <c r="W47">
        <v>1.693146</v>
      </c>
      <c r="X47">
        <v>1.74709</v>
      </c>
      <c r="Y47">
        <v>1.8000659999999999</v>
      </c>
      <c r="Z47">
        <v>1.8513520000000001</v>
      </c>
      <c r="AA47">
        <v>1.901173</v>
      </c>
      <c r="AB47">
        <v>1.9493560000000001</v>
      </c>
      <c r="AC47">
        <v>1.995965</v>
      </c>
      <c r="AD47">
        <v>2.0410029999999999</v>
      </c>
      <c r="AE47">
        <v>2.0857730000000001</v>
      </c>
      <c r="AF47">
        <v>2.1301109999999999</v>
      </c>
      <c r="AG47">
        <v>2.1741899999999998</v>
      </c>
      <c r="AH47">
        <v>2.2179479999999998</v>
      </c>
      <c r="AI47" s="9">
        <v>4.1000000000000002E-2</v>
      </c>
    </row>
    <row r="48" spans="1:35" x14ac:dyDescent="0.25">
      <c r="A48" t="s">
        <v>51</v>
      </c>
      <c r="B48" t="s">
        <v>196</v>
      </c>
      <c r="D48" t="s">
        <v>41</v>
      </c>
    </row>
    <row r="49" spans="1:35" x14ac:dyDescent="0.25">
      <c r="A49" t="s">
        <v>130</v>
      </c>
      <c r="B49" t="s">
        <v>197</v>
      </c>
      <c r="C49" t="s">
        <v>198</v>
      </c>
      <c r="D49" t="s">
        <v>41</v>
      </c>
      <c r="F49">
        <v>65.952872999999997</v>
      </c>
      <c r="G49">
        <v>67.531486999999998</v>
      </c>
      <c r="H49">
        <v>69.112846000000005</v>
      </c>
      <c r="I49">
        <v>70.710128999999995</v>
      </c>
      <c r="J49">
        <v>72.303070000000005</v>
      </c>
      <c r="K49">
        <v>73.897850000000005</v>
      </c>
      <c r="L49">
        <v>75.496253999999993</v>
      </c>
      <c r="M49">
        <v>77.087233999999995</v>
      </c>
      <c r="N49">
        <v>78.657111999999998</v>
      </c>
      <c r="O49">
        <v>80.210655000000003</v>
      </c>
      <c r="P49">
        <v>81.756866000000002</v>
      </c>
      <c r="Q49">
        <v>83.285324000000003</v>
      </c>
      <c r="R49">
        <v>84.789771999999999</v>
      </c>
      <c r="S49">
        <v>86.282950999999997</v>
      </c>
      <c r="T49">
        <v>87.774985999999998</v>
      </c>
      <c r="U49">
        <v>89.260513000000003</v>
      </c>
      <c r="V49">
        <v>90.740982000000002</v>
      </c>
      <c r="W49">
        <v>92.214447000000007</v>
      </c>
      <c r="X49">
        <v>93.693588000000005</v>
      </c>
      <c r="Y49">
        <v>95.171677000000003</v>
      </c>
      <c r="Z49">
        <v>96.637680000000003</v>
      </c>
      <c r="AA49">
        <v>98.096832000000006</v>
      </c>
      <c r="AB49">
        <v>99.549744000000004</v>
      </c>
      <c r="AC49">
        <v>100.997017</v>
      </c>
      <c r="AD49">
        <v>102.436249</v>
      </c>
      <c r="AE49">
        <v>103.87108600000001</v>
      </c>
      <c r="AF49">
        <v>105.297241</v>
      </c>
      <c r="AG49">
        <v>106.713791</v>
      </c>
      <c r="AH49">
        <v>108.122772</v>
      </c>
      <c r="AI49" s="9">
        <v>1.7999999999999999E-2</v>
      </c>
    </row>
    <row r="50" spans="1:35" x14ac:dyDescent="0.25">
      <c r="A50" t="s">
        <v>133</v>
      </c>
      <c r="B50" t="s">
        <v>199</v>
      </c>
      <c r="C50" t="s">
        <v>200</v>
      </c>
      <c r="D50" t="s">
        <v>41</v>
      </c>
      <c r="F50">
        <v>65.952881000000005</v>
      </c>
      <c r="G50">
        <v>67.532059000000004</v>
      </c>
      <c r="H50">
        <v>69.109916999999996</v>
      </c>
      <c r="I50">
        <v>70.702315999999996</v>
      </c>
      <c r="J50">
        <v>72.295479</v>
      </c>
      <c r="K50">
        <v>73.893951000000001</v>
      </c>
      <c r="L50">
        <v>75.495559999999998</v>
      </c>
      <c r="M50">
        <v>77.086860999999999</v>
      </c>
      <c r="N50">
        <v>78.652709999999999</v>
      </c>
      <c r="O50">
        <v>80.199050999999997</v>
      </c>
      <c r="P50">
        <v>81.738403000000005</v>
      </c>
      <c r="Q50">
        <v>83.261909000000003</v>
      </c>
      <c r="R50">
        <v>84.764899999999997</v>
      </c>
      <c r="S50">
        <v>86.260848999999993</v>
      </c>
      <c r="T50">
        <v>87.756729000000007</v>
      </c>
      <c r="U50">
        <v>89.245566999999994</v>
      </c>
      <c r="V50">
        <v>90.729477000000003</v>
      </c>
      <c r="W50">
        <v>92.205558999999994</v>
      </c>
      <c r="X50">
        <v>93.687224999999998</v>
      </c>
      <c r="Y50">
        <v>95.172072999999997</v>
      </c>
      <c r="Z50">
        <v>96.646484000000001</v>
      </c>
      <c r="AA50">
        <v>98.111069000000001</v>
      </c>
      <c r="AB50">
        <v>99.564330999999996</v>
      </c>
      <c r="AC50">
        <v>101.006569</v>
      </c>
      <c r="AD50">
        <v>102.438232</v>
      </c>
      <c r="AE50">
        <v>103.86432600000001</v>
      </c>
      <c r="AF50">
        <v>105.283501</v>
      </c>
      <c r="AG50">
        <v>106.69813499999999</v>
      </c>
      <c r="AH50">
        <v>108.105316</v>
      </c>
      <c r="AI50" s="9">
        <v>1.7999999999999999E-2</v>
      </c>
    </row>
    <row r="51" spans="1:35" x14ac:dyDescent="0.25">
      <c r="A51" t="s">
        <v>52</v>
      </c>
      <c r="B51" t="s">
        <v>201</v>
      </c>
      <c r="D51" t="s">
        <v>41</v>
      </c>
    </row>
    <row r="52" spans="1:35" x14ac:dyDescent="0.25">
      <c r="A52" t="s">
        <v>130</v>
      </c>
      <c r="B52" t="s">
        <v>202</v>
      </c>
      <c r="C52" t="s">
        <v>203</v>
      </c>
      <c r="D52" t="s">
        <v>41</v>
      </c>
      <c r="F52">
        <v>58.086196999999999</v>
      </c>
      <c r="G52">
        <v>58.099601999999997</v>
      </c>
      <c r="H52">
        <v>58.113242999999997</v>
      </c>
      <c r="I52">
        <v>58.130096000000002</v>
      </c>
      <c r="J52">
        <v>58.148983000000001</v>
      </c>
      <c r="K52">
        <v>58.170321999999999</v>
      </c>
      <c r="L52">
        <v>58.193908999999998</v>
      </c>
      <c r="M52">
        <v>58.217010000000002</v>
      </c>
      <c r="N52">
        <v>58.235847</v>
      </c>
      <c r="O52">
        <v>58.251922999999998</v>
      </c>
      <c r="P52">
        <v>58.267937000000003</v>
      </c>
      <c r="Q52">
        <v>58.282756999999997</v>
      </c>
      <c r="R52">
        <v>58.294533000000001</v>
      </c>
      <c r="S52">
        <v>58.304741</v>
      </c>
      <c r="T52">
        <v>58.315868000000002</v>
      </c>
      <c r="U52">
        <v>58.326084000000002</v>
      </c>
      <c r="V52">
        <v>58.335472000000003</v>
      </c>
      <c r="W52">
        <v>58.344200000000001</v>
      </c>
      <c r="X52">
        <v>58.355373</v>
      </c>
      <c r="Y52">
        <v>58.367629999999998</v>
      </c>
      <c r="Z52">
        <v>58.379016999999997</v>
      </c>
      <c r="AA52">
        <v>58.390129000000002</v>
      </c>
      <c r="AB52">
        <v>58.400813999999997</v>
      </c>
      <c r="AC52">
        <v>58.411189999999998</v>
      </c>
      <c r="AD52">
        <v>58.420650000000002</v>
      </c>
      <c r="AE52">
        <v>58.430312999999998</v>
      </c>
      <c r="AF52">
        <v>58.439326999999999</v>
      </c>
      <c r="AG52">
        <v>58.447398999999997</v>
      </c>
      <c r="AH52">
        <v>58.455089999999998</v>
      </c>
      <c r="AI52" s="9">
        <v>0</v>
      </c>
    </row>
    <row r="53" spans="1:35" x14ac:dyDescent="0.25">
      <c r="A53" t="s">
        <v>133</v>
      </c>
      <c r="B53" t="s">
        <v>204</v>
      </c>
      <c r="C53" t="s">
        <v>205</v>
      </c>
      <c r="D53" t="s">
        <v>41</v>
      </c>
      <c r="F53">
        <v>58.086196999999999</v>
      </c>
      <c r="G53">
        <v>58.099701000000003</v>
      </c>
      <c r="H53">
        <v>58.112385000000003</v>
      </c>
      <c r="I53">
        <v>58.127937000000003</v>
      </c>
      <c r="J53">
        <v>58.146832000000003</v>
      </c>
      <c r="K53">
        <v>58.169105999999999</v>
      </c>
      <c r="L53">
        <v>58.193558000000003</v>
      </c>
      <c r="M53">
        <v>58.216811999999997</v>
      </c>
      <c r="N53">
        <v>58.234614999999998</v>
      </c>
      <c r="O53">
        <v>58.248832999999998</v>
      </c>
      <c r="P53">
        <v>58.263072999999999</v>
      </c>
      <c r="Q53">
        <v>58.276626999999998</v>
      </c>
      <c r="R53">
        <v>58.288082000000003</v>
      </c>
      <c r="S53">
        <v>58.299084000000001</v>
      </c>
      <c r="T53">
        <v>58.311340000000001</v>
      </c>
      <c r="U53">
        <v>58.322535999999999</v>
      </c>
      <c r="V53">
        <v>58.332912</v>
      </c>
      <c r="W53">
        <v>58.34243</v>
      </c>
      <c r="X53">
        <v>58.354312999999998</v>
      </c>
      <c r="Y53">
        <v>58.368358999999998</v>
      </c>
      <c r="Z53">
        <v>58.381934999999999</v>
      </c>
      <c r="AA53">
        <v>58.394424000000001</v>
      </c>
      <c r="AB53">
        <v>58.405163000000002</v>
      </c>
      <c r="AC53">
        <v>58.414107999999999</v>
      </c>
      <c r="AD53">
        <v>58.421470999999997</v>
      </c>
      <c r="AE53">
        <v>58.428783000000003</v>
      </c>
      <c r="AF53">
        <v>58.435946999999999</v>
      </c>
      <c r="AG53">
        <v>58.443539000000001</v>
      </c>
      <c r="AH53">
        <v>58.450882</v>
      </c>
      <c r="AI53" s="9">
        <v>0</v>
      </c>
    </row>
    <row r="54" spans="1:35" x14ac:dyDescent="0.25">
      <c r="A54" t="s">
        <v>49</v>
      </c>
      <c r="B54" t="s">
        <v>206</v>
      </c>
      <c r="D54" t="s">
        <v>41</v>
      </c>
    </row>
    <row r="55" spans="1:35" x14ac:dyDescent="0.25">
      <c r="A55" t="s">
        <v>130</v>
      </c>
      <c r="B55" t="s">
        <v>207</v>
      </c>
      <c r="C55" t="s">
        <v>208</v>
      </c>
      <c r="D55" t="s">
        <v>41</v>
      </c>
      <c r="F55">
        <v>139.391876</v>
      </c>
      <c r="G55">
        <v>141.299835</v>
      </c>
      <c r="H55">
        <v>143.20635999999999</v>
      </c>
      <c r="I55">
        <v>145.13810699999999</v>
      </c>
      <c r="J55">
        <v>147.06448399999999</v>
      </c>
      <c r="K55">
        <v>148.99453700000001</v>
      </c>
      <c r="L55">
        <v>150.93130500000001</v>
      </c>
      <c r="M55">
        <v>152.85787999999999</v>
      </c>
      <c r="N55">
        <v>154.75216699999999</v>
      </c>
      <c r="O55">
        <v>156.62278699999999</v>
      </c>
      <c r="P55">
        <v>158.48434399999999</v>
      </c>
      <c r="Q55">
        <v>160.321732</v>
      </c>
      <c r="R55">
        <v>162.125092</v>
      </c>
      <c r="S55">
        <v>163.914154</v>
      </c>
      <c r="T55">
        <v>165.704971</v>
      </c>
      <c r="U55">
        <v>167.487503</v>
      </c>
      <c r="V55">
        <v>169.26147499999999</v>
      </c>
      <c r="W55">
        <v>171.02398700000001</v>
      </c>
      <c r="X55">
        <v>172.79663099999999</v>
      </c>
      <c r="Y55">
        <v>174.568344</v>
      </c>
      <c r="Z55">
        <v>176.323059</v>
      </c>
      <c r="AA55">
        <v>178.06845100000001</v>
      </c>
      <c r="AB55">
        <v>179.80493200000001</v>
      </c>
      <c r="AC55">
        <v>181.533905</v>
      </c>
      <c r="AD55">
        <v>183.252151</v>
      </c>
      <c r="AE55">
        <v>184.96646100000001</v>
      </c>
      <c r="AF55">
        <v>186.669861</v>
      </c>
      <c r="AG55">
        <v>188.36108400000001</v>
      </c>
      <c r="AH55">
        <v>190.04331999999999</v>
      </c>
      <c r="AI55" s="9">
        <v>1.0999999999999999E-2</v>
      </c>
    </row>
    <row r="56" spans="1:35" x14ac:dyDescent="0.25">
      <c r="A56" t="s">
        <v>133</v>
      </c>
      <c r="B56" t="s">
        <v>209</v>
      </c>
      <c r="C56" t="s">
        <v>210</v>
      </c>
      <c r="D56" t="s">
        <v>41</v>
      </c>
      <c r="F56">
        <v>139.39189099999999</v>
      </c>
      <c r="G56">
        <v>141.29959099999999</v>
      </c>
      <c r="H56">
        <v>143.199905</v>
      </c>
      <c r="I56">
        <v>145.122894</v>
      </c>
      <c r="J56">
        <v>147.04899599999999</v>
      </c>
      <c r="K56">
        <v>148.98461900000001</v>
      </c>
      <c r="L56">
        <v>150.926132</v>
      </c>
      <c r="M56">
        <v>152.85290499999999</v>
      </c>
      <c r="N56">
        <v>154.74073799999999</v>
      </c>
      <c r="O56">
        <v>156.59982299999999</v>
      </c>
      <c r="P56">
        <v>158.45030199999999</v>
      </c>
      <c r="Q56">
        <v>160.279709</v>
      </c>
      <c r="R56">
        <v>162.08078</v>
      </c>
      <c r="S56">
        <v>163.87384</v>
      </c>
      <c r="T56">
        <v>165.67047099999999</v>
      </c>
      <c r="U56">
        <v>167.45838900000001</v>
      </c>
      <c r="V56">
        <v>169.23819</v>
      </c>
      <c r="W56">
        <v>171.00616500000001</v>
      </c>
      <c r="X56">
        <v>172.783615</v>
      </c>
      <c r="Y56">
        <v>174.566711</v>
      </c>
      <c r="Z56">
        <v>176.335419</v>
      </c>
      <c r="AA56">
        <v>178.09028599999999</v>
      </c>
      <c r="AB56">
        <v>179.82830799999999</v>
      </c>
      <c r="AC56">
        <v>181.54994199999999</v>
      </c>
      <c r="AD56">
        <v>183.256012</v>
      </c>
      <c r="AE56">
        <v>184.956558</v>
      </c>
      <c r="AF56">
        <v>186.64909399999999</v>
      </c>
      <c r="AG56">
        <v>188.33763099999999</v>
      </c>
      <c r="AH56">
        <v>190.017258</v>
      </c>
      <c r="AI56" s="9">
        <v>1.0999999999999999E-2</v>
      </c>
    </row>
    <row r="57" spans="1:35" x14ac:dyDescent="0.25">
      <c r="A57" t="s">
        <v>53</v>
      </c>
    </row>
    <row r="58" spans="1:35" x14ac:dyDescent="0.25">
      <c r="A58" t="s">
        <v>54</v>
      </c>
      <c r="B58" t="s">
        <v>211</v>
      </c>
      <c r="D58" t="s">
        <v>41</v>
      </c>
    </row>
    <row r="59" spans="1:35" x14ac:dyDescent="0.25">
      <c r="A59" t="s">
        <v>130</v>
      </c>
      <c r="B59" t="s">
        <v>212</v>
      </c>
      <c r="C59" t="s">
        <v>213</v>
      </c>
      <c r="D59" t="s">
        <v>41</v>
      </c>
      <c r="F59">
        <v>60.580669</v>
      </c>
      <c r="G59">
        <v>60.983252999999998</v>
      </c>
      <c r="H59">
        <v>61.337626999999998</v>
      </c>
      <c r="I59">
        <v>61.675991000000003</v>
      </c>
      <c r="J59">
        <v>61.982436999999997</v>
      </c>
      <c r="K59">
        <v>62.286163000000002</v>
      </c>
      <c r="L59">
        <v>62.581848000000001</v>
      </c>
      <c r="M59">
        <v>62.861567999999998</v>
      </c>
      <c r="N59">
        <v>63.111282000000003</v>
      </c>
      <c r="O59">
        <v>63.367752000000003</v>
      </c>
      <c r="P59">
        <v>63.636322</v>
      </c>
      <c r="Q59">
        <v>63.985218000000003</v>
      </c>
      <c r="R59">
        <v>64.382026999999994</v>
      </c>
      <c r="S59">
        <v>64.897079000000005</v>
      </c>
      <c r="T59">
        <v>65.400184999999993</v>
      </c>
      <c r="U59">
        <v>65.903778000000003</v>
      </c>
      <c r="V59">
        <v>66.40728</v>
      </c>
      <c r="W59">
        <v>66.896240000000006</v>
      </c>
      <c r="X59">
        <v>67.381805</v>
      </c>
      <c r="Y59">
        <v>67.859168999999994</v>
      </c>
      <c r="Z59">
        <v>68.323227000000003</v>
      </c>
      <c r="AA59">
        <v>68.776732999999993</v>
      </c>
      <c r="AB59">
        <v>69.220825000000005</v>
      </c>
      <c r="AC59">
        <v>69.659087999999997</v>
      </c>
      <c r="AD59">
        <v>70.099632</v>
      </c>
      <c r="AE59">
        <v>70.538925000000006</v>
      </c>
      <c r="AF59">
        <v>70.972908000000004</v>
      </c>
      <c r="AG59">
        <v>71.406891000000002</v>
      </c>
      <c r="AH59">
        <v>71.842628000000005</v>
      </c>
      <c r="AI59" s="9">
        <v>6.0000000000000001E-3</v>
      </c>
    </row>
    <row r="60" spans="1:35" x14ac:dyDescent="0.25">
      <c r="A60" t="s">
        <v>133</v>
      </c>
      <c r="B60" t="s">
        <v>214</v>
      </c>
      <c r="C60" t="s">
        <v>215</v>
      </c>
      <c r="D60" t="s">
        <v>41</v>
      </c>
      <c r="F60">
        <v>60.656070999999997</v>
      </c>
      <c r="G60">
        <v>61.191647000000003</v>
      </c>
      <c r="H60">
        <v>61.812412000000002</v>
      </c>
      <c r="I60">
        <v>62.408268</v>
      </c>
      <c r="J60">
        <v>62.975121000000001</v>
      </c>
      <c r="K60">
        <v>63.525291000000003</v>
      </c>
      <c r="L60">
        <v>64.051361</v>
      </c>
      <c r="M60">
        <v>64.550240000000002</v>
      </c>
      <c r="N60">
        <v>65.012298999999999</v>
      </c>
      <c r="O60">
        <v>65.477492999999996</v>
      </c>
      <c r="P60">
        <v>65.953568000000004</v>
      </c>
      <c r="Q60">
        <v>66.430908000000002</v>
      </c>
      <c r="R60">
        <v>66.905501999999998</v>
      </c>
      <c r="S60">
        <v>67.383369000000002</v>
      </c>
      <c r="T60">
        <v>67.867424</v>
      </c>
      <c r="U60">
        <v>68.354423999999995</v>
      </c>
      <c r="V60">
        <v>68.844582000000003</v>
      </c>
      <c r="W60">
        <v>69.325226000000001</v>
      </c>
      <c r="X60">
        <v>69.799994999999996</v>
      </c>
      <c r="Y60">
        <v>70.269135000000006</v>
      </c>
      <c r="Z60">
        <v>70.726653999999996</v>
      </c>
      <c r="AA60">
        <v>71.173812999999996</v>
      </c>
      <c r="AB60">
        <v>71.609520000000003</v>
      </c>
      <c r="AC60">
        <v>72.035506999999996</v>
      </c>
      <c r="AD60">
        <v>72.452972000000003</v>
      </c>
      <c r="AE60">
        <v>72.869986999999995</v>
      </c>
      <c r="AF60">
        <v>73.285347000000002</v>
      </c>
      <c r="AG60">
        <v>73.704926</v>
      </c>
      <c r="AH60">
        <v>74.126541000000003</v>
      </c>
      <c r="AI60" s="9">
        <v>7.0000000000000001E-3</v>
      </c>
    </row>
    <row r="61" spans="1:35" x14ac:dyDescent="0.25">
      <c r="A61" t="s">
        <v>55</v>
      </c>
      <c r="B61" t="s">
        <v>216</v>
      </c>
      <c r="D61" t="s">
        <v>41</v>
      </c>
    </row>
    <row r="62" spans="1:35" x14ac:dyDescent="0.25">
      <c r="A62" t="s">
        <v>130</v>
      </c>
      <c r="B62" t="s">
        <v>217</v>
      </c>
      <c r="C62" t="s">
        <v>218</v>
      </c>
      <c r="D62" t="s">
        <v>41</v>
      </c>
      <c r="F62">
        <v>61.252429999999997</v>
      </c>
      <c r="G62">
        <v>61.855328</v>
      </c>
      <c r="H62">
        <v>62.501674999999999</v>
      </c>
      <c r="I62">
        <v>63.183993999999998</v>
      </c>
      <c r="J62">
        <v>63.881008000000001</v>
      </c>
      <c r="K62">
        <v>64.589164999999994</v>
      </c>
      <c r="L62">
        <v>65.313995000000006</v>
      </c>
      <c r="M62">
        <v>66.041458000000006</v>
      </c>
      <c r="N62">
        <v>66.761238000000006</v>
      </c>
      <c r="O62">
        <v>67.455582000000007</v>
      </c>
      <c r="P62">
        <v>68.133422999999993</v>
      </c>
      <c r="Q62">
        <v>68.803520000000006</v>
      </c>
      <c r="R62">
        <v>69.458297999999999</v>
      </c>
      <c r="S62">
        <v>70.120711999999997</v>
      </c>
      <c r="T62">
        <v>70.775199999999998</v>
      </c>
      <c r="U62">
        <v>71.421004999999994</v>
      </c>
      <c r="V62">
        <v>72.060173000000006</v>
      </c>
      <c r="W62">
        <v>72.702529999999996</v>
      </c>
      <c r="X62">
        <v>73.355804000000006</v>
      </c>
      <c r="Y62">
        <v>74.013892999999996</v>
      </c>
      <c r="Z62">
        <v>74.665520000000001</v>
      </c>
      <c r="AA62">
        <v>75.316040000000001</v>
      </c>
      <c r="AB62">
        <v>75.965560999999994</v>
      </c>
      <c r="AC62">
        <v>76.611816000000005</v>
      </c>
      <c r="AD62">
        <v>77.243378000000007</v>
      </c>
      <c r="AE62">
        <v>77.870566999999994</v>
      </c>
      <c r="AF62">
        <v>78.490523999999994</v>
      </c>
      <c r="AG62">
        <v>79.097526999999999</v>
      </c>
      <c r="AH62">
        <v>79.692604000000003</v>
      </c>
      <c r="AI62" s="9">
        <v>8.9999999999999993E-3</v>
      </c>
    </row>
    <row r="63" spans="1:35" x14ac:dyDescent="0.25">
      <c r="A63" t="s">
        <v>133</v>
      </c>
      <c r="B63" t="s">
        <v>219</v>
      </c>
      <c r="C63" t="s">
        <v>220</v>
      </c>
      <c r="D63" t="s">
        <v>41</v>
      </c>
      <c r="F63">
        <v>61.271900000000002</v>
      </c>
      <c r="G63">
        <v>61.912669999999999</v>
      </c>
      <c r="H63">
        <v>62.612099000000001</v>
      </c>
      <c r="I63">
        <v>63.342059999999996</v>
      </c>
      <c r="J63">
        <v>64.091330999999997</v>
      </c>
      <c r="K63">
        <v>64.855423000000002</v>
      </c>
      <c r="L63">
        <v>65.637778999999995</v>
      </c>
      <c r="M63">
        <v>66.420944000000006</v>
      </c>
      <c r="N63">
        <v>67.191497999999996</v>
      </c>
      <c r="O63">
        <v>67.938332000000003</v>
      </c>
      <c r="P63">
        <v>68.671447999999998</v>
      </c>
      <c r="Q63">
        <v>69.384452999999993</v>
      </c>
      <c r="R63">
        <v>70.072952000000001</v>
      </c>
      <c r="S63">
        <v>70.750602999999998</v>
      </c>
      <c r="T63">
        <v>71.424515</v>
      </c>
      <c r="U63">
        <v>72.086731</v>
      </c>
      <c r="V63">
        <v>72.739356999999998</v>
      </c>
      <c r="W63">
        <v>73.389099000000002</v>
      </c>
      <c r="X63">
        <v>74.052070999999998</v>
      </c>
      <c r="Y63">
        <v>74.723693999999995</v>
      </c>
      <c r="Z63">
        <v>75.389495999999994</v>
      </c>
      <c r="AA63">
        <v>76.049484000000007</v>
      </c>
      <c r="AB63">
        <v>76.702956999999998</v>
      </c>
      <c r="AC63">
        <v>77.349166999999994</v>
      </c>
      <c r="AD63">
        <v>77.987983999999997</v>
      </c>
      <c r="AE63">
        <v>78.620041000000001</v>
      </c>
      <c r="AF63">
        <v>79.244331000000003</v>
      </c>
      <c r="AG63">
        <v>79.859290999999999</v>
      </c>
      <c r="AH63">
        <v>80.462387000000007</v>
      </c>
      <c r="AI63" s="9">
        <v>0.01</v>
      </c>
    </row>
    <row r="64" spans="1:35" x14ac:dyDescent="0.25">
      <c r="A64" t="s">
        <v>45</v>
      </c>
      <c r="B64" t="s">
        <v>221</v>
      </c>
      <c r="D64" t="s">
        <v>41</v>
      </c>
    </row>
    <row r="65" spans="1:35" x14ac:dyDescent="0.25">
      <c r="A65" t="s">
        <v>130</v>
      </c>
      <c r="B65" t="s">
        <v>222</v>
      </c>
      <c r="C65" t="s">
        <v>223</v>
      </c>
      <c r="D65" t="s">
        <v>41</v>
      </c>
      <c r="F65">
        <v>2.542532</v>
      </c>
      <c r="G65">
        <v>2.4844569999999999</v>
      </c>
      <c r="H65">
        <v>2.431864</v>
      </c>
      <c r="I65">
        <v>2.3857050000000002</v>
      </c>
      <c r="J65">
        <v>2.3435670000000002</v>
      </c>
      <c r="K65">
        <v>2.305742</v>
      </c>
      <c r="L65">
        <v>2.2720549999999999</v>
      </c>
      <c r="M65">
        <v>2.2423639999999998</v>
      </c>
      <c r="N65">
        <v>2.2166969999999999</v>
      </c>
      <c r="O65">
        <v>2.188768</v>
      </c>
      <c r="P65">
        <v>2.1592769999999999</v>
      </c>
      <c r="Q65">
        <v>2.1287530000000001</v>
      </c>
      <c r="R65">
        <v>2.098122</v>
      </c>
      <c r="S65">
        <v>2.0668519999999999</v>
      </c>
      <c r="T65">
        <v>2.036216</v>
      </c>
      <c r="U65">
        <v>2.0060829999999998</v>
      </c>
      <c r="V65">
        <v>1.976985</v>
      </c>
      <c r="W65">
        <v>1.9489259999999999</v>
      </c>
      <c r="X65">
        <v>1.9220330000000001</v>
      </c>
      <c r="Y65">
        <v>1.8962410000000001</v>
      </c>
      <c r="Z65">
        <v>1.871523</v>
      </c>
      <c r="AA65">
        <v>1.847718</v>
      </c>
      <c r="AB65">
        <v>1.8246659999999999</v>
      </c>
      <c r="AC65">
        <v>1.80236</v>
      </c>
      <c r="AD65">
        <v>1.780556</v>
      </c>
      <c r="AE65">
        <v>1.7592410000000001</v>
      </c>
      <c r="AF65">
        <v>1.7384189999999999</v>
      </c>
      <c r="AG65">
        <v>1.717659</v>
      </c>
      <c r="AH65">
        <v>1.697292</v>
      </c>
      <c r="AI65" s="9">
        <v>-1.4E-2</v>
      </c>
    </row>
    <row r="66" spans="1:35" x14ac:dyDescent="0.25">
      <c r="A66" t="s">
        <v>133</v>
      </c>
      <c r="B66" t="s">
        <v>224</v>
      </c>
      <c r="C66" t="s">
        <v>225</v>
      </c>
      <c r="D66" t="s">
        <v>41</v>
      </c>
      <c r="F66">
        <v>2.5429089999999999</v>
      </c>
      <c r="G66">
        <v>2.4855550000000002</v>
      </c>
      <c r="H66">
        <v>2.4337070000000001</v>
      </c>
      <c r="I66">
        <v>2.388884</v>
      </c>
      <c r="J66">
        <v>2.3482090000000002</v>
      </c>
      <c r="K66">
        <v>2.3118409999999998</v>
      </c>
      <c r="L66">
        <v>2.2799170000000002</v>
      </c>
      <c r="M66">
        <v>2.2518929999999999</v>
      </c>
      <c r="N66">
        <v>2.227471</v>
      </c>
      <c r="O66">
        <v>2.200917</v>
      </c>
      <c r="P66">
        <v>2.172803</v>
      </c>
      <c r="Q66">
        <v>2.143815</v>
      </c>
      <c r="R66">
        <v>2.1142799999999999</v>
      </c>
      <c r="S66">
        <v>2.0847989999999998</v>
      </c>
      <c r="T66">
        <v>2.0553309999999998</v>
      </c>
      <c r="U66">
        <v>2.0263879999999999</v>
      </c>
      <c r="V66">
        <v>1.9982930000000001</v>
      </c>
      <c r="W66">
        <v>1.971031</v>
      </c>
      <c r="X66">
        <v>1.9447939999999999</v>
      </c>
      <c r="Y66">
        <v>1.919683</v>
      </c>
      <c r="Z66">
        <v>1.8956379999999999</v>
      </c>
      <c r="AA66">
        <v>1.87249</v>
      </c>
      <c r="AB66">
        <v>1.8499840000000001</v>
      </c>
      <c r="AC66">
        <v>1.827996</v>
      </c>
      <c r="AD66">
        <v>1.80664</v>
      </c>
      <c r="AE66">
        <v>1.785677</v>
      </c>
      <c r="AF66">
        <v>1.764996</v>
      </c>
      <c r="AG66">
        <v>1.744491</v>
      </c>
      <c r="AH66">
        <v>1.724226</v>
      </c>
      <c r="AI66" s="9">
        <v>-1.4E-2</v>
      </c>
    </row>
    <row r="67" spans="1:35" x14ac:dyDescent="0.25">
      <c r="A67" t="s">
        <v>23</v>
      </c>
      <c r="B67" t="s">
        <v>226</v>
      </c>
      <c r="D67" t="s">
        <v>41</v>
      </c>
    </row>
    <row r="68" spans="1:35" x14ac:dyDescent="0.25">
      <c r="A68" t="s">
        <v>130</v>
      </c>
      <c r="B68" t="s">
        <v>227</v>
      </c>
      <c r="C68" t="s">
        <v>228</v>
      </c>
      <c r="D68" t="s">
        <v>41</v>
      </c>
      <c r="F68">
        <v>3.944016</v>
      </c>
      <c r="G68">
        <v>3.844217</v>
      </c>
      <c r="H68">
        <v>3.754283</v>
      </c>
      <c r="I68">
        <v>3.6748500000000002</v>
      </c>
      <c r="J68">
        <v>3.6056059999999999</v>
      </c>
      <c r="K68">
        <v>3.5459260000000001</v>
      </c>
      <c r="L68">
        <v>3.495781</v>
      </c>
      <c r="M68">
        <v>3.4546130000000002</v>
      </c>
      <c r="N68">
        <v>3.4217279999999999</v>
      </c>
      <c r="O68">
        <v>3.3834629999999999</v>
      </c>
      <c r="P68">
        <v>3.3414269999999999</v>
      </c>
      <c r="Q68">
        <v>3.296932</v>
      </c>
      <c r="R68">
        <v>3.250626</v>
      </c>
      <c r="S68">
        <v>3.2032949999999998</v>
      </c>
      <c r="T68">
        <v>3.1566869999999998</v>
      </c>
      <c r="U68">
        <v>3.1109</v>
      </c>
      <c r="V68">
        <v>3.0664980000000002</v>
      </c>
      <c r="W68">
        <v>3.0242019999999998</v>
      </c>
      <c r="X68">
        <v>2.984899</v>
      </c>
      <c r="Y68">
        <v>2.9484699999999999</v>
      </c>
      <c r="Z68">
        <v>2.9144929999999998</v>
      </c>
      <c r="AA68">
        <v>2.8829220000000002</v>
      </c>
      <c r="AB68">
        <v>2.853478</v>
      </c>
      <c r="AC68">
        <v>2.8259439999999998</v>
      </c>
      <c r="AD68">
        <v>2.7997079999999999</v>
      </c>
      <c r="AE68">
        <v>2.7750110000000001</v>
      </c>
      <c r="AF68">
        <v>2.7515610000000001</v>
      </c>
      <c r="AG68">
        <v>2.7290040000000002</v>
      </c>
      <c r="AH68">
        <v>2.7075239999999998</v>
      </c>
      <c r="AI68" s="9">
        <v>-1.2999999999999999E-2</v>
      </c>
    </row>
    <row r="69" spans="1:35" x14ac:dyDescent="0.25">
      <c r="A69" t="s">
        <v>133</v>
      </c>
      <c r="B69" t="s">
        <v>229</v>
      </c>
      <c r="C69" t="s">
        <v>230</v>
      </c>
      <c r="D69" t="s">
        <v>41</v>
      </c>
      <c r="F69">
        <v>3.9448050000000001</v>
      </c>
      <c r="G69">
        <v>3.846263</v>
      </c>
      <c r="H69">
        <v>3.757091</v>
      </c>
      <c r="I69">
        <v>3.678213</v>
      </c>
      <c r="J69">
        <v>3.6097730000000001</v>
      </c>
      <c r="K69">
        <v>3.5509330000000001</v>
      </c>
      <c r="L69">
        <v>3.5014099999999999</v>
      </c>
      <c r="M69">
        <v>3.4605049999999999</v>
      </c>
      <c r="N69">
        <v>3.4273790000000002</v>
      </c>
      <c r="O69">
        <v>3.3886940000000001</v>
      </c>
      <c r="P69">
        <v>3.3462800000000001</v>
      </c>
      <c r="Q69">
        <v>3.30145</v>
      </c>
      <c r="R69">
        <v>3.2549199999999998</v>
      </c>
      <c r="S69">
        <v>3.2078120000000001</v>
      </c>
      <c r="T69">
        <v>3.1614070000000001</v>
      </c>
      <c r="U69">
        <v>3.1156709999999999</v>
      </c>
      <c r="V69">
        <v>3.0712079999999999</v>
      </c>
      <c r="W69">
        <v>3.0285449999999998</v>
      </c>
      <c r="X69">
        <v>2.9889700000000001</v>
      </c>
      <c r="Y69">
        <v>2.95269</v>
      </c>
      <c r="Z69">
        <v>2.919095</v>
      </c>
      <c r="AA69">
        <v>2.887734</v>
      </c>
      <c r="AB69">
        <v>2.8581029999999998</v>
      </c>
      <c r="AC69">
        <v>2.8299180000000002</v>
      </c>
      <c r="AD69">
        <v>2.803023</v>
      </c>
      <c r="AE69">
        <v>2.777479</v>
      </c>
      <c r="AF69">
        <v>2.7531919999999999</v>
      </c>
      <c r="AG69">
        <v>2.7301549999999999</v>
      </c>
      <c r="AH69">
        <v>2.7080820000000001</v>
      </c>
      <c r="AI69" s="9">
        <v>-1.2999999999999999E-2</v>
      </c>
    </row>
    <row r="70" spans="1:35" x14ac:dyDescent="0.25">
      <c r="A70" t="s">
        <v>56</v>
      </c>
      <c r="B70" t="s">
        <v>231</v>
      </c>
      <c r="D70" t="s">
        <v>41</v>
      </c>
    </row>
    <row r="71" spans="1:35" x14ac:dyDescent="0.25">
      <c r="A71" t="s">
        <v>130</v>
      </c>
      <c r="B71" t="s">
        <v>232</v>
      </c>
      <c r="C71" t="s">
        <v>233</v>
      </c>
      <c r="D71" t="s">
        <v>41</v>
      </c>
      <c r="F71">
        <v>2.232774</v>
      </c>
      <c r="G71">
        <v>2.576883</v>
      </c>
      <c r="H71">
        <v>2.9125079999999999</v>
      </c>
      <c r="I71">
        <v>3.2382330000000001</v>
      </c>
      <c r="J71">
        <v>3.563558</v>
      </c>
      <c r="K71">
        <v>3.8726560000000001</v>
      </c>
      <c r="L71">
        <v>4.1679329999999997</v>
      </c>
      <c r="M71">
        <v>4.4541649999999997</v>
      </c>
      <c r="N71">
        <v>4.7348220000000003</v>
      </c>
      <c r="O71">
        <v>5.018878</v>
      </c>
      <c r="P71">
        <v>5.3041390000000002</v>
      </c>
      <c r="Q71">
        <v>5.4952529999999999</v>
      </c>
      <c r="R71">
        <v>5.6203919999999998</v>
      </c>
      <c r="S71">
        <v>5.6063939999999999</v>
      </c>
      <c r="T71">
        <v>5.6123989999999999</v>
      </c>
      <c r="U71">
        <v>5.6182749999999997</v>
      </c>
      <c r="V71">
        <v>5.6239319999999999</v>
      </c>
      <c r="W71">
        <v>5.6299010000000003</v>
      </c>
      <c r="X71">
        <v>5.6361780000000001</v>
      </c>
      <c r="Y71">
        <v>5.6426720000000001</v>
      </c>
      <c r="Z71">
        <v>5.6492990000000001</v>
      </c>
      <c r="AA71">
        <v>5.6560490000000003</v>
      </c>
      <c r="AB71">
        <v>5.662947</v>
      </c>
      <c r="AC71">
        <v>5.6700030000000003</v>
      </c>
      <c r="AD71">
        <v>5.6775789999999997</v>
      </c>
      <c r="AE71">
        <v>5.685092</v>
      </c>
      <c r="AF71">
        <v>5.6925990000000004</v>
      </c>
      <c r="AG71">
        <v>5.7000520000000003</v>
      </c>
      <c r="AH71">
        <v>5.7073559999999999</v>
      </c>
      <c r="AI71" s="9">
        <v>3.4000000000000002E-2</v>
      </c>
    </row>
    <row r="72" spans="1:35" x14ac:dyDescent="0.25">
      <c r="A72" t="s">
        <v>133</v>
      </c>
      <c r="B72" t="s">
        <v>234</v>
      </c>
      <c r="C72" t="s">
        <v>235</v>
      </c>
      <c r="D72" t="s">
        <v>41</v>
      </c>
      <c r="F72">
        <v>2.1367340000000001</v>
      </c>
      <c r="G72">
        <v>2.3087019999999998</v>
      </c>
      <c r="H72">
        <v>2.3172809999999999</v>
      </c>
      <c r="I72">
        <v>2.3278219999999998</v>
      </c>
      <c r="J72">
        <v>2.3384269999999998</v>
      </c>
      <c r="K72">
        <v>2.3486050000000001</v>
      </c>
      <c r="L72">
        <v>2.358476</v>
      </c>
      <c r="M72">
        <v>2.368268</v>
      </c>
      <c r="N72">
        <v>2.3780670000000002</v>
      </c>
      <c r="O72">
        <v>2.388191</v>
      </c>
      <c r="P72">
        <v>2.3985270000000001</v>
      </c>
      <c r="Q72">
        <v>2.408989</v>
      </c>
      <c r="R72">
        <v>2.4194629999999999</v>
      </c>
      <c r="S72">
        <v>2.4297650000000002</v>
      </c>
      <c r="T72">
        <v>2.4399310000000001</v>
      </c>
      <c r="U72">
        <v>2.449843</v>
      </c>
      <c r="V72">
        <v>2.4597389999999999</v>
      </c>
      <c r="W72">
        <v>2.470415</v>
      </c>
      <c r="X72">
        <v>2.4815339999999999</v>
      </c>
      <c r="Y72">
        <v>2.4929329999999998</v>
      </c>
      <c r="Z72">
        <v>2.5044360000000001</v>
      </c>
      <c r="AA72">
        <v>2.5160119999999999</v>
      </c>
      <c r="AB72">
        <v>2.5276589999999999</v>
      </c>
      <c r="AC72">
        <v>2.5393829999999999</v>
      </c>
      <c r="AD72">
        <v>2.5511010000000001</v>
      </c>
      <c r="AE72">
        <v>2.5628190000000002</v>
      </c>
      <c r="AF72">
        <v>2.5744919999999998</v>
      </c>
      <c r="AG72">
        <v>2.5859740000000002</v>
      </c>
      <c r="AH72">
        <v>2.5973980000000001</v>
      </c>
      <c r="AI72" s="9">
        <v>7.0000000000000001E-3</v>
      </c>
    </row>
    <row r="73" spans="1:35" x14ac:dyDescent="0.25">
      <c r="A73" t="s">
        <v>49</v>
      </c>
      <c r="B73" t="s">
        <v>236</v>
      </c>
      <c r="D73" t="s">
        <v>41</v>
      </c>
    </row>
    <row r="74" spans="1:35" x14ac:dyDescent="0.25">
      <c r="A74" t="s">
        <v>130</v>
      </c>
      <c r="B74" t="s">
        <v>237</v>
      </c>
      <c r="C74" t="s">
        <v>238</v>
      </c>
      <c r="D74" t="s">
        <v>41</v>
      </c>
      <c r="F74">
        <v>130.55242899999999</v>
      </c>
      <c r="G74">
        <v>131.74414100000001</v>
      </c>
      <c r="H74">
        <v>132.93795800000001</v>
      </c>
      <c r="I74">
        <v>134.15876800000001</v>
      </c>
      <c r="J74">
        <v>135.37617499999999</v>
      </c>
      <c r="K74">
        <v>136.59965500000001</v>
      </c>
      <c r="L74">
        <v>137.831604</v>
      </c>
      <c r="M74">
        <v>139.05418399999999</v>
      </c>
      <c r="N74">
        <v>140.245758</v>
      </c>
      <c r="O74">
        <v>141.414444</v>
      </c>
      <c r="P74">
        <v>142.57458500000001</v>
      </c>
      <c r="Q74">
        <v>143.709686</v>
      </c>
      <c r="R74">
        <v>144.80947900000001</v>
      </c>
      <c r="S74">
        <v>145.89433299999999</v>
      </c>
      <c r="T74">
        <v>146.980682</v>
      </c>
      <c r="U74">
        <v>148.06004300000001</v>
      </c>
      <c r="V74">
        <v>149.134872</v>
      </c>
      <c r="W74">
        <v>150.201797</v>
      </c>
      <c r="X74">
        <v>151.28071600000001</v>
      </c>
      <c r="Y74">
        <v>152.360443</v>
      </c>
      <c r="Z74">
        <v>153.42404199999999</v>
      </c>
      <c r="AA74">
        <v>154.47946200000001</v>
      </c>
      <c r="AB74">
        <v>155.52748099999999</v>
      </c>
      <c r="AC74">
        <v>156.569199</v>
      </c>
      <c r="AD74">
        <v>157.600876</v>
      </c>
      <c r="AE74">
        <v>158.62882999999999</v>
      </c>
      <c r="AF74">
        <v>159.64601099999999</v>
      </c>
      <c r="AG74">
        <v>160.65115399999999</v>
      </c>
      <c r="AH74">
        <v>161.6474</v>
      </c>
      <c r="AI74" s="9">
        <v>8.0000000000000002E-3</v>
      </c>
    </row>
    <row r="75" spans="1:35" x14ac:dyDescent="0.25">
      <c r="A75" t="s">
        <v>133</v>
      </c>
      <c r="B75" t="s">
        <v>239</v>
      </c>
      <c r="C75" t="s">
        <v>240</v>
      </c>
      <c r="D75" t="s">
        <v>41</v>
      </c>
      <c r="F75">
        <v>130.552414</v>
      </c>
      <c r="G75">
        <v>131.744843</v>
      </c>
      <c r="H75">
        <v>132.93258700000001</v>
      </c>
      <c r="I75">
        <v>134.14523299999999</v>
      </c>
      <c r="J75">
        <v>135.362854</v>
      </c>
      <c r="K75">
        <v>136.59208699999999</v>
      </c>
      <c r="L75">
        <v>137.82894899999999</v>
      </c>
      <c r="M75">
        <v>139.05186499999999</v>
      </c>
      <c r="N75">
        <v>140.23672500000001</v>
      </c>
      <c r="O75">
        <v>141.39361600000001</v>
      </c>
      <c r="P75">
        <v>142.542633</v>
      </c>
      <c r="Q75">
        <v>143.66963200000001</v>
      </c>
      <c r="R75">
        <v>144.76710499999999</v>
      </c>
      <c r="S75">
        <v>145.85633899999999</v>
      </c>
      <c r="T75">
        <v>146.94859299999999</v>
      </c>
      <c r="U75">
        <v>148.03306599999999</v>
      </c>
      <c r="V75">
        <v>149.11317399999999</v>
      </c>
      <c r="W75">
        <v>150.18431100000001</v>
      </c>
      <c r="X75">
        <v>151.26736500000001</v>
      </c>
      <c r="Y75">
        <v>152.35813899999999</v>
      </c>
      <c r="Z75">
        <v>153.435318</v>
      </c>
      <c r="AA75">
        <v>154.499527</v>
      </c>
      <c r="AB75">
        <v>155.54823300000001</v>
      </c>
      <c r="AC75">
        <v>156.581985</v>
      </c>
      <c r="AD75">
        <v>157.60171500000001</v>
      </c>
      <c r="AE75">
        <v>158.61599699999999</v>
      </c>
      <c r="AF75">
        <v>159.62235999999999</v>
      </c>
      <c r="AG75">
        <v>160.62481700000001</v>
      </c>
      <c r="AH75">
        <v>161.61863700000001</v>
      </c>
      <c r="AI75" s="9">
        <v>8.0000000000000002E-3</v>
      </c>
    </row>
    <row r="76" spans="1:35" x14ac:dyDescent="0.25">
      <c r="A76" t="s">
        <v>57</v>
      </c>
    </row>
    <row r="77" spans="1:35" x14ac:dyDescent="0.25">
      <c r="A77" t="s">
        <v>54</v>
      </c>
      <c r="B77" t="s">
        <v>241</v>
      </c>
      <c r="D77" t="s">
        <v>41</v>
      </c>
    </row>
    <row r="78" spans="1:35" x14ac:dyDescent="0.25">
      <c r="A78" t="s">
        <v>130</v>
      </c>
      <c r="B78" t="s">
        <v>242</v>
      </c>
      <c r="C78" t="s">
        <v>243</v>
      </c>
      <c r="D78" t="s">
        <v>41</v>
      </c>
      <c r="F78">
        <v>98.268683999999993</v>
      </c>
      <c r="G78">
        <v>98.918464999999998</v>
      </c>
      <c r="H78">
        <v>99.554741000000007</v>
      </c>
      <c r="I78">
        <v>100.198555</v>
      </c>
      <c r="J78">
        <v>100.828621</v>
      </c>
      <c r="K78">
        <v>101.449066</v>
      </c>
      <c r="L78">
        <v>102.06017300000001</v>
      </c>
      <c r="M78">
        <v>102.624161</v>
      </c>
      <c r="N78">
        <v>103.12352</v>
      </c>
      <c r="O78">
        <v>103.555977</v>
      </c>
      <c r="P78">
        <v>103.928223</v>
      </c>
      <c r="Q78">
        <v>104.312157</v>
      </c>
      <c r="R78">
        <v>104.726097</v>
      </c>
      <c r="S78">
        <v>105.187927</v>
      </c>
      <c r="T78">
        <v>105.718834</v>
      </c>
      <c r="U78">
        <v>106.31783299999999</v>
      </c>
      <c r="V78">
        <v>106.902771</v>
      </c>
      <c r="W78">
        <v>107.47090900000001</v>
      </c>
      <c r="X78">
        <v>108.035225</v>
      </c>
      <c r="Y78">
        <v>108.586731</v>
      </c>
      <c r="Z78">
        <v>109.113167</v>
      </c>
      <c r="AA78">
        <v>109.61953699999999</v>
      </c>
      <c r="AB78">
        <v>110.10674299999999</v>
      </c>
      <c r="AC78">
        <v>110.57737</v>
      </c>
      <c r="AD78">
        <v>111.032166</v>
      </c>
      <c r="AE78">
        <v>111.479454</v>
      </c>
      <c r="AF78">
        <v>111.91857899999999</v>
      </c>
      <c r="AG78">
        <v>112.35443100000001</v>
      </c>
      <c r="AH78">
        <v>112.79387699999999</v>
      </c>
      <c r="AI78" s="9">
        <v>5.0000000000000001E-3</v>
      </c>
    </row>
    <row r="79" spans="1:35" x14ac:dyDescent="0.25">
      <c r="A79" t="s">
        <v>133</v>
      </c>
      <c r="B79" t="s">
        <v>244</v>
      </c>
      <c r="C79" t="s">
        <v>245</v>
      </c>
      <c r="D79" t="s">
        <v>41</v>
      </c>
      <c r="F79">
        <v>98.268653999999998</v>
      </c>
      <c r="G79">
        <v>98.918503000000001</v>
      </c>
      <c r="H79">
        <v>99.550003000000004</v>
      </c>
      <c r="I79">
        <v>100.187759</v>
      </c>
      <c r="J79">
        <v>100.81766500000001</v>
      </c>
      <c r="K79">
        <v>101.44182600000001</v>
      </c>
      <c r="L79">
        <v>102.055824</v>
      </c>
      <c r="M79">
        <v>102.61913300000001</v>
      </c>
      <c r="N79">
        <v>103.11277</v>
      </c>
      <c r="O79">
        <v>103.53581200000001</v>
      </c>
      <c r="P79">
        <v>103.898849</v>
      </c>
      <c r="Q79">
        <v>104.275887</v>
      </c>
      <c r="R79">
        <v>104.687141</v>
      </c>
      <c r="S79">
        <v>105.150696</v>
      </c>
      <c r="T79">
        <v>105.68456999999999</v>
      </c>
      <c r="U79">
        <v>106.286209</v>
      </c>
      <c r="V79">
        <v>106.874252</v>
      </c>
      <c r="W79">
        <v>107.44506800000001</v>
      </c>
      <c r="X79">
        <v>108.012146</v>
      </c>
      <c r="Y79">
        <v>108.571381</v>
      </c>
      <c r="Z79">
        <v>109.107361</v>
      </c>
      <c r="AA79">
        <v>109.620026</v>
      </c>
      <c r="AB79">
        <v>110.10788700000001</v>
      </c>
      <c r="AC79">
        <v>110.573021</v>
      </c>
      <c r="AD79">
        <v>111.019035</v>
      </c>
      <c r="AE79">
        <v>111.456322</v>
      </c>
      <c r="AF79">
        <v>111.88797</v>
      </c>
      <c r="AG79">
        <v>112.322166</v>
      </c>
      <c r="AH79">
        <v>112.759888</v>
      </c>
      <c r="AI79" s="9">
        <v>5.0000000000000001E-3</v>
      </c>
    </row>
    <row r="80" spans="1:35" x14ac:dyDescent="0.25">
      <c r="A80" t="s">
        <v>55</v>
      </c>
      <c r="B80" t="s">
        <v>246</v>
      </c>
      <c r="D80" t="s">
        <v>41</v>
      </c>
    </row>
    <row r="81" spans="1:35" x14ac:dyDescent="0.25">
      <c r="A81" t="s">
        <v>130</v>
      </c>
      <c r="B81" t="s">
        <v>247</v>
      </c>
      <c r="C81" t="s">
        <v>248</v>
      </c>
      <c r="D81" t="s">
        <v>41</v>
      </c>
      <c r="F81">
        <v>48.883518000000002</v>
      </c>
      <c r="G81">
        <v>49.409148999999999</v>
      </c>
      <c r="H81">
        <v>49.952679000000003</v>
      </c>
      <c r="I81">
        <v>50.517521000000002</v>
      </c>
      <c r="J81">
        <v>51.095180999999997</v>
      </c>
      <c r="K81">
        <v>51.691890999999998</v>
      </c>
      <c r="L81">
        <v>52.309581999999999</v>
      </c>
      <c r="M81">
        <v>52.968777000000003</v>
      </c>
      <c r="N81">
        <v>53.66621</v>
      </c>
      <c r="O81">
        <v>54.411140000000003</v>
      </c>
      <c r="P81">
        <v>55.209865999999998</v>
      </c>
      <c r="Q81">
        <v>55.967616999999997</v>
      </c>
      <c r="R81">
        <v>56.656402999999997</v>
      </c>
      <c r="S81">
        <v>57.278697999999999</v>
      </c>
      <c r="T81">
        <v>57.828837999999998</v>
      </c>
      <c r="U81">
        <v>58.300525999999998</v>
      </c>
      <c r="V81">
        <v>58.784472999999998</v>
      </c>
      <c r="W81">
        <v>59.280293</v>
      </c>
      <c r="X81">
        <v>59.794044</v>
      </c>
      <c r="Y81">
        <v>60.323729999999998</v>
      </c>
      <c r="Z81">
        <v>60.864474999999999</v>
      </c>
      <c r="AA81">
        <v>61.418551999999998</v>
      </c>
      <c r="AB81">
        <v>61.984870999999998</v>
      </c>
      <c r="AC81">
        <v>62.561092000000002</v>
      </c>
      <c r="AD81">
        <v>63.141663000000001</v>
      </c>
      <c r="AE81">
        <v>63.723984000000002</v>
      </c>
      <c r="AF81">
        <v>64.301460000000006</v>
      </c>
      <c r="AG81">
        <v>64.868683000000004</v>
      </c>
      <c r="AH81">
        <v>65.422531000000006</v>
      </c>
      <c r="AI81" s="9">
        <v>0.01</v>
      </c>
    </row>
    <row r="82" spans="1:35" x14ac:dyDescent="0.25">
      <c r="A82" t="s">
        <v>133</v>
      </c>
      <c r="B82" t="s">
        <v>249</v>
      </c>
      <c r="C82" t="s">
        <v>250</v>
      </c>
      <c r="D82" t="s">
        <v>41</v>
      </c>
      <c r="F82">
        <v>48.883544999999998</v>
      </c>
      <c r="G82">
        <v>49.409751999999997</v>
      </c>
      <c r="H82">
        <v>49.952179000000001</v>
      </c>
      <c r="I82">
        <v>50.515220999999997</v>
      </c>
      <c r="J82">
        <v>51.093147000000002</v>
      </c>
      <c r="K82">
        <v>51.691727</v>
      </c>
      <c r="L82">
        <v>52.311382000000002</v>
      </c>
      <c r="M82">
        <v>52.971752000000002</v>
      </c>
      <c r="N82">
        <v>53.668754999999997</v>
      </c>
      <c r="O82">
        <v>54.412230999999998</v>
      </c>
      <c r="P82">
        <v>55.20993</v>
      </c>
      <c r="Q82">
        <v>55.967185999999998</v>
      </c>
      <c r="R82">
        <v>56.656692999999997</v>
      </c>
      <c r="S82">
        <v>57.281489999999998</v>
      </c>
      <c r="T82">
        <v>57.834479999999999</v>
      </c>
      <c r="U82">
        <v>58.308413999999999</v>
      </c>
      <c r="V82">
        <v>58.794539999999998</v>
      </c>
      <c r="W82">
        <v>59.291851000000001</v>
      </c>
      <c r="X82">
        <v>59.807040999999998</v>
      </c>
      <c r="Y82">
        <v>60.339840000000002</v>
      </c>
      <c r="Z82">
        <v>60.884231999999997</v>
      </c>
      <c r="AA82">
        <v>61.440502000000002</v>
      </c>
      <c r="AB82">
        <v>62.006973000000002</v>
      </c>
      <c r="AC82">
        <v>62.581097</v>
      </c>
      <c r="AD82">
        <v>63.159267</v>
      </c>
      <c r="AE82">
        <v>63.738525000000003</v>
      </c>
      <c r="AF82">
        <v>64.313407999999995</v>
      </c>
      <c r="AG82">
        <v>64.880013000000005</v>
      </c>
      <c r="AH82">
        <v>65.433387999999994</v>
      </c>
      <c r="AI82" s="9">
        <v>0.01</v>
      </c>
    </row>
    <row r="83" spans="1:35" x14ac:dyDescent="0.25">
      <c r="A83" t="s">
        <v>23</v>
      </c>
      <c r="B83" t="s">
        <v>251</v>
      </c>
      <c r="D83" t="s">
        <v>41</v>
      </c>
    </row>
    <row r="84" spans="1:35" x14ac:dyDescent="0.25">
      <c r="A84" t="s">
        <v>130</v>
      </c>
      <c r="B84" t="s">
        <v>252</v>
      </c>
      <c r="C84" t="s">
        <v>253</v>
      </c>
      <c r="D84" t="s">
        <v>41</v>
      </c>
      <c r="F84">
        <v>7.2516410000000002</v>
      </c>
      <c r="G84">
        <v>7.2353420000000002</v>
      </c>
      <c r="H84">
        <v>7.217015</v>
      </c>
      <c r="I84">
        <v>7.1969430000000001</v>
      </c>
      <c r="J84">
        <v>7.174531</v>
      </c>
      <c r="K84">
        <v>7.1489070000000003</v>
      </c>
      <c r="L84">
        <v>7.120317</v>
      </c>
      <c r="M84">
        <v>7.0881179999999997</v>
      </c>
      <c r="N84">
        <v>7.0514330000000003</v>
      </c>
      <c r="O84">
        <v>7.0113719999999997</v>
      </c>
      <c r="P84">
        <v>6.9694529999999997</v>
      </c>
      <c r="Q84">
        <v>6.9318289999999996</v>
      </c>
      <c r="R84">
        <v>6.8980180000000004</v>
      </c>
      <c r="S84">
        <v>6.8681109999999999</v>
      </c>
      <c r="T84">
        <v>6.8427449999999999</v>
      </c>
      <c r="U84">
        <v>6.8210680000000004</v>
      </c>
      <c r="V84">
        <v>6.7966600000000001</v>
      </c>
      <c r="W84">
        <v>6.769514</v>
      </c>
      <c r="X84">
        <v>6.7403110000000002</v>
      </c>
      <c r="Y84">
        <v>6.7089879999999997</v>
      </c>
      <c r="Z84">
        <v>6.6756200000000003</v>
      </c>
      <c r="AA84">
        <v>6.6409380000000002</v>
      </c>
      <c r="AB84">
        <v>6.6058630000000003</v>
      </c>
      <c r="AC84">
        <v>6.5714249999999996</v>
      </c>
      <c r="AD84">
        <v>6.5383899999999997</v>
      </c>
      <c r="AE84">
        <v>6.5076369999999999</v>
      </c>
      <c r="AF84">
        <v>6.4791080000000001</v>
      </c>
      <c r="AG84">
        <v>6.4522579999999996</v>
      </c>
      <c r="AH84">
        <v>6.426418</v>
      </c>
      <c r="AI84" s="9">
        <v>-4.0000000000000001E-3</v>
      </c>
    </row>
    <row r="85" spans="1:35" x14ac:dyDescent="0.25">
      <c r="A85" t="s">
        <v>133</v>
      </c>
      <c r="B85" t="s">
        <v>254</v>
      </c>
      <c r="C85" t="s">
        <v>255</v>
      </c>
      <c r="D85" t="s">
        <v>41</v>
      </c>
      <c r="F85">
        <v>7.251646</v>
      </c>
      <c r="G85">
        <v>7.2354209999999997</v>
      </c>
      <c r="H85">
        <v>7.2168979999999996</v>
      </c>
      <c r="I85">
        <v>7.1965250000000003</v>
      </c>
      <c r="J85">
        <v>7.174131</v>
      </c>
      <c r="K85">
        <v>7.1487109999999996</v>
      </c>
      <c r="L85">
        <v>7.1202079999999999</v>
      </c>
      <c r="M85">
        <v>7.0878170000000003</v>
      </c>
      <c r="N85">
        <v>7.0505329999999997</v>
      </c>
      <c r="O85">
        <v>7.0095939999999999</v>
      </c>
      <c r="P85">
        <v>6.9668150000000004</v>
      </c>
      <c r="Q85">
        <v>6.9285259999999997</v>
      </c>
      <c r="R85">
        <v>6.8943709999999996</v>
      </c>
      <c r="S85">
        <v>6.8645040000000002</v>
      </c>
      <c r="T85">
        <v>6.8393030000000001</v>
      </c>
      <c r="U85">
        <v>6.8177519999999996</v>
      </c>
      <c r="V85">
        <v>6.7934469999999996</v>
      </c>
      <c r="W85">
        <v>6.7662839999999997</v>
      </c>
      <c r="X85">
        <v>6.7370200000000002</v>
      </c>
      <c r="Y85">
        <v>6.7059249999999997</v>
      </c>
      <c r="Z85">
        <v>6.6729570000000002</v>
      </c>
      <c r="AA85">
        <v>6.6385310000000004</v>
      </c>
      <c r="AB85">
        <v>6.6033809999999997</v>
      </c>
      <c r="AC85">
        <v>6.5684870000000002</v>
      </c>
      <c r="AD85">
        <v>6.5348179999999996</v>
      </c>
      <c r="AE85">
        <v>6.5033190000000003</v>
      </c>
      <c r="AF85">
        <v>6.4741369999999998</v>
      </c>
      <c r="AG85">
        <v>6.4469599999999998</v>
      </c>
      <c r="AH85">
        <v>6.420795</v>
      </c>
      <c r="AI85" s="9">
        <v>-4.0000000000000001E-3</v>
      </c>
    </row>
    <row r="86" spans="1:35" x14ac:dyDescent="0.25">
      <c r="A86" t="s">
        <v>49</v>
      </c>
      <c r="B86" t="s">
        <v>256</v>
      </c>
      <c r="D86" t="s">
        <v>41</v>
      </c>
    </row>
    <row r="87" spans="1:35" x14ac:dyDescent="0.25">
      <c r="A87" t="s">
        <v>130</v>
      </c>
      <c r="B87" t="s">
        <v>257</v>
      </c>
      <c r="C87" t="s">
        <v>258</v>
      </c>
      <c r="D87" t="s">
        <v>41</v>
      </c>
      <c r="F87">
        <v>154.403854</v>
      </c>
      <c r="G87">
        <v>155.56294299999999</v>
      </c>
      <c r="H87">
        <v>156.72442599999999</v>
      </c>
      <c r="I87">
        <v>157.913025</v>
      </c>
      <c r="J87">
        <v>159.09832800000001</v>
      </c>
      <c r="K87">
        <v>160.28987100000001</v>
      </c>
      <c r="L87">
        <v>161.49006700000001</v>
      </c>
      <c r="M87">
        <v>162.681061</v>
      </c>
      <c r="N87">
        <v>163.841171</v>
      </c>
      <c r="O87">
        <v>164.97848500000001</v>
      </c>
      <c r="P87">
        <v>166.10754399999999</v>
      </c>
      <c r="Q87">
        <v>167.21159399999999</v>
      </c>
      <c r="R87">
        <v>168.280518</v>
      </c>
      <c r="S87">
        <v>169.33474699999999</v>
      </c>
      <c r="T87">
        <v>170.390411</v>
      </c>
      <c r="U87">
        <v>171.43942300000001</v>
      </c>
      <c r="V87">
        <v>172.483902</v>
      </c>
      <c r="W87">
        <v>173.52072100000001</v>
      </c>
      <c r="X87">
        <v>174.56958</v>
      </c>
      <c r="Y87">
        <v>175.61944600000001</v>
      </c>
      <c r="Z87">
        <v>176.65325899999999</v>
      </c>
      <c r="AA87">
        <v>177.67901599999999</v>
      </c>
      <c r="AB87">
        <v>178.69747899999999</v>
      </c>
      <c r="AC87">
        <v>179.70988500000001</v>
      </c>
      <c r="AD87">
        <v>180.712219</v>
      </c>
      <c r="AE87">
        <v>181.71106</v>
      </c>
      <c r="AF87">
        <v>182.69914199999999</v>
      </c>
      <c r="AG87">
        <v>183.67536899999999</v>
      </c>
      <c r="AH87">
        <v>184.642822</v>
      </c>
      <c r="AI87" s="9">
        <v>6.0000000000000001E-3</v>
      </c>
    </row>
    <row r="88" spans="1:35" x14ac:dyDescent="0.25">
      <c r="A88" t="s">
        <v>133</v>
      </c>
      <c r="B88" t="s">
        <v>259</v>
      </c>
      <c r="C88" t="s">
        <v>260</v>
      </c>
      <c r="D88" t="s">
        <v>41</v>
      </c>
      <c r="F88">
        <v>154.403839</v>
      </c>
      <c r="G88">
        <v>155.56367499999999</v>
      </c>
      <c r="H88">
        <v>156.719086</v>
      </c>
      <c r="I88">
        <v>157.89948999999999</v>
      </c>
      <c r="J88">
        <v>159.084946</v>
      </c>
      <c r="K88">
        <v>160.28225699999999</v>
      </c>
      <c r="L88">
        <v>161.48741100000001</v>
      </c>
      <c r="M88">
        <v>162.678696</v>
      </c>
      <c r="N88">
        <v>163.83206200000001</v>
      </c>
      <c r="O88">
        <v>164.95764199999999</v>
      </c>
      <c r="P88">
        <v>166.075592</v>
      </c>
      <c r="Q88">
        <v>167.17160000000001</v>
      </c>
      <c r="R88">
        <v>168.23820499999999</v>
      </c>
      <c r="S88">
        <v>169.29669200000001</v>
      </c>
      <c r="T88">
        <v>170.35835299999999</v>
      </c>
      <c r="U88">
        <v>171.41236900000001</v>
      </c>
      <c r="V88">
        <v>172.462234</v>
      </c>
      <c r="W88">
        <v>173.50320400000001</v>
      </c>
      <c r="X88">
        <v>174.55619799999999</v>
      </c>
      <c r="Y88">
        <v>175.61715699999999</v>
      </c>
      <c r="Z88">
        <v>176.66455099999999</v>
      </c>
      <c r="AA88">
        <v>177.69906599999999</v>
      </c>
      <c r="AB88">
        <v>178.71824599999999</v>
      </c>
      <c r="AC88">
        <v>179.72259500000001</v>
      </c>
      <c r="AD88">
        <v>180.71312</v>
      </c>
      <c r="AE88">
        <v>181.69818100000001</v>
      </c>
      <c r="AF88">
        <v>182.675522</v>
      </c>
      <c r="AG88">
        <v>183.64913899999999</v>
      </c>
      <c r="AH88">
        <v>184.614059</v>
      </c>
      <c r="AI88" s="9">
        <v>6.0000000000000001E-3</v>
      </c>
    </row>
    <row r="89" spans="1:35" x14ac:dyDescent="0.25">
      <c r="A89" t="s">
        <v>58</v>
      </c>
    </row>
    <row r="90" spans="1:35" x14ac:dyDescent="0.25">
      <c r="A90" t="s">
        <v>54</v>
      </c>
      <c r="B90" t="s">
        <v>261</v>
      </c>
      <c r="D90" t="s">
        <v>41</v>
      </c>
    </row>
    <row r="91" spans="1:35" x14ac:dyDescent="0.25">
      <c r="A91" t="s">
        <v>130</v>
      </c>
      <c r="B91" t="s">
        <v>262</v>
      </c>
      <c r="C91" t="s">
        <v>263</v>
      </c>
      <c r="D91" t="s">
        <v>41</v>
      </c>
      <c r="F91">
        <v>86.664726000000002</v>
      </c>
      <c r="G91">
        <v>88.297852000000006</v>
      </c>
      <c r="H91">
        <v>89.928329000000005</v>
      </c>
      <c r="I91">
        <v>91.593001999999998</v>
      </c>
      <c r="J91">
        <v>93.232185000000001</v>
      </c>
      <c r="K91">
        <v>94.867050000000006</v>
      </c>
      <c r="L91">
        <v>96.512412999999995</v>
      </c>
      <c r="M91">
        <v>98.151497000000006</v>
      </c>
      <c r="N91">
        <v>99.765617000000006</v>
      </c>
      <c r="O91">
        <v>101.361588</v>
      </c>
      <c r="P91">
        <v>102.95294199999999</v>
      </c>
      <c r="Q91">
        <v>104.526917</v>
      </c>
      <c r="R91">
        <v>106.11953</v>
      </c>
      <c r="S91">
        <v>107.711365</v>
      </c>
      <c r="T91">
        <v>109.317787</v>
      </c>
      <c r="U91">
        <v>110.904121</v>
      </c>
      <c r="V91">
        <v>112.473495</v>
      </c>
      <c r="W91">
        <v>114.027809</v>
      </c>
      <c r="X91">
        <v>115.583641</v>
      </c>
      <c r="Y91">
        <v>117.13265199999999</v>
      </c>
      <c r="Z91">
        <v>118.660141</v>
      </c>
      <c r="AA91">
        <v>120.17596399999999</v>
      </c>
      <c r="AB91">
        <v>121.682526</v>
      </c>
      <c r="AC91">
        <v>123.18261</v>
      </c>
      <c r="AD91">
        <v>124.67440000000001</v>
      </c>
      <c r="AE91">
        <v>126.16295599999999</v>
      </c>
      <c r="AF91">
        <v>127.641502</v>
      </c>
      <c r="AG91">
        <v>129.10882599999999</v>
      </c>
      <c r="AH91">
        <v>130.56716900000001</v>
      </c>
      <c r="AI91" s="9">
        <v>1.4999999999999999E-2</v>
      </c>
    </row>
    <row r="92" spans="1:35" x14ac:dyDescent="0.25">
      <c r="A92" t="s">
        <v>133</v>
      </c>
      <c r="B92" t="s">
        <v>264</v>
      </c>
      <c r="C92" t="s">
        <v>265</v>
      </c>
      <c r="D92" t="s">
        <v>41</v>
      </c>
      <c r="F92">
        <v>86.664619000000002</v>
      </c>
      <c r="G92">
        <v>88.297707000000003</v>
      </c>
      <c r="H92">
        <v>89.923561000000007</v>
      </c>
      <c r="I92">
        <v>91.580780000000004</v>
      </c>
      <c r="J92">
        <v>93.218826000000007</v>
      </c>
      <c r="K92">
        <v>94.856200999999999</v>
      </c>
      <c r="L92">
        <v>96.502289000000005</v>
      </c>
      <c r="M92">
        <v>98.137489000000002</v>
      </c>
      <c r="N92">
        <v>99.741623000000004</v>
      </c>
      <c r="O92">
        <v>101.32281500000001</v>
      </c>
      <c r="P92">
        <v>102.899902</v>
      </c>
      <c r="Q92">
        <v>104.462654</v>
      </c>
      <c r="R92">
        <v>106.049576</v>
      </c>
      <c r="S92">
        <v>107.641571</v>
      </c>
      <c r="T92">
        <v>109.250191</v>
      </c>
      <c r="U92">
        <v>110.83850099999999</v>
      </c>
      <c r="V92">
        <v>112.41036200000001</v>
      </c>
      <c r="W92">
        <v>113.966972</v>
      </c>
      <c r="X92">
        <v>115.524734</v>
      </c>
      <c r="Y92">
        <v>117.082245</v>
      </c>
      <c r="Z92">
        <v>118.620949</v>
      </c>
      <c r="AA92">
        <v>120.144188</v>
      </c>
      <c r="AB92">
        <v>121.65123</v>
      </c>
      <c r="AC92">
        <v>123.143799</v>
      </c>
      <c r="AD92">
        <v>124.623451</v>
      </c>
      <c r="AE92">
        <v>126.097992</v>
      </c>
      <c r="AF92">
        <v>127.56529999999999</v>
      </c>
      <c r="AG92">
        <v>129.02908300000001</v>
      </c>
      <c r="AH92">
        <v>130.484039</v>
      </c>
      <c r="AI92" s="9">
        <v>1.4999999999999999E-2</v>
      </c>
    </row>
    <row r="93" spans="1:35" x14ac:dyDescent="0.25">
      <c r="A93" t="s">
        <v>55</v>
      </c>
      <c r="B93" t="s">
        <v>266</v>
      </c>
      <c r="D93" t="s">
        <v>41</v>
      </c>
    </row>
    <row r="94" spans="1:35" x14ac:dyDescent="0.25">
      <c r="A94" t="s">
        <v>130</v>
      </c>
      <c r="B94" t="s">
        <v>267</v>
      </c>
      <c r="C94" t="s">
        <v>268</v>
      </c>
      <c r="D94" t="s">
        <v>41</v>
      </c>
      <c r="F94">
        <v>20.076682999999999</v>
      </c>
      <c r="G94">
        <v>20.416830000000001</v>
      </c>
      <c r="H94">
        <v>20.774426999999999</v>
      </c>
      <c r="I94">
        <v>21.150563999999999</v>
      </c>
      <c r="J94">
        <v>21.546068000000002</v>
      </c>
      <c r="K94">
        <v>21.964548000000001</v>
      </c>
      <c r="L94">
        <v>22.379805000000001</v>
      </c>
      <c r="M94">
        <v>22.792024999999999</v>
      </c>
      <c r="N94">
        <v>23.198757000000001</v>
      </c>
      <c r="O94">
        <v>23.600092</v>
      </c>
      <c r="P94">
        <v>23.995812999999998</v>
      </c>
      <c r="Q94">
        <v>24.382276999999998</v>
      </c>
      <c r="R94">
        <v>24.755445000000002</v>
      </c>
      <c r="S94">
        <v>25.112666999999998</v>
      </c>
      <c r="T94">
        <v>25.454253999999999</v>
      </c>
      <c r="U94">
        <v>25.806086000000001</v>
      </c>
      <c r="V94">
        <v>26.167632999999999</v>
      </c>
      <c r="W94">
        <v>26.537320999999999</v>
      </c>
      <c r="X94">
        <v>26.915823</v>
      </c>
      <c r="Y94">
        <v>27.30057</v>
      </c>
      <c r="Z94">
        <v>27.687328000000001</v>
      </c>
      <c r="AA94">
        <v>28.075541000000001</v>
      </c>
      <c r="AB94">
        <v>28.46377</v>
      </c>
      <c r="AC94">
        <v>28.850496</v>
      </c>
      <c r="AD94">
        <v>29.233149000000001</v>
      </c>
      <c r="AE94">
        <v>29.612279999999998</v>
      </c>
      <c r="AF94">
        <v>29.987487999999999</v>
      </c>
      <c r="AG94">
        <v>30.358225000000001</v>
      </c>
      <c r="AH94">
        <v>30.725327</v>
      </c>
      <c r="AI94" s="9">
        <v>1.4999999999999999E-2</v>
      </c>
    </row>
    <row r="95" spans="1:35" x14ac:dyDescent="0.25">
      <c r="A95" t="s">
        <v>133</v>
      </c>
      <c r="B95" t="s">
        <v>269</v>
      </c>
      <c r="C95" t="s">
        <v>270</v>
      </c>
      <c r="D95" t="s">
        <v>41</v>
      </c>
      <c r="F95">
        <v>20.076801</v>
      </c>
      <c r="G95">
        <v>20.417551</v>
      </c>
      <c r="H95">
        <v>20.774635</v>
      </c>
      <c r="I95">
        <v>21.150400000000001</v>
      </c>
      <c r="J95">
        <v>21.546865</v>
      </c>
      <c r="K95">
        <v>21.968077000000001</v>
      </c>
      <c r="L95">
        <v>22.387228</v>
      </c>
      <c r="M95">
        <v>22.803766</v>
      </c>
      <c r="N95">
        <v>23.214314000000002</v>
      </c>
      <c r="O95">
        <v>23.619302999999999</v>
      </c>
      <c r="P95">
        <v>24.018643999999998</v>
      </c>
      <c r="Q95">
        <v>24.408342000000001</v>
      </c>
      <c r="R95">
        <v>24.784468</v>
      </c>
      <c r="S95">
        <v>25.145464</v>
      </c>
      <c r="T95">
        <v>25.490566000000001</v>
      </c>
      <c r="U95">
        <v>25.845354</v>
      </c>
      <c r="V95">
        <v>26.209589000000001</v>
      </c>
      <c r="W95">
        <v>26.581285000000001</v>
      </c>
      <c r="X95">
        <v>26.961777000000001</v>
      </c>
      <c r="Y95">
        <v>27.349004999999998</v>
      </c>
      <c r="Z95">
        <v>27.738313999999999</v>
      </c>
      <c r="AA95">
        <v>28.128176</v>
      </c>
      <c r="AB95">
        <v>28.517025</v>
      </c>
      <c r="AC95">
        <v>28.903528000000001</v>
      </c>
      <c r="AD95">
        <v>29.286622999999999</v>
      </c>
      <c r="AE95">
        <v>29.665913</v>
      </c>
      <c r="AF95">
        <v>30.041187000000001</v>
      </c>
      <c r="AG95">
        <v>30.412523</v>
      </c>
      <c r="AH95">
        <v>30.780550000000002</v>
      </c>
      <c r="AI95" s="9">
        <v>1.4999999999999999E-2</v>
      </c>
    </row>
    <row r="96" spans="1:35" x14ac:dyDescent="0.25">
      <c r="A96" t="s">
        <v>49</v>
      </c>
      <c r="B96" t="s">
        <v>271</v>
      </c>
      <c r="D96" t="s">
        <v>41</v>
      </c>
    </row>
    <row r="97" spans="1:35" x14ac:dyDescent="0.25">
      <c r="A97" t="s">
        <v>130</v>
      </c>
      <c r="B97" t="s">
        <v>272</v>
      </c>
      <c r="C97" t="s">
        <v>273</v>
      </c>
      <c r="D97" t="s">
        <v>41</v>
      </c>
      <c r="F97">
        <v>106.741409</v>
      </c>
      <c r="G97">
        <v>108.71468400000001</v>
      </c>
      <c r="H97">
        <v>110.702759</v>
      </c>
      <c r="I97">
        <v>112.743568</v>
      </c>
      <c r="J97">
        <v>114.77825199999999</v>
      </c>
      <c r="K97">
        <v>116.831596</v>
      </c>
      <c r="L97">
        <v>118.89221999999999</v>
      </c>
      <c r="M97">
        <v>120.94352000000001</v>
      </c>
      <c r="N97">
        <v>122.964371</v>
      </c>
      <c r="O97">
        <v>124.96167800000001</v>
      </c>
      <c r="P97">
        <v>126.948753</v>
      </c>
      <c r="Q97">
        <v>128.90919500000001</v>
      </c>
      <c r="R97">
        <v>130.87496899999999</v>
      </c>
      <c r="S97">
        <v>132.82403600000001</v>
      </c>
      <c r="T97">
        <v>134.77203399999999</v>
      </c>
      <c r="U97">
        <v>136.710205</v>
      </c>
      <c r="V97">
        <v>138.64112900000001</v>
      </c>
      <c r="W97">
        <v>140.56512499999999</v>
      </c>
      <c r="X97">
        <v>142.49946600000001</v>
      </c>
      <c r="Y97">
        <v>144.43322800000001</v>
      </c>
      <c r="Z97">
        <v>146.34747300000001</v>
      </c>
      <c r="AA97">
        <v>148.25151099999999</v>
      </c>
      <c r="AB97">
        <v>150.14630099999999</v>
      </c>
      <c r="AC97">
        <v>152.03311199999999</v>
      </c>
      <c r="AD97">
        <v>153.90754699999999</v>
      </c>
      <c r="AE97">
        <v>155.775238</v>
      </c>
      <c r="AF97">
        <v>157.628998</v>
      </c>
      <c r="AG97">
        <v>159.46705600000001</v>
      </c>
      <c r="AH97">
        <v>161.292496</v>
      </c>
      <c r="AI97" s="9">
        <v>1.4999999999999999E-2</v>
      </c>
    </row>
    <row r="98" spans="1:35" x14ac:dyDescent="0.25">
      <c r="A98" t="s">
        <v>133</v>
      </c>
      <c r="B98" t="s">
        <v>274</v>
      </c>
      <c r="C98" t="s">
        <v>275</v>
      </c>
      <c r="D98" t="s">
        <v>41</v>
      </c>
      <c r="F98">
        <v>106.74142500000001</v>
      </c>
      <c r="G98">
        <v>108.715256</v>
      </c>
      <c r="H98">
        <v>110.698196</v>
      </c>
      <c r="I98">
        <v>112.731178</v>
      </c>
      <c r="J98">
        <v>114.765694</v>
      </c>
      <c r="K98">
        <v>116.82428</v>
      </c>
      <c r="L98">
        <v>118.88951900000001</v>
      </c>
      <c r="M98">
        <v>120.941254</v>
      </c>
      <c r="N98">
        <v>122.955933</v>
      </c>
      <c r="O98">
        <v>124.942116</v>
      </c>
      <c r="P98">
        <v>126.918549</v>
      </c>
      <c r="Q98">
        <v>128.871002</v>
      </c>
      <c r="R98">
        <v>130.834045</v>
      </c>
      <c r="S98">
        <v>132.78703300000001</v>
      </c>
      <c r="T98">
        <v>134.74075300000001</v>
      </c>
      <c r="U98">
        <v>136.683853</v>
      </c>
      <c r="V98">
        <v>138.61994899999999</v>
      </c>
      <c r="W98">
        <v>140.54826399999999</v>
      </c>
      <c r="X98">
        <v>142.48651100000001</v>
      </c>
      <c r="Y98">
        <v>144.43124399999999</v>
      </c>
      <c r="Z98">
        <v>146.35926799999999</v>
      </c>
      <c r="AA98">
        <v>148.272369</v>
      </c>
      <c r="AB98">
        <v>150.16825900000001</v>
      </c>
      <c r="AC98">
        <v>152.04733300000001</v>
      </c>
      <c r="AD98">
        <v>153.91007999999999</v>
      </c>
      <c r="AE98">
        <v>155.763901</v>
      </c>
      <c r="AF98">
        <v>157.60649100000001</v>
      </c>
      <c r="AG98">
        <v>159.44160500000001</v>
      </c>
      <c r="AH98">
        <v>161.26458700000001</v>
      </c>
      <c r="AI98" s="9">
        <v>1.4999999999999999E-2</v>
      </c>
    </row>
    <row r="99" spans="1:35" x14ac:dyDescent="0.25">
      <c r="A99" t="s">
        <v>59</v>
      </c>
    </row>
    <row r="100" spans="1:35" x14ac:dyDescent="0.25">
      <c r="A100" t="s">
        <v>60</v>
      </c>
      <c r="B100" t="s">
        <v>276</v>
      </c>
      <c r="D100" t="s">
        <v>41</v>
      </c>
    </row>
    <row r="101" spans="1:35" x14ac:dyDescent="0.25">
      <c r="A101" t="s">
        <v>130</v>
      </c>
      <c r="B101" t="s">
        <v>277</v>
      </c>
      <c r="C101" t="s">
        <v>278</v>
      </c>
      <c r="D101" t="s">
        <v>41</v>
      </c>
      <c r="F101">
        <v>172.81051600000001</v>
      </c>
      <c r="G101">
        <v>174.53036499999999</v>
      </c>
      <c r="H101">
        <v>176.27569600000001</v>
      </c>
      <c r="I101">
        <v>178.06526199999999</v>
      </c>
      <c r="J101">
        <v>179.84724399999999</v>
      </c>
      <c r="K101">
        <v>181.635696</v>
      </c>
      <c r="L101">
        <v>183.43623400000001</v>
      </c>
      <c r="M101">
        <v>185.22486900000001</v>
      </c>
      <c r="N101">
        <v>186.971237</v>
      </c>
      <c r="O101">
        <v>188.685394</v>
      </c>
      <c r="P101">
        <v>190.38591</v>
      </c>
      <c r="Q101">
        <v>192.05006399999999</v>
      </c>
      <c r="R101">
        <v>193.663895</v>
      </c>
      <c r="S101">
        <v>195.25654599999999</v>
      </c>
      <c r="T101">
        <v>196.84982299999999</v>
      </c>
      <c r="U101">
        <v>198.431152</v>
      </c>
      <c r="V101">
        <v>200.00401299999999</v>
      </c>
      <c r="W101">
        <v>201.563278</v>
      </c>
      <c r="X101">
        <v>203.13880900000001</v>
      </c>
      <c r="Y101">
        <v>204.71639999999999</v>
      </c>
      <c r="Z101">
        <v>206.270172</v>
      </c>
      <c r="AA101">
        <v>207.812805</v>
      </c>
      <c r="AB101">
        <v>209.345474</v>
      </c>
      <c r="AC101">
        <v>210.86968999999999</v>
      </c>
      <c r="AD101">
        <v>212.37983700000001</v>
      </c>
      <c r="AE101">
        <v>213.88214099999999</v>
      </c>
      <c r="AF101">
        <v>215.36779799999999</v>
      </c>
      <c r="AG101">
        <v>216.83412200000001</v>
      </c>
      <c r="AH101">
        <v>218.28552199999999</v>
      </c>
      <c r="AI101" s="9">
        <v>8.0000000000000002E-3</v>
      </c>
    </row>
    <row r="102" spans="1:35" x14ac:dyDescent="0.25">
      <c r="A102" t="s">
        <v>133</v>
      </c>
      <c r="B102" t="s">
        <v>279</v>
      </c>
      <c r="C102" t="s">
        <v>280</v>
      </c>
      <c r="D102" t="s">
        <v>41</v>
      </c>
      <c r="F102">
        <v>172.81051600000001</v>
      </c>
      <c r="G102">
        <v>174.531204</v>
      </c>
      <c r="H102">
        <v>176.26899700000001</v>
      </c>
      <c r="I102">
        <v>178.04716500000001</v>
      </c>
      <c r="J102">
        <v>179.82887299999999</v>
      </c>
      <c r="K102">
        <v>181.624832</v>
      </c>
      <c r="L102">
        <v>183.43194600000001</v>
      </c>
      <c r="M102">
        <v>185.221283</v>
      </c>
      <c r="N102">
        <v>186.95893899999999</v>
      </c>
      <c r="O102">
        <v>188.65722700000001</v>
      </c>
      <c r="P102">
        <v>190.34262100000001</v>
      </c>
      <c r="Q102">
        <v>191.995544</v>
      </c>
      <c r="R102">
        <v>193.60545300000001</v>
      </c>
      <c r="S102">
        <v>195.20361299999999</v>
      </c>
      <c r="T102">
        <v>196.80476400000001</v>
      </c>
      <c r="U102">
        <v>198.39297500000001</v>
      </c>
      <c r="V102">
        <v>199.97288499999999</v>
      </c>
      <c r="W102">
        <v>201.538025</v>
      </c>
      <c r="X102">
        <v>203.11885100000001</v>
      </c>
      <c r="Y102">
        <v>204.71109000000001</v>
      </c>
      <c r="Z102">
        <v>206.28372200000001</v>
      </c>
      <c r="AA102">
        <v>207.83854700000001</v>
      </c>
      <c r="AB102">
        <v>209.37290999999999</v>
      </c>
      <c r="AC102">
        <v>210.88700900000001</v>
      </c>
      <c r="AD102">
        <v>212.38128699999999</v>
      </c>
      <c r="AE102">
        <v>213.86518899999999</v>
      </c>
      <c r="AF102">
        <v>215.335632</v>
      </c>
      <c r="AG102">
        <v>216.79800399999999</v>
      </c>
      <c r="AH102">
        <v>218.24606299999999</v>
      </c>
      <c r="AI102" s="9">
        <v>8.0000000000000002E-3</v>
      </c>
    </row>
    <row r="103" spans="1:35" x14ac:dyDescent="0.25">
      <c r="A103" t="s">
        <v>61</v>
      </c>
      <c r="B103" t="s">
        <v>281</v>
      </c>
      <c r="D103" t="s">
        <v>41</v>
      </c>
    </row>
    <row r="104" spans="1:35" x14ac:dyDescent="0.25">
      <c r="A104" t="s">
        <v>130</v>
      </c>
      <c r="B104" t="s">
        <v>282</v>
      </c>
      <c r="C104" t="s">
        <v>283</v>
      </c>
      <c r="D104" t="s">
        <v>41</v>
      </c>
      <c r="F104">
        <v>45.411746999999998</v>
      </c>
      <c r="G104">
        <v>45.797165</v>
      </c>
      <c r="H104">
        <v>46.196086999999999</v>
      </c>
      <c r="I104">
        <v>46.606502999999996</v>
      </c>
      <c r="J104">
        <v>47.016159000000002</v>
      </c>
      <c r="K104">
        <v>47.427891000000002</v>
      </c>
      <c r="L104">
        <v>47.842959999999998</v>
      </c>
      <c r="M104">
        <v>48.255485999999998</v>
      </c>
      <c r="N104">
        <v>48.656849000000001</v>
      </c>
      <c r="O104">
        <v>49.049393000000002</v>
      </c>
      <c r="P104">
        <v>49.438591000000002</v>
      </c>
      <c r="Q104">
        <v>49.820273999999998</v>
      </c>
      <c r="R104">
        <v>50.190593999999997</v>
      </c>
      <c r="S104">
        <v>50.555218000000004</v>
      </c>
      <c r="T104">
        <v>50.919407</v>
      </c>
      <c r="U104">
        <v>51.278885000000002</v>
      </c>
      <c r="V104">
        <v>51.634022000000002</v>
      </c>
      <c r="W104">
        <v>51.984622999999999</v>
      </c>
      <c r="X104">
        <v>52.339035000000003</v>
      </c>
      <c r="Y104">
        <v>52.69482</v>
      </c>
      <c r="Z104">
        <v>53.045344999999998</v>
      </c>
      <c r="AA104">
        <v>53.393279999999997</v>
      </c>
      <c r="AB104">
        <v>53.739021000000001</v>
      </c>
      <c r="AC104">
        <v>54.082709999999999</v>
      </c>
      <c r="AD104">
        <v>54.422564999999999</v>
      </c>
      <c r="AE104">
        <v>54.759822999999997</v>
      </c>
      <c r="AF104">
        <v>55.092644</v>
      </c>
      <c r="AG104">
        <v>55.419907000000002</v>
      </c>
      <c r="AH104">
        <v>55.742942999999997</v>
      </c>
      <c r="AI104" s="9">
        <v>7.0000000000000001E-3</v>
      </c>
    </row>
    <row r="105" spans="1:35" x14ac:dyDescent="0.25">
      <c r="A105" t="s">
        <v>133</v>
      </c>
      <c r="B105" t="s">
        <v>284</v>
      </c>
      <c r="C105" t="s">
        <v>285</v>
      </c>
      <c r="D105" t="s">
        <v>41</v>
      </c>
      <c r="F105">
        <v>45.411746999999998</v>
      </c>
      <c r="G105">
        <v>45.797325000000001</v>
      </c>
      <c r="H105">
        <v>46.194588000000003</v>
      </c>
      <c r="I105">
        <v>46.601951999999997</v>
      </c>
      <c r="J105">
        <v>47.011268999999999</v>
      </c>
      <c r="K105">
        <v>47.424877000000002</v>
      </c>
      <c r="L105">
        <v>47.841732</v>
      </c>
      <c r="M105">
        <v>48.254635</v>
      </c>
      <c r="N105">
        <v>48.653998999999999</v>
      </c>
      <c r="O105">
        <v>49.042560999999999</v>
      </c>
      <c r="P105">
        <v>49.427703999999999</v>
      </c>
      <c r="Q105">
        <v>49.806404000000001</v>
      </c>
      <c r="R105">
        <v>50.175606000000002</v>
      </c>
      <c r="S105">
        <v>50.541598999999998</v>
      </c>
      <c r="T105">
        <v>50.908016000000003</v>
      </c>
      <c r="U105">
        <v>51.269463000000002</v>
      </c>
      <c r="V105">
        <v>51.626613999999996</v>
      </c>
      <c r="W105">
        <v>51.978946999999998</v>
      </c>
      <c r="X105">
        <v>52.334789000000001</v>
      </c>
      <c r="Y105">
        <v>52.694332000000003</v>
      </c>
      <c r="Z105">
        <v>53.049785999999997</v>
      </c>
      <c r="AA105">
        <v>53.401072999999997</v>
      </c>
      <c r="AB105">
        <v>53.747444000000002</v>
      </c>
      <c r="AC105">
        <v>54.088448</v>
      </c>
      <c r="AD105">
        <v>54.424072000000002</v>
      </c>
      <c r="AE105">
        <v>54.756293999999997</v>
      </c>
      <c r="AF105">
        <v>55.084811999999999</v>
      </c>
      <c r="AG105">
        <v>55.410800999999999</v>
      </c>
      <c r="AH105">
        <v>55.733051000000003</v>
      </c>
      <c r="AI105" s="9">
        <v>7.0000000000000001E-3</v>
      </c>
    </row>
    <row r="106" spans="1:35" x14ac:dyDescent="0.25">
      <c r="A106" t="s">
        <v>2</v>
      </c>
    </row>
    <row r="107" spans="1:35" x14ac:dyDescent="0.25">
      <c r="A107" t="s">
        <v>39</v>
      </c>
    </row>
    <row r="108" spans="1:35" x14ac:dyDescent="0.25">
      <c r="A108" t="s">
        <v>62</v>
      </c>
      <c r="B108" t="s">
        <v>286</v>
      </c>
      <c r="D108" t="s">
        <v>63</v>
      </c>
    </row>
    <row r="109" spans="1:35" x14ac:dyDescent="0.25">
      <c r="A109" t="s">
        <v>130</v>
      </c>
      <c r="B109" t="s">
        <v>287</v>
      </c>
      <c r="C109" t="s">
        <v>288</v>
      </c>
      <c r="D109" t="s">
        <v>63</v>
      </c>
      <c r="F109">
        <v>8.2105870000000003</v>
      </c>
      <c r="G109">
        <v>8.3041020000000003</v>
      </c>
      <c r="H109">
        <v>8.3882680000000001</v>
      </c>
      <c r="I109">
        <v>8.4682300000000001</v>
      </c>
      <c r="J109">
        <v>8.5434049999999999</v>
      </c>
      <c r="K109">
        <v>8.6142299999999992</v>
      </c>
      <c r="L109">
        <v>8.6805939999999993</v>
      </c>
      <c r="M109">
        <v>8.7428209999999993</v>
      </c>
      <c r="N109">
        <v>8.8006030000000006</v>
      </c>
      <c r="O109">
        <v>8.8540530000000004</v>
      </c>
      <c r="P109">
        <v>8.9030269999999998</v>
      </c>
      <c r="Q109">
        <v>8.9460110000000004</v>
      </c>
      <c r="R109">
        <v>8.9837790000000002</v>
      </c>
      <c r="S109">
        <v>9.0156770000000002</v>
      </c>
      <c r="T109">
        <v>9.0406779999999998</v>
      </c>
      <c r="U109">
        <v>9.0578079999999996</v>
      </c>
      <c r="V109">
        <v>9.0734449999999995</v>
      </c>
      <c r="W109">
        <v>9.087294</v>
      </c>
      <c r="X109">
        <v>9.0991710000000001</v>
      </c>
      <c r="Y109">
        <v>9.1090409999999995</v>
      </c>
      <c r="Z109">
        <v>9.1170039999999997</v>
      </c>
      <c r="AA109">
        <v>9.1232220000000002</v>
      </c>
      <c r="AB109">
        <v>9.1279190000000003</v>
      </c>
      <c r="AC109">
        <v>9.1313650000000006</v>
      </c>
      <c r="AD109">
        <v>9.1338329999999992</v>
      </c>
      <c r="AE109">
        <v>9.1355599999999999</v>
      </c>
      <c r="AF109">
        <v>9.1367729999999998</v>
      </c>
      <c r="AG109">
        <v>9.1376410000000003</v>
      </c>
      <c r="AH109">
        <v>9.138287</v>
      </c>
      <c r="AI109" s="9">
        <v>4.0000000000000001E-3</v>
      </c>
    </row>
    <row r="110" spans="1:35" x14ac:dyDescent="0.25">
      <c r="A110" t="s">
        <v>133</v>
      </c>
      <c r="B110" t="s">
        <v>289</v>
      </c>
      <c r="C110" t="s">
        <v>290</v>
      </c>
      <c r="D110" t="s">
        <v>63</v>
      </c>
      <c r="F110">
        <v>8.1964699999999997</v>
      </c>
      <c r="G110">
        <v>8.2894869999999994</v>
      </c>
      <c r="H110">
        <v>8.3725579999999997</v>
      </c>
      <c r="I110">
        <v>8.4515100000000007</v>
      </c>
      <c r="J110">
        <v>8.5258870000000009</v>
      </c>
      <c r="K110">
        <v>8.5960730000000005</v>
      </c>
      <c r="L110">
        <v>8.6619189999999993</v>
      </c>
      <c r="M110">
        <v>8.7237410000000004</v>
      </c>
      <c r="N110">
        <v>8.7812540000000006</v>
      </c>
      <c r="O110">
        <v>8.834581</v>
      </c>
      <c r="P110">
        <v>8.8835940000000004</v>
      </c>
      <c r="Q110">
        <v>8.9278169999999992</v>
      </c>
      <c r="R110">
        <v>8.9669030000000003</v>
      </c>
      <c r="S110">
        <v>9.000216</v>
      </c>
      <c r="T110">
        <v>9.0266920000000006</v>
      </c>
      <c r="U110">
        <v>9.0453299999999999</v>
      </c>
      <c r="V110">
        <v>9.0624909999999996</v>
      </c>
      <c r="W110">
        <v>9.0778549999999996</v>
      </c>
      <c r="X110">
        <v>9.0912159999999993</v>
      </c>
      <c r="Y110">
        <v>9.102487</v>
      </c>
      <c r="Z110">
        <v>9.1117450000000009</v>
      </c>
      <c r="AA110">
        <v>9.1191390000000006</v>
      </c>
      <c r="AB110">
        <v>9.1248819999999995</v>
      </c>
      <c r="AC110">
        <v>9.1292419999999996</v>
      </c>
      <c r="AD110">
        <v>9.1324819999999995</v>
      </c>
      <c r="AE110">
        <v>9.1348590000000005</v>
      </c>
      <c r="AF110">
        <v>9.1365909999999992</v>
      </c>
      <c r="AG110">
        <v>9.1378570000000003</v>
      </c>
      <c r="AH110">
        <v>9.1388049999999996</v>
      </c>
      <c r="AI110" s="9">
        <v>4.0000000000000001E-3</v>
      </c>
    </row>
    <row r="111" spans="1:35" x14ac:dyDescent="0.25">
      <c r="A111" t="s">
        <v>64</v>
      </c>
      <c r="B111" t="s">
        <v>291</v>
      </c>
      <c r="D111" t="s">
        <v>65</v>
      </c>
    </row>
    <row r="112" spans="1:35" x14ac:dyDescent="0.25">
      <c r="A112" t="s">
        <v>130</v>
      </c>
      <c r="B112" t="s">
        <v>292</v>
      </c>
      <c r="C112" t="s">
        <v>293</v>
      </c>
      <c r="D112" t="s">
        <v>65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>
        <v>1.3</v>
      </c>
      <c r="N112">
        <v>1.3</v>
      </c>
      <c r="O112">
        <v>1.3</v>
      </c>
      <c r="P112">
        <v>1.3</v>
      </c>
      <c r="Q112">
        <v>1.3</v>
      </c>
      <c r="R112">
        <v>1.3</v>
      </c>
      <c r="S112">
        <v>1.3</v>
      </c>
      <c r="T112">
        <v>1.3</v>
      </c>
      <c r="U112">
        <v>1.3</v>
      </c>
      <c r="V112">
        <v>1.3</v>
      </c>
      <c r="W112">
        <v>1.3</v>
      </c>
      <c r="X112">
        <v>1.3</v>
      </c>
      <c r="Y112">
        <v>1.3</v>
      </c>
      <c r="Z112">
        <v>1.3</v>
      </c>
      <c r="AA112">
        <v>1.3</v>
      </c>
      <c r="AB112">
        <v>1.3</v>
      </c>
      <c r="AC112">
        <v>1.3</v>
      </c>
      <c r="AD112">
        <v>1.3</v>
      </c>
      <c r="AE112">
        <v>1.3</v>
      </c>
      <c r="AF112">
        <v>1.3</v>
      </c>
      <c r="AG112">
        <v>1.3</v>
      </c>
      <c r="AH112">
        <v>1.3</v>
      </c>
      <c r="AI112" s="9">
        <v>0</v>
      </c>
    </row>
    <row r="113" spans="1:35" x14ac:dyDescent="0.25">
      <c r="A113" t="s">
        <v>133</v>
      </c>
      <c r="B113" t="s">
        <v>294</v>
      </c>
      <c r="C113" t="s">
        <v>295</v>
      </c>
      <c r="D113" t="s">
        <v>65</v>
      </c>
      <c r="F113">
        <v>1.3</v>
      </c>
      <c r="G113">
        <v>1.3</v>
      </c>
      <c r="H113">
        <v>1.3</v>
      </c>
      <c r="I113">
        <v>1.3</v>
      </c>
      <c r="J113">
        <v>1.3</v>
      </c>
      <c r="K113">
        <v>1.3</v>
      </c>
      <c r="L113">
        <v>1.3</v>
      </c>
      <c r="M113">
        <v>1.3</v>
      </c>
      <c r="N113">
        <v>1.3</v>
      </c>
      <c r="O113">
        <v>1.3</v>
      </c>
      <c r="P113">
        <v>1.3</v>
      </c>
      <c r="Q113">
        <v>1.3</v>
      </c>
      <c r="R113">
        <v>1.3</v>
      </c>
      <c r="S113">
        <v>1.3</v>
      </c>
      <c r="T113">
        <v>1.3</v>
      </c>
      <c r="U113">
        <v>1.3</v>
      </c>
      <c r="V113">
        <v>1.3</v>
      </c>
      <c r="W113">
        <v>1.3</v>
      </c>
      <c r="X113">
        <v>1.3</v>
      </c>
      <c r="Y113">
        <v>1.3</v>
      </c>
      <c r="Z113">
        <v>1.3</v>
      </c>
      <c r="AA113">
        <v>1.3</v>
      </c>
      <c r="AB113">
        <v>1.3</v>
      </c>
      <c r="AC113">
        <v>1.3</v>
      </c>
      <c r="AD113">
        <v>1.3</v>
      </c>
      <c r="AE113">
        <v>1.3</v>
      </c>
      <c r="AF113">
        <v>1.3</v>
      </c>
      <c r="AG113">
        <v>1.3</v>
      </c>
      <c r="AH113">
        <v>1.3</v>
      </c>
      <c r="AI113" s="9">
        <v>0</v>
      </c>
    </row>
    <row r="114" spans="1:35" x14ac:dyDescent="0.25">
      <c r="A114" t="s">
        <v>66</v>
      </c>
      <c r="B114" t="s">
        <v>296</v>
      </c>
      <c r="D114" t="s">
        <v>67</v>
      </c>
    </row>
    <row r="115" spans="1:35" x14ac:dyDescent="0.25">
      <c r="A115" t="s">
        <v>130</v>
      </c>
      <c r="B115" t="s">
        <v>297</v>
      </c>
      <c r="C115" t="s">
        <v>298</v>
      </c>
      <c r="D115" t="s">
        <v>67</v>
      </c>
      <c r="F115">
        <v>3.5046040000000001</v>
      </c>
      <c r="G115">
        <v>3.5563690000000001</v>
      </c>
      <c r="H115">
        <v>3.5984400000000001</v>
      </c>
      <c r="I115">
        <v>3.6346810000000001</v>
      </c>
      <c r="J115">
        <v>3.6662910000000002</v>
      </c>
      <c r="K115">
        <v>3.6931150000000001</v>
      </c>
      <c r="L115">
        <v>3.7162570000000001</v>
      </c>
      <c r="M115">
        <v>3.7366109999999999</v>
      </c>
      <c r="N115">
        <v>3.7546110000000001</v>
      </c>
      <c r="O115">
        <v>3.7707660000000001</v>
      </c>
      <c r="P115">
        <v>3.785425</v>
      </c>
      <c r="Q115">
        <v>3.7965840000000002</v>
      </c>
      <c r="R115">
        <v>3.8054929999999998</v>
      </c>
      <c r="S115">
        <v>3.7960410000000002</v>
      </c>
      <c r="T115">
        <v>3.785444</v>
      </c>
      <c r="U115">
        <v>3.7749510000000002</v>
      </c>
      <c r="V115">
        <v>3.7645369999999998</v>
      </c>
      <c r="W115">
        <v>3.7542870000000002</v>
      </c>
      <c r="X115">
        <v>3.7440150000000001</v>
      </c>
      <c r="Y115">
        <v>3.7339370000000001</v>
      </c>
      <c r="Z115">
        <v>3.724154</v>
      </c>
      <c r="AA115">
        <v>3.7146349999999999</v>
      </c>
      <c r="AB115">
        <v>3.7055349999999998</v>
      </c>
      <c r="AC115">
        <v>3.6968719999999999</v>
      </c>
      <c r="AD115">
        <v>3.688707</v>
      </c>
      <c r="AE115">
        <v>3.681581</v>
      </c>
      <c r="AF115">
        <v>3.6755059999999999</v>
      </c>
      <c r="AG115">
        <v>3.6704319999999999</v>
      </c>
      <c r="AH115">
        <v>3.6663009999999998</v>
      </c>
      <c r="AI115" s="9">
        <v>2E-3</v>
      </c>
    </row>
    <row r="116" spans="1:35" x14ac:dyDescent="0.25">
      <c r="A116" t="s">
        <v>133</v>
      </c>
      <c r="B116" t="s">
        <v>299</v>
      </c>
      <c r="C116" t="s">
        <v>300</v>
      </c>
      <c r="D116" t="s">
        <v>67</v>
      </c>
      <c r="F116">
        <v>3.500216</v>
      </c>
      <c r="G116">
        <v>3.5459689999999999</v>
      </c>
      <c r="H116">
        <v>3.5633840000000001</v>
      </c>
      <c r="I116">
        <v>3.5765690000000001</v>
      </c>
      <c r="J116">
        <v>3.5884559999999999</v>
      </c>
      <c r="K116">
        <v>3.5981179999999999</v>
      </c>
      <c r="L116">
        <v>3.6058849999999998</v>
      </c>
      <c r="M116">
        <v>3.6122670000000001</v>
      </c>
      <c r="N116">
        <v>3.617537</v>
      </c>
      <c r="O116">
        <v>3.6219969999999999</v>
      </c>
      <c r="P116">
        <v>3.6258189999999999</v>
      </c>
      <c r="Q116">
        <v>3.6292559999999998</v>
      </c>
      <c r="R116">
        <v>3.6324390000000002</v>
      </c>
      <c r="S116">
        <v>3.6354129999999998</v>
      </c>
      <c r="T116">
        <v>3.638115</v>
      </c>
      <c r="U116">
        <v>3.640666</v>
      </c>
      <c r="V116">
        <v>3.6431290000000001</v>
      </c>
      <c r="W116">
        <v>3.6455820000000001</v>
      </c>
      <c r="X116">
        <v>3.6478419999999998</v>
      </c>
      <c r="Y116">
        <v>3.6499410000000001</v>
      </c>
      <c r="Z116">
        <v>3.651869</v>
      </c>
      <c r="AA116">
        <v>3.6534979999999999</v>
      </c>
      <c r="AB116">
        <v>3.6548609999999999</v>
      </c>
      <c r="AC116">
        <v>3.6558660000000001</v>
      </c>
      <c r="AD116">
        <v>3.6564670000000001</v>
      </c>
      <c r="AE116">
        <v>3.6571790000000002</v>
      </c>
      <c r="AF116">
        <v>3.6579130000000002</v>
      </c>
      <c r="AG116">
        <v>3.6586020000000001</v>
      </c>
      <c r="AH116">
        <v>3.6592250000000002</v>
      </c>
      <c r="AI116" s="9">
        <v>2E-3</v>
      </c>
    </row>
    <row r="117" spans="1:35" x14ac:dyDescent="0.25">
      <c r="A117" t="s">
        <v>68</v>
      </c>
      <c r="B117" t="s">
        <v>301</v>
      </c>
      <c r="D117" t="s">
        <v>69</v>
      </c>
    </row>
    <row r="118" spans="1:35" x14ac:dyDescent="0.25">
      <c r="A118" t="s">
        <v>130</v>
      </c>
      <c r="B118" t="s">
        <v>302</v>
      </c>
      <c r="C118" t="s">
        <v>303</v>
      </c>
      <c r="D118" t="s">
        <v>69</v>
      </c>
      <c r="F118">
        <v>0.832511</v>
      </c>
      <c r="G118">
        <v>0.83904199999999995</v>
      </c>
      <c r="H118">
        <v>0.84528400000000004</v>
      </c>
      <c r="I118">
        <v>0.851464</v>
      </c>
      <c r="J118">
        <v>0.85759799999999997</v>
      </c>
      <c r="K118">
        <v>0.86323399999999995</v>
      </c>
      <c r="L118">
        <v>0.86841599999999997</v>
      </c>
      <c r="M118">
        <v>0.87314499999999995</v>
      </c>
      <c r="N118">
        <v>0.87741400000000003</v>
      </c>
      <c r="O118">
        <v>0.88129500000000005</v>
      </c>
      <c r="P118">
        <v>0.88477799999999995</v>
      </c>
      <c r="Q118">
        <v>0.88619700000000001</v>
      </c>
      <c r="R118">
        <v>0.88727100000000003</v>
      </c>
      <c r="S118">
        <v>0.88805000000000001</v>
      </c>
      <c r="T118">
        <v>0.88850899999999999</v>
      </c>
      <c r="U118">
        <v>0.88866599999999996</v>
      </c>
      <c r="V118">
        <v>0.88850499999999999</v>
      </c>
      <c r="W118">
        <v>0.88801300000000005</v>
      </c>
      <c r="X118">
        <v>0.88716899999999999</v>
      </c>
      <c r="Y118">
        <v>0.88598399999999999</v>
      </c>
      <c r="Z118">
        <v>0.88472499999999998</v>
      </c>
      <c r="AA118">
        <v>0.883386</v>
      </c>
      <c r="AB118">
        <v>0.88197000000000003</v>
      </c>
      <c r="AC118">
        <v>0.88049599999999995</v>
      </c>
      <c r="AD118">
        <v>0.87900699999999998</v>
      </c>
      <c r="AE118">
        <v>0.877502</v>
      </c>
      <c r="AF118">
        <v>0.87601399999999996</v>
      </c>
      <c r="AG118">
        <v>0.87458000000000002</v>
      </c>
      <c r="AH118">
        <v>0.87323399999999995</v>
      </c>
      <c r="AI118" s="9">
        <v>2E-3</v>
      </c>
    </row>
    <row r="119" spans="1:35" x14ac:dyDescent="0.25">
      <c r="A119" t="s">
        <v>133</v>
      </c>
      <c r="B119" t="s">
        <v>304</v>
      </c>
      <c r="C119" t="s">
        <v>305</v>
      </c>
      <c r="D119" t="s">
        <v>69</v>
      </c>
      <c r="F119">
        <v>0.83075600000000005</v>
      </c>
      <c r="G119">
        <v>0.83529799999999998</v>
      </c>
      <c r="H119">
        <v>0.83945800000000004</v>
      </c>
      <c r="I119">
        <v>0.84352499999999997</v>
      </c>
      <c r="J119">
        <v>0.84755400000000003</v>
      </c>
      <c r="K119">
        <v>0.85121999999999998</v>
      </c>
      <c r="L119">
        <v>0.85455300000000001</v>
      </c>
      <c r="M119">
        <v>0.85755700000000001</v>
      </c>
      <c r="N119">
        <v>0.86022799999999999</v>
      </c>
      <c r="O119">
        <v>0.86260800000000004</v>
      </c>
      <c r="P119">
        <v>0.86467700000000003</v>
      </c>
      <c r="Q119">
        <v>0.86645499999999998</v>
      </c>
      <c r="R119">
        <v>0.86793699999999996</v>
      </c>
      <c r="S119">
        <v>0.86912900000000004</v>
      </c>
      <c r="T119">
        <v>0.87002400000000002</v>
      </c>
      <c r="U119">
        <v>0.87065800000000004</v>
      </c>
      <c r="V119">
        <v>0.87102999999999997</v>
      </c>
      <c r="W119">
        <v>0.87114899999999995</v>
      </c>
      <c r="X119">
        <v>0.87099400000000005</v>
      </c>
      <c r="Y119">
        <v>0.870583</v>
      </c>
      <c r="Z119">
        <v>0.87020200000000003</v>
      </c>
      <c r="AA119">
        <v>0.86985299999999999</v>
      </c>
      <c r="AB119">
        <v>0.86953800000000003</v>
      </c>
      <c r="AC119">
        <v>0.86926300000000001</v>
      </c>
      <c r="AD119">
        <v>0.86902900000000005</v>
      </c>
      <c r="AE119">
        <v>0.86883699999999997</v>
      </c>
      <c r="AF119">
        <v>0.86868299999999998</v>
      </c>
      <c r="AG119">
        <v>0.86856299999999997</v>
      </c>
      <c r="AH119">
        <v>0.86847600000000003</v>
      </c>
      <c r="AI119" s="9">
        <v>2E-3</v>
      </c>
    </row>
    <row r="120" spans="1:35" x14ac:dyDescent="0.25">
      <c r="A120" t="s">
        <v>70</v>
      </c>
      <c r="B120" t="s">
        <v>306</v>
      </c>
      <c r="D120" t="s">
        <v>69</v>
      </c>
    </row>
    <row r="121" spans="1:35" x14ac:dyDescent="0.25">
      <c r="A121" t="s">
        <v>130</v>
      </c>
      <c r="B121" t="s">
        <v>307</v>
      </c>
      <c r="C121" t="s">
        <v>308</v>
      </c>
      <c r="D121" t="s">
        <v>69</v>
      </c>
      <c r="F121">
        <v>0.83697999999999995</v>
      </c>
      <c r="G121">
        <v>0.83929600000000004</v>
      </c>
      <c r="H121">
        <v>0.84096899999999997</v>
      </c>
      <c r="I121">
        <v>0.84250899999999995</v>
      </c>
      <c r="J121">
        <v>0.84400500000000001</v>
      </c>
      <c r="K121">
        <v>0.84554600000000002</v>
      </c>
      <c r="L121">
        <v>0.84694499999999995</v>
      </c>
      <c r="M121">
        <v>0.84822900000000001</v>
      </c>
      <c r="N121">
        <v>0.84937600000000002</v>
      </c>
      <c r="O121">
        <v>0.85042300000000004</v>
      </c>
      <c r="P121">
        <v>0.85134699999999996</v>
      </c>
      <c r="Q121">
        <v>0.85187500000000005</v>
      </c>
      <c r="R121">
        <v>0.85233000000000003</v>
      </c>
      <c r="S121">
        <v>0.852715</v>
      </c>
      <c r="T121">
        <v>0.85302599999999995</v>
      </c>
      <c r="U121">
        <v>0.85326599999999997</v>
      </c>
      <c r="V121">
        <v>0.85342799999999996</v>
      </c>
      <c r="W121">
        <v>0.85350899999999996</v>
      </c>
      <c r="X121">
        <v>0.85349799999999998</v>
      </c>
      <c r="Y121">
        <v>0.85340300000000002</v>
      </c>
      <c r="Z121">
        <v>0.85327600000000003</v>
      </c>
      <c r="AA121">
        <v>0.85311000000000003</v>
      </c>
      <c r="AB121">
        <v>0.85289599999999999</v>
      </c>
      <c r="AC121">
        <v>0.85262800000000005</v>
      </c>
      <c r="AD121">
        <v>0.85229999999999995</v>
      </c>
      <c r="AE121">
        <v>0.85190600000000005</v>
      </c>
      <c r="AF121">
        <v>0.85144299999999995</v>
      </c>
      <c r="AG121">
        <v>0.85091499999999998</v>
      </c>
      <c r="AH121">
        <v>0.85032700000000006</v>
      </c>
      <c r="AI121" s="9">
        <v>1E-3</v>
      </c>
    </row>
    <row r="122" spans="1:35" x14ac:dyDescent="0.25">
      <c r="A122" t="s">
        <v>133</v>
      </c>
      <c r="B122" t="s">
        <v>309</v>
      </c>
      <c r="C122" t="s">
        <v>310</v>
      </c>
      <c r="D122" t="s">
        <v>69</v>
      </c>
      <c r="F122">
        <v>0.83662599999999998</v>
      </c>
      <c r="G122">
        <v>0.83829500000000001</v>
      </c>
      <c r="H122">
        <v>0.83947300000000002</v>
      </c>
      <c r="I122">
        <v>0.84052400000000005</v>
      </c>
      <c r="J122">
        <v>0.84153699999999998</v>
      </c>
      <c r="K122">
        <v>0.84247300000000003</v>
      </c>
      <c r="L122">
        <v>0.84331999999999996</v>
      </c>
      <c r="M122">
        <v>0.84409699999999999</v>
      </c>
      <c r="N122">
        <v>0.84479400000000004</v>
      </c>
      <c r="O122">
        <v>0.84542700000000004</v>
      </c>
      <c r="P122">
        <v>0.84598499999999999</v>
      </c>
      <c r="Q122">
        <v>0.84647899999999998</v>
      </c>
      <c r="R122">
        <v>0.84690699999999997</v>
      </c>
      <c r="S122">
        <v>0.84726999999999997</v>
      </c>
      <c r="T122">
        <v>0.84756799999999999</v>
      </c>
      <c r="U122">
        <v>0.84780100000000003</v>
      </c>
      <c r="V122">
        <v>0.84796700000000003</v>
      </c>
      <c r="W122">
        <v>0.84806099999999995</v>
      </c>
      <c r="X122">
        <v>0.84807699999999997</v>
      </c>
      <c r="Y122">
        <v>0.84802299999999997</v>
      </c>
      <c r="Z122">
        <v>0.84795100000000001</v>
      </c>
      <c r="AA122">
        <v>0.84785600000000005</v>
      </c>
      <c r="AB122">
        <v>0.84773600000000005</v>
      </c>
      <c r="AC122">
        <v>0.84758599999999995</v>
      </c>
      <c r="AD122">
        <v>0.84740499999999996</v>
      </c>
      <c r="AE122">
        <v>0.84719199999999995</v>
      </c>
      <c r="AF122">
        <v>0.84694499999999995</v>
      </c>
      <c r="AG122">
        <v>0.846669</v>
      </c>
      <c r="AH122">
        <v>0.84636699999999998</v>
      </c>
      <c r="AI122" s="9">
        <v>0</v>
      </c>
    </row>
    <row r="123" spans="1:35" x14ac:dyDescent="0.25">
      <c r="A123" t="s">
        <v>71</v>
      </c>
    </row>
    <row r="124" spans="1:35" x14ac:dyDescent="0.25">
      <c r="A124" t="s">
        <v>72</v>
      </c>
      <c r="B124" t="s">
        <v>311</v>
      </c>
      <c r="D124" t="s">
        <v>73</v>
      </c>
    </row>
    <row r="125" spans="1:35" x14ac:dyDescent="0.25">
      <c r="A125" t="s">
        <v>130</v>
      </c>
      <c r="B125" t="s">
        <v>312</v>
      </c>
      <c r="C125" t="s">
        <v>313</v>
      </c>
      <c r="D125" t="s">
        <v>73</v>
      </c>
      <c r="F125">
        <v>14.11839</v>
      </c>
      <c r="G125">
        <v>14.361896</v>
      </c>
      <c r="H125">
        <v>14.581602999999999</v>
      </c>
      <c r="I125">
        <v>14.788684</v>
      </c>
      <c r="J125">
        <v>14.981616000000001</v>
      </c>
      <c r="K125">
        <v>15.161526</v>
      </c>
      <c r="L125">
        <v>15.328118</v>
      </c>
      <c r="M125">
        <v>15.482331</v>
      </c>
      <c r="N125">
        <v>15.623494000000001</v>
      </c>
      <c r="O125">
        <v>15.752029</v>
      </c>
      <c r="P125">
        <v>15.867741000000001</v>
      </c>
      <c r="Q125">
        <v>15.967606999999999</v>
      </c>
      <c r="R125">
        <v>16.053270000000001</v>
      </c>
      <c r="S125">
        <v>16.123374999999999</v>
      </c>
      <c r="T125">
        <v>16.175518</v>
      </c>
      <c r="U125">
        <v>16.207474000000001</v>
      </c>
      <c r="V125">
        <v>16.236522999999998</v>
      </c>
      <c r="W125">
        <v>16.262094000000001</v>
      </c>
      <c r="X125">
        <v>16.283840000000001</v>
      </c>
      <c r="Y125">
        <v>16.301705999999999</v>
      </c>
      <c r="Z125">
        <v>16.315929000000001</v>
      </c>
      <c r="AA125">
        <v>16.326823999999998</v>
      </c>
      <c r="AB125">
        <v>16.334866000000002</v>
      </c>
      <c r="AC125">
        <v>16.340574</v>
      </c>
      <c r="AD125">
        <v>16.344491999999999</v>
      </c>
      <c r="AE125">
        <v>16.347061</v>
      </c>
      <c r="AF125">
        <v>16.348739999999999</v>
      </c>
      <c r="AG125">
        <v>16.349837999999998</v>
      </c>
      <c r="AH125">
        <v>16.350580000000001</v>
      </c>
      <c r="AI125" s="9">
        <v>5.0000000000000001E-3</v>
      </c>
    </row>
    <row r="126" spans="1:35" x14ac:dyDescent="0.25">
      <c r="A126" t="s">
        <v>133</v>
      </c>
      <c r="B126" t="s">
        <v>314</v>
      </c>
      <c r="C126" t="s">
        <v>315</v>
      </c>
      <c r="D126" t="s">
        <v>73</v>
      </c>
      <c r="F126">
        <v>14.077729</v>
      </c>
      <c r="G126">
        <v>14.321210000000001</v>
      </c>
      <c r="H126">
        <v>14.538546999999999</v>
      </c>
      <c r="I126">
        <v>14.743546</v>
      </c>
      <c r="J126">
        <v>14.934965999999999</v>
      </c>
      <c r="K126">
        <v>15.113802</v>
      </c>
      <c r="L126">
        <v>15.279633</v>
      </c>
      <c r="M126">
        <v>15.433406</v>
      </c>
      <c r="N126">
        <v>15.574490000000001</v>
      </c>
      <c r="O126">
        <v>15.703321000000001</v>
      </c>
      <c r="P126">
        <v>15.819749</v>
      </c>
      <c r="Q126">
        <v>15.922834999999999</v>
      </c>
      <c r="R126">
        <v>16.011969000000001</v>
      </c>
      <c r="S126">
        <v>16.085802000000001</v>
      </c>
      <c r="T126">
        <v>16.141842</v>
      </c>
      <c r="U126">
        <v>16.177772999999998</v>
      </c>
      <c r="V126">
        <v>16.210846</v>
      </c>
      <c r="W126">
        <v>16.240432999999999</v>
      </c>
      <c r="X126">
        <v>16.266079000000001</v>
      </c>
      <c r="Y126">
        <v>16.287610999999998</v>
      </c>
      <c r="Z126">
        <v>16.305167999999998</v>
      </c>
      <c r="AA126">
        <v>16.319056</v>
      </c>
      <c r="AB126">
        <v>16.329695000000001</v>
      </c>
      <c r="AC126">
        <v>16.337627000000001</v>
      </c>
      <c r="AD126">
        <v>16.343378000000001</v>
      </c>
      <c r="AE126">
        <v>16.347458</v>
      </c>
      <c r="AF126">
        <v>16.350294000000002</v>
      </c>
      <c r="AG126">
        <v>16.352238</v>
      </c>
      <c r="AH126">
        <v>16.353586</v>
      </c>
      <c r="AI126" s="9">
        <v>5.0000000000000001E-3</v>
      </c>
    </row>
    <row r="127" spans="1:35" x14ac:dyDescent="0.25">
      <c r="A127" t="s">
        <v>64</v>
      </c>
      <c r="B127" t="s">
        <v>316</v>
      </c>
      <c r="D127" t="s">
        <v>65</v>
      </c>
    </row>
    <row r="128" spans="1:35" x14ac:dyDescent="0.25">
      <c r="A128" t="s">
        <v>130</v>
      </c>
      <c r="B128" t="s">
        <v>317</v>
      </c>
      <c r="C128" t="s">
        <v>318</v>
      </c>
      <c r="D128" t="s">
        <v>65</v>
      </c>
      <c r="F128">
        <v>0.61770899999999995</v>
      </c>
      <c r="G128">
        <v>0.62423799999999996</v>
      </c>
      <c r="H128">
        <v>0.63057300000000005</v>
      </c>
      <c r="I128">
        <v>0.63670700000000002</v>
      </c>
      <c r="J128">
        <v>0.64261699999999999</v>
      </c>
      <c r="K128">
        <v>0.64837400000000001</v>
      </c>
      <c r="L128">
        <v>0.65404200000000001</v>
      </c>
      <c r="M128">
        <v>0.65978300000000001</v>
      </c>
      <c r="N128">
        <v>0.66571100000000005</v>
      </c>
      <c r="O128">
        <v>0.67192700000000005</v>
      </c>
      <c r="P128">
        <v>0.67837199999999998</v>
      </c>
      <c r="Q128">
        <v>0.68473499999999998</v>
      </c>
      <c r="R128">
        <v>0.69050900000000004</v>
      </c>
      <c r="S128">
        <v>0.69510499999999997</v>
      </c>
      <c r="T128">
        <v>0.69807300000000005</v>
      </c>
      <c r="U128">
        <v>0.69929300000000005</v>
      </c>
      <c r="V128">
        <v>0.69981400000000005</v>
      </c>
      <c r="W128">
        <v>0.69996800000000003</v>
      </c>
      <c r="X128">
        <v>0.69999699999999998</v>
      </c>
      <c r="Y128">
        <v>0.7</v>
      </c>
      <c r="Z128">
        <v>0.7</v>
      </c>
      <c r="AA128">
        <v>0.7</v>
      </c>
      <c r="AB128">
        <v>0.7</v>
      </c>
      <c r="AC128">
        <v>0.7</v>
      </c>
      <c r="AD128">
        <v>0.7</v>
      </c>
      <c r="AE128">
        <v>0.7</v>
      </c>
      <c r="AF128">
        <v>0.7</v>
      </c>
      <c r="AG128">
        <v>0.7</v>
      </c>
      <c r="AH128">
        <v>0.7</v>
      </c>
      <c r="AI128" s="9">
        <v>4.0000000000000001E-3</v>
      </c>
    </row>
    <row r="129" spans="1:35" x14ac:dyDescent="0.25">
      <c r="A129" t="s">
        <v>133</v>
      </c>
      <c r="B129" t="s">
        <v>319</v>
      </c>
      <c r="C129" t="s">
        <v>320</v>
      </c>
      <c r="D129" t="s">
        <v>65</v>
      </c>
      <c r="F129">
        <v>0.61770899999999995</v>
      </c>
      <c r="G129">
        <v>0.62423799999999996</v>
      </c>
      <c r="H129">
        <v>0.63057300000000005</v>
      </c>
      <c r="I129">
        <v>0.63670700000000002</v>
      </c>
      <c r="J129">
        <v>0.64261699999999999</v>
      </c>
      <c r="K129">
        <v>0.64837400000000001</v>
      </c>
      <c r="L129">
        <v>0.65404200000000001</v>
      </c>
      <c r="M129">
        <v>0.65978300000000001</v>
      </c>
      <c r="N129">
        <v>0.66571100000000005</v>
      </c>
      <c r="O129">
        <v>0.67192700000000005</v>
      </c>
      <c r="P129">
        <v>0.67837199999999998</v>
      </c>
      <c r="Q129">
        <v>0.68473499999999998</v>
      </c>
      <c r="R129">
        <v>0.69050999999999996</v>
      </c>
      <c r="S129">
        <v>0.69510499999999997</v>
      </c>
      <c r="T129">
        <v>0.69807300000000005</v>
      </c>
      <c r="U129">
        <v>0.69929300000000005</v>
      </c>
      <c r="V129">
        <v>0.69981400000000005</v>
      </c>
      <c r="W129">
        <v>0.69996800000000003</v>
      </c>
      <c r="X129">
        <v>0.69999699999999998</v>
      </c>
      <c r="Y129">
        <v>0.7</v>
      </c>
      <c r="Z129">
        <v>0.7</v>
      </c>
      <c r="AA129">
        <v>0.7</v>
      </c>
      <c r="AB129">
        <v>0.7</v>
      </c>
      <c r="AC129">
        <v>0.7</v>
      </c>
      <c r="AD129">
        <v>0.7</v>
      </c>
      <c r="AE129">
        <v>0.7</v>
      </c>
      <c r="AF129">
        <v>0.7</v>
      </c>
      <c r="AG129">
        <v>0.7</v>
      </c>
      <c r="AH129">
        <v>0.7</v>
      </c>
      <c r="AI129" s="9">
        <v>4.0000000000000001E-3</v>
      </c>
    </row>
    <row r="130" spans="1:35" x14ac:dyDescent="0.25">
      <c r="A130" t="s">
        <v>74</v>
      </c>
      <c r="B130" t="s">
        <v>321</v>
      </c>
      <c r="D130" t="s">
        <v>75</v>
      </c>
    </row>
    <row r="131" spans="1:35" x14ac:dyDescent="0.25">
      <c r="A131" t="s">
        <v>130</v>
      </c>
      <c r="B131" t="s">
        <v>322</v>
      </c>
      <c r="C131" t="s">
        <v>323</v>
      </c>
      <c r="D131" t="s">
        <v>75</v>
      </c>
      <c r="F131">
        <v>16.046894000000002</v>
      </c>
      <c r="G131">
        <v>16.408232000000002</v>
      </c>
      <c r="H131">
        <v>16.704948000000002</v>
      </c>
      <c r="I131">
        <v>16.961611000000001</v>
      </c>
      <c r="J131">
        <v>17.185707000000001</v>
      </c>
      <c r="K131">
        <v>17.376514</v>
      </c>
      <c r="L131">
        <v>17.541615</v>
      </c>
      <c r="M131">
        <v>17.686883999999999</v>
      </c>
      <c r="N131">
        <v>17.815270999999999</v>
      </c>
      <c r="O131">
        <v>17.930159</v>
      </c>
      <c r="P131">
        <v>18.034072999999999</v>
      </c>
      <c r="Q131">
        <v>18.113184</v>
      </c>
      <c r="R131">
        <v>18.175549</v>
      </c>
      <c r="S131">
        <v>18.107792</v>
      </c>
      <c r="T131">
        <v>18.027934999999999</v>
      </c>
      <c r="U131">
        <v>17.949611999999998</v>
      </c>
      <c r="V131">
        <v>17.872522</v>
      </c>
      <c r="W131">
        <v>17.797091999999999</v>
      </c>
      <c r="X131">
        <v>17.722010000000001</v>
      </c>
      <c r="Y131">
        <v>17.648726</v>
      </c>
      <c r="Z131">
        <v>17.577887</v>
      </c>
      <c r="AA131">
        <v>17.509315000000001</v>
      </c>
      <c r="AB131">
        <v>17.444035</v>
      </c>
      <c r="AC131">
        <v>17.382135000000002</v>
      </c>
      <c r="AD131">
        <v>17.324014999999999</v>
      </c>
      <c r="AE131">
        <v>17.273260000000001</v>
      </c>
      <c r="AF131">
        <v>17.22991</v>
      </c>
      <c r="AG131">
        <v>17.193608999999999</v>
      </c>
      <c r="AH131">
        <v>17.163919</v>
      </c>
      <c r="AI131" s="9">
        <v>2E-3</v>
      </c>
    </row>
    <row r="132" spans="1:35" x14ac:dyDescent="0.25">
      <c r="A132" t="s">
        <v>133</v>
      </c>
      <c r="B132" t="s">
        <v>324</v>
      </c>
      <c r="C132" t="s">
        <v>325</v>
      </c>
      <c r="D132" t="s">
        <v>75</v>
      </c>
      <c r="F132">
        <v>16.016245000000001</v>
      </c>
      <c r="G132">
        <v>16.334195999999999</v>
      </c>
      <c r="H132">
        <v>16.454719999999998</v>
      </c>
      <c r="I132">
        <v>16.541695000000001</v>
      </c>
      <c r="J132">
        <v>16.622219000000001</v>
      </c>
      <c r="K132">
        <v>16.689014</v>
      </c>
      <c r="L132">
        <v>16.743646999999999</v>
      </c>
      <c r="M132">
        <v>16.789078</v>
      </c>
      <c r="N132">
        <v>16.826941999999999</v>
      </c>
      <c r="O132">
        <v>16.859123</v>
      </c>
      <c r="P132">
        <v>16.886786000000001</v>
      </c>
      <c r="Q132">
        <v>16.911460999999999</v>
      </c>
      <c r="R132">
        <v>16.934031000000001</v>
      </c>
      <c r="S132">
        <v>16.954874</v>
      </c>
      <c r="T132">
        <v>16.973586999999998</v>
      </c>
      <c r="U132">
        <v>16.99098</v>
      </c>
      <c r="V132">
        <v>17.007504000000001</v>
      </c>
      <c r="W132">
        <v>17.023664</v>
      </c>
      <c r="X132">
        <v>17.038374000000001</v>
      </c>
      <c r="Y132">
        <v>17.051901000000001</v>
      </c>
      <c r="Z132">
        <v>17.064174999999999</v>
      </c>
      <c r="AA132">
        <v>17.074407999999998</v>
      </c>
      <c r="AB132">
        <v>17.082850000000001</v>
      </c>
      <c r="AC132">
        <v>17.088909000000001</v>
      </c>
      <c r="AD132">
        <v>17.092268000000001</v>
      </c>
      <c r="AE132">
        <v>17.096394</v>
      </c>
      <c r="AF132">
        <v>17.100666</v>
      </c>
      <c r="AG132">
        <v>17.104675</v>
      </c>
      <c r="AH132">
        <v>17.108250000000002</v>
      </c>
      <c r="AI132" s="9">
        <v>2E-3</v>
      </c>
    </row>
    <row r="133" spans="1:35" x14ac:dyDescent="0.25">
      <c r="A133" t="s">
        <v>76</v>
      </c>
      <c r="B133" t="s">
        <v>326</v>
      </c>
      <c r="D133" t="s">
        <v>73</v>
      </c>
    </row>
    <row r="134" spans="1:35" x14ac:dyDescent="0.25">
      <c r="A134" t="s">
        <v>130</v>
      </c>
      <c r="B134" t="s">
        <v>327</v>
      </c>
      <c r="C134" t="s">
        <v>328</v>
      </c>
      <c r="D134" t="s">
        <v>73</v>
      </c>
      <c r="F134">
        <v>13.652025999999999</v>
      </c>
      <c r="G134">
        <v>13.912424</v>
      </c>
      <c r="H134">
        <v>14.154226</v>
      </c>
      <c r="I134">
        <v>14.378797</v>
      </c>
      <c r="J134">
        <v>14.584899</v>
      </c>
      <c r="K134">
        <v>14.773286000000001</v>
      </c>
      <c r="L134">
        <v>14.944267</v>
      </c>
      <c r="M134">
        <v>15.10037</v>
      </c>
      <c r="N134">
        <v>15.240843999999999</v>
      </c>
      <c r="O134">
        <v>15.365807</v>
      </c>
      <c r="P134">
        <v>15.47662</v>
      </c>
      <c r="Q134">
        <v>15.542377999999999</v>
      </c>
      <c r="R134">
        <v>15.594194</v>
      </c>
      <c r="S134">
        <v>15.634285999999999</v>
      </c>
      <c r="T134">
        <v>15.661597</v>
      </c>
      <c r="U134">
        <v>15.6744</v>
      </c>
      <c r="V134">
        <v>15.685153</v>
      </c>
      <c r="W134">
        <v>15.693208</v>
      </c>
      <c r="X134">
        <v>15.698021000000001</v>
      </c>
      <c r="Y134">
        <v>15.699372</v>
      </c>
      <c r="Z134">
        <v>15.697274</v>
      </c>
      <c r="AA134">
        <v>15.691940000000001</v>
      </c>
      <c r="AB134">
        <v>15.683793</v>
      </c>
      <c r="AC134">
        <v>15.673481000000001</v>
      </c>
      <c r="AD134">
        <v>15.661708000000001</v>
      </c>
      <c r="AE134">
        <v>15.649206</v>
      </c>
      <c r="AF134">
        <v>15.636742999999999</v>
      </c>
      <c r="AG134">
        <v>15.624902000000001</v>
      </c>
      <c r="AH134">
        <v>15.614152000000001</v>
      </c>
      <c r="AI134" s="9">
        <v>5.0000000000000001E-3</v>
      </c>
    </row>
    <row r="135" spans="1:35" x14ac:dyDescent="0.25">
      <c r="A135" t="s">
        <v>133</v>
      </c>
      <c r="B135" t="s">
        <v>329</v>
      </c>
      <c r="C135" t="s">
        <v>330</v>
      </c>
      <c r="D135" t="s">
        <v>73</v>
      </c>
      <c r="F135">
        <v>13.482601000000001</v>
      </c>
      <c r="G135">
        <v>13.700694</v>
      </c>
      <c r="H135">
        <v>13.903629</v>
      </c>
      <c r="I135">
        <v>14.091521</v>
      </c>
      <c r="J135">
        <v>14.26362</v>
      </c>
      <c r="K135">
        <v>14.420665</v>
      </c>
      <c r="L135">
        <v>14.562829000000001</v>
      </c>
      <c r="M135">
        <v>14.692233999999999</v>
      </c>
      <c r="N135">
        <v>14.808268</v>
      </c>
      <c r="O135">
        <v>14.911111</v>
      </c>
      <c r="P135">
        <v>15.001982999999999</v>
      </c>
      <c r="Q135">
        <v>15.082603000000001</v>
      </c>
      <c r="R135">
        <v>15.15239</v>
      </c>
      <c r="S135">
        <v>15.212039000000001</v>
      </c>
      <c r="T135">
        <v>15.260634</v>
      </c>
      <c r="U135">
        <v>15.296397000000001</v>
      </c>
      <c r="V135">
        <v>15.331749</v>
      </c>
      <c r="W135">
        <v>15.36591</v>
      </c>
      <c r="X135">
        <v>15.398071</v>
      </c>
      <c r="Y135">
        <v>15.427585000000001</v>
      </c>
      <c r="Z135">
        <v>15.453982999999999</v>
      </c>
      <c r="AA135">
        <v>15.476984</v>
      </c>
      <c r="AB135">
        <v>15.496518999999999</v>
      </c>
      <c r="AC135">
        <v>15.512733000000001</v>
      </c>
      <c r="AD135">
        <v>15.525943</v>
      </c>
      <c r="AE135">
        <v>15.536516000000001</v>
      </c>
      <c r="AF135">
        <v>15.544909000000001</v>
      </c>
      <c r="AG135">
        <v>15.551538000000001</v>
      </c>
      <c r="AH135">
        <v>15.556832</v>
      </c>
      <c r="AI135" s="9">
        <v>5.0000000000000001E-3</v>
      </c>
    </row>
    <row r="136" spans="1:35" x14ac:dyDescent="0.25">
      <c r="A136" t="s">
        <v>77</v>
      </c>
      <c r="B136" t="s">
        <v>331</v>
      </c>
      <c r="D136" t="s">
        <v>75</v>
      </c>
    </row>
    <row r="137" spans="1:35" x14ac:dyDescent="0.25">
      <c r="A137" t="s">
        <v>130</v>
      </c>
      <c r="B137" t="s">
        <v>332</v>
      </c>
      <c r="C137" t="s">
        <v>333</v>
      </c>
      <c r="D137" t="s">
        <v>75</v>
      </c>
      <c r="F137">
        <v>11.294298</v>
      </c>
      <c r="G137">
        <v>11.378965000000001</v>
      </c>
      <c r="H137">
        <v>11.470779</v>
      </c>
      <c r="I137">
        <v>11.555712</v>
      </c>
      <c r="J137">
        <v>11.63078</v>
      </c>
      <c r="K137">
        <v>11.695589999999999</v>
      </c>
      <c r="L137">
        <v>11.751351</v>
      </c>
      <c r="M137">
        <v>11.797001</v>
      </c>
      <c r="N137">
        <v>11.849714000000001</v>
      </c>
      <c r="O137">
        <v>11.886739</v>
      </c>
      <c r="P137">
        <v>11.908359000000001</v>
      </c>
      <c r="Q137">
        <v>11.930096000000001</v>
      </c>
      <c r="R137">
        <v>11.951796999999999</v>
      </c>
      <c r="S137">
        <v>11.972925999999999</v>
      </c>
      <c r="T137">
        <v>11.993067</v>
      </c>
      <c r="U137">
        <v>12.011563000000001</v>
      </c>
      <c r="V137">
        <v>12.027761</v>
      </c>
      <c r="W137">
        <v>12.0411</v>
      </c>
      <c r="X137">
        <v>12.063248</v>
      </c>
      <c r="Y137">
        <v>12.082109000000001</v>
      </c>
      <c r="Z137">
        <v>12.098355</v>
      </c>
      <c r="AA137">
        <v>12.112704000000001</v>
      </c>
      <c r="AB137">
        <v>12.125787000000001</v>
      </c>
      <c r="AC137">
        <v>12.138025000000001</v>
      </c>
      <c r="AD137">
        <v>12.149449000000001</v>
      </c>
      <c r="AE137">
        <v>12.159872999999999</v>
      </c>
      <c r="AF137">
        <v>12.168983000000001</v>
      </c>
      <c r="AG137">
        <v>12.176450000000001</v>
      </c>
      <c r="AH137">
        <v>12.18211</v>
      </c>
      <c r="AI137" s="9">
        <v>3.0000000000000001E-3</v>
      </c>
    </row>
    <row r="138" spans="1:35" x14ac:dyDescent="0.25">
      <c r="A138" t="s">
        <v>133</v>
      </c>
      <c r="B138" t="s">
        <v>334</v>
      </c>
      <c r="C138" t="s">
        <v>335</v>
      </c>
      <c r="D138" t="s">
        <v>75</v>
      </c>
      <c r="F138">
        <v>11.294302</v>
      </c>
      <c r="G138">
        <v>11.378981</v>
      </c>
      <c r="H138">
        <v>11.470798</v>
      </c>
      <c r="I138">
        <v>11.555752</v>
      </c>
      <c r="J138">
        <v>11.630889</v>
      </c>
      <c r="K138">
        <v>11.695811000000001</v>
      </c>
      <c r="L138">
        <v>11.751734000000001</v>
      </c>
      <c r="M138">
        <v>11.797575999999999</v>
      </c>
      <c r="N138">
        <v>11.850569999999999</v>
      </c>
      <c r="O138">
        <v>11.887862999999999</v>
      </c>
      <c r="P138">
        <v>11.909746999999999</v>
      </c>
      <c r="Q138">
        <v>11.931762000000001</v>
      </c>
      <c r="R138">
        <v>11.953569999999999</v>
      </c>
      <c r="S138">
        <v>11.974836</v>
      </c>
      <c r="T138">
        <v>11.995065</v>
      </c>
      <c r="U138">
        <v>12.013617999999999</v>
      </c>
      <c r="V138">
        <v>12.029847</v>
      </c>
      <c r="W138">
        <v>12.043181000000001</v>
      </c>
      <c r="X138">
        <v>12.065341999999999</v>
      </c>
      <c r="Y138">
        <v>12.084155000000001</v>
      </c>
      <c r="Z138">
        <v>12.100338000000001</v>
      </c>
      <c r="AA138">
        <v>12.114596000000001</v>
      </c>
      <c r="AB138">
        <v>12.127579000000001</v>
      </c>
      <c r="AC138">
        <v>12.139718999999999</v>
      </c>
      <c r="AD138">
        <v>12.151085999999999</v>
      </c>
      <c r="AE138">
        <v>12.161496</v>
      </c>
      <c r="AF138">
        <v>12.1706</v>
      </c>
      <c r="AG138">
        <v>12.178058999999999</v>
      </c>
      <c r="AH138">
        <v>12.183743</v>
      </c>
      <c r="AI138" s="9">
        <v>3.0000000000000001E-3</v>
      </c>
    </row>
    <row r="139" spans="1:35" x14ac:dyDescent="0.25">
      <c r="A139" t="s">
        <v>78</v>
      </c>
    </row>
    <row r="140" spans="1:35" x14ac:dyDescent="0.25">
      <c r="A140" t="s">
        <v>79</v>
      </c>
      <c r="B140" t="s">
        <v>336</v>
      </c>
      <c r="D140" t="s">
        <v>80</v>
      </c>
    </row>
    <row r="141" spans="1:35" x14ac:dyDescent="0.25">
      <c r="A141" t="s">
        <v>130</v>
      </c>
      <c r="B141" t="s">
        <v>337</v>
      </c>
      <c r="C141" t="s">
        <v>338</v>
      </c>
      <c r="D141" t="s">
        <v>80</v>
      </c>
      <c r="F141">
        <v>0.93223100000000003</v>
      </c>
      <c r="G141">
        <v>0.94399900000000003</v>
      </c>
      <c r="H141">
        <v>0.95498499999999997</v>
      </c>
      <c r="I141">
        <v>0.96658599999999995</v>
      </c>
      <c r="J141">
        <v>0.978653</v>
      </c>
      <c r="K141">
        <v>0.99048400000000003</v>
      </c>
      <c r="L141">
        <v>1.001943</v>
      </c>
      <c r="M141">
        <v>1.0129809999999999</v>
      </c>
      <c r="N141">
        <v>1.0234220000000001</v>
      </c>
      <c r="O141">
        <v>1.033579</v>
      </c>
      <c r="P141">
        <v>1.043442</v>
      </c>
      <c r="Q141">
        <v>1.0432840000000001</v>
      </c>
      <c r="R141">
        <v>1.03752</v>
      </c>
      <c r="S141">
        <v>1.0320370000000001</v>
      </c>
      <c r="T141">
        <v>1.0266960000000001</v>
      </c>
      <c r="U141">
        <v>1.021409</v>
      </c>
      <c r="V141">
        <v>1.0161340000000001</v>
      </c>
      <c r="W141">
        <v>1.0113380000000001</v>
      </c>
      <c r="X141">
        <v>1.0069630000000001</v>
      </c>
      <c r="Y141">
        <v>1.003034</v>
      </c>
      <c r="Z141">
        <v>0.99955899999999998</v>
      </c>
      <c r="AA141">
        <v>0.996529</v>
      </c>
      <c r="AB141">
        <v>0.99392100000000005</v>
      </c>
      <c r="AC141">
        <v>0.99170800000000003</v>
      </c>
      <c r="AD141">
        <v>0.98985400000000001</v>
      </c>
      <c r="AE141">
        <v>0.98832500000000001</v>
      </c>
      <c r="AF141">
        <v>0.98708300000000004</v>
      </c>
      <c r="AG141">
        <v>0.98609100000000005</v>
      </c>
      <c r="AH141">
        <v>0.98531000000000002</v>
      </c>
      <c r="AI141" s="9">
        <v>2E-3</v>
      </c>
    </row>
    <row r="142" spans="1:35" x14ac:dyDescent="0.25">
      <c r="A142" t="s">
        <v>133</v>
      </c>
      <c r="B142" t="s">
        <v>339</v>
      </c>
      <c r="C142" t="s">
        <v>340</v>
      </c>
      <c r="D142" t="s">
        <v>80</v>
      </c>
      <c r="F142">
        <v>0.92168899999999998</v>
      </c>
      <c r="G142">
        <v>0.927948</v>
      </c>
      <c r="H142">
        <v>0.93435100000000004</v>
      </c>
      <c r="I142">
        <v>0.94076700000000002</v>
      </c>
      <c r="J142">
        <v>0.94715800000000006</v>
      </c>
      <c r="K142">
        <v>0.95299699999999998</v>
      </c>
      <c r="L142">
        <v>0.95830000000000004</v>
      </c>
      <c r="M142">
        <v>0.96305600000000002</v>
      </c>
      <c r="N142">
        <v>0.96728700000000001</v>
      </c>
      <c r="O142">
        <v>0.97099800000000003</v>
      </c>
      <c r="P142">
        <v>0.97418800000000005</v>
      </c>
      <c r="Q142">
        <v>0.97687100000000004</v>
      </c>
      <c r="R142">
        <v>0.97903700000000005</v>
      </c>
      <c r="S142">
        <v>0.980688</v>
      </c>
      <c r="T142">
        <v>0.98184199999999999</v>
      </c>
      <c r="U142">
        <v>0.98248400000000002</v>
      </c>
      <c r="V142">
        <v>0.98263699999999998</v>
      </c>
      <c r="W142">
        <v>0.98276399999999997</v>
      </c>
      <c r="X142">
        <v>0.98286799999999996</v>
      </c>
      <c r="Y142">
        <v>0.98295200000000005</v>
      </c>
      <c r="Z142">
        <v>0.983016</v>
      </c>
      <c r="AA142">
        <v>0.98306400000000005</v>
      </c>
      <c r="AB142">
        <v>0.98309999999999997</v>
      </c>
      <c r="AC142">
        <v>0.98312500000000003</v>
      </c>
      <c r="AD142">
        <v>0.98314299999999999</v>
      </c>
      <c r="AE142">
        <v>0.98315600000000003</v>
      </c>
      <c r="AF142">
        <v>0.98316400000000004</v>
      </c>
      <c r="AG142">
        <v>0.98316899999999996</v>
      </c>
      <c r="AH142">
        <v>0.98317200000000005</v>
      </c>
      <c r="AI142" s="9">
        <v>2E-3</v>
      </c>
    </row>
    <row r="143" spans="1:35" x14ac:dyDescent="0.25">
      <c r="A143" t="s">
        <v>81</v>
      </c>
      <c r="B143" t="s">
        <v>341</v>
      </c>
      <c r="D143" t="s">
        <v>80</v>
      </c>
    </row>
    <row r="144" spans="1:35" x14ac:dyDescent="0.25">
      <c r="A144" t="s">
        <v>130</v>
      </c>
      <c r="B144" t="s">
        <v>342</v>
      </c>
      <c r="C144" t="s">
        <v>343</v>
      </c>
      <c r="D144" t="s">
        <v>80</v>
      </c>
      <c r="F144">
        <v>0.61865400000000004</v>
      </c>
      <c r="G144">
        <v>0.62222900000000003</v>
      </c>
      <c r="H144">
        <v>0.62510500000000002</v>
      </c>
      <c r="I144">
        <v>0.62732399999999999</v>
      </c>
      <c r="J144">
        <v>0.62895299999999998</v>
      </c>
      <c r="K144">
        <v>0.63005999999999995</v>
      </c>
      <c r="L144">
        <v>0.63062300000000004</v>
      </c>
      <c r="M144">
        <v>0.630691</v>
      </c>
      <c r="N144">
        <v>0.63031800000000004</v>
      </c>
      <c r="O144">
        <v>0.62994399999999995</v>
      </c>
      <c r="P144">
        <v>0.62957700000000005</v>
      </c>
      <c r="Q144">
        <v>0.62870099999999995</v>
      </c>
      <c r="R144">
        <v>0.62776500000000002</v>
      </c>
      <c r="S144">
        <v>0.62685800000000003</v>
      </c>
      <c r="T144">
        <v>0.62599499999999997</v>
      </c>
      <c r="U144">
        <v>0.62519000000000002</v>
      </c>
      <c r="V144">
        <v>0.62444999999999995</v>
      </c>
      <c r="W144">
        <v>0.62378</v>
      </c>
      <c r="X144">
        <v>0.62318399999999996</v>
      </c>
      <c r="Y144">
        <v>0.62266100000000002</v>
      </c>
      <c r="Z144">
        <v>0.62220900000000001</v>
      </c>
      <c r="AA144">
        <v>0.62182300000000001</v>
      </c>
      <c r="AB144">
        <v>0.62149900000000002</v>
      </c>
      <c r="AC144">
        <v>0.62122999999999995</v>
      </c>
      <c r="AD144">
        <v>0.62101499999999998</v>
      </c>
      <c r="AE144">
        <v>0.62084300000000003</v>
      </c>
      <c r="AF144">
        <v>0.62070700000000001</v>
      </c>
      <c r="AG144">
        <v>0.62060199999999999</v>
      </c>
      <c r="AH144">
        <v>0.62052200000000002</v>
      </c>
      <c r="AI144" s="9">
        <v>0</v>
      </c>
    </row>
    <row r="145" spans="1:35" x14ac:dyDescent="0.25">
      <c r="A145" t="s">
        <v>133</v>
      </c>
      <c r="B145" t="s">
        <v>344</v>
      </c>
      <c r="C145" t="s">
        <v>345</v>
      </c>
      <c r="D145" t="s">
        <v>80</v>
      </c>
      <c r="F145">
        <v>0.61854299999999995</v>
      </c>
      <c r="G145">
        <v>0.62124999999999997</v>
      </c>
      <c r="H145">
        <v>0.62338000000000005</v>
      </c>
      <c r="I145">
        <v>0.62500299999999998</v>
      </c>
      <c r="J145">
        <v>0.62612999999999996</v>
      </c>
      <c r="K145">
        <v>0.62678599999999995</v>
      </c>
      <c r="L145">
        <v>0.62695100000000004</v>
      </c>
      <c r="M145">
        <v>0.62666699999999997</v>
      </c>
      <c r="N145">
        <v>0.625996</v>
      </c>
      <c r="O145">
        <v>0.62532200000000004</v>
      </c>
      <c r="P145">
        <v>0.62465800000000005</v>
      </c>
      <c r="Q145">
        <v>0.62401899999999999</v>
      </c>
      <c r="R145">
        <v>0.62341800000000003</v>
      </c>
      <c r="S145">
        <v>0.62286600000000003</v>
      </c>
      <c r="T145">
        <v>0.62236899999999995</v>
      </c>
      <c r="U145">
        <v>0.62193399999999999</v>
      </c>
      <c r="V145">
        <v>0.62156299999999998</v>
      </c>
      <c r="W145">
        <v>0.62125799999999998</v>
      </c>
      <c r="X145">
        <v>0.62101099999999998</v>
      </c>
      <c r="Y145">
        <v>0.62081699999999995</v>
      </c>
      <c r="Z145">
        <v>0.620668</v>
      </c>
      <c r="AA145">
        <v>0.62055800000000005</v>
      </c>
      <c r="AB145">
        <v>0.620479</v>
      </c>
      <c r="AC145">
        <v>0.620425</v>
      </c>
      <c r="AD145">
        <v>0.62039</v>
      </c>
      <c r="AE145">
        <v>0.62036899999999995</v>
      </c>
      <c r="AF145">
        <v>0.62035700000000005</v>
      </c>
      <c r="AG145">
        <v>0.62035200000000001</v>
      </c>
      <c r="AH145">
        <v>0.62035200000000001</v>
      </c>
      <c r="AI145" s="9">
        <v>0</v>
      </c>
    </row>
    <row r="146" spans="1:35" x14ac:dyDescent="0.25">
      <c r="A146" t="s">
        <v>82</v>
      </c>
      <c r="B146" t="s">
        <v>346</v>
      </c>
      <c r="D146" t="s">
        <v>80</v>
      </c>
    </row>
    <row r="147" spans="1:35" x14ac:dyDescent="0.25">
      <c r="A147" t="s">
        <v>130</v>
      </c>
      <c r="B147" t="s">
        <v>347</v>
      </c>
      <c r="C147" t="s">
        <v>348</v>
      </c>
      <c r="D147" t="s">
        <v>80</v>
      </c>
      <c r="F147">
        <v>0.61202599999999996</v>
      </c>
      <c r="G147">
        <v>0.62482400000000005</v>
      </c>
      <c r="H147">
        <v>0.63609800000000005</v>
      </c>
      <c r="I147">
        <v>0.64568400000000004</v>
      </c>
      <c r="J147">
        <v>0.65360600000000002</v>
      </c>
      <c r="K147">
        <v>0.65970099999999998</v>
      </c>
      <c r="L147">
        <v>0.66387600000000002</v>
      </c>
      <c r="M147">
        <v>0.66601399999999999</v>
      </c>
      <c r="N147">
        <v>0.66605000000000003</v>
      </c>
      <c r="O147">
        <v>0.66608800000000001</v>
      </c>
      <c r="P147">
        <v>0.666126</v>
      </c>
      <c r="Q147">
        <v>0.66616399999999998</v>
      </c>
      <c r="R147">
        <v>0.66620000000000001</v>
      </c>
      <c r="S147">
        <v>0.66623500000000002</v>
      </c>
      <c r="T147">
        <v>0.66626700000000005</v>
      </c>
      <c r="U147">
        <v>0.66629700000000003</v>
      </c>
      <c r="V147">
        <v>0.666323</v>
      </c>
      <c r="W147">
        <v>0.66634599999999999</v>
      </c>
      <c r="X147">
        <v>0.66636700000000004</v>
      </c>
      <c r="Y147">
        <v>0.66638500000000001</v>
      </c>
      <c r="Z147">
        <v>0.66640100000000002</v>
      </c>
      <c r="AA147">
        <v>0.66641499999999998</v>
      </c>
      <c r="AB147">
        <v>0.66642699999999999</v>
      </c>
      <c r="AC147">
        <v>0.66643799999999997</v>
      </c>
      <c r="AD147">
        <v>0.66645100000000002</v>
      </c>
      <c r="AE147">
        <v>0.666462</v>
      </c>
      <c r="AF147">
        <v>0.66647299999999998</v>
      </c>
      <c r="AG147">
        <v>0.66648399999999997</v>
      </c>
      <c r="AH147">
        <v>0.66649499999999995</v>
      </c>
      <c r="AI147" s="9">
        <v>3.0000000000000001E-3</v>
      </c>
    </row>
    <row r="148" spans="1:35" x14ac:dyDescent="0.25">
      <c r="A148" t="s">
        <v>133</v>
      </c>
      <c r="B148" t="s">
        <v>349</v>
      </c>
      <c r="C148" t="s">
        <v>350</v>
      </c>
      <c r="D148" t="s">
        <v>80</v>
      </c>
      <c r="F148">
        <v>0.61203399999999997</v>
      </c>
      <c r="G148">
        <v>0.62484200000000001</v>
      </c>
      <c r="H148">
        <v>0.63612000000000002</v>
      </c>
      <c r="I148">
        <v>0.64570799999999995</v>
      </c>
      <c r="J148">
        <v>0.65362299999999995</v>
      </c>
      <c r="K148">
        <v>0.65970799999999996</v>
      </c>
      <c r="L148">
        <v>0.66386900000000004</v>
      </c>
      <c r="M148">
        <v>0.665995</v>
      </c>
      <c r="N148">
        <v>0.66602700000000004</v>
      </c>
      <c r="O148">
        <v>0.66606100000000001</v>
      </c>
      <c r="P148">
        <v>0.66609399999999996</v>
      </c>
      <c r="Q148">
        <v>0.66612700000000002</v>
      </c>
      <c r="R148">
        <v>0.66615800000000003</v>
      </c>
      <c r="S148">
        <v>0.66618699999999997</v>
      </c>
      <c r="T148">
        <v>0.66621399999999997</v>
      </c>
      <c r="U148">
        <v>0.66623900000000003</v>
      </c>
      <c r="V148">
        <v>0.66626099999999999</v>
      </c>
      <c r="W148">
        <v>0.66627999999999998</v>
      </c>
      <c r="X148">
        <v>0.66629799999999995</v>
      </c>
      <c r="Y148">
        <v>0.66631300000000004</v>
      </c>
      <c r="Z148">
        <v>0.66632599999999997</v>
      </c>
      <c r="AA148">
        <v>0.66633900000000001</v>
      </c>
      <c r="AB148">
        <v>0.66635</v>
      </c>
      <c r="AC148">
        <v>0.66636099999999998</v>
      </c>
      <c r="AD148">
        <v>0.66637299999999999</v>
      </c>
      <c r="AE148">
        <v>0.66638500000000001</v>
      </c>
      <c r="AF148">
        <v>0.66639599999999999</v>
      </c>
      <c r="AG148">
        <v>0.666408</v>
      </c>
      <c r="AH148">
        <v>0.66641799999999995</v>
      </c>
      <c r="AI148" s="9">
        <v>3.0000000000000001E-3</v>
      </c>
    </row>
    <row r="149" spans="1:35" x14ac:dyDescent="0.25">
      <c r="A149" t="s">
        <v>83</v>
      </c>
      <c r="B149" t="s">
        <v>351</v>
      </c>
      <c r="D149" t="s">
        <v>80</v>
      </c>
    </row>
    <row r="150" spans="1:35" x14ac:dyDescent="0.25">
      <c r="A150" t="s">
        <v>130</v>
      </c>
      <c r="B150" t="s">
        <v>352</v>
      </c>
      <c r="C150" t="s">
        <v>353</v>
      </c>
      <c r="D150" t="s">
        <v>80</v>
      </c>
      <c r="F150">
        <v>0.60749900000000001</v>
      </c>
      <c r="G150">
        <v>0.61108300000000004</v>
      </c>
      <c r="H150">
        <v>0.61430200000000001</v>
      </c>
      <c r="I150">
        <v>0.61690100000000003</v>
      </c>
      <c r="J150">
        <v>0.61893799999999999</v>
      </c>
      <c r="K150">
        <v>0.62044200000000005</v>
      </c>
      <c r="L150">
        <v>0.621421</v>
      </c>
      <c r="M150">
        <v>0.62188699999999997</v>
      </c>
      <c r="N150">
        <v>0.62184200000000001</v>
      </c>
      <c r="O150">
        <v>0.62180500000000005</v>
      </c>
      <c r="P150">
        <v>0.62179899999999999</v>
      </c>
      <c r="Q150">
        <v>0.62147699999999995</v>
      </c>
      <c r="R150">
        <v>0.62112699999999998</v>
      </c>
      <c r="S150">
        <v>0.62076200000000004</v>
      </c>
      <c r="T150">
        <v>0.62038499999999996</v>
      </c>
      <c r="U150">
        <v>0.62000299999999997</v>
      </c>
      <c r="V150">
        <v>0.61962799999999996</v>
      </c>
      <c r="W150">
        <v>0.61926400000000004</v>
      </c>
      <c r="X150">
        <v>0.618919</v>
      </c>
      <c r="Y150">
        <v>0.61860000000000004</v>
      </c>
      <c r="Z150">
        <v>0.61831199999999997</v>
      </c>
      <c r="AA150">
        <v>0.61805500000000002</v>
      </c>
      <c r="AB150">
        <v>0.61783200000000005</v>
      </c>
      <c r="AC150">
        <v>0.61764300000000005</v>
      </c>
      <c r="AD150">
        <v>0.61748800000000004</v>
      </c>
      <c r="AE150">
        <v>0.61736400000000002</v>
      </c>
      <c r="AF150">
        <v>0.61726599999999998</v>
      </c>
      <c r="AG150">
        <v>0.61719299999999999</v>
      </c>
      <c r="AH150">
        <v>0.61713799999999996</v>
      </c>
      <c r="AI150" s="9">
        <v>1E-3</v>
      </c>
    </row>
    <row r="151" spans="1:35" x14ac:dyDescent="0.25">
      <c r="A151" t="s">
        <v>133</v>
      </c>
      <c r="B151" t="s">
        <v>354</v>
      </c>
      <c r="C151" t="s">
        <v>355</v>
      </c>
      <c r="D151" t="s">
        <v>80</v>
      </c>
      <c r="F151">
        <v>0.60726599999999997</v>
      </c>
      <c r="G151">
        <v>0.61006000000000005</v>
      </c>
      <c r="H151">
        <v>0.61248000000000002</v>
      </c>
      <c r="I151">
        <v>0.61450499999999997</v>
      </c>
      <c r="J151">
        <v>0.61613399999999996</v>
      </c>
      <c r="K151">
        <v>0.61734599999999995</v>
      </c>
      <c r="L151">
        <v>0.61811300000000002</v>
      </c>
      <c r="M151">
        <v>0.61842200000000003</v>
      </c>
      <c r="N151">
        <v>0.61826499999999995</v>
      </c>
      <c r="O151">
        <v>0.61810200000000004</v>
      </c>
      <c r="P151">
        <v>0.61793799999999999</v>
      </c>
      <c r="Q151">
        <v>0.61777499999999996</v>
      </c>
      <c r="R151">
        <v>0.61761900000000003</v>
      </c>
      <c r="S151">
        <v>0.61747200000000002</v>
      </c>
      <c r="T151">
        <v>0.61733800000000005</v>
      </c>
      <c r="U151">
        <v>0.61722100000000002</v>
      </c>
      <c r="V151">
        <v>0.61712500000000003</v>
      </c>
      <c r="W151">
        <v>0.61704899999999996</v>
      </c>
      <c r="X151">
        <v>0.61699199999999998</v>
      </c>
      <c r="Y151">
        <v>0.61695100000000003</v>
      </c>
      <c r="Z151">
        <v>0.616923</v>
      </c>
      <c r="AA151">
        <v>0.61690800000000001</v>
      </c>
      <c r="AB151">
        <v>0.61690299999999998</v>
      </c>
      <c r="AC151">
        <v>0.61690699999999998</v>
      </c>
      <c r="AD151">
        <v>0.616919</v>
      </c>
      <c r="AE151">
        <v>0.61693600000000004</v>
      </c>
      <c r="AF151">
        <v>0.61695699999999998</v>
      </c>
      <c r="AG151">
        <v>0.61697900000000006</v>
      </c>
      <c r="AH151">
        <v>0.61700299999999997</v>
      </c>
      <c r="AI151" s="9">
        <v>1E-3</v>
      </c>
    </row>
    <row r="152" spans="1:35" x14ac:dyDescent="0.25">
      <c r="A152" t="s">
        <v>84</v>
      </c>
    </row>
    <row r="153" spans="1:35" x14ac:dyDescent="0.25">
      <c r="A153" t="s">
        <v>60</v>
      </c>
      <c r="B153" t="s">
        <v>356</v>
      </c>
      <c r="D153" t="s">
        <v>85</v>
      </c>
    </row>
    <row r="154" spans="1:35" x14ac:dyDescent="0.25">
      <c r="A154" t="s">
        <v>130</v>
      </c>
      <c r="B154" t="s">
        <v>357</v>
      </c>
      <c r="C154" t="s">
        <v>358</v>
      </c>
      <c r="D154" t="s">
        <v>85</v>
      </c>
      <c r="F154">
        <v>601.62268100000006</v>
      </c>
      <c r="G154">
        <v>591.79913299999998</v>
      </c>
      <c r="H154">
        <v>582.51690699999995</v>
      </c>
      <c r="I154">
        <v>573.78015100000005</v>
      </c>
      <c r="J154">
        <v>565.58648700000003</v>
      </c>
      <c r="K154">
        <v>557.91094999999996</v>
      </c>
      <c r="L154">
        <v>550.73449700000003</v>
      </c>
      <c r="M154">
        <v>544.04510500000004</v>
      </c>
      <c r="N154">
        <v>537.87042199999996</v>
      </c>
      <c r="O154">
        <v>532.28186000000005</v>
      </c>
      <c r="P154">
        <v>527.24188200000003</v>
      </c>
      <c r="Q154">
        <v>522.74560499999995</v>
      </c>
      <c r="R154">
        <v>518.78698699999995</v>
      </c>
      <c r="S154">
        <v>515.33673099999999</v>
      </c>
      <c r="T154">
        <v>512.38696300000004</v>
      </c>
      <c r="U154">
        <v>509.909851</v>
      </c>
      <c r="V154">
        <v>507.92584199999999</v>
      </c>
      <c r="W154">
        <v>506.40896600000002</v>
      </c>
      <c r="X154">
        <v>505.38198899999998</v>
      </c>
      <c r="Y154">
        <v>504.868134</v>
      </c>
      <c r="Z154">
        <v>504.854218</v>
      </c>
      <c r="AA154">
        <v>504.83514400000001</v>
      </c>
      <c r="AB154">
        <v>504.81170700000001</v>
      </c>
      <c r="AC154">
        <v>504.784088</v>
      </c>
      <c r="AD154">
        <v>504.754211</v>
      </c>
      <c r="AE154">
        <v>504.723907</v>
      </c>
      <c r="AF154">
        <v>504.69354199999998</v>
      </c>
      <c r="AG154">
        <v>504.666382</v>
      </c>
      <c r="AH154">
        <v>504.64325000000002</v>
      </c>
      <c r="AI154" s="9">
        <v>-6.0000000000000001E-3</v>
      </c>
    </row>
    <row r="155" spans="1:35" x14ac:dyDescent="0.25">
      <c r="A155" t="s">
        <v>133</v>
      </c>
      <c r="B155" t="s">
        <v>359</v>
      </c>
      <c r="C155" t="s">
        <v>360</v>
      </c>
      <c r="D155" t="s">
        <v>85</v>
      </c>
      <c r="F155">
        <v>601.62194799999997</v>
      </c>
      <c r="G155">
        <v>591.79669200000001</v>
      </c>
      <c r="H155">
        <v>582.51928699999996</v>
      </c>
      <c r="I155">
        <v>573.78539999999998</v>
      </c>
      <c r="J155">
        <v>565.58746299999996</v>
      </c>
      <c r="K155">
        <v>557.90130599999998</v>
      </c>
      <c r="L155">
        <v>550.71087599999998</v>
      </c>
      <c r="M155">
        <v>544.00665300000003</v>
      </c>
      <c r="N155">
        <v>537.81805399999996</v>
      </c>
      <c r="O155">
        <v>532.21466099999998</v>
      </c>
      <c r="P155">
        <v>527.15930200000003</v>
      </c>
      <c r="Q155">
        <v>522.64739999999995</v>
      </c>
      <c r="R155">
        <v>518.67541500000004</v>
      </c>
      <c r="S155">
        <v>515.20989999999995</v>
      </c>
      <c r="T155">
        <v>512.24658199999999</v>
      </c>
      <c r="U155">
        <v>509.75839200000001</v>
      </c>
      <c r="V155">
        <v>507.76501500000001</v>
      </c>
      <c r="W155">
        <v>506.23937999999998</v>
      </c>
      <c r="X155">
        <v>505.20517000000001</v>
      </c>
      <c r="Y155">
        <v>504.68606599999998</v>
      </c>
      <c r="Z155">
        <v>504.66882299999997</v>
      </c>
      <c r="AA155">
        <v>504.64883400000002</v>
      </c>
      <c r="AB155">
        <v>504.62683099999998</v>
      </c>
      <c r="AC155">
        <v>504.603363</v>
      </c>
      <c r="AD155">
        <v>504.578552</v>
      </c>
      <c r="AE155">
        <v>504.55423000000002</v>
      </c>
      <c r="AF155">
        <v>504.53149400000001</v>
      </c>
      <c r="AG155">
        <v>504.51309199999997</v>
      </c>
      <c r="AH155">
        <v>504.49899299999998</v>
      </c>
      <c r="AI155" s="9">
        <v>-6.0000000000000001E-3</v>
      </c>
    </row>
    <row r="156" spans="1:35" x14ac:dyDescent="0.25">
      <c r="A156" t="s">
        <v>61</v>
      </c>
      <c r="B156" t="s">
        <v>361</v>
      </c>
      <c r="D156" t="s">
        <v>85</v>
      </c>
    </row>
    <row r="157" spans="1:35" x14ac:dyDescent="0.25">
      <c r="A157" t="s">
        <v>130</v>
      </c>
      <c r="B157" t="s">
        <v>362</v>
      </c>
      <c r="C157" t="s">
        <v>363</v>
      </c>
      <c r="D157" t="s">
        <v>85</v>
      </c>
      <c r="F157">
        <v>448.44433600000002</v>
      </c>
      <c r="G157">
        <v>443.66037</v>
      </c>
      <c r="H157">
        <v>438.783051</v>
      </c>
      <c r="I157">
        <v>433.82998700000002</v>
      </c>
      <c r="J157">
        <v>428.81097399999999</v>
      </c>
      <c r="K157">
        <v>423.76275600000002</v>
      </c>
      <c r="L157">
        <v>418.95931999999999</v>
      </c>
      <c r="M157">
        <v>414.39859000000001</v>
      </c>
      <c r="N157">
        <v>410.096924</v>
      </c>
      <c r="O157">
        <v>406.03283699999997</v>
      </c>
      <c r="P157">
        <v>402.185699</v>
      </c>
      <c r="Q157">
        <v>398.57708700000001</v>
      </c>
      <c r="R157">
        <v>395.21826199999998</v>
      </c>
      <c r="S157">
        <v>392.090485</v>
      </c>
      <c r="T157">
        <v>389.228455</v>
      </c>
      <c r="U157">
        <v>386.60855099999998</v>
      </c>
      <c r="V157">
        <v>384.24060100000003</v>
      </c>
      <c r="W157">
        <v>382.10922199999999</v>
      </c>
      <c r="X157">
        <v>380.19821200000001</v>
      </c>
      <c r="Y157">
        <v>378.55282599999998</v>
      </c>
      <c r="Z157">
        <v>377.15033</v>
      </c>
      <c r="AA157">
        <v>376.024902</v>
      </c>
      <c r="AB157">
        <v>375.19430499999999</v>
      </c>
      <c r="AC157">
        <v>374.65905800000002</v>
      </c>
      <c r="AD157">
        <v>374.41220099999998</v>
      </c>
      <c r="AE157">
        <v>374.40713499999998</v>
      </c>
      <c r="AF157">
        <v>374.40103099999999</v>
      </c>
      <c r="AG157">
        <v>374.39468399999998</v>
      </c>
      <c r="AH157">
        <v>374.38818400000002</v>
      </c>
      <c r="AI157" s="9">
        <v>-6.0000000000000001E-3</v>
      </c>
    </row>
    <row r="158" spans="1:35" x14ac:dyDescent="0.25">
      <c r="A158" t="s">
        <v>133</v>
      </c>
      <c r="B158" t="s">
        <v>364</v>
      </c>
      <c r="C158" t="s">
        <v>365</v>
      </c>
      <c r="D158" t="s">
        <v>85</v>
      </c>
      <c r="F158">
        <v>448.44415300000003</v>
      </c>
      <c r="G158">
        <v>443.65960699999999</v>
      </c>
      <c r="H158">
        <v>438.78497299999998</v>
      </c>
      <c r="I158">
        <v>433.83548000000002</v>
      </c>
      <c r="J158">
        <v>428.81518599999998</v>
      </c>
      <c r="K158">
        <v>423.76248199999998</v>
      </c>
      <c r="L158">
        <v>418.95367399999998</v>
      </c>
      <c r="M158">
        <v>414.388733</v>
      </c>
      <c r="N158">
        <v>410.08453400000002</v>
      </c>
      <c r="O158">
        <v>406.01892099999998</v>
      </c>
      <c r="P158">
        <v>402.16940299999999</v>
      </c>
      <c r="Q158">
        <v>398.55798299999998</v>
      </c>
      <c r="R158">
        <v>395.19570900000002</v>
      </c>
      <c r="S158">
        <v>392.06347699999998</v>
      </c>
      <c r="T158">
        <v>389.197113</v>
      </c>
      <c r="U158">
        <v>386.573486</v>
      </c>
      <c r="V158">
        <v>384.20236199999999</v>
      </c>
      <c r="W158">
        <v>382.06750499999998</v>
      </c>
      <c r="X158">
        <v>380.15304600000002</v>
      </c>
      <c r="Y158">
        <v>378.50424199999998</v>
      </c>
      <c r="Z158">
        <v>377.09826700000002</v>
      </c>
      <c r="AA158">
        <v>375.97067299999998</v>
      </c>
      <c r="AB158">
        <v>375.13851899999997</v>
      </c>
      <c r="AC158">
        <v>374.60223400000001</v>
      </c>
      <c r="AD158">
        <v>374.35461400000003</v>
      </c>
      <c r="AE158">
        <v>374.34927399999998</v>
      </c>
      <c r="AF158">
        <v>374.34335299999998</v>
      </c>
      <c r="AG158">
        <v>374.33752399999997</v>
      </c>
      <c r="AH158">
        <v>374.332245</v>
      </c>
      <c r="AI158" s="9">
        <v>-6.0000000000000001E-3</v>
      </c>
    </row>
    <row r="159" spans="1:35" x14ac:dyDescent="0.25">
      <c r="A159" t="s">
        <v>86</v>
      </c>
    </row>
    <row r="160" spans="1:35" x14ac:dyDescent="0.25">
      <c r="A160" t="s">
        <v>87</v>
      </c>
    </row>
    <row r="161" spans="1:35" x14ac:dyDescent="0.25">
      <c r="A161" t="s">
        <v>88</v>
      </c>
      <c r="B161" t="s">
        <v>366</v>
      </c>
      <c r="D161" t="s">
        <v>89</v>
      </c>
    </row>
    <row r="162" spans="1:35" x14ac:dyDescent="0.25">
      <c r="A162" t="s">
        <v>130</v>
      </c>
      <c r="B162" t="s">
        <v>367</v>
      </c>
      <c r="C162" t="s">
        <v>368</v>
      </c>
      <c r="D162" t="s">
        <v>89</v>
      </c>
      <c r="F162">
        <v>0.94953100000000001</v>
      </c>
      <c r="G162">
        <v>0.94127099999999997</v>
      </c>
      <c r="H162">
        <v>0.93554700000000002</v>
      </c>
      <c r="I162">
        <v>0.93102499999999999</v>
      </c>
      <c r="J162">
        <v>0.92638399999999999</v>
      </c>
      <c r="K162">
        <v>0.92128699999999997</v>
      </c>
      <c r="L162">
        <v>0.91575700000000004</v>
      </c>
      <c r="M162">
        <v>0.90954000000000002</v>
      </c>
      <c r="N162">
        <v>0.90287099999999998</v>
      </c>
      <c r="O162">
        <v>0.89591500000000002</v>
      </c>
      <c r="P162">
        <v>0.88890000000000002</v>
      </c>
      <c r="Q162">
        <v>0.88168100000000005</v>
      </c>
      <c r="R162">
        <v>0.87443599999999999</v>
      </c>
      <c r="S162">
        <v>0.867313</v>
      </c>
      <c r="T162">
        <v>0.86033800000000005</v>
      </c>
      <c r="U162">
        <v>0.85336199999999995</v>
      </c>
      <c r="V162">
        <v>0.84626699999999999</v>
      </c>
      <c r="W162">
        <v>0.83930400000000005</v>
      </c>
      <c r="X162">
        <v>0.83236500000000002</v>
      </c>
      <c r="Y162">
        <v>0.82543699999999998</v>
      </c>
      <c r="Z162">
        <v>0.81860599999999994</v>
      </c>
      <c r="AA162">
        <v>0.81191500000000005</v>
      </c>
      <c r="AB162">
        <v>0.80532999999999999</v>
      </c>
      <c r="AC162">
        <v>0.79865799999999998</v>
      </c>
      <c r="AD162">
        <v>0.79166199999999998</v>
      </c>
      <c r="AE162">
        <v>0.78482300000000005</v>
      </c>
      <c r="AF162">
        <v>0.77819700000000003</v>
      </c>
      <c r="AG162">
        <v>0.77168199999999998</v>
      </c>
      <c r="AH162">
        <v>0.76516499999999998</v>
      </c>
      <c r="AI162" s="9">
        <v>-8.0000000000000002E-3</v>
      </c>
    </row>
    <row r="163" spans="1:35" x14ac:dyDescent="0.25">
      <c r="A163" t="s">
        <v>133</v>
      </c>
      <c r="B163" t="s">
        <v>369</v>
      </c>
      <c r="C163" t="s">
        <v>370</v>
      </c>
      <c r="D163" t="s">
        <v>89</v>
      </c>
      <c r="F163">
        <v>0.94952499999999995</v>
      </c>
      <c r="G163">
        <v>0.94133999999999995</v>
      </c>
      <c r="H163">
        <v>0.93574299999999999</v>
      </c>
      <c r="I163">
        <v>0.93123699999999998</v>
      </c>
      <c r="J163">
        <v>0.92632700000000001</v>
      </c>
      <c r="K163">
        <v>0.92069999999999996</v>
      </c>
      <c r="L163">
        <v>0.91460300000000005</v>
      </c>
      <c r="M163">
        <v>0.90795199999999998</v>
      </c>
      <c r="N163">
        <v>0.90096299999999996</v>
      </c>
      <c r="O163">
        <v>0.89383400000000002</v>
      </c>
      <c r="P163">
        <v>0.88678000000000001</v>
      </c>
      <c r="Q163">
        <v>0.87973299999999999</v>
      </c>
      <c r="R163">
        <v>0.87277000000000005</v>
      </c>
      <c r="S163">
        <v>0.86589700000000003</v>
      </c>
      <c r="T163">
        <v>0.85908499999999999</v>
      </c>
      <c r="U163">
        <v>0.85220799999999997</v>
      </c>
      <c r="V163">
        <v>0.84510099999999999</v>
      </c>
      <c r="W163">
        <v>0.83790699999999996</v>
      </c>
      <c r="X163">
        <v>0.83094199999999996</v>
      </c>
      <c r="Y163">
        <v>0.82416699999999998</v>
      </c>
      <c r="Z163">
        <v>0.81748500000000002</v>
      </c>
      <c r="AA163">
        <v>0.81083899999999998</v>
      </c>
      <c r="AB163">
        <v>0.80425400000000002</v>
      </c>
      <c r="AC163">
        <v>0.79766099999999995</v>
      </c>
      <c r="AD163">
        <v>0.79106699999999996</v>
      </c>
      <c r="AE163">
        <v>0.78443799999999997</v>
      </c>
      <c r="AF163">
        <v>0.77788299999999999</v>
      </c>
      <c r="AG163">
        <v>0.77138600000000002</v>
      </c>
      <c r="AH163">
        <v>0.76489499999999999</v>
      </c>
      <c r="AI163" s="9">
        <v>-8.0000000000000002E-3</v>
      </c>
    </row>
    <row r="164" spans="1:35" x14ac:dyDescent="0.25">
      <c r="A164" t="s">
        <v>90</v>
      </c>
      <c r="B164" t="s">
        <v>371</v>
      </c>
      <c r="D164" t="s">
        <v>89</v>
      </c>
    </row>
    <row r="165" spans="1:35" x14ac:dyDescent="0.25">
      <c r="A165" t="s">
        <v>130</v>
      </c>
      <c r="B165" t="s">
        <v>372</v>
      </c>
      <c r="C165" t="s">
        <v>373</v>
      </c>
      <c r="D165" t="s">
        <v>89</v>
      </c>
      <c r="F165">
        <v>0.83860299999999999</v>
      </c>
      <c r="G165">
        <v>0.78499600000000003</v>
      </c>
      <c r="H165">
        <v>0.77750900000000001</v>
      </c>
      <c r="I165">
        <v>0.77489200000000003</v>
      </c>
      <c r="J165">
        <v>0.77625999999999995</v>
      </c>
      <c r="K165">
        <v>0.77675099999999997</v>
      </c>
      <c r="L165">
        <v>0.77603100000000003</v>
      </c>
      <c r="M165">
        <v>0.77386299999999997</v>
      </c>
      <c r="N165">
        <v>0.77132599999999996</v>
      </c>
      <c r="O165">
        <v>0.76937999999999995</v>
      </c>
      <c r="P165">
        <v>0.767984</v>
      </c>
      <c r="Q165">
        <v>0.88259100000000001</v>
      </c>
      <c r="R165">
        <v>0.88158700000000001</v>
      </c>
      <c r="S165">
        <v>0.88260099999999997</v>
      </c>
      <c r="T165">
        <v>0.88222900000000004</v>
      </c>
      <c r="U165">
        <v>0.88222599999999995</v>
      </c>
      <c r="V165">
        <v>0.882243</v>
      </c>
      <c r="W165">
        <v>0.88229599999999997</v>
      </c>
      <c r="X165">
        <v>0.88129299999999999</v>
      </c>
      <c r="Y165">
        <v>0.87935600000000003</v>
      </c>
      <c r="Z165">
        <v>0.87853700000000001</v>
      </c>
      <c r="AA165">
        <v>0.87742399999999998</v>
      </c>
      <c r="AB165">
        <v>0.87608200000000003</v>
      </c>
      <c r="AC165">
        <v>0.87481500000000001</v>
      </c>
      <c r="AD165">
        <v>0.87347799999999998</v>
      </c>
      <c r="AE165">
        <v>0.87382300000000002</v>
      </c>
      <c r="AF165">
        <v>0.87375999999999998</v>
      </c>
      <c r="AG165">
        <v>0.87424900000000005</v>
      </c>
      <c r="AH165">
        <v>0.87474700000000005</v>
      </c>
      <c r="AI165" s="9">
        <v>2E-3</v>
      </c>
    </row>
    <row r="166" spans="1:35" x14ac:dyDescent="0.25">
      <c r="A166" t="s">
        <v>133</v>
      </c>
      <c r="B166" t="s">
        <v>374</v>
      </c>
      <c r="C166" t="s">
        <v>375</v>
      </c>
      <c r="D166" t="s">
        <v>89</v>
      </c>
      <c r="F166">
        <v>0.90902400000000005</v>
      </c>
      <c r="G166">
        <v>0.89299700000000004</v>
      </c>
      <c r="H166">
        <v>0.88883500000000004</v>
      </c>
      <c r="I166">
        <v>0.88724499999999995</v>
      </c>
      <c r="J166">
        <v>0.88867600000000002</v>
      </c>
      <c r="K166">
        <v>0.88900999999999997</v>
      </c>
      <c r="L166">
        <v>0.88832800000000001</v>
      </c>
      <c r="M166">
        <v>0.88679300000000005</v>
      </c>
      <c r="N166">
        <v>0.88521899999999998</v>
      </c>
      <c r="O166">
        <v>0.88455499999999998</v>
      </c>
      <c r="P166">
        <v>0.88441099999999995</v>
      </c>
      <c r="Q166">
        <v>0.88360700000000003</v>
      </c>
      <c r="R166">
        <v>0.882857</v>
      </c>
      <c r="S166">
        <v>0.88198900000000002</v>
      </c>
      <c r="T166">
        <v>0.88150399999999995</v>
      </c>
      <c r="U166">
        <v>0.88148099999999996</v>
      </c>
      <c r="V166">
        <v>0.88150899999999999</v>
      </c>
      <c r="W166">
        <v>0.88115200000000005</v>
      </c>
      <c r="X166">
        <v>0.88052900000000001</v>
      </c>
      <c r="Y166">
        <v>0.87891699999999995</v>
      </c>
      <c r="Z166">
        <v>0.87794799999999995</v>
      </c>
      <c r="AA166">
        <v>0.876637</v>
      </c>
      <c r="AB166">
        <v>0.87503299999999995</v>
      </c>
      <c r="AC166">
        <v>0.87379399999999996</v>
      </c>
      <c r="AD166">
        <v>0.87299400000000005</v>
      </c>
      <c r="AE166">
        <v>0.87336000000000003</v>
      </c>
      <c r="AF166">
        <v>0.87367099999999998</v>
      </c>
      <c r="AG166">
        <v>0.87429100000000004</v>
      </c>
      <c r="AH166">
        <v>0.87444299999999997</v>
      </c>
      <c r="AI166" s="9">
        <v>-1E-3</v>
      </c>
    </row>
    <row r="167" spans="1:35" x14ac:dyDescent="0.25">
      <c r="A167" t="s">
        <v>91</v>
      </c>
      <c r="B167" t="s">
        <v>376</v>
      </c>
      <c r="D167" t="s">
        <v>89</v>
      </c>
    </row>
    <row r="168" spans="1:35" x14ac:dyDescent="0.25">
      <c r="A168" t="s">
        <v>130</v>
      </c>
      <c r="B168" t="s">
        <v>377</v>
      </c>
      <c r="C168" t="s">
        <v>378</v>
      </c>
      <c r="D168" t="s">
        <v>89</v>
      </c>
      <c r="F168">
        <v>0.94170200000000004</v>
      </c>
      <c r="G168">
        <v>0.93232700000000002</v>
      </c>
      <c r="H168">
        <v>0.92535100000000003</v>
      </c>
      <c r="I168">
        <v>0.91953300000000004</v>
      </c>
      <c r="J168">
        <v>0.91376199999999996</v>
      </c>
      <c r="K168">
        <v>0.907725</v>
      </c>
      <c r="L168">
        <v>0.90143600000000002</v>
      </c>
      <c r="M168">
        <v>0.89469200000000004</v>
      </c>
      <c r="N168">
        <v>0.88771699999999998</v>
      </c>
      <c r="O168">
        <v>0.88065199999999999</v>
      </c>
      <c r="P168">
        <v>0.87367799999999995</v>
      </c>
      <c r="Q168">
        <v>0.867923</v>
      </c>
      <c r="R168">
        <v>0.86223499999999997</v>
      </c>
      <c r="S168">
        <v>0.85676600000000003</v>
      </c>
      <c r="T168">
        <v>0.85151900000000003</v>
      </c>
      <c r="U168">
        <v>0.84637300000000004</v>
      </c>
      <c r="V168">
        <v>0.84123400000000004</v>
      </c>
      <c r="W168">
        <v>0.83629399999999998</v>
      </c>
      <c r="X168">
        <v>0.83145999999999998</v>
      </c>
      <c r="Y168">
        <v>0.82670900000000003</v>
      </c>
      <c r="Z168">
        <v>0.82210700000000003</v>
      </c>
      <c r="AA168">
        <v>0.81767999999999996</v>
      </c>
      <c r="AB168">
        <v>0.81339499999999998</v>
      </c>
      <c r="AC168">
        <v>0.80911299999999997</v>
      </c>
      <c r="AD168">
        <v>0.80466000000000004</v>
      </c>
      <c r="AE168">
        <v>0.80039899999999997</v>
      </c>
      <c r="AF168">
        <v>0.79635699999999998</v>
      </c>
      <c r="AG168">
        <v>0.79246099999999997</v>
      </c>
      <c r="AH168">
        <v>0.78863000000000005</v>
      </c>
      <c r="AI168" s="9">
        <v>-6.0000000000000001E-3</v>
      </c>
    </row>
    <row r="169" spans="1:35" x14ac:dyDescent="0.25">
      <c r="A169" t="s">
        <v>133</v>
      </c>
      <c r="B169" t="s">
        <v>379</v>
      </c>
      <c r="C169" t="s">
        <v>380</v>
      </c>
      <c r="D169" t="s">
        <v>89</v>
      </c>
      <c r="F169">
        <v>0.94286199999999998</v>
      </c>
      <c r="G169">
        <v>0.93483400000000005</v>
      </c>
      <c r="H169">
        <v>0.92926600000000004</v>
      </c>
      <c r="I169">
        <v>0.92476599999999998</v>
      </c>
      <c r="J169">
        <v>0.92003100000000004</v>
      </c>
      <c r="K169">
        <v>0.91478800000000005</v>
      </c>
      <c r="L169">
        <v>0.90925500000000004</v>
      </c>
      <c r="M169">
        <v>0.90336499999999997</v>
      </c>
      <c r="N169">
        <v>0.89731300000000003</v>
      </c>
      <c r="O169">
        <v>0.89127199999999995</v>
      </c>
      <c r="P169">
        <v>0.88541999999999998</v>
      </c>
      <c r="Q169">
        <v>0.87968800000000003</v>
      </c>
      <c r="R169">
        <v>0.87413200000000002</v>
      </c>
      <c r="S169">
        <v>0.86875000000000002</v>
      </c>
      <c r="T169">
        <v>0.86351800000000001</v>
      </c>
      <c r="U169">
        <v>0.85833599999999999</v>
      </c>
      <c r="V169">
        <v>0.85307999999999995</v>
      </c>
      <c r="W169">
        <v>0.84785299999999997</v>
      </c>
      <c r="X169">
        <v>0.84289599999999998</v>
      </c>
      <c r="Y169">
        <v>0.83816199999999996</v>
      </c>
      <c r="Z169">
        <v>0.83357499999999995</v>
      </c>
      <c r="AA169">
        <v>0.82908300000000001</v>
      </c>
      <c r="AB169">
        <v>0.82469899999999996</v>
      </c>
      <c r="AC169">
        <v>0.82037199999999999</v>
      </c>
      <c r="AD169">
        <v>0.81611</v>
      </c>
      <c r="AE169">
        <v>0.81189900000000004</v>
      </c>
      <c r="AF169">
        <v>0.807813</v>
      </c>
      <c r="AG169">
        <v>0.80384299999999997</v>
      </c>
      <c r="AH169">
        <v>0.79993999999999998</v>
      </c>
      <c r="AI169" s="9">
        <v>-6.0000000000000001E-3</v>
      </c>
    </row>
    <row r="170" spans="1:35" x14ac:dyDescent="0.25">
      <c r="A170" t="s">
        <v>71</v>
      </c>
    </row>
    <row r="171" spans="1:35" x14ac:dyDescent="0.25">
      <c r="A171" t="s">
        <v>88</v>
      </c>
      <c r="B171" t="s">
        <v>381</v>
      </c>
      <c r="D171" t="s">
        <v>89</v>
      </c>
    </row>
    <row r="172" spans="1:35" x14ac:dyDescent="0.25">
      <c r="A172" t="s">
        <v>130</v>
      </c>
      <c r="B172" t="s">
        <v>382</v>
      </c>
      <c r="C172" t="s">
        <v>383</v>
      </c>
      <c r="D172" t="s">
        <v>89</v>
      </c>
      <c r="F172">
        <v>0.98205299999999995</v>
      </c>
      <c r="G172">
        <v>0.97907100000000002</v>
      </c>
      <c r="H172">
        <v>0.97709199999999996</v>
      </c>
      <c r="I172">
        <v>0.97557099999999997</v>
      </c>
      <c r="J172">
        <v>0.97395100000000001</v>
      </c>
      <c r="K172">
        <v>0.97213400000000005</v>
      </c>
      <c r="L172">
        <v>0.97014599999999995</v>
      </c>
      <c r="M172">
        <v>0.96789800000000004</v>
      </c>
      <c r="N172">
        <v>0.96549499999999999</v>
      </c>
      <c r="O172">
        <v>0.96298799999999996</v>
      </c>
      <c r="P172">
        <v>0.96045700000000001</v>
      </c>
      <c r="Q172">
        <v>0.95786800000000005</v>
      </c>
      <c r="R172">
        <v>0.95526999999999995</v>
      </c>
      <c r="S172">
        <v>0.952708</v>
      </c>
      <c r="T172">
        <v>0.95018999999999998</v>
      </c>
      <c r="U172">
        <v>0.94767299999999999</v>
      </c>
      <c r="V172">
        <v>0.94510700000000003</v>
      </c>
      <c r="W172">
        <v>0.94257999999999997</v>
      </c>
      <c r="X172">
        <v>0.940056</v>
      </c>
      <c r="Y172">
        <v>0.93752199999999997</v>
      </c>
      <c r="Z172">
        <v>0.93502399999999997</v>
      </c>
      <c r="AA172">
        <v>0.93257100000000004</v>
      </c>
      <c r="AB172">
        <v>0.93016299999999996</v>
      </c>
      <c r="AC172">
        <v>0.92771400000000004</v>
      </c>
      <c r="AD172">
        <v>0.92511900000000002</v>
      </c>
      <c r="AE172">
        <v>0.92258799999999996</v>
      </c>
      <c r="AF172">
        <v>0.92013699999999998</v>
      </c>
      <c r="AG172">
        <v>0.91773000000000005</v>
      </c>
      <c r="AH172">
        <v>0.91531200000000001</v>
      </c>
      <c r="AI172" s="9">
        <v>-3.0000000000000001E-3</v>
      </c>
    </row>
    <row r="173" spans="1:35" x14ac:dyDescent="0.25">
      <c r="A173" t="s">
        <v>133</v>
      </c>
      <c r="B173" t="s">
        <v>384</v>
      </c>
      <c r="C173" t="s">
        <v>385</v>
      </c>
      <c r="D173" t="s">
        <v>89</v>
      </c>
      <c r="F173">
        <v>0.98205200000000004</v>
      </c>
      <c r="G173">
        <v>0.97910699999999995</v>
      </c>
      <c r="H173">
        <v>0.97717200000000004</v>
      </c>
      <c r="I173">
        <v>0.97565800000000003</v>
      </c>
      <c r="J173">
        <v>0.97394800000000004</v>
      </c>
      <c r="K173">
        <v>0.97195699999999996</v>
      </c>
      <c r="L173">
        <v>0.96978900000000001</v>
      </c>
      <c r="M173">
        <v>0.96741100000000002</v>
      </c>
      <c r="N173">
        <v>0.96490900000000002</v>
      </c>
      <c r="O173">
        <v>0.96234600000000003</v>
      </c>
      <c r="P173">
        <v>0.95980799999999999</v>
      </c>
      <c r="Q173">
        <v>0.957256</v>
      </c>
      <c r="R173">
        <v>0.95473200000000003</v>
      </c>
      <c r="S173">
        <v>0.95223800000000003</v>
      </c>
      <c r="T173">
        <v>0.94976799999999995</v>
      </c>
      <c r="U173">
        <v>0.94727099999999997</v>
      </c>
      <c r="V173">
        <v>0.94468099999999999</v>
      </c>
      <c r="W173">
        <v>0.94205099999999997</v>
      </c>
      <c r="X173">
        <v>0.93950900000000004</v>
      </c>
      <c r="Y173">
        <v>0.93702700000000005</v>
      </c>
      <c r="Z173">
        <v>0.93456899999999998</v>
      </c>
      <c r="AA173">
        <v>0.93211999999999995</v>
      </c>
      <c r="AB173">
        <v>0.92969999999999997</v>
      </c>
      <c r="AC173">
        <v>0.92727599999999999</v>
      </c>
      <c r="AD173">
        <v>0.92484500000000003</v>
      </c>
      <c r="AE173">
        <v>0.92240200000000006</v>
      </c>
      <c r="AF173">
        <v>0.91998899999999995</v>
      </c>
      <c r="AG173">
        <v>0.91758899999999999</v>
      </c>
      <c r="AH173">
        <v>0.91518699999999997</v>
      </c>
      <c r="AI173" s="9">
        <v>-3.0000000000000001E-3</v>
      </c>
    </row>
    <row r="174" spans="1:35" x14ac:dyDescent="0.25">
      <c r="A174" t="s">
        <v>90</v>
      </c>
      <c r="B174" t="s">
        <v>386</v>
      </c>
      <c r="D174" t="s">
        <v>89</v>
      </c>
    </row>
    <row r="175" spans="1:35" x14ac:dyDescent="0.25">
      <c r="A175" t="s">
        <v>130</v>
      </c>
      <c r="B175" t="s">
        <v>387</v>
      </c>
      <c r="C175" t="s">
        <v>388</v>
      </c>
      <c r="D175" t="s">
        <v>89</v>
      </c>
      <c r="F175">
        <v>0.98170400000000002</v>
      </c>
      <c r="G175">
        <v>0.96699000000000002</v>
      </c>
      <c r="H175">
        <v>0.96088799999999996</v>
      </c>
      <c r="I175">
        <v>0.95875100000000002</v>
      </c>
      <c r="J175">
        <v>0.95990200000000003</v>
      </c>
      <c r="K175">
        <v>0.96076799999999996</v>
      </c>
      <c r="L175">
        <v>0.960538</v>
      </c>
      <c r="M175">
        <v>0.959561</v>
      </c>
      <c r="N175">
        <v>0.95821699999999999</v>
      </c>
      <c r="O175">
        <v>0.95740599999999998</v>
      </c>
      <c r="P175">
        <v>0.95718599999999998</v>
      </c>
      <c r="Q175">
        <v>0.99905699999999997</v>
      </c>
      <c r="R175">
        <v>0.99895299999999998</v>
      </c>
      <c r="S175">
        <v>0.99954100000000001</v>
      </c>
      <c r="T175">
        <v>0.99966999999999995</v>
      </c>
      <c r="U175">
        <v>0.99981500000000001</v>
      </c>
      <c r="V175">
        <v>0.99997999999999998</v>
      </c>
      <c r="W175">
        <v>1.0003</v>
      </c>
      <c r="X175">
        <v>1.000248</v>
      </c>
      <c r="Y175">
        <v>0.99957099999999999</v>
      </c>
      <c r="Z175">
        <v>0.99960499999999997</v>
      </c>
      <c r="AA175">
        <v>0.99928499999999998</v>
      </c>
      <c r="AB175">
        <v>0.99876600000000004</v>
      </c>
      <c r="AC175">
        <v>0.99830399999999997</v>
      </c>
      <c r="AD175">
        <v>0.99787800000000004</v>
      </c>
      <c r="AE175">
        <v>0.99847200000000003</v>
      </c>
      <c r="AF175">
        <v>0.99878699999999998</v>
      </c>
      <c r="AG175">
        <v>0.99943099999999996</v>
      </c>
      <c r="AH175">
        <v>1.0001139999999999</v>
      </c>
      <c r="AI175" s="9">
        <v>1E-3</v>
      </c>
    </row>
    <row r="176" spans="1:35" x14ac:dyDescent="0.25">
      <c r="A176" t="s">
        <v>133</v>
      </c>
      <c r="B176" t="s">
        <v>389</v>
      </c>
      <c r="C176" t="s">
        <v>390</v>
      </c>
      <c r="D176" t="s">
        <v>89</v>
      </c>
      <c r="F176">
        <v>1.01041</v>
      </c>
      <c r="G176">
        <v>1.006273</v>
      </c>
      <c r="H176">
        <v>1.001738</v>
      </c>
      <c r="I176">
        <v>1.000238</v>
      </c>
      <c r="J176">
        <v>1.001547</v>
      </c>
      <c r="K176">
        <v>1.002095</v>
      </c>
      <c r="L176">
        <v>1.001897</v>
      </c>
      <c r="M176">
        <v>1.0010589999999999</v>
      </c>
      <c r="N176">
        <v>0.99986600000000003</v>
      </c>
      <c r="O176">
        <v>0.99940499999999999</v>
      </c>
      <c r="P176">
        <v>0.99958800000000003</v>
      </c>
      <c r="Q176">
        <v>0.99975899999999995</v>
      </c>
      <c r="R176">
        <v>0.99984700000000004</v>
      </c>
      <c r="S176">
        <v>0.99955499999999997</v>
      </c>
      <c r="T176">
        <v>0.99965099999999996</v>
      </c>
      <c r="U176">
        <v>0.99976900000000002</v>
      </c>
      <c r="V176">
        <v>0.99994400000000006</v>
      </c>
      <c r="W176">
        <v>1.0000690000000001</v>
      </c>
      <c r="X176">
        <v>1.000173</v>
      </c>
      <c r="Y176">
        <v>0.99971600000000005</v>
      </c>
      <c r="Z176">
        <v>0.99968199999999996</v>
      </c>
      <c r="AA176">
        <v>0.99919000000000002</v>
      </c>
      <c r="AB176">
        <v>0.99839900000000004</v>
      </c>
      <c r="AC176">
        <v>0.997807</v>
      </c>
      <c r="AD176">
        <v>0.997498</v>
      </c>
      <c r="AE176">
        <v>0.99809999999999999</v>
      </c>
      <c r="AF176">
        <v>0.99870000000000003</v>
      </c>
      <c r="AG176">
        <v>0.99952799999999997</v>
      </c>
      <c r="AH176">
        <v>1.0000340000000001</v>
      </c>
      <c r="AI176" s="9">
        <v>0</v>
      </c>
    </row>
    <row r="177" spans="1:35" x14ac:dyDescent="0.25">
      <c r="A177" t="s">
        <v>91</v>
      </c>
      <c r="B177" t="s">
        <v>391</v>
      </c>
      <c r="D177" t="s">
        <v>89</v>
      </c>
    </row>
    <row r="178" spans="1:35" x14ac:dyDescent="0.25">
      <c r="A178" t="s">
        <v>130</v>
      </c>
      <c r="B178" t="s">
        <v>392</v>
      </c>
      <c r="C178" t="s">
        <v>393</v>
      </c>
      <c r="D178" t="s">
        <v>89</v>
      </c>
      <c r="F178">
        <v>0.98254900000000001</v>
      </c>
      <c r="G178">
        <v>0.97962899999999997</v>
      </c>
      <c r="H178">
        <v>0.97761799999999999</v>
      </c>
      <c r="I178">
        <v>0.97603300000000004</v>
      </c>
      <c r="J178">
        <v>0.97440099999999996</v>
      </c>
      <c r="K178">
        <v>0.97263200000000005</v>
      </c>
      <c r="L178">
        <v>0.97074099999999997</v>
      </c>
      <c r="M178">
        <v>0.96864799999999995</v>
      </c>
      <c r="N178">
        <v>0.966445</v>
      </c>
      <c r="O178">
        <v>0.96418499999999996</v>
      </c>
      <c r="P178">
        <v>0.96193700000000004</v>
      </c>
      <c r="Q178">
        <v>0.96004299999999998</v>
      </c>
      <c r="R178">
        <v>0.958152</v>
      </c>
      <c r="S178">
        <v>0.95631500000000003</v>
      </c>
      <c r="T178">
        <v>0.954538</v>
      </c>
      <c r="U178">
        <v>0.95278200000000002</v>
      </c>
      <c r="V178">
        <v>0.95100499999999999</v>
      </c>
      <c r="W178">
        <v>0.94928100000000004</v>
      </c>
      <c r="X178">
        <v>0.94758100000000001</v>
      </c>
      <c r="Y178">
        <v>0.945886</v>
      </c>
      <c r="Z178">
        <v>0.94423299999999999</v>
      </c>
      <c r="AA178">
        <v>0.94262800000000002</v>
      </c>
      <c r="AB178">
        <v>0.94106699999999999</v>
      </c>
      <c r="AC178">
        <v>0.93948399999999999</v>
      </c>
      <c r="AD178">
        <v>0.93779599999999996</v>
      </c>
      <c r="AE178">
        <v>0.93617700000000004</v>
      </c>
      <c r="AF178">
        <v>0.93463099999999999</v>
      </c>
      <c r="AG178">
        <v>0.93313199999999996</v>
      </c>
      <c r="AH178">
        <v>0.93163799999999997</v>
      </c>
      <c r="AI178" s="9">
        <v>-2E-3</v>
      </c>
    </row>
    <row r="179" spans="1:35" x14ac:dyDescent="0.25">
      <c r="A179" t="s">
        <v>133</v>
      </c>
      <c r="B179" t="s">
        <v>394</v>
      </c>
      <c r="C179" t="s">
        <v>395</v>
      </c>
      <c r="D179" t="s">
        <v>89</v>
      </c>
      <c r="F179">
        <v>0.98293699999999995</v>
      </c>
      <c r="G179">
        <v>0.98044399999999998</v>
      </c>
      <c r="H179">
        <v>0.97886899999999999</v>
      </c>
      <c r="I179">
        <v>0.97769099999999998</v>
      </c>
      <c r="J179">
        <v>0.97636800000000001</v>
      </c>
      <c r="K179">
        <v>0.97482599999999997</v>
      </c>
      <c r="L179">
        <v>0.97315200000000002</v>
      </c>
      <c r="M179">
        <v>0.97131000000000001</v>
      </c>
      <c r="N179">
        <v>0.96936999999999995</v>
      </c>
      <c r="O179">
        <v>0.96739900000000001</v>
      </c>
      <c r="P179">
        <v>0.96547499999999997</v>
      </c>
      <c r="Q179">
        <v>0.96356399999999998</v>
      </c>
      <c r="R179">
        <v>0.961696</v>
      </c>
      <c r="S179">
        <v>0.95987199999999995</v>
      </c>
      <c r="T179">
        <v>0.95809299999999997</v>
      </c>
      <c r="U179">
        <v>0.95630999999999999</v>
      </c>
      <c r="V179">
        <v>0.95447400000000004</v>
      </c>
      <c r="W179">
        <v>0.95262500000000006</v>
      </c>
      <c r="X179">
        <v>0.95087100000000002</v>
      </c>
      <c r="Y179">
        <v>0.949183</v>
      </c>
      <c r="Z179">
        <v>0.94752800000000004</v>
      </c>
      <c r="AA179">
        <v>0.94589100000000004</v>
      </c>
      <c r="AB179">
        <v>0.94428199999999995</v>
      </c>
      <c r="AC179">
        <v>0.94267699999999999</v>
      </c>
      <c r="AD179">
        <v>0.94107600000000002</v>
      </c>
      <c r="AE179">
        <v>0.93948200000000004</v>
      </c>
      <c r="AF179">
        <v>0.93792699999999996</v>
      </c>
      <c r="AG179">
        <v>0.93640100000000004</v>
      </c>
      <c r="AH179">
        <v>0.93488499999999997</v>
      </c>
      <c r="AI179" s="9">
        <v>-2E-3</v>
      </c>
    </row>
    <row r="180" spans="1:35" x14ac:dyDescent="0.25">
      <c r="A180" t="s">
        <v>92</v>
      </c>
    </row>
    <row r="181" spans="1:35" x14ac:dyDescent="0.25">
      <c r="A181" t="s">
        <v>93</v>
      </c>
    </row>
    <row r="182" spans="1:35" x14ac:dyDescent="0.25">
      <c r="A182" t="s">
        <v>33</v>
      </c>
    </row>
    <row r="183" spans="1:35" x14ac:dyDescent="0.25">
      <c r="A183" t="s">
        <v>94</v>
      </c>
      <c r="B183" t="s">
        <v>396</v>
      </c>
      <c r="D183" t="s">
        <v>95</v>
      </c>
    </row>
    <row r="184" spans="1:35" x14ac:dyDescent="0.25">
      <c r="A184" t="s">
        <v>130</v>
      </c>
      <c r="B184" t="s">
        <v>397</v>
      </c>
      <c r="C184" t="s">
        <v>398</v>
      </c>
      <c r="D184" t="s">
        <v>95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1.9999999999999999E-6</v>
      </c>
      <c r="S184">
        <v>5.0000000000000004E-6</v>
      </c>
      <c r="T184">
        <v>1.1E-5</v>
      </c>
      <c r="U184">
        <v>2.1999999999999999E-5</v>
      </c>
      <c r="V184">
        <v>4.3999999999999999E-5</v>
      </c>
      <c r="W184">
        <v>8.2999999999999998E-5</v>
      </c>
      <c r="X184">
        <v>1.55E-4</v>
      </c>
      <c r="Y184">
        <v>2.8600000000000001E-4</v>
      </c>
      <c r="Z184">
        <v>4.17E-4</v>
      </c>
      <c r="AA184">
        <v>5.5000000000000003E-4</v>
      </c>
      <c r="AB184">
        <v>6.8199999999999999E-4</v>
      </c>
      <c r="AC184">
        <v>8.1599999999999999E-4</v>
      </c>
      <c r="AD184">
        <v>9.5E-4</v>
      </c>
      <c r="AE184">
        <v>1.0839999999999999E-3</v>
      </c>
      <c r="AF184">
        <v>1.219E-3</v>
      </c>
      <c r="AG184">
        <v>1.353E-3</v>
      </c>
      <c r="AH184">
        <v>1.488E-3</v>
      </c>
      <c r="AI184" t="s">
        <v>3</v>
      </c>
    </row>
    <row r="185" spans="1:35" x14ac:dyDescent="0.25">
      <c r="A185" t="s">
        <v>133</v>
      </c>
      <c r="B185" t="s">
        <v>399</v>
      </c>
      <c r="C185" t="s">
        <v>400</v>
      </c>
      <c r="D185" t="s">
        <v>95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1.9999999999999999E-6</v>
      </c>
      <c r="S185">
        <v>5.0000000000000004E-6</v>
      </c>
      <c r="T185">
        <v>1.1E-5</v>
      </c>
      <c r="U185">
        <v>2.1999999999999999E-5</v>
      </c>
      <c r="V185">
        <v>4.3999999999999999E-5</v>
      </c>
      <c r="W185">
        <v>8.2999999999999998E-5</v>
      </c>
      <c r="X185">
        <v>1.55E-4</v>
      </c>
      <c r="Y185">
        <v>2.8600000000000001E-4</v>
      </c>
      <c r="Z185">
        <v>4.1800000000000002E-4</v>
      </c>
      <c r="AA185">
        <v>5.5000000000000003E-4</v>
      </c>
      <c r="AB185">
        <v>6.8300000000000001E-4</v>
      </c>
      <c r="AC185">
        <v>8.1700000000000002E-4</v>
      </c>
      <c r="AD185">
        <v>9.5E-4</v>
      </c>
      <c r="AE185">
        <v>1.0839999999999999E-3</v>
      </c>
      <c r="AF185">
        <v>1.219E-3</v>
      </c>
      <c r="AG185">
        <v>1.353E-3</v>
      </c>
      <c r="AH185">
        <v>1.488E-3</v>
      </c>
      <c r="AI185" t="s">
        <v>3</v>
      </c>
    </row>
    <row r="186" spans="1:35" x14ac:dyDescent="0.25">
      <c r="A186" t="s">
        <v>96</v>
      </c>
      <c r="B186" t="s">
        <v>401</v>
      </c>
      <c r="D186" t="s">
        <v>95</v>
      </c>
    </row>
    <row r="187" spans="1:35" x14ac:dyDescent="0.25">
      <c r="A187" t="s">
        <v>130</v>
      </c>
      <c r="B187" t="s">
        <v>402</v>
      </c>
      <c r="C187" t="s">
        <v>403</v>
      </c>
      <c r="D187" t="s">
        <v>95</v>
      </c>
      <c r="F187">
        <v>25.940821</v>
      </c>
      <c r="G187">
        <v>28.426915999999999</v>
      </c>
      <c r="H187">
        <v>31.317519999999998</v>
      </c>
      <c r="I187">
        <v>34.213085</v>
      </c>
      <c r="J187">
        <v>37.102398000000001</v>
      </c>
      <c r="K187">
        <v>40.088000999999998</v>
      </c>
      <c r="L187">
        <v>43.162284999999997</v>
      </c>
      <c r="M187">
        <v>46.379024999999999</v>
      </c>
      <c r="N187">
        <v>49.715114999999997</v>
      </c>
      <c r="O187">
        <v>53.221054000000002</v>
      </c>
      <c r="P187">
        <v>56.974155000000003</v>
      </c>
      <c r="Q187">
        <v>60.782733999999998</v>
      </c>
      <c r="R187">
        <v>64.698020999999997</v>
      </c>
      <c r="S187">
        <v>68.113708000000003</v>
      </c>
      <c r="T187">
        <v>71.713645999999997</v>
      </c>
      <c r="U187">
        <v>75.468543999999994</v>
      </c>
      <c r="V187">
        <v>79.508544999999998</v>
      </c>
      <c r="W187">
        <v>83.846107000000003</v>
      </c>
      <c r="X187">
        <v>88.482719000000003</v>
      </c>
      <c r="Y187">
        <v>93.406563000000006</v>
      </c>
      <c r="Z187">
        <v>98.617553999999998</v>
      </c>
      <c r="AA187">
        <v>104.15289300000001</v>
      </c>
      <c r="AB187">
        <v>109.907883</v>
      </c>
      <c r="AC187">
        <v>115.976173</v>
      </c>
      <c r="AD187">
        <v>122.272903</v>
      </c>
      <c r="AE187">
        <v>128.79647800000001</v>
      </c>
      <c r="AF187">
        <v>135.66493199999999</v>
      </c>
      <c r="AG187">
        <v>142.69435100000001</v>
      </c>
      <c r="AH187">
        <v>149.97357199999999</v>
      </c>
      <c r="AI187" s="9">
        <v>6.5000000000000002E-2</v>
      </c>
    </row>
    <row r="188" spans="1:35" x14ac:dyDescent="0.25">
      <c r="A188" t="s">
        <v>133</v>
      </c>
      <c r="B188" t="s">
        <v>404</v>
      </c>
      <c r="C188" t="s">
        <v>405</v>
      </c>
      <c r="D188" t="s">
        <v>95</v>
      </c>
      <c r="F188">
        <v>25.823418</v>
      </c>
      <c r="G188">
        <v>28.069573999999999</v>
      </c>
      <c r="H188">
        <v>30.146961000000001</v>
      </c>
      <c r="I188">
        <v>32.281139000000003</v>
      </c>
      <c r="J188">
        <v>34.454315000000001</v>
      </c>
      <c r="K188">
        <v>36.717498999999997</v>
      </c>
      <c r="L188">
        <v>39.114291999999999</v>
      </c>
      <c r="M188">
        <v>41.642257999999998</v>
      </c>
      <c r="N188">
        <v>44.272933999999999</v>
      </c>
      <c r="O188">
        <v>47.051487000000002</v>
      </c>
      <c r="P188">
        <v>49.985329</v>
      </c>
      <c r="Q188">
        <v>53.201194999999998</v>
      </c>
      <c r="R188">
        <v>56.657131</v>
      </c>
      <c r="S188">
        <v>60.289287999999999</v>
      </c>
      <c r="T188">
        <v>64.089827999999997</v>
      </c>
      <c r="U188">
        <v>68.068709999999996</v>
      </c>
      <c r="V188">
        <v>72.323143000000002</v>
      </c>
      <c r="W188">
        <v>76.772942</v>
      </c>
      <c r="X188">
        <v>81.511925000000005</v>
      </c>
      <c r="Y188">
        <v>86.500679000000005</v>
      </c>
      <c r="Z188">
        <v>91.842499000000004</v>
      </c>
      <c r="AA188">
        <v>97.527816999999999</v>
      </c>
      <c r="AB188">
        <v>103.45315600000001</v>
      </c>
      <c r="AC188">
        <v>109.687439</v>
      </c>
      <c r="AD188">
        <v>116.16494</v>
      </c>
      <c r="AE188">
        <v>122.926056</v>
      </c>
      <c r="AF188">
        <v>130.04570000000001</v>
      </c>
      <c r="AG188">
        <v>137.391006</v>
      </c>
      <c r="AH188">
        <v>145.06817599999999</v>
      </c>
      <c r="AI188" s="9">
        <v>6.4000000000000001E-2</v>
      </c>
    </row>
    <row r="189" spans="1:35" x14ac:dyDescent="0.25">
      <c r="A189" t="s">
        <v>97</v>
      </c>
      <c r="B189" t="s">
        <v>406</v>
      </c>
      <c r="D189" t="s">
        <v>95</v>
      </c>
    </row>
    <row r="190" spans="1:35" x14ac:dyDescent="0.25">
      <c r="A190" t="s">
        <v>130</v>
      </c>
      <c r="B190" t="s">
        <v>407</v>
      </c>
      <c r="C190" t="s">
        <v>408</v>
      </c>
      <c r="D190" t="s">
        <v>95</v>
      </c>
      <c r="F190">
        <v>6.3448000000000004E-2</v>
      </c>
      <c r="G190">
        <v>6.9112000000000007E-2</v>
      </c>
      <c r="H190">
        <v>7.5192999999999996E-2</v>
      </c>
      <c r="I190">
        <v>8.1515000000000004E-2</v>
      </c>
      <c r="J190">
        <v>8.7960999999999998E-2</v>
      </c>
      <c r="K190">
        <v>9.4481999999999997E-2</v>
      </c>
      <c r="L190">
        <v>0.101025</v>
      </c>
      <c r="M190">
        <v>0.10757</v>
      </c>
      <c r="N190">
        <v>0.11409</v>
      </c>
      <c r="O190">
        <v>0.120587</v>
      </c>
      <c r="P190">
        <v>0.12706999999999999</v>
      </c>
      <c r="Q190">
        <v>0.13330900000000001</v>
      </c>
      <c r="R190">
        <v>0.13331200000000001</v>
      </c>
      <c r="S190">
        <v>0.13331799999999999</v>
      </c>
      <c r="T190">
        <v>0.13333100000000001</v>
      </c>
      <c r="U190">
        <v>0.133353</v>
      </c>
      <c r="V190">
        <v>0.13339599999999999</v>
      </c>
      <c r="W190">
        <v>0.13347400000000001</v>
      </c>
      <c r="X190">
        <v>0.13361799999999999</v>
      </c>
      <c r="Y190">
        <v>0.13388</v>
      </c>
      <c r="Z190">
        <v>0.13414300000000001</v>
      </c>
      <c r="AA190">
        <v>0.134408</v>
      </c>
      <c r="AB190">
        <v>0.13467299999999999</v>
      </c>
      <c r="AC190">
        <v>0.13494</v>
      </c>
      <c r="AD190">
        <v>0.13520699999999999</v>
      </c>
      <c r="AE190">
        <v>0.13547600000000001</v>
      </c>
      <c r="AF190">
        <v>0.135745</v>
      </c>
      <c r="AG190">
        <v>0.136015</v>
      </c>
      <c r="AH190">
        <v>0.13628499999999999</v>
      </c>
      <c r="AI190" s="9">
        <v>2.8000000000000001E-2</v>
      </c>
    </row>
    <row r="191" spans="1:35" x14ac:dyDescent="0.25">
      <c r="A191" t="s">
        <v>133</v>
      </c>
      <c r="B191" t="s">
        <v>409</v>
      </c>
      <c r="C191" t="s">
        <v>410</v>
      </c>
      <c r="D191" t="s">
        <v>95</v>
      </c>
      <c r="F191">
        <v>1.9255000000000001E-2</v>
      </c>
      <c r="G191">
        <v>2.4136000000000001E-2</v>
      </c>
      <c r="H191">
        <v>2.4136000000000001E-2</v>
      </c>
      <c r="I191">
        <v>2.4136000000000001E-2</v>
      </c>
      <c r="J191">
        <v>2.4136000000000001E-2</v>
      </c>
      <c r="K191">
        <v>2.4136000000000001E-2</v>
      </c>
      <c r="L191">
        <v>2.4136000000000001E-2</v>
      </c>
      <c r="M191">
        <v>2.4136000000000001E-2</v>
      </c>
      <c r="N191">
        <v>2.4136000000000001E-2</v>
      </c>
      <c r="O191">
        <v>2.4136000000000001E-2</v>
      </c>
      <c r="P191">
        <v>2.4136000000000001E-2</v>
      </c>
      <c r="Q191">
        <v>2.4136999999999999E-2</v>
      </c>
      <c r="R191">
        <v>2.4140000000000002E-2</v>
      </c>
      <c r="S191">
        <v>2.4146000000000001E-2</v>
      </c>
      <c r="T191">
        <v>2.4157999999999999E-2</v>
      </c>
      <c r="U191">
        <v>2.418E-2</v>
      </c>
      <c r="V191">
        <v>2.4223000000000001E-2</v>
      </c>
      <c r="W191">
        <v>2.4301E-2</v>
      </c>
      <c r="X191">
        <v>2.4445000000000001E-2</v>
      </c>
      <c r="Y191">
        <v>2.4708000000000001E-2</v>
      </c>
      <c r="Z191">
        <v>2.4972000000000001E-2</v>
      </c>
      <c r="AA191">
        <v>2.5236999999999999E-2</v>
      </c>
      <c r="AB191">
        <v>2.5502E-2</v>
      </c>
      <c r="AC191">
        <v>2.5769E-2</v>
      </c>
      <c r="AD191">
        <v>2.6036E-2</v>
      </c>
      <c r="AE191">
        <v>2.6304999999999999E-2</v>
      </c>
      <c r="AF191">
        <v>2.6572999999999999E-2</v>
      </c>
      <c r="AG191">
        <v>2.6842000000000001E-2</v>
      </c>
      <c r="AH191">
        <v>2.7112000000000001E-2</v>
      </c>
      <c r="AI191" s="9">
        <v>1.2E-2</v>
      </c>
    </row>
    <row r="192" spans="1:35" x14ac:dyDescent="0.25">
      <c r="A192" t="s">
        <v>49</v>
      </c>
      <c r="B192" t="s">
        <v>411</v>
      </c>
      <c r="D192" t="s">
        <v>95</v>
      </c>
    </row>
    <row r="193" spans="1:35" x14ac:dyDescent="0.25">
      <c r="A193" t="s">
        <v>130</v>
      </c>
      <c r="B193" t="s">
        <v>412</v>
      </c>
      <c r="C193" t="s">
        <v>413</v>
      </c>
      <c r="D193" t="s">
        <v>95</v>
      </c>
      <c r="F193">
        <v>26.004269000000001</v>
      </c>
      <c r="G193">
        <v>28.496029</v>
      </c>
      <c r="H193">
        <v>31.392714000000002</v>
      </c>
      <c r="I193">
        <v>34.294601</v>
      </c>
      <c r="J193">
        <v>37.190361000000003</v>
      </c>
      <c r="K193">
        <v>40.182484000000002</v>
      </c>
      <c r="L193">
        <v>43.263309</v>
      </c>
      <c r="M193">
        <v>46.486595000000001</v>
      </c>
      <c r="N193">
        <v>49.829205000000002</v>
      </c>
      <c r="O193">
        <v>53.341639999999998</v>
      </c>
      <c r="P193">
        <v>57.101227000000002</v>
      </c>
      <c r="Q193">
        <v>60.916041999999997</v>
      </c>
      <c r="R193">
        <v>64.831337000000005</v>
      </c>
      <c r="S193">
        <v>68.247032000000004</v>
      </c>
      <c r="T193">
        <v>71.846985000000004</v>
      </c>
      <c r="U193">
        <v>75.601921000000004</v>
      </c>
      <c r="V193">
        <v>79.641982999999996</v>
      </c>
      <c r="W193">
        <v>83.979668000000004</v>
      </c>
      <c r="X193">
        <v>88.616493000000006</v>
      </c>
      <c r="Y193">
        <v>93.540726000000006</v>
      </c>
      <c r="Z193">
        <v>98.752112999999994</v>
      </c>
      <c r="AA193">
        <v>104.28784899999999</v>
      </c>
      <c r="AB193">
        <v>110.04323599999999</v>
      </c>
      <c r="AC193">
        <v>116.111931</v>
      </c>
      <c r="AD193">
        <v>122.409058</v>
      </c>
      <c r="AE193">
        <v>128.933044</v>
      </c>
      <c r="AF193">
        <v>135.801895</v>
      </c>
      <c r="AG193">
        <v>142.831726</v>
      </c>
      <c r="AH193">
        <v>150.11135899999999</v>
      </c>
      <c r="AI193" s="9">
        <v>6.5000000000000002E-2</v>
      </c>
    </row>
    <row r="194" spans="1:35" x14ac:dyDescent="0.25">
      <c r="A194" t="s">
        <v>133</v>
      </c>
      <c r="B194" t="s">
        <v>414</v>
      </c>
      <c r="C194" t="s">
        <v>415</v>
      </c>
      <c r="D194" t="s">
        <v>95</v>
      </c>
      <c r="F194">
        <v>25.842672</v>
      </c>
      <c r="G194">
        <v>28.093710000000002</v>
      </c>
      <c r="H194">
        <v>30.171097</v>
      </c>
      <c r="I194">
        <v>32.305275000000002</v>
      </c>
      <c r="J194">
        <v>34.478451</v>
      </c>
      <c r="K194">
        <v>36.741633999999998</v>
      </c>
      <c r="L194">
        <v>39.138427999999998</v>
      </c>
      <c r="M194">
        <v>41.666392999999999</v>
      </c>
      <c r="N194">
        <v>44.297069999999998</v>
      </c>
      <c r="O194">
        <v>47.075623</v>
      </c>
      <c r="P194">
        <v>50.009464000000001</v>
      </c>
      <c r="Q194">
        <v>53.22533</v>
      </c>
      <c r="R194">
        <v>56.681274000000002</v>
      </c>
      <c r="S194">
        <v>60.313437999999998</v>
      </c>
      <c r="T194">
        <v>64.113990999999999</v>
      </c>
      <c r="U194">
        <v>68.092911000000001</v>
      </c>
      <c r="V194">
        <v>72.347412000000006</v>
      </c>
      <c r="W194">
        <v>76.797325000000001</v>
      </c>
      <c r="X194">
        <v>81.536522000000005</v>
      </c>
      <c r="Y194">
        <v>86.525681000000006</v>
      </c>
      <c r="Z194">
        <v>91.867889000000005</v>
      </c>
      <c r="AA194">
        <v>97.553604000000007</v>
      </c>
      <c r="AB194">
        <v>103.479347</v>
      </c>
      <c r="AC194">
        <v>109.714027</v>
      </c>
      <c r="AD194">
        <v>116.19193300000001</v>
      </c>
      <c r="AE194">
        <v>122.953445</v>
      </c>
      <c r="AF194">
        <v>130.073486</v>
      </c>
      <c r="AG194">
        <v>137.41920500000001</v>
      </c>
      <c r="AH194">
        <v>145.09678600000001</v>
      </c>
      <c r="AI194" s="9">
        <v>6.4000000000000001E-2</v>
      </c>
    </row>
    <row r="195" spans="1:35" x14ac:dyDescent="0.25">
      <c r="A195" t="s">
        <v>32</v>
      </c>
    </row>
    <row r="196" spans="1:35" x14ac:dyDescent="0.25">
      <c r="A196" t="s">
        <v>94</v>
      </c>
      <c r="B196" t="s">
        <v>416</v>
      </c>
      <c r="D196" t="s">
        <v>98</v>
      </c>
    </row>
    <row r="197" spans="1:35" x14ac:dyDescent="0.25">
      <c r="A197" t="s">
        <v>130</v>
      </c>
      <c r="B197" t="s">
        <v>417</v>
      </c>
      <c r="C197" t="s">
        <v>418</v>
      </c>
      <c r="D197" t="s">
        <v>98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9.9999999999999995E-7</v>
      </c>
      <c r="R197">
        <v>6.0000000000000002E-6</v>
      </c>
      <c r="S197">
        <v>1.4E-5</v>
      </c>
      <c r="T197">
        <v>3.1000000000000001E-5</v>
      </c>
      <c r="U197">
        <v>6.2000000000000003E-5</v>
      </c>
      <c r="V197">
        <v>1.22E-4</v>
      </c>
      <c r="W197">
        <v>2.3000000000000001E-4</v>
      </c>
      <c r="X197">
        <v>4.3100000000000001E-4</v>
      </c>
      <c r="Y197">
        <v>7.9799999999999999E-4</v>
      </c>
      <c r="Z197">
        <v>1.165E-3</v>
      </c>
      <c r="AA197">
        <v>1.534E-3</v>
      </c>
      <c r="AB197">
        <v>1.9040000000000001E-3</v>
      </c>
      <c r="AC197">
        <v>2.2759999999999998E-3</v>
      </c>
      <c r="AD197">
        <v>2.6489999999999999E-3</v>
      </c>
      <c r="AE197">
        <v>3.0240000000000002E-3</v>
      </c>
      <c r="AF197">
        <v>3.3999999999999998E-3</v>
      </c>
      <c r="AG197">
        <v>3.7759999999999998E-3</v>
      </c>
      <c r="AH197">
        <v>4.1520000000000003E-3</v>
      </c>
      <c r="AI197" t="s">
        <v>3</v>
      </c>
    </row>
    <row r="198" spans="1:35" x14ac:dyDescent="0.25">
      <c r="A198" t="s">
        <v>133</v>
      </c>
      <c r="B198" t="s">
        <v>419</v>
      </c>
      <c r="C198" t="s">
        <v>420</v>
      </c>
      <c r="D198" t="s">
        <v>98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9.9999999999999995E-7</v>
      </c>
      <c r="R198">
        <v>6.0000000000000002E-6</v>
      </c>
      <c r="S198">
        <v>1.4E-5</v>
      </c>
      <c r="T198">
        <v>3.1000000000000001E-5</v>
      </c>
      <c r="U198">
        <v>6.2000000000000003E-5</v>
      </c>
      <c r="V198">
        <v>1.22E-4</v>
      </c>
      <c r="W198">
        <v>2.31E-4</v>
      </c>
      <c r="X198">
        <v>4.3100000000000001E-4</v>
      </c>
      <c r="Y198">
        <v>7.9799999999999999E-4</v>
      </c>
      <c r="Z198">
        <v>1.1659999999999999E-3</v>
      </c>
      <c r="AA198">
        <v>1.5349999999999999E-3</v>
      </c>
      <c r="AB198">
        <v>1.9059999999999999E-3</v>
      </c>
      <c r="AC198">
        <v>2.2780000000000001E-3</v>
      </c>
      <c r="AD198">
        <v>2.6510000000000001E-3</v>
      </c>
      <c r="AE198">
        <v>3.0249999999999999E-3</v>
      </c>
      <c r="AF198">
        <v>3.3999999999999998E-3</v>
      </c>
      <c r="AG198">
        <v>3.7759999999999998E-3</v>
      </c>
      <c r="AH198">
        <v>4.1520000000000003E-3</v>
      </c>
      <c r="AI198" t="s">
        <v>3</v>
      </c>
    </row>
    <row r="199" spans="1:35" x14ac:dyDescent="0.25">
      <c r="A199" t="s">
        <v>96</v>
      </c>
      <c r="B199" t="s">
        <v>421</v>
      </c>
      <c r="D199" t="s">
        <v>98</v>
      </c>
    </row>
    <row r="200" spans="1:35" x14ac:dyDescent="0.25">
      <c r="A200" t="s">
        <v>130</v>
      </c>
      <c r="B200" t="s">
        <v>422</v>
      </c>
      <c r="C200" t="s">
        <v>423</v>
      </c>
      <c r="D200" t="s">
        <v>98</v>
      </c>
      <c r="F200">
        <v>38.879559</v>
      </c>
      <c r="G200">
        <v>43.125973000000002</v>
      </c>
      <c r="H200">
        <v>47.972565000000003</v>
      </c>
      <c r="I200">
        <v>52.818500999999998</v>
      </c>
      <c r="J200">
        <v>57.647593999999998</v>
      </c>
      <c r="K200">
        <v>62.611156000000001</v>
      </c>
      <c r="L200">
        <v>67.696831000000003</v>
      </c>
      <c r="M200">
        <v>72.983909999999995</v>
      </c>
      <c r="N200">
        <v>78.436142000000004</v>
      </c>
      <c r="O200">
        <v>84.134567000000004</v>
      </c>
      <c r="P200">
        <v>90.184685000000002</v>
      </c>
      <c r="Q200">
        <v>96.308402999999998</v>
      </c>
      <c r="R200">
        <v>102.57440200000001</v>
      </c>
      <c r="S200">
        <v>108.095085</v>
      </c>
      <c r="T200">
        <v>113.883217</v>
      </c>
      <c r="U200">
        <v>119.885406</v>
      </c>
      <c r="V200">
        <v>126.297951</v>
      </c>
      <c r="W200">
        <v>133.136719</v>
      </c>
      <c r="X200">
        <v>140.40329</v>
      </c>
      <c r="Y200">
        <v>148.07901000000001</v>
      </c>
      <c r="Z200">
        <v>156.162567</v>
      </c>
      <c r="AA200">
        <v>164.707626</v>
      </c>
      <c r="AB200">
        <v>173.56130999999999</v>
      </c>
      <c r="AC200">
        <v>182.859161</v>
      </c>
      <c r="AD200">
        <v>192.47685200000001</v>
      </c>
      <c r="AE200">
        <v>202.41137699999999</v>
      </c>
      <c r="AF200">
        <v>212.83244300000001</v>
      </c>
      <c r="AG200">
        <v>223.473007</v>
      </c>
      <c r="AH200">
        <v>234.46116599999999</v>
      </c>
      <c r="AI200" s="9">
        <v>6.6000000000000003E-2</v>
      </c>
    </row>
    <row r="201" spans="1:35" x14ac:dyDescent="0.25">
      <c r="A201" t="s">
        <v>133</v>
      </c>
      <c r="B201" t="s">
        <v>424</v>
      </c>
      <c r="C201" t="s">
        <v>425</v>
      </c>
      <c r="D201" t="s">
        <v>98</v>
      </c>
      <c r="F201">
        <v>38.701439000000001</v>
      </c>
      <c r="G201">
        <v>42.585926000000001</v>
      </c>
      <c r="H201">
        <v>46.207431999999997</v>
      </c>
      <c r="I201">
        <v>49.909968999999997</v>
      </c>
      <c r="J201">
        <v>53.665332999999997</v>
      </c>
      <c r="K201">
        <v>57.548099999999998</v>
      </c>
      <c r="L201">
        <v>61.621639000000002</v>
      </c>
      <c r="M201">
        <v>65.881919999999994</v>
      </c>
      <c r="N201">
        <v>70.285126000000005</v>
      </c>
      <c r="O201">
        <v>74.902953999999994</v>
      </c>
      <c r="P201">
        <v>79.74015</v>
      </c>
      <c r="Q201">
        <v>84.986969000000002</v>
      </c>
      <c r="R201">
        <v>90.574234000000004</v>
      </c>
      <c r="S201">
        <v>96.413567</v>
      </c>
      <c r="T201">
        <v>102.493973</v>
      </c>
      <c r="U201">
        <v>108.82112100000001</v>
      </c>
      <c r="V201">
        <v>115.543953</v>
      </c>
      <c r="W201">
        <v>122.54396800000001</v>
      </c>
      <c r="X201">
        <v>129.95756499999999</v>
      </c>
      <c r="Y201">
        <v>137.72593699999999</v>
      </c>
      <c r="Z201">
        <v>146.00003100000001</v>
      </c>
      <c r="AA201">
        <v>154.76312300000001</v>
      </c>
      <c r="AB201">
        <v>163.86393699999999</v>
      </c>
      <c r="AC201">
        <v>173.402298</v>
      </c>
      <c r="AD201">
        <v>183.28118900000001</v>
      </c>
      <c r="AE201">
        <v>193.55839499999999</v>
      </c>
      <c r="AF201">
        <v>204.340271</v>
      </c>
      <c r="AG201">
        <v>215.43473800000001</v>
      </c>
      <c r="AH201">
        <v>226.99357599999999</v>
      </c>
      <c r="AI201" s="9">
        <v>6.5000000000000002E-2</v>
      </c>
    </row>
    <row r="202" spans="1:35" x14ac:dyDescent="0.25">
      <c r="A202" t="s">
        <v>97</v>
      </c>
      <c r="B202" t="s">
        <v>426</v>
      </c>
      <c r="D202" t="s">
        <v>98</v>
      </c>
    </row>
    <row r="203" spans="1:35" x14ac:dyDescent="0.25">
      <c r="A203" t="s">
        <v>130</v>
      </c>
      <c r="B203" t="s">
        <v>427</v>
      </c>
      <c r="C203" t="s">
        <v>428</v>
      </c>
      <c r="D203" t="s">
        <v>98</v>
      </c>
      <c r="F203">
        <v>6.9006999999999999E-2</v>
      </c>
      <c r="G203">
        <v>7.4813000000000004E-2</v>
      </c>
      <c r="H203">
        <v>8.1044000000000005E-2</v>
      </c>
      <c r="I203">
        <v>8.7524000000000005E-2</v>
      </c>
      <c r="J203">
        <v>9.4131000000000006E-2</v>
      </c>
      <c r="K203">
        <v>0.100814</v>
      </c>
      <c r="L203">
        <v>0.10752100000000001</v>
      </c>
      <c r="M203">
        <v>0.114228</v>
      </c>
      <c r="N203">
        <v>0.120911</v>
      </c>
      <c r="O203">
        <v>0.12756999999999999</v>
      </c>
      <c r="P203">
        <v>0.134214</v>
      </c>
      <c r="Q203">
        <v>0.14060900000000001</v>
      </c>
      <c r="R203">
        <v>0.14061199999999999</v>
      </c>
      <c r="S203">
        <v>0.14061899999999999</v>
      </c>
      <c r="T203">
        <v>0.14063100000000001</v>
      </c>
      <c r="U203">
        <v>0.140654</v>
      </c>
      <c r="V203">
        <v>0.14069799999999999</v>
      </c>
      <c r="W203">
        <v>0.14077799999999999</v>
      </c>
      <c r="X203">
        <v>0.14092499999999999</v>
      </c>
      <c r="Y203">
        <v>0.14119499999999999</v>
      </c>
      <c r="Z203">
        <v>0.14146500000000001</v>
      </c>
      <c r="AA203">
        <v>0.141736</v>
      </c>
      <c r="AB203">
        <v>0.14200699999999999</v>
      </c>
      <c r="AC203">
        <v>0.14227999999999999</v>
      </c>
      <c r="AD203">
        <v>0.14255399999999999</v>
      </c>
      <c r="AE203">
        <v>0.14282900000000001</v>
      </c>
      <c r="AF203">
        <v>0.14310400000000001</v>
      </c>
      <c r="AG203">
        <v>0.14337900000000001</v>
      </c>
      <c r="AH203">
        <v>0.143655</v>
      </c>
      <c r="AI203" s="9">
        <v>2.7E-2</v>
      </c>
    </row>
    <row r="204" spans="1:35" x14ac:dyDescent="0.25">
      <c r="A204" t="s">
        <v>133</v>
      </c>
      <c r="B204" t="s">
        <v>429</v>
      </c>
      <c r="C204" t="s">
        <v>430</v>
      </c>
      <c r="D204" t="s">
        <v>98</v>
      </c>
      <c r="F204">
        <v>2.3713000000000001E-2</v>
      </c>
      <c r="G204">
        <v>2.8715000000000001E-2</v>
      </c>
      <c r="H204">
        <v>2.8715000000000001E-2</v>
      </c>
      <c r="I204">
        <v>2.8715000000000001E-2</v>
      </c>
      <c r="J204">
        <v>2.8715000000000001E-2</v>
      </c>
      <c r="K204">
        <v>2.8715000000000001E-2</v>
      </c>
      <c r="L204">
        <v>2.8715000000000001E-2</v>
      </c>
      <c r="M204">
        <v>2.8715000000000001E-2</v>
      </c>
      <c r="N204">
        <v>2.8715000000000001E-2</v>
      </c>
      <c r="O204">
        <v>2.8715000000000001E-2</v>
      </c>
      <c r="P204">
        <v>2.8715999999999998E-2</v>
      </c>
      <c r="Q204">
        <v>2.8715999999999998E-2</v>
      </c>
      <c r="R204">
        <v>2.8719000000000001E-2</v>
      </c>
      <c r="S204">
        <v>2.8726000000000002E-2</v>
      </c>
      <c r="T204">
        <v>2.8738E-2</v>
      </c>
      <c r="U204">
        <v>2.8760999999999998E-2</v>
      </c>
      <c r="V204">
        <v>2.8805000000000001E-2</v>
      </c>
      <c r="W204">
        <v>2.8885000000000001E-2</v>
      </c>
      <c r="X204">
        <v>2.9033E-2</v>
      </c>
      <c r="Y204">
        <v>2.9302000000000002E-2</v>
      </c>
      <c r="Z204">
        <v>2.9572999999999999E-2</v>
      </c>
      <c r="AA204">
        <v>2.9843999999999999E-2</v>
      </c>
      <c r="AB204">
        <v>3.0116E-2</v>
      </c>
      <c r="AC204">
        <v>3.0388999999999999E-2</v>
      </c>
      <c r="AD204">
        <v>3.0662999999999999E-2</v>
      </c>
      <c r="AE204">
        <v>3.0936999999999999E-2</v>
      </c>
      <c r="AF204">
        <v>3.1210999999999999E-2</v>
      </c>
      <c r="AG204">
        <v>3.1486E-2</v>
      </c>
      <c r="AH204">
        <v>3.1761999999999999E-2</v>
      </c>
      <c r="AI204" s="9">
        <v>0.01</v>
      </c>
    </row>
    <row r="205" spans="1:35" x14ac:dyDescent="0.25">
      <c r="A205" t="s">
        <v>49</v>
      </c>
      <c r="B205" t="s">
        <v>431</v>
      </c>
      <c r="D205" t="s">
        <v>98</v>
      </c>
    </row>
    <row r="206" spans="1:35" x14ac:dyDescent="0.25">
      <c r="A206" t="s">
        <v>130</v>
      </c>
      <c r="B206" t="s">
        <v>432</v>
      </c>
      <c r="C206" t="s">
        <v>433</v>
      </c>
      <c r="D206" t="s">
        <v>98</v>
      </c>
      <c r="F206">
        <v>38.948566</v>
      </c>
      <c r="G206">
        <v>43.200786999999998</v>
      </c>
      <c r="H206">
        <v>48.053607999999997</v>
      </c>
      <c r="I206">
        <v>52.906025</v>
      </c>
      <c r="J206">
        <v>57.741726</v>
      </c>
      <c r="K206">
        <v>62.711970999999998</v>
      </c>
      <c r="L206">
        <v>67.804351999999994</v>
      </c>
      <c r="M206">
        <v>73.098136999999994</v>
      </c>
      <c r="N206">
        <v>78.557052999999996</v>
      </c>
      <c r="O206">
        <v>84.262137999999993</v>
      </c>
      <c r="P206">
        <v>90.318900999999997</v>
      </c>
      <c r="Q206">
        <v>96.449012999999994</v>
      </c>
      <c r="R206">
        <v>102.715019</v>
      </c>
      <c r="S206">
        <v>108.23571800000001</v>
      </c>
      <c r="T206">
        <v>114.02388000000001</v>
      </c>
      <c r="U206">
        <v>120.026123</v>
      </c>
      <c r="V206">
        <v>126.438774</v>
      </c>
      <c r="W206">
        <v>133.277725</v>
      </c>
      <c r="X206">
        <v>140.544647</v>
      </c>
      <c r="Y206">
        <v>148.22099299999999</v>
      </c>
      <c r="Z206">
        <v>156.30519100000001</v>
      </c>
      <c r="AA206">
        <v>164.85090600000001</v>
      </c>
      <c r="AB206">
        <v>173.705231</v>
      </c>
      <c r="AC206">
        <v>183.00370799999999</v>
      </c>
      <c r="AD206">
        <v>192.62205499999999</v>
      </c>
      <c r="AE206">
        <v>202.55722</v>
      </c>
      <c r="AF206">
        <v>212.97894299999999</v>
      </c>
      <c r="AG206">
        <v>223.620148</v>
      </c>
      <c r="AH206">
        <v>234.60897800000001</v>
      </c>
      <c r="AI206" s="9">
        <v>6.6000000000000003E-2</v>
      </c>
    </row>
    <row r="207" spans="1:35" x14ac:dyDescent="0.25">
      <c r="A207" t="s">
        <v>133</v>
      </c>
      <c r="B207" t="s">
        <v>434</v>
      </c>
      <c r="C207" t="s">
        <v>435</v>
      </c>
      <c r="D207" t="s">
        <v>98</v>
      </c>
      <c r="F207">
        <v>38.725150999999997</v>
      </c>
      <c r="G207">
        <v>42.614643000000001</v>
      </c>
      <c r="H207">
        <v>46.236148999999997</v>
      </c>
      <c r="I207">
        <v>49.938685999999997</v>
      </c>
      <c r="J207">
        <v>53.694049999999997</v>
      </c>
      <c r="K207">
        <v>57.576816999999998</v>
      </c>
      <c r="L207">
        <v>61.650356000000002</v>
      </c>
      <c r="M207">
        <v>65.910636999999994</v>
      </c>
      <c r="N207">
        <v>70.313843000000006</v>
      </c>
      <c r="O207">
        <v>74.931670999999994</v>
      </c>
      <c r="P207">
        <v>79.768867</v>
      </c>
      <c r="Q207">
        <v>85.015686000000002</v>
      </c>
      <c r="R207">
        <v>90.602958999999998</v>
      </c>
      <c r="S207">
        <v>96.442307</v>
      </c>
      <c r="T207">
        <v>102.52274300000001</v>
      </c>
      <c r="U207">
        <v>108.84994500000001</v>
      </c>
      <c r="V207">
        <v>115.57287599999999</v>
      </c>
      <c r="W207">
        <v>122.573082</v>
      </c>
      <c r="X207">
        <v>129.98703</v>
      </c>
      <c r="Y207">
        <v>137.75602699999999</v>
      </c>
      <c r="Z207">
        <v>146.03076200000001</v>
      </c>
      <c r="AA207">
        <v>154.79451</v>
      </c>
      <c r="AB207">
        <v>163.89596599999999</v>
      </c>
      <c r="AC207">
        <v>173.434967</v>
      </c>
      <c r="AD207">
        <v>183.314514</v>
      </c>
      <c r="AE207">
        <v>193.59234599999999</v>
      </c>
      <c r="AF207">
        <v>204.374878</v>
      </c>
      <c r="AG207">
        <v>215.46998600000001</v>
      </c>
      <c r="AH207">
        <v>227.029495</v>
      </c>
      <c r="AI207" s="9">
        <v>6.5000000000000002E-2</v>
      </c>
    </row>
    <row r="208" spans="1:35" x14ac:dyDescent="0.25">
      <c r="A208" t="s">
        <v>99</v>
      </c>
    </row>
    <row r="209" spans="1:35" x14ac:dyDescent="0.25">
      <c r="A209" t="s">
        <v>100</v>
      </c>
      <c r="B209" t="s">
        <v>436</v>
      </c>
      <c r="D209" t="s">
        <v>98</v>
      </c>
    </row>
    <row r="210" spans="1:35" x14ac:dyDescent="0.25">
      <c r="A210" t="s">
        <v>130</v>
      </c>
      <c r="B210" t="s">
        <v>437</v>
      </c>
      <c r="C210" t="s">
        <v>438</v>
      </c>
      <c r="D210" t="s">
        <v>98</v>
      </c>
      <c r="F210">
        <v>6.1163970000000001</v>
      </c>
      <c r="G210">
        <v>7.0172879999999997</v>
      </c>
      <c r="H210">
        <v>8.0391890000000004</v>
      </c>
      <c r="I210">
        <v>9.0090249999999994</v>
      </c>
      <c r="J210">
        <v>9.9666619999999995</v>
      </c>
      <c r="K210">
        <v>10.957931</v>
      </c>
      <c r="L210">
        <v>11.963233000000001</v>
      </c>
      <c r="M210">
        <v>13.032094000000001</v>
      </c>
      <c r="N210">
        <v>14.131605</v>
      </c>
      <c r="O210">
        <v>15.315522</v>
      </c>
      <c r="P210">
        <v>16.611360999999999</v>
      </c>
      <c r="Q210">
        <v>17.921099000000002</v>
      </c>
      <c r="R210">
        <v>19.288816000000001</v>
      </c>
      <c r="S210">
        <v>20.464827</v>
      </c>
      <c r="T210">
        <v>21.726690000000001</v>
      </c>
      <c r="U210">
        <v>23.024827999999999</v>
      </c>
      <c r="V210">
        <v>24.442295000000001</v>
      </c>
      <c r="W210">
        <v>25.954371999999999</v>
      </c>
      <c r="X210">
        <v>27.590239</v>
      </c>
      <c r="Y210">
        <v>29.314402000000001</v>
      </c>
      <c r="Z210">
        <v>31.122247999999999</v>
      </c>
      <c r="AA210">
        <v>33.063015</v>
      </c>
      <c r="AB210">
        <v>35.056106999999997</v>
      </c>
      <c r="AC210">
        <v>37.173237</v>
      </c>
      <c r="AD210">
        <v>39.340510999999999</v>
      </c>
      <c r="AE210">
        <v>41.550514</v>
      </c>
      <c r="AF210">
        <v>43.885693000000003</v>
      </c>
      <c r="AG210">
        <v>46.226215000000003</v>
      </c>
      <c r="AH210">
        <v>48.640495000000001</v>
      </c>
      <c r="AI210" s="9">
        <v>7.6999999999999999E-2</v>
      </c>
    </row>
    <row r="211" spans="1:35" x14ac:dyDescent="0.25">
      <c r="A211" t="s">
        <v>133</v>
      </c>
      <c r="B211" t="s">
        <v>439</v>
      </c>
      <c r="C211" t="s">
        <v>440</v>
      </c>
      <c r="D211" t="s">
        <v>98</v>
      </c>
      <c r="F211">
        <v>6.0869999999999997</v>
      </c>
      <c r="G211">
        <v>6.9178819999999996</v>
      </c>
      <c r="H211">
        <v>7.6769030000000003</v>
      </c>
      <c r="I211">
        <v>8.4147390000000009</v>
      </c>
      <c r="J211">
        <v>9.1526739999999993</v>
      </c>
      <c r="K211">
        <v>9.917014</v>
      </c>
      <c r="L211">
        <v>10.709579</v>
      </c>
      <c r="M211">
        <v>11.554067</v>
      </c>
      <c r="N211">
        <v>12.421391</v>
      </c>
      <c r="O211">
        <v>13.354383</v>
      </c>
      <c r="P211">
        <v>14.352353000000001</v>
      </c>
      <c r="Q211">
        <v>15.439828</v>
      </c>
      <c r="R211">
        <v>16.622204</v>
      </c>
      <c r="S211">
        <v>17.8521</v>
      </c>
      <c r="T211">
        <v>19.153502</v>
      </c>
      <c r="U211">
        <v>20.496420000000001</v>
      </c>
      <c r="V211">
        <v>21.956282000000002</v>
      </c>
      <c r="W211">
        <v>23.473815999999999</v>
      </c>
      <c r="X211">
        <v>25.118551</v>
      </c>
      <c r="Y211">
        <v>26.839459999999999</v>
      </c>
      <c r="Z211">
        <v>28.672675999999999</v>
      </c>
      <c r="AA211">
        <v>30.6434</v>
      </c>
      <c r="AB211">
        <v>32.670592999999997</v>
      </c>
      <c r="AC211">
        <v>34.817444000000002</v>
      </c>
      <c r="AD211">
        <v>37.016350000000003</v>
      </c>
      <c r="AE211">
        <v>39.280434</v>
      </c>
      <c r="AF211">
        <v>41.674892</v>
      </c>
      <c r="AG211">
        <v>44.100689000000003</v>
      </c>
      <c r="AH211">
        <v>46.635379999999998</v>
      </c>
      <c r="AI211" s="9">
        <v>7.4999999999999997E-2</v>
      </c>
    </row>
    <row r="212" spans="1:35" x14ac:dyDescent="0.25">
      <c r="A212" t="s">
        <v>101</v>
      </c>
      <c r="B212" t="s">
        <v>441</v>
      </c>
      <c r="D212" t="s">
        <v>98</v>
      </c>
    </row>
    <row r="213" spans="1:35" x14ac:dyDescent="0.25">
      <c r="A213" t="s">
        <v>130</v>
      </c>
      <c r="B213" t="s">
        <v>442</v>
      </c>
      <c r="C213" t="s">
        <v>443</v>
      </c>
      <c r="D213" t="s">
        <v>98</v>
      </c>
      <c r="F213">
        <v>32.832169</v>
      </c>
      <c r="G213">
        <v>36.183495000000001</v>
      </c>
      <c r="H213">
        <v>40.014423000000001</v>
      </c>
      <c r="I213">
        <v>43.896996000000001</v>
      </c>
      <c r="J213">
        <v>47.775063000000003</v>
      </c>
      <c r="K213">
        <v>51.754040000000003</v>
      </c>
      <c r="L213">
        <v>55.841121999999999</v>
      </c>
      <c r="M213">
        <v>60.066035999999997</v>
      </c>
      <c r="N213">
        <v>64.425438</v>
      </c>
      <c r="O213">
        <v>68.946617000000003</v>
      </c>
      <c r="P213">
        <v>73.707542000000004</v>
      </c>
      <c r="Q213">
        <v>78.527916000000005</v>
      </c>
      <c r="R213">
        <v>83.426201000000006</v>
      </c>
      <c r="S213">
        <v>87.770882</v>
      </c>
      <c r="T213">
        <v>92.297188000000006</v>
      </c>
      <c r="U213">
        <v>97.001289</v>
      </c>
      <c r="V213">
        <v>101.996475</v>
      </c>
      <c r="W213">
        <v>107.323357</v>
      </c>
      <c r="X213">
        <v>112.954407</v>
      </c>
      <c r="Y213">
        <v>118.90660099999999</v>
      </c>
      <c r="Z213">
        <v>125.182953</v>
      </c>
      <c r="AA213">
        <v>131.78787199999999</v>
      </c>
      <c r="AB213">
        <v>138.649124</v>
      </c>
      <c r="AC213">
        <v>145.83049</v>
      </c>
      <c r="AD213">
        <v>153.281555</v>
      </c>
      <c r="AE213">
        <v>161.006699</v>
      </c>
      <c r="AF213">
        <v>169.093231</v>
      </c>
      <c r="AG213">
        <v>177.393936</v>
      </c>
      <c r="AH213">
        <v>185.968491</v>
      </c>
      <c r="AI213" s="9">
        <v>6.4000000000000001E-2</v>
      </c>
    </row>
    <row r="214" spans="1:35" x14ac:dyDescent="0.25">
      <c r="A214" t="s">
        <v>133</v>
      </c>
      <c r="B214" t="s">
        <v>444</v>
      </c>
      <c r="C214" t="s">
        <v>445</v>
      </c>
      <c r="D214" t="s">
        <v>98</v>
      </c>
      <c r="F214">
        <v>32.638148999999999</v>
      </c>
      <c r="G214">
        <v>35.696762</v>
      </c>
      <c r="H214">
        <v>38.559246000000002</v>
      </c>
      <c r="I214">
        <v>41.523949000000002</v>
      </c>
      <c r="J214">
        <v>44.541373999999998</v>
      </c>
      <c r="K214">
        <v>47.659801000000002</v>
      </c>
      <c r="L214">
        <v>50.940776999999997</v>
      </c>
      <c r="M214">
        <v>54.356574999999999</v>
      </c>
      <c r="N214">
        <v>57.892448000000002</v>
      </c>
      <c r="O214">
        <v>61.577286000000001</v>
      </c>
      <c r="P214">
        <v>65.416511999999997</v>
      </c>
      <c r="Q214">
        <v>69.575851</v>
      </c>
      <c r="R214">
        <v>73.980759000000006</v>
      </c>
      <c r="S214">
        <v>78.590202000000005</v>
      </c>
      <c r="T214">
        <v>83.369240000000005</v>
      </c>
      <c r="U214">
        <v>88.353522999999996</v>
      </c>
      <c r="V214">
        <v>93.616600000000005</v>
      </c>
      <c r="W214">
        <v>99.099266</v>
      </c>
      <c r="X214">
        <v>104.868477</v>
      </c>
      <c r="Y214">
        <v>110.916573</v>
      </c>
      <c r="Z214">
        <v>117.358101</v>
      </c>
      <c r="AA214">
        <v>124.1511</v>
      </c>
      <c r="AB214">
        <v>131.225357</v>
      </c>
      <c r="AC214">
        <v>138.61752300000001</v>
      </c>
      <c r="AD214">
        <v>146.298157</v>
      </c>
      <c r="AE214">
        <v>154.31193500000001</v>
      </c>
      <c r="AF214">
        <v>162.69998200000001</v>
      </c>
      <c r="AG214">
        <v>171.36930799999999</v>
      </c>
      <c r="AH214">
        <v>180.394104</v>
      </c>
      <c r="AI214" s="9">
        <v>6.3E-2</v>
      </c>
    </row>
    <row r="215" spans="1:35" x14ac:dyDescent="0.25">
      <c r="A215" t="s">
        <v>102</v>
      </c>
    </row>
    <row r="216" spans="1:35" x14ac:dyDescent="0.25">
      <c r="A216" t="s">
        <v>94</v>
      </c>
      <c r="B216" t="s">
        <v>446</v>
      </c>
      <c r="D216" t="s">
        <v>103</v>
      </c>
    </row>
    <row r="217" spans="1:35" x14ac:dyDescent="0.25">
      <c r="A217" t="s">
        <v>130</v>
      </c>
      <c r="B217" t="s">
        <v>447</v>
      </c>
      <c r="C217" t="s">
        <v>448</v>
      </c>
      <c r="D217" t="s">
        <v>103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3.0000000000000001E-6</v>
      </c>
      <c r="Q217">
        <v>9.0000000000000002E-6</v>
      </c>
      <c r="R217">
        <v>4.3000000000000002E-5</v>
      </c>
      <c r="S217">
        <v>1.08E-4</v>
      </c>
      <c r="T217">
        <v>2.3699999999999999E-4</v>
      </c>
      <c r="U217">
        <v>4.7399999999999997E-4</v>
      </c>
      <c r="V217">
        <v>9.2800000000000001E-4</v>
      </c>
      <c r="W217">
        <v>1.755E-3</v>
      </c>
      <c r="X217">
        <v>3.277E-3</v>
      </c>
      <c r="Y217">
        <v>6.0499999999999998E-3</v>
      </c>
      <c r="Z217">
        <v>8.8210000000000007E-3</v>
      </c>
      <c r="AA217">
        <v>1.1598000000000001E-2</v>
      </c>
      <c r="AB217">
        <v>1.4381E-2</v>
      </c>
      <c r="AC217">
        <v>1.7170999999999999E-2</v>
      </c>
      <c r="AD217">
        <v>1.9963999999999999E-2</v>
      </c>
      <c r="AE217">
        <v>2.2764E-2</v>
      </c>
      <c r="AF217">
        <v>2.5562999999999999E-2</v>
      </c>
      <c r="AG217">
        <v>2.8357E-2</v>
      </c>
      <c r="AH217">
        <v>3.1149E-2</v>
      </c>
      <c r="AI217" t="s">
        <v>3</v>
      </c>
    </row>
    <row r="218" spans="1:35" x14ac:dyDescent="0.25">
      <c r="A218" t="s">
        <v>133</v>
      </c>
      <c r="B218" t="s">
        <v>449</v>
      </c>
      <c r="C218" t="s">
        <v>450</v>
      </c>
      <c r="D218" t="s">
        <v>103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3.0000000000000001E-6</v>
      </c>
      <c r="Q218">
        <v>9.0000000000000002E-6</v>
      </c>
      <c r="R218">
        <v>4.3000000000000002E-5</v>
      </c>
      <c r="S218">
        <v>1.08E-4</v>
      </c>
      <c r="T218">
        <v>2.3699999999999999E-4</v>
      </c>
      <c r="U218">
        <v>4.7399999999999997E-4</v>
      </c>
      <c r="V218">
        <v>9.2800000000000001E-4</v>
      </c>
      <c r="W218">
        <v>1.756E-3</v>
      </c>
      <c r="X218">
        <v>3.2780000000000001E-3</v>
      </c>
      <c r="Y218">
        <v>6.0549999999999996E-3</v>
      </c>
      <c r="Z218">
        <v>8.8330000000000006E-3</v>
      </c>
      <c r="AA218">
        <v>1.1613E-2</v>
      </c>
      <c r="AB218">
        <v>1.44E-2</v>
      </c>
      <c r="AC218">
        <v>1.719E-2</v>
      </c>
      <c r="AD218">
        <v>1.9979E-2</v>
      </c>
      <c r="AE218">
        <v>2.2772000000000001E-2</v>
      </c>
      <c r="AF218">
        <v>2.5562999999999999E-2</v>
      </c>
      <c r="AG218">
        <v>2.8355999999999999E-2</v>
      </c>
      <c r="AH218">
        <v>3.1146E-2</v>
      </c>
      <c r="AI218" t="s">
        <v>3</v>
      </c>
    </row>
    <row r="219" spans="1:35" x14ac:dyDescent="0.25">
      <c r="A219" t="s">
        <v>96</v>
      </c>
      <c r="B219" t="s">
        <v>451</v>
      </c>
      <c r="D219" t="s">
        <v>103</v>
      </c>
    </row>
    <row r="220" spans="1:35" x14ac:dyDescent="0.25">
      <c r="A220" t="s">
        <v>130</v>
      </c>
      <c r="B220" t="s">
        <v>452</v>
      </c>
      <c r="C220" t="s">
        <v>453</v>
      </c>
      <c r="D220" t="s">
        <v>103</v>
      </c>
      <c r="F220">
        <v>320.74206500000003</v>
      </c>
      <c r="G220">
        <v>353.178406</v>
      </c>
      <c r="H220">
        <v>397.25158699999997</v>
      </c>
      <c r="I220">
        <v>434.42645299999998</v>
      </c>
      <c r="J220">
        <v>470.73333700000001</v>
      </c>
      <c r="K220">
        <v>509.77789300000001</v>
      </c>
      <c r="L220">
        <v>548.17248500000005</v>
      </c>
      <c r="M220">
        <v>589.55798300000004</v>
      </c>
      <c r="N220">
        <v>635.009094</v>
      </c>
      <c r="O220">
        <v>682.95190400000001</v>
      </c>
      <c r="P220">
        <v>733.30017099999998</v>
      </c>
      <c r="Q220">
        <v>781.92980999999997</v>
      </c>
      <c r="R220">
        <v>835.91406199999994</v>
      </c>
      <c r="S220">
        <v>883.02221699999996</v>
      </c>
      <c r="T220">
        <v>929.25885000000005</v>
      </c>
      <c r="U220">
        <v>974.57055700000001</v>
      </c>
      <c r="V220">
        <v>1022.574585</v>
      </c>
      <c r="W220">
        <v>1077.076172</v>
      </c>
      <c r="X220">
        <v>1132.4677730000001</v>
      </c>
      <c r="Y220">
        <v>1197.6092530000001</v>
      </c>
      <c r="Z220">
        <v>1261.770264</v>
      </c>
      <c r="AA220">
        <v>1330.908447</v>
      </c>
      <c r="AB220">
        <v>1405.4311520000001</v>
      </c>
      <c r="AC220">
        <v>1483.5311280000001</v>
      </c>
      <c r="AD220">
        <v>1559.298462</v>
      </c>
      <c r="AE220">
        <v>1639.516357</v>
      </c>
      <c r="AF220">
        <v>1720.6674800000001</v>
      </c>
      <c r="AG220">
        <v>1808.1606449999999</v>
      </c>
      <c r="AH220">
        <v>1890.2470699999999</v>
      </c>
      <c r="AI220" s="9">
        <v>6.5000000000000002E-2</v>
      </c>
    </row>
    <row r="221" spans="1:35" x14ac:dyDescent="0.25">
      <c r="A221" t="s">
        <v>133</v>
      </c>
      <c r="B221" t="s">
        <v>454</v>
      </c>
      <c r="C221" t="s">
        <v>455</v>
      </c>
      <c r="D221" t="s">
        <v>103</v>
      </c>
      <c r="F221">
        <v>319.299622</v>
      </c>
      <c r="G221">
        <v>350.78424100000001</v>
      </c>
      <c r="H221">
        <v>382.53839099999999</v>
      </c>
      <c r="I221">
        <v>410.92346199999997</v>
      </c>
      <c r="J221">
        <v>438.08569299999999</v>
      </c>
      <c r="K221">
        <v>468.55191000000002</v>
      </c>
      <c r="L221">
        <v>499.89260899999999</v>
      </c>
      <c r="M221">
        <v>532.52941899999996</v>
      </c>
      <c r="N221">
        <v>566.26849400000003</v>
      </c>
      <c r="O221">
        <v>601.81488000000002</v>
      </c>
      <c r="P221">
        <v>639.90747099999999</v>
      </c>
      <c r="Q221">
        <v>680.32525599999997</v>
      </c>
      <c r="R221">
        <v>724.21569799999997</v>
      </c>
      <c r="S221">
        <v>769.66381799999999</v>
      </c>
      <c r="T221">
        <v>817.49963400000001</v>
      </c>
      <c r="U221">
        <v>866.74926800000003</v>
      </c>
      <c r="V221">
        <v>917.97668499999997</v>
      </c>
      <c r="W221">
        <v>977.38201900000001</v>
      </c>
      <c r="X221">
        <v>1029.597534</v>
      </c>
      <c r="Y221">
        <v>1083.9979249999999</v>
      </c>
      <c r="Z221">
        <v>1147.533081</v>
      </c>
      <c r="AA221">
        <v>1213.1020510000001</v>
      </c>
      <c r="AB221">
        <v>1283.439453</v>
      </c>
      <c r="AC221">
        <v>1354.3526609999999</v>
      </c>
      <c r="AD221">
        <v>1433.243164</v>
      </c>
      <c r="AE221">
        <v>1511.3579099999999</v>
      </c>
      <c r="AF221">
        <v>1588.4956050000001</v>
      </c>
      <c r="AG221">
        <v>1674.040039</v>
      </c>
      <c r="AH221">
        <v>1764.579956</v>
      </c>
      <c r="AI221" s="9">
        <v>6.3E-2</v>
      </c>
    </row>
    <row r="222" spans="1:35" x14ac:dyDescent="0.25">
      <c r="A222" t="s">
        <v>97</v>
      </c>
      <c r="B222" t="s">
        <v>456</v>
      </c>
      <c r="D222" t="s">
        <v>103</v>
      </c>
    </row>
    <row r="223" spans="1:35" x14ac:dyDescent="0.25">
      <c r="A223" t="s">
        <v>130</v>
      </c>
      <c r="B223" t="s">
        <v>457</v>
      </c>
      <c r="C223" t="s">
        <v>458</v>
      </c>
      <c r="D223" t="s">
        <v>103</v>
      </c>
      <c r="F223">
        <v>0.56120000000000003</v>
      </c>
      <c r="G223">
        <v>0.60339799999999999</v>
      </c>
      <c r="H223">
        <v>0.65863799999999995</v>
      </c>
      <c r="I223">
        <v>0.70472900000000005</v>
      </c>
      <c r="J223">
        <v>0.74776699999999996</v>
      </c>
      <c r="K223">
        <v>0.80074500000000004</v>
      </c>
      <c r="L223">
        <v>0.85385599999999995</v>
      </c>
      <c r="M223">
        <v>0.90659699999999999</v>
      </c>
      <c r="N223">
        <v>0.96025000000000005</v>
      </c>
      <c r="O223">
        <v>1.016923</v>
      </c>
      <c r="P223">
        <v>1.0715680000000001</v>
      </c>
      <c r="Q223">
        <v>1.1217349999999999</v>
      </c>
      <c r="R223">
        <v>1.122288</v>
      </c>
      <c r="S223">
        <v>1.12683</v>
      </c>
      <c r="T223">
        <v>1.126382</v>
      </c>
      <c r="U223">
        <v>1.1277759999999999</v>
      </c>
      <c r="V223">
        <v>1.128401</v>
      </c>
      <c r="W223">
        <v>1.1304860000000001</v>
      </c>
      <c r="X223">
        <v>1.1354500000000001</v>
      </c>
      <c r="Y223">
        <v>1.1436310000000001</v>
      </c>
      <c r="Z223">
        <v>1.1458250000000001</v>
      </c>
      <c r="AA223">
        <v>1.1542190000000001</v>
      </c>
      <c r="AB223">
        <v>1.16212</v>
      </c>
      <c r="AC223">
        <v>1.170447</v>
      </c>
      <c r="AD223">
        <v>1.177325</v>
      </c>
      <c r="AE223">
        <v>1.183087</v>
      </c>
      <c r="AF223">
        <v>1.1868639999999999</v>
      </c>
      <c r="AG223">
        <v>1.1939090000000001</v>
      </c>
      <c r="AH223">
        <v>1.1918690000000001</v>
      </c>
      <c r="AI223" s="9">
        <v>2.7E-2</v>
      </c>
    </row>
    <row r="224" spans="1:35" x14ac:dyDescent="0.25">
      <c r="A224" t="s">
        <v>133</v>
      </c>
      <c r="B224" t="s">
        <v>459</v>
      </c>
      <c r="C224" t="s">
        <v>460</v>
      </c>
      <c r="D224" t="s">
        <v>103</v>
      </c>
      <c r="F224">
        <v>0.20987900000000001</v>
      </c>
      <c r="G224">
        <v>0.24828600000000001</v>
      </c>
      <c r="H224">
        <v>0.24893899999999999</v>
      </c>
      <c r="I224">
        <v>0.246532</v>
      </c>
      <c r="J224">
        <v>0.24421899999999999</v>
      </c>
      <c r="K224">
        <v>0.24321499999999999</v>
      </c>
      <c r="L224">
        <v>0.24238799999999999</v>
      </c>
      <c r="M224">
        <v>0.24268500000000001</v>
      </c>
      <c r="N224">
        <v>0.24174799999999999</v>
      </c>
      <c r="O224">
        <v>0.24115600000000001</v>
      </c>
      <c r="P224">
        <v>0.24080799999999999</v>
      </c>
      <c r="Q224">
        <v>0.24069399999999999</v>
      </c>
      <c r="R224">
        <v>0.23993999999999999</v>
      </c>
      <c r="S224">
        <v>0.239842</v>
      </c>
      <c r="T224">
        <v>0.23991499999999999</v>
      </c>
      <c r="U224">
        <v>0.23999300000000001</v>
      </c>
      <c r="V224">
        <v>0.23996899999999999</v>
      </c>
      <c r="W224">
        <v>0.241507</v>
      </c>
      <c r="X224">
        <v>0.24162600000000001</v>
      </c>
      <c r="Y224">
        <v>0.242868</v>
      </c>
      <c r="Z224">
        <v>0.244508</v>
      </c>
      <c r="AA224">
        <v>0.24640400000000001</v>
      </c>
      <c r="AB224">
        <v>0.248281</v>
      </c>
      <c r="AC224">
        <v>0.25009599999999998</v>
      </c>
      <c r="AD224">
        <v>0.252558</v>
      </c>
      <c r="AE224">
        <v>0.254581</v>
      </c>
      <c r="AF224">
        <v>0.25599300000000003</v>
      </c>
      <c r="AG224">
        <v>0.257911</v>
      </c>
      <c r="AH224">
        <v>0.25979999999999998</v>
      </c>
      <c r="AI224" s="9">
        <v>8.0000000000000002E-3</v>
      </c>
    </row>
    <row r="225" spans="1:35" x14ac:dyDescent="0.25">
      <c r="A225" t="s">
        <v>49</v>
      </c>
      <c r="B225" t="s">
        <v>461</v>
      </c>
      <c r="D225" t="s">
        <v>103</v>
      </c>
    </row>
    <row r="226" spans="1:35" x14ac:dyDescent="0.25">
      <c r="A226" t="s">
        <v>130</v>
      </c>
      <c r="B226" t="s">
        <v>462</v>
      </c>
      <c r="C226" t="s">
        <v>463</v>
      </c>
      <c r="D226" t="s">
        <v>103</v>
      </c>
      <c r="F226">
        <v>321.30325299999998</v>
      </c>
      <c r="G226">
        <v>353.78179899999998</v>
      </c>
      <c r="H226">
        <v>397.91021699999999</v>
      </c>
      <c r="I226">
        <v>435.13119499999999</v>
      </c>
      <c r="J226">
        <v>471.48111</v>
      </c>
      <c r="K226">
        <v>510.578644</v>
      </c>
      <c r="L226">
        <v>549.02636700000005</v>
      </c>
      <c r="M226">
        <v>590.46460000000002</v>
      </c>
      <c r="N226">
        <v>635.96936000000005</v>
      </c>
      <c r="O226">
        <v>683.96881099999996</v>
      </c>
      <c r="P226">
        <v>734.37176499999998</v>
      </c>
      <c r="Q226">
        <v>783.05157499999996</v>
      </c>
      <c r="R226">
        <v>837.03643799999998</v>
      </c>
      <c r="S226">
        <v>884.14917000000003</v>
      </c>
      <c r="T226">
        <v>930.38549799999998</v>
      </c>
      <c r="U226">
        <v>975.69879200000003</v>
      </c>
      <c r="V226">
        <v>1023.703918</v>
      </c>
      <c r="W226">
        <v>1078.208374</v>
      </c>
      <c r="X226">
        <v>1133.606567</v>
      </c>
      <c r="Y226">
        <v>1198.759033</v>
      </c>
      <c r="Z226">
        <v>1262.924927</v>
      </c>
      <c r="AA226">
        <v>1332.0742190000001</v>
      </c>
      <c r="AB226">
        <v>1406.6076660000001</v>
      </c>
      <c r="AC226">
        <v>1484.71875</v>
      </c>
      <c r="AD226">
        <v>1560.49585</v>
      </c>
      <c r="AE226">
        <v>1640.722168</v>
      </c>
      <c r="AF226">
        <v>1721.8798830000001</v>
      </c>
      <c r="AG226">
        <v>1809.3829350000001</v>
      </c>
      <c r="AH226">
        <v>1891.4700929999999</v>
      </c>
      <c r="AI226" s="9">
        <v>6.5000000000000002E-2</v>
      </c>
    </row>
    <row r="227" spans="1:35" x14ac:dyDescent="0.25">
      <c r="A227" t="s">
        <v>133</v>
      </c>
      <c r="B227" t="s">
        <v>464</v>
      </c>
      <c r="C227" t="s">
        <v>465</v>
      </c>
      <c r="D227" t="s">
        <v>103</v>
      </c>
      <c r="F227">
        <v>319.50949100000003</v>
      </c>
      <c r="G227">
        <v>351.032532</v>
      </c>
      <c r="H227">
        <v>382.78732300000001</v>
      </c>
      <c r="I227">
        <v>411.169983</v>
      </c>
      <c r="J227">
        <v>438.329926</v>
      </c>
      <c r="K227">
        <v>468.79513500000002</v>
      </c>
      <c r="L227">
        <v>500.13501000000002</v>
      </c>
      <c r="M227">
        <v>532.77209500000004</v>
      </c>
      <c r="N227">
        <v>566.51025400000003</v>
      </c>
      <c r="O227">
        <v>602.05602999999996</v>
      </c>
      <c r="P227">
        <v>640.14825399999995</v>
      </c>
      <c r="Q227">
        <v>680.56597899999997</v>
      </c>
      <c r="R227">
        <v>724.45568800000001</v>
      </c>
      <c r="S227">
        <v>769.90380900000002</v>
      </c>
      <c r="T227">
        <v>817.73980700000004</v>
      </c>
      <c r="U227">
        <v>866.98974599999997</v>
      </c>
      <c r="V227">
        <v>918.21758999999997</v>
      </c>
      <c r="W227">
        <v>977.62530500000003</v>
      </c>
      <c r="X227">
        <v>1029.8424070000001</v>
      </c>
      <c r="Y227">
        <v>1084.246948</v>
      </c>
      <c r="Z227">
        <v>1147.7863769999999</v>
      </c>
      <c r="AA227">
        <v>1213.360107</v>
      </c>
      <c r="AB227">
        <v>1283.7021480000001</v>
      </c>
      <c r="AC227">
        <v>1354.619995</v>
      </c>
      <c r="AD227">
        <v>1433.5157469999999</v>
      </c>
      <c r="AE227">
        <v>1511.635376</v>
      </c>
      <c r="AF227">
        <v>1588.7771</v>
      </c>
      <c r="AG227">
        <v>1674.326294</v>
      </c>
      <c r="AH227">
        <v>1764.87085</v>
      </c>
      <c r="AI227" s="9">
        <v>6.3E-2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599EA-D981-4346-8208-F8655DA9ABC5}">
  <dimension ref="A1:M11"/>
  <sheetViews>
    <sheetView workbookViewId="0">
      <selection activeCell="B10" sqref="B10"/>
    </sheetView>
  </sheetViews>
  <sheetFormatPr defaultRowHeight="15" x14ac:dyDescent="0.25"/>
  <cols>
    <col min="1" max="1" width="39.85546875" customWidth="1"/>
  </cols>
  <sheetData>
    <row r="1" spans="1:13" x14ac:dyDescent="0.25">
      <c r="A1" s="1" t="s">
        <v>468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</row>
    <row r="2" spans="1:13" x14ac:dyDescent="0.25">
      <c r="A2" t="s">
        <v>466</v>
      </c>
      <c r="C2">
        <f>'Table 21'!F187</f>
        <v>25.940821</v>
      </c>
      <c r="D2">
        <f>'Table 21'!G187</f>
        <v>28.426915999999999</v>
      </c>
      <c r="E2">
        <f>'Table 21'!H187</f>
        <v>31.317519999999998</v>
      </c>
      <c r="F2">
        <f>'Table 21'!I187</f>
        <v>34.213085</v>
      </c>
      <c r="G2">
        <f>'Table 21'!J187</f>
        <v>37.102398000000001</v>
      </c>
      <c r="H2">
        <f>'Table 21'!K187</f>
        <v>40.088000999999998</v>
      </c>
      <c r="I2">
        <f>'Table 21'!L187</f>
        <v>43.162284999999997</v>
      </c>
      <c r="J2">
        <f>'Table 21'!M187</f>
        <v>46.379024999999999</v>
      </c>
      <c r="K2">
        <f>'Table 21'!N187</f>
        <v>49.715114999999997</v>
      </c>
      <c r="L2">
        <f>'Table 21'!O187</f>
        <v>53.221054000000002</v>
      </c>
      <c r="M2">
        <f>'Table 21'!P187</f>
        <v>56.974155000000003</v>
      </c>
    </row>
    <row r="3" spans="1:13" x14ac:dyDescent="0.25">
      <c r="A3" t="s">
        <v>467</v>
      </c>
      <c r="C3">
        <f>'Table 21'!F188</f>
        <v>25.823418</v>
      </c>
      <c r="D3">
        <f>'Table 21'!G188</f>
        <v>28.069573999999999</v>
      </c>
      <c r="E3">
        <f>'Table 21'!H188</f>
        <v>30.146961000000001</v>
      </c>
      <c r="F3">
        <f>'Table 21'!I188</f>
        <v>32.281139000000003</v>
      </c>
      <c r="G3">
        <f>'Table 21'!J188</f>
        <v>34.454315000000001</v>
      </c>
      <c r="H3">
        <f>'Table 21'!K188</f>
        <v>36.717498999999997</v>
      </c>
      <c r="I3">
        <f>'Table 21'!L188</f>
        <v>39.114291999999999</v>
      </c>
      <c r="J3">
        <f>'Table 21'!M188</f>
        <v>41.642257999999998</v>
      </c>
      <c r="K3">
        <f>'Table 21'!N188</f>
        <v>44.272933999999999</v>
      </c>
      <c r="L3">
        <f>'Table 21'!O188</f>
        <v>47.051487000000002</v>
      </c>
      <c r="M3">
        <f>'Table 21'!P188</f>
        <v>49.985329</v>
      </c>
    </row>
    <row r="5" spans="1:13" x14ac:dyDescent="0.25">
      <c r="A5" t="s">
        <v>471</v>
      </c>
      <c r="C5" t="s">
        <v>473</v>
      </c>
      <c r="D5">
        <f>D2-C2</f>
        <v>2.4860949999999988</v>
      </c>
      <c r="E5">
        <f t="shared" ref="E5:M5" si="0">E2-D2</f>
        <v>2.8906039999999997</v>
      </c>
      <c r="F5">
        <f t="shared" si="0"/>
        <v>2.8955650000000013</v>
      </c>
      <c r="G5">
        <f t="shared" si="0"/>
        <v>2.8893130000000014</v>
      </c>
      <c r="H5">
        <f t="shared" si="0"/>
        <v>2.9856029999999976</v>
      </c>
      <c r="I5">
        <f t="shared" si="0"/>
        <v>3.0742839999999987</v>
      </c>
      <c r="J5">
        <f t="shared" si="0"/>
        <v>3.2167400000000015</v>
      </c>
      <c r="K5">
        <f t="shared" si="0"/>
        <v>3.3360899999999987</v>
      </c>
      <c r="L5">
        <f t="shared" si="0"/>
        <v>3.505939000000005</v>
      </c>
      <c r="M5">
        <f t="shared" si="0"/>
        <v>3.7531010000000009</v>
      </c>
    </row>
    <row r="6" spans="1:13" x14ac:dyDescent="0.25">
      <c r="A6" t="s">
        <v>472</v>
      </c>
      <c r="C6" t="s">
        <v>473</v>
      </c>
      <c r="D6">
        <f>D3-C3</f>
        <v>2.2461559999999992</v>
      </c>
      <c r="E6">
        <f t="shared" ref="E6:M6" si="1">E3-D3</f>
        <v>2.0773870000000016</v>
      </c>
      <c r="F6">
        <f t="shared" si="1"/>
        <v>2.1341780000000021</v>
      </c>
      <c r="G6">
        <f t="shared" si="1"/>
        <v>2.173175999999998</v>
      </c>
      <c r="H6">
        <f t="shared" si="1"/>
        <v>2.2631839999999954</v>
      </c>
      <c r="I6">
        <f t="shared" si="1"/>
        <v>2.3967930000000024</v>
      </c>
      <c r="J6">
        <f t="shared" si="1"/>
        <v>2.5279659999999993</v>
      </c>
      <c r="K6">
        <f t="shared" si="1"/>
        <v>2.6306760000000011</v>
      </c>
      <c r="L6">
        <f t="shared" si="1"/>
        <v>2.7785530000000023</v>
      </c>
      <c r="M6">
        <f t="shared" si="1"/>
        <v>2.9338419999999985</v>
      </c>
    </row>
    <row r="8" spans="1:13" x14ac:dyDescent="0.25">
      <c r="A8" t="s">
        <v>470</v>
      </c>
      <c r="B8">
        <v>0</v>
      </c>
      <c r="C8">
        <f>(C2-C3)*1000*Percent_Urban</f>
        <v>95.458247551201708</v>
      </c>
      <c r="D8">
        <f t="shared" ref="D8:M8" si="2">(D5-D6)*1000*Percent_Urban</f>
        <v>195.09004419978925</v>
      </c>
      <c r="E8">
        <f t="shared" si="2"/>
        <v>661.21197668582363</v>
      </c>
      <c r="F8">
        <f t="shared" si="2"/>
        <v>619.0699447907383</v>
      </c>
      <c r="G8">
        <f t="shared" si="2"/>
        <v>582.27799141909122</v>
      </c>
      <c r="H8">
        <f t="shared" si="2"/>
        <v>587.38577155347048</v>
      </c>
      <c r="I8">
        <f t="shared" si="2"/>
        <v>550.85563053508963</v>
      </c>
      <c r="J8">
        <f t="shared" si="2"/>
        <v>560.02963296365431</v>
      </c>
      <c r="K8">
        <f t="shared" si="2"/>
        <v>573.55931482230824</v>
      </c>
      <c r="L8">
        <f t="shared" si="2"/>
        <v>591.4243490650066</v>
      </c>
      <c r="M8">
        <f t="shared" si="2"/>
        <v>666.12461717801534</v>
      </c>
    </row>
    <row r="9" spans="1:13" x14ac:dyDescent="0.25">
      <c r="A9" t="s">
        <v>469</v>
      </c>
      <c r="B9">
        <v>0</v>
      </c>
      <c r="C9">
        <f>(C2-C3)*1000*Percent_rural</f>
        <v>21.944752448797765</v>
      </c>
      <c r="D9">
        <f t="shared" ref="D9:M9" si="3">(D5-D6)*1000*Percent_rural</f>
        <v>44.848955800210412</v>
      </c>
      <c r="E9">
        <f t="shared" si="3"/>
        <v>152.00502331417434</v>
      </c>
      <c r="F9">
        <f t="shared" si="3"/>
        <v>142.31705520926076</v>
      </c>
      <c r="G9">
        <f t="shared" si="3"/>
        <v>133.85900858091213</v>
      </c>
      <c r="H9">
        <f t="shared" si="3"/>
        <v>135.03322844653161</v>
      </c>
      <c r="I9">
        <f t="shared" si="3"/>
        <v>126.63536946490662</v>
      </c>
      <c r="J9">
        <f t="shared" si="3"/>
        <v>128.74436703634785</v>
      </c>
      <c r="K9">
        <f t="shared" si="3"/>
        <v>131.85468517768916</v>
      </c>
      <c r="L9">
        <f t="shared" si="3"/>
        <v>135.96165093499604</v>
      </c>
      <c r="M9">
        <f t="shared" si="3"/>
        <v>153.134382821987</v>
      </c>
    </row>
    <row r="11" spans="1:13" x14ac:dyDescent="0.25">
      <c r="A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25"/>
  <sheetViews>
    <sheetView workbookViewId="0">
      <selection activeCell="J31" sqref="J31"/>
    </sheetView>
  </sheetViews>
  <sheetFormatPr defaultColWidth="8.7109375" defaultRowHeight="15" x14ac:dyDescent="0.25"/>
  <cols>
    <col min="1" max="1" width="23.42578125" customWidth="1"/>
    <col min="2" max="2" width="10.28515625" bestFit="1" customWidth="1"/>
    <col min="3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f>-Calculations!B8</f>
        <v>0</v>
      </c>
      <c r="C8">
        <f>-Calculations!C8</f>
        <v>-95.458247551201708</v>
      </c>
      <c r="D8">
        <f>-Calculations!D8</f>
        <v>-195.09004419978925</v>
      </c>
      <c r="E8">
        <f>-Calculations!E8</f>
        <v>-661.21197668582363</v>
      </c>
      <c r="F8">
        <f>-Calculations!F8</f>
        <v>-619.0699447907383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25"/>
  <sheetViews>
    <sheetView workbookViewId="0">
      <selection activeCell="H8" sqref="G8:H8"/>
    </sheetView>
  </sheetViews>
  <sheetFormatPr defaultColWidth="8.7109375" defaultRowHeight="15" x14ac:dyDescent="0.25"/>
  <cols>
    <col min="1" max="1" width="23.42578125" customWidth="1"/>
    <col min="2" max="3" width="9.5703125" bestFit="1" customWidth="1"/>
    <col min="4" max="4" width="10.28515625" bestFit="1" customWidth="1"/>
    <col min="5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f>-Calculations!B9</f>
        <v>0</v>
      </c>
      <c r="C8">
        <f>-Calculations!C9</f>
        <v>-21.944752448797765</v>
      </c>
      <c r="D8">
        <f>-Calculations!D9</f>
        <v>-44.848955800210412</v>
      </c>
      <c r="E8">
        <f>-Calculations!E9</f>
        <v>-152.00502331417434</v>
      </c>
      <c r="F8">
        <f>-Calculations!F9</f>
        <v>-142.31705520926076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25"/>
  <sheetViews>
    <sheetView tabSelected="1" workbookViewId="0"/>
  </sheetViews>
  <sheetFormatPr defaultColWidth="8.7109375" defaultRowHeight="15" x14ac:dyDescent="0.25"/>
  <cols>
    <col min="1" max="1" width="23.42578125" customWidth="1"/>
    <col min="2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About</vt:lpstr>
      <vt:lpstr>Table 21</vt:lpstr>
      <vt:lpstr>Calculations</vt:lpstr>
      <vt:lpstr>CiDESCTY-urban-residential</vt:lpstr>
      <vt:lpstr>CiDESCTY-rural-residential</vt:lpstr>
      <vt:lpstr>CiDESCTY-commercial</vt:lpstr>
      <vt:lpstr>billion_kw_to_MW</vt:lpstr>
      <vt:lpstr>gigwatt_to_megawatt</vt:lpstr>
      <vt:lpstr>Percent_rural</vt:lpstr>
      <vt:lpstr>Percent_Urban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2016-01-26T19:10:58Z</dcterms:created>
  <dcterms:modified xsi:type="dcterms:W3CDTF">2025-09-02T20:11:40Z</dcterms:modified>
</cp:coreProperties>
</file>