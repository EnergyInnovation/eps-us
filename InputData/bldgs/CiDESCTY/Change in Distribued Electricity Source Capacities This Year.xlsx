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defaultThemeVersion="124226"/>
  <mc:AlternateContent xmlns:mc="http://schemas.openxmlformats.org/markup-compatibility/2006">
    <mc:Choice Requires="x15">
      <x15ac:absPath xmlns:x15ac="http://schemas.microsoft.com/office/spreadsheetml/2010/11/ac" url="C:\Users\RobbieOrvis\Models\EPS Structure Research\eps-us-dc-replay\InputData\bldgs\CiDESCTY\"/>
    </mc:Choice>
  </mc:AlternateContent>
  <xr:revisionPtr revIDLastSave="0" documentId="13_ncr:1_{0F0F80FA-6293-47D2-8B70-32355C726993}" xr6:coauthVersionLast="47" xr6:coauthVersionMax="47" xr10:uidLastSave="{00000000-0000-0000-0000-000000000000}"/>
  <bookViews>
    <workbookView xWindow="-120" yWindow="-120" windowWidth="57840" windowHeight="23520" tabRatio="714" firstSheet="12" activeTab="16" xr2:uid="{78C42925-BD2F-4DDC-9C55-3AA1D702B622}"/>
  </bookViews>
  <sheets>
    <sheet name="About" sheetId="1" r:id="rId1"/>
    <sheet name="Source Data&gt;" sheetId="23" r:id="rId2"/>
    <sheet name="AEO23_Table_21._Residential" sheetId="19" r:id="rId3"/>
    <sheet name="AEO25_Table_21._Residential" sheetId="21" r:id="rId4"/>
    <sheet name="AEO23_table_22._Comm" sheetId="20" r:id="rId5"/>
    <sheet name="AEO25_Table_22._Commercial" sheetId="22" r:id="rId6"/>
    <sheet name="RECS HC2.1" sheetId="8" r:id="rId7"/>
    <sheet name="Calcs&gt;" sheetId="24" r:id="rId8"/>
    <sheet name="Calculations" sheetId="13" r:id="rId9"/>
    <sheet name="Inflation Reduction Act" sheetId="18" r:id="rId10"/>
    <sheet name="BDESC-urban-residential" sheetId="6" r:id="rId11"/>
    <sheet name="BDESC-rural-residential" sheetId="10" r:id="rId12"/>
    <sheet name="BDESC-commercial" sheetId="7" r:id="rId13"/>
    <sheet name="CiDESCTY-urban-residential" sheetId="26" r:id="rId14"/>
    <sheet name="CiDESCTY-rural-residential" sheetId="27" r:id="rId15"/>
    <sheet name="CiDESCTY-commercial" sheetId="28" r:id="rId16"/>
    <sheet name="CiDESCTY-data-centers" sheetId="31" r:id="rId17"/>
    <sheet name="AEO26_Table_22._Commercial" sheetId="30" r:id="rId18"/>
    <sheet name="AEO26_Table_21._Residential" sheetId="29" r:id="rId19"/>
  </sheets>
  <externalReferences>
    <externalReference r:id="rId20"/>
    <externalReference r:id="rId21"/>
    <externalReference r:id="rId22"/>
    <externalReference r:id="rId23"/>
  </externalReferences>
  <definedNames>
    <definedName name="billion_kw_to_MW">About!$B$30</definedName>
    <definedName name="CH4_to_CO2e">'[1]Cross-Page Data'!$C$12</definedName>
    <definedName name="cpi_2010to2012">#REF!</definedName>
    <definedName name="cpi_2013to2012">#REF!</definedName>
    <definedName name="cpi_2014to2012">#REF!</definedName>
    <definedName name="cpi_2016to2012">#REF!</definedName>
    <definedName name="dollars_2020_2012">[2]About!$A$113</definedName>
    <definedName name="dollars_2022_2012">[2]About!$A$111</definedName>
    <definedName name="gigwatt_to_megawatt">About!$B$31</definedName>
    <definedName name="gigwatts_to_megawatts">[3]About!$A$31</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N2O_to_CO2e">'[1]Cross-Page Data'!$C$13</definedName>
    <definedName name="Percent_rural">About!$A$28</definedName>
    <definedName name="Percent_Urban">About!$A$27</definedName>
    <definedName name="unit_conv">[4]About!$A$123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92" i="13" l="1"/>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B4" i="6" l="1"/>
  <c r="B4" i="10"/>
  <c r="B5" i="10"/>
  <c r="B6" i="10"/>
  <c r="B9" i="10"/>
  <c r="B10" i="10"/>
  <c r="B11" i="10"/>
  <c r="B12" i="10"/>
  <c r="B13" i="10"/>
  <c r="B14" i="10"/>
  <c r="B15" i="10"/>
  <c r="B16" i="10"/>
  <c r="B17" i="10"/>
  <c r="B18" i="10"/>
  <c r="D92" i="13" l="1"/>
  <c r="D88" i="13"/>
  <c r="D87" i="13"/>
  <c r="D84" i="13"/>
  <c r="E92" i="13"/>
  <c r="E88" i="13"/>
  <c r="E87" i="13"/>
  <c r="E84" i="13"/>
  <c r="B57" i="18" l="1"/>
  <c r="B58" i="18" s="1"/>
  <c r="C57" i="18"/>
  <c r="D57" i="18"/>
  <c r="E57" i="18"/>
  <c r="F57" i="18"/>
  <c r="G57" i="18"/>
  <c r="H57" i="18"/>
  <c r="I57" i="18"/>
  <c r="J57" i="18"/>
  <c r="K57" i="18"/>
  <c r="L57" i="18"/>
  <c r="T57" i="18"/>
  <c r="U57" i="18"/>
  <c r="V57" i="18"/>
  <c r="W57" i="18"/>
  <c r="X57" i="18"/>
  <c r="Y57" i="18"/>
  <c r="Z57" i="18"/>
  <c r="AA57" i="18"/>
  <c r="AB57" i="18"/>
  <c r="AC57" i="18"/>
  <c r="S57" i="18"/>
  <c r="R57" i="18"/>
  <c r="Q57" i="18"/>
  <c r="M57" i="18"/>
  <c r="N57" i="18"/>
  <c r="O57" i="18"/>
  <c r="P57" i="18"/>
  <c r="C58" i="18" l="1"/>
  <c r="D58" i="18" s="1"/>
  <c r="E58" i="18" l="1"/>
  <c r="U7" i="7"/>
  <c r="M7" i="7"/>
  <c r="B8" i="7"/>
  <c r="Q8" i="7"/>
  <c r="Z8" i="7"/>
  <c r="H8" i="7"/>
  <c r="E8" i="7"/>
  <c r="W7" i="7"/>
  <c r="V7" i="7"/>
  <c r="R12" i="7"/>
  <c r="J12" i="7"/>
  <c r="F8" i="7"/>
  <c r="G8" i="7"/>
  <c r="L8" i="7"/>
  <c r="C8" i="7"/>
  <c r="C12" i="7"/>
  <c r="J7" i="7"/>
  <c r="Q12" i="7"/>
  <c r="K7" i="7"/>
  <c r="R8" i="7"/>
  <c r="V12" i="7"/>
  <c r="T7" i="7"/>
  <c r="AA7" i="7"/>
  <c r="AB7" i="7"/>
  <c r="AB12" i="7"/>
  <c r="L7" i="7"/>
  <c r="J8" i="7"/>
  <c r="W12" i="7"/>
  <c r="P8" i="7"/>
  <c r="K8" i="7"/>
  <c r="M12" i="7"/>
  <c r="Y7" i="7"/>
  <c r="Y12" i="7"/>
  <c r="O7" i="7"/>
  <c r="O12" i="7"/>
  <c r="R7" i="7"/>
  <c r="Z7" i="7"/>
  <c r="Z12" i="7"/>
  <c r="P7" i="7"/>
  <c r="P12" i="7"/>
  <c r="M8" i="7"/>
  <c r="T12" i="7"/>
  <c r="AA12" i="7"/>
  <c r="Q7" i="7"/>
  <c r="Y8" i="7"/>
  <c r="O8" i="7"/>
  <c r="U12" i="7"/>
  <c r="AB8" i="7"/>
  <c r="AA8" i="7"/>
  <c r="K12" i="7"/>
  <c r="B12" i="7"/>
  <c r="L12" i="7"/>
  <c r="E12" i="7"/>
  <c r="G12" i="7"/>
  <c r="H12" i="7"/>
  <c r="F12" i="7"/>
  <c r="U8" i="7"/>
  <c r="T8" i="7"/>
  <c r="V8" i="7"/>
  <c r="W8" i="7"/>
  <c r="C7" i="7"/>
  <c r="E7" i="7"/>
  <c r="F7" i="7"/>
  <c r="G7" i="7"/>
  <c r="H7" i="7"/>
  <c r="B7" i="7"/>
  <c r="D7" i="7"/>
  <c r="N12" i="7"/>
  <c r="X8" i="7"/>
  <c r="B2" i="7"/>
  <c r="C2" i="7"/>
  <c r="D2" i="7"/>
  <c r="E2" i="7"/>
  <c r="F2" i="7"/>
  <c r="G2" i="7"/>
  <c r="H2" i="7"/>
  <c r="I2" i="7"/>
  <c r="J2" i="7"/>
  <c r="K2" i="7"/>
  <c r="L2" i="7"/>
  <c r="M2" i="7"/>
  <c r="N2" i="7"/>
  <c r="O2" i="7"/>
  <c r="P2" i="7"/>
  <c r="Q2" i="7"/>
  <c r="R2" i="7"/>
  <c r="S2" i="7"/>
  <c r="T2" i="7"/>
  <c r="U2" i="7"/>
  <c r="V2" i="7"/>
  <c r="W2" i="7"/>
  <c r="X2" i="7"/>
  <c r="Y2" i="7"/>
  <c r="Z2" i="7"/>
  <c r="AA2" i="7"/>
  <c r="AB2" i="7"/>
  <c r="AC2" i="7"/>
  <c r="D4" i="7"/>
  <c r="I4" i="7"/>
  <c r="N4" i="7"/>
  <c r="S4" i="7"/>
  <c r="X4" i="7"/>
  <c r="AC4" i="7"/>
  <c r="B5" i="7"/>
  <c r="C5" i="7"/>
  <c r="D5" i="7"/>
  <c r="E5" i="7"/>
  <c r="F5" i="7"/>
  <c r="G5" i="7"/>
  <c r="H5" i="7"/>
  <c r="I5" i="7"/>
  <c r="J5" i="7"/>
  <c r="K5" i="7"/>
  <c r="L5" i="7"/>
  <c r="M5" i="7"/>
  <c r="N5" i="7"/>
  <c r="O5" i="7"/>
  <c r="P5" i="7"/>
  <c r="Q5" i="7"/>
  <c r="R5" i="7"/>
  <c r="S5" i="7"/>
  <c r="T5" i="7"/>
  <c r="U5" i="7"/>
  <c r="V5" i="7"/>
  <c r="W5" i="7"/>
  <c r="X5" i="7"/>
  <c r="Y5" i="7"/>
  <c r="Z5" i="7"/>
  <c r="AA5" i="7"/>
  <c r="AB5" i="7"/>
  <c r="AC5" i="7"/>
  <c r="B6" i="7"/>
  <c r="C6" i="7"/>
  <c r="D6" i="7"/>
  <c r="E6" i="7"/>
  <c r="F6" i="7"/>
  <c r="G6" i="7"/>
  <c r="H6" i="7"/>
  <c r="I6" i="7"/>
  <c r="J6" i="7"/>
  <c r="K6" i="7"/>
  <c r="L6" i="7"/>
  <c r="M6" i="7"/>
  <c r="N6" i="7"/>
  <c r="O6" i="7"/>
  <c r="P6" i="7"/>
  <c r="Q6" i="7"/>
  <c r="R6" i="7"/>
  <c r="S6" i="7"/>
  <c r="T6" i="7"/>
  <c r="U6" i="7"/>
  <c r="V6" i="7"/>
  <c r="W6" i="7"/>
  <c r="X6" i="7"/>
  <c r="Y6" i="7"/>
  <c r="Z6" i="7"/>
  <c r="AA6" i="7"/>
  <c r="AB6" i="7"/>
  <c r="AC6" i="7"/>
  <c r="I7" i="7"/>
  <c r="N7" i="7"/>
  <c r="S7" i="7"/>
  <c r="X7" i="7"/>
  <c r="D8" i="7"/>
  <c r="I8" i="7"/>
  <c r="N8" i="7"/>
  <c r="S8" i="7"/>
  <c r="B9" i="7"/>
  <c r="C9" i="7"/>
  <c r="D9" i="7"/>
  <c r="E9" i="7"/>
  <c r="F9" i="7"/>
  <c r="G9" i="7"/>
  <c r="H9" i="7"/>
  <c r="I9" i="7"/>
  <c r="J9" i="7"/>
  <c r="K9" i="7"/>
  <c r="L9" i="7"/>
  <c r="M9" i="7"/>
  <c r="N9" i="7"/>
  <c r="O9" i="7"/>
  <c r="P9" i="7"/>
  <c r="Q9" i="7"/>
  <c r="R9" i="7"/>
  <c r="S9" i="7"/>
  <c r="T9" i="7"/>
  <c r="U9" i="7"/>
  <c r="V9" i="7"/>
  <c r="W9" i="7"/>
  <c r="X9" i="7"/>
  <c r="Y9" i="7"/>
  <c r="Z9" i="7"/>
  <c r="AA9" i="7"/>
  <c r="AB9" i="7"/>
  <c r="AC9" i="7"/>
  <c r="B10" i="7"/>
  <c r="C10" i="7"/>
  <c r="D10" i="7"/>
  <c r="E10" i="7"/>
  <c r="F10" i="7"/>
  <c r="G10" i="7"/>
  <c r="H10" i="7"/>
  <c r="I10" i="7"/>
  <c r="J10" i="7"/>
  <c r="K10" i="7"/>
  <c r="L10" i="7"/>
  <c r="M10" i="7"/>
  <c r="N10" i="7"/>
  <c r="O10" i="7"/>
  <c r="P10" i="7"/>
  <c r="Q10" i="7"/>
  <c r="R10" i="7"/>
  <c r="S10" i="7"/>
  <c r="T10" i="7"/>
  <c r="U10" i="7"/>
  <c r="V10" i="7"/>
  <c r="W10" i="7"/>
  <c r="X10" i="7"/>
  <c r="Y10" i="7"/>
  <c r="Z10" i="7"/>
  <c r="AA10" i="7"/>
  <c r="AB10" i="7"/>
  <c r="AC10" i="7"/>
  <c r="B11" i="7"/>
  <c r="C11" i="7"/>
  <c r="D11" i="7"/>
  <c r="E11" i="7"/>
  <c r="F11" i="7"/>
  <c r="G11" i="7"/>
  <c r="H11" i="7"/>
  <c r="I11" i="7"/>
  <c r="J11" i="7"/>
  <c r="K11" i="7"/>
  <c r="L11" i="7"/>
  <c r="M11" i="7"/>
  <c r="N11" i="7"/>
  <c r="O11" i="7"/>
  <c r="P11" i="7"/>
  <c r="Q11" i="7"/>
  <c r="R11" i="7"/>
  <c r="S11" i="7"/>
  <c r="T11" i="7"/>
  <c r="U11" i="7"/>
  <c r="V11" i="7"/>
  <c r="W11" i="7"/>
  <c r="X11" i="7"/>
  <c r="Y11" i="7"/>
  <c r="Z11" i="7"/>
  <c r="AA11" i="7"/>
  <c r="AB11" i="7"/>
  <c r="AC11" i="7"/>
  <c r="D12" i="7"/>
  <c r="I12" i="7"/>
  <c r="S12" i="7"/>
  <c r="X12" i="7"/>
  <c r="B13" i="7"/>
  <c r="C13" i="7"/>
  <c r="D13" i="7"/>
  <c r="E13" i="7"/>
  <c r="F13" i="7"/>
  <c r="G13" i="7"/>
  <c r="H13" i="7"/>
  <c r="I13" i="7"/>
  <c r="J13" i="7"/>
  <c r="K13" i="7"/>
  <c r="L13" i="7"/>
  <c r="M13" i="7"/>
  <c r="N13" i="7"/>
  <c r="O13" i="7"/>
  <c r="P13" i="7"/>
  <c r="Q13" i="7"/>
  <c r="R13" i="7"/>
  <c r="S13" i="7"/>
  <c r="T13" i="7"/>
  <c r="U13" i="7"/>
  <c r="V13" i="7"/>
  <c r="W13" i="7"/>
  <c r="X13" i="7"/>
  <c r="Y13" i="7"/>
  <c r="Z13" i="7"/>
  <c r="AA13" i="7"/>
  <c r="AB13" i="7"/>
  <c r="AC13" i="7"/>
  <c r="B14" i="7"/>
  <c r="C14" i="7"/>
  <c r="D14" i="7"/>
  <c r="E14" i="7"/>
  <c r="F14" i="7"/>
  <c r="G14" i="7"/>
  <c r="H14" i="7"/>
  <c r="I14" i="7"/>
  <c r="J14" i="7"/>
  <c r="K14" i="7"/>
  <c r="L14" i="7"/>
  <c r="M14" i="7"/>
  <c r="N14" i="7"/>
  <c r="O14" i="7"/>
  <c r="P14" i="7"/>
  <c r="Q14" i="7"/>
  <c r="R14" i="7"/>
  <c r="S14" i="7"/>
  <c r="T14" i="7"/>
  <c r="U14" i="7"/>
  <c r="V14" i="7"/>
  <c r="W14" i="7"/>
  <c r="X14" i="7"/>
  <c r="Y14" i="7"/>
  <c r="Z14" i="7"/>
  <c r="AA14" i="7"/>
  <c r="AB14" i="7"/>
  <c r="AC14" i="7"/>
  <c r="B15" i="7"/>
  <c r="C15" i="7"/>
  <c r="D15" i="7"/>
  <c r="E15" i="7"/>
  <c r="F15" i="7"/>
  <c r="G15" i="7"/>
  <c r="H15" i="7"/>
  <c r="I15" i="7"/>
  <c r="J15" i="7"/>
  <c r="K15" i="7"/>
  <c r="L15" i="7"/>
  <c r="M15" i="7"/>
  <c r="N15" i="7"/>
  <c r="O15" i="7"/>
  <c r="P15" i="7"/>
  <c r="Q15" i="7"/>
  <c r="R15" i="7"/>
  <c r="S15" i="7"/>
  <c r="T15" i="7"/>
  <c r="U15" i="7"/>
  <c r="V15" i="7"/>
  <c r="W15" i="7"/>
  <c r="X15" i="7"/>
  <c r="Y15" i="7"/>
  <c r="Z15" i="7"/>
  <c r="AA15" i="7"/>
  <c r="AB15" i="7"/>
  <c r="AC15" i="7"/>
  <c r="B16" i="7"/>
  <c r="C16" i="7"/>
  <c r="D16" i="7"/>
  <c r="E16" i="7"/>
  <c r="F16" i="7"/>
  <c r="G16" i="7"/>
  <c r="H16" i="7"/>
  <c r="I16" i="7"/>
  <c r="J16" i="7"/>
  <c r="K16" i="7"/>
  <c r="L16" i="7"/>
  <c r="M16" i="7"/>
  <c r="N16" i="7"/>
  <c r="O16" i="7"/>
  <c r="P16" i="7"/>
  <c r="Q16" i="7"/>
  <c r="R16" i="7"/>
  <c r="S16" i="7"/>
  <c r="T16" i="7"/>
  <c r="U16" i="7"/>
  <c r="V16" i="7"/>
  <c r="W16" i="7"/>
  <c r="X16" i="7"/>
  <c r="Y16" i="7"/>
  <c r="Z16" i="7"/>
  <c r="AA16" i="7"/>
  <c r="AB16" i="7"/>
  <c r="AC16" i="7"/>
  <c r="B17" i="7"/>
  <c r="C17" i="7"/>
  <c r="D17" i="7"/>
  <c r="E17" i="7"/>
  <c r="F17" i="7"/>
  <c r="G17" i="7"/>
  <c r="H17" i="7"/>
  <c r="I17" i="7"/>
  <c r="J17" i="7"/>
  <c r="K17" i="7"/>
  <c r="L17" i="7"/>
  <c r="M17" i="7"/>
  <c r="N17" i="7"/>
  <c r="O17" i="7"/>
  <c r="P17" i="7"/>
  <c r="Q17" i="7"/>
  <c r="R17" i="7"/>
  <c r="S17" i="7"/>
  <c r="T17" i="7"/>
  <c r="U17" i="7"/>
  <c r="V17" i="7"/>
  <c r="W17" i="7"/>
  <c r="X17" i="7"/>
  <c r="Y17" i="7"/>
  <c r="Z17" i="7"/>
  <c r="AA17" i="7"/>
  <c r="AB17" i="7"/>
  <c r="AC17" i="7"/>
  <c r="B18" i="7"/>
  <c r="C18" i="7"/>
  <c r="D18" i="7"/>
  <c r="E18" i="7"/>
  <c r="F18" i="7"/>
  <c r="G18" i="7"/>
  <c r="H18" i="7"/>
  <c r="I18" i="7"/>
  <c r="J18" i="7"/>
  <c r="K18" i="7"/>
  <c r="L18" i="7"/>
  <c r="M18" i="7"/>
  <c r="N18" i="7"/>
  <c r="O18" i="7"/>
  <c r="P18" i="7"/>
  <c r="Q18" i="7"/>
  <c r="R18" i="7"/>
  <c r="S18" i="7"/>
  <c r="T18" i="7"/>
  <c r="U18" i="7"/>
  <c r="V18" i="7"/>
  <c r="W18" i="7"/>
  <c r="X18" i="7"/>
  <c r="Y18" i="7"/>
  <c r="Z18" i="7"/>
  <c r="AA18" i="7"/>
  <c r="AB18" i="7"/>
  <c r="AC18" i="7"/>
  <c r="C2" i="10"/>
  <c r="D2" i="10"/>
  <c r="E2" i="10"/>
  <c r="F2" i="10"/>
  <c r="G2" i="10"/>
  <c r="H2" i="10"/>
  <c r="I2" i="10"/>
  <c r="J2" i="10"/>
  <c r="K2" i="10"/>
  <c r="L2" i="10"/>
  <c r="M2" i="10"/>
  <c r="N2" i="10"/>
  <c r="O2" i="10"/>
  <c r="P2" i="10"/>
  <c r="Q2" i="10"/>
  <c r="R2" i="10"/>
  <c r="S2" i="10"/>
  <c r="T2" i="10"/>
  <c r="U2" i="10"/>
  <c r="V2" i="10"/>
  <c r="W2" i="10"/>
  <c r="X2" i="10"/>
  <c r="Y2" i="10"/>
  <c r="Z2" i="10"/>
  <c r="AA2" i="10"/>
  <c r="AB2" i="10"/>
  <c r="AC2"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C7" i="7"/>
  <c r="AC8" i="7"/>
  <c r="AC12" i="7"/>
  <c r="F58" i="18" l="1"/>
  <c r="B30" i="1"/>
  <c r="AE112" i="13" l="1"/>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AE108" i="13"/>
  <c r="AD108" i="13"/>
  <c r="AC108" i="13"/>
  <c r="AB108" i="13"/>
  <c r="AA108" i="13"/>
  <c r="Z108" i="13"/>
  <c r="Y108" i="13"/>
  <c r="X108" i="13"/>
  <c r="W108" i="13"/>
  <c r="V108" i="13"/>
  <c r="U108" i="13"/>
  <c r="T108" i="13"/>
  <c r="S108" i="13"/>
  <c r="R108" i="13"/>
  <c r="Q108" i="13"/>
  <c r="P108" i="13"/>
  <c r="O108" i="13"/>
  <c r="N108" i="13"/>
  <c r="M108" i="13"/>
  <c r="L108" i="13"/>
  <c r="K108" i="13"/>
  <c r="J108" i="13"/>
  <c r="L107" i="13"/>
  <c r="I107" i="13"/>
  <c r="G107" i="13"/>
  <c r="AD104" i="13"/>
  <c r="AB104" i="13"/>
  <c r="AA104" i="13"/>
  <c r="Y104" i="13"/>
  <c r="V104" i="13"/>
  <c r="T104" i="13"/>
  <c r="Q104" i="13"/>
  <c r="O104" i="13"/>
  <c r="K104" i="13"/>
  <c r="G104" i="13"/>
  <c r="I108" i="13"/>
  <c r="H108" i="13"/>
  <c r="G108" i="13"/>
  <c r="F108" i="13"/>
  <c r="AE107" i="13"/>
  <c r="AD107" i="13"/>
  <c r="AC107" i="13"/>
  <c r="AB107" i="13"/>
  <c r="AA107" i="13"/>
  <c r="Z107" i="13"/>
  <c r="Y107" i="13"/>
  <c r="X107" i="13"/>
  <c r="W107" i="13"/>
  <c r="V107" i="13"/>
  <c r="U107" i="13"/>
  <c r="T107" i="13"/>
  <c r="S107" i="13"/>
  <c r="R107" i="13"/>
  <c r="Q107" i="13"/>
  <c r="P107" i="13"/>
  <c r="O107" i="13"/>
  <c r="N107" i="13"/>
  <c r="M107" i="13"/>
  <c r="K107" i="13"/>
  <c r="J107" i="13"/>
  <c r="H107" i="13"/>
  <c r="F107" i="13"/>
  <c r="AE104" i="13"/>
  <c r="AC104" i="13"/>
  <c r="Z104" i="13"/>
  <c r="X104" i="13"/>
  <c r="W104" i="13"/>
  <c r="U104" i="13"/>
  <c r="S104" i="13"/>
  <c r="R104" i="13"/>
  <c r="P104" i="13"/>
  <c r="N104" i="13"/>
  <c r="J104" i="13"/>
  <c r="H104" i="13"/>
  <c r="F104" i="13"/>
  <c r="M104" i="13"/>
  <c r="L104" i="13"/>
  <c r="I104" i="13"/>
  <c r="E108" i="13"/>
  <c r="E112" i="13"/>
  <c r="D112" i="13"/>
  <c r="D108" i="13"/>
  <c r="E107" i="13"/>
  <c r="D107" i="13"/>
  <c r="E104" i="13"/>
  <c r="D104" i="13"/>
  <c r="G58" i="18"/>
  <c r="A28" i="1"/>
  <c r="A27" i="1"/>
  <c r="AE67" i="13" l="1"/>
  <c r="AC8" i="10" s="1"/>
  <c r="AA67" i="13"/>
  <c r="Y8" i="10" s="1"/>
  <c r="W67" i="13"/>
  <c r="U8" i="10" s="1"/>
  <c r="U67" i="13"/>
  <c r="S8" i="10" s="1"/>
  <c r="Q67" i="13"/>
  <c r="O8" i="10" s="1"/>
  <c r="M67" i="13"/>
  <c r="K8" i="10" s="1"/>
  <c r="I67" i="13"/>
  <c r="G8" i="10" s="1"/>
  <c r="AC66" i="13"/>
  <c r="AA7" i="10" s="1"/>
  <c r="Z66" i="13"/>
  <c r="X7" i="10" s="1"/>
  <c r="M66" i="13"/>
  <c r="K7" i="10" s="1"/>
  <c r="I66" i="13"/>
  <c r="G7" i="10" s="1"/>
  <c r="F66" i="13"/>
  <c r="D7" i="10" s="1"/>
  <c r="AC63" i="13"/>
  <c r="AA4" i="10" s="1"/>
  <c r="Z63" i="13"/>
  <c r="X4" i="10" s="1"/>
  <c r="V63" i="13"/>
  <c r="T4" i="10" s="1"/>
  <c r="N63" i="13"/>
  <c r="L4" i="10" s="1"/>
  <c r="I63" i="13"/>
  <c r="G4" i="10" s="1"/>
  <c r="AB66" i="13"/>
  <c r="Z7" i="10" s="1"/>
  <c r="W66" i="13"/>
  <c r="U7" i="10" s="1"/>
  <c r="T66" i="13"/>
  <c r="R7" i="10" s="1"/>
  <c r="R66" i="13"/>
  <c r="P7" i="10" s="1"/>
  <c r="P66" i="13"/>
  <c r="N7" i="10" s="1"/>
  <c r="L66" i="13"/>
  <c r="J7" i="10" s="1"/>
  <c r="H66" i="13"/>
  <c r="F7" i="10" s="1"/>
  <c r="AD63" i="13"/>
  <c r="AB4" i="10" s="1"/>
  <c r="Y63" i="13"/>
  <c r="W4" i="10" s="1"/>
  <c r="U63" i="13"/>
  <c r="S4" i="10" s="1"/>
  <c r="R63" i="13"/>
  <c r="P4" i="10" s="1"/>
  <c r="O63" i="13"/>
  <c r="M4" i="10" s="1"/>
  <c r="K63" i="13"/>
  <c r="I4" i="10" s="1"/>
  <c r="F63" i="13"/>
  <c r="D4" i="10" s="1"/>
  <c r="AB29" i="13"/>
  <c r="Z29" i="13"/>
  <c r="V29" i="13"/>
  <c r="R29" i="13"/>
  <c r="O29" i="13"/>
  <c r="G25" i="13"/>
  <c r="AE29" i="13"/>
  <c r="AA29" i="13"/>
  <c r="W29" i="13"/>
  <c r="S29" i="13"/>
  <c r="P29" i="13"/>
  <c r="L29" i="13"/>
  <c r="I29" i="13"/>
  <c r="AE28" i="13"/>
  <c r="AB28" i="13"/>
  <c r="Y28" i="13"/>
  <c r="V28" i="13"/>
  <c r="R28" i="13"/>
  <c r="O28" i="13"/>
  <c r="L28" i="13"/>
  <c r="J28" i="13"/>
  <c r="F28" i="13"/>
  <c r="AC25" i="13"/>
  <c r="AA25" i="13"/>
  <c r="Y25" i="13"/>
  <c r="W25" i="13"/>
  <c r="U25" i="13"/>
  <c r="S25" i="13"/>
  <c r="P25" i="13"/>
  <c r="N25" i="13"/>
  <c r="L25" i="13"/>
  <c r="E8" i="27"/>
  <c r="AD67" i="13"/>
  <c r="AB8" i="10" s="1"/>
  <c r="AB67" i="13"/>
  <c r="Z8" i="10" s="1"/>
  <c r="X67" i="13"/>
  <c r="V8" i="10" s="1"/>
  <c r="V67" i="13"/>
  <c r="T8" i="10" s="1"/>
  <c r="R67" i="13"/>
  <c r="P8" i="10" s="1"/>
  <c r="N67" i="13"/>
  <c r="L8" i="10" s="1"/>
  <c r="J67" i="13"/>
  <c r="H8" i="10" s="1"/>
  <c r="G67" i="13"/>
  <c r="E8" i="10" s="1"/>
  <c r="AD66" i="13"/>
  <c r="AB7" i="10" s="1"/>
  <c r="Y66" i="13"/>
  <c r="W7" i="10" s="1"/>
  <c r="V66" i="13"/>
  <c r="T7" i="10" s="1"/>
  <c r="Q66" i="13"/>
  <c r="O7" i="10" s="1"/>
  <c r="N66" i="13"/>
  <c r="L7" i="10" s="1"/>
  <c r="J66" i="13"/>
  <c r="H7" i="10" s="1"/>
  <c r="G66" i="13"/>
  <c r="E7" i="10" s="1"/>
  <c r="AB63" i="13"/>
  <c r="Z4" i="10" s="1"/>
  <c r="AA63" i="13"/>
  <c r="Y4" i="10" s="1"/>
  <c r="G8" i="27"/>
  <c r="W63" i="13"/>
  <c r="U4" i="10" s="1"/>
  <c r="Z67" i="13"/>
  <c r="X8" i="10" s="1"/>
  <c r="S67" i="13"/>
  <c r="Q8" i="10" s="1"/>
  <c r="O67" i="13"/>
  <c r="M8" i="10" s="1"/>
  <c r="K67" i="13"/>
  <c r="I8" i="10" s="1"/>
  <c r="F67" i="13"/>
  <c r="AA66" i="13"/>
  <c r="Y7" i="10" s="1"/>
  <c r="X66" i="13"/>
  <c r="V7" i="10" s="1"/>
  <c r="U66" i="13"/>
  <c r="S7" i="10" s="1"/>
  <c r="S66" i="13"/>
  <c r="Q7" i="10" s="1"/>
  <c r="O66" i="13"/>
  <c r="M7" i="10" s="1"/>
  <c r="K66" i="13"/>
  <c r="I7" i="10" s="1"/>
  <c r="AE63" i="13"/>
  <c r="AC4" i="10" s="1"/>
  <c r="X63" i="13"/>
  <c r="V4" i="10" s="1"/>
  <c r="T63" i="13"/>
  <c r="R4" i="10" s="1"/>
  <c r="Q63" i="13"/>
  <c r="O4" i="10" s="1"/>
  <c r="L63" i="13"/>
  <c r="J4" i="10" s="1"/>
  <c r="H63" i="13"/>
  <c r="F4" i="10" s="1"/>
  <c r="S63" i="13"/>
  <c r="Q4" i="10" s="1"/>
  <c r="P63" i="13"/>
  <c r="N4" i="10" s="1"/>
  <c r="M63" i="13"/>
  <c r="K4" i="10" s="1"/>
  <c r="J63" i="13"/>
  <c r="H4" i="10" s="1"/>
  <c r="G63" i="13"/>
  <c r="E4" i="10" s="1"/>
  <c r="AD29" i="13"/>
  <c r="X29" i="13"/>
  <c r="T29" i="13"/>
  <c r="Q29" i="13"/>
  <c r="N29" i="13"/>
  <c r="K29" i="13"/>
  <c r="H29" i="13"/>
  <c r="F29" i="13"/>
  <c r="AD28" i="13"/>
  <c r="AA28" i="13"/>
  <c r="X28" i="13"/>
  <c r="U28" i="13"/>
  <c r="S28" i="13"/>
  <c r="AC29" i="13"/>
  <c r="Y29" i="13"/>
  <c r="U29" i="13"/>
  <c r="M29" i="13"/>
  <c r="J29" i="13"/>
  <c r="G29" i="13"/>
  <c r="AC28" i="13"/>
  <c r="Z28" i="13"/>
  <c r="W28" i="13"/>
  <c r="T28" i="13"/>
  <c r="Q28" i="13"/>
  <c r="N28" i="13"/>
  <c r="I28" i="13"/>
  <c r="AE25" i="13"/>
  <c r="F25" i="13"/>
  <c r="P28" i="13"/>
  <c r="M28" i="13"/>
  <c r="K28" i="13"/>
  <c r="H28" i="13"/>
  <c r="G28" i="13"/>
  <c r="AD25" i="13"/>
  <c r="AB25" i="13"/>
  <c r="Z25" i="13"/>
  <c r="X25" i="13"/>
  <c r="V25" i="13"/>
  <c r="T25" i="13"/>
  <c r="R25" i="13"/>
  <c r="Q25" i="13"/>
  <c r="O25" i="13"/>
  <c r="M25" i="13"/>
  <c r="K25" i="13"/>
  <c r="J25" i="13"/>
  <c r="I25" i="13"/>
  <c r="H25" i="13"/>
  <c r="F8" i="27"/>
  <c r="D8" i="27"/>
  <c r="C8" i="27"/>
  <c r="AC67" i="13"/>
  <c r="AA8" i="10" s="1"/>
  <c r="Y67" i="13"/>
  <c r="W8" i="10" s="1"/>
  <c r="T67" i="13"/>
  <c r="R8" i="10" s="1"/>
  <c r="P67" i="13"/>
  <c r="N8" i="10" s="1"/>
  <c r="L67" i="13"/>
  <c r="J8" i="10" s="1"/>
  <c r="H67" i="13"/>
  <c r="F8" i="10" s="1"/>
  <c r="AE66" i="13"/>
  <c r="AC7" i="10" s="1"/>
  <c r="AD48" i="13"/>
  <c r="AB8" i="6" s="1"/>
  <c r="AA48" i="13"/>
  <c r="W48" i="13"/>
  <c r="U8" i="6" s="1"/>
  <c r="S48" i="13"/>
  <c r="N48" i="13"/>
  <c r="L8" i="6" s="1"/>
  <c r="J48" i="13"/>
  <c r="H8" i="6" s="1"/>
  <c r="F48" i="13"/>
  <c r="AC47" i="13"/>
  <c r="AA7" i="6" s="1"/>
  <c r="X47" i="13"/>
  <c r="V7" i="6" s="1"/>
  <c r="T47" i="13"/>
  <c r="R7" i="6" s="1"/>
  <c r="P47" i="13"/>
  <c r="N7" i="6" s="1"/>
  <c r="L47" i="13"/>
  <c r="J7" i="6" s="1"/>
  <c r="H47" i="13"/>
  <c r="F7" i="6" s="1"/>
  <c r="AD44" i="13"/>
  <c r="AB4" i="6" s="1"/>
  <c r="AA44" i="13"/>
  <c r="W44" i="13"/>
  <c r="U4" i="6" s="1"/>
  <c r="S44" i="13"/>
  <c r="O44" i="13"/>
  <c r="M4" i="6" s="1"/>
  <c r="L44" i="13"/>
  <c r="J4" i="6" s="1"/>
  <c r="I44" i="13"/>
  <c r="G4" i="6" s="1"/>
  <c r="V10" i="13"/>
  <c r="T10" i="13"/>
  <c r="O10" i="13"/>
  <c r="K10" i="13"/>
  <c r="H10" i="13"/>
  <c r="AE9" i="13"/>
  <c r="AB9" i="13"/>
  <c r="Y9" i="13"/>
  <c r="S9" i="13"/>
  <c r="O9" i="13"/>
  <c r="I9" i="13"/>
  <c r="F9" i="13"/>
  <c r="AB6" i="13"/>
  <c r="Y6" i="13"/>
  <c r="U6" i="13"/>
  <c r="Q6" i="13"/>
  <c r="M6" i="13"/>
  <c r="H6" i="13"/>
  <c r="E8" i="26"/>
  <c r="AC48" i="13"/>
  <c r="AA8" i="6" s="1"/>
  <c r="Y48" i="13"/>
  <c r="W8" i="6" s="1"/>
  <c r="U48" i="13"/>
  <c r="S8" i="6" s="1"/>
  <c r="Q48" i="13"/>
  <c r="O8" i="6" s="1"/>
  <c r="M48" i="13"/>
  <c r="K8" i="6" s="1"/>
  <c r="I48" i="13"/>
  <c r="G8" i="6" s="1"/>
  <c r="AE47" i="13"/>
  <c r="Z47" i="13"/>
  <c r="X7" i="6" s="1"/>
  <c r="W47" i="13"/>
  <c r="Q47" i="13"/>
  <c r="O7" i="6" s="1"/>
  <c r="M47" i="13"/>
  <c r="K7" i="6" s="1"/>
  <c r="I47" i="13"/>
  <c r="G7" i="6" s="1"/>
  <c r="AC44" i="13"/>
  <c r="AA4" i="6" s="1"/>
  <c r="Y44" i="13"/>
  <c r="W4" i="6" s="1"/>
  <c r="U44" i="13"/>
  <c r="S4" i="6" s="1"/>
  <c r="Q44" i="13"/>
  <c r="O4" i="6" s="1"/>
  <c r="M44" i="13"/>
  <c r="K4" i="6" s="1"/>
  <c r="F44" i="13"/>
  <c r="D4" i="6" s="1"/>
  <c r="AC10" i="13"/>
  <c r="Y10" i="13"/>
  <c r="R10" i="13"/>
  <c r="M10" i="13"/>
  <c r="I10" i="13"/>
  <c r="F10" i="13"/>
  <c r="AC9" i="13"/>
  <c r="AA9" i="13"/>
  <c r="X9" i="13"/>
  <c r="U9" i="13"/>
  <c r="R9" i="13"/>
  <c r="N9" i="13"/>
  <c r="K9" i="13"/>
  <c r="AE6" i="13"/>
  <c r="AA6" i="13"/>
  <c r="W6" i="13"/>
  <c r="S6" i="13"/>
  <c r="O6" i="13"/>
  <c r="K6" i="13"/>
  <c r="G6" i="13"/>
  <c r="G8" i="26"/>
  <c r="L48" i="13"/>
  <c r="J8" i="6" s="1"/>
  <c r="H48" i="13"/>
  <c r="F8" i="6" s="1"/>
  <c r="AD10" i="13"/>
  <c r="AA10" i="13"/>
  <c r="AA121" i="13" s="1"/>
  <c r="X10" i="13"/>
  <c r="U10" i="13"/>
  <c r="AE48" i="13"/>
  <c r="AC8" i="6" s="1"/>
  <c r="Z48" i="13"/>
  <c r="X8" i="6" s="1"/>
  <c r="V48" i="13"/>
  <c r="T8" i="6" s="1"/>
  <c r="R48" i="13"/>
  <c r="P8" i="6" s="1"/>
  <c r="O48" i="13"/>
  <c r="M8" i="6" s="1"/>
  <c r="K48" i="13"/>
  <c r="G48" i="13"/>
  <c r="E8" i="6" s="1"/>
  <c r="AA47" i="13"/>
  <c r="Y7" i="6" s="1"/>
  <c r="V47" i="13"/>
  <c r="T7" i="6" s="1"/>
  <c r="S47" i="13"/>
  <c r="Q7" i="6" s="1"/>
  <c r="O47" i="13"/>
  <c r="K47" i="13"/>
  <c r="I7" i="6" s="1"/>
  <c r="G47" i="13"/>
  <c r="AE44" i="13"/>
  <c r="AC4" i="6" s="1"/>
  <c r="Z44" i="13"/>
  <c r="X4" i="6" s="1"/>
  <c r="V44" i="13"/>
  <c r="T4" i="6" s="1"/>
  <c r="R44" i="13"/>
  <c r="P4" i="6" s="1"/>
  <c r="N44" i="13"/>
  <c r="L4" i="6" s="1"/>
  <c r="J44" i="13"/>
  <c r="H4" i="6" s="1"/>
  <c r="G44" i="13"/>
  <c r="E4" i="6" s="1"/>
  <c r="Q10" i="13"/>
  <c r="J10" i="13"/>
  <c r="J121" i="13" s="1"/>
  <c r="G10" i="13"/>
  <c r="AD9" i="13"/>
  <c r="Z9" i="13"/>
  <c r="V9" i="13"/>
  <c r="P9" i="13"/>
  <c r="L9" i="13"/>
  <c r="G9" i="13"/>
  <c r="AC6" i="13"/>
  <c r="Z6" i="13"/>
  <c r="V6" i="13"/>
  <c r="R6" i="13"/>
  <c r="N6" i="13"/>
  <c r="J6" i="13"/>
  <c r="AD47" i="13"/>
  <c r="AB7" i="6" s="1"/>
  <c r="D8" i="26"/>
  <c r="AB47" i="13"/>
  <c r="Z7" i="6" s="1"/>
  <c r="Y47" i="13"/>
  <c r="W7" i="6" s="1"/>
  <c r="U47" i="13"/>
  <c r="S7" i="6" s="1"/>
  <c r="R47" i="13"/>
  <c r="P7" i="6" s="1"/>
  <c r="N47" i="13"/>
  <c r="L7" i="6" s="1"/>
  <c r="J47" i="13"/>
  <c r="H7" i="6" s="1"/>
  <c r="F47" i="13"/>
  <c r="D7" i="6" s="1"/>
  <c r="AB44" i="13"/>
  <c r="Z4" i="6" s="1"/>
  <c r="X44" i="13"/>
  <c r="V4" i="6" s="1"/>
  <c r="T44" i="13"/>
  <c r="R4" i="6" s="1"/>
  <c r="P44" i="13"/>
  <c r="N4" i="6" s="1"/>
  <c r="K44" i="13"/>
  <c r="H44" i="13"/>
  <c r="F4" i="6" s="1"/>
  <c r="AB48" i="13"/>
  <c r="Z8" i="6" s="1"/>
  <c r="X48" i="13"/>
  <c r="V8" i="6" s="1"/>
  <c r="AE10" i="13"/>
  <c r="AB10" i="13"/>
  <c r="AB121" i="13" s="1"/>
  <c r="Z10" i="13"/>
  <c r="W10" i="13"/>
  <c r="S10" i="13"/>
  <c r="P10" i="13"/>
  <c r="N10" i="13"/>
  <c r="L10" i="13"/>
  <c r="W9" i="13"/>
  <c r="T9" i="13"/>
  <c r="Q9" i="13"/>
  <c r="M9" i="13"/>
  <c r="J9" i="13"/>
  <c r="H9" i="13"/>
  <c r="AD6" i="13"/>
  <c r="X6" i="13"/>
  <c r="T6" i="13"/>
  <c r="P6" i="13"/>
  <c r="L6" i="13"/>
  <c r="I6" i="13"/>
  <c r="F6" i="13"/>
  <c r="T48" i="13"/>
  <c r="R8" i="6" s="1"/>
  <c r="P48" i="13"/>
  <c r="N8" i="6" s="1"/>
  <c r="F8" i="26"/>
  <c r="C8" i="26"/>
  <c r="D59" i="18"/>
  <c r="B59" i="18"/>
  <c r="F59" i="18"/>
  <c r="Y8" i="6"/>
  <c r="Q8" i="6"/>
  <c r="I8" i="6"/>
  <c r="AC7" i="6"/>
  <c r="U7" i="6"/>
  <c r="M7" i="6"/>
  <c r="E7" i="6"/>
  <c r="Y4" i="6"/>
  <c r="Q4" i="6"/>
  <c r="I4" i="6"/>
  <c r="E6" i="13"/>
  <c r="E47" i="13"/>
  <c r="C7" i="6" s="1"/>
  <c r="D10" i="13"/>
  <c r="E10" i="13"/>
  <c r="D47" i="13"/>
  <c r="B7" i="6" s="1"/>
  <c r="D9" i="13"/>
  <c r="E9" i="13"/>
  <c r="D48" i="13"/>
  <c r="E48" i="13"/>
  <c r="E44" i="13"/>
  <c r="C4" i="6" s="1"/>
  <c r="D66" i="13"/>
  <c r="B7" i="10" s="1"/>
  <c r="E29" i="13"/>
  <c r="E25" i="13"/>
  <c r="E28" i="13"/>
  <c r="D29" i="13"/>
  <c r="D67" i="13"/>
  <c r="E67" i="13"/>
  <c r="E63" i="13"/>
  <c r="C4" i="10" s="1"/>
  <c r="D28" i="13"/>
  <c r="E66" i="13"/>
  <c r="C7" i="10" s="1"/>
  <c r="B60" i="18"/>
  <c r="C60" i="18"/>
  <c r="D60" i="18"/>
  <c r="D65" i="18" s="1"/>
  <c r="E60" i="18"/>
  <c r="E65" i="18" s="1"/>
  <c r="C59" i="18"/>
  <c r="E59" i="18"/>
  <c r="F60" i="18"/>
  <c r="F65" i="18" s="1"/>
  <c r="G59" i="18"/>
  <c r="G60" i="18"/>
  <c r="G65" i="18" s="1"/>
  <c r="H58" i="18"/>
  <c r="G64" i="18" l="1"/>
  <c r="E64" i="18"/>
  <c r="C65" i="18"/>
  <c r="Z121" i="13"/>
  <c r="F64" i="18"/>
  <c r="C64" i="18"/>
  <c r="D64" i="18"/>
  <c r="D121" i="13"/>
  <c r="P121" i="13"/>
  <c r="D8" i="6"/>
  <c r="B8" i="10"/>
  <c r="B8" i="6"/>
  <c r="C8" i="6"/>
  <c r="Y121" i="13"/>
  <c r="I121" i="13"/>
  <c r="G61" i="18" s="1"/>
  <c r="R121" i="13"/>
  <c r="Q121" i="13"/>
  <c r="D8" i="10"/>
  <c r="C8" i="10"/>
  <c r="X121" i="13"/>
  <c r="K121" i="13"/>
  <c r="T121" i="13"/>
  <c r="L121" i="13"/>
  <c r="S121" i="13"/>
  <c r="W121" i="13"/>
  <c r="H121" i="13"/>
  <c r="O121" i="13"/>
  <c r="AC121" i="13"/>
  <c r="G121" i="13"/>
  <c r="E61" i="18" s="1"/>
  <c r="U121" i="13"/>
  <c r="M121" i="13"/>
  <c r="B61" i="18"/>
  <c r="AD121" i="13"/>
  <c r="E121" i="13"/>
  <c r="C61" i="18" s="1"/>
  <c r="V121" i="13"/>
  <c r="N121" i="13"/>
  <c r="AE121" i="13"/>
  <c r="F121" i="13"/>
  <c r="D62" i="18" s="1"/>
  <c r="B62" i="18"/>
  <c r="H59" i="18"/>
  <c r="H64" i="18" s="1"/>
  <c r="H60" i="18"/>
  <c r="H65" i="18" s="1"/>
  <c r="I58" i="18"/>
  <c r="I59" i="18" s="1"/>
  <c r="T4" i="7"/>
  <c r="H4" i="7"/>
  <c r="AA4" i="7"/>
  <c r="G4" i="7"/>
  <c r="P4" i="7"/>
  <c r="F4" i="7"/>
  <c r="M4" i="7"/>
  <c r="Q4" i="7"/>
  <c r="L4" i="7"/>
  <c r="W4" i="7"/>
  <c r="K4" i="7"/>
  <c r="V4" i="7"/>
  <c r="J4" i="7"/>
  <c r="U4" i="7"/>
  <c r="R4" i="7"/>
  <c r="O4" i="7"/>
  <c r="Y4" i="7"/>
  <c r="Z4" i="7"/>
  <c r="AB4" i="7"/>
  <c r="E4" i="7"/>
  <c r="C4" i="7"/>
  <c r="B4" i="7"/>
  <c r="I64" i="18" l="1"/>
  <c r="G62" i="18"/>
  <c r="E62" i="18"/>
  <c r="D61" i="18"/>
  <c r="C62" i="18"/>
  <c r="F62" i="18"/>
  <c r="F61" i="18"/>
  <c r="I60" i="18"/>
  <c r="I65" i="18" s="1"/>
  <c r="J58" i="18"/>
  <c r="J59" i="18" s="1"/>
  <c r="J64" i="18" s="1"/>
  <c r="H62" i="18"/>
  <c r="H61" i="18"/>
  <c r="J60" i="18" l="1"/>
  <c r="J65" i="18" s="1"/>
  <c r="K58" i="18"/>
  <c r="I61" i="18"/>
  <c r="I62" i="18"/>
  <c r="K60" i="18" l="1"/>
  <c r="K65" i="18" s="1"/>
  <c r="K59" i="18"/>
  <c r="K64" i="18" s="1"/>
  <c r="L58" i="18"/>
  <c r="J61" i="18"/>
  <c r="J62" i="18"/>
  <c r="L59" i="18" l="1"/>
  <c r="L64" i="18" s="1"/>
  <c r="L60" i="18"/>
  <c r="L65" i="18" s="1"/>
  <c r="M58" i="18"/>
  <c r="K61" i="18"/>
  <c r="K62" i="18"/>
  <c r="L61" i="18" l="1"/>
  <c r="M59" i="18"/>
  <c r="M64" i="18" s="1"/>
  <c r="M60" i="18"/>
  <c r="M65" i="18" s="1"/>
  <c r="N58" i="18"/>
  <c r="L62" i="18"/>
  <c r="N59" i="18" l="1"/>
  <c r="N64" i="18" s="1"/>
  <c r="N60" i="18"/>
  <c r="N65" i="18" s="1"/>
  <c r="O58" i="18"/>
  <c r="M62" i="18"/>
  <c r="M61" i="18"/>
  <c r="O59" i="18" l="1"/>
  <c r="O64" i="18" s="1"/>
  <c r="O60" i="18"/>
  <c r="O65" i="18" s="1"/>
  <c r="P58" i="18"/>
  <c r="N62" i="18"/>
  <c r="N61" i="18"/>
  <c r="O61" i="18" l="1"/>
  <c r="P60" i="18"/>
  <c r="P59" i="18"/>
  <c r="Q58" i="18"/>
  <c r="O62" i="18"/>
  <c r="Q60" i="18" l="1"/>
  <c r="Q59" i="18"/>
  <c r="R58" i="18"/>
  <c r="P61" i="18"/>
  <c r="P62" i="18"/>
  <c r="R60" i="18" l="1"/>
  <c r="R59" i="18"/>
  <c r="S58" i="18"/>
  <c r="Q61" i="18"/>
  <c r="Q62" i="18"/>
  <c r="S60" i="18" l="1"/>
  <c r="S59" i="18"/>
  <c r="T58" i="18"/>
  <c r="R61" i="18"/>
  <c r="R62" i="18"/>
  <c r="T59" i="18" l="1"/>
  <c r="T60" i="18"/>
  <c r="U58" i="18"/>
  <c r="S61" i="18"/>
  <c r="S62" i="18"/>
  <c r="U59" i="18" l="1"/>
  <c r="U60" i="18"/>
  <c r="V58" i="18"/>
  <c r="T62" i="18"/>
  <c r="T61" i="18"/>
  <c r="V59" i="18" l="1"/>
  <c r="V60" i="18"/>
  <c r="W58" i="18"/>
  <c r="U62" i="18"/>
  <c r="U61" i="18"/>
  <c r="W59" i="18" l="1"/>
  <c r="W60" i="18"/>
  <c r="X58" i="18"/>
  <c r="V62" i="18"/>
  <c r="V61" i="18"/>
  <c r="X59" i="18" l="1"/>
  <c r="X60" i="18"/>
  <c r="Y58" i="18"/>
  <c r="W62" i="18"/>
  <c r="W61" i="18"/>
  <c r="Y60" i="18" l="1"/>
  <c r="Y59" i="18"/>
  <c r="Z58" i="18"/>
  <c r="X62" i="18"/>
  <c r="X61" i="18"/>
  <c r="Z60" i="18" l="1"/>
  <c r="Z59" i="18"/>
  <c r="AA58" i="18"/>
  <c r="Y61" i="18"/>
  <c r="Y62" i="18"/>
  <c r="AA60" i="18" l="1"/>
  <c r="AA59" i="18"/>
  <c r="AB58" i="18"/>
  <c r="Z61" i="18"/>
  <c r="Z62" i="18"/>
  <c r="AB59" i="18" l="1"/>
  <c r="AB60" i="18"/>
  <c r="AC58" i="18"/>
  <c r="AA61" i="18"/>
  <c r="AA62" i="18"/>
  <c r="AC59" i="18" l="1"/>
  <c r="AC60" i="18"/>
  <c r="AB62" i="18"/>
  <c r="AB61" i="18"/>
  <c r="AC62" i="18" l="1"/>
  <c r="AC61" i="18"/>
</calcChain>
</file>

<file path=xl/sharedStrings.xml><?xml version="1.0" encoding="utf-8"?>
<sst xmlns="http://schemas.openxmlformats.org/spreadsheetml/2006/main" count="2642" uniqueCount="1082">
  <si>
    <t>Energy Information Administration</t>
  </si>
  <si>
    <t/>
  </si>
  <si>
    <t>Equipment Stock (million units)</t>
  </si>
  <si>
    <t>Stock Average Equipment Efficiency</t>
  </si>
  <si>
    <t>- -</t>
  </si>
  <si>
    <t>Commercial Building Delivered</t>
  </si>
  <si>
    <t>Commercial Building Floorspace</t>
  </si>
  <si>
    <t>natural gas nonpeaker</t>
  </si>
  <si>
    <t>nuclear</t>
  </si>
  <si>
    <t>hydro</t>
  </si>
  <si>
    <t>solar PV</t>
  </si>
  <si>
    <t>solar thermal</t>
  </si>
  <si>
    <t>biomass</t>
  </si>
  <si>
    <t>geothermal</t>
  </si>
  <si>
    <t>petroleum</t>
  </si>
  <si>
    <t>natural gas peaker</t>
  </si>
  <si>
    <t>Notes</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</si>
  <si>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</si>
  <si>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</si>
  <si>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</si>
  <si>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</si>
  <si>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</si>
  <si>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</si>
  <si>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</si>
  <si>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</si>
  <si>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</si>
  <si>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</si>
  <si>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</si>
  <si>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</si>
  <si>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</si>
  <si>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</si>
  <si>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</si>
  <si>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</si>
  <si>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Rural</t>
  </si>
  <si>
    <t>Marine</t>
  </si>
  <si>
    <t>Q</t>
  </si>
  <si>
    <t>1950 to 1959</t>
  </si>
  <si>
    <t>1960 to 1969</t>
  </si>
  <si>
    <t>1970 to 1979</t>
  </si>
  <si>
    <t>1980 to 1989</t>
  </si>
  <si>
    <t>1990 to 1999</t>
  </si>
  <si>
    <t>2000 to 2009</t>
  </si>
  <si>
    <t>N</t>
  </si>
  <si>
    <t>Brick</t>
  </si>
  <si>
    <t>Wood</t>
  </si>
  <si>
    <t>Stucco</t>
  </si>
  <si>
    <t>Stone</t>
  </si>
  <si>
    <t>Metal</t>
  </si>
  <si>
    <t>Basement</t>
  </si>
  <si>
    <t>1 or 2</t>
  </si>
  <si>
    <t>Yes</t>
  </si>
  <si>
    <t>No</t>
  </si>
  <si>
    <t>Never</t>
  </si>
  <si>
    <t>Sources:</t>
  </si>
  <si>
    <t>Urban vs. Rural Residential Households</t>
  </si>
  <si>
    <t>Residential Energy Consumption Survey (RECS)</t>
  </si>
  <si>
    <t>Table HC2.1</t>
  </si>
  <si>
    <t>lignite</t>
  </si>
  <si>
    <t>hard coal</t>
  </si>
  <si>
    <t>onshore wind</t>
  </si>
  <si>
    <t>offshore wind</t>
  </si>
  <si>
    <t>Number of housing units (million)</t>
  </si>
  <si>
    <t>Housing unit type</t>
  </si>
  <si>
    <t>Single-family detached</t>
  </si>
  <si>
    <t>Single-family attached</t>
  </si>
  <si>
    <t>Mobile home</t>
  </si>
  <si>
    <t>All homes</t>
  </si>
  <si>
    <t>Census region and division</t>
  </si>
  <si>
    <t>Urbanized area</t>
  </si>
  <si>
    <t>Urban cluster</t>
  </si>
  <si>
    <t>Very cold/Cold</t>
  </si>
  <si>
    <t>Mixed-humid</t>
  </si>
  <si>
    <t>Mixed-dry/Hot-dry</t>
  </si>
  <si>
    <t>Hot-humid</t>
  </si>
  <si>
    <t>Year of construction</t>
  </si>
  <si>
    <t>Before 1950</t>
  </si>
  <si>
    <t>2010 to 2015</t>
  </si>
  <si>
    <t>Number of stories</t>
  </si>
  <si>
    <t>Not asked (apartments and mobile homes)</t>
  </si>
  <si>
    <t>Major outside wall construction</t>
  </si>
  <si>
    <t>Some other material</t>
  </si>
  <si>
    <t>Major roofing material</t>
  </si>
  <si>
    <t>Shingles (composition or asphalt)</t>
  </si>
  <si>
    <t>Wood shingles or shakes</t>
  </si>
  <si>
    <t>Ceramic or clay tiles</t>
  </si>
  <si>
    <t>Concrete tiles</t>
  </si>
  <si>
    <t>Slate or synthetic slate</t>
  </si>
  <si>
    <t>Not asked (apartments in buildings with 5 or more units)</t>
  </si>
  <si>
    <t>Total number of rooms (excluding bathrooms)</t>
  </si>
  <si>
    <t>9 or more</t>
  </si>
  <si>
    <t>Number of bedrooms</t>
  </si>
  <si>
    <t>5 or more</t>
  </si>
  <si>
    <t>Number of other rooms (excluding bathrooms)</t>
  </si>
  <si>
    <t>Number of full bathrooms</t>
  </si>
  <si>
    <t>3 or more</t>
  </si>
  <si>
    <t>Number of half bathrooms</t>
  </si>
  <si>
    <t>2 or more</t>
  </si>
  <si>
    <t>Finished basement</t>
  </si>
  <si>
    <t>Unfinished basement</t>
  </si>
  <si>
    <t>Attic</t>
  </si>
  <si>
    <t>Finished attic</t>
  </si>
  <si>
    <t>Unfinished attic</t>
  </si>
  <si>
    <t>Attached garage</t>
  </si>
  <si>
    <t>1-car garage</t>
  </si>
  <si>
    <t>2-car garage</t>
  </si>
  <si>
    <t>3 or more car garage</t>
  </si>
  <si>
    <t>Adequacy of insulation</t>
  </si>
  <si>
    <t>Well insulated</t>
  </si>
  <si>
    <t>Adequately insulated</t>
  </si>
  <si>
    <t>Poorly insulated</t>
  </si>
  <si>
    <t>Home is too drafty during the winter</t>
  </si>
  <si>
    <t>Some of the time</t>
  </si>
  <si>
    <t>Most of the time</t>
  </si>
  <si>
    <t>All of the time</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</si>
  <si>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</si>
  <si>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</si>
  <si>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</si>
  <si>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</si>
  <si>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</si>
  <si>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</si>
  <si>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</si>
  <si>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</si>
  <si>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</si>
  <si>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</si>
  <si>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</si>
  <si>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</si>
  <si>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</si>
  <si>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</si>
  <si>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</si>
  <si>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</si>
  <si>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</si>
  <si>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</si>
  <si>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Don't know</t>
  </si>
  <si>
    <t>Electricity meter is a smart meter</t>
  </si>
  <si>
    <t>Park a car within 20 feet of electrical outlet</t>
  </si>
  <si>
    <t>Natural gas available in neighborhood</t>
  </si>
  <si>
    <t>Distributed solar generation</t>
  </si>
  <si>
    <t>Not asked (apartments)</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</si>
  <si>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</si>
  <si>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</si>
  <si>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</si>
  <si>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</si>
  <si>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</si>
  <si>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</si>
  <si>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</si>
  <si>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</si>
  <si>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</si>
  <si>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</si>
  <si>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</si>
  <si>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</si>
  <si>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</si>
  <si>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</si>
  <si>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</si>
  <si>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</si>
  <si>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</si>
  <si>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</si>
  <si>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</si>
  <si>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Urban Rural Split</t>
  </si>
  <si>
    <t>crude oil</t>
  </si>
  <si>
    <t>heavy or residual fuel oil</t>
  </si>
  <si>
    <t>municipal solid waste</t>
  </si>
  <si>
    <t>MW</t>
  </si>
  <si>
    <t>MW*hour</t>
  </si>
  <si>
    <t>Table 21 and Table 22</t>
  </si>
  <si>
    <t>BDEQ-BEOfDS-urban-residential</t>
  </si>
  <si>
    <t>Conversion from billion kilowatthours to megawatthours</t>
  </si>
  <si>
    <t>BDEQ-BEOfDS-rural-residential</t>
  </si>
  <si>
    <t>BDEQ-BEOfDS-commercial</t>
  </si>
  <si>
    <t>BDEQ-BDESC-urban-residential</t>
  </si>
  <si>
    <t>BDEQ-BDESC-rural-residential</t>
  </si>
  <si>
    <t>BDEQ-BDESC-commercial</t>
  </si>
  <si>
    <t>Table 21</t>
  </si>
  <si>
    <t>Table 22</t>
  </si>
  <si>
    <t>Conversion from gigawatts to megawatts</t>
  </si>
  <si>
    <t>Net Generation (billion kilowatthours)</t>
  </si>
  <si>
    <t>Generating Capacity (gigawatts)</t>
  </si>
  <si>
    <t>Table 21.  Residential Sector Equipment Stock and Efficiency, and Distributed Generation</t>
  </si>
  <si>
    <t>Source: U.S. Energy Information Administration</t>
  </si>
  <si>
    <t>full name</t>
  </si>
  <si>
    <t>api key</t>
  </si>
  <si>
    <t>units</t>
  </si>
  <si>
    <t>Main Space Heaters</t>
  </si>
  <si>
    <t>Electric Heat Pumps</t>
  </si>
  <si>
    <t>millions</t>
  </si>
  <si>
    <t>Electric Other</t>
  </si>
  <si>
    <t>Natural Gas Heat Pumps</t>
  </si>
  <si>
    <t>Natural Gas Other</t>
  </si>
  <si>
    <t>Distillate Fuel Oil</t>
  </si>
  <si>
    <t>Kerosene</t>
  </si>
  <si>
    <t>Wood Stoves</t>
  </si>
  <si>
    <t>Geothermal Heat Pumps</t>
  </si>
  <si>
    <t>Total</t>
  </si>
  <si>
    <t>Space Cooling (million units)</t>
  </si>
  <si>
    <t>Central Air Conditioners</t>
  </si>
  <si>
    <t>Room Air Conditioners</t>
  </si>
  <si>
    <t>Water Heaters (million units)</t>
  </si>
  <si>
    <t>Electric</t>
  </si>
  <si>
    <t>Natural Gas</t>
  </si>
  <si>
    <t>Solar Thermal</t>
  </si>
  <si>
    <t>Cooking Equipment (million units)</t>
  </si>
  <si>
    <t>Clothes Dryers (million units)</t>
  </si>
  <si>
    <t>Other Appliances (million units)</t>
  </si>
  <si>
    <t>Refrigerators</t>
  </si>
  <si>
    <t>Freezers</t>
  </si>
  <si>
    <t>Electric Heat Pumps (HSPF)</t>
  </si>
  <si>
    <t>HSPF</t>
  </si>
  <si>
    <t>Natural Gas Heat Pumps (GCOP)</t>
  </si>
  <si>
    <t>GCOP</t>
  </si>
  <si>
    <t>Geothermal Heat Pumps (COP)</t>
  </si>
  <si>
    <t>COP</t>
  </si>
  <si>
    <t>Natural Gas Furnace (AFUE)</t>
  </si>
  <si>
    <t>AFUE</t>
  </si>
  <si>
    <t>Distillate Furnace (AFUE)</t>
  </si>
  <si>
    <t>Space Cooling</t>
  </si>
  <si>
    <t>Electric Heat Pumps (SEER)</t>
  </si>
  <si>
    <t>SEER</t>
  </si>
  <si>
    <t>Geothermal Heat Pumps (EER)</t>
  </si>
  <si>
    <t>EER</t>
  </si>
  <si>
    <t>Central Air Conditioners (SEER)</t>
  </si>
  <si>
    <t>Room Air Conditioners (EER)</t>
  </si>
  <si>
    <t>Water Heaters</t>
  </si>
  <si>
    <t>Electric (EF)</t>
  </si>
  <si>
    <t>EF</t>
  </si>
  <si>
    <t>Natural Gas (EF)</t>
  </si>
  <si>
    <t>Distillate Fuel Oil (EF)</t>
  </si>
  <si>
    <t>Propane (EF)</t>
  </si>
  <si>
    <t>Other Appliances (kilowatthours per year)</t>
  </si>
  <si>
    <t>kWh</t>
  </si>
  <si>
    <t>Building Shell Efficiency Index</t>
  </si>
  <si>
    <t>Space Heating</t>
  </si>
  <si>
    <t>Pre-2015 Homes</t>
  </si>
  <si>
    <t>2015=1.00</t>
  </si>
  <si>
    <t>New Construction</t>
  </si>
  <si>
    <t>All Homes</t>
  </si>
  <si>
    <t>Distributed Generation and</t>
  </si>
  <si>
    <t>Combined Heat and Power</t>
  </si>
  <si>
    <t>Natural Gas Fuel Cells</t>
  </si>
  <si>
    <t>GW</t>
  </si>
  <si>
    <t>Solar Photovoltaic</t>
  </si>
  <si>
    <t>Wind</t>
  </si>
  <si>
    <t>billion kWh</t>
  </si>
  <si>
    <t>Disposition</t>
  </si>
  <si>
    <t>Sales to the Grid</t>
  </si>
  <si>
    <t>Generation for Own Use</t>
  </si>
  <si>
    <t>Energy Input (trillion Btu)</t>
  </si>
  <si>
    <t>trillion Btu</t>
  </si>
  <si>
    <t>Table 22.  Commercial Sector Energy Consumption, Floorspace, Equipment Efficiency, and Distributed Generation</t>
  </si>
  <si>
    <t>Energy Consumption (quadrillion Btu)</t>
  </si>
  <si>
    <t>Assembly</t>
  </si>
  <si>
    <t>quads</t>
  </si>
  <si>
    <t>Education</t>
  </si>
  <si>
    <t>Food Sales</t>
  </si>
  <si>
    <t>Food Service</t>
  </si>
  <si>
    <t>Health Care</t>
  </si>
  <si>
    <t>Lodging</t>
  </si>
  <si>
    <t>Office - Large</t>
  </si>
  <si>
    <t>Office - Small</t>
  </si>
  <si>
    <t>Mercantile/Service</t>
  </si>
  <si>
    <t>Warehouse</t>
  </si>
  <si>
    <t>Other</t>
  </si>
  <si>
    <t>(billion square feet)</t>
  </si>
  <si>
    <t>billion sq ft</t>
  </si>
  <si>
    <t>Btu Out/Btu In</t>
  </si>
  <si>
    <t>Water Heating</t>
  </si>
  <si>
    <t>Ventilation (cubic feet per minute per Btu)</t>
  </si>
  <si>
    <t>cu ft/minute/Btu</t>
  </si>
  <si>
    <t>Cooking</t>
  </si>
  <si>
    <t>Lighting Efficacy</t>
  </si>
  <si>
    <t>(efficacy in lumens per watt)</t>
  </si>
  <si>
    <t>lumens/watt</t>
  </si>
  <si>
    <t>Refrigeration</t>
  </si>
  <si>
    <t>Petroleum</t>
  </si>
  <si>
    <t>https://www.eia.gov/consumption/residential/data/2020/hc/xls/HC%202.1.xlsx</t>
  </si>
  <si>
    <t>https://www.eia.gov/consumption/residential/data/2020/?src=%E2%80%B9%20Consumption%20%20%20%20%20%20Residential%20Energy%20Consumption%20Survey%20(RECS)-f1</t>
  </si>
  <si>
    <t>Preliminary data release date: March 2022</t>
  </si>
  <si>
    <t>Table HC2.1  Structural and geographic characteristics of U.S. homes, by housing unit type, 2020</t>
  </si>
  <si>
    <r>
      <t>Total U.S.</t>
    </r>
    <r>
      <rPr>
        <b/>
        <vertAlign val="superscript"/>
        <sz val="10"/>
        <color theme="1"/>
        <rFont val="Calibri"/>
        <family val="2"/>
        <scheme val="minor"/>
      </rPr>
      <t>a</t>
    </r>
  </si>
  <si>
    <t>Apartments 
(2–4 unit building)</t>
  </si>
  <si>
    <t>Apartments
(5 or more unit building)</t>
  </si>
  <si>
    <r>
      <t>Census urban-rural classification</t>
    </r>
    <r>
      <rPr>
        <b/>
        <vertAlign val="superscript"/>
        <sz val="10"/>
        <color theme="1"/>
        <rFont val="Calibri"/>
        <family val="2"/>
        <scheme val="minor"/>
      </rPr>
      <t>b</t>
    </r>
  </si>
  <si>
    <r>
      <t>Climate region</t>
    </r>
    <r>
      <rPr>
        <b/>
        <vertAlign val="superscript"/>
        <sz val="10"/>
        <color theme="1"/>
        <rFont val="Calibri"/>
        <family val="2"/>
        <scheme val="minor"/>
      </rPr>
      <t>c</t>
    </r>
  </si>
  <si>
    <t>2016 to 2020</t>
  </si>
  <si>
    <t>1 story</t>
  </si>
  <si>
    <t>2 stories</t>
  </si>
  <si>
    <t>3 or more stories</t>
  </si>
  <si>
    <t>Split-level</t>
  </si>
  <si>
    <t>Siding (aluminum, fiber cement, vinyl, or steel)</t>
  </si>
  <si>
    <t>Concrete block</t>
  </si>
  <si>
    <t>Shingle (composition)</t>
  </si>
  <si>
    <t>Not insulated</t>
  </si>
  <si>
    <t>Any ceilings higher than 8 feet</t>
  </si>
  <si>
    <t>Number of sliding glass or French doors</t>
  </si>
  <si>
    <t>Own or lease an all-electric or plug-in hybrid electric vehicle</t>
  </si>
  <si>
    <t>Charge at home</t>
  </si>
  <si>
    <t>Uses natural gas</t>
  </si>
  <si>
    <t>Does not use natural gas</t>
  </si>
  <si>
    <t>Experienced power outage lasting more than 24 hours</t>
  </si>
  <si>
    <t>Natural disaster or weather      event</t>
  </si>
  <si>
    <t>Unable to pay electric bill</t>
  </si>
  <si>
    <t>Utility had planned or unplanned blackout</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</si>
  <si>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</si>
  <si>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Distributed Generation and Capacity - 2021-2050</t>
  </si>
  <si>
    <t>Methodology:</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</si>
  <si>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</si>
  <si>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</si>
  <si>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</si>
  <si>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Annual Additions, low-income provision of clean energy tax credits (MW)</t>
  </si>
  <si>
    <t>Annual Additions, 25D (MW)</t>
  </si>
  <si>
    <t>Source: RMI Direct Pay Residential Solar Tax Incentives memo</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</si>
  <si>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</si>
  <si>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</si>
  <si>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</si>
  <si>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</si>
  <si>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</si>
  <si>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</si>
  <si>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</si>
  <si>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</si>
  <si>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Distributed Solar Cost, per RMI ($/watt)</t>
  </si>
  <si>
    <t>Government Leverage Assumption</t>
  </si>
  <si>
    <t>Residential Capacity Factor</t>
  </si>
  <si>
    <t>Urban Residential Additions (MW)</t>
  </si>
  <si>
    <t>Rural Residential Additions (MW)</t>
  </si>
  <si>
    <t>Urban Residential Incremental Generation (MWh)</t>
  </si>
  <si>
    <t>Rural Residential Incremental Generation (MWh)</t>
  </si>
  <si>
    <t>Total Annual Additions (MW)</t>
  </si>
  <si>
    <t>Total Cumulative Additions (MW)</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</si>
  <si>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</si>
  <si>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</si>
  <si>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</si>
  <si>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</si>
  <si>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</si>
  <si>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</si>
  <si>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</si>
  <si>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</si>
  <si>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</si>
  <si>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Solar For All</t>
  </si>
  <si>
    <t>Funds distributed between 2025-2029</t>
  </si>
  <si>
    <t>Additional Deployment (MW)</t>
  </si>
  <si>
    <t>Other Distributed Solar</t>
  </si>
  <si>
    <t>Ratio of "Other Distributed Solar" Funds to Solar For All Funds:</t>
  </si>
  <si>
    <t>Total GW Deployed from "Other Distributed Solar"</t>
  </si>
  <si>
    <t>Years to Distribute Deployment:</t>
  </si>
  <si>
    <t>Justice Climate Fund</t>
  </si>
  <si>
    <t>Total solar PV capacity (MW)</t>
  </si>
  <si>
    <t>https://www.eia.gov/outlooks/aeo/data/browser/#/?id=30-AEO2023&amp;sourcekey=0</t>
  </si>
  <si>
    <t>Sun May 04 2025 20:12:23 GMT-0700 (Pacific Daylight Time)</t>
  </si>
  <si>
    <t>Growth (2022-2050)</t>
  </si>
  <si>
    <t>Residential Equipment: Equipment Stock: Main Space Heaters: Electric Heat Pumps: Reference case</t>
  </si>
  <si>
    <t>AEO.2023.REF2023.EQNR_STK_RESD_MSHR_EHP_NA_NA_MILL.A</t>
  </si>
  <si>
    <t>Residential Equipment: Equipment Stock: Main Space Heaters: Electric Other: Reference case</t>
  </si>
  <si>
    <t>AEO.2023.REF2023.EQNR_STK_RESD_MSHR_ELO_NA_NA_MILL.A</t>
  </si>
  <si>
    <t>Residential Equipment: Equipment Stock: Main Space Heaters: Natural Gas Heat Pumps: Reference case</t>
  </si>
  <si>
    <t>AEO.2023.REF2023.EQNR_STK_RESD_MSHR_NHU_NA_NA_MILL.A</t>
  </si>
  <si>
    <t>Residential Equipment: Equipment Stock: Main Space Heaters: Natural Gas Other: Reference case</t>
  </si>
  <si>
    <t>AEO.2023.REF2023.EQNR_STK_RESD_MSHR_NGO_NA_NA_MILL.A</t>
  </si>
  <si>
    <t>Residential Equipment: Equipment Stock: Main Space Heaters: Distillate Fuel Oil: Reference case</t>
  </si>
  <si>
    <t>AEO.2023.REF2023.EQNR_STK_RESD_MSHR_DFO_NA_NA_MILL.A</t>
  </si>
  <si>
    <t>Residential Equipment: Equipment Stock: Main Space Heaters: Propane: Reference case</t>
  </si>
  <si>
    <t>AEO.2023.REF2023.EQNR_STK_RESD_MSHR_PROP_NA_NA_MILL.A</t>
  </si>
  <si>
    <t>Residential Equipment: Equipment Stock: Main Space Heaters: Kerosene: Reference case</t>
  </si>
  <si>
    <t>AEO.2023.REF2023.EQNR_STK_RESD_MSHR_KRS_NA_NA_MILL.A</t>
  </si>
  <si>
    <t>Residential Equipment: Equipment Stock: Main Space Heaters: Wood Stoves: Reference case</t>
  </si>
  <si>
    <t>AEO.2023.REF2023.EQNR_STK_RESD_MSHR_WDS_NA_NA_MILL.A</t>
  </si>
  <si>
    <t>Residential Equipment: Equipment Stock: Main Space Heaters: Geothermal Heat Pumps: Reference case</t>
  </si>
  <si>
    <t>AEO.2023.REF2023.EQNR_STK_RESD_MSHR_GEHP_NA_NA_MILL.A</t>
  </si>
  <si>
    <t>Residential Equipment: Equipment Stock: Main Space Heaters: Total: Reference case</t>
  </si>
  <si>
    <t>AEO.2023.REF2023.EQNR_STK_RESD_MSHR_TOT_NA_NA_MILL.A</t>
  </si>
  <si>
    <t>Residential Equipment: Equipment Stock: Space Cooling: Electric Heat Pumps: Reference case</t>
  </si>
  <si>
    <t>AEO.2023.REF2023.EQNR_STK_RESD_SPC_EHP_NA_NA_MILL.A</t>
  </si>
  <si>
    <t>Residential Equipment: Equipment Stock: Space Cooling: Natural Gas Heat Pumps: Reference case</t>
  </si>
  <si>
    <t>AEO.2023.REF2023.EQNR_STK_RESD_SPC_NHU_NA_NA_MILL.A</t>
  </si>
  <si>
    <t>Residential Equipment: Equipment Stock: Space Cooling: Geothermal Heat Pumps: Reference case</t>
  </si>
  <si>
    <t>AEO.2023.REF2023.EQNR_STK_RESD_SPC_GEHP_NA_NA_MILL.A</t>
  </si>
  <si>
    <t>Residential Equipment: Equipment Stock: Space Cooling: Central Air Conditioners: Reference case</t>
  </si>
  <si>
    <t>AEO.2023.REF2023.EQNR_STK_RESD_SPC_CAC_NA_NA_MILL.A</t>
  </si>
  <si>
    <t>Residential Equipment: Equipment Stock: Space Cooling: Room Air Conditioners: Reference case</t>
  </si>
  <si>
    <t>AEO.2023.REF2023.EQNR_STK_RESD_SPC_RAC_NA_NA_MILL.A</t>
  </si>
  <si>
    <t>Residential Equipment: Equipment Stock: Space Cooling: Total: Reference case</t>
  </si>
  <si>
    <t>AEO.2023.REF2023.EQNR_STK_RESD_SPC_TOT_NA_NA_MILL.A</t>
  </si>
  <si>
    <t>Residential Equipment: Equipment Stock: Water Heaters: Electric: Reference case</t>
  </si>
  <si>
    <t>AEO.2023.REF2023.EQNR_STK_RESD_WHT_ELE_NA_NA_MILL.A</t>
  </si>
  <si>
    <t>Residential Equipment: Equipment Stock: Water Heaters: Natural Gas: Reference case</t>
  </si>
  <si>
    <t>AEO.2023.REF2023.EQNR_STK_RESD_WHT_NG_NA_NA_MILL.A</t>
  </si>
  <si>
    <t>Residential Equipment: Equipment Stock: Water Heaters: Distillate Fuel Oil: Reference case</t>
  </si>
  <si>
    <t>AEO.2023.REF2023.EQNR_STK_RESD_WHT_DFO_NA_NA_MILL.A</t>
  </si>
  <si>
    <t>Residential Equipment: Equipment Stock: Water Heaters: Propane: Reference case</t>
  </si>
  <si>
    <t>AEO.2023.REF2023.EQNR_STK_RESD_WHT_PROP_NA_NA_MILL.A</t>
  </si>
  <si>
    <t>Residential Equipment: Equipment Stock: Water Heaters: Solar Thermal: Reference case</t>
  </si>
  <si>
    <t>AEO.2023.REF2023.EQNR_STK_RESD_WHT_SLR_THERM_NA_MILL.A</t>
  </si>
  <si>
    <t>Residential Equipment: Equipment Stock: Water Heaters: Total: Reference case</t>
  </si>
  <si>
    <t>AEO.2023.REF2023.EQNR_STK_RESD_WHT_TOT_NA_NA_MILL.A</t>
  </si>
  <si>
    <t>Residential Equipment: Equipment Stock: Cooking Equipment: Electric: Reference case</t>
  </si>
  <si>
    <t>AEO.2023.REF2023.EQNR_STK_RESD_CER_ELE_NA_NA_MILL.A</t>
  </si>
  <si>
    <t>Residential Equipment: Equipment Stock: Cooking Equipment: Natural Gas: Reference case</t>
  </si>
  <si>
    <t>AEO.2023.REF2023.EQNR_STK_RESD_CER_NG_NA_NA_MILL.A</t>
  </si>
  <si>
    <t>Residential Equipment: Equipment Stock: Cooking Equipment: Propane: Reference case</t>
  </si>
  <si>
    <t>AEO.2023.REF2023.EQNR_STK_RESD_CER_PROP_NA_NA_MILL.A</t>
  </si>
  <si>
    <t>Residential Equipment: Equipment Stock: Cooking Equipment: Total: Reference case</t>
  </si>
  <si>
    <t>AEO.2023.REF2023.EQNR_STK_RESD_CER_TOT_NA_NA_MILL.A</t>
  </si>
  <si>
    <t>Residential Equipment: Equipment Stock: Clothes Dryers: Electric: Reference case</t>
  </si>
  <si>
    <t>AEO.2023.REF2023.EQNR_STK_RESD_CDR_ELE_NA_NA_MILL.A</t>
  </si>
  <si>
    <t>Residential Equipment: Equipment Stock: Clothes Dryers: Natural Gas: Reference case</t>
  </si>
  <si>
    <t>AEO.2023.REF2023.EQNR_STK_RESD_CDR_NG_NA_NA_MILL.A</t>
  </si>
  <si>
    <t>Residential Equipment: Equipment Stock: Clothes Dryers: Total: Reference case</t>
  </si>
  <si>
    <t>AEO.2023.REF2023.EQNR_STK_RESD_CDR_TOT_NA_NA_MILL.A</t>
  </si>
  <si>
    <t>Residential Equipment: Equipment Stock: Other Appliances: Refrigerators: Reference case</t>
  </si>
  <si>
    <t>AEO.2023.REF2023.EQNR_STK_RESD_OTAR_RFG_NA_NA_MILL.A</t>
  </si>
  <si>
    <t>Residential Equipment: Equipment Stock: Other Appliances: Freezers: Reference case</t>
  </si>
  <si>
    <t>AEO.2023.REF2023.EQNR_STK_RESD_OTAR_FRZ_NA_NA_MILL.A</t>
  </si>
  <si>
    <t>Residential Equipment: Stock Average Efficiency: Main Space Heaters: Electric Heat Pumps: Reference case</t>
  </si>
  <si>
    <t>AEO.2023.REF2023.EFI_STK_RESD_SPHR_EHP_NA_NA_HSPF.A</t>
  </si>
  <si>
    <t>Residential Equipment: Stock Average Efficiency: Main Space Heaters: Natural Gas Heat Pumps: Reference case</t>
  </si>
  <si>
    <t>AEO.2023.REF2023.EFI_STK_RESD_SPHR_NHU_NA_NA_GCOP.A</t>
  </si>
  <si>
    <t>Residential Equipment: Stock Average Efficiency: Main Space Heaters: Geothermal Heat Pumps: Reference case</t>
  </si>
  <si>
    <t>AEO.2023.REF2023.EFI_STK_RESD_SPHR_GEHP_NA_NA_COP.A</t>
  </si>
  <si>
    <t>Residential Equipment: Stock Average Efficiency: Main Space Heaters: Natural Gas Furnace: Reference case</t>
  </si>
  <si>
    <t>AEO.2023.REF2023.EFI_STK_RESD_SPHR_NFR_NA_NA_AFUE.A</t>
  </si>
  <si>
    <t>Residential Equipment: Stock Average Efficiency: Main Space Heaters: Distillate Furnace: Reference case</t>
  </si>
  <si>
    <t>AEO.2023.REF2023.EFI_STK_RESD_SPHR_DFR_NA_NA_AFUE.A</t>
  </si>
  <si>
    <t>Residential Equipment: Stock Average Efficiency: Space Cooling: Electric Heat Pumps: Reference case</t>
  </si>
  <si>
    <t>AEO.2023.REF2023.EFI_STK_RESD_SPC_EHP_NA_NA_SEER.A</t>
  </si>
  <si>
    <t>Residential Equipment: Stock Average Efficiency: Space Cooling: Natural Gas Heat Pumps: Reference case</t>
  </si>
  <si>
    <t>AEO.2023.REF2023.EFI_STK_RESD_SPC_NHU_NA_NA_GCOP.A</t>
  </si>
  <si>
    <t>Residential Equipment: Stock Average Efficiency: Space Cooling: Geothermal Heat Pumps: Reference case</t>
  </si>
  <si>
    <t>AEO.2023.REF2023.EFI_STK_RESD_SPC_GEHP_NA_NA_EER.A</t>
  </si>
  <si>
    <t>Residential Equipment: Stock Average Efficiency: Space Cooling: Central Air Conditioners: Reference case</t>
  </si>
  <si>
    <t>AEO.2023.REF2023.EFI_STK_RESD_SPC_CAC_NA_NA_SEER.A</t>
  </si>
  <si>
    <t>Residential Equipment: Stock Average Efficiency: Space Cooling: Room Air Conditioners: Reference case</t>
  </si>
  <si>
    <t>AEO.2023.REF2023.EFI_STK_RESD_SPC_RAC_NA_NA_EER.A</t>
  </si>
  <si>
    <t>Residential Equipment: Stock Average Efficiency: Water Heaters: Electric: Reference case</t>
  </si>
  <si>
    <t>AEO.2023.REF2023.EFI_STK_RESD_WHT_ELE_NA_NA_EF.A</t>
  </si>
  <si>
    <t>Residential Equipment: Stock Average Efficiency: Water Heaters: Natural Gas: Reference case</t>
  </si>
  <si>
    <t>AEO.2023.REF2023.EFI_STK_RESD_WHT_NG_NA_NA_EF.A</t>
  </si>
  <si>
    <t>Residential Equipment: Stock Average Efficiency: Water Heaters: Distillate Fuel Oil: Reference case</t>
  </si>
  <si>
    <t>AEO.2023.REF2023.EFI_STK_RESD_WHT_DFO_NA_NA_EF.A</t>
  </si>
  <si>
    <t>Residential Equipment: Stock Average Efficiency: Water Heaters: Propane: Reference case</t>
  </si>
  <si>
    <t>AEO.2023.REF2023.EFI_STK_RESD_WHT_PROP_NA_NA_EF.A</t>
  </si>
  <si>
    <t>Residential Equipment: Stock Average Efficiency: Other Appliances: Refrigerators: Reference case</t>
  </si>
  <si>
    <t>AEO.2023.REF2023.EFI_STK_RESD_OTAR_RFG_NA_NA_KWH.A</t>
  </si>
  <si>
    <t>Residential Equipment: Stock Average Efficiency: Other Appliances: Freezers: Reference case</t>
  </si>
  <si>
    <t>AEO.2023.REF2023.EFI_STK_RESD_OTAR_FRZ_NA_NA_KWH.A</t>
  </si>
  <si>
    <t>Residential Equipment: Building Shell Efficiency Index: Space Heating: Pre-2015 Homes: Reference case</t>
  </si>
  <si>
    <t>AEO.2023.REF2023.EFI_BSE_RESD_SPH_OLD_NA_NA_Y15EQ1.A</t>
  </si>
  <si>
    <t>Residential Equipment: Building Shell Efficiency Index: Space Heating: New Construction: Reference case</t>
  </si>
  <si>
    <t>AEO.2023.REF2023.EFI_BSE_RESD_SPH_NCO_NA_NA_Y15EQ1.A</t>
  </si>
  <si>
    <t>Residential Equipment: Building Shell Efficiency Index: Space Heating: All Homes: Reference case</t>
  </si>
  <si>
    <t>AEO.2023.REF2023.EFI_BSE_RESD_SPH_AHM_NA_NA_Y15EQ1.A</t>
  </si>
  <si>
    <t>Residential Equipment: Building Shell Efficiency Index: Space Cooling: Pre-2015 Homes: Reference case</t>
  </si>
  <si>
    <t>AEO.2023.REF2023.EFI_BSE_RESD_SPC_OLD_NA_NA_Y15EQ1.A</t>
  </si>
  <si>
    <t>Residential Equipment: Building Shell Efficiency Index: Space Cooling: New Construction: Reference case</t>
  </si>
  <si>
    <t>AEO.2023.REF2023.EFI_BSE_RESD_SPC_NCO_NA_NA_Y15EQ1.A</t>
  </si>
  <si>
    <t>Residential Equipment: Building Shell Efficiency Index: Space Cooling: All Homes: Reference case</t>
  </si>
  <si>
    <t>AEO.2023.REF2023.EFI_BSE_RESD_SPC_AHM_NA_NA_Y15EQ1.A</t>
  </si>
  <si>
    <t>Residential: Combined Heat and Power: Generating Capacity: Fuel Cells: Reference case</t>
  </si>
  <si>
    <t>AEO.2023.REF2023.CAP_NA_COMM_CHP_FCL_NA_NA_MW.A</t>
  </si>
  <si>
    <t>Residential: Combined Heat and Power: Generating Capacity: Solar Photovoltaic: Reference case</t>
  </si>
  <si>
    <t>AEO.2023.REF2023.CAP_NA_RESD_CHP_SLR_PHTVL_NA_MW.A</t>
  </si>
  <si>
    <t>Residential: Combined Heat and Power: Generating Capacity: Wind: Reference case</t>
  </si>
  <si>
    <t>AEO.2023.REF2023.CAP_NA_RESD_CHP_WND_NA_NA_MW.A</t>
  </si>
  <si>
    <t>Residential: Combined Heat and Power: Generating Capacity: Total: Reference case</t>
  </si>
  <si>
    <t>AEO.2023.REF2023.CAP_NA_RESD_CHP_TOT_NA_NA_MW.A</t>
  </si>
  <si>
    <t>Residential: Combined Heat and Power: Net Generation: Fuel Cells: Reference case</t>
  </si>
  <si>
    <t>AEO.2023.REF2023.GEN_NA_COMM_CHP_FCL_NA_NA_MILLKWH.A</t>
  </si>
  <si>
    <t>Residential: Combined Heat and Power: Net Generation: Solar Photovoltaic: Reference case</t>
  </si>
  <si>
    <t>AEO.2023.REF2023.GEN_NA_COMM_CHP_SLR_PHTVL_NA_MILLKWH.A</t>
  </si>
  <si>
    <t>Residential: Combined Heat and Power: Net Generation: Wind: Reference case</t>
  </si>
  <si>
    <t>AEO.2023.REF2023.GEN_NA_COMM_CHP_WND_NA_NA_MILLKWH.A</t>
  </si>
  <si>
    <t>Residential: Combined Heat and Power: Net Generation: Total: Reference case</t>
  </si>
  <si>
    <t>AEO.2023.REF2023.GEN_NA_COMM_CHP_TOT_NA_NA_MILLKWH.A</t>
  </si>
  <si>
    <t>Residential: Combined Heat and Power: Net Generation: Sales to the Grid: Reference case</t>
  </si>
  <si>
    <t>AEO.2023.REF2023.GEN_NA_COMM_CHP_STG_NA_NA_MILLKWH.A</t>
  </si>
  <si>
    <t>Residential: Combined Heat and Power: Net Generation: Generation for Own Use: Reference case</t>
  </si>
  <si>
    <t>AEO.2023.REF2023.GEN_NA_COMM_CHP_GFO_NA_NA_MILLKWH.A</t>
  </si>
  <si>
    <t>Residential: Combined Heat and Power: Energy Input: Fuel Cells: Reference case</t>
  </si>
  <si>
    <t>AEO.2023.REF2023.CNSM_NA_COMM_CHP_FCL_NA_NA_TRLBTU.A</t>
  </si>
  <si>
    <t>Residential: Combined Heat and Power: Energy Input: Solar Photovoltaic: Reference case</t>
  </si>
  <si>
    <t>AEO.2023.REF2023.CNSM_NA_COMM_CHP_SLR_PHTVL_NA_TRLBTU.A</t>
  </si>
  <si>
    <t>Residential: Combined Heat and Power: Energy Input: Wind: Reference case</t>
  </si>
  <si>
    <t>AEO.2023.REF2023.CNSM_NA_COMM_CHP_WND_NA_NA_TRLBTU.A</t>
  </si>
  <si>
    <t>Residential: Combined Heat and Power: Energy Input: Total: Reference case</t>
  </si>
  <si>
    <t>AEO.2023.REF2023.CNSM_NA_COMM_CHP_TOT_NA_NA_TRLBTU.A</t>
  </si>
  <si>
    <t>https://www.eia.gov/outlooks/aeo/data/browser/#/?id=32-AEO2023&amp;cases=ref2023&amp;sourcekey=0</t>
  </si>
  <si>
    <t>Sun May 04 2025 20:16:27 GMT-0700 (Pacific Daylight Time)</t>
  </si>
  <si>
    <t>Commercial: Gross End-use: Assembly: Reference case</t>
  </si>
  <si>
    <t>AEO.2023.REF2023.#N/A.A</t>
  </si>
  <si>
    <t>Commercial: Gross End-use: Education: Reference case</t>
  </si>
  <si>
    <t>Commercial: Gross End-use: Food Sales: Reference case</t>
  </si>
  <si>
    <t>Commercial: Gross End-use: Food Service: Reference case</t>
  </si>
  <si>
    <t>Commercial: Gross End-use: Health Care: Reference case</t>
  </si>
  <si>
    <t>Commercial: Gross End-use: Lodging: Reference case</t>
  </si>
  <si>
    <t>Commercial: Gross End-use: Office - Large: Reference case</t>
  </si>
  <si>
    <t>Commercial: Gross End-use: Office - Small: Reference case</t>
  </si>
  <si>
    <t>Commercial: Gross End-use: Mercantile/Service: Reference case</t>
  </si>
  <si>
    <t>Commercial: Gross End-use: Warehouse: Reference case</t>
  </si>
  <si>
    <t>Commercial: Gross End-use: Other: Reference case</t>
  </si>
  <si>
    <t>Commercial: Gross End-use: Total: Reference case</t>
  </si>
  <si>
    <t>Commercial: Floorspace: Assembly: Reference case</t>
  </si>
  <si>
    <t>AEO.2023.REF2023.KEI_FLR_COMM_ASB_NA_NA_NA_BLNSQFT.A</t>
  </si>
  <si>
    <t>Commercial: Floorspace: Education: Reference case</t>
  </si>
  <si>
    <t>AEO.2023.REF2023.KEI_FLR_COMM_EDD_NA_NA_NA_BLNSQFT.A</t>
  </si>
  <si>
    <t>Commercial: Floorspace: Food Sales: Reference case</t>
  </si>
  <si>
    <t>AEO.2023.REF2023.KEI_FLR_COMM_FDSA_NA_NA_NA_BLNSQFT.A</t>
  </si>
  <si>
    <t>Commercial: Floorspace: Food Service: Reference case</t>
  </si>
  <si>
    <t>AEO.2023.REF2023.KEI_FLR_COMM_FSC_NA_NA_NA_BLNSQFT.A</t>
  </si>
  <si>
    <t>Commercial: Floorspace: Health Care: Reference case</t>
  </si>
  <si>
    <t>AEO.2023.REF2023.KEI_FLR_COMM_HLC_NA_NA_NA_BLNSQFT.A</t>
  </si>
  <si>
    <t>Commercial: Floorspace: Lodging: Reference case</t>
  </si>
  <si>
    <t>AEO.2023.REF2023.KEI_FLR_COMM_LGC_NA_NA_NA_BLNSQFT.A</t>
  </si>
  <si>
    <t>Commercial: Floorspace: Office - Large: Reference case</t>
  </si>
  <si>
    <t>AEO.2023.REF2023.KEI_FLR_COMM_OFLC_NA_NA_NA_BLNSQFT.A</t>
  </si>
  <si>
    <t>Commercial: Floorspace: Office - Small: Reference case</t>
  </si>
  <si>
    <t>AEO.2023.REF2023.KEI_FLR_COMM_OFSC_NA_NA_NA_BLNSQFT.A</t>
  </si>
  <si>
    <t>Commercial: Floorspace: Mercantile/Service: Reference case</t>
  </si>
  <si>
    <t>AEO.2023.REF2023.KEI_FLR_COMM_MCSC_NA_NA_NA_BLNSQFT.A</t>
  </si>
  <si>
    <t>Commercial: Floorspace: Warehouse: Reference case</t>
  </si>
  <si>
    <t>AEO.2023.REF2023.KEI_FLR_COMM_WHRC_NA_NA_NA_BLNSQFT.A</t>
  </si>
  <si>
    <t>Commercial: Floorspace: Other: Reference case</t>
  </si>
  <si>
    <t>AEO.2023.REF2023.KEI_FLR_COMM_OTHU_NA_NA_NA_BLNSQFT.A</t>
  </si>
  <si>
    <t>Commercial: Floorspace: Total: Reference case</t>
  </si>
  <si>
    <t>AEO.2023.REF2023.KEI_FLR_COMM_NA_NA_NA_NA_BLNSQFT.A</t>
  </si>
  <si>
    <t>Commercial: Stock Average Efficiency: Space Heating: Electricity: Reference case</t>
  </si>
  <si>
    <t>AEO.2023.REF2023.EFF_STKE_COMM_SPH_ELC_NA_NA_BTUOTPBTUIN.A</t>
  </si>
  <si>
    <t>Commercial: Stock Average Efficiency: Space Heating: Natural Gas: Reference case</t>
  </si>
  <si>
    <t>AEO.2023.REF2023.EFF_STKE_COMM_SPH_NG_NA_NA_BTUOTPBTUIN.A</t>
  </si>
  <si>
    <t>Commercial: Stock Average Efficiency: Space Heating: Distillate Fuel Oil: Reference case</t>
  </si>
  <si>
    <t>AEO.2023.REF2023.EFF_STKE_COMM_SPH_DFO_NA_NA_BTUOTPBTUIN.A</t>
  </si>
  <si>
    <t>Commercial: Stock Average Efficiency: Space Cooling: Electricity: Reference case</t>
  </si>
  <si>
    <t>AEO.2023.REF2023.EFF_STKE_COMM_SPC_ELC_NA_NA_BTUOTPBTUIN.A</t>
  </si>
  <si>
    <t>Commercial: Stock Average Efficiency: Space Cooling: Natural Gas: Reference case</t>
  </si>
  <si>
    <t>AEO.2023.REF2023.EFF_STKE_COMM_SPC_NG_NA_NA_BTUOTPBTUIN.A</t>
  </si>
  <si>
    <t>Commercial: Stock Average Efficiency: Water Heating: Electricity: Reference case</t>
  </si>
  <si>
    <t>AEO.2023.REF2023.EFF_STKE_COMM_WTHT_ELC_NA_NA_BTUOTPBTUIN.A</t>
  </si>
  <si>
    <t>Commercial: Stock Average Efficiency: Water Heating: Natural Gas: Reference case</t>
  </si>
  <si>
    <t>AEO.2023.REF2023.EFF_STKE_COMM_WTHT_NG_NA_NA_BTUOTPBTUIN.A</t>
  </si>
  <si>
    <t>Commercial: Stock Average Efficiency: Water Heating: Distillate Fuel Oil: Reference case</t>
  </si>
  <si>
    <t>AEO.2023.REF2023.EFF_STKE_COMM_WTHT_DFO_NA_NA_BTUOTPBTUIN.A</t>
  </si>
  <si>
    <t>Commercial: Stock Average Efficiency: Ventilation: Electricity: Reference case</t>
  </si>
  <si>
    <t>AEO.2023.REF2023.EFF_STKE_COMM_VNTC_ELC_NA_NA_CUFTPMINPBTU.A</t>
  </si>
  <si>
    <t>Commercial: Stock Average Efficiency: Cooking: Electricity: Reference case</t>
  </si>
  <si>
    <t>AEO.2023.REF2023.EFF_STKE_COMM_CGR_ELC_NA_NA_BTUOTPBTUIN.A</t>
  </si>
  <si>
    <t>Commercial: Stock Average Efficiency: Cooking: Natural Gas: Reference case</t>
  </si>
  <si>
    <t>AEO.2023.REF2023.EFF_STKE_COMM_CGR_NG_NA_NA_BTUOTPBTUIN.A</t>
  </si>
  <si>
    <t>Commercial: Stock Average Efficiency: Lighting Efficacy: Electricity: Reference case</t>
  </si>
  <si>
    <t>AEO.2023.REF2023.EFF_STKE_COMM_LGHTNG_ELC_NA_NA_LMNPWATT.A</t>
  </si>
  <si>
    <t>Commercial: Stock Average Efficiency: Refrigeration: Electricity: Reference case</t>
  </si>
  <si>
    <t>AEO.2023.REF2023.EFF_STKE_COMM_REFR_ELC_NA_NA_BTUOTPBTUIN.A</t>
  </si>
  <si>
    <t>Commercial: Combined Heat and Power: Generating Capacity: Petroleum: Reference case</t>
  </si>
  <si>
    <t>AEO.2023.REF2023.CAP_NA_COMM_CHP_PET_NA_NA_MW.A</t>
  </si>
  <si>
    <t>Commercial: Combined Heat and Power: Generating Capacity: Natural Gas: Reference case</t>
  </si>
  <si>
    <t>AEO.2023.REF2023.CAP_NA_COMM_CHP_NG_NA_NA_MW.A</t>
  </si>
  <si>
    <t>Commercial: Combined Heat and Power: Generating Capacity: Solar Photovoltaic: Reference case</t>
  </si>
  <si>
    <t>AEO.2023.REF2023.CAP_NA_COMM_CHP_SLR_PHTVL_NA_MW.A</t>
  </si>
  <si>
    <t>Commercial: Combined Heat and Power: Generating Capacity: Wind: Reference case</t>
  </si>
  <si>
    <t>AEO.2023.REF2023.CAP_NA_COMM_CHP_WND_NA_NA_MW.A</t>
  </si>
  <si>
    <t>Commercial: Combined Heat and Power: Generating Capacity: Other: Reference case</t>
  </si>
  <si>
    <t>AEO.2023.REF2023.CAP_NA_COMM_CHP_OTH_NA_NA_MW.A</t>
  </si>
  <si>
    <t>Commercial: Combined Heat and Power: Generating Capacity: Total: Reference case</t>
  </si>
  <si>
    <t>AEO.2023.REF2023.CAP_NA_COMM_CHP_TOT_NA_NA_MW.A</t>
  </si>
  <si>
    <t>Commercial: Combined Heat and Power: Net Generation: Petroleum: Reference case</t>
  </si>
  <si>
    <t>AEO.2023.REF2023.GEN_NA_COMM_CHP_PET_NA_NA_MILLKWH.A</t>
  </si>
  <si>
    <t>Commercial: Combined Heat and Power: Net Generation: Natural Gas: Reference case</t>
  </si>
  <si>
    <t>AEO.2023.REF2023.GEN_NA_COMM_CHP_NG_NA_NA_MILLKWH.A</t>
  </si>
  <si>
    <t>Commercial: Combined Heat and Power: Net Generation: Solar Photovoltaic: Reference case</t>
  </si>
  <si>
    <t>Commercial: Combined Heat and Power: Net Generation: Wind: Reference case</t>
  </si>
  <si>
    <t>Commercial: Combined Heat and Power: Net Generation: Other: Reference case</t>
  </si>
  <si>
    <t>AEO.2023.REF2023.GEN_NA_COMM_CHP_OTH_NA_NA_MILLKWH.A</t>
  </si>
  <si>
    <t>Commercial: Combined Heat and Power: Net Generation: Total: Reference case</t>
  </si>
  <si>
    <t>Commercial: Combined Heat and Power: Net Generation: Sales to the Grid: Reference case</t>
  </si>
  <si>
    <t>Commercial: Combined Heat and Power: Net Generation: Generation for Own Use: Reference case</t>
  </si>
  <si>
    <t>Commercial: Combined Heat and Power: Energy Input: Petroleum: Reference case</t>
  </si>
  <si>
    <t>AEO.2023.REF2023.CNSM_NA_COMM_CHP_PET_NA_NA_TRLBTU.A</t>
  </si>
  <si>
    <t>Commercial: Combined Heat and Power: Energy Input: Natural Gas: Reference case</t>
  </si>
  <si>
    <t>AEO.2023.REF2023.CNSM_NA_COMM_CHP_NG_NA_NA_TRLBTU.A</t>
  </si>
  <si>
    <t>Commercial: Combined Heat and Power: Energy Input: Solar Photovoltaic: Reference case</t>
  </si>
  <si>
    <t>Commercial: Combined Heat and Power: Energy Input: Wind: Reference case</t>
  </si>
  <si>
    <t>Commercial: Combined Heat and Power: Energy Input: Other: Reference case</t>
  </si>
  <si>
    <t>AEO.2023.REF2023.CNSM_NA_COMM_CHP_OTH_NA_NA_TRLBTU.A</t>
  </si>
  <si>
    <t>Commercial: Combined Heat and Power: Energy Input: Total: Reference case</t>
  </si>
  <si>
    <t>EPA Press Release, cumulative GW distributed solar:</t>
  </si>
  <si>
    <t>https://www.epa.gov/greenhouse-gas-reduction-fund/solar-all-fast-facts</t>
  </si>
  <si>
    <t>AEO.2025.HIGHZTC.CNSM_NA_COMM_CHP_TOT_NA_NA_TRLBTU.A</t>
  </si>
  <si>
    <t>Residential: Combined Heat and Power: Energy Input: Total: High Zero-Carbon Technology Cost</t>
  </si>
  <si>
    <t>AEO.2025.HIGHZTC.CNSM_NA_COMM_CHP_WND_NA_NA_TRLBTU.A</t>
  </si>
  <si>
    <t>Residential: Combined Heat and Power: Energy Input: Wind: High Zero-Carbon Technology Cost</t>
  </si>
  <si>
    <t>AEO.2025.HIGHZTC.CNSM_NA_COMM_CHP_SLR_PHTVL_NA_TRLBTU.A</t>
  </si>
  <si>
    <t>Residential: Combined Heat and Power: Energy Input: Solar Photovoltaic: High Zero-Carbon Technology Cost</t>
  </si>
  <si>
    <t>AEO.2025.HIGHZTC.CNSM_NA_COMM_CHP_FCL_NA_NA_TRLBTU.A</t>
  </si>
  <si>
    <t>Residential: Combined Heat and Power: Energy Input: Fuel Cells: High Zero-Carbon Technology Cost</t>
  </si>
  <si>
    <t>AEO.2025.HIGHZTC.GEN_NA_COMM_CHP_GFO_NA_NA_MILLKWH.A</t>
  </si>
  <si>
    <t>Residential: Combined Heat and Power: Net Generation: Generation for Own Use: High Zero-Carbon Technology Cost</t>
  </si>
  <si>
    <t>AEO.2025.HIGHZTC.GEN_NA_COMM_CHP_STG_NA_NA_MILLKWH.A</t>
  </si>
  <si>
    <t>Residential: Combined Heat and Power: Net Generation: Sales to the Grid: High Zero-Carbon Technology Cost</t>
  </si>
  <si>
    <t>AEO.2025.HIGHZTC.GEN_NA_COMM_CHP_TOT_NA_NA_MILLKWH.A</t>
  </si>
  <si>
    <t>Residential: Combined Heat and Power: Net Generation: Total: High Zero-Carbon Technology Cost</t>
  </si>
  <si>
    <t>AEO.2025.HIGHZTC.GEN_NA_COMM_CHP_WND_NA_NA_MILLKWH.A</t>
  </si>
  <si>
    <t>Residential: Combined Heat and Power: Net Generation: Wind: High Zero-Carbon Technology Cost</t>
  </si>
  <si>
    <t>AEO.2025.HIGHZTC.GEN_NA_COMM_CHP_SLR_PHTVL_NA_MILLKWH.A</t>
  </si>
  <si>
    <t>Residential: Combined Heat and Power: Net Generation: Solar Photovoltaic: High Zero-Carbon Technology Cost</t>
  </si>
  <si>
    <t>AEO.2025.HIGHZTC.GEN_NA_COMM_CHP_FCL_NA_NA_MILLKWH.A</t>
  </si>
  <si>
    <t>Residential: Combined Heat and Power: Net Generation: Fuel Cells: High Zero-Carbon Technology Cost</t>
  </si>
  <si>
    <t>AEO.2025.HIGHZTC.CAP_NA_RESD_CHP_TOT_NA_NA_MW.A</t>
  </si>
  <si>
    <t>Residential: Combined Heat and Power: Generating Capacity: Total: High Zero-Carbon Technology Cost</t>
  </si>
  <si>
    <t>AEO.2025.HIGHZTC.CAP_NA_RESD_CHP_WND_NA_NA_MW.A</t>
  </si>
  <si>
    <t>Residential: Combined Heat and Power: Generating Capacity: Wind: High Zero-Carbon Technology Cost</t>
  </si>
  <si>
    <t>AEO.2025.HIGHZTC.CAP_NA_RESD_CHP_SLR_PHTVL_NA_MW.A</t>
  </si>
  <si>
    <t>Residential: Combined Heat and Power: Generating Capacity: Solar Photovoltaic: High Zero-Carbon Technology Cost</t>
  </si>
  <si>
    <t>AEO.2025.HIGHZTC.CAP_NA_COMM_CHP_FCL_NA_NA_MW.A</t>
  </si>
  <si>
    <t>Residential: Combined Heat and Power: Generating Capacity: Fuel Cells: High Zero-Carbon Technology Cost</t>
  </si>
  <si>
    <t>AEO.2025.HIGHZTC.EFI_BSE_RESD_SPC_AHM_NA_NA_Y15EQ1.A</t>
  </si>
  <si>
    <t>Residential Equipment: Building Shell Efficiency Index: Space Cooling: All Homes: High Zero-Carbon Technology Cost</t>
  </si>
  <si>
    <t>AEO.2025.HIGHZTC.EFI_BSE_RESD_SPC_NCO_NA_NA_Y15EQ1.A</t>
  </si>
  <si>
    <t>Residential Equipment: Building Shell Efficiency Index: Space Cooling: New Construction: High Zero-Carbon Technology Cost</t>
  </si>
  <si>
    <t>AEO.2025.HIGHZTC.EFI_BSE_RESD_SPC_OLD_NA_NA_Y15EQ1.A</t>
  </si>
  <si>
    <t>Residential Equipment: Building Shell Efficiency Index: Space Cooling: Pre-2015 Homes: High Zero-Carbon Technology Cost</t>
  </si>
  <si>
    <t>Pre-2020 Homes</t>
  </si>
  <si>
    <t>AEO.2025.HIGHZTC.EFI_BSE_RESD_SPH_AHM_NA_NA_Y15EQ1.A</t>
  </si>
  <si>
    <t>Residential Equipment: Building Shell Efficiency Index: Space Heating: All Homes: High Zero-Carbon Technology Cost</t>
  </si>
  <si>
    <t>AEO.2025.HIGHZTC.EFI_BSE_RESD_SPH_NCO_NA_NA_Y15EQ1.A</t>
  </si>
  <si>
    <t>Residential Equipment: Building Shell Efficiency Index: Space Heating: New Construction: High Zero-Carbon Technology Cost</t>
  </si>
  <si>
    <t>AEO.2025.HIGHZTC.EFI_BSE_RESD_SPH_OLD_NA_NA_Y15EQ1.A</t>
  </si>
  <si>
    <t>Residential Equipment: Building Shell Efficiency Index: Space Heating: Pre-2015 Homes: High Zero-Carbon Technology Cost</t>
  </si>
  <si>
    <t>AEO.2025.HIGHZTC.EFI_STK_RESD_OTAR_FRZ_NA_NA_KWH.A</t>
  </si>
  <si>
    <t>Residential Equipment: Stock Average Efficiency: Other Appliances: Freezers: High Zero-Carbon Technology Cost</t>
  </si>
  <si>
    <t>AEO.2025.HIGHZTC.EFI_STK_RESD_OTAR_RFG_NA_NA_KWH.A</t>
  </si>
  <si>
    <t>Residential Equipment: Stock Average Efficiency: Other Appliances: Refrigerators: High Zero-Carbon Technology Cost</t>
  </si>
  <si>
    <t>AEO.2025.HIGHZTC.EFI_STK_RESD_WHT_PROP_NA_NA_EF.A</t>
  </si>
  <si>
    <t>Residential Equipment: Stock Average Efficiency: Water Heaters: Propane: High Zero-Carbon Technology Cost</t>
  </si>
  <si>
    <t>AEO.2025.HIGHZTC.EFI_STK_RESD_WHT_DFO_NA_NA_EF.A</t>
  </si>
  <si>
    <t>Residential Equipment: Stock Average Efficiency: Water Heaters: Distillate Fuel Oil: High Zero-Carbon Technology Cost</t>
  </si>
  <si>
    <t>AEO.2025.HIGHZTC.EFI_STK_RESD_WHT_NG_NA_NA_EF.A</t>
  </si>
  <si>
    <t>Residential Equipment: Stock Average Efficiency: Water Heaters: Natural Gas: High Zero-Carbon Technology Cost</t>
  </si>
  <si>
    <t>AEO.2025.HIGHZTC.EFI_STK_RESD_WHT_ELE_NA_NA_EF.A</t>
  </si>
  <si>
    <t>Residential Equipment: Stock Average Efficiency: Water Heaters: Electric: High Zero-Carbon Technology Cost</t>
  </si>
  <si>
    <t>AEO.2025.HIGHZTC.EFI_STK_RESD_SPC_RAC_NA_NA_EER.A</t>
  </si>
  <si>
    <t>Residential Equipment: Stock Average Efficiency: Space Cooling: Room Air Conditioners: High Zero-Carbon Technology Cost</t>
  </si>
  <si>
    <t>AEO.2025.HIGHZTC.EFI_STK_RESD_SPC_CAC_NA_NA_SEER.A</t>
  </si>
  <si>
    <t>Residential Equipment: Stock Average Efficiency: Space Cooling: Central Air Conditioners: High Zero-Carbon Technology Cost</t>
  </si>
  <si>
    <t>AEO.2025.HIGHZTC.EFI_STK_RESD_SPC_GEHP_NA_NA_EER.A</t>
  </si>
  <si>
    <t>Residential Equipment: Stock Average Efficiency: Space Cooling: Geothermal Heat Pumps: High Zero-Carbon Technology Cost</t>
  </si>
  <si>
    <t>AEO.2025.HIGHZTC.EFI_STK_RESD_SPC_NHU_NA_NA_GCOP.A</t>
  </si>
  <si>
    <t>Residential Equipment: Stock Average Efficiency: Space Cooling: Natural Gas Heat Pumps: High Zero-Carbon Technology Cost</t>
  </si>
  <si>
    <t>AEO.2025.HIGHZTC.EFI_STK_RESD_SPC_EHP_NA_NA_SEER.A</t>
  </si>
  <si>
    <t>Residential Equipment: Stock Average Efficiency: Space Cooling: Electric Heat Pumps: High Zero-Carbon Technology Cost</t>
  </si>
  <si>
    <t>AEO.2025.HIGHZTC.EFI_STK_RESD_SPHR_DFR_NA_NA_AFUE.A</t>
  </si>
  <si>
    <t>Residential Equipment: Stock Average Efficiency: Main Space Heaters: Distillate Furnace: High Zero-Carbon Technology Cost</t>
  </si>
  <si>
    <t>AEO.2025.HIGHZTC.EFI_STK_RESD_SPHR_NFR_NA_NA_AFUE.A</t>
  </si>
  <si>
    <t>Residential Equipment: Stock Average Efficiency: Main Space Heaters: Natural Gas Furnace: High Zero-Carbon Technology Cost</t>
  </si>
  <si>
    <t>AEO.2025.HIGHZTC.EFI_STK_RESD_SPHR_GEHP_NA_NA_COP.A</t>
  </si>
  <si>
    <t>Residential Equipment: Stock Average Efficiency: Main Space Heaters: Geothermal Heat Pumps: High Zero-Carbon Technology Cost</t>
  </si>
  <si>
    <t>AEO.2025.HIGHZTC.EFI_STK_RESD_SPHR_NHU_NA_NA_GCOP.A</t>
  </si>
  <si>
    <t>Residential Equipment: Stock Average Efficiency: Main Space Heaters: Natural Gas Heat Pumps: High Zero-Carbon Technology Cost</t>
  </si>
  <si>
    <t>AEO.2025.HIGHZTC.EFI_STK_RESD_SPHR_EHP_NA_NA_HSPF.A</t>
  </si>
  <si>
    <t>Residential Equipment: Stock Average Efficiency: Main Space Heaters: Electric Heat Pumps: High Zero-Carbon Technology Cost</t>
  </si>
  <si>
    <t>AEO.2025.HIGHZTC.EQNR_STK_RESD_OTAR_FRZ_NA_NA_MILL.A</t>
  </si>
  <si>
    <t>Residential Equipment: Equipment Stock: Other Appliances: Freezers: High Zero-Carbon Technology Cost</t>
  </si>
  <si>
    <t>AEO.2025.HIGHZTC.EQNR_STK_RESD_OTAR_RFG_NA_NA_MILL.A</t>
  </si>
  <si>
    <t>Residential Equipment: Equipment Stock: Other Appliances: Refrigerators: High Zero-Carbon Technology Cost</t>
  </si>
  <si>
    <t>AEO.2025.HIGHZTC.EQNR_STK_RESD_CDR_TOT_NA_NA_MILL.A</t>
  </si>
  <si>
    <t>Residential Equipment: Equipment Stock: Clothes Dryers: Total: High Zero-Carbon Technology Cost</t>
  </si>
  <si>
    <t>AEO.2025.HIGHZTC.EQNR_STK_RESD_CDR_NG_NA_NA_MILL.A</t>
  </si>
  <si>
    <t>Residential Equipment: Equipment Stock: Clothes Dryers: Natural Gas: High Zero-Carbon Technology Cost</t>
  </si>
  <si>
    <t>AEO.2025.HIGHZTC.EQNR_STK_RESD_CDR_ELE_NA_NA_MILL.A</t>
  </si>
  <si>
    <t>Residential Equipment: Equipment Stock: Clothes Dryers: Electric: High Zero-Carbon Technology Cost</t>
  </si>
  <si>
    <t>AEO.2025.HIGHZTC.EQNR_STK_RESD_CER_TOT_NA_NA_MILL.A</t>
  </si>
  <si>
    <t>Residential Equipment: Equipment Stock: Cooking Equipment: Total: High Zero-Carbon Technology Cost</t>
  </si>
  <si>
    <t>AEO.2025.HIGHZTC.EQNR_STK_RESD_CER_PROP_NA_NA_MILL.A</t>
  </si>
  <si>
    <t>Residential Equipment: Equipment Stock: Cooking Equipment: Propane: High Zero-Carbon Technology Cost</t>
  </si>
  <si>
    <t>AEO.2025.HIGHZTC.EQNR_STK_RESD_CER_NG_NA_NA_MILL.A</t>
  </si>
  <si>
    <t>Residential Equipment: Equipment Stock: Cooking Equipment: Natural Gas: High Zero-Carbon Technology Cost</t>
  </si>
  <si>
    <t>AEO.2025.HIGHZTC.EQNR_STK_RESD_CER_ELE_NA_NA_MILL.A</t>
  </si>
  <si>
    <t>Residential Equipment: Equipment Stock: Cooking Equipment: Electric: High Zero-Carbon Technology Cost</t>
  </si>
  <si>
    <t>AEO.2025.HIGHZTC.EQNR_STK_RESD_WHT_TOT_NA_NA_MILL.A</t>
  </si>
  <si>
    <t>Residential Equipment: Equipment Stock: Water Heaters: Total: High Zero-Carbon Technology Cost</t>
  </si>
  <si>
    <t>AEO.2025.HIGHZTC.EQNR_STK_RESD_WHT_SLR_THERM_NA_MILL.A</t>
  </si>
  <si>
    <t>Residential Equipment: Equipment Stock: Water Heaters: Solar Thermal: High Zero-Carbon Technology Cost</t>
  </si>
  <si>
    <t>AEO.2025.HIGHZTC.EQNR_STK_RESD_WHT_PROP_NA_NA_MILL.A</t>
  </si>
  <si>
    <t>Residential Equipment: Equipment Stock: Water Heaters: Propane: High Zero-Carbon Technology Cost</t>
  </si>
  <si>
    <t>AEO.2025.HIGHZTC.EQNR_STK_RESD_WHT_DFO_NA_NA_MILL.A</t>
  </si>
  <si>
    <t>Residential Equipment: Equipment Stock: Water Heaters: Distillate Fuel Oil: High Zero-Carbon Technology Cost</t>
  </si>
  <si>
    <t>AEO.2025.HIGHZTC.EQNR_STK_RESD_WHT_NG_NA_NA_MILL.A</t>
  </si>
  <si>
    <t>Residential Equipment: Equipment Stock: Water Heaters: Natural Gas: High Zero-Carbon Technology Cost</t>
  </si>
  <si>
    <t>AEO.2025.HIGHZTC.EQNR_STK_RESD_WHT_ELE_NA_NA_MILL.A</t>
  </si>
  <si>
    <t>Residential Equipment: Equipment Stock: Water Heaters: Electric: High Zero-Carbon Technology Cost</t>
  </si>
  <si>
    <t>AEO.2025.HIGHZTC.EQNR_STK_RESD_SPC_TOT_NA_NA_MILL.A</t>
  </si>
  <si>
    <t>Residential Equipment: Equipment Stock: Space Cooling: Total: High Zero-Carbon Technology Cost</t>
  </si>
  <si>
    <t>AEO.2025.HIGHZTC.EQNR_STK_RESD_SPC_RAC_NA_NA_MILL.A</t>
  </si>
  <si>
    <t>Residential Equipment: Equipment Stock: Space Cooling: Room Air Conditioners: High Zero-Carbon Technology Cost</t>
  </si>
  <si>
    <t>AEO.2025.HIGHZTC.EQNR_STK_RESD_SPC_CAC_NA_NA_MILL.A</t>
  </si>
  <si>
    <t>Residential Equipment: Equipment Stock: Space Cooling: Central Air Conditioners: High Zero-Carbon Technology Cost</t>
  </si>
  <si>
    <t>AEO.2025.HIGHZTC.EQNR_STK_RESD_SPC_GEHP_NA_NA_MILL.A</t>
  </si>
  <si>
    <t>Residential Equipment: Equipment Stock: Space Cooling: Geothermal Heat Pumps: High Zero-Carbon Technology Cost</t>
  </si>
  <si>
    <t>AEO.2025.HIGHZTC.EQNR_STK_RESD_SPC_NHU_NA_NA_MILL.A</t>
  </si>
  <si>
    <t>Residential Equipment: Equipment Stock: Space Cooling: Natural Gas Heat Pumps: High Zero-Carbon Technology Cost</t>
  </si>
  <si>
    <t>AEO.2025.HIGHZTC.EQNR_STK_RESD_SPC_EHP_NA_NA_MILL.A</t>
  </si>
  <si>
    <t>Residential Equipment: Equipment Stock: Space Cooling: Electric Heat Pumps: High Zero-Carbon Technology Cost</t>
  </si>
  <si>
    <t>AEO.2025.HIGHZTC.EQNR_STK_RESD_MSHR_TOT_NA_NA_MILL.A</t>
  </si>
  <si>
    <t>Residential Equipment: Equipment Stock: Main Space Heaters: Total: High Zero-Carbon Technology Cost</t>
  </si>
  <si>
    <t>AEO.2025.HIGHZTC.EQNR_STK_RESD_MSHR_GEHP_NA_NA_MILL.A</t>
  </si>
  <si>
    <t>Residential Equipment: Equipment Stock: Main Space Heaters: Geothermal Heat Pumps: High Zero-Carbon Technology Cost</t>
  </si>
  <si>
    <t>AEO.2025.HIGHZTC.EQNR_STK_RESD_MSHR_WDS_NA_NA_MILL.A</t>
  </si>
  <si>
    <t>Residential Equipment: Equipment Stock: Main Space Heaters: Wood Stoves: High Zero-Carbon Technology Cost</t>
  </si>
  <si>
    <t>AEO.2025.HIGHZTC.EQNR_STK_RESD_MSHR_KRS_NA_NA_MILL.A</t>
  </si>
  <si>
    <t>Residential Equipment: Equipment Stock: Main Space Heaters: Kerosene: High Zero-Carbon Technology Cost</t>
  </si>
  <si>
    <t>AEO.2025.HIGHZTC.EQNR_STK_RESD_MSHR_PROP_NA_NA_MILL.A</t>
  </si>
  <si>
    <t>Residential Equipment: Equipment Stock: Main Space Heaters: Propane: High Zero-Carbon Technology Cost</t>
  </si>
  <si>
    <t>AEO.2025.HIGHZTC.EQNR_STK_RESD_MSHR_DFO_NA_NA_MILL.A</t>
  </si>
  <si>
    <t>Residential Equipment: Equipment Stock: Main Space Heaters: Distillate Fuel Oil: High Zero-Carbon Technology Cost</t>
  </si>
  <si>
    <t>AEO.2025.HIGHZTC.EQNR_STK_RESD_MSHR_NGO_NA_NA_MILL.A</t>
  </si>
  <si>
    <t>Residential Equipment: Equipment Stock: Main Space Heaters: Natural Gas Other: High Zero-Carbon Technology Cost</t>
  </si>
  <si>
    <t>AEO.2025.HIGHZTC.EQNR_STK_RESD_MSHR_NHU_NA_NA_MILL.A</t>
  </si>
  <si>
    <t>Residential Equipment: Equipment Stock: Main Space Heaters: Natural Gas Heat Pumps: High Zero-Carbon Technology Cost</t>
  </si>
  <si>
    <t>AEO.2025.HIGHZTC.EQNR_STK_RESD_MSHR_ELO_NA_NA_MILL.A</t>
  </si>
  <si>
    <t>Residential Equipment: Equipment Stock: Main Space Heaters: Electric Other: High Zero-Carbon Technology Cost</t>
  </si>
  <si>
    <t>AEO.2025.HIGHZTC.EQNR_STK_RESD_MSHR_EHP_NA_NA_MILL.A</t>
  </si>
  <si>
    <t>Residential Equipment: Equipment Stock: Main Space Heaters: Electric Heat Pumps: High Zero-Carbon Technology Cost</t>
  </si>
  <si>
    <t>Growth (2024-2050)</t>
  </si>
  <si>
    <t>Tue Dec 02 2025 13:21:44 GMT-0800 (Pacific Standard Time)</t>
  </si>
  <si>
    <t>https://www.eia.gov/outlooks/aeo/data/browser/#/?id=30-AEO2025&amp;cases=highZTC&amp;sourcekey=0</t>
  </si>
  <si>
    <t>Commercial: Combined Heat and Power: Energy Input: Total: High Zero-Carbon Technology Cost</t>
  </si>
  <si>
    <t>AEO.2025.HIGHZTC.CNSM_NA_COMM_CHP_OTH_NA_NA_TRLBTU.A</t>
  </si>
  <si>
    <t>Commercial: Combined Heat and Power: Energy Input: Other: High Zero-Carbon Technology Cost</t>
  </si>
  <si>
    <t>Commercial: Combined Heat and Power: Energy Input: Wind: High Zero-Carbon Technology Cost</t>
  </si>
  <si>
    <t>Commercial: Combined Heat and Power: Energy Input: Solar Photovoltaic: High Zero-Carbon Technology Cost</t>
  </si>
  <si>
    <t>AEO.2025.HIGHZTC.CNSM_NA_COMM_CHP_NG_NA_NA_TRLBTU.A</t>
  </si>
  <si>
    <t>Commercial: Combined Heat and Power: Energy Input: Natural Gas: High Zero-Carbon Technology Cost</t>
  </si>
  <si>
    <t>AEO.2025.HIGHZTC.CNSM_NA_COMM_CHP_PET_NA_NA_TRLBTU.A</t>
  </si>
  <si>
    <t>Commercial: Combined Heat and Power: Energy Input: Petroleum: High Zero-Carbon Technology Cost</t>
  </si>
  <si>
    <t>Commercial: Combined Heat and Power: Net Generation: Generation for Own Use: High Zero-Carbon Technology Cost</t>
  </si>
  <si>
    <t>Commercial: Combined Heat and Power: Net Generation: Sales to the Grid: High Zero-Carbon Technology Cost</t>
  </si>
  <si>
    <t>Commercial: Combined Heat and Power: Net Generation: Total: High Zero-Carbon Technology Cost</t>
  </si>
  <si>
    <t>AEO.2025.HIGHZTC.GEN_NA_COMM_CHP_OTH_NA_NA_MILLKWH.A</t>
  </si>
  <si>
    <t>Commercial: Combined Heat and Power: Net Generation: Other: High Zero-Carbon Technology Cost</t>
  </si>
  <si>
    <t>Commercial: Combined Heat and Power: Net Generation: Wind: High Zero-Carbon Technology Cost</t>
  </si>
  <si>
    <t>Commercial: Combined Heat and Power: Net Generation: Solar Photovoltaic: High Zero-Carbon Technology Cost</t>
  </si>
  <si>
    <t>AEO.2025.HIGHZTC.GEN_NA_COMM_CHP_NG_NA_NA_MILLKWH.A</t>
  </si>
  <si>
    <t>Commercial: Combined Heat and Power: Net Generation: Natural Gas: High Zero-Carbon Technology Cost</t>
  </si>
  <si>
    <t>AEO.2025.HIGHZTC.GEN_NA_COMM_CHP_PET_NA_NA_MILLKWH.A</t>
  </si>
  <si>
    <t>Commercial: Combined Heat and Power: Net Generation: Petroleum: High Zero-Carbon Technology Cost</t>
  </si>
  <si>
    <t>AEO.2025.HIGHZTC.CAP_NA_COMM_CHP_TOT_NA_NA_MW.A</t>
  </si>
  <si>
    <t>Commercial: Combined Heat and Power: Generating Capacity: Total: High Zero-Carbon Technology Cost</t>
  </si>
  <si>
    <t>AEO.2025.HIGHZTC.CAP_NA_COMM_CHP_OTH_NA_NA_MW.A</t>
  </si>
  <si>
    <t>Commercial: Combined Heat and Power: Generating Capacity: Other: High Zero-Carbon Technology Cost</t>
  </si>
  <si>
    <t>AEO.2025.HIGHZTC.CAP_NA_COMM_CHP_WND_NA_NA_MW.A</t>
  </si>
  <si>
    <t>Commercial: Combined Heat and Power: Generating Capacity: Wind: High Zero-Carbon Technology Cost</t>
  </si>
  <si>
    <t>AEO.2025.HIGHZTC.CAP_NA_COMM_CHP_SLR_PHTVL_NA_MW.A</t>
  </si>
  <si>
    <t>Commercial: Combined Heat and Power: Generating Capacity: Solar Photovoltaic: High Zero-Carbon Technology Cost</t>
  </si>
  <si>
    <t>AEO.2025.HIGHZTC.CAP_NA_COMM_CHP_NG_NA_NA_MW.A</t>
  </si>
  <si>
    <t>Commercial: Combined Heat and Power: Generating Capacity: Natural Gas: High Zero-Carbon Technology Cost</t>
  </si>
  <si>
    <t>AEO.2025.HIGHZTC.CAP_NA_COMM_CHP_PET_NA_NA_MW.A</t>
  </si>
  <si>
    <t>Commercial: Combined Heat and Power: Generating Capacity: Petroleum: High Zero-Carbon Technology Cost</t>
  </si>
  <si>
    <t>AEO.2025.HIGHZTC.EFF_STKE_COMM_REFR_ELC_NA_NA_BTUOTPBTUIN.A</t>
  </si>
  <si>
    <t>Commercial: Stock Average Efficiency: Refrigeration: Electricity: High Zero-Carbon Technology Cost</t>
  </si>
  <si>
    <t>AEO.2025.HIGHZTC.EFF_STKE_COMM_LGHTNG_ELC_NA_NA_LMNPWATT.A</t>
  </si>
  <si>
    <t>Commercial: Stock Average Efficiency: Lighting Efficacy: Electricity: High Zero-Carbon Technology Cost</t>
  </si>
  <si>
    <t>AEO.2025.HIGHZTC.EFF_STKE_COMM_CGR_NG_NA_NA_BTUOTPBTUIN.A</t>
  </si>
  <si>
    <t>Commercial: Stock Average Efficiency: Cooking: Natural Gas: High Zero-Carbon Technology Cost</t>
  </si>
  <si>
    <t>AEO.2025.HIGHZTC.EFF_STKE_COMM_CGR_ELC_NA_NA_BTUOTPBTUIN.A</t>
  </si>
  <si>
    <t>Commercial: Stock Average Efficiency: Cooking: Electricity: High Zero-Carbon Technology Cost</t>
  </si>
  <si>
    <t>AEO.2025.HIGHZTC.EFF_STKE_COMM_VNTC_ELC_NA_NA_CUFTPMINPBTU.A</t>
  </si>
  <si>
    <t>Commercial: Stock Average Efficiency: Ventilation: Electricity: High Zero-Carbon Technology Cost</t>
  </si>
  <si>
    <t>AEO.2025.HIGHZTC.EFF_STKE_COMM_WTHT_DFO_NA_NA_BTUOTPBTUIN.A</t>
  </si>
  <si>
    <t>Commercial: Stock Average Efficiency: Water Heating: Distillate Fuel Oil: High Zero-Carbon Technology Cost</t>
  </si>
  <si>
    <t>AEO.2025.HIGHZTC.EFF_STKE_COMM_WTHT_NG_NA_NA_BTUOTPBTUIN.A</t>
  </si>
  <si>
    <t>Commercial: Stock Average Efficiency: Water Heating: Natural Gas: High Zero-Carbon Technology Cost</t>
  </si>
  <si>
    <t>AEO.2025.HIGHZTC.EFF_STKE_COMM_WTHT_ELC_NA_NA_BTUOTPBTUIN.A</t>
  </si>
  <si>
    <t>Commercial: Stock Average Efficiency: Water Heating: Electricity: High Zero-Carbon Technology Cost</t>
  </si>
  <si>
    <t>AEO.2025.HIGHZTC.EFF_STKE_COMM_SPC_NG_NA_NA_BTUOTPBTUIN.A</t>
  </si>
  <si>
    <t>Commercial: Stock Average Efficiency: Space Cooling: Natural Gas: High Zero-Carbon Technology Cost</t>
  </si>
  <si>
    <t>AEO.2025.HIGHZTC.EFF_STKE_COMM_SPC_ELC_NA_NA_BTUOTPBTUIN.A</t>
  </si>
  <si>
    <t>Commercial: Stock Average Efficiency: Space Cooling: Electricity: High Zero-Carbon Technology Cost</t>
  </si>
  <si>
    <t>AEO.2025.HIGHZTC.EFF_STKE_COMM_SPH_DFO_NA_NA_BTUOTPBTUIN.A</t>
  </si>
  <si>
    <t>Commercial: Stock Average Efficiency: Space Heating: Distillate Fuel Oil: High Zero-Carbon Technology Cost</t>
  </si>
  <si>
    <t>AEO.2025.HIGHZTC.EFF_STKE_COMM_SPH_NG_NA_NA_BTUOTPBTUIN.A</t>
  </si>
  <si>
    <t>Commercial: Stock Average Efficiency: Space Heating: Natural Gas: High Zero-Carbon Technology Cost</t>
  </si>
  <si>
    <t>AEO.2025.HIGHZTC.EFF_STKE_COMM_SPH_ELC_NA_NA_BTUOTPBTUIN.A</t>
  </si>
  <si>
    <t>Commercial: Stock Average Efficiency: Space Heating: Electricity: High Zero-Carbon Technology Cost</t>
  </si>
  <si>
    <t>AEO.2025.HIGHZTC.KEI_FLR_COMM_NA_NA_NA_NA_BLNSQFT.A</t>
  </si>
  <si>
    <t>Commercial: Floorspace: Total: High Zero-Carbon Technology Cost</t>
  </si>
  <si>
    <t>AEO.2025.HIGHZTC.KEI_FLR_COMM_OTHU_NA_NA_NA_BLNSQFT.A</t>
  </si>
  <si>
    <t>Commercial: Floorspace: Other: High Zero-Carbon Technology Cost</t>
  </si>
  <si>
    <t>AEO.2025.HIGHZTC.KEI_FLR_COMM_WHRC_NA_NA_NA_BLNSQFT.A</t>
  </si>
  <si>
    <t>Commercial: Floorspace: Warehouse: High Zero-Carbon Technology Cost</t>
  </si>
  <si>
    <t>AEO.2025.HIGHZTC.KEI_FLR_COMM_MCSC_NA_NA_NA_BLNSQFT.A</t>
  </si>
  <si>
    <t>Commercial: Floorspace: Mercantile/Service: High Zero-Carbon Technology Cost</t>
  </si>
  <si>
    <t>AEO.2025.HIGHZTC.KEI_FLR_COMM_OFSC_NA_NA_NA_BLNSQFT.A</t>
  </si>
  <si>
    <t>Commercial: Floorspace: Office - Small: High Zero-Carbon Technology Cost</t>
  </si>
  <si>
    <t>AEO.2025.HIGHZTC.KEI_FLR_COMM_OFLC_NA_NA_NA_BLNSQFT.A</t>
  </si>
  <si>
    <t>Commercial: Floorspace: Office - Large: High Zero-Carbon Technology Cost</t>
  </si>
  <si>
    <t>AEO.2025.HIGHZTC.KEI_FLR_COMM_LGC_NA_NA_NA_BLNSQFT.A</t>
  </si>
  <si>
    <t>Commercial: Floorspace: Lodging: High Zero-Carbon Technology Cost</t>
  </si>
  <si>
    <t>AEO.2025.HIGHZTC.KEI_FLR_COMM_HLC_NA_NA_NA_BLNSQFT.A</t>
  </si>
  <si>
    <t>Commercial: Floorspace: Health Care: High Zero-Carbon Technology Cost</t>
  </si>
  <si>
    <t>AEO.2025.HIGHZTC.KEI_FLR_COMM_FSC_NA_NA_NA_BLNSQFT.A</t>
  </si>
  <si>
    <t>Commercial: Floorspace: Food Service: High Zero-Carbon Technology Cost</t>
  </si>
  <si>
    <t>AEO.2025.HIGHZTC.KEI_FLR_COMM_FDSA_NA_NA_NA_BLNSQFT.A</t>
  </si>
  <si>
    <t>Commercial: Floorspace: Food Sales: High Zero-Carbon Technology Cost</t>
  </si>
  <si>
    <t>AEO.2025.HIGHZTC.KEI_FLR_COMM_EDD_NA_NA_NA_BLNSQFT.A</t>
  </si>
  <si>
    <t>Commercial: Floorspace: Education: High Zero-Carbon Technology Cost</t>
  </si>
  <si>
    <t>AEO.2025.HIGHZTC.KEI_FLR_COMM_ASB_NA_NA_NA_BLNSQFT.A</t>
  </si>
  <si>
    <t>Commercial: Floorspace: Assembly: High Zero-Carbon Technology Cost</t>
  </si>
  <si>
    <t>AEO.2025.HIGHZTC.CNSM_NA_COMM_NA_GROSENUS_NA_NA_QBTU.A</t>
  </si>
  <si>
    <t>Commercial: Gross End-use: Total: High Zero-Carbon Technology Cost</t>
  </si>
  <si>
    <t>AEO.2025.HIGHZTC.CNSM_NA_COMM_OTHU_GROSENUS_NA_NA_QBTU.A</t>
  </si>
  <si>
    <t>Commercial: Gross End-use: Other: High Zero-Carbon Technology Cost</t>
  </si>
  <si>
    <t>AEO.2025.HIGHZTC.CNSM_NA_COMM_WHRC_GROSENUS_NA_NA_QBTU.A</t>
  </si>
  <si>
    <t>Commercial: Gross End-use: Warehouse: High Zero-Carbon Technology Cost</t>
  </si>
  <si>
    <t>AEO.2025.HIGHZTC.CNSM_NA_COMM_MCSC_GROSENUS_NA_NA_QBTU.A</t>
  </si>
  <si>
    <t>Commercial: Gross End-use: Mercantile/Service: High Zero-Carbon Technology Cost</t>
  </si>
  <si>
    <t>AEO.2025.HIGHZTC.CNSM_NA_COMM_OFSC_GROSENUS_NA_NA_QBTU.A</t>
  </si>
  <si>
    <t>Commercial: Gross End-use: Office - Small: High Zero-Carbon Technology Cost</t>
  </si>
  <si>
    <t>AEO.2025.HIGHZTC.CNSM_NA_COMM_OFLC_GROSENUS_NA_NA_QBTU.A</t>
  </si>
  <si>
    <t>Commercial: Gross End-use: Office - Large: High Zero-Carbon Technology Cost</t>
  </si>
  <si>
    <t>AEO.2025.HIGHZTC.CNSM_NA_COMM_LGC_GROSENUS_NA_NA_QBTU.A</t>
  </si>
  <si>
    <t>Commercial: Gross End-use: Lodging: High Zero-Carbon Technology Cost</t>
  </si>
  <si>
    <t>AEO.2025.HIGHZTC.CNSM_NA_COMM_HLC_GROSENUS_NA_NA_QBTU.A</t>
  </si>
  <si>
    <t>Commercial: Gross End-use: Health Care: High Zero-Carbon Technology Cost</t>
  </si>
  <si>
    <t>AEO.2025.HIGHZTC.CNSM_NA_COMM_FSC_GROSENUS_NA_NA_QBTU.A</t>
  </si>
  <si>
    <t>Commercial: Gross End-use: Food Service: High Zero-Carbon Technology Cost</t>
  </si>
  <si>
    <t>AEO.2025.HIGHZTC.CNSM_NA_COMM_FDSA_GROSENUS_NA_NA_QBTU.A</t>
  </si>
  <si>
    <t>Commercial: Gross End-use: Food Sales: High Zero-Carbon Technology Cost</t>
  </si>
  <si>
    <t>AEO.2025.HIGHZTC.CNSM_NA_COMM_EDD_GROSENUS_NA_NA_QBTU.A</t>
  </si>
  <si>
    <t>Commercial: Gross End-use: Education: High Zero-Carbon Technology Cost</t>
  </si>
  <si>
    <t>AEO.2025.HIGHZTC.CNSM_NA_COMM_ASB_GROSENUS_NA_NA_QBTU.A</t>
  </si>
  <si>
    <t>Commercial: Gross End-use: Assembly: High Zero-Carbon Technology Cost</t>
  </si>
  <si>
    <t>Tue Dec 02 2025 13:21:51 GMT-0800 (Pacific Standard Time)</t>
  </si>
  <si>
    <t>https://www.eia.gov/outlooks/aeo/data/browser/#/?id=32-AEO2025&amp;cases=highZTC&amp;sourcekey=0</t>
  </si>
  <si>
    <t>AEO CODES</t>
  </si>
  <si>
    <t>2023, 2025</t>
  </si>
  <si>
    <t>Annual Energy Outlook 2025</t>
  </si>
  <si>
    <t>Annual Energy Outlook 2023</t>
  </si>
  <si>
    <t>https://www.eia.gov/outlooks/aeo/tables_side_xls.php</t>
  </si>
  <si>
    <t>Scenario: High zero-carbon technology cost</t>
  </si>
  <si>
    <t>CiDESCTY Change in Distributed Electricity Source Capacities This Year</t>
  </si>
  <si>
    <t>This file can be used to test an alternate distributed solar additions schedule.</t>
  </si>
  <si>
    <t>We use it to incorporate additional distributed solar capacity associated with the</t>
  </si>
  <si>
    <t xml:space="preserve">Solar for All campaign of the Inflation Reduction Act. </t>
  </si>
  <si>
    <t>https://www.eia.gov/outlooks/aeo/data/browser/#/?id=30-AEO2026&amp;cases=electrnp&amp;sourcekey=0</t>
  </si>
  <si>
    <t>Thu Apr 23 2026 15:00:43 GMT-0700 (Pacific Daylight Time)</t>
  </si>
  <si>
    <t>Growth (2025-2050)</t>
  </si>
  <si>
    <t>Residential Equipment: Equipment Stock: Main Space Heaters: Electric Heat Pumps: Alternative Electricity and Transportation</t>
  </si>
  <si>
    <t>AEO.2026.ELECTRNP.EQNR_STK_RESD_MSHR_EHP_NA_NA_MILL.A</t>
  </si>
  <si>
    <t>Residential Equipment: Equipment Stock: Main Space Heaters: Electric Other: Alternative Electricity and Transportation</t>
  </si>
  <si>
    <t>AEO.2026.ELECTRNP.EQNR_STK_RESD_MSHR_ELO_NA_NA_MILL.A</t>
  </si>
  <si>
    <t>Residential Equipment: Equipment Stock: Main Space Heaters: Natural Gas Heat Pumps: Alternative Electricity and Transportation</t>
  </si>
  <si>
    <t>AEO.2026.ELECTRNP.EQNR_STK_RESD_MSHR_NHU_NA_NA_MILL.A</t>
  </si>
  <si>
    <t>Residential Equipment: Equipment Stock: Main Space Heaters: Natural Gas Other: Alternative Electricity and Transportation</t>
  </si>
  <si>
    <t>AEO.2026.ELECTRNP.EQNR_STK_RESD_MSHR_NGO_NA_NA_MILL.A</t>
  </si>
  <si>
    <t>Residential Equipment: Equipment Stock: Main Space Heaters: Distillate Fuel Oil: Alternative Electricity and Transportation</t>
  </si>
  <si>
    <t>AEO.2026.ELECTRNP.EQNR_STK_RESD_MSHR_DFO_NA_NA_MILL.A</t>
  </si>
  <si>
    <t>Residential Equipment: Equipment Stock: Main Space Heaters: Propane: Alternative Electricity and Transportation</t>
  </si>
  <si>
    <t>AEO.2026.ELECTRNP.EQNR_STK_RESD_MSHR_PROP_NA_NA_MILL.A</t>
  </si>
  <si>
    <t>Residential Equipment: Equipment Stock: Main Space Heaters: Wood Stoves: Alternative Electricity and Transportation</t>
  </si>
  <si>
    <t>AEO.2026.ELECTRNP.EQNR_STK_RESD_MSHR_WDS_NA_NA_MILL.A</t>
  </si>
  <si>
    <t>Residential Equipment: Equipment Stock: Main Space Heaters: Geothermal Heat Pumps: Alternative Electricity and Transportation</t>
  </si>
  <si>
    <t>AEO.2026.ELECTRNP.EQNR_STK_RESD_MSHR_GEHP_NA_NA_MILL.A</t>
  </si>
  <si>
    <t>Residential Equipment: Equipment Stock: Main Space Heaters: Total: Alternative Electricity and Transportation</t>
  </si>
  <si>
    <t>AEO.2026.ELECTRNP.EQNR_STK_RESD_MSHR_TOT_NA_NA_MILL.A</t>
  </si>
  <si>
    <t>Residential Equipment: Equipment Stock: Space Cooling: Electric Heat Pumps: Alternative Electricity and Transportation</t>
  </si>
  <si>
    <t>AEO.2026.ELECTRNP.EQNR_STK_RESD_SPC_EHP_NA_NA_MILL.A</t>
  </si>
  <si>
    <t>Residential Equipment: Equipment Stock: Space Cooling: Natural Gas Heat Pumps: Alternative Electricity and Transportation</t>
  </si>
  <si>
    <t>AEO.2026.ELECTRNP.EQNR_STK_RESD_SPC_NHU_NA_NA_MILL.A</t>
  </si>
  <si>
    <t>Residential Equipment: Equipment Stock: Space Cooling: Geothermal Heat Pumps: Alternative Electricity and Transportation</t>
  </si>
  <si>
    <t>AEO.2026.ELECTRNP.EQNR_STK_RESD_SPC_GEHP_NA_NA_MILL.A</t>
  </si>
  <si>
    <t>Residential Equipment: Equipment Stock: Space Cooling: Central Air Conditioners: Alternative Electricity and Transportation</t>
  </si>
  <si>
    <t>AEO.2026.ELECTRNP.EQNR_STK_RESD_SPC_CAC_NA_NA_MILL.A</t>
  </si>
  <si>
    <t>Residential Equipment: Equipment Stock: Space Cooling: Room Air Conditioners: Alternative Electricity and Transportation</t>
  </si>
  <si>
    <t>AEO.2026.ELECTRNP.EQNR_STK_RESD_SPC_RAC_NA_NA_MILL.A</t>
  </si>
  <si>
    <t>Residential Equipment: Equipment Stock: Space Cooling: Total: Alternative Electricity and Transportation</t>
  </si>
  <si>
    <t>AEO.2026.ELECTRNP.EQNR_STK_RESD_SPC_TOT_NA_NA_MILL.A</t>
  </si>
  <si>
    <t>Residential Equipment: Equipment Stock: Water Heaters: Electric: Alternative Electricity and Transportation</t>
  </si>
  <si>
    <t>AEO.2026.ELECTRNP.EQNR_STK_RESD_WHT_ELE_NA_NA_MILL.A</t>
  </si>
  <si>
    <t>Residential Equipment: Equipment Stock: Water Heaters: Natural Gas: Alternative Electricity and Transportation</t>
  </si>
  <si>
    <t>AEO.2026.ELECTRNP.EQNR_STK_RESD_WHT_NG_NA_NA_MILL.A</t>
  </si>
  <si>
    <t>Residential Equipment: Equipment Stock: Water Heaters: Distillate Fuel Oil: Alternative Electricity and Transportation</t>
  </si>
  <si>
    <t>AEO.2026.ELECTRNP.EQNR_STK_RESD_WHT_DFO_NA_NA_MILL.A</t>
  </si>
  <si>
    <t>Residential Equipment: Equipment Stock: Water Heaters: Propane: Alternative Electricity and Transportation</t>
  </si>
  <si>
    <t>AEO.2026.ELECTRNP.EQNR_STK_RESD_WHT_PROP_NA_NA_MILL.A</t>
  </si>
  <si>
    <t>Residential Equipment: Equipment Stock: Water Heaters: Solar Thermal: Alternative Electricity and Transportation</t>
  </si>
  <si>
    <t>AEO.2026.ELECTRNP.EQNR_STK_RESD_WHT_SLR_THERM_NA_MILL.A</t>
  </si>
  <si>
    <t>Residential Equipment: Equipment Stock: Water Heaters: Total: Alternative Electricity and Transportation</t>
  </si>
  <si>
    <t>AEO.2026.ELECTRNP.EQNR_STK_RESD_WHT_TOT_NA_NA_MILL.A</t>
  </si>
  <si>
    <t>Residential Equipment: Equipment Stock: Cooking Equipment: Electric: Alternative Electricity and Transportation</t>
  </si>
  <si>
    <t>AEO.2026.ELECTRNP.EQNR_STK_RESD_CER_ELE_NA_NA_MILL.A</t>
  </si>
  <si>
    <t>Residential Equipment: Equipment Stock: Cooking Equipment: Natural Gas: Alternative Electricity and Transportation</t>
  </si>
  <si>
    <t>AEO.2026.ELECTRNP.EQNR_STK_RESD_CER_NG_NA_NA_MILL.A</t>
  </si>
  <si>
    <t>Residential Equipment: Equipment Stock: Cooking Equipment: Propane: Alternative Electricity and Transportation</t>
  </si>
  <si>
    <t>AEO.2026.ELECTRNP.EQNR_STK_RESD_CER_PROP_NA_NA_MILL.A</t>
  </si>
  <si>
    <t>Residential Equipment: Equipment Stock: Cooking Equipment: Total: Alternative Electricity and Transportation</t>
  </si>
  <si>
    <t>AEO.2026.ELECTRNP.EQNR_STK_RESD_CER_TOT_NA_NA_MILL.A</t>
  </si>
  <si>
    <t>Residential Equipment: Equipment Stock: Clothes Dryers: Electric: Alternative Electricity and Transportation</t>
  </si>
  <si>
    <t>AEO.2026.ELECTRNP.EQNR_STK_RESD_CDR_ELE_NA_NA_MILL.A</t>
  </si>
  <si>
    <t>Residential Equipment: Equipment Stock: Clothes Dryers: Natural Gas: Alternative Electricity and Transportation</t>
  </si>
  <si>
    <t>AEO.2026.ELECTRNP.EQNR_STK_RESD_CDR_NG_NA_NA_MILL.A</t>
  </si>
  <si>
    <t>Residential Equipment: Equipment Stock: Clothes Dryers: Total: Alternative Electricity and Transportation</t>
  </si>
  <si>
    <t>AEO.2026.ELECTRNP.EQNR_STK_RESD_CDR_TOT_NA_NA_MILL.A</t>
  </si>
  <si>
    <t>Residential Equipment: Equipment Stock: Other Appliances: Refrigerators: Alternative Electricity and Transportation</t>
  </si>
  <si>
    <t>AEO.2026.ELECTRNP.EQNR_STK_RESD_OTAR_RFG_NA_NA_MILL.A</t>
  </si>
  <si>
    <t>Residential Equipment: Equipment Stock: Other Appliances: Freezers: Alternative Electricity and Transportation</t>
  </si>
  <si>
    <t>AEO.2026.ELECTRNP.EQNR_STK_RESD_OTAR_FRZ_NA_NA_MILL.A</t>
  </si>
  <si>
    <t>Residential Equipment: Stock Average Efficiency: Main Space Heaters: Electric Heat Pumps: Alternative Electricity and Transportation</t>
  </si>
  <si>
    <t>AEO.2026.ELECTRNP.EFI_STK_RESD_SPHR_EHP_NA_NA_HSPF.A</t>
  </si>
  <si>
    <t>Residential Equipment: Stock Average Efficiency: Main Space Heaters: Natural Gas Heat Pumps: Alternative Electricity and Transportation</t>
  </si>
  <si>
    <t>AEO.2026.ELECTRNP.EFI_STK_RESD_SPHR_NHU_NA_NA_GCOP.A</t>
  </si>
  <si>
    <t>Residential Equipment: Stock Average Efficiency: Main Space Heaters: Geothermal Heat Pumps: Alternative Electricity and Transportation</t>
  </si>
  <si>
    <t>AEO.2026.ELECTRNP.EFI_STK_RESD_SPHR_GEHP_NA_NA_COP.A</t>
  </si>
  <si>
    <t>Residential Equipment: Stock Average Efficiency: Main Space Heaters: Natural Gas Furnace: Alternative Electricity and Transportation</t>
  </si>
  <si>
    <t>AEO.2026.ELECTRNP.EFI_STK_RESD_SPHR_NFR_NA_NA_AFUE.A</t>
  </si>
  <si>
    <t>Residential Equipment: Stock Average Efficiency: Main Space Heaters: Distillate Furnace: Alternative Electricity and Transportation</t>
  </si>
  <si>
    <t>AEO.2026.ELECTRNP.EFI_STK_RESD_SPHR_DFR_NA_NA_AFUE.A</t>
  </si>
  <si>
    <t>Residential Equipment: Stock Average Efficiency: Space Cooling: Electric Heat Pumps: Alternative Electricity and Transportation</t>
  </si>
  <si>
    <t>AEO.2026.ELECTRNP.EFI_STK_RESD_SPC_EHP_NA_NA_SEER.A</t>
  </si>
  <si>
    <t>Residential Equipment: Stock Average Efficiency: Space Cooling: Natural Gas Heat Pumps: Alternative Electricity and Transportation</t>
  </si>
  <si>
    <t>AEO.2026.ELECTRNP.EFI_STK_RESD_SPC_NHU_NA_NA_GCOP.A</t>
  </si>
  <si>
    <t>Residential Equipment: Stock Average Efficiency: Space Cooling: Geothermal Heat Pumps: Alternative Electricity and Transportation</t>
  </si>
  <si>
    <t>AEO.2026.ELECTRNP.EFI_STK_RESD_SPC_GEHP_NA_NA_EER.A</t>
  </si>
  <si>
    <t>Residential Equipment: Stock Average Efficiency: Space Cooling: Central Air Conditioners: Alternative Electricity and Transportation</t>
  </si>
  <si>
    <t>AEO.2026.ELECTRNP.EFI_STK_RESD_SPC_CAC_NA_NA_SEER.A</t>
  </si>
  <si>
    <t>Residential Equipment: Stock Average Efficiency: Space Cooling: Room Air Conditioners: Alternative Electricity and Transportation</t>
  </si>
  <si>
    <t>AEO.2026.ELECTRNP.EFI_STK_RESD_SPC_RAC_NA_NA_EER.A</t>
  </si>
  <si>
    <t>Residential Equipment: Stock Average Efficiency: Water Heaters: Electric: Alternative Electricity and Transportation</t>
  </si>
  <si>
    <t>AEO.2026.ELECTRNP.EFI_STK_RESD_WHT_ELE_NA_NA_EF.A</t>
  </si>
  <si>
    <t>Residential Equipment: Stock Average Efficiency: Water Heaters: Natural Gas: Alternative Electricity and Transportation</t>
  </si>
  <si>
    <t>AEO.2026.ELECTRNP.EFI_STK_RESD_WHT_NG_NA_NA_EF.A</t>
  </si>
  <si>
    <t>Residential Equipment: Stock Average Efficiency: Water Heaters: Distillate Fuel Oil: Alternative Electricity and Transportation</t>
  </si>
  <si>
    <t>AEO.2026.ELECTRNP.EFI_STK_RESD_WHT_DFO_NA_NA_EF.A</t>
  </si>
  <si>
    <t>Residential Equipment: Stock Average Efficiency: Water Heaters: Propane: Alternative Electricity and Transportation</t>
  </si>
  <si>
    <t>AEO.2026.ELECTRNP.EFI_STK_RESD_WHT_PROP_NA_NA_EF.A</t>
  </si>
  <si>
    <t>Residential Equipment: Stock Average Efficiency: Other Appliances: Refrigerators: Alternative Electricity and Transportation</t>
  </si>
  <si>
    <t>AEO.2026.ELECTRNP.EFI_STK_RESD_OTAR_RFG_NA_NA_KWH.A</t>
  </si>
  <si>
    <t>Residential Equipment: Stock Average Efficiency: Other Appliances: Freezers: Alternative Electricity and Transportation</t>
  </si>
  <si>
    <t>AEO.2026.ELECTRNP.EFI_STK_RESD_OTAR_FRZ_NA_NA_KWH.A</t>
  </si>
  <si>
    <t>Residential Equipment: Building Shell Efficiency Index: Space Heating: Pre-2020 Homes: Alternative Electricity and Transportation</t>
  </si>
  <si>
    <t>AEO.2026.ELECTRNP.EFI_BSE_RESD_SPH_OLD_NA_NA_Y15EQ1.A</t>
  </si>
  <si>
    <t>2020=1.00</t>
  </si>
  <si>
    <t>Residential Equipment: Building Shell Efficiency Index: Space Heating: New Construction: Alternative Electricity and Transportation</t>
  </si>
  <si>
    <t>AEO.2026.ELECTRNP.EFI_BSE_RESD_SPH_NCO_NA_NA_Y15EQ1.A</t>
  </si>
  <si>
    <t>Residential Equipment: Building Shell Efficiency Index: Space Heating: All Homes: Alternative Electricity and Transportation</t>
  </si>
  <si>
    <t>AEO.2026.ELECTRNP.EFI_BSE_RESD_SPH_AHM_NA_NA_Y15EQ1.A</t>
  </si>
  <si>
    <t>Residential Equipment: Building Shell Efficiency Index: Space Cooling: Pre-2020 Homes: Alternative Electricity and Transportation</t>
  </si>
  <si>
    <t>AEO.2026.ELECTRNP.EFI_BSE_RESD_SPC_OLD_NA_NA_Y15EQ1.A</t>
  </si>
  <si>
    <t>Residential Equipment: Building Shell Efficiency Index: Space Cooling: New Construction: Alternative Electricity and Transportation</t>
  </si>
  <si>
    <t>AEO.2026.ELECTRNP.EFI_BSE_RESD_SPC_NCO_NA_NA_Y15EQ1.A</t>
  </si>
  <si>
    <t>Residential Equipment: Building Shell Efficiency Index: Space Cooling: All Homes: Alternative Electricity and Transportation</t>
  </si>
  <si>
    <t>AEO.2026.ELECTRNP.EFI_BSE_RESD_SPC_AHM_NA_NA_Y15EQ1.A</t>
  </si>
  <si>
    <t>Residential: Combined Heat and Power: Generating Capacity: Fuel Cells: Alternative Electricity and Transportation</t>
  </si>
  <si>
    <t>AEO.2026.ELECTRNP.CAP_NA_COMM_CHP_FCL_NA_NA_MW.A</t>
  </si>
  <si>
    <t>Residential: Combined Heat and Power: Generating Capacity: Solar Photovoltaic: Alternative Electricity and Transportation</t>
  </si>
  <si>
    <t>AEO.2026.ELECTRNP.CAP_NA_RESD_CHP_SLR_PHTVL_NA_MW.A</t>
  </si>
  <si>
    <t>Residential: Combined Heat and Power: Generating Capacity: Wind: Alternative Electricity and Transportation</t>
  </si>
  <si>
    <t>AEO.2026.ELECTRNP.CAP_NA_RESD_CHP_WND_NA_NA_MW.A</t>
  </si>
  <si>
    <t>Residential: Combined Heat and Power: Generating Capacity: Total: Alternative Electricity and Transportation</t>
  </si>
  <si>
    <t>AEO.2026.ELECTRNP.CAP_NA_RESD_CHP_TOT_NA_NA_MW.A</t>
  </si>
  <si>
    <t>Residential: Combined Heat and Power: Net Generation: Fuel Cells: Alternative Electricity and Transportation</t>
  </si>
  <si>
    <t>AEO.2026.ELECTRNP.GEN_NA_COMM_CHP_FCL_NA_NA_MILLKWH.A</t>
  </si>
  <si>
    <t>Residential: Combined Heat and Power: Net Generation: Solar Photovoltaic: Alternative Electricity and Transportation</t>
  </si>
  <si>
    <t>AEO.2026.ELECTRNP.GEN_NA_COMM_CHP_SLR_PHTVL_NA_MILLKWH.A</t>
  </si>
  <si>
    <t>Residential: Combined Heat and Power: Net Generation: Wind: Alternative Electricity and Transportation</t>
  </si>
  <si>
    <t>AEO.2026.ELECTRNP.GEN_NA_COMM_CHP_WND_NA_NA_MILLKWH.A</t>
  </si>
  <si>
    <t>Residential: Combined Heat and Power: Net Generation: Total: Alternative Electricity and Transportation</t>
  </si>
  <si>
    <t>AEO.2026.ELECTRNP.GEN_NA_COMM_CHP_TOT_NA_NA_MILLKWH.A</t>
  </si>
  <si>
    <t>Residential: Combined Heat and Power: Net Generation: Sales to the Grid: Alternative Electricity and Transportation</t>
  </si>
  <si>
    <t>AEO.2026.ELECTRNP.GEN_NA_COMM_CHP_STG_NA_NA_MILLKWH.A</t>
  </si>
  <si>
    <t>Residential: Combined Heat and Power: Net Generation: Generation for Own Use: Alternative Electricity and Transportation</t>
  </si>
  <si>
    <t>AEO.2026.ELECTRNP.GEN_NA_COMM_CHP_GFO_NA_NA_MILLKWH.A</t>
  </si>
  <si>
    <t>Residential: Combined Heat and Power: Energy Input: Fuel Cells: Alternative Electricity and Transportation</t>
  </si>
  <si>
    <t>AEO.2026.ELECTRNP.CNSM_NA_COMM_CHP_FCL_NA_NA_TRLBTU.A</t>
  </si>
  <si>
    <t>Residential: Combined Heat and Power: Energy Input: Solar Photovoltaic: Alternative Electricity and Transportation</t>
  </si>
  <si>
    <t>AEO.2026.ELECTRNP.CNSM_NA_COMM_CHP_SLR_PHTVL_NA_TRLBTU.A</t>
  </si>
  <si>
    <t>Residential: Combined Heat and Power: Energy Input: Wind: Alternative Electricity and Transportation</t>
  </si>
  <si>
    <t>AEO.2026.ELECTRNP.CNSM_NA_COMM_CHP_WND_NA_NA_TRLBTU.A</t>
  </si>
  <si>
    <t>Residential: Combined Heat and Power: Energy Input: Total: Alternative Electricity and Transportation</t>
  </si>
  <si>
    <t>AEO.2026.ELECTRNP.CNSM_NA_COMM_CHP_TOT_NA_NA_TRLBTU.A</t>
  </si>
  <si>
    <t>https://www.eia.gov/outlooks/aeo/data/browser/#/?id=32-AEO2026&amp;cases=electrnp&amp;sourcekey=0</t>
  </si>
  <si>
    <t>Thu Apr 23 2026 15:00:54 GMT-0700 (Pacific Daylight Time)</t>
  </si>
  <si>
    <t>Commercial: Gross End-use: Assembly: Alternative Electricity and Transportation</t>
  </si>
  <si>
    <t>AEO.2026.ELECTRNP.CNSM_NA_COMM_ASB_GROSENUS_NA_NA_QBTU.A</t>
  </si>
  <si>
    <t>Commercial: Gross End-use: Education: Alternative Electricity and Transportation</t>
  </si>
  <si>
    <t>AEO.2026.ELECTRNP.CNSM_NA_COMM_EDD_GROSENUS_NA_NA_QBTU.A</t>
  </si>
  <si>
    <t>Commercial: Gross End-use: Food Sales: Alternative Electricity and Transportation</t>
  </si>
  <si>
    <t>AEO.2026.ELECTRNP.CNSM_NA_COMM_FDSA_GROSENUS_NA_NA_QBTU.A</t>
  </si>
  <si>
    <t>Commercial: Gross End-use: Food Service: Alternative Electricity and Transportation</t>
  </si>
  <si>
    <t>AEO.2026.ELECTRNP.CNSM_NA_COMM_FSC_GROSENUS_NA_NA_QBTU.A</t>
  </si>
  <si>
    <t>Commercial: Gross End-use: Health Care: Alternative Electricity and Transportation</t>
  </si>
  <si>
    <t>AEO.2026.ELECTRNP.CNSM_NA_COMM_HLC_GROSENUS_NA_NA_QBTU.A</t>
  </si>
  <si>
    <t>Commercial: Gross End-use: Lodging: Alternative Electricity and Transportation</t>
  </si>
  <si>
    <t>AEO.2026.ELECTRNP.CNSM_NA_COMM_LGC_GROSENUS_NA_NA_QBTU.A</t>
  </si>
  <si>
    <t>Commercial: Gross End-use: Office - Large: Alternative Electricity and Transportation</t>
  </si>
  <si>
    <t>AEO.2026.ELECTRNP.CNSM_NA_COMM_OFLC_GROSENUS_NA_NA_QBTU.A</t>
  </si>
  <si>
    <t>Commercial: Gross End-use: Office - Small: Alternative Electricity and Transportation</t>
  </si>
  <si>
    <t>AEO.2026.ELECTRNP.CNSM_NA_COMM_OFSC_GROSENUS_NA_NA_QBTU.A</t>
  </si>
  <si>
    <t>Commercial: Gross End-use: Mercantile/Service: Alternative Electricity and Transportation</t>
  </si>
  <si>
    <t>AEO.2026.ELECTRNP.CNSM_NA_COMM_MCSC_GROSENUS_NA_NA_QBTU.A</t>
  </si>
  <si>
    <t>Commercial: Gross End-use: Warehouse: Alternative Electricity and Transportation</t>
  </si>
  <si>
    <t>AEO.2026.ELECTRNP.CNSM_NA_COMM_WHRC_GROSENUS_NA_NA_QBTU.A</t>
  </si>
  <si>
    <t>Commercial: Gross End-use: Other: Alternative Electricity and Transportation</t>
  </si>
  <si>
    <t>AEO.2026.ELECTRNP.CNSM_NA_COMM_OTHU_GROSENUS_NA_NA_QBTU.A</t>
  </si>
  <si>
    <t>Commercial: Gross End-use: Total: Alternative Electricity and Transportation</t>
  </si>
  <si>
    <t>AEO.2026.ELECTRNP.CNSM_NA_COMM_NA_GROSENUS_NA_NA_QBTU.A</t>
  </si>
  <si>
    <t>Commercial: Floorspace: Assembly: Alternative Electricity and Transportation</t>
  </si>
  <si>
    <t>AEO.2026.ELECTRNP.KEI_FLR_COMM_ASB_NA_NA_NA_BLNSQFT.A</t>
  </si>
  <si>
    <t>Commercial: Floorspace: Education: Alternative Electricity and Transportation</t>
  </si>
  <si>
    <t>AEO.2026.ELECTRNP.KEI_FLR_COMM_EDD_NA_NA_NA_BLNSQFT.A</t>
  </si>
  <si>
    <t>Commercial: Floorspace: Food Sales: Alternative Electricity and Transportation</t>
  </si>
  <si>
    <t>AEO.2026.ELECTRNP.KEI_FLR_COMM_FDSA_NA_NA_NA_BLNSQFT.A</t>
  </si>
  <si>
    <t>Commercial: Floorspace: Food Service: Alternative Electricity and Transportation</t>
  </si>
  <si>
    <t>AEO.2026.ELECTRNP.KEI_FLR_COMM_FSC_NA_NA_NA_BLNSQFT.A</t>
  </si>
  <si>
    <t>Commercial: Floorspace: Health Care: Alternative Electricity and Transportation</t>
  </si>
  <si>
    <t>AEO.2026.ELECTRNP.KEI_FLR_COMM_HLC_NA_NA_NA_BLNSQFT.A</t>
  </si>
  <si>
    <t>Commercial: Floorspace: Lodging: Alternative Electricity and Transportation</t>
  </si>
  <si>
    <t>AEO.2026.ELECTRNP.KEI_FLR_COMM_LGC_NA_NA_NA_BLNSQFT.A</t>
  </si>
  <si>
    <t>Commercial: Floorspace: Office - Large: Alternative Electricity and Transportation</t>
  </si>
  <si>
    <t>AEO.2026.ELECTRNP.KEI_FLR_COMM_OFLC_NA_NA_NA_BLNSQFT.A</t>
  </si>
  <si>
    <t>Commercial: Floorspace: Office - Small: Alternative Electricity and Transportation</t>
  </si>
  <si>
    <t>AEO.2026.ELECTRNP.KEI_FLR_COMM_OFSC_NA_NA_NA_BLNSQFT.A</t>
  </si>
  <si>
    <t>Commercial: Floorspace: Mercantile/Service: Alternative Electricity and Transportation</t>
  </si>
  <si>
    <t>AEO.2026.ELECTRNP.KEI_FLR_COMM_MCSC_NA_NA_NA_BLNSQFT.A</t>
  </si>
  <si>
    <t>Commercial: Floorspace: Warehouse: Alternative Electricity and Transportation</t>
  </si>
  <si>
    <t>AEO.2026.ELECTRNP.KEI_FLR_COMM_WHRC_NA_NA_NA_BLNSQFT.A</t>
  </si>
  <si>
    <t>Commercial: Floorspace: Other: Alternative Electricity and Transportation</t>
  </si>
  <si>
    <t>AEO.2026.ELECTRNP.KEI_FLR_COMM_OTHU_NA_NA_NA_BLNSQFT.A</t>
  </si>
  <si>
    <t>Commercial: Floorspace: Total: Alternative Electricity and Transportation</t>
  </si>
  <si>
    <t>AEO.2026.ELECTRNP.KEI_FLR_COMM_NA_NA_NA_NA_BLNSQFT.A</t>
  </si>
  <si>
    <t>Commercial: Stock Average Efficiency: Space Heating: Electricity: Alternative Electricity and Transportation</t>
  </si>
  <si>
    <t>AEO.2026.ELECTRNP.EFF_STKE_COMM_SPH_ELC_NA_NA_BTUOTPBTUIN.A</t>
  </si>
  <si>
    <t>Commercial: Stock Average Efficiency: Space Heating: Natural Gas: Alternative Electricity and Transportation</t>
  </si>
  <si>
    <t>AEO.2026.ELECTRNP.EFF_STKE_COMM_SPH_NG_NA_NA_BTUOTPBTUIN.A</t>
  </si>
  <si>
    <t>Commercial: Stock Average Efficiency: Space Heating: Distillate Fuel Oil: Alternative Electricity and Transportation</t>
  </si>
  <si>
    <t>AEO.2026.ELECTRNP.EFF_STKE_COMM_SPH_DFO_NA_NA_BTUOTPBTUIN.A</t>
  </si>
  <si>
    <t>Commercial: Stock Average Efficiency: Space Cooling: Electricity: Alternative Electricity and Transportation</t>
  </si>
  <si>
    <t>AEO.2026.ELECTRNP.EFF_STKE_COMM_SPC_ELC_NA_NA_BTUOTPBTUIN.A</t>
  </si>
  <si>
    <t>Commercial: Stock Average Efficiency: Space Cooling: Natural Gas: Alternative Electricity and Transportation</t>
  </si>
  <si>
    <t>AEO.2026.ELECTRNP.EFF_STKE_COMM_SPC_NG_NA_NA_BTUOTPBTUIN.A</t>
  </si>
  <si>
    <t>Commercial: Stock Average Efficiency: Water Heating: Electricity: Alternative Electricity and Transportation</t>
  </si>
  <si>
    <t>AEO.2026.ELECTRNP.EFF_STKE_COMM_WTHT_ELC_NA_NA_BTUOTPBTUIN.A</t>
  </si>
  <si>
    <t>Commercial: Stock Average Efficiency: Water Heating: Natural Gas: Alternative Electricity and Transportation</t>
  </si>
  <si>
    <t>AEO.2026.ELECTRNP.EFF_STKE_COMM_WTHT_NG_NA_NA_BTUOTPBTUIN.A</t>
  </si>
  <si>
    <t>Commercial: Stock Average Efficiency: Water Heating: Distillate Fuel Oil: Alternative Electricity and Transportation</t>
  </si>
  <si>
    <t>AEO.2026.ELECTRNP.EFF_STKE_COMM_WTHT_DFO_NA_NA_BTUOTPBTUIN.A</t>
  </si>
  <si>
    <t>Commercial: Stock Average Efficiency: Ventilation: Electricity: Alternative Electricity and Transportation</t>
  </si>
  <si>
    <t>AEO.2026.ELECTRNP.EFF_STKE_COMM_VNTC_ELC_NA_NA_CUFTPMINPBTU.A</t>
  </si>
  <si>
    <t>Commercial: Stock Average Efficiency: Cooking: Electricity: Alternative Electricity and Transportation</t>
  </si>
  <si>
    <t>AEO.2026.ELECTRNP.EFF_STKE_COMM_CGR_ELC_NA_NA_BTUOTPBTUIN.A</t>
  </si>
  <si>
    <t>Commercial: Stock Average Efficiency: Cooking: Natural Gas: Alternative Electricity and Transportation</t>
  </si>
  <si>
    <t>AEO.2026.ELECTRNP.EFF_STKE_COMM_CGR_NG_NA_NA_BTUOTPBTUIN.A</t>
  </si>
  <si>
    <t>Commercial: Stock Average Efficiency: Lighting Efficacy: Electricity: Alternative Electricity and Transportation</t>
  </si>
  <si>
    <t>AEO.2026.ELECTRNP.EFF_STKE_COMM_LGHTNG_ELC_NA_NA_LMNPWATT.A</t>
  </si>
  <si>
    <t>Commercial: Stock Average Efficiency: Refrigeration: Electricity: Alternative Electricity and Transportation</t>
  </si>
  <si>
    <t>AEO.2026.ELECTRNP.EFF_STKE_COMM_REFR_ELC_NA_NA_BTUOTPBTUIN.A</t>
  </si>
  <si>
    <t>Commercial: Combined Heat and Power: Generating Capacity: Petroleum: Alternative Electricity and Transportation</t>
  </si>
  <si>
    <t>AEO.2026.ELECTRNP.CAP_NA_COMM_CHP_PET_NA_NA_MW.A</t>
  </si>
  <si>
    <t>Commercial: Combined Heat and Power: Generating Capacity: Natural Gas: Alternative Electricity and Transportation</t>
  </si>
  <si>
    <t>AEO.2026.ELECTRNP.CAP_NA_COMM_CHP_NG_NA_NA_MW.A</t>
  </si>
  <si>
    <t>Commercial: Combined Heat and Power: Generating Capacity: Solar Photovoltaic: Alternative Electricity and Transportation</t>
  </si>
  <si>
    <t>AEO.2026.ELECTRNP.CAP_NA_COMM_CHP_SLR_PHTVL_NA_MW.A</t>
  </si>
  <si>
    <t>Commercial: Combined Heat and Power: Generating Capacity: Wind: Alternative Electricity and Transportation</t>
  </si>
  <si>
    <t>AEO.2026.ELECTRNP.CAP_NA_COMM_CHP_WND_NA_NA_MW.A</t>
  </si>
  <si>
    <t>Commercial: Combined Heat and Power: Generating Capacity: Other: Alternative Electricity and Transportation</t>
  </si>
  <si>
    <t>AEO.2026.ELECTRNP.CAP_NA_COMM_CHP_OTH_NA_NA_MW.A</t>
  </si>
  <si>
    <t>Commercial: Combined Heat and Power: Generating Capacity: Total: Alternative Electricity and Transportation</t>
  </si>
  <si>
    <t>AEO.2026.ELECTRNP.CAP_NA_COMM_CHP_TOT_NA_NA_MW.A</t>
  </si>
  <si>
    <t>Commercial: Combined Heat and Power: Net Generation: Petroleum: Alternative Electricity and Transportation</t>
  </si>
  <si>
    <t>AEO.2026.ELECTRNP.GEN_NA_COMM_CHP_PET_NA_NA_MILLKWH.A</t>
  </si>
  <si>
    <t>Commercial: Combined Heat and Power: Net Generation: Natural Gas: Alternative Electricity and Transportation</t>
  </si>
  <si>
    <t>AEO.2026.ELECTRNP.GEN_NA_COMM_CHP_NG_NA_NA_MILLKWH.A</t>
  </si>
  <si>
    <t>Commercial: Combined Heat and Power: Net Generation: Solar Photovoltaic: Alternative Electricity and Transportation</t>
  </si>
  <si>
    <t>Commercial: Combined Heat and Power: Net Generation: Wind: Alternative Electricity and Transportation</t>
  </si>
  <si>
    <t>Commercial: Combined Heat and Power: Net Generation: Other: Alternative Electricity and Transportation</t>
  </si>
  <si>
    <t>AEO.2026.ELECTRNP.GEN_NA_COMM_CHP_OTH_NA_NA_MILLKWH.A</t>
  </si>
  <si>
    <t>Commercial: Combined Heat and Power: Net Generation: Total: Alternative Electricity and Transportation</t>
  </si>
  <si>
    <t>Commercial: Combined Heat and Power: Net Generation: Sales to the Grid: Alternative Electricity and Transportation</t>
  </si>
  <si>
    <t>Commercial: Combined Heat and Power: Net Generation: Generation for Own Use: Alternative Electricity and Transportation</t>
  </si>
  <si>
    <t>Commercial: Combined Heat and Power: Energy Input: Petroleum: Alternative Electricity and Transportation</t>
  </si>
  <si>
    <t>AEO.2026.ELECTRNP.CNSM_NA_COMM_CHP_PET_NA_NA_TRLBTU.A</t>
  </si>
  <si>
    <t>Commercial: Combined Heat and Power: Energy Input: Natural Gas: Alternative Electricity and Transportation</t>
  </si>
  <si>
    <t>AEO.2026.ELECTRNP.CNSM_NA_COMM_CHP_NG_NA_NA_TRLBTU.A</t>
  </si>
  <si>
    <t>Commercial: Combined Heat and Power: Energy Input: Solar Photovoltaic: Alternative Electricity and Transportation</t>
  </si>
  <si>
    <t>Commercial: Combined Heat and Power: Energy Input: Wind: Alternative Electricity and Transportation</t>
  </si>
  <si>
    <t>Commercial: Combined Heat and Power: Energy Input: Other: Alternative Electricity and Transportation</t>
  </si>
  <si>
    <t>AEO.2026.ELECTRNP.CNSM_NA_COMM_CHP_OTH_NA_NA_TRLBTU.A</t>
  </si>
  <si>
    <t>Commercial: Combined Heat and Power: Energy Input: Total: Alternative Electricity and Transportation</t>
  </si>
  <si>
    <t>Data centers</t>
  </si>
  <si>
    <t>Data centers are a separate building type. There are no policy-mandated changes in distributed capacity at data centers, so their export tab is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</si>
</sst>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0.000E+00"/>
    <numFmt numFmtId="167" formatCode="_(* #,##0_);_(* \(#,##0\);_(* &quot;-&quot;??_);_(@_)"/>
    <numFmt numFmtId="168" formatCode="0.000"/>
  </numFmts>
  <fonts count="38"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b/>
      <vertAlign val="superscript"/>
      <sz val="10"/>
      <color theme="1"/>
      <name val="Calibri"/>
      <family val="2"/>
      <scheme val="minor"/>
    </font>
    <font>
      <sz val="9"/>
      <color theme="1"/>
      <name val="Calibri"/>
      <family val="2"/>
      <scheme val="minor"/>
    </font>
    <font>
      <sz val="10"/>
      <color theme="1"/>
      <name val="Calibri"/>
      <family val="2"/>
      <scheme val="minor"/>
    </font>
    <font>
      <vertAlign val="superscript"/>
      <sz val="9"/>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i/>
      <sz val="9"/>
      <color theme="1"/>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indexed="8"/>
      <name val="Calibri"/>
      <family val="2"/>
      <scheme val="minor"/>
    </font>
    <font>
      <sz val="11"/>
      <color rgb="FF000000"/>
      <name val="Calibri"/>
      <family val="2"/>
      <scheme val="minor"/>
    </font>
    <font>
      <b/>
      <sz val="14"/>
      <color theme="0"/>
      <name val="Calibri"/>
      <family val="2"/>
      <scheme val="minor"/>
    </font>
  </fonts>
  <fills count="41">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CFE2F3"/>
        <bgColor rgb="FFCFE2F3"/>
      </patternFill>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3"/>
        <bgColor indexed="64"/>
      </patternFill>
    </fill>
  </fills>
  <borders count="18">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left>
      <right style="thick">
        <color theme="0"/>
      </right>
      <top style="thick">
        <color theme="0" tint="-0.24994659260841701"/>
      </top>
      <bottom style="thin">
        <color theme="0" tint="-0.24994659260841701"/>
      </bottom>
      <diagonal/>
    </border>
  </borders>
  <cellStyleXfs count="54">
    <xf numFmtId="0" fontId="0" fillId="0" borderId="0"/>
    <xf numFmtId="0" fontId="2" fillId="0" borderId="0" applyNumberFormat="0" applyFill="0" applyBorder="0" applyAlignment="0" applyProtection="0"/>
    <xf numFmtId="0" fontId="3" fillId="0" borderId="1"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5" fillId="0" borderId="0" applyFont="0" applyFill="0" applyBorder="0" applyAlignment="0" applyProtection="0"/>
    <xf numFmtId="0" fontId="8" fillId="0" borderId="7" applyNumberFormat="0" applyProtection="0">
      <alignment horizontal="left" wrapText="1"/>
    </xf>
    <xf numFmtId="43" fontId="5" fillId="0" borderId="0" applyFont="0" applyFill="0" applyBorder="0" applyAlignment="0" applyProtection="0"/>
    <xf numFmtId="0" fontId="13" fillId="0" borderId="0" applyNumberFormat="0" applyFill="0" applyBorder="0" applyAlignment="0" applyProtection="0"/>
    <xf numFmtId="0" fontId="14" fillId="0" borderId="5" applyNumberFormat="0" applyFill="0" applyAlignment="0" applyProtection="0"/>
    <xf numFmtId="0" fontId="15" fillId="0" borderId="9" applyNumberFormat="0" applyFill="0" applyAlignment="0" applyProtection="0"/>
    <xf numFmtId="0" fontId="16" fillId="0" borderId="10" applyNumberFormat="0" applyFill="0" applyAlignment="0" applyProtection="0"/>
    <xf numFmtId="0" fontId="16" fillId="0" borderId="0" applyNumberFormat="0" applyFill="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6" borderId="11" applyNumberFormat="0" applyAlignment="0" applyProtection="0"/>
    <xf numFmtId="0" fontId="20" fillId="7" borderId="12" applyNumberFormat="0" applyAlignment="0" applyProtection="0"/>
    <xf numFmtId="0" fontId="21" fillId="7" borderId="11" applyNumberFormat="0" applyAlignment="0" applyProtection="0"/>
    <xf numFmtId="0" fontId="22" fillId="0" borderId="13" applyNumberFormat="0" applyFill="0" applyAlignment="0" applyProtection="0"/>
    <xf numFmtId="0" fontId="23" fillId="8" borderId="14" applyNumberFormat="0" applyAlignment="0" applyProtection="0"/>
    <xf numFmtId="0" fontId="24" fillId="0" borderId="0" applyNumberFormat="0" applyFill="0" applyBorder="0" applyAlignment="0" applyProtection="0"/>
    <xf numFmtId="0" fontId="5" fillId="9" borderId="15" applyNumberFormat="0" applyFont="0" applyAlignment="0" applyProtection="0"/>
    <xf numFmtId="0" fontId="25" fillId="0" borderId="0" applyNumberFormat="0" applyFill="0" applyBorder="0" applyAlignment="0" applyProtection="0"/>
    <xf numFmtId="0" fontId="1" fillId="0" borderId="16" applyNumberFormat="0" applyFill="0" applyAlignment="0" applyProtection="0"/>
    <xf numFmtId="0" fontId="26"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6"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6"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6"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6"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6"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7" fillId="5" borderId="0" applyNumberFormat="0" applyBorder="0" applyAlignment="0" applyProtection="0"/>
    <xf numFmtId="0" fontId="26" fillId="13" borderId="0" applyNumberFormat="0" applyBorder="0" applyAlignment="0" applyProtection="0"/>
    <xf numFmtId="0" fontId="26" fillId="17" borderId="0" applyNumberFormat="0" applyBorder="0" applyAlignment="0" applyProtection="0"/>
    <xf numFmtId="0" fontId="26" fillId="21" borderId="0" applyNumberFormat="0" applyBorder="0" applyAlignment="0" applyProtection="0"/>
    <xf numFmtId="0" fontId="26" fillId="25" borderId="0" applyNumberFormat="0" applyBorder="0" applyAlignment="0" applyProtection="0"/>
    <xf numFmtId="0" fontId="26" fillId="29" borderId="0" applyNumberFormat="0" applyBorder="0" applyAlignment="0" applyProtection="0"/>
    <xf numFmtId="0" fontId="26" fillId="33" borderId="0" applyNumberFormat="0" applyBorder="0" applyAlignment="0" applyProtection="0"/>
    <xf numFmtId="0" fontId="29" fillId="0" borderId="0" applyNumberFormat="0" applyFill="0" applyBorder="0" applyAlignment="0" applyProtection="0"/>
    <xf numFmtId="0" fontId="32" fillId="0" borderId="0"/>
  </cellStyleXfs>
  <cellXfs count="68">
    <xf numFmtId="0" fontId="0" fillId="0" borderId="0" xfId="0"/>
    <xf numFmtId="0" fontId="1" fillId="0" borderId="0" xfId="0" applyFont="1"/>
    <xf numFmtId="0" fontId="0" fillId="0" borderId="0" xfId="0" applyAlignment="1">
      <alignment horizontal="left"/>
    </xf>
    <xf numFmtId="0" fontId="1" fillId="2" borderId="0" xfId="0" applyFont="1" applyFill="1"/>
    <xf numFmtId="3" fontId="7" fillId="0" borderId="5" xfId="2" applyNumberFormat="1" applyFont="1" applyBorder="1" applyAlignment="1">
      <alignment horizontal="right" wrapText="1"/>
    </xf>
    <xf numFmtId="165" fontId="11" fillId="0" borderId="3" xfId="5" applyNumberFormat="1" applyFont="1" applyAlignment="1">
      <alignment horizontal="right" wrapText="1"/>
    </xf>
    <xf numFmtId="0" fontId="0" fillId="0" borderId="0" xfId="0" applyAlignment="1">
      <alignment horizontal="left" indent="1"/>
    </xf>
    <xf numFmtId="0" fontId="11" fillId="0" borderId="3" xfId="5" applyFont="1">
      <alignment wrapText="1"/>
    </xf>
    <xf numFmtId="164"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28" fillId="0" borderId="0" xfId="0" applyFont="1"/>
    <xf numFmtId="0" fontId="1" fillId="35" borderId="0" xfId="0" applyFont="1" applyFill="1"/>
    <xf numFmtId="10" fontId="0" fillId="0" borderId="0" xfId="0" applyNumberFormat="1"/>
    <xf numFmtId="0" fontId="4" fillId="0" borderId="0" xfId="3" applyAlignment="1">
      <alignment horizontal="left" wrapText="1"/>
    </xf>
    <xf numFmtId="0" fontId="29" fillId="0" borderId="0" xfId="52"/>
    <xf numFmtId="3" fontId="7" fillId="0" borderId="0" xfId="0" applyNumberFormat="1" applyFont="1" applyAlignment="1">
      <alignment horizontal="left" wrapText="1"/>
    </xf>
    <xf numFmtId="0" fontId="7" fillId="0" borderId="1" xfId="2" applyFont="1">
      <alignment wrapText="1"/>
    </xf>
    <xf numFmtId="0" fontId="7" fillId="0" borderId="8" xfId="5" applyFont="1" applyBorder="1">
      <alignment wrapText="1"/>
    </xf>
    <xf numFmtId="2" fontId="11" fillId="0" borderId="8" xfId="5" applyNumberFormat="1" applyFont="1" applyBorder="1" applyAlignment="1">
      <alignment horizontal="right" wrapText="1"/>
    </xf>
    <xf numFmtId="0" fontId="7" fillId="0" borderId="2" xfId="4" applyFont="1">
      <alignment wrapText="1"/>
    </xf>
    <xf numFmtId="2" fontId="7" fillId="0" borderId="2" xfId="4" applyNumberFormat="1" applyFont="1" applyAlignment="1">
      <alignment horizontal="right" wrapText="1"/>
    </xf>
    <xf numFmtId="2" fontId="11" fillId="0" borderId="3" xfId="5" applyNumberFormat="1" applyFont="1" applyAlignment="1">
      <alignment horizontal="right" wrapText="1"/>
    </xf>
    <xf numFmtId="0" fontId="11" fillId="0" borderId="3" xfId="5" applyFont="1" applyAlignment="1">
      <alignment horizontal="left" wrapText="1" indent="1"/>
    </xf>
    <xf numFmtId="0" fontId="11" fillId="0" borderId="3" xfId="5" applyFont="1" applyAlignment="1">
      <alignment horizontal="left" wrapText="1" indent="2"/>
    </xf>
    <xf numFmtId="0" fontId="11" fillId="0" borderId="3" xfId="5" applyFont="1" applyAlignment="1">
      <alignment horizontal="left" wrapText="1"/>
    </xf>
    <xf numFmtId="0" fontId="11" fillId="0" borderId="3" xfId="5" quotePrefix="1" applyFont="1">
      <alignment wrapText="1"/>
    </xf>
    <xf numFmtId="0" fontId="11" fillId="0" borderId="3" xfId="5" applyFont="1" applyAlignment="1">
      <alignment horizontal="right" wrapText="1"/>
    </xf>
    <xf numFmtId="0" fontId="7" fillId="0" borderId="2" xfId="4" applyFont="1" applyAlignment="1">
      <alignment horizontal="left" wrapText="1" indent="1"/>
    </xf>
    <xf numFmtId="0" fontId="33" fillId="36" borderId="0" xfId="53" applyFont="1" applyFill="1"/>
    <xf numFmtId="0" fontId="34" fillId="36" borderId="0" xfId="53" applyFont="1" applyFill="1" applyAlignment="1">
      <alignment horizontal="right"/>
    </xf>
    <xf numFmtId="0" fontId="32" fillId="0" borderId="0" xfId="53"/>
    <xf numFmtId="0" fontId="11" fillId="0" borderId="0" xfId="53" applyFont="1"/>
    <xf numFmtId="0" fontId="7" fillId="0" borderId="0" xfId="53" applyFont="1"/>
    <xf numFmtId="10" fontId="11" fillId="0" borderId="0" xfId="53" applyNumberFormat="1" applyFont="1"/>
    <xf numFmtId="0" fontId="33" fillId="0" borderId="0" xfId="53" applyFont="1" applyAlignment="1">
      <alignment horizontal="right"/>
    </xf>
    <xf numFmtId="0" fontId="34" fillId="0" borderId="0" xfId="53" applyFont="1" applyAlignment="1">
      <alignment horizontal="left"/>
    </xf>
    <xf numFmtId="0" fontId="11" fillId="0" borderId="0" xfId="53" applyFont="1" applyAlignment="1">
      <alignment wrapText="1"/>
    </xf>
    <xf numFmtId="1" fontId="32" fillId="0" borderId="0" xfId="53" applyNumberFormat="1"/>
    <xf numFmtId="9" fontId="0" fillId="0" borderId="0" xfId="8" applyFont="1"/>
    <xf numFmtId="0" fontId="1" fillId="37" borderId="0" xfId="0" applyFont="1" applyFill="1"/>
    <xf numFmtId="0" fontId="0" fillId="37" borderId="0" xfId="0" applyFill="1"/>
    <xf numFmtId="0" fontId="0" fillId="37" borderId="0" xfId="0" applyFill="1" applyAlignment="1">
      <alignment wrapText="1"/>
    </xf>
    <xf numFmtId="0" fontId="32" fillId="37" borderId="0" xfId="53" applyFill="1"/>
    <xf numFmtId="0" fontId="0" fillId="34" borderId="0" xfId="0" applyFill="1"/>
    <xf numFmtId="10" fontId="1" fillId="0" borderId="0" xfId="0" applyNumberFormat="1" applyFont="1"/>
    <xf numFmtId="0" fontId="0" fillId="39" borderId="0" xfId="0" applyFill="1"/>
    <xf numFmtId="0" fontId="1" fillId="39" borderId="0" xfId="0" applyFont="1" applyFill="1"/>
    <xf numFmtId="0" fontId="37" fillId="40" borderId="0" xfId="0" applyFont="1" applyFill="1"/>
    <xf numFmtId="0" fontId="23" fillId="40" borderId="0" xfId="0" applyFont="1" applyFill="1"/>
    <xf numFmtId="0" fontId="26" fillId="40" borderId="0" xfId="0" applyFont="1" applyFill="1"/>
    <xf numFmtId="0" fontId="0" fillId="38" borderId="0" xfId="0" applyFill="1"/>
    <xf numFmtId="0" fontId="35" fillId="0" borderId="0" xfId="0" applyFont="1"/>
    <xf numFmtId="0" fontId="36" fillId="0" borderId="0" xfId="0" applyFont="1" applyAlignment="1">
      <alignment vertical="center"/>
    </xf>
    <xf numFmtId="1" fontId="0" fillId="38" borderId="0" xfId="0" applyNumberFormat="1" applyFill="1"/>
    <xf numFmtId="1" fontId="0" fillId="0" borderId="0" xfId="0" applyNumberFormat="1"/>
    <xf numFmtId="168" fontId="0" fillId="0" borderId="0" xfId="0" applyNumberFormat="1"/>
    <xf numFmtId="0" fontId="30" fillId="0" borderId="0" xfId="3" applyFont="1" applyAlignment="1">
      <alignment horizontal="left" wrapText="1"/>
    </xf>
    <xf numFmtId="0" fontId="0" fillId="0" borderId="0" xfId="0" applyAlignment="1">
      <alignment wrapText="1"/>
    </xf>
    <xf numFmtId="3" fontId="7" fillId="0" borderId="6" xfId="0" applyNumberFormat="1" applyFont="1" applyBorder="1" applyAlignment="1">
      <alignment horizontal="left" wrapText="1"/>
    </xf>
    <xf numFmtId="0" fontId="0" fillId="0" borderId="6" xfId="0" applyBorder="1" applyAlignment="1">
      <alignment horizontal="left"/>
    </xf>
    <xf numFmtId="3" fontId="7" fillId="0" borderId="17" xfId="9" applyNumberFormat="1" applyFont="1" applyBorder="1">
      <alignment horizontal="left" wrapText="1"/>
    </xf>
    <xf numFmtId="0" fontId="2" fillId="0" borderId="4" xfId="6">
      <alignment wrapText="1"/>
    </xf>
    <xf numFmtId="0" fontId="6" fillId="0" borderId="0" xfId="0" applyFont="1" applyAlignment="1">
      <alignment horizontal="left" wrapText="1"/>
    </xf>
    <xf numFmtId="0" fontId="0" fillId="0" borderId="0" xfId="0" applyAlignment="1">
      <alignment horizontal="left" vertical="top" wrapText="1"/>
    </xf>
  </cellXfs>
  <cellStyles count="54">
    <cellStyle name="20% - Accent1" xfId="28" builtinId="30" customBuiltin="1"/>
    <cellStyle name="20% - Accent2" xfId="31" builtinId="34" customBuiltin="1"/>
    <cellStyle name="20% - Accent3" xfId="34" builtinId="38" customBuiltin="1"/>
    <cellStyle name="20% - Accent4" xfId="37" builtinId="42" customBuiltin="1"/>
    <cellStyle name="20% - Accent5" xfId="40" builtinId="46" customBuiltin="1"/>
    <cellStyle name="20% - Accent6" xfId="43" builtinId="50" customBuiltin="1"/>
    <cellStyle name="40% - Accent1" xfId="29" builtinId="31" customBuiltin="1"/>
    <cellStyle name="40% - Accent2" xfId="32" builtinId="35" customBuiltin="1"/>
    <cellStyle name="40% - Accent3" xfId="35" builtinId="39" customBuiltin="1"/>
    <cellStyle name="40% - Accent4" xfId="38" builtinId="43" customBuiltin="1"/>
    <cellStyle name="40% - Accent5" xfId="41" builtinId="47" customBuiltin="1"/>
    <cellStyle name="40% - Accent6" xfId="44" builtinId="51" customBuiltin="1"/>
    <cellStyle name="60% - Accent1 2" xfId="46" xr:uid="{C2C72341-02A2-4A97-B448-8BF00C2F4FDA}"/>
    <cellStyle name="60% - Accent2 2" xfId="47" xr:uid="{0AD0C64B-D897-421D-BE7A-6998DB55E58E}"/>
    <cellStyle name="60% - Accent3 2" xfId="48" xr:uid="{52DD3F5A-D1FF-426A-8FAD-806E1C9D59E7}"/>
    <cellStyle name="60% - Accent4 2" xfId="49" xr:uid="{EB04BF8A-B91E-49B8-98A3-8C134AF77B8E}"/>
    <cellStyle name="60% - Accent5 2" xfId="50" xr:uid="{962591F8-F306-4AA9-A952-2AEFF1530B0E}"/>
    <cellStyle name="60% - Accent6 2" xfId="51" xr:uid="{34D9D440-2157-40A6-8DC8-D7F06B43F39F}"/>
    <cellStyle name="Accent1" xfId="27" builtinId="29" customBuiltin="1"/>
    <cellStyle name="Accent2" xfId="30" builtinId="33" customBuiltin="1"/>
    <cellStyle name="Accent3" xfId="33" builtinId="37" customBuiltin="1"/>
    <cellStyle name="Accent4" xfId="36" builtinId="41" customBuiltin="1"/>
    <cellStyle name="Accent5" xfId="39" builtinId="45" customBuiltin="1"/>
    <cellStyle name="Accent6" xfId="42" builtinId="49" customBuiltin="1"/>
    <cellStyle name="Bad" xfId="17" builtinId="27" customBuiltin="1"/>
    <cellStyle name="Body: normal cell" xfId="5" xr:uid="{00000000-0005-0000-0000-000000000000}"/>
    <cellStyle name="Calculation" xfId="20" builtinId="22" customBuiltin="1"/>
    <cellStyle name="Check Cell" xfId="22" builtinId="23" customBuiltin="1"/>
    <cellStyle name="Comma" xfId="10" builtinId="3"/>
    <cellStyle name="Explanatory Text" xfId="25" builtinId="53" customBuiltin="1"/>
    <cellStyle name="Font: Calibri, 9pt regular" xfId="1" xr:uid="{00000000-0005-0000-0000-000001000000}"/>
    <cellStyle name="Footnotes: top row" xfId="6" xr:uid="{00000000-0005-0000-0000-000002000000}"/>
    <cellStyle name="Good" xfId="16" builtinId="26" customBuiltin="1"/>
    <cellStyle name="Header: bottom row" xfId="2" xr:uid="{00000000-0005-0000-0000-000003000000}"/>
    <cellStyle name="Header: top rows" xfId="9" xr:uid="{00000000-0005-0000-0000-000004000000}"/>
    <cellStyle name="Heading 1" xfId="12" builtinId="16" customBuiltin="1"/>
    <cellStyle name="Heading 2" xfId="13" builtinId="17" customBuiltin="1"/>
    <cellStyle name="Heading 3" xfId="14" builtinId="18" customBuiltin="1"/>
    <cellStyle name="Heading 4" xfId="15" builtinId="19" customBuiltin="1"/>
    <cellStyle name="Hyperlink" xfId="52" builtinId="8"/>
    <cellStyle name="Input" xfId="18" builtinId="20" customBuiltin="1"/>
    <cellStyle name="Linked Cell" xfId="21" builtinId="24" customBuiltin="1"/>
    <cellStyle name="Neutral 2" xfId="45" xr:uid="{09445B5B-F6BE-47A3-8B4B-90B358DD6365}"/>
    <cellStyle name="Normal" xfId="0" builtinId="0"/>
    <cellStyle name="Normal 2" xfId="7" xr:uid="{00000000-0005-0000-0000-000006000000}"/>
    <cellStyle name="Normal 3" xfId="53" xr:uid="{6D5BFB4D-1C20-4C02-A8DF-639CF758385B}"/>
    <cellStyle name="Note" xfId="24" builtinId="10" customBuiltin="1"/>
    <cellStyle name="Output" xfId="19" builtinId="21" customBuiltin="1"/>
    <cellStyle name="Parent row" xfId="4" xr:uid="{00000000-0005-0000-0000-000007000000}"/>
    <cellStyle name="Percent" xfId="8" builtinId="5"/>
    <cellStyle name="Table title" xfId="3" xr:uid="{00000000-0005-0000-0000-000009000000}"/>
    <cellStyle name="Title" xfId="11"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Calculations!$D$83:$AE$83</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0-71D7-4E19-9922-229D0A46A185}"/>
            </c:ext>
          </c:extLst>
        </c:ser>
        <c:ser>
          <c:idx val="1"/>
          <c:order val="1"/>
          <c:tx>
            <c:strRef>
              <c:f>Calculations!$C$84</c:f>
              <c:strCache>
                <c:ptCount val="1"/>
                <c:pt idx="0">
                  <c:v>natural gas nonpeaker</c:v>
                </c:pt>
              </c:strCache>
            </c:strRef>
          </c:tx>
          <c:spPr>
            <a:ln w="19050" cap="rnd">
              <a:solidFill>
                <a:schemeClr val="accent2"/>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Calculations!$D$84:$AE$84</c:f>
              <c:numCache>
                <c:formatCode>General</c:formatCode>
                <c:ptCount val="28"/>
                <c:pt idx="0">
                  <c:v>1394.019</c:v>
                </c:pt>
                <c:pt idx="1">
                  <c:v>1468.7250000000001</c:v>
                </c:pt>
                <c:pt idx="2">
                  <c:v>1508.008</c:v>
                </c:pt>
                <c:pt idx="3">
                  <c:v>1540.9690000000001</c:v>
                </c:pt>
                <c:pt idx="4">
                  <c:v>1559.125</c:v>
                </c:pt>
                <c:pt idx="5">
                  <c:v>1576.8690000000001</c:v>
                </c:pt>
                <c:pt idx="6">
                  <c:v>1595.395</c:v>
                </c:pt>
                <c:pt idx="7">
                  <c:v>1615.2909999999999</c:v>
                </c:pt>
                <c:pt idx="8">
                  <c:v>1634.761</c:v>
                </c:pt>
                <c:pt idx="9">
                  <c:v>1655.3439999999998</c:v>
                </c:pt>
                <c:pt idx="10">
                  <c:v>1676.5520000000001</c:v>
                </c:pt>
                <c:pt idx="11">
                  <c:v>1700.0949999999998</c:v>
                </c:pt>
                <c:pt idx="12">
                  <c:v>1722.0139999999999</c:v>
                </c:pt>
                <c:pt idx="13">
                  <c:v>1744.8120000000001</c:v>
                </c:pt>
                <c:pt idx="14">
                  <c:v>1769.9970000000001</c:v>
                </c:pt>
                <c:pt idx="15">
                  <c:v>1793.4589999999998</c:v>
                </c:pt>
                <c:pt idx="16">
                  <c:v>1816.316</c:v>
                </c:pt>
                <c:pt idx="17">
                  <c:v>1838.2280000000001</c:v>
                </c:pt>
                <c:pt idx="18">
                  <c:v>1858.4989999999998</c:v>
                </c:pt>
                <c:pt idx="19">
                  <c:v>1881.0849999999998</c:v>
                </c:pt>
                <c:pt idx="20">
                  <c:v>1901.162</c:v>
                </c:pt>
                <c:pt idx="21">
                  <c:v>1921.1780000000001</c:v>
                </c:pt>
                <c:pt idx="22">
                  <c:v>1940.0839999999998</c:v>
                </c:pt>
                <c:pt idx="23">
                  <c:v>1959.433</c:v>
                </c:pt>
                <c:pt idx="24">
                  <c:v>1979.941</c:v>
                </c:pt>
                <c:pt idx="25">
                  <c:v>2000.0969999999998</c:v>
                </c:pt>
                <c:pt idx="26">
                  <c:v>2019.018</c:v>
                </c:pt>
                <c:pt idx="27">
                  <c:v>2039.0600000000002</c:v>
                </c:pt>
              </c:numCache>
            </c:numRef>
          </c:yVal>
          <c:smooth val="1"/>
          <c:extLst>
            <c:ext xmlns:c16="http://schemas.microsoft.com/office/drawing/2014/chart" uri="{C3380CC4-5D6E-409C-BE32-E72D297353CC}">
              <c16:uniqueId val="{00000001-71D7-4E19-9922-229D0A46A185}"/>
            </c:ext>
          </c:extLst>
        </c:ser>
        <c:ser>
          <c:idx val="2"/>
          <c:order val="2"/>
          <c:tx>
            <c:strRef>
              <c:f>Calculations!$C$85</c:f>
              <c:strCache>
                <c:ptCount val="1"/>
                <c:pt idx="0">
                  <c:v>nuclear</c:v>
                </c:pt>
              </c:strCache>
            </c:strRef>
          </c:tx>
          <c:spPr>
            <a:ln w="19050" cap="rnd">
              <a:solidFill>
                <a:schemeClr val="accent3"/>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Calculations!$D$85:$AE$85</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2-71D7-4E19-9922-229D0A46A185}"/>
            </c:ext>
          </c:extLst>
        </c:ser>
        <c:ser>
          <c:idx val="3"/>
          <c:order val="3"/>
          <c:tx>
            <c:strRef>
              <c:f>Calculations!$C$86</c:f>
              <c:strCache>
                <c:ptCount val="1"/>
                <c:pt idx="0">
                  <c:v>hydro</c:v>
                </c:pt>
              </c:strCache>
            </c:strRef>
          </c:tx>
          <c:spPr>
            <a:ln w="19050" cap="rnd">
              <a:solidFill>
                <a:schemeClr val="accent4"/>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Calculations!$D$86:$AE$86</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3-71D7-4E19-9922-229D0A46A185}"/>
            </c:ext>
          </c:extLst>
        </c:ser>
        <c:ser>
          <c:idx val="4"/>
          <c:order val="4"/>
          <c:tx>
            <c:strRef>
              <c:f>Calculations!$C$87</c:f>
              <c:strCache>
                <c:ptCount val="1"/>
                <c:pt idx="0">
                  <c:v>onshore wind</c:v>
                </c:pt>
              </c:strCache>
            </c:strRef>
          </c:tx>
          <c:spPr>
            <a:ln w="19050" cap="rnd">
              <a:solidFill>
                <a:schemeClr val="accent5"/>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Calculations!$D$87:$AE$87</c:f>
              <c:numCache>
                <c:formatCode>General</c:formatCode>
                <c:ptCount val="28"/>
                <c:pt idx="0">
                  <c:v>559.73700000000008</c:v>
                </c:pt>
                <c:pt idx="1">
                  <c:v>585.6400000000001</c:v>
                </c:pt>
                <c:pt idx="2">
                  <c:v>584.673</c:v>
                </c:pt>
                <c:pt idx="3">
                  <c:v>585.34399999999994</c:v>
                </c:pt>
                <c:pt idx="4">
                  <c:v>586.68500000000006</c:v>
                </c:pt>
                <c:pt idx="5">
                  <c:v>586.89599999999996</c:v>
                </c:pt>
                <c:pt idx="6">
                  <c:v>587.529</c:v>
                </c:pt>
                <c:pt idx="7">
                  <c:v>588.68799999999999</c:v>
                </c:pt>
                <c:pt idx="8">
                  <c:v>589.22799999999995</c:v>
                </c:pt>
                <c:pt idx="9">
                  <c:v>590.12799999999993</c:v>
                </c:pt>
                <c:pt idx="10">
                  <c:v>591.15499999999997</c:v>
                </c:pt>
                <c:pt idx="11">
                  <c:v>591.76700000000005</c:v>
                </c:pt>
                <c:pt idx="12">
                  <c:v>592.12699999999995</c:v>
                </c:pt>
                <c:pt idx="13">
                  <c:v>592.31299999999999</c:v>
                </c:pt>
                <c:pt idx="14">
                  <c:v>592.65</c:v>
                </c:pt>
                <c:pt idx="15">
                  <c:v>592.97200000000009</c:v>
                </c:pt>
                <c:pt idx="16">
                  <c:v>593.428</c:v>
                </c:pt>
                <c:pt idx="17">
                  <c:v>593.94899999999996</c:v>
                </c:pt>
                <c:pt idx="18">
                  <c:v>594.14400000000001</c:v>
                </c:pt>
                <c:pt idx="19">
                  <c:v>594.97299999999996</c:v>
                </c:pt>
                <c:pt idx="20">
                  <c:v>595.30099999999993</c:v>
                </c:pt>
                <c:pt idx="21">
                  <c:v>595.58399999999995</c:v>
                </c:pt>
                <c:pt idx="22">
                  <c:v>595.73400000000004</c:v>
                </c:pt>
                <c:pt idx="23">
                  <c:v>595.96199999999999</c:v>
                </c:pt>
                <c:pt idx="24">
                  <c:v>596.55700000000002</c:v>
                </c:pt>
                <c:pt idx="25">
                  <c:v>596.93600000000004</c:v>
                </c:pt>
                <c:pt idx="26">
                  <c:v>597.101</c:v>
                </c:pt>
                <c:pt idx="27">
                  <c:v>597.29600000000005</c:v>
                </c:pt>
              </c:numCache>
            </c:numRef>
          </c:yVal>
          <c:smooth val="1"/>
          <c:extLst>
            <c:ext xmlns:c16="http://schemas.microsoft.com/office/drawing/2014/chart" uri="{C3380CC4-5D6E-409C-BE32-E72D297353CC}">
              <c16:uniqueId val="{00000004-71D7-4E19-9922-229D0A46A185}"/>
            </c:ext>
          </c:extLst>
        </c:ser>
        <c:ser>
          <c:idx val="5"/>
          <c:order val="5"/>
          <c:tx>
            <c:strRef>
              <c:f>Calculations!$C$88</c:f>
              <c:strCache>
                <c:ptCount val="1"/>
                <c:pt idx="0">
                  <c:v>solar PV</c:v>
                </c:pt>
              </c:strCache>
            </c:strRef>
          </c:tx>
          <c:spPr>
            <a:ln w="19050" cap="rnd">
              <a:solidFill>
                <a:schemeClr val="accent6"/>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Calculations!$D$88:$AE$88</c:f>
              <c:numCache>
                <c:formatCode>General</c:formatCode>
                <c:ptCount val="28"/>
                <c:pt idx="0">
                  <c:v>26815.535</c:v>
                </c:pt>
                <c:pt idx="1">
                  <c:v>29403.9</c:v>
                </c:pt>
                <c:pt idx="2">
                  <c:v>33559.604999999996</c:v>
                </c:pt>
                <c:pt idx="3">
                  <c:v>37794.93</c:v>
                </c:pt>
                <c:pt idx="4">
                  <c:v>41405.586000000003</c:v>
                </c:pt>
                <c:pt idx="5">
                  <c:v>43145.611000000004</c:v>
                </c:pt>
                <c:pt idx="6">
                  <c:v>44266.197</c:v>
                </c:pt>
                <c:pt idx="7">
                  <c:v>45534.084000000003</c:v>
                </c:pt>
                <c:pt idx="8">
                  <c:v>46463.576999999997</c:v>
                </c:pt>
                <c:pt idx="9">
                  <c:v>47210.957000000002</c:v>
                </c:pt>
                <c:pt idx="10">
                  <c:v>48048.740000000005</c:v>
                </c:pt>
                <c:pt idx="11">
                  <c:v>49354.031000000003</c:v>
                </c:pt>
                <c:pt idx="12">
                  <c:v>50425.938000000002</c:v>
                </c:pt>
                <c:pt idx="13">
                  <c:v>51324.492999999995</c:v>
                </c:pt>
                <c:pt idx="14">
                  <c:v>52927.57</c:v>
                </c:pt>
                <c:pt idx="15">
                  <c:v>54478.226000000002</c:v>
                </c:pt>
                <c:pt idx="16">
                  <c:v>56396.023000000001</c:v>
                </c:pt>
                <c:pt idx="17">
                  <c:v>58020.966</c:v>
                </c:pt>
                <c:pt idx="18">
                  <c:v>58883.471999999994</c:v>
                </c:pt>
                <c:pt idx="19">
                  <c:v>60235.283000000003</c:v>
                </c:pt>
                <c:pt idx="20">
                  <c:v>60950.233</c:v>
                </c:pt>
                <c:pt idx="21">
                  <c:v>61766.342000000004</c:v>
                </c:pt>
                <c:pt idx="22">
                  <c:v>62420.555</c:v>
                </c:pt>
                <c:pt idx="23">
                  <c:v>63444.836000000003</c:v>
                </c:pt>
                <c:pt idx="24">
                  <c:v>64722.854999999996</c:v>
                </c:pt>
                <c:pt idx="25">
                  <c:v>66026.054000000004</c:v>
                </c:pt>
                <c:pt idx="26">
                  <c:v>66979.820000000007</c:v>
                </c:pt>
                <c:pt idx="27">
                  <c:v>68250.770999999993</c:v>
                </c:pt>
              </c:numCache>
            </c:numRef>
          </c:yVal>
          <c:smooth val="1"/>
          <c:extLst>
            <c:ext xmlns:c16="http://schemas.microsoft.com/office/drawing/2014/chart" uri="{C3380CC4-5D6E-409C-BE32-E72D297353CC}">
              <c16:uniqueId val="{00000005-71D7-4E19-9922-229D0A46A185}"/>
            </c:ext>
          </c:extLst>
        </c:ser>
        <c:ser>
          <c:idx val="6"/>
          <c:order val="6"/>
          <c:tx>
            <c:strRef>
              <c:f>Calculations!$C$89</c:f>
              <c:strCache>
                <c:ptCount val="1"/>
                <c:pt idx="0">
                  <c:v>solar thermal</c:v>
                </c:pt>
              </c:strCache>
            </c:strRef>
          </c:tx>
          <c:spPr>
            <a:ln w="19050" cap="rnd">
              <a:solidFill>
                <a:schemeClr val="accent1">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Calculations!$D$89:$AE$89</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6-71D7-4E19-9922-229D0A46A185}"/>
            </c:ext>
          </c:extLst>
        </c:ser>
        <c:ser>
          <c:idx val="7"/>
          <c:order val="7"/>
          <c:tx>
            <c:strRef>
              <c:f>Calculations!$C$90</c:f>
              <c:strCache>
                <c:ptCount val="1"/>
                <c:pt idx="0">
                  <c:v>biomass</c:v>
                </c:pt>
              </c:strCache>
            </c:strRef>
          </c:tx>
          <c:spPr>
            <a:ln w="19050" cap="rnd">
              <a:solidFill>
                <a:schemeClr val="accent2">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Calculations!$D$90:$AE$90</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7-71D7-4E19-9922-229D0A46A185}"/>
            </c:ext>
          </c:extLst>
        </c:ser>
        <c:ser>
          <c:idx val="8"/>
          <c:order val="8"/>
          <c:tx>
            <c:strRef>
              <c:f>Calculations!$C$91</c:f>
              <c:strCache>
                <c:ptCount val="1"/>
                <c:pt idx="0">
                  <c:v>geothermal</c:v>
                </c:pt>
              </c:strCache>
            </c:strRef>
          </c:tx>
          <c:spPr>
            <a:ln w="19050" cap="rnd">
              <a:solidFill>
                <a:schemeClr val="accent3">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Calculations!$D$91:$AE$91</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8-71D7-4E19-9922-229D0A46A185}"/>
            </c:ext>
          </c:extLst>
        </c:ser>
        <c:ser>
          <c:idx val="9"/>
          <c:order val="9"/>
          <c:tx>
            <c:strRef>
              <c:f>Calculations!$C$92</c:f>
              <c:strCache>
                <c:ptCount val="1"/>
                <c:pt idx="0">
                  <c:v>petroleum</c:v>
                </c:pt>
              </c:strCache>
            </c:strRef>
          </c:tx>
          <c:spPr>
            <a:ln w="19050" cap="rnd">
              <a:solidFill>
                <a:schemeClr val="accent4">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Calculations!$D$92:$AE$92</c:f>
              <c:numCache>
                <c:formatCode>General</c:formatCode>
                <c:ptCount val="28"/>
                <c:pt idx="0">
                  <c:v>13.979999999999999</c:v>
                </c:pt>
                <c:pt idx="1">
                  <c:v>20.507000000000001</c:v>
                </c:pt>
                <c:pt idx="2">
                  <c:v>14.146000000000001</c:v>
                </c:pt>
                <c:pt idx="3">
                  <c:v>14.146000000000001</c:v>
                </c:pt>
                <c:pt idx="4">
                  <c:v>14.146000000000001</c:v>
                </c:pt>
                <c:pt idx="5">
                  <c:v>14.146000000000001</c:v>
                </c:pt>
                <c:pt idx="6">
                  <c:v>14.146000000000001</c:v>
                </c:pt>
                <c:pt idx="7">
                  <c:v>14.146000000000001</c:v>
                </c:pt>
                <c:pt idx="8">
                  <c:v>14.146000000000001</c:v>
                </c:pt>
                <c:pt idx="9">
                  <c:v>14.146000000000001</c:v>
                </c:pt>
                <c:pt idx="10">
                  <c:v>14.146000000000001</c:v>
                </c:pt>
                <c:pt idx="11">
                  <c:v>14.146000000000001</c:v>
                </c:pt>
                <c:pt idx="12">
                  <c:v>14.146000000000001</c:v>
                </c:pt>
                <c:pt idx="13">
                  <c:v>14.146000000000001</c:v>
                </c:pt>
                <c:pt idx="14">
                  <c:v>14.146000000000001</c:v>
                </c:pt>
                <c:pt idx="15">
                  <c:v>14.146000000000001</c:v>
                </c:pt>
                <c:pt idx="16">
                  <c:v>14.146000000000001</c:v>
                </c:pt>
                <c:pt idx="17">
                  <c:v>14.146000000000001</c:v>
                </c:pt>
                <c:pt idx="18">
                  <c:v>14.146000000000001</c:v>
                </c:pt>
                <c:pt idx="19">
                  <c:v>14.146000000000001</c:v>
                </c:pt>
                <c:pt idx="20">
                  <c:v>14.146000000000001</c:v>
                </c:pt>
                <c:pt idx="21">
                  <c:v>14.146000000000001</c:v>
                </c:pt>
                <c:pt idx="22">
                  <c:v>14.146000000000001</c:v>
                </c:pt>
                <c:pt idx="23">
                  <c:v>14.146000000000001</c:v>
                </c:pt>
                <c:pt idx="24">
                  <c:v>14.146000000000001</c:v>
                </c:pt>
                <c:pt idx="25">
                  <c:v>14.146000000000001</c:v>
                </c:pt>
                <c:pt idx="26">
                  <c:v>14.146000000000001</c:v>
                </c:pt>
                <c:pt idx="27">
                  <c:v>14.146000000000001</c:v>
                </c:pt>
              </c:numCache>
            </c:numRef>
          </c:yVal>
          <c:smooth val="1"/>
          <c:extLst>
            <c:ext xmlns:c16="http://schemas.microsoft.com/office/drawing/2014/chart" uri="{C3380CC4-5D6E-409C-BE32-E72D297353CC}">
              <c16:uniqueId val="{00000009-71D7-4E19-9922-229D0A46A185}"/>
            </c:ext>
          </c:extLst>
        </c:ser>
        <c:ser>
          <c:idx val="10"/>
          <c:order val="10"/>
          <c:tx>
            <c:strRef>
              <c:f>Calculations!$C$93</c:f>
              <c:strCache>
                <c:ptCount val="1"/>
                <c:pt idx="0">
                  <c:v>natural gas peaker</c:v>
                </c:pt>
              </c:strCache>
            </c:strRef>
          </c:tx>
          <c:spPr>
            <a:ln w="19050" cap="rnd">
              <a:solidFill>
                <a:schemeClr val="accent5">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Calculations!$D$93:$AE$93</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A-71D7-4E19-9922-229D0A46A185}"/>
            </c:ext>
          </c:extLst>
        </c:ser>
        <c:ser>
          <c:idx val="11"/>
          <c:order val="11"/>
          <c:tx>
            <c:strRef>
              <c:f>Calculations!$C$94</c:f>
              <c:strCache>
                <c:ptCount val="1"/>
                <c:pt idx="0">
                  <c:v>lignite</c:v>
                </c:pt>
              </c:strCache>
            </c:strRef>
          </c:tx>
          <c:spPr>
            <a:ln w="19050" cap="rnd">
              <a:solidFill>
                <a:schemeClr val="accent6">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Calculations!$D$94:$AE$94</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B-71D7-4E19-9922-229D0A46A185}"/>
            </c:ext>
          </c:extLst>
        </c:ser>
        <c:ser>
          <c:idx val="12"/>
          <c:order val="12"/>
          <c:tx>
            <c:strRef>
              <c:f>Calculations!$C$95</c:f>
              <c:strCache>
                <c:ptCount val="1"/>
                <c:pt idx="0">
                  <c:v>offshore wind</c:v>
                </c:pt>
              </c:strCache>
            </c:strRef>
          </c:tx>
          <c:spPr>
            <a:ln w="19050" cap="rnd">
              <a:solidFill>
                <a:schemeClr val="accent1">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Calculations!$D$95:$AE$95</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C-71D7-4E19-9922-229D0A46A185}"/>
            </c:ext>
          </c:extLst>
        </c:ser>
        <c:ser>
          <c:idx val="13"/>
          <c:order val="13"/>
          <c:tx>
            <c:strRef>
              <c:f>Calculations!$C$96</c:f>
              <c:strCache>
                <c:ptCount val="1"/>
                <c:pt idx="0">
                  <c:v>crude oil</c:v>
                </c:pt>
              </c:strCache>
            </c:strRef>
          </c:tx>
          <c:spPr>
            <a:ln w="19050" cap="rnd">
              <a:solidFill>
                <a:schemeClr val="accent2">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Calculations!$D$96:$AE$96</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D-71D7-4E19-9922-229D0A46A185}"/>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Calculations!$D$97:$AE$97</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E-71D7-4E19-9922-229D0A46A185}"/>
            </c:ext>
          </c:extLst>
        </c:ser>
        <c:ser>
          <c:idx val="15"/>
          <c:order val="15"/>
          <c:tx>
            <c:strRef>
              <c:f>Calculations!$C$98</c:f>
              <c:strCache>
                <c:ptCount val="1"/>
                <c:pt idx="0">
                  <c:v>municipal solid waste</c:v>
                </c:pt>
              </c:strCache>
            </c:strRef>
          </c:tx>
          <c:spPr>
            <a:ln w="19050" cap="rnd">
              <a:solidFill>
                <a:schemeClr val="accent4">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Calculations!$D$98:$AE$98</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F-71D7-4E19-9922-229D0A46A185}"/>
            </c:ext>
          </c:extLst>
        </c:ser>
        <c:dLbls>
          <c:showLegendKey val="0"/>
          <c:showVal val="0"/>
          <c:showCatName val="0"/>
          <c:showSerName val="0"/>
          <c:showPercent val="0"/>
          <c:showBubbleSize val="0"/>
        </c:dLbls>
        <c:axId val="324266336"/>
        <c:axId val="324265376"/>
      </c:scatterChart>
      <c:valAx>
        <c:axId val="32426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65376"/>
        <c:crosses val="autoZero"/>
        <c:crossBetween val="midCat"/>
      </c:valAx>
      <c:valAx>
        <c:axId val="32426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663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 MWH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Calculations!$D$103:$AE$103</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0-8F50-4054-BBF1-3D51325C4C26}"/>
            </c:ext>
          </c:extLst>
        </c:ser>
        <c:ser>
          <c:idx val="1"/>
          <c:order val="1"/>
          <c:tx>
            <c:strRef>
              <c:f>Calculations!$C$104</c:f>
              <c:strCache>
                <c:ptCount val="1"/>
                <c:pt idx="0">
                  <c:v>natural gas nonpeaker</c:v>
                </c:pt>
              </c:strCache>
            </c:strRef>
          </c:tx>
          <c:spPr>
            <a:ln w="19050" cap="rnd">
              <a:solidFill>
                <a:schemeClr val="accent2"/>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Calculations!$D$104:$AE$104</c:f>
              <c:numCache>
                <c:formatCode>General</c:formatCode>
                <c:ptCount val="28"/>
                <c:pt idx="0">
                  <c:v>9723283</c:v>
                </c:pt>
                <c:pt idx="1">
                  <c:v>8774793</c:v>
                </c:pt>
                <c:pt idx="2">
                  <c:v>8993502</c:v>
                </c:pt>
                <c:pt idx="3">
                  <c:v>9177331</c:v>
                </c:pt>
                <c:pt idx="4">
                  <c:v>9287245</c:v>
                </c:pt>
                <c:pt idx="5">
                  <c:v>9394723</c:v>
                </c:pt>
                <c:pt idx="6">
                  <c:v>9505925</c:v>
                </c:pt>
                <c:pt idx="7">
                  <c:v>9624269</c:v>
                </c:pt>
                <c:pt idx="8">
                  <c:v>9741152</c:v>
                </c:pt>
                <c:pt idx="9">
                  <c:v>9864296</c:v>
                </c:pt>
                <c:pt idx="10">
                  <c:v>9991460</c:v>
                </c:pt>
                <c:pt idx="11">
                  <c:v>10130486</c:v>
                </c:pt>
                <c:pt idx="12">
                  <c:v>10261999</c:v>
                </c:pt>
                <c:pt idx="13">
                  <c:v>10398590</c:v>
                </c:pt>
                <c:pt idx="14">
                  <c:v>10547682</c:v>
                </c:pt>
                <c:pt idx="15">
                  <c:v>10688287</c:v>
                </c:pt>
                <c:pt idx="16">
                  <c:v>10824841</c:v>
                </c:pt>
                <c:pt idx="17">
                  <c:v>10956556</c:v>
                </c:pt>
                <c:pt idx="18">
                  <c:v>11079158</c:v>
                </c:pt>
                <c:pt idx="19">
                  <c:v>11212235</c:v>
                </c:pt>
                <c:pt idx="20">
                  <c:v>11333235</c:v>
                </c:pt>
                <c:pt idx="21">
                  <c:v>11453098</c:v>
                </c:pt>
                <c:pt idx="22">
                  <c:v>11567205</c:v>
                </c:pt>
                <c:pt idx="23">
                  <c:v>11683376</c:v>
                </c:pt>
                <c:pt idx="24">
                  <c:v>11805312</c:v>
                </c:pt>
                <c:pt idx="25">
                  <c:v>11925485</c:v>
                </c:pt>
                <c:pt idx="26">
                  <c:v>12039975</c:v>
                </c:pt>
                <c:pt idx="27">
                  <c:v>12159719</c:v>
                </c:pt>
              </c:numCache>
            </c:numRef>
          </c:yVal>
          <c:smooth val="1"/>
          <c:extLst>
            <c:ext xmlns:c16="http://schemas.microsoft.com/office/drawing/2014/chart" uri="{C3380CC4-5D6E-409C-BE32-E72D297353CC}">
              <c16:uniqueId val="{00000001-8F50-4054-BBF1-3D51325C4C26}"/>
            </c:ext>
          </c:extLst>
        </c:ser>
        <c:ser>
          <c:idx val="2"/>
          <c:order val="2"/>
          <c:tx>
            <c:strRef>
              <c:f>Calculations!$C$105</c:f>
              <c:strCache>
                <c:ptCount val="1"/>
                <c:pt idx="0">
                  <c:v>nuclear</c:v>
                </c:pt>
              </c:strCache>
            </c:strRef>
          </c:tx>
          <c:spPr>
            <a:ln w="19050" cap="rnd">
              <a:solidFill>
                <a:schemeClr val="accent3"/>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Calculations!$D$105:$AE$105</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2-8F50-4054-BBF1-3D51325C4C26}"/>
            </c:ext>
          </c:extLst>
        </c:ser>
        <c:ser>
          <c:idx val="3"/>
          <c:order val="3"/>
          <c:tx>
            <c:strRef>
              <c:f>Calculations!$C$106</c:f>
              <c:strCache>
                <c:ptCount val="1"/>
                <c:pt idx="0">
                  <c:v>hydro</c:v>
                </c:pt>
              </c:strCache>
            </c:strRef>
          </c:tx>
          <c:spPr>
            <a:ln w="19050" cap="rnd">
              <a:solidFill>
                <a:schemeClr val="accent4"/>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Calculations!$D$106:$AE$106</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3-8F50-4054-BBF1-3D51325C4C26}"/>
            </c:ext>
          </c:extLst>
        </c:ser>
        <c:ser>
          <c:idx val="4"/>
          <c:order val="4"/>
          <c:tx>
            <c:strRef>
              <c:f>Calculations!$C$107</c:f>
              <c:strCache>
                <c:ptCount val="1"/>
                <c:pt idx="0">
                  <c:v>onshore wind</c:v>
                </c:pt>
              </c:strCache>
            </c:strRef>
          </c:tx>
          <c:spPr>
            <a:ln w="19050" cap="rnd">
              <a:solidFill>
                <a:schemeClr val="accent5"/>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Calculations!$D$107:$AE$107</c:f>
              <c:numCache>
                <c:formatCode>General</c:formatCode>
                <c:ptCount val="28"/>
                <c:pt idx="0">
                  <c:v>763439</c:v>
                </c:pt>
                <c:pt idx="1">
                  <c:v>741164</c:v>
                </c:pt>
                <c:pt idx="2">
                  <c:v>739818</c:v>
                </c:pt>
                <c:pt idx="3">
                  <c:v>740753</c:v>
                </c:pt>
                <c:pt idx="4">
                  <c:v>742265</c:v>
                </c:pt>
                <c:pt idx="5">
                  <c:v>742448</c:v>
                </c:pt>
                <c:pt idx="6">
                  <c:v>743225</c:v>
                </c:pt>
                <c:pt idx="7">
                  <c:v>744539</c:v>
                </c:pt>
                <c:pt idx="8">
                  <c:v>745092</c:v>
                </c:pt>
                <c:pt idx="9">
                  <c:v>746012</c:v>
                </c:pt>
                <c:pt idx="10">
                  <c:v>747087</c:v>
                </c:pt>
                <c:pt idx="11">
                  <c:v>747818</c:v>
                </c:pt>
                <c:pt idx="12">
                  <c:v>748208</c:v>
                </c:pt>
                <c:pt idx="13">
                  <c:v>748428</c:v>
                </c:pt>
                <c:pt idx="14">
                  <c:v>748864</c:v>
                </c:pt>
                <c:pt idx="15">
                  <c:v>749274</c:v>
                </c:pt>
                <c:pt idx="16">
                  <c:v>749827</c:v>
                </c:pt>
                <c:pt idx="17">
                  <c:v>750408</c:v>
                </c:pt>
                <c:pt idx="18">
                  <c:v>750619</c:v>
                </c:pt>
                <c:pt idx="19">
                  <c:v>751747</c:v>
                </c:pt>
                <c:pt idx="20">
                  <c:v>752186</c:v>
                </c:pt>
                <c:pt idx="21">
                  <c:v>752576</c:v>
                </c:pt>
                <c:pt idx="22">
                  <c:v>752746</c:v>
                </c:pt>
                <c:pt idx="23">
                  <c:v>753008</c:v>
                </c:pt>
                <c:pt idx="24">
                  <c:v>753725</c:v>
                </c:pt>
                <c:pt idx="25">
                  <c:v>754198</c:v>
                </c:pt>
                <c:pt idx="26">
                  <c:v>754389</c:v>
                </c:pt>
                <c:pt idx="27">
                  <c:v>754605</c:v>
                </c:pt>
              </c:numCache>
            </c:numRef>
          </c:yVal>
          <c:smooth val="1"/>
          <c:extLst>
            <c:ext xmlns:c16="http://schemas.microsoft.com/office/drawing/2014/chart" uri="{C3380CC4-5D6E-409C-BE32-E72D297353CC}">
              <c16:uniqueId val="{00000004-8F50-4054-BBF1-3D51325C4C26}"/>
            </c:ext>
          </c:extLst>
        </c:ser>
        <c:ser>
          <c:idx val="5"/>
          <c:order val="5"/>
          <c:tx>
            <c:strRef>
              <c:f>Calculations!$C$108</c:f>
              <c:strCache>
                <c:ptCount val="1"/>
                <c:pt idx="0">
                  <c:v>solar PV</c:v>
                </c:pt>
              </c:strCache>
            </c:strRef>
          </c:tx>
          <c:spPr>
            <a:ln w="19050" cap="rnd">
              <a:solidFill>
                <a:schemeClr val="accent6"/>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Calculations!$D$108:$AE$108</c:f>
              <c:numCache>
                <c:formatCode>General</c:formatCode>
                <c:ptCount val="28"/>
                <c:pt idx="0">
                  <c:v>37878464</c:v>
                </c:pt>
                <c:pt idx="1">
                  <c:v>40940166</c:v>
                </c:pt>
                <c:pt idx="2">
                  <c:v>46182064</c:v>
                </c:pt>
                <c:pt idx="3">
                  <c:v>51740406</c:v>
                </c:pt>
                <c:pt idx="4">
                  <c:v>56461273</c:v>
                </c:pt>
                <c:pt idx="5">
                  <c:v>58730679</c:v>
                </c:pt>
                <c:pt idx="6">
                  <c:v>60101696</c:v>
                </c:pt>
                <c:pt idx="7">
                  <c:v>61663147</c:v>
                </c:pt>
                <c:pt idx="8">
                  <c:v>62868874</c:v>
                </c:pt>
                <c:pt idx="9">
                  <c:v>63818760</c:v>
                </c:pt>
                <c:pt idx="10">
                  <c:v>64888107.000000007</c:v>
                </c:pt>
                <c:pt idx="11">
                  <c:v>66510223</c:v>
                </c:pt>
                <c:pt idx="12">
                  <c:v>67825363</c:v>
                </c:pt>
                <c:pt idx="13">
                  <c:v>68932243</c:v>
                </c:pt>
                <c:pt idx="14">
                  <c:v>70873024</c:v>
                </c:pt>
                <c:pt idx="15">
                  <c:v>72769089</c:v>
                </c:pt>
                <c:pt idx="16">
                  <c:v>75070816</c:v>
                </c:pt>
                <c:pt idx="17">
                  <c:v>77056648</c:v>
                </c:pt>
                <c:pt idx="18">
                  <c:v>78127480</c:v>
                </c:pt>
                <c:pt idx="19">
                  <c:v>79720940</c:v>
                </c:pt>
                <c:pt idx="20">
                  <c:v>80581863</c:v>
                </c:pt>
                <c:pt idx="21">
                  <c:v>81550713</c:v>
                </c:pt>
                <c:pt idx="22">
                  <c:v>82343758</c:v>
                </c:pt>
                <c:pt idx="23">
                  <c:v>83578865</c:v>
                </c:pt>
                <c:pt idx="24">
                  <c:v>85106026</c:v>
                </c:pt>
                <c:pt idx="25">
                  <c:v>86662193</c:v>
                </c:pt>
                <c:pt idx="26">
                  <c:v>87841270</c:v>
                </c:pt>
                <c:pt idx="27">
                  <c:v>89360298</c:v>
                </c:pt>
              </c:numCache>
            </c:numRef>
          </c:yVal>
          <c:smooth val="1"/>
          <c:extLst>
            <c:ext xmlns:c16="http://schemas.microsoft.com/office/drawing/2014/chart" uri="{C3380CC4-5D6E-409C-BE32-E72D297353CC}">
              <c16:uniqueId val="{00000005-8F50-4054-BBF1-3D51325C4C26}"/>
            </c:ext>
          </c:extLst>
        </c:ser>
        <c:ser>
          <c:idx val="6"/>
          <c:order val="6"/>
          <c:tx>
            <c:strRef>
              <c:f>Calculations!$C$109</c:f>
              <c:strCache>
                <c:ptCount val="1"/>
                <c:pt idx="0">
                  <c:v>solar thermal</c:v>
                </c:pt>
              </c:strCache>
            </c:strRef>
          </c:tx>
          <c:spPr>
            <a:ln w="19050" cap="rnd">
              <a:solidFill>
                <a:schemeClr val="accent1">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Calculations!$D$109:$AE$109</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6-8F50-4054-BBF1-3D51325C4C26}"/>
            </c:ext>
          </c:extLst>
        </c:ser>
        <c:ser>
          <c:idx val="7"/>
          <c:order val="7"/>
          <c:tx>
            <c:strRef>
              <c:f>Calculations!$C$110</c:f>
              <c:strCache>
                <c:ptCount val="1"/>
                <c:pt idx="0">
                  <c:v>biomass</c:v>
                </c:pt>
              </c:strCache>
            </c:strRef>
          </c:tx>
          <c:spPr>
            <a:ln w="19050" cap="rnd">
              <a:solidFill>
                <a:schemeClr val="accent2">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Calculations!$D$110:$AE$110</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7-8F50-4054-BBF1-3D51325C4C26}"/>
            </c:ext>
          </c:extLst>
        </c:ser>
        <c:ser>
          <c:idx val="8"/>
          <c:order val="8"/>
          <c:tx>
            <c:strRef>
              <c:f>Calculations!$C$111</c:f>
              <c:strCache>
                <c:ptCount val="1"/>
                <c:pt idx="0">
                  <c:v>geothermal</c:v>
                </c:pt>
              </c:strCache>
            </c:strRef>
          </c:tx>
          <c:spPr>
            <a:ln w="19050" cap="rnd">
              <a:solidFill>
                <a:schemeClr val="accent3">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Calculations!$D$111:$AE$111</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8-8F50-4054-BBF1-3D51325C4C26}"/>
            </c:ext>
          </c:extLst>
        </c:ser>
        <c:ser>
          <c:idx val="9"/>
          <c:order val="9"/>
          <c:tx>
            <c:strRef>
              <c:f>Calculations!$C$112</c:f>
              <c:strCache>
                <c:ptCount val="1"/>
                <c:pt idx="0">
                  <c:v>petroleum</c:v>
                </c:pt>
              </c:strCache>
            </c:strRef>
          </c:tx>
          <c:spPr>
            <a:ln w="19050" cap="rnd">
              <a:solidFill>
                <a:schemeClr val="accent4">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Calculations!$D$112:$AE$112</c:f>
              <c:numCache>
                <c:formatCode>General</c:formatCode>
                <c:ptCount val="28"/>
                <c:pt idx="0">
                  <c:v>97511</c:v>
                </c:pt>
                <c:pt idx="1">
                  <c:v>81209</c:v>
                </c:pt>
                <c:pt idx="2">
                  <c:v>56017</c:v>
                </c:pt>
                <c:pt idx="3">
                  <c:v>56017</c:v>
                </c:pt>
                <c:pt idx="4">
                  <c:v>56017</c:v>
                </c:pt>
                <c:pt idx="5">
                  <c:v>56017</c:v>
                </c:pt>
                <c:pt idx="6">
                  <c:v>56017</c:v>
                </c:pt>
                <c:pt idx="7">
                  <c:v>56017</c:v>
                </c:pt>
                <c:pt idx="8">
                  <c:v>56017</c:v>
                </c:pt>
                <c:pt idx="9">
                  <c:v>56017</c:v>
                </c:pt>
                <c:pt idx="10">
                  <c:v>56017</c:v>
                </c:pt>
                <c:pt idx="11">
                  <c:v>56017</c:v>
                </c:pt>
                <c:pt idx="12">
                  <c:v>56017</c:v>
                </c:pt>
                <c:pt idx="13">
                  <c:v>56017</c:v>
                </c:pt>
                <c:pt idx="14">
                  <c:v>56017</c:v>
                </c:pt>
                <c:pt idx="15">
                  <c:v>56017</c:v>
                </c:pt>
                <c:pt idx="16">
                  <c:v>56017</c:v>
                </c:pt>
                <c:pt idx="17">
                  <c:v>56017</c:v>
                </c:pt>
                <c:pt idx="18">
                  <c:v>56017</c:v>
                </c:pt>
                <c:pt idx="19">
                  <c:v>56017</c:v>
                </c:pt>
                <c:pt idx="20">
                  <c:v>56017</c:v>
                </c:pt>
                <c:pt idx="21">
                  <c:v>56017</c:v>
                </c:pt>
                <c:pt idx="22">
                  <c:v>56017</c:v>
                </c:pt>
                <c:pt idx="23">
                  <c:v>56017</c:v>
                </c:pt>
                <c:pt idx="24">
                  <c:v>56017</c:v>
                </c:pt>
                <c:pt idx="25">
                  <c:v>56017</c:v>
                </c:pt>
                <c:pt idx="26">
                  <c:v>56017</c:v>
                </c:pt>
                <c:pt idx="27">
                  <c:v>56017</c:v>
                </c:pt>
              </c:numCache>
            </c:numRef>
          </c:yVal>
          <c:smooth val="1"/>
          <c:extLst>
            <c:ext xmlns:c16="http://schemas.microsoft.com/office/drawing/2014/chart" uri="{C3380CC4-5D6E-409C-BE32-E72D297353CC}">
              <c16:uniqueId val="{00000009-8F50-4054-BBF1-3D51325C4C26}"/>
            </c:ext>
          </c:extLst>
        </c:ser>
        <c:ser>
          <c:idx val="10"/>
          <c:order val="10"/>
          <c:tx>
            <c:strRef>
              <c:f>Calculations!$C$113</c:f>
              <c:strCache>
                <c:ptCount val="1"/>
                <c:pt idx="0">
                  <c:v>natural gas peaker</c:v>
                </c:pt>
              </c:strCache>
            </c:strRef>
          </c:tx>
          <c:spPr>
            <a:ln w="19050" cap="rnd">
              <a:solidFill>
                <a:schemeClr val="accent5">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Calculations!$D$113:$AE$113</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A-8F50-4054-BBF1-3D51325C4C26}"/>
            </c:ext>
          </c:extLst>
        </c:ser>
        <c:ser>
          <c:idx val="11"/>
          <c:order val="11"/>
          <c:tx>
            <c:strRef>
              <c:f>Calculations!$C$114</c:f>
              <c:strCache>
                <c:ptCount val="1"/>
                <c:pt idx="0">
                  <c:v>lignite</c:v>
                </c:pt>
              </c:strCache>
            </c:strRef>
          </c:tx>
          <c:spPr>
            <a:ln w="19050" cap="rnd">
              <a:solidFill>
                <a:schemeClr val="accent6">
                  <a:lumMod val="6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Calculations!$D$114:$AE$114</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B-8F50-4054-BBF1-3D51325C4C26}"/>
            </c:ext>
          </c:extLst>
        </c:ser>
        <c:ser>
          <c:idx val="12"/>
          <c:order val="12"/>
          <c:tx>
            <c:strRef>
              <c:f>Calculations!$C$115</c:f>
              <c:strCache>
                <c:ptCount val="1"/>
                <c:pt idx="0">
                  <c:v>offshore wind</c:v>
                </c:pt>
              </c:strCache>
            </c:strRef>
          </c:tx>
          <c:spPr>
            <a:ln w="19050" cap="rnd">
              <a:solidFill>
                <a:schemeClr val="accent1">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Calculations!$D$115:$AE$115</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C-8F50-4054-BBF1-3D51325C4C26}"/>
            </c:ext>
          </c:extLst>
        </c:ser>
        <c:ser>
          <c:idx val="13"/>
          <c:order val="13"/>
          <c:tx>
            <c:strRef>
              <c:f>Calculations!$C$116</c:f>
              <c:strCache>
                <c:ptCount val="1"/>
                <c:pt idx="0">
                  <c:v>crude oil</c:v>
                </c:pt>
              </c:strCache>
            </c:strRef>
          </c:tx>
          <c:spPr>
            <a:ln w="19050" cap="rnd">
              <a:solidFill>
                <a:schemeClr val="accent2">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Calculations!$D$116:$AE$116</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D-8F50-4054-BBF1-3D51325C4C26}"/>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Calculations!$D$117:$AE$117</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E-8F50-4054-BBF1-3D51325C4C26}"/>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round/>
            </a:ln>
            <a:effectLst/>
          </c:spPr>
          <c:marker>
            <c:symbol val="none"/>
          </c:marker>
          <c:xVal>
            <c:numRef>
              <c:f>Calculations!$D$82:$AE$82</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Calculations!$D$118:$AE$118</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yVal>
          <c:smooth val="1"/>
          <c:extLst>
            <c:ext xmlns:c16="http://schemas.microsoft.com/office/drawing/2014/chart" uri="{C3380CC4-5D6E-409C-BE32-E72D297353CC}">
              <c16:uniqueId val="{0000000F-8F50-4054-BBF1-3D51325C4C26}"/>
            </c:ext>
          </c:extLst>
        </c:ser>
        <c:dLbls>
          <c:showLegendKey val="0"/>
          <c:showVal val="0"/>
          <c:showCatName val="0"/>
          <c:showSerName val="0"/>
          <c:showPercent val="0"/>
          <c:showBubbleSize val="0"/>
        </c:dLbls>
        <c:axId val="324266336"/>
        <c:axId val="324265376"/>
      </c:scatterChart>
      <c:valAx>
        <c:axId val="32426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65376"/>
        <c:crosses val="autoZero"/>
        <c:crossBetween val="midCat"/>
      </c:valAx>
      <c:valAx>
        <c:axId val="32426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663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232170</xdr:colOff>
      <xdr:row>121</xdr:row>
      <xdr:rowOff>158352</xdr:rowOff>
    </xdr:from>
    <xdr:to>
      <xdr:col>12</xdr:col>
      <xdr:colOff>559593</xdr:colOff>
      <xdr:row>156</xdr:row>
      <xdr:rowOff>178594</xdr:rowOff>
    </xdr:to>
    <xdr:graphicFrame macro="">
      <xdr:nvGraphicFramePr>
        <xdr:cNvPr id="8" name="Chart 7">
          <a:extLst>
            <a:ext uri="{FF2B5EF4-FFF2-40B4-BE49-F238E27FC236}">
              <a16:creationId xmlns:a16="http://schemas.microsoft.com/office/drawing/2014/main" id="{953A1912-C4D2-033E-C8F5-89B957AB7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122</xdr:row>
      <xdr:rowOff>0</xdr:rowOff>
    </xdr:from>
    <xdr:to>
      <xdr:col>26</xdr:col>
      <xdr:colOff>77392</xdr:colOff>
      <xdr:row>157</xdr:row>
      <xdr:rowOff>20242</xdr:rowOff>
    </xdr:to>
    <xdr:graphicFrame macro="">
      <xdr:nvGraphicFramePr>
        <xdr:cNvPr id="9" name="Chart 8">
          <a:extLst>
            <a:ext uri="{FF2B5EF4-FFF2-40B4-BE49-F238E27FC236}">
              <a16:creationId xmlns:a16="http://schemas.microsoft.com/office/drawing/2014/main" id="{40C15155-1199-42EC-9E28-32C58CB25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304800</xdr:colOff>
      <xdr:row>79</xdr:row>
      <xdr:rowOff>104775</xdr:rowOff>
    </xdr:from>
    <xdr:ext cx="7286625" cy="9353550"/>
    <xdr:pic>
      <xdr:nvPicPr>
        <xdr:cNvPr id="2" name="image14.png" title="Image">
          <a:extLst>
            <a:ext uri="{FF2B5EF4-FFF2-40B4-BE49-F238E27FC236}">
              <a16:creationId xmlns:a16="http://schemas.microsoft.com/office/drawing/2014/main" id="{DCA0C78D-100B-4F22-8433-795CC6A90EF0}"/>
            </a:ext>
          </a:extLst>
        </xdr:cNvPr>
        <xdr:cNvPicPr preferRelativeResize="0"/>
      </xdr:nvPicPr>
      <xdr:blipFill>
        <a:blip xmlns:r="http://schemas.openxmlformats.org/officeDocument/2006/relationships" r:embed="rId1" cstate="print"/>
        <a:stretch>
          <a:fillRect/>
        </a:stretch>
      </xdr:blipFill>
      <xdr:spPr>
        <a:xfrm>
          <a:off x="304800" y="14335125"/>
          <a:ext cx="7286625" cy="93535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Robbie/Dropbox%20(Energy%20InNovation)/My%20Documents/Policy%20Solutions%20Project/US/Models/eps-1.3.0-us/InputData/indst/BPEiC/BAU%20Process%20Emis%20in%20CO2e_Updated%20Velders%20Meth.xlsx" TargetMode="External"/><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analysis/InputData/fuels/BFPaT/BAU%20Fuel%20Prices%20and%20Taxes.xlsx" TargetMode="External"/><Relationship Id="rId2" Type="http://schemas.openxmlformats.org/officeDocument/2006/relationships/externalLinkPath" Target="file:///C:\Users\MeganMahajan\Documents\eps-us-analysis\InputData\fuels\BFPaT\BAU%20Fuel%20Prices%20and%20Taxes.xlsx" TargetMode="External"/><Relationship Id="rId1" Type="http://schemas.openxmlformats.org/officeDocument/2006/relationships/externalLinkPath" Target="/Users/MeganMahajan/Documents/eps-us-analysis/InputData/fuels/BFPaT/BAU%20Fuel%20Prices%20and%20Tax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mahajan/Documents/eps-us/InputData/elec/GBSC/PAGBSC.csv" TargetMode="External"/><Relationship Id="rId1" Type="http://schemas.openxmlformats.org/officeDocument/2006/relationships/externalLinkPath" Target="/Users/mmahajan/Documents/eps-us/InputData/elec/GBSC/PAGBSC.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eghan/Documents/eps-us-analysis/InputData/indst/PERAC/Proc%20Emis%20Reductions%20and%20Costs.xlsx" TargetMode="External"/><Relationship Id="rId1" Type="http://schemas.openxmlformats.org/officeDocument/2006/relationships/externalLinkPath" Target="/Users/Meghan/Documents/eps-us-analysis/InputData/indst/PERAC/Proc%20Emis%20Reductions%20and%20Co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2023 Table 2"/>
      <sheetName val="AEO 2022 Table 2"/>
      <sheetName val="Gas Futures"/>
      <sheetName val="Henry Hub Historicals"/>
      <sheetName val="NG Sector Price Historicals"/>
      <sheetName val="Historical Monthly Gas Cons"/>
      <sheetName val="NG Calcs"/>
      <sheetName val="AEO 2023 Table 3"/>
      <sheetName val="AEO 2022 Table 3"/>
      <sheetName val="AEO 2023 Table 12"/>
      <sheetName val="AEO 2022 Table 12"/>
      <sheetName val="AEO 2023 Table 57"/>
      <sheetName val="AEO 2022 Table 57"/>
      <sheetName val="AEO Table 57"/>
      <sheetName val="STEO"/>
      <sheetName val="Hard Coal and Lig Multipliers"/>
      <sheetName val="Hydrogen"/>
      <sheetName val="Transp Charging"/>
      <sheetName val="Other Fuels"/>
      <sheetName val="Inflation Reduction Act"/>
      <sheetName val="Tax Percentages"/>
      <sheetName val="Pretax &gt;"/>
      <sheetName val="BFPaT-pretax-electricity"/>
      <sheetName val="BFPaT-pretax-coal"/>
      <sheetName val="BFPaT-pretax-natgas"/>
      <sheetName val="BFPaT-pretax-nuclear"/>
      <sheetName val="BFPaT-pretax-hydro"/>
      <sheetName val="BFPaT-pretax-wind"/>
      <sheetName val="BFPaT-pretax-solar"/>
      <sheetName val="BFPaT-pretax-biomass"/>
      <sheetName val="BFPaT-pretax-petgas"/>
      <sheetName val="BFPaT-pretax-petdies"/>
      <sheetName val="BFPaT-pretax-biogas"/>
      <sheetName val="BFPaT-pretax-biodies"/>
      <sheetName val="BFPaT-pretax-jetkerosene"/>
      <sheetName val="BFPaT-pretax-heat"/>
      <sheetName val="BFPaT-pretax-geothermal"/>
      <sheetName val="BFPaT-pretax-lignite"/>
      <sheetName val="BFPaT-pretax-crude"/>
      <sheetName val="BFPaT-pretax-heavyfueloil"/>
      <sheetName val="BFPaT-pretax-lpgpropbut"/>
      <sheetName val="BFPaT-pretax-msw"/>
      <sheetName val="BFPaT-pretax-hydrogen"/>
      <sheetName val="Summary_pretax"/>
      <sheetName val="Fuel Tax &gt;"/>
      <sheetName val="BFPaT-fueltax-electricity"/>
      <sheetName val="BFPaT-fueltax-coal"/>
      <sheetName val="BFPaT-fueltax-natgas"/>
      <sheetName val="BFPaT-fueltax-nuclear"/>
      <sheetName val="BFPaT-fueltax-hydro"/>
      <sheetName val="BFPaT-fueltax-wind"/>
      <sheetName val="BFPaT-fueltax-solar"/>
      <sheetName val="BFPaT-fueltax-biomass"/>
      <sheetName val="BFPaT-fueltax-petgas"/>
      <sheetName val="BFPaT-fueltax-petdies"/>
      <sheetName val="BFPaT-fueltax-biogas"/>
      <sheetName val="BFPaT-fueltax-biodies"/>
      <sheetName val="BFPaT-fueltax-jetkerosene"/>
      <sheetName val="BFPaT-fueltax-heat"/>
      <sheetName val="BFPaT-fueltax-geothermal"/>
      <sheetName val="BFPaT-fueltax-lignite"/>
      <sheetName val="BFPaT-fueltax-crude"/>
      <sheetName val="BFPaT-fueltax-heavyfueloil"/>
      <sheetName val="BFPaT-fueltax-lpgpropbut"/>
      <sheetName val="BFPaT-fueltax-msw"/>
      <sheetName val="BFPaT-fueltax-hydrogen"/>
      <sheetName val="Summary_tax"/>
    </sheetNames>
    <sheetDataSet>
      <sheetData sheetId="0">
        <row r="113">
          <cell r="A113" t="str">
            <v>The EIA SEDS document reports dollars that are not adjusted for inflation (according to associated technical notes document).  We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5">
          <cell r="N15">
            <v>0.92062879123815489</v>
          </cell>
        </row>
      </sheetData>
      <sheetData sheetId="17"/>
      <sheetData sheetId="18">
        <row r="1">
          <cell r="D1" t="str">
            <v>Hydrogen ($/kg)</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2035 Report Deployment"/>
      <sheetName val="2035 Report Data"/>
      <sheetName val="EPS Output"/>
      <sheetName val="AEO Table 9"/>
      <sheetName val="AEO Table 9 (2019)"/>
      <sheetName val="AEO Table 16"/>
      <sheetName val="BGBSC"/>
      <sheetName val="PAGBSC"/>
      <sheetName val="SYGBSC"/>
    </sheetNames>
    <sheetDataSet>
      <sheetData sheetId="0">
        <row r="31">
          <cell r="A31">
            <v>1000</v>
          </cell>
        </row>
      </sheetData>
      <sheetData sheetId="1"/>
      <sheetData sheetId="2" refreshError="1"/>
      <sheetData sheetId="3" refreshError="1"/>
      <sheetData sheetId="4"/>
      <sheetData sheetId="5" refreshError="1"/>
      <sheetData sheetId="6" refreshError="1"/>
      <sheetData sheetId="7"/>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ountry Selector"/>
      <sheetName val="Multipliers and Adjustments"/>
      <sheetName val="EPA Data"/>
      <sheetName val="Tech to Policy Mapping"/>
      <sheetName val="SNAP Adjustment"/>
      <sheetName val="Cement Data"/>
      <sheetName val="Data Check"/>
      <sheetName val="PERAC-cement"/>
      <sheetName val="PERAC-ngps-mthncptr"/>
      <sheetName val="PERAC-ngps-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MCD"/>
    </sheetNames>
    <sheetDataSet>
      <sheetData sheetId="0">
        <row r="123">
          <cell r="A123">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ia.gov/consumption/residential/data/2020/?src=%E2%80%B9%20Consumption%20%20%20%20%20%20Residential%20Energy%20Consumption%20Survey%20(RECS)-f1" TargetMode="External"/><Relationship Id="rId1" Type="http://schemas.openxmlformats.org/officeDocument/2006/relationships/hyperlink" Target="https://www.eia.gov/consumption/residential/data/2020/hc/xls/HC%202.1.xlsx"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workbookViewId="0">
      <selection activeCell="A24" sqref="A24"/>
    </sheetView>
  </sheetViews>
  <sheetFormatPr defaultRowHeight="15" x14ac:dyDescent="0.25"/>
  <cols>
    <col min="1" max="1" width="51.85546875" customWidth="1"/>
    <col min="2" max="2" width="51" customWidth="1"/>
    <col min="4" max="4" width="14.42578125" bestFit="1" customWidth="1"/>
    <col min="5" max="5" width="10.85546875" bestFit="1" customWidth="1"/>
  </cols>
  <sheetData>
    <row r="1" spans="1:2" x14ac:dyDescent="0.25">
      <c r="A1" s="1" t="s">
        <v>832</v>
      </c>
    </row>
    <row r="3" spans="1:2" x14ac:dyDescent="0.25">
      <c r="A3" s="1" t="s">
        <v>53</v>
      </c>
      <c r="B3" s="3" t="s">
        <v>301</v>
      </c>
    </row>
    <row r="4" spans="1:2" x14ac:dyDescent="0.25">
      <c r="B4" t="s">
        <v>0</v>
      </c>
    </row>
    <row r="5" spans="1:2" x14ac:dyDescent="0.25">
      <c r="B5" s="2" t="s">
        <v>827</v>
      </c>
    </row>
    <row r="6" spans="1:2" x14ac:dyDescent="0.25">
      <c r="B6" t="s">
        <v>829</v>
      </c>
    </row>
    <row r="7" spans="1:2" x14ac:dyDescent="0.25">
      <c r="B7" t="s">
        <v>828</v>
      </c>
    </row>
    <row r="8" spans="1:2" x14ac:dyDescent="0.25">
      <c r="B8" t="s">
        <v>831</v>
      </c>
    </row>
    <row r="9" spans="1:2" x14ac:dyDescent="0.25">
      <c r="B9" t="s">
        <v>830</v>
      </c>
    </row>
    <row r="10" spans="1:2" x14ac:dyDescent="0.25">
      <c r="B10" t="s">
        <v>163</v>
      </c>
    </row>
    <row r="12" spans="1:2" x14ac:dyDescent="0.25">
      <c r="B12" s="3" t="s">
        <v>54</v>
      </c>
    </row>
    <row r="13" spans="1:2" x14ac:dyDescent="0.25">
      <c r="B13" t="s">
        <v>0</v>
      </c>
    </row>
    <row r="14" spans="1:2" x14ac:dyDescent="0.25">
      <c r="B14" s="2">
        <v>2020</v>
      </c>
    </row>
    <row r="15" spans="1:2" x14ac:dyDescent="0.25">
      <c r="B15" t="s">
        <v>55</v>
      </c>
    </row>
    <row r="16" spans="1:2" x14ac:dyDescent="0.25">
      <c r="B16" s="18" t="s">
        <v>273</v>
      </c>
    </row>
    <row r="17" spans="1:6" x14ac:dyDescent="0.25">
      <c r="B17" s="18" t="s">
        <v>272</v>
      </c>
    </row>
    <row r="18" spans="1:6" x14ac:dyDescent="0.25">
      <c r="B18" t="s">
        <v>56</v>
      </c>
    </row>
    <row r="20" spans="1:6" x14ac:dyDescent="0.25">
      <c r="A20" s="1" t="s">
        <v>16</v>
      </c>
    </row>
    <row r="21" spans="1:6" x14ac:dyDescent="0.25">
      <c r="A21" t="s">
        <v>833</v>
      </c>
    </row>
    <row r="22" spans="1:6" x14ac:dyDescent="0.25">
      <c r="A22" t="s">
        <v>834</v>
      </c>
    </row>
    <row r="23" spans="1:6" x14ac:dyDescent="0.25">
      <c r="A23" t="s">
        <v>835</v>
      </c>
    </row>
    <row r="26" spans="1:6" x14ac:dyDescent="0.25">
      <c r="A26" s="1" t="s">
        <v>157</v>
      </c>
    </row>
    <row r="27" spans="1:6" x14ac:dyDescent="0.25">
      <c r="A27" s="8">
        <f>'RECS HC2.1'!B24/SUM('RECS HC2.1'!B24,'RECS HC2.1'!B27)</f>
        <v>0.81308184246741677</v>
      </c>
      <c r="B27" t="s">
        <v>32</v>
      </c>
    </row>
    <row r="28" spans="1:6" x14ac:dyDescent="0.25">
      <c r="A28" s="8">
        <f>'RECS HC2.1'!B27/SUM('RECS HC2.1'!B24,'RECS HC2.1'!B27)</f>
        <v>0.18691815753258317</v>
      </c>
      <c r="B28" t="s">
        <v>33</v>
      </c>
    </row>
    <row r="30" spans="1:6" ht="30" x14ac:dyDescent="0.25">
      <c r="A30" s="10" t="s">
        <v>165</v>
      </c>
      <c r="B30">
        <f>10^6</f>
        <v>1000000</v>
      </c>
      <c r="C30" s="11"/>
      <c r="D30" s="12"/>
      <c r="E30" s="13"/>
    </row>
    <row r="31" spans="1:6" x14ac:dyDescent="0.25">
      <c r="A31" t="s">
        <v>173</v>
      </c>
      <c r="B31">
        <v>1000</v>
      </c>
      <c r="F31" s="13"/>
    </row>
    <row r="33" spans="1:2" ht="45" x14ac:dyDescent="0.25">
      <c r="A33" s="1" t="s">
        <v>1080</v>
      </c>
      <c r="B33" s="67" t="s">
        <v>1081</v>
      </c>
    </row>
  </sheetData>
  <hyperlinks>
    <hyperlink ref="B17" r:id="rId1" xr:uid="{4AF0AB73-D0E4-4FE5-BBEA-528CC825570E}"/>
    <hyperlink ref="B16" r:id="rId2" xr:uid="{D7708223-4A37-4EB1-A9D1-D689355820F5}"/>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6866-C9AD-4580-915B-E06E722741A3}">
  <sheetPr>
    <tabColor theme="0" tint="-0.34998626667073579"/>
  </sheetPr>
  <dimension ref="A1"/>
  <sheetViews>
    <sheetView workbookViewId="0">
      <selection activeCell="H42" sqref="H42"/>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ACAE-8802-46BC-8EDF-731327A79C5C}">
  <dimension ref="A1:AI93"/>
  <sheetViews>
    <sheetView workbookViewId="0">
      <selection activeCell="H42" sqref="H42"/>
    </sheetView>
  </sheetViews>
  <sheetFormatPr defaultRowHeight="15" x14ac:dyDescent="0.25"/>
  <cols>
    <col min="1" max="1" width="27.42578125" customWidth="1"/>
    <col min="2" max="2" width="102" bestFit="1" customWidth="1"/>
  </cols>
  <sheetData>
    <row r="1" spans="1:35" x14ac:dyDescent="0.25">
      <c r="A1" t="s">
        <v>176</v>
      </c>
    </row>
    <row r="2" spans="1:35" x14ac:dyDescent="0.25">
      <c r="A2" t="s">
        <v>344</v>
      </c>
    </row>
    <row r="3" spans="1:35" x14ac:dyDescent="0.25">
      <c r="A3" t="s">
        <v>345</v>
      </c>
    </row>
    <row r="4" spans="1:35" x14ac:dyDescent="0.25">
      <c r="A4" t="s">
        <v>177</v>
      </c>
    </row>
    <row r="5" spans="1:35" x14ac:dyDescent="0.25">
      <c r="B5" t="s">
        <v>178</v>
      </c>
      <c r="C5" t="s">
        <v>179</v>
      </c>
      <c r="D5" t="s">
        <v>180</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346</v>
      </c>
    </row>
    <row r="6" spans="1:35" x14ac:dyDescent="0.25">
      <c r="A6" t="s">
        <v>2</v>
      </c>
    </row>
    <row r="7" spans="1:35" x14ac:dyDescent="0.25">
      <c r="A7" t="s">
        <v>181</v>
      </c>
    </row>
    <row r="8" spans="1:35" x14ac:dyDescent="0.25">
      <c r="A8" t="s">
        <v>182</v>
      </c>
      <c r="B8" t="s">
        <v>347</v>
      </c>
      <c r="C8" t="s">
        <v>348</v>
      </c>
      <c r="D8" t="s">
        <v>183</v>
      </c>
      <c r="F8">
        <v>13.315578</v>
      </c>
      <c r="G8">
        <v>13.570746</v>
      </c>
      <c r="H8">
        <v>13.822851</v>
      </c>
      <c r="I8">
        <v>14.081016999999999</v>
      </c>
      <c r="J8">
        <v>14.338543</v>
      </c>
      <c r="K8">
        <v>14.596683000000001</v>
      </c>
      <c r="L8">
        <v>14.856007</v>
      </c>
      <c r="M8">
        <v>15.113205000000001</v>
      </c>
      <c r="N8">
        <v>15.364176</v>
      </c>
      <c r="O8">
        <v>15.610795</v>
      </c>
      <c r="P8">
        <v>15.855648</v>
      </c>
      <c r="Q8">
        <v>16.095499</v>
      </c>
      <c r="R8">
        <v>16.328896</v>
      </c>
      <c r="S8">
        <v>16.560500999999999</v>
      </c>
      <c r="T8">
        <v>16.79364</v>
      </c>
      <c r="U8">
        <v>17.026976000000001</v>
      </c>
      <c r="V8">
        <v>17.258600000000001</v>
      </c>
      <c r="W8">
        <v>17.487826999999999</v>
      </c>
      <c r="X8">
        <v>17.718792000000001</v>
      </c>
      <c r="Y8">
        <v>17.949728</v>
      </c>
      <c r="Z8">
        <v>18.178336999999999</v>
      </c>
      <c r="AA8">
        <v>18.406141000000002</v>
      </c>
      <c r="AB8">
        <v>18.633220999999999</v>
      </c>
      <c r="AC8">
        <v>18.859971999999999</v>
      </c>
      <c r="AD8">
        <v>19.086086000000002</v>
      </c>
      <c r="AE8">
        <v>19.312725</v>
      </c>
      <c r="AF8">
        <v>19.538191000000001</v>
      </c>
      <c r="AG8">
        <v>19.762443999999999</v>
      </c>
      <c r="AH8">
        <v>19.985924000000001</v>
      </c>
      <c r="AI8" s="16">
        <v>1.4999999999999999E-2</v>
      </c>
    </row>
    <row r="9" spans="1:35" x14ac:dyDescent="0.25">
      <c r="A9" t="s">
        <v>184</v>
      </c>
      <c r="B9" t="s">
        <v>349</v>
      </c>
      <c r="C9" t="s">
        <v>350</v>
      </c>
      <c r="D9" t="s">
        <v>183</v>
      </c>
      <c r="F9">
        <v>31.010973</v>
      </c>
      <c r="G9">
        <v>31.191192999999998</v>
      </c>
      <c r="H9">
        <v>31.367004000000001</v>
      </c>
      <c r="I9">
        <v>31.545936999999999</v>
      </c>
      <c r="J9">
        <v>31.728054</v>
      </c>
      <c r="K9">
        <v>31.914145999999999</v>
      </c>
      <c r="L9">
        <v>32.103335999999999</v>
      </c>
      <c r="M9">
        <v>32.291443000000001</v>
      </c>
      <c r="N9">
        <v>32.472884999999998</v>
      </c>
      <c r="O9">
        <v>32.650379000000001</v>
      </c>
      <c r="P9">
        <v>32.828147999999999</v>
      </c>
      <c r="Q9">
        <v>33.003276999999997</v>
      </c>
      <c r="R9">
        <v>33.172893999999999</v>
      </c>
      <c r="S9">
        <v>33.339801999999999</v>
      </c>
      <c r="T9">
        <v>33.508488</v>
      </c>
      <c r="U9">
        <v>33.676701000000001</v>
      </c>
      <c r="V9">
        <v>33.844833000000001</v>
      </c>
      <c r="W9">
        <v>34.012619000000001</v>
      </c>
      <c r="X9">
        <v>34.183968</v>
      </c>
      <c r="Y9">
        <v>34.355839000000003</v>
      </c>
      <c r="Z9">
        <v>34.525658</v>
      </c>
      <c r="AA9">
        <v>34.694195000000001</v>
      </c>
      <c r="AB9">
        <v>34.861164000000002</v>
      </c>
      <c r="AC9">
        <v>35.026974000000003</v>
      </c>
      <c r="AD9">
        <v>35.191212</v>
      </c>
      <c r="AE9">
        <v>35.356566999999998</v>
      </c>
      <c r="AF9">
        <v>35.521110999999998</v>
      </c>
      <c r="AG9">
        <v>35.685035999999997</v>
      </c>
      <c r="AH9">
        <v>35.849113000000003</v>
      </c>
      <c r="AI9" s="16">
        <v>5.0000000000000001E-3</v>
      </c>
    </row>
    <row r="10" spans="1:35" x14ac:dyDescent="0.25">
      <c r="A10" t="s">
        <v>185</v>
      </c>
      <c r="B10" t="s">
        <v>351</v>
      </c>
      <c r="C10" t="s">
        <v>352</v>
      </c>
      <c r="D10" t="s">
        <v>183</v>
      </c>
      <c r="F10">
        <v>1.3211980000000001</v>
      </c>
      <c r="G10">
        <v>1.3192429999999999</v>
      </c>
      <c r="H10">
        <v>1.317296</v>
      </c>
      <c r="I10">
        <v>1.3153570000000001</v>
      </c>
      <c r="J10">
        <v>1.313426</v>
      </c>
      <c r="K10">
        <v>1.3115030000000001</v>
      </c>
      <c r="L10">
        <v>1.3095870000000001</v>
      </c>
      <c r="M10">
        <v>1.307679</v>
      </c>
      <c r="N10">
        <v>1.3057799999999999</v>
      </c>
      <c r="O10">
        <v>1.3038860000000001</v>
      </c>
      <c r="P10">
        <v>1.302001</v>
      </c>
      <c r="Q10">
        <v>1.300122</v>
      </c>
      <c r="R10">
        <v>1.298251</v>
      </c>
      <c r="S10">
        <v>1.296387</v>
      </c>
      <c r="T10">
        <v>1.29453</v>
      </c>
      <c r="U10">
        <v>1.2926800000000001</v>
      </c>
      <c r="V10">
        <v>1.290837</v>
      </c>
      <c r="W10">
        <v>1.2890010000000001</v>
      </c>
      <c r="X10">
        <v>1.2871710000000001</v>
      </c>
      <c r="Y10">
        <v>1.2853479999999999</v>
      </c>
      <c r="Z10">
        <v>1.283531</v>
      </c>
      <c r="AA10">
        <v>1.2817210000000001</v>
      </c>
      <c r="AB10">
        <v>1.2799179999999999</v>
      </c>
      <c r="AC10">
        <v>1.2781199999999999</v>
      </c>
      <c r="AD10">
        <v>1.27633</v>
      </c>
      <c r="AE10">
        <v>1.274545</v>
      </c>
      <c r="AF10">
        <v>1.2727660000000001</v>
      </c>
      <c r="AG10">
        <v>1.270993</v>
      </c>
      <c r="AH10">
        <v>1.2692270000000001</v>
      </c>
      <c r="AI10" s="16">
        <v>-1E-3</v>
      </c>
    </row>
    <row r="11" spans="1:35" x14ac:dyDescent="0.25">
      <c r="A11" t="s">
        <v>186</v>
      </c>
      <c r="B11" t="s">
        <v>353</v>
      </c>
      <c r="C11" t="s">
        <v>354</v>
      </c>
      <c r="D11" t="s">
        <v>183</v>
      </c>
      <c r="F11">
        <v>62.066788000000003</v>
      </c>
      <c r="G11">
        <v>62.868740000000003</v>
      </c>
      <c r="H11">
        <v>63.678131</v>
      </c>
      <c r="I11">
        <v>64.503296000000006</v>
      </c>
      <c r="J11">
        <v>65.321770000000001</v>
      </c>
      <c r="K11">
        <v>66.136948000000004</v>
      </c>
      <c r="L11">
        <v>66.951583999999997</v>
      </c>
      <c r="M11">
        <v>67.756225999999998</v>
      </c>
      <c r="N11">
        <v>68.541175999999993</v>
      </c>
      <c r="O11">
        <v>69.310355999999999</v>
      </c>
      <c r="P11">
        <v>70.070587000000003</v>
      </c>
      <c r="Q11">
        <v>70.812531000000007</v>
      </c>
      <c r="R11">
        <v>71.531357</v>
      </c>
      <c r="S11">
        <v>72.239448999999993</v>
      </c>
      <c r="T11">
        <v>72.944846999999996</v>
      </c>
      <c r="U11">
        <v>73.643249999999995</v>
      </c>
      <c r="V11">
        <v>74.338699000000005</v>
      </c>
      <c r="W11">
        <v>75.029205000000005</v>
      </c>
      <c r="X11">
        <v>75.724936999999997</v>
      </c>
      <c r="Y11">
        <v>76.420006000000001</v>
      </c>
      <c r="Z11">
        <v>77.106728000000004</v>
      </c>
      <c r="AA11">
        <v>77.789856</v>
      </c>
      <c r="AB11">
        <v>78.469795000000005</v>
      </c>
      <c r="AC11">
        <v>79.146407999999994</v>
      </c>
      <c r="AD11">
        <v>79.816353000000007</v>
      </c>
      <c r="AE11">
        <v>80.482451999999995</v>
      </c>
      <c r="AF11">
        <v>81.140998999999994</v>
      </c>
      <c r="AG11">
        <v>81.790313999999995</v>
      </c>
      <c r="AH11">
        <v>82.431442000000004</v>
      </c>
      <c r="AI11" s="16">
        <v>0.01</v>
      </c>
    </row>
    <row r="12" spans="1:35" x14ac:dyDescent="0.25">
      <c r="A12" t="s">
        <v>187</v>
      </c>
      <c r="B12" t="s">
        <v>355</v>
      </c>
      <c r="C12" t="s">
        <v>356</v>
      </c>
      <c r="D12" t="s">
        <v>183</v>
      </c>
      <c r="F12">
        <v>5.4549620000000001</v>
      </c>
      <c r="G12">
        <v>5.405786</v>
      </c>
      <c r="H12">
        <v>5.3574520000000003</v>
      </c>
      <c r="I12">
        <v>5.3095049999999997</v>
      </c>
      <c r="J12">
        <v>5.2618830000000001</v>
      </c>
      <c r="K12">
        <v>5.215992</v>
      </c>
      <c r="L12">
        <v>5.1721000000000004</v>
      </c>
      <c r="M12">
        <v>5.1304889999999999</v>
      </c>
      <c r="N12">
        <v>5.0911799999999996</v>
      </c>
      <c r="O12">
        <v>5.0534650000000001</v>
      </c>
      <c r="P12">
        <v>5.0174200000000004</v>
      </c>
      <c r="Q12">
        <v>4.9827329999999996</v>
      </c>
      <c r="R12">
        <v>4.9490759999999998</v>
      </c>
      <c r="S12">
        <v>4.9163410000000001</v>
      </c>
      <c r="T12">
        <v>4.8843360000000002</v>
      </c>
      <c r="U12">
        <v>4.8536840000000003</v>
      </c>
      <c r="V12">
        <v>4.8241370000000003</v>
      </c>
      <c r="W12">
        <v>4.7953789999999996</v>
      </c>
      <c r="X12">
        <v>4.7674130000000003</v>
      </c>
      <c r="Y12">
        <v>4.7396039999999999</v>
      </c>
      <c r="Z12">
        <v>4.710267</v>
      </c>
      <c r="AA12">
        <v>4.6794609999999999</v>
      </c>
      <c r="AB12">
        <v>4.6474070000000003</v>
      </c>
      <c r="AC12">
        <v>4.614363</v>
      </c>
      <c r="AD12">
        <v>4.5804809999999998</v>
      </c>
      <c r="AE12">
        <v>4.5451759999999997</v>
      </c>
      <c r="AF12">
        <v>4.5088460000000001</v>
      </c>
      <c r="AG12">
        <v>4.4718939999999998</v>
      </c>
      <c r="AH12">
        <v>4.4347300000000001</v>
      </c>
      <c r="AI12" s="16">
        <v>-7.0000000000000001E-3</v>
      </c>
    </row>
    <row r="13" spans="1:35" x14ac:dyDescent="0.25">
      <c r="A13" t="s">
        <v>149</v>
      </c>
      <c r="B13" t="s">
        <v>357</v>
      </c>
      <c r="C13" t="s">
        <v>358</v>
      </c>
      <c r="D13" t="s">
        <v>183</v>
      </c>
      <c r="F13">
        <v>5.2928980000000001</v>
      </c>
      <c r="G13">
        <v>5.2831060000000001</v>
      </c>
      <c r="H13">
        <v>5.2724070000000003</v>
      </c>
      <c r="I13">
        <v>5.2618099999999997</v>
      </c>
      <c r="J13">
        <v>5.2519349999999996</v>
      </c>
      <c r="K13">
        <v>5.2451020000000002</v>
      </c>
      <c r="L13">
        <v>5.2407050000000002</v>
      </c>
      <c r="M13">
        <v>5.2380440000000004</v>
      </c>
      <c r="N13">
        <v>5.2354919999999998</v>
      </c>
      <c r="O13">
        <v>5.2330779999999999</v>
      </c>
      <c r="P13">
        <v>5.2313200000000002</v>
      </c>
      <c r="Q13">
        <v>5.2297989999999999</v>
      </c>
      <c r="R13">
        <v>5.228008</v>
      </c>
      <c r="S13">
        <v>5.2259960000000003</v>
      </c>
      <c r="T13">
        <v>5.2241090000000003</v>
      </c>
      <c r="U13">
        <v>5.2214749999999999</v>
      </c>
      <c r="V13">
        <v>5.2180169999999997</v>
      </c>
      <c r="W13">
        <v>5.2139480000000002</v>
      </c>
      <c r="X13">
        <v>5.2102320000000004</v>
      </c>
      <c r="Y13">
        <v>5.207039</v>
      </c>
      <c r="Z13">
        <v>5.202483</v>
      </c>
      <c r="AA13">
        <v>5.196987</v>
      </c>
      <c r="AB13">
        <v>5.1909239999999999</v>
      </c>
      <c r="AC13">
        <v>5.1845889999999999</v>
      </c>
      <c r="AD13">
        <v>5.1779979999999997</v>
      </c>
      <c r="AE13">
        <v>5.1716179999999996</v>
      </c>
      <c r="AF13">
        <v>5.1653520000000004</v>
      </c>
      <c r="AG13">
        <v>5.1593140000000002</v>
      </c>
      <c r="AH13">
        <v>5.1537879999999996</v>
      </c>
      <c r="AI13" s="16">
        <v>-1E-3</v>
      </c>
    </row>
    <row r="14" spans="1:35" x14ac:dyDescent="0.25">
      <c r="A14" t="s">
        <v>188</v>
      </c>
      <c r="B14" t="s">
        <v>359</v>
      </c>
      <c r="C14" t="s">
        <v>360</v>
      </c>
      <c r="D14" t="s">
        <v>183</v>
      </c>
      <c r="F14">
        <v>3.901E-3</v>
      </c>
      <c r="G14">
        <v>7.0899999999999999E-3</v>
      </c>
      <c r="H14">
        <v>9.9970000000000007E-3</v>
      </c>
      <c r="I14">
        <v>1.2782999999999999E-2</v>
      </c>
      <c r="J14">
        <v>1.5616E-2</v>
      </c>
      <c r="K14">
        <v>1.8460000000000001E-2</v>
      </c>
      <c r="L14">
        <v>2.1281999999999999E-2</v>
      </c>
      <c r="M14">
        <v>2.4013E-2</v>
      </c>
      <c r="N14">
        <v>2.6530999999999999E-2</v>
      </c>
      <c r="O14">
        <v>2.8896999999999999E-2</v>
      </c>
      <c r="P14">
        <v>3.1215E-2</v>
      </c>
      <c r="Q14">
        <v>3.3522000000000003E-2</v>
      </c>
      <c r="R14">
        <v>3.5761000000000001E-2</v>
      </c>
      <c r="S14">
        <v>3.7892000000000002E-2</v>
      </c>
      <c r="T14">
        <v>3.9987000000000002E-2</v>
      </c>
      <c r="U14">
        <v>4.1972000000000002E-2</v>
      </c>
      <c r="V14">
        <v>4.3840999999999998E-2</v>
      </c>
      <c r="W14">
        <v>4.5630999999999998E-2</v>
      </c>
      <c r="X14">
        <v>4.7425000000000002E-2</v>
      </c>
      <c r="Y14">
        <v>4.9188999999999997E-2</v>
      </c>
      <c r="Z14">
        <v>5.0904999999999999E-2</v>
      </c>
      <c r="AA14">
        <v>5.2554999999999998E-2</v>
      </c>
      <c r="AB14">
        <v>5.4129999999999998E-2</v>
      </c>
      <c r="AC14">
        <v>5.5631E-2</v>
      </c>
      <c r="AD14">
        <v>5.7044999999999998E-2</v>
      </c>
      <c r="AE14">
        <v>5.8409000000000003E-2</v>
      </c>
      <c r="AF14">
        <v>5.9715999999999998E-2</v>
      </c>
      <c r="AG14">
        <v>6.0957999999999998E-2</v>
      </c>
      <c r="AH14">
        <v>6.2150999999999998E-2</v>
      </c>
      <c r="AI14" s="16">
        <v>0.104</v>
      </c>
    </row>
    <row r="15" spans="1:35" x14ac:dyDescent="0.25">
      <c r="A15" t="s">
        <v>189</v>
      </c>
      <c r="B15" t="s">
        <v>361</v>
      </c>
      <c r="C15" t="s">
        <v>362</v>
      </c>
      <c r="D15" t="s">
        <v>183</v>
      </c>
      <c r="F15">
        <v>3.2972389999999998</v>
      </c>
      <c r="G15">
        <v>3.2656149999999999</v>
      </c>
      <c r="H15">
        <v>3.2377530000000001</v>
      </c>
      <c r="I15">
        <v>3.2113849999999999</v>
      </c>
      <c r="J15">
        <v>3.186906</v>
      </c>
      <c r="K15">
        <v>3.163538</v>
      </c>
      <c r="L15">
        <v>3.1406529999999999</v>
      </c>
      <c r="M15">
        <v>3.1177139999999999</v>
      </c>
      <c r="N15">
        <v>3.0947770000000001</v>
      </c>
      <c r="O15">
        <v>3.0714139999999999</v>
      </c>
      <c r="P15">
        <v>3.0475460000000001</v>
      </c>
      <c r="Q15">
        <v>3.023053</v>
      </c>
      <c r="R15">
        <v>2.9979589999999998</v>
      </c>
      <c r="S15">
        <v>2.9721950000000001</v>
      </c>
      <c r="T15">
        <v>2.94591</v>
      </c>
      <c r="U15">
        <v>2.9204159999999999</v>
      </c>
      <c r="V15">
        <v>2.8956949999999999</v>
      </c>
      <c r="W15">
        <v>2.8719939999999999</v>
      </c>
      <c r="X15">
        <v>2.848303</v>
      </c>
      <c r="Y15">
        <v>2.8256489999999999</v>
      </c>
      <c r="Z15">
        <v>2.8041770000000001</v>
      </c>
      <c r="AA15">
        <v>2.7839320000000001</v>
      </c>
      <c r="AB15">
        <v>2.7650519999999998</v>
      </c>
      <c r="AC15">
        <v>2.7473010000000002</v>
      </c>
      <c r="AD15">
        <v>2.7304279999999999</v>
      </c>
      <c r="AE15">
        <v>2.713511</v>
      </c>
      <c r="AF15">
        <v>2.69659</v>
      </c>
      <c r="AG15">
        <v>2.679538</v>
      </c>
      <c r="AH15">
        <v>2.662318</v>
      </c>
      <c r="AI15" s="16">
        <v>-8.0000000000000002E-3</v>
      </c>
    </row>
    <row r="16" spans="1:35" x14ac:dyDescent="0.25">
      <c r="A16" t="s">
        <v>190</v>
      </c>
      <c r="B16" t="s">
        <v>363</v>
      </c>
      <c r="C16" t="s">
        <v>364</v>
      </c>
      <c r="D16" t="s">
        <v>183</v>
      </c>
      <c r="F16">
        <v>0.71603600000000001</v>
      </c>
      <c r="G16">
        <v>0.77875899999999998</v>
      </c>
      <c r="H16">
        <v>0.84013400000000005</v>
      </c>
      <c r="I16">
        <v>0.90150600000000003</v>
      </c>
      <c r="J16">
        <v>0.96045499999999995</v>
      </c>
      <c r="K16">
        <v>1.0181720000000001</v>
      </c>
      <c r="L16">
        <v>1.07555</v>
      </c>
      <c r="M16">
        <v>1.132757</v>
      </c>
      <c r="N16">
        <v>1.189252</v>
      </c>
      <c r="O16">
        <v>1.2455270000000001</v>
      </c>
      <c r="P16">
        <v>1.3019069999999999</v>
      </c>
      <c r="Q16">
        <v>1.3580190000000001</v>
      </c>
      <c r="R16">
        <v>1.41364</v>
      </c>
      <c r="S16">
        <v>1.469565</v>
      </c>
      <c r="T16">
        <v>1.5259419999999999</v>
      </c>
      <c r="U16">
        <v>1.5812489999999999</v>
      </c>
      <c r="V16">
        <v>1.635567</v>
      </c>
      <c r="W16">
        <v>1.68851</v>
      </c>
      <c r="X16">
        <v>1.741698</v>
      </c>
      <c r="Y16">
        <v>1.7939620000000001</v>
      </c>
      <c r="Z16">
        <v>1.844503</v>
      </c>
      <c r="AA16">
        <v>1.893613</v>
      </c>
      <c r="AB16">
        <v>1.9412290000000001</v>
      </c>
      <c r="AC16">
        <v>1.9875970000000001</v>
      </c>
      <c r="AD16">
        <v>2.0328300000000001</v>
      </c>
      <c r="AE16">
        <v>2.0777929999999998</v>
      </c>
      <c r="AF16">
        <v>2.1223239999999999</v>
      </c>
      <c r="AG16">
        <v>2.1664560000000002</v>
      </c>
      <c r="AH16">
        <v>2.2103090000000001</v>
      </c>
      <c r="AI16" s="16">
        <v>4.1000000000000002E-2</v>
      </c>
    </row>
    <row r="17" spans="1:35" x14ac:dyDescent="0.25">
      <c r="A17" t="s">
        <v>191</v>
      </c>
      <c r="B17" t="s">
        <v>365</v>
      </c>
      <c r="C17" t="s">
        <v>366</v>
      </c>
      <c r="D17" t="s">
        <v>183</v>
      </c>
      <c r="F17">
        <v>122.47957599999999</v>
      </c>
      <c r="G17">
        <v>123.690269</v>
      </c>
      <c r="H17">
        <v>124.90303</v>
      </c>
      <c r="I17">
        <v>126.14258599999999</v>
      </c>
      <c r="J17">
        <v>127.378601</v>
      </c>
      <c r="K17">
        <v>128.620544</v>
      </c>
      <c r="L17">
        <v>129.870789</v>
      </c>
      <c r="M17">
        <v>131.111557</v>
      </c>
      <c r="N17">
        <v>132.32124300000001</v>
      </c>
      <c r="O17">
        <v>133.50779700000001</v>
      </c>
      <c r="P17">
        <v>134.68579099999999</v>
      </c>
      <c r="Q17">
        <v>135.838562</v>
      </c>
      <c r="R17">
        <v>136.95584099999999</v>
      </c>
      <c r="S17">
        <v>138.058121</v>
      </c>
      <c r="T17">
        <v>139.161789</v>
      </c>
      <c r="U17">
        <v>140.258408</v>
      </c>
      <c r="V17">
        <v>141.350235</v>
      </c>
      <c r="W17">
        <v>142.43409700000001</v>
      </c>
      <c r="X17">
        <v>143.52993799999999</v>
      </c>
      <c r="Y17">
        <v>144.62638899999999</v>
      </c>
      <c r="Z17">
        <v>145.70658900000001</v>
      </c>
      <c r="AA17">
        <v>146.778458</v>
      </c>
      <c r="AB17">
        <v>147.842804</v>
      </c>
      <c r="AC17">
        <v>148.90095500000001</v>
      </c>
      <c r="AD17">
        <v>149.948746</v>
      </c>
      <c r="AE17">
        <v>150.99279799999999</v>
      </c>
      <c r="AF17">
        <v>152.025925</v>
      </c>
      <c r="AG17">
        <v>153.04695100000001</v>
      </c>
      <c r="AH17">
        <v>154.05900600000001</v>
      </c>
      <c r="AI17" s="16">
        <v>8.0000000000000002E-3</v>
      </c>
    </row>
    <row r="18" spans="1:35" x14ac:dyDescent="0.25">
      <c r="A18" t="s">
        <v>192</v>
      </c>
    </row>
    <row r="19" spans="1:35" x14ac:dyDescent="0.25">
      <c r="A19" t="s">
        <v>182</v>
      </c>
      <c r="B19" t="s">
        <v>367</v>
      </c>
      <c r="C19" t="s">
        <v>368</v>
      </c>
      <c r="D19" t="s">
        <v>183</v>
      </c>
      <c r="F19">
        <v>13.315581</v>
      </c>
      <c r="G19">
        <v>13.570746</v>
      </c>
      <c r="H19">
        <v>13.822850000000001</v>
      </c>
      <c r="I19">
        <v>14.081021</v>
      </c>
      <c r="J19">
        <v>14.338547</v>
      </c>
      <c r="K19">
        <v>14.596686</v>
      </c>
      <c r="L19">
        <v>14.856006000000001</v>
      </c>
      <c r="M19">
        <v>15.113201</v>
      </c>
      <c r="N19">
        <v>15.364179</v>
      </c>
      <c r="O19">
        <v>15.610802</v>
      </c>
      <c r="P19">
        <v>15.855643000000001</v>
      </c>
      <c r="Q19">
        <v>16.095504999999999</v>
      </c>
      <c r="R19">
        <v>16.328897000000001</v>
      </c>
      <c r="S19">
        <v>16.560503000000001</v>
      </c>
      <c r="T19">
        <v>16.793638000000001</v>
      </c>
      <c r="U19">
        <v>17.026976000000001</v>
      </c>
      <c r="V19">
        <v>17.258607999999999</v>
      </c>
      <c r="W19">
        <v>17.487829000000001</v>
      </c>
      <c r="X19">
        <v>17.718796000000001</v>
      </c>
      <c r="Y19">
        <v>17.949732000000001</v>
      </c>
      <c r="Z19">
        <v>18.178335000000001</v>
      </c>
      <c r="AA19">
        <v>18.406144999999999</v>
      </c>
      <c r="AB19">
        <v>18.633223999999998</v>
      </c>
      <c r="AC19">
        <v>18.859974000000001</v>
      </c>
      <c r="AD19">
        <v>19.086088</v>
      </c>
      <c r="AE19">
        <v>19.312730999999999</v>
      </c>
      <c r="AF19">
        <v>19.538191000000001</v>
      </c>
      <c r="AG19">
        <v>19.762447000000002</v>
      </c>
      <c r="AH19">
        <v>19.985924000000001</v>
      </c>
      <c r="AI19" s="16">
        <v>1.4999999999999999E-2</v>
      </c>
    </row>
    <row r="20" spans="1:35" x14ac:dyDescent="0.25">
      <c r="A20" t="s">
        <v>185</v>
      </c>
      <c r="B20" t="s">
        <v>369</v>
      </c>
      <c r="C20" t="s">
        <v>370</v>
      </c>
      <c r="D20" t="s">
        <v>183</v>
      </c>
      <c r="F20">
        <v>1.3211980000000001</v>
      </c>
      <c r="G20">
        <v>1.319242</v>
      </c>
      <c r="H20">
        <v>1.317296</v>
      </c>
      <c r="I20">
        <v>1.3153570000000001</v>
      </c>
      <c r="J20">
        <v>1.313426</v>
      </c>
      <c r="K20">
        <v>1.3115030000000001</v>
      </c>
      <c r="L20">
        <v>1.3095870000000001</v>
      </c>
      <c r="M20">
        <v>1.307679</v>
      </c>
      <c r="N20">
        <v>1.305779</v>
      </c>
      <c r="O20">
        <v>1.3038860000000001</v>
      </c>
      <c r="P20">
        <v>1.302001</v>
      </c>
      <c r="Q20">
        <v>1.300122</v>
      </c>
      <c r="R20">
        <v>1.298251</v>
      </c>
      <c r="S20">
        <v>1.296387</v>
      </c>
      <c r="T20">
        <v>1.29453</v>
      </c>
      <c r="U20">
        <v>1.2926800000000001</v>
      </c>
      <c r="V20">
        <v>1.290837</v>
      </c>
      <c r="W20">
        <v>1.2890010000000001</v>
      </c>
      <c r="X20">
        <v>1.2871710000000001</v>
      </c>
      <c r="Y20">
        <v>1.2853479999999999</v>
      </c>
      <c r="Z20">
        <v>1.283531</v>
      </c>
      <c r="AA20">
        <v>1.2817210000000001</v>
      </c>
      <c r="AB20">
        <v>1.2799179999999999</v>
      </c>
      <c r="AC20">
        <v>1.2781199999999999</v>
      </c>
      <c r="AD20">
        <v>1.276329</v>
      </c>
      <c r="AE20">
        <v>1.274545</v>
      </c>
      <c r="AF20">
        <v>1.2727660000000001</v>
      </c>
      <c r="AG20">
        <v>1.270993</v>
      </c>
      <c r="AH20">
        <v>1.2692270000000001</v>
      </c>
      <c r="AI20" s="16">
        <v>-1E-3</v>
      </c>
    </row>
    <row r="21" spans="1:35" x14ac:dyDescent="0.25">
      <c r="A21" t="s">
        <v>190</v>
      </c>
      <c r="B21" t="s">
        <v>371</v>
      </c>
      <c r="C21" t="s">
        <v>372</v>
      </c>
      <c r="D21" t="s">
        <v>183</v>
      </c>
      <c r="F21">
        <v>0.71603600000000001</v>
      </c>
      <c r="G21">
        <v>0.77875899999999998</v>
      </c>
      <c r="H21">
        <v>0.84013400000000005</v>
      </c>
      <c r="I21">
        <v>0.90150600000000003</v>
      </c>
      <c r="J21">
        <v>0.96045400000000003</v>
      </c>
      <c r="K21">
        <v>1.0181720000000001</v>
      </c>
      <c r="L21">
        <v>1.0755490000000001</v>
      </c>
      <c r="M21">
        <v>1.1327560000000001</v>
      </c>
      <c r="N21">
        <v>1.189252</v>
      </c>
      <c r="O21">
        <v>1.2455259999999999</v>
      </c>
      <c r="P21">
        <v>1.3019080000000001</v>
      </c>
      <c r="Q21">
        <v>1.35802</v>
      </c>
      <c r="R21">
        <v>1.41364</v>
      </c>
      <c r="S21">
        <v>1.4695659999999999</v>
      </c>
      <c r="T21">
        <v>1.5259419999999999</v>
      </c>
      <c r="U21">
        <v>1.581248</v>
      </c>
      <c r="V21">
        <v>1.635567</v>
      </c>
      <c r="W21">
        <v>1.6885110000000001</v>
      </c>
      <c r="X21">
        <v>1.7416970000000001</v>
      </c>
      <c r="Y21">
        <v>1.7939620000000001</v>
      </c>
      <c r="Z21">
        <v>1.844503</v>
      </c>
      <c r="AA21">
        <v>1.893613</v>
      </c>
      <c r="AB21">
        <v>1.9412290000000001</v>
      </c>
      <c r="AC21">
        <v>1.9875959999999999</v>
      </c>
      <c r="AD21">
        <v>2.0328300000000001</v>
      </c>
      <c r="AE21">
        <v>2.0777939999999999</v>
      </c>
      <c r="AF21">
        <v>2.122325</v>
      </c>
      <c r="AG21">
        <v>2.166455</v>
      </c>
      <c r="AH21">
        <v>2.2103090000000001</v>
      </c>
      <c r="AI21" s="16">
        <v>4.1000000000000002E-2</v>
      </c>
    </row>
    <row r="22" spans="1:35" x14ac:dyDescent="0.25">
      <c r="A22" t="s">
        <v>193</v>
      </c>
      <c r="B22" t="s">
        <v>373</v>
      </c>
      <c r="C22" t="s">
        <v>374</v>
      </c>
      <c r="D22" t="s">
        <v>183</v>
      </c>
      <c r="F22">
        <v>65.952872999999997</v>
      </c>
      <c r="G22">
        <v>67.531486999999998</v>
      </c>
      <c r="H22">
        <v>69.112846000000005</v>
      </c>
      <c r="I22">
        <v>70.710128999999995</v>
      </c>
      <c r="J22">
        <v>72.303070000000005</v>
      </c>
      <c r="K22">
        <v>73.897850000000005</v>
      </c>
      <c r="L22">
        <v>75.496253999999993</v>
      </c>
      <c r="M22">
        <v>77.087233999999995</v>
      </c>
      <c r="N22">
        <v>78.657111999999998</v>
      </c>
      <c r="O22">
        <v>80.210655000000003</v>
      </c>
      <c r="P22">
        <v>81.756866000000002</v>
      </c>
      <c r="Q22">
        <v>83.285324000000003</v>
      </c>
      <c r="R22">
        <v>84.789771999999999</v>
      </c>
      <c r="S22">
        <v>86.282950999999997</v>
      </c>
      <c r="T22">
        <v>87.774985999999998</v>
      </c>
      <c r="U22">
        <v>89.260513000000003</v>
      </c>
      <c r="V22">
        <v>90.740982000000002</v>
      </c>
      <c r="W22">
        <v>92.214447000000007</v>
      </c>
      <c r="X22">
        <v>93.693588000000005</v>
      </c>
      <c r="Y22">
        <v>95.171677000000003</v>
      </c>
      <c r="Z22">
        <v>96.637680000000003</v>
      </c>
      <c r="AA22">
        <v>98.096832000000006</v>
      </c>
      <c r="AB22">
        <v>99.549744000000004</v>
      </c>
      <c r="AC22">
        <v>100.997017</v>
      </c>
      <c r="AD22">
        <v>102.436249</v>
      </c>
      <c r="AE22">
        <v>103.87108600000001</v>
      </c>
      <c r="AF22">
        <v>105.297241</v>
      </c>
      <c r="AG22">
        <v>106.713791</v>
      </c>
      <c r="AH22">
        <v>108.122772</v>
      </c>
      <c r="AI22" s="16">
        <v>1.7999999999999999E-2</v>
      </c>
    </row>
    <row r="23" spans="1:35" x14ac:dyDescent="0.25">
      <c r="A23" t="s">
        <v>194</v>
      </c>
      <c r="B23" t="s">
        <v>375</v>
      </c>
      <c r="C23" t="s">
        <v>376</v>
      </c>
      <c r="D23" t="s">
        <v>183</v>
      </c>
      <c r="F23">
        <v>58.086196999999999</v>
      </c>
      <c r="G23">
        <v>58.099601999999997</v>
      </c>
      <c r="H23">
        <v>58.113242999999997</v>
      </c>
      <c r="I23">
        <v>58.130096000000002</v>
      </c>
      <c r="J23">
        <v>58.148983000000001</v>
      </c>
      <c r="K23">
        <v>58.170321999999999</v>
      </c>
      <c r="L23">
        <v>58.193908999999998</v>
      </c>
      <c r="M23">
        <v>58.217010000000002</v>
      </c>
      <c r="N23">
        <v>58.235847</v>
      </c>
      <c r="O23">
        <v>58.251922999999998</v>
      </c>
      <c r="P23">
        <v>58.267937000000003</v>
      </c>
      <c r="Q23">
        <v>58.282756999999997</v>
      </c>
      <c r="R23">
        <v>58.294533000000001</v>
      </c>
      <c r="S23">
        <v>58.304741</v>
      </c>
      <c r="T23">
        <v>58.315868000000002</v>
      </c>
      <c r="U23">
        <v>58.326084000000002</v>
      </c>
      <c r="V23">
        <v>58.335472000000003</v>
      </c>
      <c r="W23">
        <v>58.344200000000001</v>
      </c>
      <c r="X23">
        <v>58.355373</v>
      </c>
      <c r="Y23">
        <v>58.367629999999998</v>
      </c>
      <c r="Z23">
        <v>58.379016999999997</v>
      </c>
      <c r="AA23">
        <v>58.390129000000002</v>
      </c>
      <c r="AB23">
        <v>58.400813999999997</v>
      </c>
      <c r="AC23">
        <v>58.411189999999998</v>
      </c>
      <c r="AD23">
        <v>58.420650000000002</v>
      </c>
      <c r="AE23">
        <v>58.430312999999998</v>
      </c>
      <c r="AF23">
        <v>58.439326999999999</v>
      </c>
      <c r="AG23">
        <v>58.447398999999997</v>
      </c>
      <c r="AH23">
        <v>58.455089999999998</v>
      </c>
      <c r="AI23" s="16">
        <v>0</v>
      </c>
    </row>
    <row r="24" spans="1:35" x14ac:dyDescent="0.25">
      <c r="A24" t="s">
        <v>191</v>
      </c>
      <c r="B24" t="s">
        <v>377</v>
      </c>
      <c r="C24" t="s">
        <v>378</v>
      </c>
      <c r="D24" t="s">
        <v>183</v>
      </c>
      <c r="F24">
        <v>139.391876</v>
      </c>
      <c r="G24">
        <v>141.299835</v>
      </c>
      <c r="H24">
        <v>143.20635999999999</v>
      </c>
      <c r="I24">
        <v>145.13810699999999</v>
      </c>
      <c r="J24">
        <v>147.06448399999999</v>
      </c>
      <c r="K24">
        <v>148.99453700000001</v>
      </c>
      <c r="L24">
        <v>150.93130500000001</v>
      </c>
      <c r="M24">
        <v>152.85787999999999</v>
      </c>
      <c r="N24">
        <v>154.75216699999999</v>
      </c>
      <c r="O24">
        <v>156.62278699999999</v>
      </c>
      <c r="P24">
        <v>158.48434399999999</v>
      </c>
      <c r="Q24">
        <v>160.321732</v>
      </c>
      <c r="R24">
        <v>162.125092</v>
      </c>
      <c r="S24">
        <v>163.914154</v>
      </c>
      <c r="T24">
        <v>165.704971</v>
      </c>
      <c r="U24">
        <v>167.487503</v>
      </c>
      <c r="V24">
        <v>169.26147499999999</v>
      </c>
      <c r="W24">
        <v>171.02398700000001</v>
      </c>
      <c r="X24">
        <v>172.79663099999999</v>
      </c>
      <c r="Y24">
        <v>174.568344</v>
      </c>
      <c r="Z24">
        <v>176.323059</v>
      </c>
      <c r="AA24">
        <v>178.06845100000001</v>
      </c>
      <c r="AB24">
        <v>179.80493200000001</v>
      </c>
      <c r="AC24">
        <v>181.533905</v>
      </c>
      <c r="AD24">
        <v>183.252151</v>
      </c>
      <c r="AE24">
        <v>184.96646100000001</v>
      </c>
      <c r="AF24">
        <v>186.669861</v>
      </c>
      <c r="AG24">
        <v>188.36108400000001</v>
      </c>
      <c r="AH24">
        <v>190.04331999999999</v>
      </c>
      <c r="AI24" s="16">
        <v>1.0999999999999999E-2</v>
      </c>
    </row>
    <row r="25" spans="1:35" x14ac:dyDescent="0.25">
      <c r="A25" t="s">
        <v>195</v>
      </c>
    </row>
    <row r="26" spans="1:35" x14ac:dyDescent="0.25">
      <c r="A26" t="s">
        <v>196</v>
      </c>
      <c r="B26" t="s">
        <v>379</v>
      </c>
      <c r="C26" t="s">
        <v>380</v>
      </c>
      <c r="D26" t="s">
        <v>183</v>
      </c>
      <c r="F26">
        <v>60.580669</v>
      </c>
      <c r="G26">
        <v>60.983252999999998</v>
      </c>
      <c r="H26">
        <v>61.337626999999998</v>
      </c>
      <c r="I26">
        <v>61.675991000000003</v>
      </c>
      <c r="J26">
        <v>61.982436999999997</v>
      </c>
      <c r="K26">
        <v>62.286163000000002</v>
      </c>
      <c r="L26">
        <v>62.581848000000001</v>
      </c>
      <c r="M26">
        <v>62.861567999999998</v>
      </c>
      <c r="N26">
        <v>63.111282000000003</v>
      </c>
      <c r="O26">
        <v>63.367752000000003</v>
      </c>
      <c r="P26">
        <v>63.636322</v>
      </c>
      <c r="Q26">
        <v>63.985218000000003</v>
      </c>
      <c r="R26">
        <v>64.382026999999994</v>
      </c>
      <c r="S26">
        <v>64.897079000000005</v>
      </c>
      <c r="T26">
        <v>65.400184999999993</v>
      </c>
      <c r="U26">
        <v>65.903778000000003</v>
      </c>
      <c r="V26">
        <v>66.40728</v>
      </c>
      <c r="W26">
        <v>66.896240000000006</v>
      </c>
      <c r="X26">
        <v>67.381805</v>
      </c>
      <c r="Y26">
        <v>67.859168999999994</v>
      </c>
      <c r="Z26">
        <v>68.323227000000003</v>
      </c>
      <c r="AA26">
        <v>68.776732999999993</v>
      </c>
      <c r="AB26">
        <v>69.220825000000005</v>
      </c>
      <c r="AC26">
        <v>69.659087999999997</v>
      </c>
      <c r="AD26">
        <v>70.099632</v>
      </c>
      <c r="AE26">
        <v>70.538925000000006</v>
      </c>
      <c r="AF26">
        <v>70.972908000000004</v>
      </c>
      <c r="AG26">
        <v>71.406891000000002</v>
      </c>
      <c r="AH26">
        <v>71.842628000000005</v>
      </c>
      <c r="AI26" s="16">
        <v>6.0000000000000001E-3</v>
      </c>
    </row>
    <row r="27" spans="1:35" x14ac:dyDescent="0.25">
      <c r="A27" t="s">
        <v>197</v>
      </c>
      <c r="B27" t="s">
        <v>381</v>
      </c>
      <c r="C27" t="s">
        <v>382</v>
      </c>
      <c r="D27" t="s">
        <v>183</v>
      </c>
      <c r="F27">
        <v>61.252429999999997</v>
      </c>
      <c r="G27">
        <v>61.855328</v>
      </c>
      <c r="H27">
        <v>62.501674999999999</v>
      </c>
      <c r="I27">
        <v>63.183993999999998</v>
      </c>
      <c r="J27">
        <v>63.881008000000001</v>
      </c>
      <c r="K27">
        <v>64.589164999999994</v>
      </c>
      <c r="L27">
        <v>65.313995000000006</v>
      </c>
      <c r="M27">
        <v>66.041458000000006</v>
      </c>
      <c r="N27">
        <v>66.761238000000006</v>
      </c>
      <c r="O27">
        <v>67.455582000000007</v>
      </c>
      <c r="P27">
        <v>68.133422999999993</v>
      </c>
      <c r="Q27">
        <v>68.803520000000006</v>
      </c>
      <c r="R27">
        <v>69.458297999999999</v>
      </c>
      <c r="S27">
        <v>70.120711999999997</v>
      </c>
      <c r="T27">
        <v>70.775199999999998</v>
      </c>
      <c r="U27">
        <v>71.421004999999994</v>
      </c>
      <c r="V27">
        <v>72.060173000000006</v>
      </c>
      <c r="W27">
        <v>72.702529999999996</v>
      </c>
      <c r="X27">
        <v>73.355804000000006</v>
      </c>
      <c r="Y27">
        <v>74.013892999999996</v>
      </c>
      <c r="Z27">
        <v>74.665520000000001</v>
      </c>
      <c r="AA27">
        <v>75.316040000000001</v>
      </c>
      <c r="AB27">
        <v>75.965560999999994</v>
      </c>
      <c r="AC27">
        <v>76.611816000000005</v>
      </c>
      <c r="AD27">
        <v>77.243378000000007</v>
      </c>
      <c r="AE27">
        <v>77.870566999999994</v>
      </c>
      <c r="AF27">
        <v>78.490523999999994</v>
      </c>
      <c r="AG27">
        <v>79.097526999999999</v>
      </c>
      <c r="AH27">
        <v>79.692604000000003</v>
      </c>
      <c r="AI27" s="16">
        <v>8.9999999999999993E-3</v>
      </c>
    </row>
    <row r="28" spans="1:35" x14ac:dyDescent="0.25">
      <c r="A28" t="s">
        <v>187</v>
      </c>
      <c r="B28" t="s">
        <v>383</v>
      </c>
      <c r="C28" t="s">
        <v>384</v>
      </c>
      <c r="D28" t="s">
        <v>183</v>
      </c>
      <c r="F28">
        <v>2.542532</v>
      </c>
      <c r="G28">
        <v>2.4844569999999999</v>
      </c>
      <c r="H28">
        <v>2.431864</v>
      </c>
      <c r="I28">
        <v>2.3857050000000002</v>
      </c>
      <c r="J28">
        <v>2.3435670000000002</v>
      </c>
      <c r="K28">
        <v>2.305742</v>
      </c>
      <c r="L28">
        <v>2.2720549999999999</v>
      </c>
      <c r="M28">
        <v>2.2423639999999998</v>
      </c>
      <c r="N28">
        <v>2.2166969999999999</v>
      </c>
      <c r="O28">
        <v>2.188768</v>
      </c>
      <c r="P28">
        <v>2.1592769999999999</v>
      </c>
      <c r="Q28">
        <v>2.1287530000000001</v>
      </c>
      <c r="R28">
        <v>2.098122</v>
      </c>
      <c r="S28">
        <v>2.0668519999999999</v>
      </c>
      <c r="T28">
        <v>2.036216</v>
      </c>
      <c r="U28">
        <v>2.0060829999999998</v>
      </c>
      <c r="V28">
        <v>1.976985</v>
      </c>
      <c r="W28">
        <v>1.9489259999999999</v>
      </c>
      <c r="X28">
        <v>1.9220330000000001</v>
      </c>
      <c r="Y28">
        <v>1.8962410000000001</v>
      </c>
      <c r="Z28">
        <v>1.871523</v>
      </c>
      <c r="AA28">
        <v>1.847718</v>
      </c>
      <c r="AB28">
        <v>1.8246659999999999</v>
      </c>
      <c r="AC28">
        <v>1.80236</v>
      </c>
      <c r="AD28">
        <v>1.780556</v>
      </c>
      <c r="AE28">
        <v>1.7592410000000001</v>
      </c>
      <c r="AF28">
        <v>1.7384189999999999</v>
      </c>
      <c r="AG28">
        <v>1.717659</v>
      </c>
      <c r="AH28">
        <v>1.697292</v>
      </c>
      <c r="AI28" s="16">
        <v>-1.4E-2</v>
      </c>
    </row>
    <row r="29" spans="1:35" x14ac:dyDescent="0.25">
      <c r="A29" t="s">
        <v>149</v>
      </c>
      <c r="B29" t="s">
        <v>385</v>
      </c>
      <c r="C29" t="s">
        <v>386</v>
      </c>
      <c r="D29" t="s">
        <v>183</v>
      </c>
      <c r="F29">
        <v>3.944016</v>
      </c>
      <c r="G29">
        <v>3.844217</v>
      </c>
      <c r="H29">
        <v>3.754283</v>
      </c>
      <c r="I29">
        <v>3.6748500000000002</v>
      </c>
      <c r="J29">
        <v>3.6056059999999999</v>
      </c>
      <c r="K29">
        <v>3.5459260000000001</v>
      </c>
      <c r="L29">
        <v>3.495781</v>
      </c>
      <c r="M29">
        <v>3.4546130000000002</v>
      </c>
      <c r="N29">
        <v>3.4217279999999999</v>
      </c>
      <c r="O29">
        <v>3.3834629999999999</v>
      </c>
      <c r="P29">
        <v>3.3414269999999999</v>
      </c>
      <c r="Q29">
        <v>3.296932</v>
      </c>
      <c r="R29">
        <v>3.250626</v>
      </c>
      <c r="S29">
        <v>3.2032949999999998</v>
      </c>
      <c r="T29">
        <v>3.1566869999999998</v>
      </c>
      <c r="U29">
        <v>3.1109</v>
      </c>
      <c r="V29">
        <v>3.0664980000000002</v>
      </c>
      <c r="W29">
        <v>3.0242019999999998</v>
      </c>
      <c r="X29">
        <v>2.984899</v>
      </c>
      <c r="Y29">
        <v>2.9484699999999999</v>
      </c>
      <c r="Z29">
        <v>2.9144929999999998</v>
      </c>
      <c r="AA29">
        <v>2.8829220000000002</v>
      </c>
      <c r="AB29">
        <v>2.853478</v>
      </c>
      <c r="AC29">
        <v>2.8259439999999998</v>
      </c>
      <c r="AD29">
        <v>2.7997079999999999</v>
      </c>
      <c r="AE29">
        <v>2.7750110000000001</v>
      </c>
      <c r="AF29">
        <v>2.7515610000000001</v>
      </c>
      <c r="AG29">
        <v>2.7290040000000002</v>
      </c>
      <c r="AH29">
        <v>2.7075239999999998</v>
      </c>
      <c r="AI29" s="16">
        <v>-1.2999999999999999E-2</v>
      </c>
    </row>
    <row r="30" spans="1:35" x14ac:dyDescent="0.25">
      <c r="A30" t="s">
        <v>198</v>
      </c>
      <c r="B30" t="s">
        <v>387</v>
      </c>
      <c r="C30" t="s">
        <v>388</v>
      </c>
      <c r="D30" t="s">
        <v>183</v>
      </c>
      <c r="F30">
        <v>2.232774</v>
      </c>
      <c r="G30">
        <v>2.576883</v>
      </c>
      <c r="H30">
        <v>2.9125079999999999</v>
      </c>
      <c r="I30">
        <v>3.2382330000000001</v>
      </c>
      <c r="J30">
        <v>3.563558</v>
      </c>
      <c r="K30">
        <v>3.8726560000000001</v>
      </c>
      <c r="L30">
        <v>4.1679329999999997</v>
      </c>
      <c r="M30">
        <v>4.4541649999999997</v>
      </c>
      <c r="N30">
        <v>4.7348220000000003</v>
      </c>
      <c r="O30">
        <v>5.018878</v>
      </c>
      <c r="P30">
        <v>5.3041390000000002</v>
      </c>
      <c r="Q30">
        <v>5.4952529999999999</v>
      </c>
      <c r="R30">
        <v>5.6203919999999998</v>
      </c>
      <c r="S30">
        <v>5.6063939999999999</v>
      </c>
      <c r="T30">
        <v>5.6123989999999999</v>
      </c>
      <c r="U30">
        <v>5.6182749999999997</v>
      </c>
      <c r="V30">
        <v>5.6239319999999999</v>
      </c>
      <c r="W30">
        <v>5.6299010000000003</v>
      </c>
      <c r="X30">
        <v>5.6361780000000001</v>
      </c>
      <c r="Y30">
        <v>5.6426720000000001</v>
      </c>
      <c r="Z30">
        <v>5.6492990000000001</v>
      </c>
      <c r="AA30">
        <v>5.6560490000000003</v>
      </c>
      <c r="AB30">
        <v>5.662947</v>
      </c>
      <c r="AC30">
        <v>5.6700030000000003</v>
      </c>
      <c r="AD30">
        <v>5.6775789999999997</v>
      </c>
      <c r="AE30">
        <v>5.685092</v>
      </c>
      <c r="AF30">
        <v>5.6925990000000004</v>
      </c>
      <c r="AG30">
        <v>5.7000520000000003</v>
      </c>
      <c r="AH30">
        <v>5.7073559999999999</v>
      </c>
      <c r="AI30" s="16">
        <v>3.4000000000000002E-2</v>
      </c>
    </row>
    <row r="31" spans="1:35" x14ac:dyDescent="0.25">
      <c r="A31" t="s">
        <v>191</v>
      </c>
      <c r="B31" t="s">
        <v>389</v>
      </c>
      <c r="C31" t="s">
        <v>390</v>
      </c>
      <c r="D31" t="s">
        <v>183</v>
      </c>
      <c r="F31">
        <v>130.55242899999999</v>
      </c>
      <c r="G31">
        <v>131.74414100000001</v>
      </c>
      <c r="H31">
        <v>132.93795800000001</v>
      </c>
      <c r="I31">
        <v>134.15876800000001</v>
      </c>
      <c r="J31">
        <v>135.37617499999999</v>
      </c>
      <c r="K31">
        <v>136.59965500000001</v>
      </c>
      <c r="L31">
        <v>137.831604</v>
      </c>
      <c r="M31">
        <v>139.05418399999999</v>
      </c>
      <c r="N31">
        <v>140.245758</v>
      </c>
      <c r="O31">
        <v>141.414444</v>
      </c>
      <c r="P31">
        <v>142.57458500000001</v>
      </c>
      <c r="Q31">
        <v>143.709686</v>
      </c>
      <c r="R31">
        <v>144.80947900000001</v>
      </c>
      <c r="S31">
        <v>145.89433299999999</v>
      </c>
      <c r="T31">
        <v>146.980682</v>
      </c>
      <c r="U31">
        <v>148.06004300000001</v>
      </c>
      <c r="V31">
        <v>149.134872</v>
      </c>
      <c r="W31">
        <v>150.201797</v>
      </c>
      <c r="X31">
        <v>151.28071600000001</v>
      </c>
      <c r="Y31">
        <v>152.360443</v>
      </c>
      <c r="Z31">
        <v>153.42404199999999</v>
      </c>
      <c r="AA31">
        <v>154.47946200000001</v>
      </c>
      <c r="AB31">
        <v>155.52748099999999</v>
      </c>
      <c r="AC31">
        <v>156.569199</v>
      </c>
      <c r="AD31">
        <v>157.600876</v>
      </c>
      <c r="AE31">
        <v>158.62882999999999</v>
      </c>
      <c r="AF31">
        <v>159.64601099999999</v>
      </c>
      <c r="AG31">
        <v>160.65115399999999</v>
      </c>
      <c r="AH31">
        <v>161.6474</v>
      </c>
      <c r="AI31" s="16">
        <v>8.0000000000000002E-3</v>
      </c>
    </row>
    <row r="32" spans="1:35" x14ac:dyDescent="0.25">
      <c r="A32" t="s">
        <v>199</v>
      </c>
    </row>
    <row r="33" spans="1:35" x14ac:dyDescent="0.25">
      <c r="A33" t="s">
        <v>196</v>
      </c>
      <c r="B33" t="s">
        <v>391</v>
      </c>
      <c r="C33" t="s">
        <v>392</v>
      </c>
      <c r="D33" t="s">
        <v>183</v>
      </c>
      <c r="F33">
        <v>98.268683999999993</v>
      </c>
      <c r="G33">
        <v>98.918464999999998</v>
      </c>
      <c r="H33">
        <v>99.554741000000007</v>
      </c>
      <c r="I33">
        <v>100.198555</v>
      </c>
      <c r="J33">
        <v>100.828621</v>
      </c>
      <c r="K33">
        <v>101.449066</v>
      </c>
      <c r="L33">
        <v>102.06017300000001</v>
      </c>
      <c r="M33">
        <v>102.624161</v>
      </c>
      <c r="N33">
        <v>103.12352</v>
      </c>
      <c r="O33">
        <v>103.555977</v>
      </c>
      <c r="P33">
        <v>103.928223</v>
      </c>
      <c r="Q33">
        <v>104.312157</v>
      </c>
      <c r="R33">
        <v>104.726097</v>
      </c>
      <c r="S33">
        <v>105.187927</v>
      </c>
      <c r="T33">
        <v>105.718834</v>
      </c>
      <c r="U33">
        <v>106.31783299999999</v>
      </c>
      <c r="V33">
        <v>106.902771</v>
      </c>
      <c r="W33">
        <v>107.47090900000001</v>
      </c>
      <c r="X33">
        <v>108.035225</v>
      </c>
      <c r="Y33">
        <v>108.586731</v>
      </c>
      <c r="Z33">
        <v>109.113167</v>
      </c>
      <c r="AA33">
        <v>109.61953699999999</v>
      </c>
      <c r="AB33">
        <v>110.10674299999999</v>
      </c>
      <c r="AC33">
        <v>110.57737</v>
      </c>
      <c r="AD33">
        <v>111.032166</v>
      </c>
      <c r="AE33">
        <v>111.479454</v>
      </c>
      <c r="AF33">
        <v>111.91857899999999</v>
      </c>
      <c r="AG33">
        <v>112.35443100000001</v>
      </c>
      <c r="AH33">
        <v>112.79387699999999</v>
      </c>
      <c r="AI33" s="16">
        <v>5.0000000000000001E-3</v>
      </c>
    </row>
    <row r="34" spans="1:35" x14ac:dyDescent="0.25">
      <c r="A34" t="s">
        <v>197</v>
      </c>
      <c r="B34" t="s">
        <v>393</v>
      </c>
      <c r="C34" t="s">
        <v>394</v>
      </c>
      <c r="D34" t="s">
        <v>183</v>
      </c>
      <c r="F34">
        <v>48.883518000000002</v>
      </c>
      <c r="G34">
        <v>49.409148999999999</v>
      </c>
      <c r="H34">
        <v>49.952679000000003</v>
      </c>
      <c r="I34">
        <v>50.517521000000002</v>
      </c>
      <c r="J34">
        <v>51.095180999999997</v>
      </c>
      <c r="K34">
        <v>51.691890999999998</v>
      </c>
      <c r="L34">
        <v>52.309581999999999</v>
      </c>
      <c r="M34">
        <v>52.968777000000003</v>
      </c>
      <c r="N34">
        <v>53.66621</v>
      </c>
      <c r="O34">
        <v>54.411140000000003</v>
      </c>
      <c r="P34">
        <v>55.209865999999998</v>
      </c>
      <c r="Q34">
        <v>55.967616999999997</v>
      </c>
      <c r="R34">
        <v>56.656402999999997</v>
      </c>
      <c r="S34">
        <v>57.278697999999999</v>
      </c>
      <c r="T34">
        <v>57.828837999999998</v>
      </c>
      <c r="U34">
        <v>58.300525999999998</v>
      </c>
      <c r="V34">
        <v>58.784472999999998</v>
      </c>
      <c r="W34">
        <v>59.280293</v>
      </c>
      <c r="X34">
        <v>59.794044</v>
      </c>
      <c r="Y34">
        <v>60.323729999999998</v>
      </c>
      <c r="Z34">
        <v>60.864474999999999</v>
      </c>
      <c r="AA34">
        <v>61.418551999999998</v>
      </c>
      <c r="AB34">
        <v>61.984870999999998</v>
      </c>
      <c r="AC34">
        <v>62.561092000000002</v>
      </c>
      <c r="AD34">
        <v>63.141663000000001</v>
      </c>
      <c r="AE34">
        <v>63.723984000000002</v>
      </c>
      <c r="AF34">
        <v>64.301460000000006</v>
      </c>
      <c r="AG34">
        <v>64.868683000000004</v>
      </c>
      <c r="AH34">
        <v>65.422531000000006</v>
      </c>
      <c r="AI34" s="16">
        <v>0.01</v>
      </c>
    </row>
    <row r="35" spans="1:35" x14ac:dyDescent="0.25">
      <c r="A35" t="s">
        <v>149</v>
      </c>
      <c r="B35" t="s">
        <v>395</v>
      </c>
      <c r="C35" t="s">
        <v>396</v>
      </c>
      <c r="D35" t="s">
        <v>183</v>
      </c>
      <c r="F35">
        <v>7.2516410000000002</v>
      </c>
      <c r="G35">
        <v>7.2353420000000002</v>
      </c>
      <c r="H35">
        <v>7.217015</v>
      </c>
      <c r="I35">
        <v>7.1969430000000001</v>
      </c>
      <c r="J35">
        <v>7.174531</v>
      </c>
      <c r="K35">
        <v>7.1489070000000003</v>
      </c>
      <c r="L35">
        <v>7.120317</v>
      </c>
      <c r="M35">
        <v>7.0881179999999997</v>
      </c>
      <c r="N35">
        <v>7.0514330000000003</v>
      </c>
      <c r="O35">
        <v>7.0113719999999997</v>
      </c>
      <c r="P35">
        <v>6.9694529999999997</v>
      </c>
      <c r="Q35">
        <v>6.9318289999999996</v>
      </c>
      <c r="R35">
        <v>6.8980180000000004</v>
      </c>
      <c r="S35">
        <v>6.8681109999999999</v>
      </c>
      <c r="T35">
        <v>6.8427449999999999</v>
      </c>
      <c r="U35">
        <v>6.8210680000000004</v>
      </c>
      <c r="V35">
        <v>6.7966600000000001</v>
      </c>
      <c r="W35">
        <v>6.769514</v>
      </c>
      <c r="X35">
        <v>6.7403110000000002</v>
      </c>
      <c r="Y35">
        <v>6.7089879999999997</v>
      </c>
      <c r="Z35">
        <v>6.6756200000000003</v>
      </c>
      <c r="AA35">
        <v>6.6409380000000002</v>
      </c>
      <c r="AB35">
        <v>6.6058630000000003</v>
      </c>
      <c r="AC35">
        <v>6.5714249999999996</v>
      </c>
      <c r="AD35">
        <v>6.5383899999999997</v>
      </c>
      <c r="AE35">
        <v>6.5076369999999999</v>
      </c>
      <c r="AF35">
        <v>6.4791080000000001</v>
      </c>
      <c r="AG35">
        <v>6.4522579999999996</v>
      </c>
      <c r="AH35">
        <v>6.426418</v>
      </c>
      <c r="AI35" s="16">
        <v>-4.0000000000000001E-3</v>
      </c>
    </row>
    <row r="36" spans="1:35" x14ac:dyDescent="0.25">
      <c r="A36" t="s">
        <v>191</v>
      </c>
      <c r="B36" t="s">
        <v>397</v>
      </c>
      <c r="C36" t="s">
        <v>398</v>
      </c>
      <c r="D36" t="s">
        <v>183</v>
      </c>
      <c r="F36">
        <v>154.403854</v>
      </c>
      <c r="G36">
        <v>155.56294299999999</v>
      </c>
      <c r="H36">
        <v>156.72442599999999</v>
      </c>
      <c r="I36">
        <v>157.913025</v>
      </c>
      <c r="J36">
        <v>159.09832800000001</v>
      </c>
      <c r="K36">
        <v>160.28987100000001</v>
      </c>
      <c r="L36">
        <v>161.49006700000001</v>
      </c>
      <c r="M36">
        <v>162.681061</v>
      </c>
      <c r="N36">
        <v>163.841171</v>
      </c>
      <c r="O36">
        <v>164.97848500000001</v>
      </c>
      <c r="P36">
        <v>166.10754399999999</v>
      </c>
      <c r="Q36">
        <v>167.21159399999999</v>
      </c>
      <c r="R36">
        <v>168.280518</v>
      </c>
      <c r="S36">
        <v>169.33474699999999</v>
      </c>
      <c r="T36">
        <v>170.390411</v>
      </c>
      <c r="U36">
        <v>171.43942300000001</v>
      </c>
      <c r="V36">
        <v>172.483902</v>
      </c>
      <c r="W36">
        <v>173.52072100000001</v>
      </c>
      <c r="X36">
        <v>174.56958</v>
      </c>
      <c r="Y36">
        <v>175.61944600000001</v>
      </c>
      <c r="Z36">
        <v>176.65325899999999</v>
      </c>
      <c r="AA36">
        <v>177.67901599999999</v>
      </c>
      <c r="AB36">
        <v>178.69747899999999</v>
      </c>
      <c r="AC36">
        <v>179.70988500000001</v>
      </c>
      <c r="AD36">
        <v>180.712219</v>
      </c>
      <c r="AE36">
        <v>181.71106</v>
      </c>
      <c r="AF36">
        <v>182.69914199999999</v>
      </c>
      <c r="AG36">
        <v>183.67536899999999</v>
      </c>
      <c r="AH36">
        <v>184.642822</v>
      </c>
      <c r="AI36" s="16">
        <v>6.0000000000000001E-3</v>
      </c>
    </row>
    <row r="37" spans="1:35" x14ac:dyDescent="0.25">
      <c r="A37" t="s">
        <v>200</v>
      </c>
    </row>
    <row r="38" spans="1:35" x14ac:dyDescent="0.25">
      <c r="A38" t="s">
        <v>196</v>
      </c>
      <c r="B38" t="s">
        <v>399</v>
      </c>
      <c r="C38" t="s">
        <v>400</v>
      </c>
      <c r="D38" t="s">
        <v>183</v>
      </c>
      <c r="F38">
        <v>86.664726000000002</v>
      </c>
      <c r="G38">
        <v>88.297852000000006</v>
      </c>
      <c r="H38">
        <v>89.928329000000005</v>
      </c>
      <c r="I38">
        <v>91.593001999999998</v>
      </c>
      <c r="J38">
        <v>93.232185000000001</v>
      </c>
      <c r="K38">
        <v>94.867050000000006</v>
      </c>
      <c r="L38">
        <v>96.512412999999995</v>
      </c>
      <c r="M38">
        <v>98.151497000000006</v>
      </c>
      <c r="N38">
        <v>99.765617000000006</v>
      </c>
      <c r="O38">
        <v>101.361588</v>
      </c>
      <c r="P38">
        <v>102.95294199999999</v>
      </c>
      <c r="Q38">
        <v>104.526917</v>
      </c>
      <c r="R38">
        <v>106.11953</v>
      </c>
      <c r="S38">
        <v>107.711365</v>
      </c>
      <c r="T38">
        <v>109.317787</v>
      </c>
      <c r="U38">
        <v>110.904121</v>
      </c>
      <c r="V38">
        <v>112.473495</v>
      </c>
      <c r="W38">
        <v>114.027809</v>
      </c>
      <c r="X38">
        <v>115.583641</v>
      </c>
      <c r="Y38">
        <v>117.13265199999999</v>
      </c>
      <c r="Z38">
        <v>118.660141</v>
      </c>
      <c r="AA38">
        <v>120.17596399999999</v>
      </c>
      <c r="AB38">
        <v>121.682526</v>
      </c>
      <c r="AC38">
        <v>123.18261</v>
      </c>
      <c r="AD38">
        <v>124.67440000000001</v>
      </c>
      <c r="AE38">
        <v>126.16295599999999</v>
      </c>
      <c r="AF38">
        <v>127.641502</v>
      </c>
      <c r="AG38">
        <v>129.10882599999999</v>
      </c>
      <c r="AH38">
        <v>130.56716900000001</v>
      </c>
      <c r="AI38" s="16">
        <v>1.4999999999999999E-2</v>
      </c>
    </row>
    <row r="39" spans="1:35" x14ac:dyDescent="0.25">
      <c r="A39" t="s">
        <v>197</v>
      </c>
      <c r="B39" t="s">
        <v>401</v>
      </c>
      <c r="C39" t="s">
        <v>402</v>
      </c>
      <c r="D39" t="s">
        <v>183</v>
      </c>
      <c r="F39">
        <v>20.076682999999999</v>
      </c>
      <c r="G39">
        <v>20.416830000000001</v>
      </c>
      <c r="H39">
        <v>20.774426999999999</v>
      </c>
      <c r="I39">
        <v>21.150563999999999</v>
      </c>
      <c r="J39">
        <v>21.546068000000002</v>
      </c>
      <c r="K39">
        <v>21.964548000000001</v>
      </c>
      <c r="L39">
        <v>22.379805000000001</v>
      </c>
      <c r="M39">
        <v>22.792024999999999</v>
      </c>
      <c r="N39">
        <v>23.198757000000001</v>
      </c>
      <c r="O39">
        <v>23.600092</v>
      </c>
      <c r="P39">
        <v>23.995812999999998</v>
      </c>
      <c r="Q39">
        <v>24.382276999999998</v>
      </c>
      <c r="R39">
        <v>24.755445000000002</v>
      </c>
      <c r="S39">
        <v>25.112666999999998</v>
      </c>
      <c r="T39">
        <v>25.454253999999999</v>
      </c>
      <c r="U39">
        <v>25.806086000000001</v>
      </c>
      <c r="V39">
        <v>26.167632999999999</v>
      </c>
      <c r="W39">
        <v>26.537320999999999</v>
      </c>
      <c r="X39">
        <v>26.915823</v>
      </c>
      <c r="Y39">
        <v>27.30057</v>
      </c>
      <c r="Z39">
        <v>27.687328000000001</v>
      </c>
      <c r="AA39">
        <v>28.075541000000001</v>
      </c>
      <c r="AB39">
        <v>28.46377</v>
      </c>
      <c r="AC39">
        <v>28.850496</v>
      </c>
      <c r="AD39">
        <v>29.233149000000001</v>
      </c>
      <c r="AE39">
        <v>29.612279999999998</v>
      </c>
      <c r="AF39">
        <v>29.987487999999999</v>
      </c>
      <c r="AG39">
        <v>30.358225000000001</v>
      </c>
      <c r="AH39">
        <v>30.725327</v>
      </c>
      <c r="AI39" s="16">
        <v>1.4999999999999999E-2</v>
      </c>
    </row>
    <row r="40" spans="1:35" x14ac:dyDescent="0.25">
      <c r="A40" t="s">
        <v>191</v>
      </c>
      <c r="B40" t="s">
        <v>403</v>
      </c>
      <c r="C40" t="s">
        <v>404</v>
      </c>
      <c r="D40" t="s">
        <v>183</v>
      </c>
      <c r="F40">
        <v>106.741409</v>
      </c>
      <c r="G40">
        <v>108.71468400000001</v>
      </c>
      <c r="H40">
        <v>110.702759</v>
      </c>
      <c r="I40">
        <v>112.743568</v>
      </c>
      <c r="J40">
        <v>114.77825199999999</v>
      </c>
      <c r="K40">
        <v>116.831596</v>
      </c>
      <c r="L40">
        <v>118.89221999999999</v>
      </c>
      <c r="M40">
        <v>120.94352000000001</v>
      </c>
      <c r="N40">
        <v>122.964371</v>
      </c>
      <c r="O40">
        <v>124.96167800000001</v>
      </c>
      <c r="P40">
        <v>126.948753</v>
      </c>
      <c r="Q40">
        <v>128.90919500000001</v>
      </c>
      <c r="R40">
        <v>130.87496899999999</v>
      </c>
      <c r="S40">
        <v>132.82403600000001</v>
      </c>
      <c r="T40">
        <v>134.77203399999999</v>
      </c>
      <c r="U40">
        <v>136.710205</v>
      </c>
      <c r="V40">
        <v>138.64112900000001</v>
      </c>
      <c r="W40">
        <v>140.56512499999999</v>
      </c>
      <c r="X40">
        <v>142.49946600000001</v>
      </c>
      <c r="Y40">
        <v>144.43322800000001</v>
      </c>
      <c r="Z40">
        <v>146.34747300000001</v>
      </c>
      <c r="AA40">
        <v>148.25151099999999</v>
      </c>
      <c r="AB40">
        <v>150.14630099999999</v>
      </c>
      <c r="AC40">
        <v>152.03311199999999</v>
      </c>
      <c r="AD40">
        <v>153.90754699999999</v>
      </c>
      <c r="AE40">
        <v>155.775238</v>
      </c>
      <c r="AF40">
        <v>157.628998</v>
      </c>
      <c r="AG40">
        <v>159.46705600000001</v>
      </c>
      <c r="AH40">
        <v>161.292496</v>
      </c>
      <c r="AI40" s="16">
        <v>1.4999999999999999E-2</v>
      </c>
    </row>
    <row r="41" spans="1:35" x14ac:dyDescent="0.25">
      <c r="A41" t="s">
        <v>201</v>
      </c>
    </row>
    <row r="42" spans="1:35" x14ac:dyDescent="0.25">
      <c r="A42" t="s">
        <v>202</v>
      </c>
      <c r="B42" t="s">
        <v>405</v>
      </c>
      <c r="C42" t="s">
        <v>406</v>
      </c>
      <c r="D42" t="s">
        <v>183</v>
      </c>
      <c r="F42">
        <v>172.81051600000001</v>
      </c>
      <c r="G42">
        <v>174.53036499999999</v>
      </c>
      <c r="H42">
        <v>176.27569600000001</v>
      </c>
      <c r="I42">
        <v>178.06526199999999</v>
      </c>
      <c r="J42">
        <v>179.84724399999999</v>
      </c>
      <c r="K42">
        <v>181.635696</v>
      </c>
      <c r="L42">
        <v>183.43623400000001</v>
      </c>
      <c r="M42">
        <v>185.22486900000001</v>
      </c>
      <c r="N42">
        <v>186.971237</v>
      </c>
      <c r="O42">
        <v>188.685394</v>
      </c>
      <c r="P42">
        <v>190.38591</v>
      </c>
      <c r="Q42">
        <v>192.05006399999999</v>
      </c>
      <c r="R42">
        <v>193.663895</v>
      </c>
      <c r="S42">
        <v>195.25654599999999</v>
      </c>
      <c r="T42">
        <v>196.84982299999999</v>
      </c>
      <c r="U42">
        <v>198.431152</v>
      </c>
      <c r="V42">
        <v>200.00401299999999</v>
      </c>
      <c r="W42">
        <v>201.563278</v>
      </c>
      <c r="X42">
        <v>203.13880900000001</v>
      </c>
      <c r="Y42">
        <v>204.71639999999999</v>
      </c>
      <c r="Z42">
        <v>206.270172</v>
      </c>
      <c r="AA42">
        <v>207.812805</v>
      </c>
      <c r="AB42">
        <v>209.345474</v>
      </c>
      <c r="AC42">
        <v>210.86968999999999</v>
      </c>
      <c r="AD42">
        <v>212.37983700000001</v>
      </c>
      <c r="AE42">
        <v>213.88214099999999</v>
      </c>
      <c r="AF42">
        <v>215.36779799999999</v>
      </c>
      <c r="AG42">
        <v>216.83412200000001</v>
      </c>
      <c r="AH42">
        <v>218.28552199999999</v>
      </c>
      <c r="AI42" s="16">
        <v>8.0000000000000002E-3</v>
      </c>
    </row>
    <row r="43" spans="1:35" x14ac:dyDescent="0.25">
      <c r="A43" t="s">
        <v>203</v>
      </c>
      <c r="B43" t="s">
        <v>407</v>
      </c>
      <c r="C43" t="s">
        <v>408</v>
      </c>
      <c r="D43" t="s">
        <v>183</v>
      </c>
      <c r="F43">
        <v>45.411746999999998</v>
      </c>
      <c r="G43">
        <v>45.797165</v>
      </c>
      <c r="H43">
        <v>46.196086999999999</v>
      </c>
      <c r="I43">
        <v>46.606502999999996</v>
      </c>
      <c r="J43">
        <v>47.016159000000002</v>
      </c>
      <c r="K43">
        <v>47.427891000000002</v>
      </c>
      <c r="L43">
        <v>47.842959999999998</v>
      </c>
      <c r="M43">
        <v>48.255485999999998</v>
      </c>
      <c r="N43">
        <v>48.656849000000001</v>
      </c>
      <c r="O43">
        <v>49.049393000000002</v>
      </c>
      <c r="P43">
        <v>49.438591000000002</v>
      </c>
      <c r="Q43">
        <v>49.820273999999998</v>
      </c>
      <c r="R43">
        <v>50.190593999999997</v>
      </c>
      <c r="S43">
        <v>50.555218000000004</v>
      </c>
      <c r="T43">
        <v>50.919407</v>
      </c>
      <c r="U43">
        <v>51.278885000000002</v>
      </c>
      <c r="V43">
        <v>51.634022000000002</v>
      </c>
      <c r="W43">
        <v>51.984622999999999</v>
      </c>
      <c r="X43">
        <v>52.339035000000003</v>
      </c>
      <c r="Y43">
        <v>52.69482</v>
      </c>
      <c r="Z43">
        <v>53.045344999999998</v>
      </c>
      <c r="AA43">
        <v>53.393279999999997</v>
      </c>
      <c r="AB43">
        <v>53.739021000000001</v>
      </c>
      <c r="AC43">
        <v>54.082709999999999</v>
      </c>
      <c r="AD43">
        <v>54.422564999999999</v>
      </c>
      <c r="AE43">
        <v>54.759822999999997</v>
      </c>
      <c r="AF43">
        <v>55.092644</v>
      </c>
      <c r="AG43">
        <v>55.419907000000002</v>
      </c>
      <c r="AH43">
        <v>55.742942999999997</v>
      </c>
      <c r="AI43" s="16">
        <v>7.0000000000000001E-3</v>
      </c>
    </row>
    <row r="44" spans="1:35" x14ac:dyDescent="0.25">
      <c r="A44" t="s">
        <v>3</v>
      </c>
    </row>
    <row r="45" spans="1:35" x14ac:dyDescent="0.25">
      <c r="A45" t="s">
        <v>181</v>
      </c>
    </row>
    <row r="46" spans="1:35" x14ac:dyDescent="0.25">
      <c r="A46" t="s">
        <v>204</v>
      </c>
      <c r="B46" t="s">
        <v>409</v>
      </c>
      <c r="C46" t="s">
        <v>410</v>
      </c>
      <c r="D46" t="s">
        <v>205</v>
      </c>
      <c r="F46">
        <v>8.2105870000000003</v>
      </c>
      <c r="G46">
        <v>8.3041020000000003</v>
      </c>
      <c r="H46">
        <v>8.3882680000000001</v>
      </c>
      <c r="I46">
        <v>8.4682300000000001</v>
      </c>
      <c r="J46">
        <v>8.5434049999999999</v>
      </c>
      <c r="K46">
        <v>8.6142299999999992</v>
      </c>
      <c r="L46">
        <v>8.6805939999999993</v>
      </c>
      <c r="M46">
        <v>8.7428209999999993</v>
      </c>
      <c r="N46">
        <v>8.8006030000000006</v>
      </c>
      <c r="O46">
        <v>8.8540530000000004</v>
      </c>
      <c r="P46">
        <v>8.9030269999999998</v>
      </c>
      <c r="Q46">
        <v>8.9460110000000004</v>
      </c>
      <c r="R46">
        <v>8.9837790000000002</v>
      </c>
      <c r="S46">
        <v>9.0156770000000002</v>
      </c>
      <c r="T46">
        <v>9.0406779999999998</v>
      </c>
      <c r="U46">
        <v>9.0578079999999996</v>
      </c>
      <c r="V46">
        <v>9.0734449999999995</v>
      </c>
      <c r="W46">
        <v>9.087294</v>
      </c>
      <c r="X46">
        <v>9.0991710000000001</v>
      </c>
      <c r="Y46">
        <v>9.1090409999999995</v>
      </c>
      <c r="Z46">
        <v>9.1170039999999997</v>
      </c>
      <c r="AA46">
        <v>9.1232220000000002</v>
      </c>
      <c r="AB46">
        <v>9.1279190000000003</v>
      </c>
      <c r="AC46">
        <v>9.1313650000000006</v>
      </c>
      <c r="AD46">
        <v>9.1338329999999992</v>
      </c>
      <c r="AE46">
        <v>9.1355599999999999</v>
      </c>
      <c r="AF46">
        <v>9.1367729999999998</v>
      </c>
      <c r="AG46">
        <v>9.1376410000000003</v>
      </c>
      <c r="AH46">
        <v>9.138287</v>
      </c>
      <c r="AI46" s="16">
        <v>4.0000000000000001E-3</v>
      </c>
    </row>
    <row r="47" spans="1:35" x14ac:dyDescent="0.25">
      <c r="A47" t="s">
        <v>206</v>
      </c>
      <c r="B47" t="s">
        <v>411</v>
      </c>
      <c r="C47" t="s">
        <v>412</v>
      </c>
      <c r="D47" t="s">
        <v>207</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s="16">
        <v>0</v>
      </c>
    </row>
    <row r="48" spans="1:35" x14ac:dyDescent="0.25">
      <c r="A48" t="s">
        <v>208</v>
      </c>
      <c r="B48" t="s">
        <v>413</v>
      </c>
      <c r="C48" t="s">
        <v>414</v>
      </c>
      <c r="D48" t="s">
        <v>209</v>
      </c>
      <c r="F48">
        <v>3.5046040000000001</v>
      </c>
      <c r="G48">
        <v>3.5563690000000001</v>
      </c>
      <c r="H48">
        <v>3.5984400000000001</v>
      </c>
      <c r="I48">
        <v>3.6346810000000001</v>
      </c>
      <c r="J48">
        <v>3.6662910000000002</v>
      </c>
      <c r="K48">
        <v>3.6931150000000001</v>
      </c>
      <c r="L48">
        <v>3.7162570000000001</v>
      </c>
      <c r="M48">
        <v>3.7366109999999999</v>
      </c>
      <c r="N48">
        <v>3.7546110000000001</v>
      </c>
      <c r="O48">
        <v>3.7707660000000001</v>
      </c>
      <c r="P48">
        <v>3.785425</v>
      </c>
      <c r="Q48">
        <v>3.7965840000000002</v>
      </c>
      <c r="R48">
        <v>3.8054929999999998</v>
      </c>
      <c r="S48">
        <v>3.7960410000000002</v>
      </c>
      <c r="T48">
        <v>3.785444</v>
      </c>
      <c r="U48">
        <v>3.7749510000000002</v>
      </c>
      <c r="V48">
        <v>3.7645369999999998</v>
      </c>
      <c r="W48">
        <v>3.7542870000000002</v>
      </c>
      <c r="X48">
        <v>3.7440150000000001</v>
      </c>
      <c r="Y48">
        <v>3.7339370000000001</v>
      </c>
      <c r="Z48">
        <v>3.724154</v>
      </c>
      <c r="AA48">
        <v>3.7146349999999999</v>
      </c>
      <c r="AB48">
        <v>3.7055349999999998</v>
      </c>
      <c r="AC48">
        <v>3.6968719999999999</v>
      </c>
      <c r="AD48">
        <v>3.688707</v>
      </c>
      <c r="AE48">
        <v>3.681581</v>
      </c>
      <c r="AF48">
        <v>3.6755059999999999</v>
      </c>
      <c r="AG48">
        <v>3.6704319999999999</v>
      </c>
      <c r="AH48">
        <v>3.6663009999999998</v>
      </c>
      <c r="AI48" s="16">
        <v>2E-3</v>
      </c>
    </row>
    <row r="49" spans="1:35" x14ac:dyDescent="0.25">
      <c r="A49" t="s">
        <v>210</v>
      </c>
      <c r="B49" t="s">
        <v>415</v>
      </c>
      <c r="C49" t="s">
        <v>416</v>
      </c>
      <c r="D49" t="s">
        <v>211</v>
      </c>
      <c r="F49">
        <v>0.832511</v>
      </c>
      <c r="G49">
        <v>0.83904199999999995</v>
      </c>
      <c r="H49">
        <v>0.84528400000000004</v>
      </c>
      <c r="I49">
        <v>0.851464</v>
      </c>
      <c r="J49">
        <v>0.85759799999999997</v>
      </c>
      <c r="K49">
        <v>0.86323399999999995</v>
      </c>
      <c r="L49">
        <v>0.86841599999999997</v>
      </c>
      <c r="M49">
        <v>0.87314499999999995</v>
      </c>
      <c r="N49">
        <v>0.87741400000000003</v>
      </c>
      <c r="O49">
        <v>0.88129500000000005</v>
      </c>
      <c r="P49">
        <v>0.88477799999999995</v>
      </c>
      <c r="Q49">
        <v>0.88619700000000001</v>
      </c>
      <c r="R49">
        <v>0.88727100000000003</v>
      </c>
      <c r="S49">
        <v>0.88805000000000001</v>
      </c>
      <c r="T49">
        <v>0.88850899999999999</v>
      </c>
      <c r="U49">
        <v>0.88866599999999996</v>
      </c>
      <c r="V49">
        <v>0.88850499999999999</v>
      </c>
      <c r="W49">
        <v>0.88801300000000005</v>
      </c>
      <c r="X49">
        <v>0.88716899999999999</v>
      </c>
      <c r="Y49">
        <v>0.88598399999999999</v>
      </c>
      <c r="Z49">
        <v>0.88472499999999998</v>
      </c>
      <c r="AA49">
        <v>0.883386</v>
      </c>
      <c r="AB49">
        <v>0.88197000000000003</v>
      </c>
      <c r="AC49">
        <v>0.88049599999999995</v>
      </c>
      <c r="AD49">
        <v>0.87900699999999998</v>
      </c>
      <c r="AE49">
        <v>0.877502</v>
      </c>
      <c r="AF49">
        <v>0.87601399999999996</v>
      </c>
      <c r="AG49">
        <v>0.87458000000000002</v>
      </c>
      <c r="AH49">
        <v>0.87323399999999995</v>
      </c>
      <c r="AI49" s="16">
        <v>2E-3</v>
      </c>
    </row>
    <row r="50" spans="1:35" x14ac:dyDescent="0.25">
      <c r="A50" t="s">
        <v>212</v>
      </c>
      <c r="B50" t="s">
        <v>417</v>
      </c>
      <c r="C50" t="s">
        <v>418</v>
      </c>
      <c r="D50" t="s">
        <v>211</v>
      </c>
      <c r="F50">
        <v>0.83697999999999995</v>
      </c>
      <c r="G50">
        <v>0.83929600000000004</v>
      </c>
      <c r="H50">
        <v>0.84096899999999997</v>
      </c>
      <c r="I50">
        <v>0.84250899999999995</v>
      </c>
      <c r="J50">
        <v>0.84400500000000001</v>
      </c>
      <c r="K50">
        <v>0.84554600000000002</v>
      </c>
      <c r="L50">
        <v>0.84694499999999995</v>
      </c>
      <c r="M50">
        <v>0.84822900000000001</v>
      </c>
      <c r="N50">
        <v>0.84937600000000002</v>
      </c>
      <c r="O50">
        <v>0.85042300000000004</v>
      </c>
      <c r="P50">
        <v>0.85134699999999996</v>
      </c>
      <c r="Q50">
        <v>0.85187500000000005</v>
      </c>
      <c r="R50">
        <v>0.85233000000000003</v>
      </c>
      <c r="S50">
        <v>0.852715</v>
      </c>
      <c r="T50">
        <v>0.85302599999999995</v>
      </c>
      <c r="U50">
        <v>0.85326599999999997</v>
      </c>
      <c r="V50">
        <v>0.85342799999999996</v>
      </c>
      <c r="W50">
        <v>0.85350899999999996</v>
      </c>
      <c r="X50">
        <v>0.85349799999999998</v>
      </c>
      <c r="Y50">
        <v>0.85340300000000002</v>
      </c>
      <c r="Z50">
        <v>0.85327600000000003</v>
      </c>
      <c r="AA50">
        <v>0.85311000000000003</v>
      </c>
      <c r="AB50">
        <v>0.85289599999999999</v>
      </c>
      <c r="AC50">
        <v>0.85262800000000005</v>
      </c>
      <c r="AD50">
        <v>0.85229999999999995</v>
      </c>
      <c r="AE50">
        <v>0.85190600000000005</v>
      </c>
      <c r="AF50">
        <v>0.85144299999999995</v>
      </c>
      <c r="AG50">
        <v>0.85091499999999998</v>
      </c>
      <c r="AH50">
        <v>0.85032700000000006</v>
      </c>
      <c r="AI50" s="16">
        <v>1E-3</v>
      </c>
    </row>
    <row r="51" spans="1:35" x14ac:dyDescent="0.25">
      <c r="A51" t="s">
        <v>213</v>
      </c>
    </row>
    <row r="52" spans="1:35" x14ac:dyDescent="0.25">
      <c r="A52" t="s">
        <v>214</v>
      </c>
      <c r="B52" t="s">
        <v>419</v>
      </c>
      <c r="C52" t="s">
        <v>420</v>
      </c>
      <c r="D52" t="s">
        <v>215</v>
      </c>
      <c r="F52">
        <v>14.11839</v>
      </c>
      <c r="G52">
        <v>14.361896</v>
      </c>
      <c r="H52">
        <v>14.581602999999999</v>
      </c>
      <c r="I52">
        <v>14.788684</v>
      </c>
      <c r="J52">
        <v>14.981616000000001</v>
      </c>
      <c r="K52">
        <v>15.161526</v>
      </c>
      <c r="L52">
        <v>15.328118</v>
      </c>
      <c r="M52">
        <v>15.482331</v>
      </c>
      <c r="N52">
        <v>15.623494000000001</v>
      </c>
      <c r="O52">
        <v>15.752029</v>
      </c>
      <c r="P52">
        <v>15.867741000000001</v>
      </c>
      <c r="Q52">
        <v>15.967606999999999</v>
      </c>
      <c r="R52">
        <v>16.053270000000001</v>
      </c>
      <c r="S52">
        <v>16.123374999999999</v>
      </c>
      <c r="T52">
        <v>16.175518</v>
      </c>
      <c r="U52">
        <v>16.207474000000001</v>
      </c>
      <c r="V52">
        <v>16.236522999999998</v>
      </c>
      <c r="W52">
        <v>16.262094000000001</v>
      </c>
      <c r="X52">
        <v>16.283840000000001</v>
      </c>
      <c r="Y52">
        <v>16.301705999999999</v>
      </c>
      <c r="Z52">
        <v>16.315929000000001</v>
      </c>
      <c r="AA52">
        <v>16.326823999999998</v>
      </c>
      <c r="AB52">
        <v>16.334866000000002</v>
      </c>
      <c r="AC52">
        <v>16.340574</v>
      </c>
      <c r="AD52">
        <v>16.344491999999999</v>
      </c>
      <c r="AE52">
        <v>16.347061</v>
      </c>
      <c r="AF52">
        <v>16.348739999999999</v>
      </c>
      <c r="AG52">
        <v>16.349837999999998</v>
      </c>
      <c r="AH52">
        <v>16.350580000000001</v>
      </c>
      <c r="AI52" s="16">
        <v>5.0000000000000001E-3</v>
      </c>
    </row>
    <row r="53" spans="1:35" x14ac:dyDescent="0.25">
      <c r="A53" t="s">
        <v>206</v>
      </c>
      <c r="B53" t="s">
        <v>421</v>
      </c>
      <c r="C53" t="s">
        <v>422</v>
      </c>
      <c r="D53" t="s">
        <v>207</v>
      </c>
      <c r="F53">
        <v>0.61770899999999995</v>
      </c>
      <c r="G53">
        <v>0.62423799999999996</v>
      </c>
      <c r="H53">
        <v>0.63057300000000005</v>
      </c>
      <c r="I53">
        <v>0.63670700000000002</v>
      </c>
      <c r="J53">
        <v>0.64261699999999999</v>
      </c>
      <c r="K53">
        <v>0.64837400000000001</v>
      </c>
      <c r="L53">
        <v>0.65404200000000001</v>
      </c>
      <c r="M53">
        <v>0.65978300000000001</v>
      </c>
      <c r="N53">
        <v>0.66571100000000005</v>
      </c>
      <c r="O53">
        <v>0.67192700000000005</v>
      </c>
      <c r="P53">
        <v>0.67837199999999998</v>
      </c>
      <c r="Q53">
        <v>0.68473499999999998</v>
      </c>
      <c r="R53">
        <v>0.69050900000000004</v>
      </c>
      <c r="S53">
        <v>0.69510499999999997</v>
      </c>
      <c r="T53">
        <v>0.69807300000000005</v>
      </c>
      <c r="U53">
        <v>0.69929300000000005</v>
      </c>
      <c r="V53">
        <v>0.69981400000000005</v>
      </c>
      <c r="W53">
        <v>0.69996800000000003</v>
      </c>
      <c r="X53">
        <v>0.69999699999999998</v>
      </c>
      <c r="Y53">
        <v>0.7</v>
      </c>
      <c r="Z53">
        <v>0.7</v>
      </c>
      <c r="AA53">
        <v>0.7</v>
      </c>
      <c r="AB53">
        <v>0.7</v>
      </c>
      <c r="AC53">
        <v>0.7</v>
      </c>
      <c r="AD53">
        <v>0.7</v>
      </c>
      <c r="AE53">
        <v>0.7</v>
      </c>
      <c r="AF53">
        <v>0.7</v>
      </c>
      <c r="AG53">
        <v>0.7</v>
      </c>
      <c r="AH53">
        <v>0.7</v>
      </c>
      <c r="AI53" s="16">
        <v>4.0000000000000001E-3</v>
      </c>
    </row>
    <row r="54" spans="1:35" x14ac:dyDescent="0.25">
      <c r="A54" t="s">
        <v>216</v>
      </c>
      <c r="B54" t="s">
        <v>423</v>
      </c>
      <c r="C54" t="s">
        <v>424</v>
      </c>
      <c r="D54" t="s">
        <v>217</v>
      </c>
      <c r="F54">
        <v>16.046894000000002</v>
      </c>
      <c r="G54">
        <v>16.408232000000002</v>
      </c>
      <c r="H54">
        <v>16.704948000000002</v>
      </c>
      <c r="I54">
        <v>16.961611000000001</v>
      </c>
      <c r="J54">
        <v>17.185707000000001</v>
      </c>
      <c r="K54">
        <v>17.376514</v>
      </c>
      <c r="L54">
        <v>17.541615</v>
      </c>
      <c r="M54">
        <v>17.686883999999999</v>
      </c>
      <c r="N54">
        <v>17.815270999999999</v>
      </c>
      <c r="O54">
        <v>17.930159</v>
      </c>
      <c r="P54">
        <v>18.034072999999999</v>
      </c>
      <c r="Q54">
        <v>18.113184</v>
      </c>
      <c r="R54">
        <v>18.175549</v>
      </c>
      <c r="S54">
        <v>18.107792</v>
      </c>
      <c r="T54">
        <v>18.027934999999999</v>
      </c>
      <c r="U54">
        <v>17.949611999999998</v>
      </c>
      <c r="V54">
        <v>17.872522</v>
      </c>
      <c r="W54">
        <v>17.797091999999999</v>
      </c>
      <c r="X54">
        <v>17.722010000000001</v>
      </c>
      <c r="Y54">
        <v>17.648726</v>
      </c>
      <c r="Z54">
        <v>17.577887</v>
      </c>
      <c r="AA54">
        <v>17.509315000000001</v>
      </c>
      <c r="AB54">
        <v>17.444035</v>
      </c>
      <c r="AC54">
        <v>17.382135000000002</v>
      </c>
      <c r="AD54">
        <v>17.324014999999999</v>
      </c>
      <c r="AE54">
        <v>17.273260000000001</v>
      </c>
      <c r="AF54">
        <v>17.22991</v>
      </c>
      <c r="AG54">
        <v>17.193608999999999</v>
      </c>
      <c r="AH54">
        <v>17.163919</v>
      </c>
      <c r="AI54" s="16">
        <v>2E-3</v>
      </c>
    </row>
    <row r="55" spans="1:35" x14ac:dyDescent="0.25">
      <c r="A55" t="s">
        <v>218</v>
      </c>
      <c r="B55" t="s">
        <v>425</v>
      </c>
      <c r="C55" t="s">
        <v>426</v>
      </c>
      <c r="D55" t="s">
        <v>215</v>
      </c>
      <c r="F55">
        <v>13.652025999999999</v>
      </c>
      <c r="G55">
        <v>13.912424</v>
      </c>
      <c r="H55">
        <v>14.154226</v>
      </c>
      <c r="I55">
        <v>14.378797</v>
      </c>
      <c r="J55">
        <v>14.584899</v>
      </c>
      <c r="K55">
        <v>14.773286000000001</v>
      </c>
      <c r="L55">
        <v>14.944267</v>
      </c>
      <c r="M55">
        <v>15.10037</v>
      </c>
      <c r="N55">
        <v>15.240843999999999</v>
      </c>
      <c r="O55">
        <v>15.365807</v>
      </c>
      <c r="P55">
        <v>15.47662</v>
      </c>
      <c r="Q55">
        <v>15.542377999999999</v>
      </c>
      <c r="R55">
        <v>15.594194</v>
      </c>
      <c r="S55">
        <v>15.634285999999999</v>
      </c>
      <c r="T55">
        <v>15.661597</v>
      </c>
      <c r="U55">
        <v>15.6744</v>
      </c>
      <c r="V55">
        <v>15.685153</v>
      </c>
      <c r="W55">
        <v>15.693208</v>
      </c>
      <c r="X55">
        <v>15.698021000000001</v>
      </c>
      <c r="Y55">
        <v>15.699372</v>
      </c>
      <c r="Z55">
        <v>15.697274</v>
      </c>
      <c r="AA55">
        <v>15.691940000000001</v>
      </c>
      <c r="AB55">
        <v>15.683793</v>
      </c>
      <c r="AC55">
        <v>15.673481000000001</v>
      </c>
      <c r="AD55">
        <v>15.661708000000001</v>
      </c>
      <c r="AE55">
        <v>15.649206</v>
      </c>
      <c r="AF55">
        <v>15.636742999999999</v>
      </c>
      <c r="AG55">
        <v>15.624902000000001</v>
      </c>
      <c r="AH55">
        <v>15.614152000000001</v>
      </c>
      <c r="AI55" s="16">
        <v>5.0000000000000001E-3</v>
      </c>
    </row>
    <row r="56" spans="1:35" x14ac:dyDescent="0.25">
      <c r="A56" t="s">
        <v>219</v>
      </c>
      <c r="B56" t="s">
        <v>427</v>
      </c>
      <c r="C56" t="s">
        <v>428</v>
      </c>
      <c r="D56" t="s">
        <v>217</v>
      </c>
      <c r="F56">
        <v>11.294298</v>
      </c>
      <c r="G56">
        <v>11.378965000000001</v>
      </c>
      <c r="H56">
        <v>11.470779</v>
      </c>
      <c r="I56">
        <v>11.555712</v>
      </c>
      <c r="J56">
        <v>11.63078</v>
      </c>
      <c r="K56">
        <v>11.695589999999999</v>
      </c>
      <c r="L56">
        <v>11.751351</v>
      </c>
      <c r="M56">
        <v>11.797001</v>
      </c>
      <c r="N56">
        <v>11.849714000000001</v>
      </c>
      <c r="O56">
        <v>11.886739</v>
      </c>
      <c r="P56">
        <v>11.908359000000001</v>
      </c>
      <c r="Q56">
        <v>11.930096000000001</v>
      </c>
      <c r="R56">
        <v>11.951796999999999</v>
      </c>
      <c r="S56">
        <v>11.972925999999999</v>
      </c>
      <c r="T56">
        <v>11.993067</v>
      </c>
      <c r="U56">
        <v>12.011563000000001</v>
      </c>
      <c r="V56">
        <v>12.027761</v>
      </c>
      <c r="W56">
        <v>12.0411</v>
      </c>
      <c r="X56">
        <v>12.063248</v>
      </c>
      <c r="Y56">
        <v>12.082109000000001</v>
      </c>
      <c r="Z56">
        <v>12.098355</v>
      </c>
      <c r="AA56">
        <v>12.112704000000001</v>
      </c>
      <c r="AB56">
        <v>12.125787000000001</v>
      </c>
      <c r="AC56">
        <v>12.138025000000001</v>
      </c>
      <c r="AD56">
        <v>12.149449000000001</v>
      </c>
      <c r="AE56">
        <v>12.159872999999999</v>
      </c>
      <c r="AF56">
        <v>12.168983000000001</v>
      </c>
      <c r="AG56">
        <v>12.176450000000001</v>
      </c>
      <c r="AH56">
        <v>12.18211</v>
      </c>
      <c r="AI56" s="16">
        <v>3.0000000000000001E-3</v>
      </c>
    </row>
    <row r="57" spans="1:35" x14ac:dyDescent="0.25">
      <c r="A57" t="s">
        <v>220</v>
      </c>
    </row>
    <row r="58" spans="1:35" x14ac:dyDescent="0.25">
      <c r="A58" t="s">
        <v>221</v>
      </c>
      <c r="B58" t="s">
        <v>429</v>
      </c>
      <c r="C58" t="s">
        <v>430</v>
      </c>
      <c r="D58" t="s">
        <v>222</v>
      </c>
      <c r="F58">
        <v>0.93223100000000003</v>
      </c>
      <c r="G58">
        <v>0.94399900000000003</v>
      </c>
      <c r="H58">
        <v>0.95498499999999997</v>
      </c>
      <c r="I58">
        <v>0.96658599999999995</v>
      </c>
      <c r="J58">
        <v>0.978653</v>
      </c>
      <c r="K58">
        <v>0.99048400000000003</v>
      </c>
      <c r="L58">
        <v>1.001943</v>
      </c>
      <c r="M58">
        <v>1.0129809999999999</v>
      </c>
      <c r="N58">
        <v>1.0234220000000001</v>
      </c>
      <c r="O58">
        <v>1.033579</v>
      </c>
      <c r="P58">
        <v>1.043442</v>
      </c>
      <c r="Q58">
        <v>1.0432840000000001</v>
      </c>
      <c r="R58">
        <v>1.03752</v>
      </c>
      <c r="S58">
        <v>1.0320370000000001</v>
      </c>
      <c r="T58">
        <v>1.0266960000000001</v>
      </c>
      <c r="U58">
        <v>1.021409</v>
      </c>
      <c r="V58">
        <v>1.0161340000000001</v>
      </c>
      <c r="W58">
        <v>1.0113380000000001</v>
      </c>
      <c r="X58">
        <v>1.0069630000000001</v>
      </c>
      <c r="Y58">
        <v>1.003034</v>
      </c>
      <c r="Z58">
        <v>0.99955899999999998</v>
      </c>
      <c r="AA58">
        <v>0.996529</v>
      </c>
      <c r="AB58">
        <v>0.99392100000000005</v>
      </c>
      <c r="AC58">
        <v>0.99170800000000003</v>
      </c>
      <c r="AD58">
        <v>0.98985400000000001</v>
      </c>
      <c r="AE58">
        <v>0.98832500000000001</v>
      </c>
      <c r="AF58">
        <v>0.98708300000000004</v>
      </c>
      <c r="AG58">
        <v>0.98609100000000005</v>
      </c>
      <c r="AH58">
        <v>0.98531000000000002</v>
      </c>
      <c r="AI58" s="16">
        <v>2E-3</v>
      </c>
    </row>
    <row r="59" spans="1:35" x14ac:dyDescent="0.25">
      <c r="A59" t="s">
        <v>223</v>
      </c>
      <c r="B59" t="s">
        <v>431</v>
      </c>
      <c r="C59" t="s">
        <v>432</v>
      </c>
      <c r="D59" t="s">
        <v>222</v>
      </c>
      <c r="F59">
        <v>0.61865400000000004</v>
      </c>
      <c r="G59">
        <v>0.62222900000000003</v>
      </c>
      <c r="H59">
        <v>0.62510500000000002</v>
      </c>
      <c r="I59">
        <v>0.62732399999999999</v>
      </c>
      <c r="J59">
        <v>0.62895299999999998</v>
      </c>
      <c r="K59">
        <v>0.63005999999999995</v>
      </c>
      <c r="L59">
        <v>0.63062300000000004</v>
      </c>
      <c r="M59">
        <v>0.630691</v>
      </c>
      <c r="N59">
        <v>0.63031800000000004</v>
      </c>
      <c r="O59">
        <v>0.62994399999999995</v>
      </c>
      <c r="P59">
        <v>0.62957700000000005</v>
      </c>
      <c r="Q59">
        <v>0.62870099999999995</v>
      </c>
      <c r="R59">
        <v>0.62776500000000002</v>
      </c>
      <c r="S59">
        <v>0.62685800000000003</v>
      </c>
      <c r="T59">
        <v>0.62599499999999997</v>
      </c>
      <c r="U59">
        <v>0.62519000000000002</v>
      </c>
      <c r="V59">
        <v>0.62444999999999995</v>
      </c>
      <c r="W59">
        <v>0.62378</v>
      </c>
      <c r="X59">
        <v>0.62318399999999996</v>
      </c>
      <c r="Y59">
        <v>0.62266100000000002</v>
      </c>
      <c r="Z59">
        <v>0.62220900000000001</v>
      </c>
      <c r="AA59">
        <v>0.62182300000000001</v>
      </c>
      <c r="AB59">
        <v>0.62149900000000002</v>
      </c>
      <c r="AC59">
        <v>0.62122999999999995</v>
      </c>
      <c r="AD59">
        <v>0.62101499999999998</v>
      </c>
      <c r="AE59">
        <v>0.62084300000000003</v>
      </c>
      <c r="AF59">
        <v>0.62070700000000001</v>
      </c>
      <c r="AG59">
        <v>0.62060199999999999</v>
      </c>
      <c r="AH59">
        <v>0.62052200000000002</v>
      </c>
      <c r="AI59" s="16">
        <v>0</v>
      </c>
    </row>
    <row r="60" spans="1:35" x14ac:dyDescent="0.25">
      <c r="A60" t="s">
        <v>224</v>
      </c>
      <c r="B60" t="s">
        <v>433</v>
      </c>
      <c r="C60" t="s">
        <v>434</v>
      </c>
      <c r="D60" t="s">
        <v>222</v>
      </c>
      <c r="F60">
        <v>0.61202599999999996</v>
      </c>
      <c r="G60">
        <v>0.62482400000000005</v>
      </c>
      <c r="H60">
        <v>0.63609800000000005</v>
      </c>
      <c r="I60">
        <v>0.64568400000000004</v>
      </c>
      <c r="J60">
        <v>0.65360600000000002</v>
      </c>
      <c r="K60">
        <v>0.65970099999999998</v>
      </c>
      <c r="L60">
        <v>0.66387600000000002</v>
      </c>
      <c r="M60">
        <v>0.66601399999999999</v>
      </c>
      <c r="N60">
        <v>0.66605000000000003</v>
      </c>
      <c r="O60">
        <v>0.66608800000000001</v>
      </c>
      <c r="P60">
        <v>0.666126</v>
      </c>
      <c r="Q60">
        <v>0.66616399999999998</v>
      </c>
      <c r="R60">
        <v>0.66620000000000001</v>
      </c>
      <c r="S60">
        <v>0.66623500000000002</v>
      </c>
      <c r="T60">
        <v>0.66626700000000005</v>
      </c>
      <c r="U60">
        <v>0.66629700000000003</v>
      </c>
      <c r="V60">
        <v>0.666323</v>
      </c>
      <c r="W60">
        <v>0.66634599999999999</v>
      </c>
      <c r="X60">
        <v>0.66636700000000004</v>
      </c>
      <c r="Y60">
        <v>0.66638500000000001</v>
      </c>
      <c r="Z60">
        <v>0.66640100000000002</v>
      </c>
      <c r="AA60">
        <v>0.66641499999999998</v>
      </c>
      <c r="AB60">
        <v>0.66642699999999999</v>
      </c>
      <c r="AC60">
        <v>0.66643799999999997</v>
      </c>
      <c r="AD60">
        <v>0.66645100000000002</v>
      </c>
      <c r="AE60">
        <v>0.666462</v>
      </c>
      <c r="AF60">
        <v>0.66647299999999998</v>
      </c>
      <c r="AG60">
        <v>0.66648399999999997</v>
      </c>
      <c r="AH60">
        <v>0.66649499999999995</v>
      </c>
      <c r="AI60" s="16">
        <v>3.0000000000000001E-3</v>
      </c>
    </row>
    <row r="61" spans="1:35" x14ac:dyDescent="0.25">
      <c r="A61" t="s">
        <v>225</v>
      </c>
      <c r="B61" t="s">
        <v>435</v>
      </c>
      <c r="C61" t="s">
        <v>436</v>
      </c>
      <c r="D61" t="s">
        <v>222</v>
      </c>
      <c r="F61">
        <v>0.60749900000000001</v>
      </c>
      <c r="G61">
        <v>0.61108300000000004</v>
      </c>
      <c r="H61">
        <v>0.61430200000000001</v>
      </c>
      <c r="I61">
        <v>0.61690100000000003</v>
      </c>
      <c r="J61">
        <v>0.61893799999999999</v>
      </c>
      <c r="K61">
        <v>0.62044200000000005</v>
      </c>
      <c r="L61">
        <v>0.621421</v>
      </c>
      <c r="M61">
        <v>0.62188699999999997</v>
      </c>
      <c r="N61">
        <v>0.62184200000000001</v>
      </c>
      <c r="O61">
        <v>0.62180500000000005</v>
      </c>
      <c r="P61">
        <v>0.62179899999999999</v>
      </c>
      <c r="Q61">
        <v>0.62147699999999995</v>
      </c>
      <c r="R61">
        <v>0.62112699999999998</v>
      </c>
      <c r="S61">
        <v>0.62076200000000004</v>
      </c>
      <c r="T61">
        <v>0.62038499999999996</v>
      </c>
      <c r="U61">
        <v>0.62000299999999997</v>
      </c>
      <c r="V61">
        <v>0.61962799999999996</v>
      </c>
      <c r="W61">
        <v>0.61926400000000004</v>
      </c>
      <c r="X61">
        <v>0.618919</v>
      </c>
      <c r="Y61">
        <v>0.61860000000000004</v>
      </c>
      <c r="Z61">
        <v>0.61831199999999997</v>
      </c>
      <c r="AA61">
        <v>0.61805500000000002</v>
      </c>
      <c r="AB61">
        <v>0.61783200000000005</v>
      </c>
      <c r="AC61">
        <v>0.61764300000000005</v>
      </c>
      <c r="AD61">
        <v>0.61748800000000004</v>
      </c>
      <c r="AE61">
        <v>0.61736400000000002</v>
      </c>
      <c r="AF61">
        <v>0.61726599999999998</v>
      </c>
      <c r="AG61">
        <v>0.61719299999999999</v>
      </c>
      <c r="AH61">
        <v>0.61713799999999996</v>
      </c>
      <c r="AI61" s="16">
        <v>1E-3</v>
      </c>
    </row>
    <row r="62" spans="1:35" x14ac:dyDescent="0.25">
      <c r="A62" t="s">
        <v>226</v>
      </c>
    </row>
    <row r="63" spans="1:35" x14ac:dyDescent="0.25">
      <c r="A63" t="s">
        <v>202</v>
      </c>
      <c r="B63" t="s">
        <v>437</v>
      </c>
      <c r="C63" t="s">
        <v>438</v>
      </c>
      <c r="D63" t="s">
        <v>227</v>
      </c>
      <c r="F63">
        <v>601.62268100000006</v>
      </c>
      <c r="G63">
        <v>591.79913299999998</v>
      </c>
      <c r="H63">
        <v>582.51690699999995</v>
      </c>
      <c r="I63">
        <v>573.78015100000005</v>
      </c>
      <c r="J63">
        <v>565.58648700000003</v>
      </c>
      <c r="K63">
        <v>557.91094999999996</v>
      </c>
      <c r="L63">
        <v>550.73449700000003</v>
      </c>
      <c r="M63">
        <v>544.04510500000004</v>
      </c>
      <c r="N63">
        <v>537.87042199999996</v>
      </c>
      <c r="O63">
        <v>532.28186000000005</v>
      </c>
      <c r="P63">
        <v>527.24188200000003</v>
      </c>
      <c r="Q63">
        <v>522.74560499999995</v>
      </c>
      <c r="R63">
        <v>518.78698699999995</v>
      </c>
      <c r="S63">
        <v>515.33673099999999</v>
      </c>
      <c r="T63">
        <v>512.38696300000004</v>
      </c>
      <c r="U63">
        <v>509.909851</v>
      </c>
      <c r="V63">
        <v>507.92584199999999</v>
      </c>
      <c r="W63">
        <v>506.40896600000002</v>
      </c>
      <c r="X63">
        <v>505.38198899999998</v>
      </c>
      <c r="Y63">
        <v>504.868134</v>
      </c>
      <c r="Z63">
        <v>504.854218</v>
      </c>
      <c r="AA63">
        <v>504.83514400000001</v>
      </c>
      <c r="AB63">
        <v>504.81170700000001</v>
      </c>
      <c r="AC63">
        <v>504.784088</v>
      </c>
      <c r="AD63">
        <v>504.754211</v>
      </c>
      <c r="AE63">
        <v>504.723907</v>
      </c>
      <c r="AF63">
        <v>504.69354199999998</v>
      </c>
      <c r="AG63">
        <v>504.666382</v>
      </c>
      <c r="AH63">
        <v>504.64325000000002</v>
      </c>
      <c r="AI63" s="16">
        <v>-6.0000000000000001E-3</v>
      </c>
    </row>
    <row r="64" spans="1:35" x14ac:dyDescent="0.25">
      <c r="A64" t="s">
        <v>203</v>
      </c>
      <c r="B64" t="s">
        <v>439</v>
      </c>
      <c r="C64" t="s">
        <v>440</v>
      </c>
      <c r="D64" t="s">
        <v>227</v>
      </c>
      <c r="F64">
        <v>448.44433600000002</v>
      </c>
      <c r="G64">
        <v>443.66037</v>
      </c>
      <c r="H64">
        <v>438.783051</v>
      </c>
      <c r="I64">
        <v>433.82998700000002</v>
      </c>
      <c r="J64">
        <v>428.81097399999999</v>
      </c>
      <c r="K64">
        <v>423.76275600000002</v>
      </c>
      <c r="L64">
        <v>418.95931999999999</v>
      </c>
      <c r="M64">
        <v>414.39859000000001</v>
      </c>
      <c r="N64">
        <v>410.096924</v>
      </c>
      <c r="O64">
        <v>406.03283699999997</v>
      </c>
      <c r="P64">
        <v>402.185699</v>
      </c>
      <c r="Q64">
        <v>398.57708700000001</v>
      </c>
      <c r="R64">
        <v>395.21826199999998</v>
      </c>
      <c r="S64">
        <v>392.090485</v>
      </c>
      <c r="T64">
        <v>389.228455</v>
      </c>
      <c r="U64">
        <v>386.60855099999998</v>
      </c>
      <c r="V64">
        <v>384.24060100000003</v>
      </c>
      <c r="W64">
        <v>382.10922199999999</v>
      </c>
      <c r="X64">
        <v>380.19821200000001</v>
      </c>
      <c r="Y64">
        <v>378.55282599999998</v>
      </c>
      <c r="Z64">
        <v>377.15033</v>
      </c>
      <c r="AA64">
        <v>376.024902</v>
      </c>
      <c r="AB64">
        <v>375.19430499999999</v>
      </c>
      <c r="AC64">
        <v>374.65905800000002</v>
      </c>
      <c r="AD64">
        <v>374.41220099999998</v>
      </c>
      <c r="AE64">
        <v>374.40713499999998</v>
      </c>
      <c r="AF64">
        <v>374.40103099999999</v>
      </c>
      <c r="AG64">
        <v>374.39468399999998</v>
      </c>
      <c r="AH64">
        <v>374.38818400000002</v>
      </c>
      <c r="AI64" s="16">
        <v>-6.0000000000000001E-3</v>
      </c>
    </row>
    <row r="65" spans="1:35" x14ac:dyDescent="0.25">
      <c r="A65" t="s">
        <v>228</v>
      </c>
    </row>
    <row r="66" spans="1:35" x14ac:dyDescent="0.25">
      <c r="A66" t="s">
        <v>229</v>
      </c>
    </row>
    <row r="67" spans="1:35" x14ac:dyDescent="0.25">
      <c r="A67" t="s">
        <v>230</v>
      </c>
      <c r="B67" t="s">
        <v>441</v>
      </c>
      <c r="C67" t="s">
        <v>442</v>
      </c>
      <c r="D67" t="s">
        <v>231</v>
      </c>
      <c r="F67">
        <v>0.94953100000000001</v>
      </c>
      <c r="G67">
        <v>0.94127099999999997</v>
      </c>
      <c r="H67">
        <v>0.93554700000000002</v>
      </c>
      <c r="I67">
        <v>0.93102499999999999</v>
      </c>
      <c r="J67">
        <v>0.92638399999999999</v>
      </c>
      <c r="K67">
        <v>0.92128699999999997</v>
      </c>
      <c r="L67">
        <v>0.91575700000000004</v>
      </c>
      <c r="M67">
        <v>0.90954000000000002</v>
      </c>
      <c r="N67">
        <v>0.90287099999999998</v>
      </c>
      <c r="O67">
        <v>0.89591500000000002</v>
      </c>
      <c r="P67">
        <v>0.88890000000000002</v>
      </c>
      <c r="Q67">
        <v>0.88168100000000005</v>
      </c>
      <c r="R67">
        <v>0.87443599999999999</v>
      </c>
      <c r="S67">
        <v>0.867313</v>
      </c>
      <c r="T67">
        <v>0.86033800000000005</v>
      </c>
      <c r="U67">
        <v>0.85336199999999995</v>
      </c>
      <c r="V67">
        <v>0.84626699999999999</v>
      </c>
      <c r="W67">
        <v>0.83930400000000005</v>
      </c>
      <c r="X67">
        <v>0.83236500000000002</v>
      </c>
      <c r="Y67">
        <v>0.82543699999999998</v>
      </c>
      <c r="Z67">
        <v>0.81860599999999994</v>
      </c>
      <c r="AA67">
        <v>0.81191500000000005</v>
      </c>
      <c r="AB67">
        <v>0.80532999999999999</v>
      </c>
      <c r="AC67">
        <v>0.79865799999999998</v>
      </c>
      <c r="AD67">
        <v>0.79166199999999998</v>
      </c>
      <c r="AE67">
        <v>0.78482300000000005</v>
      </c>
      <c r="AF67">
        <v>0.77819700000000003</v>
      </c>
      <c r="AG67">
        <v>0.77168199999999998</v>
      </c>
      <c r="AH67">
        <v>0.76516499999999998</v>
      </c>
      <c r="AI67" s="16">
        <v>-8.0000000000000002E-3</v>
      </c>
    </row>
    <row r="68" spans="1:35" x14ac:dyDescent="0.25">
      <c r="A68" t="s">
        <v>232</v>
      </c>
      <c r="B68" t="s">
        <v>443</v>
      </c>
      <c r="C68" t="s">
        <v>444</v>
      </c>
      <c r="D68" t="s">
        <v>231</v>
      </c>
      <c r="F68">
        <v>0.83860299999999999</v>
      </c>
      <c r="G68">
        <v>0.78499600000000003</v>
      </c>
      <c r="H68">
        <v>0.77750900000000001</v>
      </c>
      <c r="I68">
        <v>0.77489200000000003</v>
      </c>
      <c r="J68">
        <v>0.77625999999999995</v>
      </c>
      <c r="K68">
        <v>0.77675099999999997</v>
      </c>
      <c r="L68">
        <v>0.77603100000000003</v>
      </c>
      <c r="M68">
        <v>0.77386299999999997</v>
      </c>
      <c r="N68">
        <v>0.77132599999999996</v>
      </c>
      <c r="O68">
        <v>0.76937999999999995</v>
      </c>
      <c r="P68">
        <v>0.767984</v>
      </c>
      <c r="Q68">
        <v>0.88259100000000001</v>
      </c>
      <c r="R68">
        <v>0.88158700000000001</v>
      </c>
      <c r="S68">
        <v>0.88260099999999997</v>
      </c>
      <c r="T68">
        <v>0.88222900000000004</v>
      </c>
      <c r="U68">
        <v>0.88222599999999995</v>
      </c>
      <c r="V68">
        <v>0.882243</v>
      </c>
      <c r="W68">
        <v>0.88229599999999997</v>
      </c>
      <c r="X68">
        <v>0.88129299999999999</v>
      </c>
      <c r="Y68">
        <v>0.87935600000000003</v>
      </c>
      <c r="Z68">
        <v>0.87853700000000001</v>
      </c>
      <c r="AA68">
        <v>0.87742399999999998</v>
      </c>
      <c r="AB68">
        <v>0.87608200000000003</v>
      </c>
      <c r="AC68">
        <v>0.87481500000000001</v>
      </c>
      <c r="AD68">
        <v>0.87347799999999998</v>
      </c>
      <c r="AE68">
        <v>0.87382300000000002</v>
      </c>
      <c r="AF68">
        <v>0.87375999999999998</v>
      </c>
      <c r="AG68">
        <v>0.87424900000000005</v>
      </c>
      <c r="AH68">
        <v>0.87474700000000005</v>
      </c>
      <c r="AI68" s="16">
        <v>2E-3</v>
      </c>
    </row>
    <row r="69" spans="1:35" x14ac:dyDescent="0.25">
      <c r="A69" t="s">
        <v>233</v>
      </c>
      <c r="B69" t="s">
        <v>445</v>
      </c>
      <c r="C69" t="s">
        <v>446</v>
      </c>
      <c r="D69" t="s">
        <v>231</v>
      </c>
      <c r="F69">
        <v>0.94170200000000004</v>
      </c>
      <c r="G69">
        <v>0.93232700000000002</v>
      </c>
      <c r="H69">
        <v>0.92535100000000003</v>
      </c>
      <c r="I69">
        <v>0.91953300000000004</v>
      </c>
      <c r="J69">
        <v>0.91376199999999996</v>
      </c>
      <c r="K69">
        <v>0.907725</v>
      </c>
      <c r="L69">
        <v>0.90143600000000002</v>
      </c>
      <c r="M69">
        <v>0.89469200000000004</v>
      </c>
      <c r="N69">
        <v>0.88771699999999998</v>
      </c>
      <c r="O69">
        <v>0.88065199999999999</v>
      </c>
      <c r="P69">
        <v>0.87367799999999995</v>
      </c>
      <c r="Q69">
        <v>0.867923</v>
      </c>
      <c r="R69">
        <v>0.86223499999999997</v>
      </c>
      <c r="S69">
        <v>0.85676600000000003</v>
      </c>
      <c r="T69">
        <v>0.85151900000000003</v>
      </c>
      <c r="U69">
        <v>0.84637300000000004</v>
      </c>
      <c r="V69">
        <v>0.84123400000000004</v>
      </c>
      <c r="W69">
        <v>0.83629399999999998</v>
      </c>
      <c r="X69">
        <v>0.83145999999999998</v>
      </c>
      <c r="Y69">
        <v>0.82670900000000003</v>
      </c>
      <c r="Z69">
        <v>0.82210700000000003</v>
      </c>
      <c r="AA69">
        <v>0.81767999999999996</v>
      </c>
      <c r="AB69">
        <v>0.81339499999999998</v>
      </c>
      <c r="AC69">
        <v>0.80911299999999997</v>
      </c>
      <c r="AD69">
        <v>0.80466000000000004</v>
      </c>
      <c r="AE69">
        <v>0.80039899999999997</v>
      </c>
      <c r="AF69">
        <v>0.79635699999999998</v>
      </c>
      <c r="AG69">
        <v>0.79246099999999997</v>
      </c>
      <c r="AH69">
        <v>0.78863000000000005</v>
      </c>
      <c r="AI69" s="16">
        <v>-6.0000000000000001E-3</v>
      </c>
    </row>
    <row r="70" spans="1:35" x14ac:dyDescent="0.25">
      <c r="A70" t="s">
        <v>213</v>
      </c>
    </row>
    <row r="71" spans="1:35" x14ac:dyDescent="0.25">
      <c r="A71" t="s">
        <v>230</v>
      </c>
      <c r="B71" t="s">
        <v>447</v>
      </c>
      <c r="C71" t="s">
        <v>448</v>
      </c>
      <c r="D71" t="s">
        <v>231</v>
      </c>
      <c r="F71">
        <v>0.98205299999999995</v>
      </c>
      <c r="G71">
        <v>0.97907100000000002</v>
      </c>
      <c r="H71">
        <v>0.97709199999999996</v>
      </c>
      <c r="I71">
        <v>0.97557099999999997</v>
      </c>
      <c r="J71">
        <v>0.97395100000000001</v>
      </c>
      <c r="K71">
        <v>0.97213400000000005</v>
      </c>
      <c r="L71">
        <v>0.97014599999999995</v>
      </c>
      <c r="M71">
        <v>0.96789800000000004</v>
      </c>
      <c r="N71">
        <v>0.96549499999999999</v>
      </c>
      <c r="O71">
        <v>0.96298799999999996</v>
      </c>
      <c r="P71">
        <v>0.96045700000000001</v>
      </c>
      <c r="Q71">
        <v>0.95786800000000005</v>
      </c>
      <c r="R71">
        <v>0.95526999999999995</v>
      </c>
      <c r="S71">
        <v>0.952708</v>
      </c>
      <c r="T71">
        <v>0.95018999999999998</v>
      </c>
      <c r="U71">
        <v>0.94767299999999999</v>
      </c>
      <c r="V71">
        <v>0.94510700000000003</v>
      </c>
      <c r="W71">
        <v>0.94257999999999997</v>
      </c>
      <c r="X71">
        <v>0.940056</v>
      </c>
      <c r="Y71">
        <v>0.93752199999999997</v>
      </c>
      <c r="Z71">
        <v>0.93502399999999997</v>
      </c>
      <c r="AA71">
        <v>0.93257100000000004</v>
      </c>
      <c r="AB71">
        <v>0.93016299999999996</v>
      </c>
      <c r="AC71">
        <v>0.92771400000000004</v>
      </c>
      <c r="AD71">
        <v>0.92511900000000002</v>
      </c>
      <c r="AE71">
        <v>0.92258799999999996</v>
      </c>
      <c r="AF71">
        <v>0.92013699999999998</v>
      </c>
      <c r="AG71">
        <v>0.91773000000000005</v>
      </c>
      <c r="AH71">
        <v>0.91531200000000001</v>
      </c>
      <c r="AI71" s="16">
        <v>-3.0000000000000001E-3</v>
      </c>
    </row>
    <row r="72" spans="1:35" x14ac:dyDescent="0.25">
      <c r="A72" t="s">
        <v>232</v>
      </c>
      <c r="B72" t="s">
        <v>449</v>
      </c>
      <c r="C72" t="s">
        <v>450</v>
      </c>
      <c r="D72" t="s">
        <v>231</v>
      </c>
      <c r="F72">
        <v>0.98170400000000002</v>
      </c>
      <c r="G72">
        <v>0.96699000000000002</v>
      </c>
      <c r="H72">
        <v>0.96088799999999996</v>
      </c>
      <c r="I72">
        <v>0.95875100000000002</v>
      </c>
      <c r="J72">
        <v>0.95990200000000003</v>
      </c>
      <c r="K72">
        <v>0.96076799999999996</v>
      </c>
      <c r="L72">
        <v>0.960538</v>
      </c>
      <c r="M72">
        <v>0.959561</v>
      </c>
      <c r="N72">
        <v>0.95821699999999999</v>
      </c>
      <c r="O72">
        <v>0.95740599999999998</v>
      </c>
      <c r="P72">
        <v>0.95718599999999998</v>
      </c>
      <c r="Q72">
        <v>0.99905699999999997</v>
      </c>
      <c r="R72">
        <v>0.99895299999999998</v>
      </c>
      <c r="S72">
        <v>0.99954100000000001</v>
      </c>
      <c r="T72">
        <v>0.99966999999999995</v>
      </c>
      <c r="U72">
        <v>0.99981500000000001</v>
      </c>
      <c r="V72">
        <v>0.99997999999999998</v>
      </c>
      <c r="W72">
        <v>1.0003</v>
      </c>
      <c r="X72">
        <v>1.000248</v>
      </c>
      <c r="Y72">
        <v>0.99957099999999999</v>
      </c>
      <c r="Z72">
        <v>0.99960499999999997</v>
      </c>
      <c r="AA72">
        <v>0.99928499999999998</v>
      </c>
      <c r="AB72">
        <v>0.99876600000000004</v>
      </c>
      <c r="AC72">
        <v>0.99830399999999997</v>
      </c>
      <c r="AD72">
        <v>0.99787800000000004</v>
      </c>
      <c r="AE72">
        <v>0.99847200000000003</v>
      </c>
      <c r="AF72">
        <v>0.99878699999999998</v>
      </c>
      <c r="AG72">
        <v>0.99943099999999996</v>
      </c>
      <c r="AH72">
        <v>1.0001139999999999</v>
      </c>
      <c r="AI72" s="16">
        <v>1E-3</v>
      </c>
    </row>
    <row r="73" spans="1:35" x14ac:dyDescent="0.25">
      <c r="A73" t="s">
        <v>233</v>
      </c>
      <c r="B73" t="s">
        <v>451</v>
      </c>
      <c r="C73" t="s">
        <v>452</v>
      </c>
      <c r="D73" t="s">
        <v>231</v>
      </c>
      <c r="F73">
        <v>0.98254900000000001</v>
      </c>
      <c r="G73">
        <v>0.97962899999999997</v>
      </c>
      <c r="H73">
        <v>0.97761799999999999</v>
      </c>
      <c r="I73">
        <v>0.97603300000000004</v>
      </c>
      <c r="J73">
        <v>0.97440099999999996</v>
      </c>
      <c r="K73">
        <v>0.97263200000000005</v>
      </c>
      <c r="L73">
        <v>0.97074099999999997</v>
      </c>
      <c r="M73">
        <v>0.96864799999999995</v>
      </c>
      <c r="N73">
        <v>0.966445</v>
      </c>
      <c r="O73">
        <v>0.96418499999999996</v>
      </c>
      <c r="P73">
        <v>0.96193700000000004</v>
      </c>
      <c r="Q73">
        <v>0.96004299999999998</v>
      </c>
      <c r="R73">
        <v>0.958152</v>
      </c>
      <c r="S73">
        <v>0.95631500000000003</v>
      </c>
      <c r="T73">
        <v>0.954538</v>
      </c>
      <c r="U73">
        <v>0.95278200000000002</v>
      </c>
      <c r="V73">
        <v>0.95100499999999999</v>
      </c>
      <c r="W73">
        <v>0.94928100000000004</v>
      </c>
      <c r="X73">
        <v>0.94758100000000001</v>
      </c>
      <c r="Y73">
        <v>0.945886</v>
      </c>
      <c r="Z73">
        <v>0.94423299999999999</v>
      </c>
      <c r="AA73">
        <v>0.94262800000000002</v>
      </c>
      <c r="AB73">
        <v>0.94106699999999999</v>
      </c>
      <c r="AC73">
        <v>0.93948399999999999</v>
      </c>
      <c r="AD73">
        <v>0.93779599999999996</v>
      </c>
      <c r="AE73">
        <v>0.93617700000000004</v>
      </c>
      <c r="AF73">
        <v>0.93463099999999999</v>
      </c>
      <c r="AG73">
        <v>0.93313199999999996</v>
      </c>
      <c r="AH73">
        <v>0.93163799999999997</v>
      </c>
      <c r="AI73" s="16">
        <v>-2E-3</v>
      </c>
    </row>
    <row r="74" spans="1:35" x14ac:dyDescent="0.25">
      <c r="A74" t="s">
        <v>234</v>
      </c>
    </row>
    <row r="75" spans="1:35" x14ac:dyDescent="0.25">
      <c r="A75" t="s">
        <v>235</v>
      </c>
    </row>
    <row r="76" spans="1:35" x14ac:dyDescent="0.25">
      <c r="A76" t="s">
        <v>175</v>
      </c>
    </row>
    <row r="77" spans="1:35" x14ac:dyDescent="0.25">
      <c r="A77" t="s">
        <v>236</v>
      </c>
      <c r="B77" t="s">
        <v>453</v>
      </c>
      <c r="C77" t="s">
        <v>454</v>
      </c>
      <c r="D77" t="s">
        <v>237</v>
      </c>
      <c r="F77">
        <v>0</v>
      </c>
      <c r="G77">
        <v>0</v>
      </c>
      <c r="H77">
        <v>0</v>
      </c>
      <c r="I77">
        <v>0</v>
      </c>
      <c r="J77">
        <v>0</v>
      </c>
      <c r="K77">
        <v>0</v>
      </c>
      <c r="L77">
        <v>0</v>
      </c>
      <c r="M77">
        <v>0</v>
      </c>
      <c r="N77">
        <v>0</v>
      </c>
      <c r="O77">
        <v>0</v>
      </c>
      <c r="P77">
        <v>0</v>
      </c>
      <c r="Q77">
        <v>0</v>
      </c>
      <c r="R77">
        <v>1.9999999999999999E-6</v>
      </c>
      <c r="S77">
        <v>5.0000000000000004E-6</v>
      </c>
      <c r="T77">
        <v>1.1E-5</v>
      </c>
      <c r="U77">
        <v>2.1999999999999999E-5</v>
      </c>
      <c r="V77">
        <v>4.3999999999999999E-5</v>
      </c>
      <c r="W77">
        <v>8.2999999999999998E-5</v>
      </c>
      <c r="X77">
        <v>1.55E-4</v>
      </c>
      <c r="Y77">
        <v>2.8600000000000001E-4</v>
      </c>
      <c r="Z77">
        <v>4.17E-4</v>
      </c>
      <c r="AA77">
        <v>5.5000000000000003E-4</v>
      </c>
      <c r="AB77">
        <v>6.8199999999999999E-4</v>
      </c>
      <c r="AC77">
        <v>8.1599999999999999E-4</v>
      </c>
      <c r="AD77">
        <v>9.5E-4</v>
      </c>
      <c r="AE77">
        <v>1.0839999999999999E-3</v>
      </c>
      <c r="AF77">
        <v>1.219E-3</v>
      </c>
      <c r="AG77">
        <v>1.353E-3</v>
      </c>
      <c r="AH77">
        <v>1.488E-3</v>
      </c>
      <c r="AI77" t="s">
        <v>4</v>
      </c>
    </row>
    <row r="78" spans="1:35" x14ac:dyDescent="0.25">
      <c r="A78" t="s">
        <v>238</v>
      </c>
      <c r="B78" t="s">
        <v>455</v>
      </c>
      <c r="C78" t="s">
        <v>456</v>
      </c>
      <c r="D78" t="s">
        <v>237</v>
      </c>
      <c r="F78">
        <v>25.940821</v>
      </c>
      <c r="G78">
        <v>28.426915999999999</v>
      </c>
      <c r="H78">
        <v>31.317519999999998</v>
      </c>
      <c r="I78">
        <v>34.213085</v>
      </c>
      <c r="J78">
        <v>37.102398000000001</v>
      </c>
      <c r="K78">
        <v>40.088000999999998</v>
      </c>
      <c r="L78">
        <v>43.162284999999997</v>
      </c>
      <c r="M78">
        <v>46.379024999999999</v>
      </c>
      <c r="N78">
        <v>49.715114999999997</v>
      </c>
      <c r="O78">
        <v>53.221054000000002</v>
      </c>
      <c r="P78">
        <v>56.974155000000003</v>
      </c>
      <c r="Q78">
        <v>60.782733999999998</v>
      </c>
      <c r="R78">
        <v>64.698020999999997</v>
      </c>
      <c r="S78">
        <v>68.113708000000003</v>
      </c>
      <c r="T78">
        <v>71.713645999999997</v>
      </c>
      <c r="U78">
        <v>75.468543999999994</v>
      </c>
      <c r="V78">
        <v>79.508544999999998</v>
      </c>
      <c r="W78">
        <v>83.846107000000003</v>
      </c>
      <c r="X78">
        <v>88.482719000000003</v>
      </c>
      <c r="Y78">
        <v>93.406563000000006</v>
      </c>
      <c r="Z78">
        <v>98.617553999999998</v>
      </c>
      <c r="AA78">
        <v>104.15289300000001</v>
      </c>
      <c r="AB78">
        <v>109.907883</v>
      </c>
      <c r="AC78">
        <v>115.976173</v>
      </c>
      <c r="AD78">
        <v>122.272903</v>
      </c>
      <c r="AE78">
        <v>128.79647800000001</v>
      </c>
      <c r="AF78">
        <v>135.66493199999999</v>
      </c>
      <c r="AG78">
        <v>142.69435100000001</v>
      </c>
      <c r="AH78">
        <v>149.97357199999999</v>
      </c>
      <c r="AI78" s="16">
        <v>6.5000000000000002E-2</v>
      </c>
    </row>
    <row r="79" spans="1:35" x14ac:dyDescent="0.25">
      <c r="A79" t="s">
        <v>239</v>
      </c>
      <c r="B79" t="s">
        <v>457</v>
      </c>
      <c r="C79" t="s">
        <v>458</v>
      </c>
      <c r="D79" t="s">
        <v>237</v>
      </c>
      <c r="F79">
        <v>6.3448000000000004E-2</v>
      </c>
      <c r="G79">
        <v>6.9112000000000007E-2</v>
      </c>
      <c r="H79">
        <v>7.5192999999999996E-2</v>
      </c>
      <c r="I79">
        <v>8.1515000000000004E-2</v>
      </c>
      <c r="J79">
        <v>8.7960999999999998E-2</v>
      </c>
      <c r="K79">
        <v>9.4481999999999997E-2</v>
      </c>
      <c r="L79">
        <v>0.101025</v>
      </c>
      <c r="M79">
        <v>0.10757</v>
      </c>
      <c r="N79">
        <v>0.11409</v>
      </c>
      <c r="O79">
        <v>0.120587</v>
      </c>
      <c r="P79">
        <v>0.12706999999999999</v>
      </c>
      <c r="Q79">
        <v>0.13330900000000001</v>
      </c>
      <c r="R79">
        <v>0.13331200000000001</v>
      </c>
      <c r="S79">
        <v>0.13331799999999999</v>
      </c>
      <c r="T79">
        <v>0.13333100000000001</v>
      </c>
      <c r="U79">
        <v>0.133353</v>
      </c>
      <c r="V79">
        <v>0.13339599999999999</v>
      </c>
      <c r="W79">
        <v>0.13347400000000001</v>
      </c>
      <c r="X79">
        <v>0.13361799999999999</v>
      </c>
      <c r="Y79">
        <v>0.13388</v>
      </c>
      <c r="Z79">
        <v>0.13414300000000001</v>
      </c>
      <c r="AA79">
        <v>0.134408</v>
      </c>
      <c r="AB79">
        <v>0.13467299999999999</v>
      </c>
      <c r="AC79">
        <v>0.13494</v>
      </c>
      <c r="AD79">
        <v>0.13520699999999999</v>
      </c>
      <c r="AE79">
        <v>0.13547600000000001</v>
      </c>
      <c r="AF79">
        <v>0.135745</v>
      </c>
      <c r="AG79">
        <v>0.136015</v>
      </c>
      <c r="AH79">
        <v>0.13628499999999999</v>
      </c>
      <c r="AI79" s="16">
        <v>2.8000000000000001E-2</v>
      </c>
    </row>
    <row r="80" spans="1:35" x14ac:dyDescent="0.25">
      <c r="A80" t="s">
        <v>191</v>
      </c>
      <c r="B80" t="s">
        <v>459</v>
      </c>
      <c r="C80" t="s">
        <v>460</v>
      </c>
      <c r="D80" t="s">
        <v>237</v>
      </c>
      <c r="F80">
        <v>26.004269000000001</v>
      </c>
      <c r="G80">
        <v>28.496029</v>
      </c>
      <c r="H80">
        <v>31.392714000000002</v>
      </c>
      <c r="I80">
        <v>34.294601</v>
      </c>
      <c r="J80">
        <v>37.190361000000003</v>
      </c>
      <c r="K80">
        <v>40.182484000000002</v>
      </c>
      <c r="L80">
        <v>43.263309</v>
      </c>
      <c r="M80">
        <v>46.486595000000001</v>
      </c>
      <c r="N80">
        <v>49.829205000000002</v>
      </c>
      <c r="O80">
        <v>53.341639999999998</v>
      </c>
      <c r="P80">
        <v>57.101227000000002</v>
      </c>
      <c r="Q80">
        <v>60.916041999999997</v>
      </c>
      <c r="R80">
        <v>64.831337000000005</v>
      </c>
      <c r="S80">
        <v>68.247032000000004</v>
      </c>
      <c r="T80">
        <v>71.846985000000004</v>
      </c>
      <c r="U80">
        <v>75.601921000000004</v>
      </c>
      <c r="V80">
        <v>79.641982999999996</v>
      </c>
      <c r="W80">
        <v>83.979668000000004</v>
      </c>
      <c r="X80">
        <v>88.616493000000006</v>
      </c>
      <c r="Y80">
        <v>93.540726000000006</v>
      </c>
      <c r="Z80">
        <v>98.752112999999994</v>
      </c>
      <c r="AA80">
        <v>104.28784899999999</v>
      </c>
      <c r="AB80">
        <v>110.04323599999999</v>
      </c>
      <c r="AC80">
        <v>116.111931</v>
      </c>
      <c r="AD80">
        <v>122.409058</v>
      </c>
      <c r="AE80">
        <v>128.933044</v>
      </c>
      <c r="AF80">
        <v>135.801895</v>
      </c>
      <c r="AG80">
        <v>142.831726</v>
      </c>
      <c r="AH80">
        <v>150.11135899999999</v>
      </c>
      <c r="AI80" s="16">
        <v>6.5000000000000002E-2</v>
      </c>
    </row>
    <row r="81" spans="1:35" s="49" customFormat="1" x14ac:dyDescent="0.25">
      <c r="A81" s="49" t="s">
        <v>174</v>
      </c>
    </row>
    <row r="82" spans="1:35" x14ac:dyDescent="0.25">
      <c r="A82" t="s">
        <v>236</v>
      </c>
      <c r="B82" t="s">
        <v>461</v>
      </c>
      <c r="C82" t="s">
        <v>462</v>
      </c>
      <c r="D82" t="s">
        <v>240</v>
      </c>
      <c r="F82">
        <v>0</v>
      </c>
      <c r="G82">
        <v>0</v>
      </c>
      <c r="H82">
        <v>0</v>
      </c>
      <c r="I82">
        <v>0</v>
      </c>
      <c r="J82">
        <v>0</v>
      </c>
      <c r="K82">
        <v>0</v>
      </c>
      <c r="L82">
        <v>0</v>
      </c>
      <c r="M82">
        <v>0</v>
      </c>
      <c r="N82">
        <v>0</v>
      </c>
      <c r="O82">
        <v>0</v>
      </c>
      <c r="P82">
        <v>0</v>
      </c>
      <c r="Q82">
        <v>9.9999999999999995E-7</v>
      </c>
      <c r="R82">
        <v>6.0000000000000002E-6</v>
      </c>
      <c r="S82">
        <v>1.4E-5</v>
      </c>
      <c r="T82">
        <v>3.1000000000000001E-5</v>
      </c>
      <c r="U82">
        <v>6.2000000000000003E-5</v>
      </c>
      <c r="V82">
        <v>1.22E-4</v>
      </c>
      <c r="W82">
        <v>2.3000000000000001E-4</v>
      </c>
      <c r="X82">
        <v>4.3100000000000001E-4</v>
      </c>
      <c r="Y82">
        <v>7.9799999999999999E-4</v>
      </c>
      <c r="Z82">
        <v>1.165E-3</v>
      </c>
      <c r="AA82">
        <v>1.534E-3</v>
      </c>
      <c r="AB82">
        <v>1.9040000000000001E-3</v>
      </c>
      <c r="AC82">
        <v>2.2759999999999998E-3</v>
      </c>
      <c r="AD82">
        <v>2.6489999999999999E-3</v>
      </c>
      <c r="AE82">
        <v>3.0240000000000002E-3</v>
      </c>
      <c r="AF82">
        <v>3.3999999999999998E-3</v>
      </c>
      <c r="AG82">
        <v>3.7759999999999998E-3</v>
      </c>
      <c r="AH82">
        <v>4.1520000000000003E-3</v>
      </c>
      <c r="AI82" t="s">
        <v>4</v>
      </c>
    </row>
    <row r="83" spans="1:35" x14ac:dyDescent="0.25">
      <c r="A83" t="s">
        <v>238</v>
      </c>
      <c r="B83" t="s">
        <v>463</v>
      </c>
      <c r="C83" t="s">
        <v>464</v>
      </c>
      <c r="D83" t="s">
        <v>240</v>
      </c>
      <c r="F83">
        <v>38.879559</v>
      </c>
      <c r="G83">
        <v>43.125973000000002</v>
      </c>
      <c r="H83">
        <v>47.972565000000003</v>
      </c>
      <c r="I83">
        <v>52.818500999999998</v>
      </c>
      <c r="J83">
        <v>57.647593999999998</v>
      </c>
      <c r="K83">
        <v>62.611156000000001</v>
      </c>
      <c r="L83">
        <v>67.696831000000003</v>
      </c>
      <c r="M83">
        <v>72.983909999999995</v>
      </c>
      <c r="N83">
        <v>78.436142000000004</v>
      </c>
      <c r="O83">
        <v>84.134567000000004</v>
      </c>
      <c r="P83">
        <v>90.184685000000002</v>
      </c>
      <c r="Q83">
        <v>96.308402999999998</v>
      </c>
      <c r="R83">
        <v>102.57440200000001</v>
      </c>
      <c r="S83">
        <v>108.095085</v>
      </c>
      <c r="T83">
        <v>113.883217</v>
      </c>
      <c r="U83">
        <v>119.885406</v>
      </c>
      <c r="V83">
        <v>126.297951</v>
      </c>
      <c r="W83">
        <v>133.136719</v>
      </c>
      <c r="X83">
        <v>140.40329</v>
      </c>
      <c r="Y83">
        <v>148.07901000000001</v>
      </c>
      <c r="Z83">
        <v>156.162567</v>
      </c>
      <c r="AA83">
        <v>164.707626</v>
      </c>
      <c r="AB83">
        <v>173.56130999999999</v>
      </c>
      <c r="AC83">
        <v>182.859161</v>
      </c>
      <c r="AD83">
        <v>192.47685200000001</v>
      </c>
      <c r="AE83">
        <v>202.41137699999999</v>
      </c>
      <c r="AF83">
        <v>212.83244300000001</v>
      </c>
      <c r="AG83">
        <v>223.473007</v>
      </c>
      <c r="AH83">
        <v>234.46116599999999</v>
      </c>
      <c r="AI83" s="16">
        <v>6.6000000000000003E-2</v>
      </c>
    </row>
    <row r="84" spans="1:35" s="1" customFormat="1" x14ac:dyDescent="0.25">
      <c r="A84" s="1" t="s">
        <v>239</v>
      </c>
      <c r="B84" s="1" t="s">
        <v>465</v>
      </c>
      <c r="C84" s="1" t="s">
        <v>466</v>
      </c>
      <c r="D84" s="1" t="s">
        <v>240</v>
      </c>
      <c r="F84" s="1">
        <v>6.9006999999999999E-2</v>
      </c>
      <c r="G84" s="1">
        <v>7.4813000000000004E-2</v>
      </c>
      <c r="H84" s="1">
        <v>8.1044000000000005E-2</v>
      </c>
      <c r="I84" s="1">
        <v>8.7524000000000005E-2</v>
      </c>
      <c r="J84" s="1">
        <v>9.4131000000000006E-2</v>
      </c>
      <c r="K84" s="1">
        <v>0.100814</v>
      </c>
      <c r="L84" s="1">
        <v>0.10752100000000001</v>
      </c>
      <c r="M84" s="1">
        <v>0.114228</v>
      </c>
      <c r="N84" s="1">
        <v>0.120911</v>
      </c>
      <c r="O84" s="1">
        <v>0.12756999999999999</v>
      </c>
      <c r="P84" s="1">
        <v>0.134214</v>
      </c>
      <c r="Q84" s="1">
        <v>0.14060900000000001</v>
      </c>
      <c r="R84" s="1">
        <v>0.14061199999999999</v>
      </c>
      <c r="S84" s="1">
        <v>0.14061899999999999</v>
      </c>
      <c r="T84" s="1">
        <v>0.14063100000000001</v>
      </c>
      <c r="U84" s="1">
        <v>0.140654</v>
      </c>
      <c r="V84" s="1">
        <v>0.14069799999999999</v>
      </c>
      <c r="W84" s="1">
        <v>0.14077799999999999</v>
      </c>
      <c r="X84" s="1">
        <v>0.14092499999999999</v>
      </c>
      <c r="Y84" s="1">
        <v>0.14119499999999999</v>
      </c>
      <c r="Z84" s="1">
        <v>0.14146500000000001</v>
      </c>
      <c r="AA84" s="1">
        <v>0.141736</v>
      </c>
      <c r="AB84" s="1">
        <v>0.14200699999999999</v>
      </c>
      <c r="AC84" s="1">
        <v>0.14227999999999999</v>
      </c>
      <c r="AD84" s="1">
        <v>0.14255399999999999</v>
      </c>
      <c r="AE84" s="1">
        <v>0.14282900000000001</v>
      </c>
      <c r="AF84" s="1">
        <v>0.14310400000000001</v>
      </c>
      <c r="AG84" s="1">
        <v>0.14337900000000001</v>
      </c>
      <c r="AH84" s="1">
        <v>0.143655</v>
      </c>
      <c r="AI84" s="48">
        <v>2.7E-2</v>
      </c>
    </row>
    <row r="85" spans="1:35" x14ac:dyDescent="0.25">
      <c r="A85" t="s">
        <v>191</v>
      </c>
      <c r="B85" t="s">
        <v>467</v>
      </c>
      <c r="C85" t="s">
        <v>468</v>
      </c>
      <c r="D85" t="s">
        <v>240</v>
      </c>
      <c r="F85">
        <v>38.948566</v>
      </c>
      <c r="G85">
        <v>43.200786999999998</v>
      </c>
      <c r="H85">
        <v>48.053607999999997</v>
      </c>
      <c r="I85">
        <v>52.906025</v>
      </c>
      <c r="J85">
        <v>57.741726</v>
      </c>
      <c r="K85">
        <v>62.711970999999998</v>
      </c>
      <c r="L85">
        <v>67.804351999999994</v>
      </c>
      <c r="M85">
        <v>73.098136999999994</v>
      </c>
      <c r="N85">
        <v>78.557052999999996</v>
      </c>
      <c r="O85">
        <v>84.262137999999993</v>
      </c>
      <c r="P85">
        <v>90.318900999999997</v>
      </c>
      <c r="Q85">
        <v>96.449012999999994</v>
      </c>
      <c r="R85">
        <v>102.715019</v>
      </c>
      <c r="S85">
        <v>108.23571800000001</v>
      </c>
      <c r="T85">
        <v>114.02388000000001</v>
      </c>
      <c r="U85">
        <v>120.026123</v>
      </c>
      <c r="V85">
        <v>126.438774</v>
      </c>
      <c r="W85">
        <v>133.277725</v>
      </c>
      <c r="X85">
        <v>140.544647</v>
      </c>
      <c r="Y85">
        <v>148.22099299999999</v>
      </c>
      <c r="Z85">
        <v>156.30519100000001</v>
      </c>
      <c r="AA85">
        <v>164.85090600000001</v>
      </c>
      <c r="AB85">
        <v>173.705231</v>
      </c>
      <c r="AC85">
        <v>183.00370799999999</v>
      </c>
      <c r="AD85">
        <v>192.62205499999999</v>
      </c>
      <c r="AE85">
        <v>202.55722</v>
      </c>
      <c r="AF85">
        <v>212.97894299999999</v>
      </c>
      <c r="AG85">
        <v>223.620148</v>
      </c>
      <c r="AH85">
        <v>234.60897800000001</v>
      </c>
      <c r="AI85" s="16">
        <v>6.6000000000000003E-2</v>
      </c>
    </row>
    <row r="86" spans="1:35" x14ac:dyDescent="0.25">
      <c r="A86" t="s">
        <v>241</v>
      </c>
    </row>
    <row r="87" spans="1:35" x14ac:dyDescent="0.25">
      <c r="A87" t="s">
        <v>242</v>
      </c>
      <c r="B87" t="s">
        <v>469</v>
      </c>
      <c r="C87" t="s">
        <v>470</v>
      </c>
      <c r="D87" t="s">
        <v>240</v>
      </c>
      <c r="F87">
        <v>6.1163970000000001</v>
      </c>
      <c r="G87">
        <v>7.0172879999999997</v>
      </c>
      <c r="H87">
        <v>8.0391890000000004</v>
      </c>
      <c r="I87">
        <v>9.0090249999999994</v>
      </c>
      <c r="J87">
        <v>9.9666619999999995</v>
      </c>
      <c r="K87">
        <v>10.957931</v>
      </c>
      <c r="L87">
        <v>11.963233000000001</v>
      </c>
      <c r="M87">
        <v>13.032094000000001</v>
      </c>
      <c r="N87">
        <v>14.131605</v>
      </c>
      <c r="O87">
        <v>15.315522</v>
      </c>
      <c r="P87">
        <v>16.611360999999999</v>
      </c>
      <c r="Q87">
        <v>17.921099000000002</v>
      </c>
      <c r="R87">
        <v>19.288816000000001</v>
      </c>
      <c r="S87">
        <v>20.464827</v>
      </c>
      <c r="T87">
        <v>21.726690000000001</v>
      </c>
      <c r="U87">
        <v>23.024827999999999</v>
      </c>
      <c r="V87">
        <v>24.442295000000001</v>
      </c>
      <c r="W87">
        <v>25.954371999999999</v>
      </c>
      <c r="X87">
        <v>27.590239</v>
      </c>
      <c r="Y87">
        <v>29.314402000000001</v>
      </c>
      <c r="Z87">
        <v>31.122247999999999</v>
      </c>
      <c r="AA87">
        <v>33.063015</v>
      </c>
      <c r="AB87">
        <v>35.056106999999997</v>
      </c>
      <c r="AC87">
        <v>37.173237</v>
      </c>
      <c r="AD87">
        <v>39.340510999999999</v>
      </c>
      <c r="AE87">
        <v>41.550514</v>
      </c>
      <c r="AF87">
        <v>43.885693000000003</v>
      </c>
      <c r="AG87">
        <v>46.226215000000003</v>
      </c>
      <c r="AH87">
        <v>48.640495000000001</v>
      </c>
      <c r="AI87" s="16">
        <v>7.6999999999999999E-2</v>
      </c>
    </row>
    <row r="88" spans="1:35" x14ac:dyDescent="0.25">
      <c r="A88" t="s">
        <v>243</v>
      </c>
      <c r="B88" t="s">
        <v>471</v>
      </c>
      <c r="C88" t="s">
        <v>472</v>
      </c>
      <c r="D88" t="s">
        <v>240</v>
      </c>
      <c r="F88">
        <v>32.832169</v>
      </c>
      <c r="G88">
        <v>36.183495000000001</v>
      </c>
      <c r="H88">
        <v>40.014423000000001</v>
      </c>
      <c r="I88">
        <v>43.896996000000001</v>
      </c>
      <c r="J88">
        <v>47.775063000000003</v>
      </c>
      <c r="K88">
        <v>51.754040000000003</v>
      </c>
      <c r="L88">
        <v>55.841121999999999</v>
      </c>
      <c r="M88">
        <v>60.066035999999997</v>
      </c>
      <c r="N88">
        <v>64.425438</v>
      </c>
      <c r="O88">
        <v>68.946617000000003</v>
      </c>
      <c r="P88">
        <v>73.707542000000004</v>
      </c>
      <c r="Q88">
        <v>78.527916000000005</v>
      </c>
      <c r="R88">
        <v>83.426201000000006</v>
      </c>
      <c r="S88">
        <v>87.770882</v>
      </c>
      <c r="T88">
        <v>92.297188000000006</v>
      </c>
      <c r="U88">
        <v>97.001289</v>
      </c>
      <c r="V88">
        <v>101.996475</v>
      </c>
      <c r="W88">
        <v>107.323357</v>
      </c>
      <c r="X88">
        <v>112.954407</v>
      </c>
      <c r="Y88">
        <v>118.90660099999999</v>
      </c>
      <c r="Z88">
        <v>125.182953</v>
      </c>
      <c r="AA88">
        <v>131.78787199999999</v>
      </c>
      <c r="AB88">
        <v>138.649124</v>
      </c>
      <c r="AC88">
        <v>145.83049</v>
      </c>
      <c r="AD88">
        <v>153.281555</v>
      </c>
      <c r="AE88">
        <v>161.006699</v>
      </c>
      <c r="AF88">
        <v>169.093231</v>
      </c>
      <c r="AG88">
        <v>177.393936</v>
      </c>
      <c r="AH88">
        <v>185.968491</v>
      </c>
      <c r="AI88" s="16">
        <v>6.4000000000000001E-2</v>
      </c>
    </row>
    <row r="89" spans="1:35" x14ac:dyDescent="0.25">
      <c r="A89" t="s">
        <v>244</v>
      </c>
    </row>
    <row r="90" spans="1:35" x14ac:dyDescent="0.25">
      <c r="A90" t="s">
        <v>236</v>
      </c>
      <c r="B90" t="s">
        <v>473</v>
      </c>
      <c r="C90" t="s">
        <v>474</v>
      </c>
      <c r="D90" t="s">
        <v>245</v>
      </c>
      <c r="F90">
        <v>0</v>
      </c>
      <c r="G90">
        <v>0</v>
      </c>
      <c r="H90">
        <v>0</v>
      </c>
      <c r="I90">
        <v>0</v>
      </c>
      <c r="J90">
        <v>0</v>
      </c>
      <c r="K90">
        <v>0</v>
      </c>
      <c r="L90">
        <v>0</v>
      </c>
      <c r="M90">
        <v>0</v>
      </c>
      <c r="N90">
        <v>0</v>
      </c>
      <c r="O90">
        <v>0</v>
      </c>
      <c r="P90">
        <v>3.0000000000000001E-6</v>
      </c>
      <c r="Q90">
        <v>9.0000000000000002E-6</v>
      </c>
      <c r="R90">
        <v>4.3000000000000002E-5</v>
      </c>
      <c r="S90">
        <v>1.08E-4</v>
      </c>
      <c r="T90">
        <v>2.3699999999999999E-4</v>
      </c>
      <c r="U90">
        <v>4.7399999999999997E-4</v>
      </c>
      <c r="V90">
        <v>9.2800000000000001E-4</v>
      </c>
      <c r="W90">
        <v>1.755E-3</v>
      </c>
      <c r="X90">
        <v>3.277E-3</v>
      </c>
      <c r="Y90">
        <v>6.0499999999999998E-3</v>
      </c>
      <c r="Z90">
        <v>8.8210000000000007E-3</v>
      </c>
      <c r="AA90">
        <v>1.1598000000000001E-2</v>
      </c>
      <c r="AB90">
        <v>1.4381E-2</v>
      </c>
      <c r="AC90">
        <v>1.7170999999999999E-2</v>
      </c>
      <c r="AD90">
        <v>1.9963999999999999E-2</v>
      </c>
      <c r="AE90">
        <v>2.2764E-2</v>
      </c>
      <c r="AF90">
        <v>2.5562999999999999E-2</v>
      </c>
      <c r="AG90">
        <v>2.8357E-2</v>
      </c>
      <c r="AH90">
        <v>3.1149E-2</v>
      </c>
      <c r="AI90" t="s">
        <v>4</v>
      </c>
    </row>
    <row r="91" spans="1:35" x14ac:dyDescent="0.25">
      <c r="A91" t="s">
        <v>238</v>
      </c>
      <c r="B91" t="s">
        <v>475</v>
      </c>
      <c r="C91" t="s">
        <v>476</v>
      </c>
      <c r="D91" t="s">
        <v>245</v>
      </c>
      <c r="F91">
        <v>320.74206500000003</v>
      </c>
      <c r="G91">
        <v>353.178406</v>
      </c>
      <c r="H91">
        <v>397.25158699999997</v>
      </c>
      <c r="I91">
        <v>434.42645299999998</v>
      </c>
      <c r="J91">
        <v>470.73333700000001</v>
      </c>
      <c r="K91">
        <v>509.77789300000001</v>
      </c>
      <c r="L91">
        <v>548.17248500000005</v>
      </c>
      <c r="M91">
        <v>589.55798300000004</v>
      </c>
      <c r="N91">
        <v>635.009094</v>
      </c>
      <c r="O91">
        <v>682.95190400000001</v>
      </c>
      <c r="P91">
        <v>733.30017099999998</v>
      </c>
      <c r="Q91">
        <v>781.92980999999997</v>
      </c>
      <c r="R91">
        <v>835.91406199999994</v>
      </c>
      <c r="S91">
        <v>883.02221699999996</v>
      </c>
      <c r="T91">
        <v>929.25885000000005</v>
      </c>
      <c r="U91">
        <v>974.57055700000001</v>
      </c>
      <c r="V91">
        <v>1022.574585</v>
      </c>
      <c r="W91">
        <v>1077.076172</v>
      </c>
      <c r="X91">
        <v>1132.4677730000001</v>
      </c>
      <c r="Y91">
        <v>1197.6092530000001</v>
      </c>
      <c r="Z91">
        <v>1261.770264</v>
      </c>
      <c r="AA91">
        <v>1330.908447</v>
      </c>
      <c r="AB91">
        <v>1405.4311520000001</v>
      </c>
      <c r="AC91">
        <v>1483.5311280000001</v>
      </c>
      <c r="AD91">
        <v>1559.298462</v>
      </c>
      <c r="AE91">
        <v>1639.516357</v>
      </c>
      <c r="AF91">
        <v>1720.6674800000001</v>
      </c>
      <c r="AG91">
        <v>1808.1606449999999</v>
      </c>
      <c r="AH91">
        <v>1890.2470699999999</v>
      </c>
      <c r="AI91" s="16">
        <v>6.5000000000000002E-2</v>
      </c>
    </row>
    <row r="92" spans="1:35" x14ac:dyDescent="0.25">
      <c r="A92" t="s">
        <v>239</v>
      </c>
      <c r="B92" t="s">
        <v>477</v>
      </c>
      <c r="C92" t="s">
        <v>478</v>
      </c>
      <c r="D92" t="s">
        <v>245</v>
      </c>
      <c r="F92">
        <v>0.56120000000000003</v>
      </c>
      <c r="G92">
        <v>0.60339799999999999</v>
      </c>
      <c r="H92">
        <v>0.65863799999999995</v>
      </c>
      <c r="I92">
        <v>0.70472900000000005</v>
      </c>
      <c r="J92">
        <v>0.74776699999999996</v>
      </c>
      <c r="K92">
        <v>0.80074500000000004</v>
      </c>
      <c r="L92">
        <v>0.85385599999999995</v>
      </c>
      <c r="M92">
        <v>0.90659699999999999</v>
      </c>
      <c r="N92">
        <v>0.96025000000000005</v>
      </c>
      <c r="O92">
        <v>1.016923</v>
      </c>
      <c r="P92">
        <v>1.0715680000000001</v>
      </c>
      <c r="Q92">
        <v>1.1217349999999999</v>
      </c>
      <c r="R92">
        <v>1.122288</v>
      </c>
      <c r="S92">
        <v>1.12683</v>
      </c>
      <c r="T92">
        <v>1.126382</v>
      </c>
      <c r="U92">
        <v>1.1277759999999999</v>
      </c>
      <c r="V92">
        <v>1.128401</v>
      </c>
      <c r="W92">
        <v>1.1304860000000001</v>
      </c>
      <c r="X92">
        <v>1.1354500000000001</v>
      </c>
      <c r="Y92">
        <v>1.1436310000000001</v>
      </c>
      <c r="Z92">
        <v>1.1458250000000001</v>
      </c>
      <c r="AA92">
        <v>1.1542190000000001</v>
      </c>
      <c r="AB92">
        <v>1.16212</v>
      </c>
      <c r="AC92">
        <v>1.170447</v>
      </c>
      <c r="AD92">
        <v>1.177325</v>
      </c>
      <c r="AE92">
        <v>1.183087</v>
      </c>
      <c r="AF92">
        <v>1.1868639999999999</v>
      </c>
      <c r="AG92">
        <v>1.1939090000000001</v>
      </c>
      <c r="AH92">
        <v>1.1918690000000001</v>
      </c>
      <c r="AI92" s="16">
        <v>2.7E-2</v>
      </c>
    </row>
    <row r="93" spans="1:35" x14ac:dyDescent="0.25">
      <c r="A93" t="s">
        <v>191</v>
      </c>
      <c r="B93" t="s">
        <v>479</v>
      </c>
      <c r="C93" t="s">
        <v>480</v>
      </c>
      <c r="D93" t="s">
        <v>245</v>
      </c>
      <c r="F93">
        <v>321.30325299999998</v>
      </c>
      <c r="G93">
        <v>353.78179899999998</v>
      </c>
      <c r="H93">
        <v>397.91021699999999</v>
      </c>
      <c r="I93">
        <v>435.13119499999999</v>
      </c>
      <c r="J93">
        <v>471.48111</v>
      </c>
      <c r="K93">
        <v>510.578644</v>
      </c>
      <c r="L93">
        <v>549.02636700000005</v>
      </c>
      <c r="M93">
        <v>590.46460000000002</v>
      </c>
      <c r="N93">
        <v>635.96936000000005</v>
      </c>
      <c r="O93">
        <v>683.96881099999996</v>
      </c>
      <c r="P93">
        <v>734.37176499999998</v>
      </c>
      <c r="Q93">
        <v>783.05157499999996</v>
      </c>
      <c r="R93">
        <v>837.03643799999998</v>
      </c>
      <c r="S93">
        <v>884.14917000000003</v>
      </c>
      <c r="T93">
        <v>930.38549799999998</v>
      </c>
      <c r="U93">
        <v>975.69879200000003</v>
      </c>
      <c r="V93">
        <v>1023.703918</v>
      </c>
      <c r="W93">
        <v>1078.208374</v>
      </c>
      <c r="X93">
        <v>1133.606567</v>
      </c>
      <c r="Y93">
        <v>1198.759033</v>
      </c>
      <c r="Z93">
        <v>1262.924927</v>
      </c>
      <c r="AA93">
        <v>1332.0742190000001</v>
      </c>
      <c r="AB93">
        <v>1406.6076660000001</v>
      </c>
      <c r="AC93">
        <v>1484.71875</v>
      </c>
      <c r="AD93">
        <v>1560.49585</v>
      </c>
      <c r="AE93">
        <v>1640.722168</v>
      </c>
      <c r="AF93">
        <v>1721.8798830000001</v>
      </c>
      <c r="AG93">
        <v>1809.3829350000001</v>
      </c>
      <c r="AH93">
        <v>1891.4700929999999</v>
      </c>
      <c r="AI93" s="16">
        <v>6.5000000000000002E-2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4BB1-F435-4277-98CC-C79FDF16BDAB}">
  <dimension ref="A1:AG93"/>
  <sheetViews>
    <sheetView topLeftCell="A55" zoomScale="90" zoomScaleNormal="90" workbookViewId="0">
      <selection activeCell="H42" sqref="H42"/>
    </sheetView>
  </sheetViews>
  <sheetFormatPr defaultRowHeight="15" x14ac:dyDescent="0.25"/>
  <cols>
    <col min="1" max="1" width="27.42578125" customWidth="1"/>
    <col min="2" max="2" width="42.5703125" customWidth="1"/>
    <col min="3" max="3" width="34.5703125" customWidth="1"/>
  </cols>
  <sheetData>
    <row r="1" spans="1:33" x14ac:dyDescent="0.25">
      <c r="A1" t="s">
        <v>176</v>
      </c>
    </row>
    <row r="2" spans="1:33" x14ac:dyDescent="0.25">
      <c r="A2" t="s">
        <v>717</v>
      </c>
    </row>
    <row r="3" spans="1:33" x14ac:dyDescent="0.25">
      <c r="A3" t="s">
        <v>716</v>
      </c>
    </row>
    <row r="4" spans="1:33" x14ac:dyDescent="0.25">
      <c r="A4" t="s">
        <v>177</v>
      </c>
    </row>
    <row r="5" spans="1:33" x14ac:dyDescent="0.25">
      <c r="B5" t="s">
        <v>178</v>
      </c>
      <c r="C5" t="s">
        <v>179</v>
      </c>
      <c r="D5" t="s">
        <v>180</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715</v>
      </c>
    </row>
    <row r="6" spans="1:33" x14ac:dyDescent="0.25">
      <c r="A6" t="s">
        <v>2</v>
      </c>
    </row>
    <row r="7" spans="1:33" x14ac:dyDescent="0.25">
      <c r="A7" t="s">
        <v>181</v>
      </c>
    </row>
    <row r="8" spans="1:33" x14ac:dyDescent="0.25">
      <c r="A8" t="s">
        <v>182</v>
      </c>
      <c r="B8" t="s">
        <v>714</v>
      </c>
      <c r="C8" t="s">
        <v>713</v>
      </c>
      <c r="D8" t="s">
        <v>183</v>
      </c>
      <c r="F8">
        <v>16.645529</v>
      </c>
      <c r="G8">
        <v>16.962237999999999</v>
      </c>
      <c r="H8">
        <v>17.297937000000001</v>
      </c>
      <c r="I8">
        <v>17.637350000000001</v>
      </c>
      <c r="J8">
        <v>17.975957999999999</v>
      </c>
      <c r="K8">
        <v>18.323191000000001</v>
      </c>
      <c r="L8">
        <v>18.671122</v>
      </c>
      <c r="M8">
        <v>19.020292000000001</v>
      </c>
      <c r="N8">
        <v>19.366976000000001</v>
      </c>
      <c r="O8">
        <v>19.701832</v>
      </c>
      <c r="P8">
        <v>20.022341000000001</v>
      </c>
      <c r="Q8">
        <v>20.338335000000001</v>
      </c>
      <c r="R8">
        <v>20.648126999999999</v>
      </c>
      <c r="S8">
        <v>20.945910000000001</v>
      </c>
      <c r="T8">
        <v>21.232154999999999</v>
      </c>
      <c r="U8">
        <v>21.506626000000001</v>
      </c>
      <c r="V8">
        <v>21.772038999999999</v>
      </c>
      <c r="W8">
        <v>22.026168999999999</v>
      </c>
      <c r="X8">
        <v>22.271370000000001</v>
      </c>
      <c r="Y8">
        <v>22.506741000000002</v>
      </c>
      <c r="Z8">
        <v>22.737044999999998</v>
      </c>
      <c r="AA8">
        <v>22.966515999999999</v>
      </c>
      <c r="AB8">
        <v>23.194811000000001</v>
      </c>
      <c r="AC8">
        <v>23.422667000000001</v>
      </c>
      <c r="AD8">
        <v>23.650106000000001</v>
      </c>
      <c r="AE8">
        <v>23.877323000000001</v>
      </c>
      <c r="AF8">
        <v>24.103532999999999</v>
      </c>
      <c r="AG8" s="16">
        <v>1.4E-2</v>
      </c>
    </row>
    <row r="9" spans="1:33" x14ac:dyDescent="0.25">
      <c r="A9" t="s">
        <v>184</v>
      </c>
      <c r="B9" t="s">
        <v>712</v>
      </c>
      <c r="C9" t="s">
        <v>711</v>
      </c>
      <c r="D9" t="s">
        <v>183</v>
      </c>
      <c r="F9">
        <v>26.605318</v>
      </c>
      <c r="G9">
        <v>26.781590000000001</v>
      </c>
      <c r="H9">
        <v>26.987282</v>
      </c>
      <c r="I9">
        <v>27.200581</v>
      </c>
      <c r="J9">
        <v>27.420453999999999</v>
      </c>
      <c r="K9">
        <v>27.653373999999999</v>
      </c>
      <c r="L9">
        <v>27.889208</v>
      </c>
      <c r="M9">
        <v>28.127293000000002</v>
      </c>
      <c r="N9">
        <v>28.362696</v>
      </c>
      <c r="O9">
        <v>28.587047999999999</v>
      </c>
      <c r="P9">
        <v>28.798484999999999</v>
      </c>
      <c r="Q9">
        <v>29.005108</v>
      </c>
      <c r="R9">
        <v>29.206934</v>
      </c>
      <c r="S9">
        <v>29.397682</v>
      </c>
      <c r="T9">
        <v>29.579087999999999</v>
      </c>
      <c r="U9">
        <v>29.751591000000001</v>
      </c>
      <c r="V9">
        <v>29.918130999999999</v>
      </c>
      <c r="W9">
        <v>30.076429000000001</v>
      </c>
      <c r="X9">
        <v>30.228321000000001</v>
      </c>
      <c r="Y9">
        <v>30.375741999999999</v>
      </c>
      <c r="Z9">
        <v>30.522755</v>
      </c>
      <c r="AA9">
        <v>30.670508999999999</v>
      </c>
      <c r="AB9">
        <v>30.818306</v>
      </c>
      <c r="AC9">
        <v>30.966200000000001</v>
      </c>
      <c r="AD9">
        <v>31.114232999999999</v>
      </c>
      <c r="AE9">
        <v>31.262747000000001</v>
      </c>
      <c r="AF9">
        <v>31.41095</v>
      </c>
      <c r="AG9" s="16">
        <v>6.0000000000000001E-3</v>
      </c>
    </row>
    <row r="10" spans="1:33" x14ac:dyDescent="0.25">
      <c r="A10" t="s">
        <v>185</v>
      </c>
      <c r="B10" t="s">
        <v>710</v>
      </c>
      <c r="C10" t="s">
        <v>709</v>
      </c>
      <c r="D10" t="s">
        <v>183</v>
      </c>
      <c r="F10">
        <v>1.3358559999999999</v>
      </c>
      <c r="G10">
        <v>1.335485</v>
      </c>
      <c r="H10">
        <v>1.335121</v>
      </c>
      <c r="I10">
        <v>1.3347629999999999</v>
      </c>
      <c r="J10">
        <v>1.334411</v>
      </c>
      <c r="K10">
        <v>1.3340669999999999</v>
      </c>
      <c r="L10">
        <v>1.333728</v>
      </c>
      <c r="M10">
        <v>1.333394</v>
      </c>
      <c r="N10">
        <v>1.333067</v>
      </c>
      <c r="O10">
        <v>1.332746</v>
      </c>
      <c r="P10">
        <v>1.3324309999999999</v>
      </c>
      <c r="Q10">
        <v>1.33212</v>
      </c>
      <c r="R10">
        <v>1.3318160000000001</v>
      </c>
      <c r="S10">
        <v>1.3315170000000001</v>
      </c>
      <c r="T10">
        <v>1.331223</v>
      </c>
      <c r="U10">
        <v>1.3309340000000001</v>
      </c>
      <c r="V10">
        <v>1.330651</v>
      </c>
      <c r="W10">
        <v>1.330373</v>
      </c>
      <c r="X10">
        <v>1.3300989999999999</v>
      </c>
      <c r="Y10">
        <v>1.329831</v>
      </c>
      <c r="Z10">
        <v>1.3295669999999999</v>
      </c>
      <c r="AA10">
        <v>1.3293079999999999</v>
      </c>
      <c r="AB10">
        <v>1.329053</v>
      </c>
      <c r="AC10">
        <v>1.3288040000000001</v>
      </c>
      <c r="AD10">
        <v>1.3285579999999999</v>
      </c>
      <c r="AE10">
        <v>1.3283160000000001</v>
      </c>
      <c r="AF10">
        <v>1.328079</v>
      </c>
      <c r="AG10" s="16">
        <v>0</v>
      </c>
    </row>
    <row r="11" spans="1:33" x14ac:dyDescent="0.25">
      <c r="A11" t="s">
        <v>186</v>
      </c>
      <c r="B11" t="s">
        <v>708</v>
      </c>
      <c r="C11" t="s">
        <v>707</v>
      </c>
      <c r="D11" t="s">
        <v>183</v>
      </c>
      <c r="F11">
        <v>65.614693000000003</v>
      </c>
      <c r="G11">
        <v>66.503310999999997</v>
      </c>
      <c r="H11">
        <v>67.422646</v>
      </c>
      <c r="I11">
        <v>68.347206</v>
      </c>
      <c r="J11">
        <v>69.275345000000002</v>
      </c>
      <c r="K11">
        <v>70.215851000000001</v>
      </c>
      <c r="L11">
        <v>71.155624000000003</v>
      </c>
      <c r="M11">
        <v>72.095222000000007</v>
      </c>
      <c r="N11">
        <v>73.022018000000003</v>
      </c>
      <c r="O11">
        <v>73.917961000000005</v>
      </c>
      <c r="P11">
        <v>74.776138000000003</v>
      </c>
      <c r="Q11">
        <v>75.619468999999995</v>
      </c>
      <c r="R11">
        <v>76.443016</v>
      </c>
      <c r="S11">
        <v>77.232451999999995</v>
      </c>
      <c r="T11">
        <v>77.991675999999998</v>
      </c>
      <c r="U11">
        <v>78.71611</v>
      </c>
      <c r="V11">
        <v>79.412209000000004</v>
      </c>
      <c r="W11">
        <v>80.076683000000003</v>
      </c>
      <c r="X11">
        <v>80.717903000000007</v>
      </c>
      <c r="Y11">
        <v>81.333213999999998</v>
      </c>
      <c r="Z11">
        <v>81.934601000000001</v>
      </c>
      <c r="AA11">
        <v>82.534103000000002</v>
      </c>
      <c r="AB11">
        <v>83.129738000000003</v>
      </c>
      <c r="AC11">
        <v>83.726119999999995</v>
      </c>
      <c r="AD11">
        <v>84.322975</v>
      </c>
      <c r="AE11">
        <v>84.920402999999993</v>
      </c>
      <c r="AF11">
        <v>85.516907000000003</v>
      </c>
      <c r="AG11" s="16">
        <v>0.01</v>
      </c>
    </row>
    <row r="12" spans="1:33" x14ac:dyDescent="0.25">
      <c r="A12" t="s">
        <v>187</v>
      </c>
      <c r="B12" t="s">
        <v>706</v>
      </c>
      <c r="C12" t="s">
        <v>705</v>
      </c>
      <c r="D12" t="s">
        <v>183</v>
      </c>
      <c r="F12">
        <v>4.7679400000000003</v>
      </c>
      <c r="G12">
        <v>4.7259000000000002</v>
      </c>
      <c r="H12">
        <v>4.6848210000000003</v>
      </c>
      <c r="I12">
        <v>4.6445790000000002</v>
      </c>
      <c r="J12">
        <v>4.6050199999999997</v>
      </c>
      <c r="K12">
        <v>4.5659689999999999</v>
      </c>
      <c r="L12">
        <v>4.5268259999999998</v>
      </c>
      <c r="M12">
        <v>4.4876120000000004</v>
      </c>
      <c r="N12">
        <v>4.4495209999999998</v>
      </c>
      <c r="O12">
        <v>4.412687</v>
      </c>
      <c r="P12">
        <v>4.3773140000000001</v>
      </c>
      <c r="Q12">
        <v>4.3434270000000001</v>
      </c>
      <c r="R12">
        <v>4.3103170000000004</v>
      </c>
      <c r="S12">
        <v>4.2779480000000003</v>
      </c>
      <c r="T12">
        <v>4.246086</v>
      </c>
      <c r="U12">
        <v>4.2144880000000002</v>
      </c>
      <c r="V12">
        <v>4.1831740000000002</v>
      </c>
      <c r="W12">
        <v>4.1520609999999998</v>
      </c>
      <c r="X12">
        <v>4.1220239999999997</v>
      </c>
      <c r="Y12">
        <v>4.0930540000000004</v>
      </c>
      <c r="Z12">
        <v>4.0651210000000004</v>
      </c>
      <c r="AA12">
        <v>4.0385</v>
      </c>
      <c r="AB12">
        <v>4.0128209999999997</v>
      </c>
      <c r="AC12">
        <v>3.9867460000000001</v>
      </c>
      <c r="AD12">
        <v>3.9604469999999998</v>
      </c>
      <c r="AE12">
        <v>3.9341620000000002</v>
      </c>
      <c r="AF12">
        <v>3.908093</v>
      </c>
      <c r="AG12" s="16">
        <v>-8.0000000000000002E-3</v>
      </c>
    </row>
    <row r="13" spans="1:33" x14ac:dyDescent="0.25">
      <c r="A13" t="s">
        <v>149</v>
      </c>
      <c r="B13" t="s">
        <v>704</v>
      </c>
      <c r="C13" t="s">
        <v>703</v>
      </c>
      <c r="D13" t="s">
        <v>183</v>
      </c>
      <c r="F13">
        <v>5.242597</v>
      </c>
      <c r="G13">
        <v>5.231007</v>
      </c>
      <c r="H13">
        <v>5.2227259999999998</v>
      </c>
      <c r="I13">
        <v>5.2138559999999998</v>
      </c>
      <c r="J13">
        <v>5.2017620000000004</v>
      </c>
      <c r="K13">
        <v>5.1923170000000001</v>
      </c>
      <c r="L13">
        <v>5.1804410000000001</v>
      </c>
      <c r="M13">
        <v>5.1671880000000003</v>
      </c>
      <c r="N13">
        <v>5.1553120000000003</v>
      </c>
      <c r="O13">
        <v>5.1438940000000004</v>
      </c>
      <c r="P13">
        <v>5.1323730000000003</v>
      </c>
      <c r="Q13">
        <v>5.1213470000000001</v>
      </c>
      <c r="R13">
        <v>5.111237</v>
      </c>
      <c r="S13">
        <v>5.1019629999999996</v>
      </c>
      <c r="T13">
        <v>5.0929900000000004</v>
      </c>
      <c r="U13">
        <v>5.0845039999999999</v>
      </c>
      <c r="V13">
        <v>5.0773279999999996</v>
      </c>
      <c r="W13">
        <v>5.0708909999999996</v>
      </c>
      <c r="X13">
        <v>5.0646820000000004</v>
      </c>
      <c r="Y13">
        <v>5.0585370000000003</v>
      </c>
      <c r="Z13">
        <v>5.0526479999999996</v>
      </c>
      <c r="AA13">
        <v>5.0474759999999996</v>
      </c>
      <c r="AB13">
        <v>5.0432449999999998</v>
      </c>
      <c r="AC13">
        <v>5.0376599999999998</v>
      </c>
      <c r="AD13">
        <v>5.0307449999999996</v>
      </c>
      <c r="AE13">
        <v>5.0227019999999998</v>
      </c>
      <c r="AF13">
        <v>5.0133200000000002</v>
      </c>
      <c r="AG13" s="16">
        <v>-2E-3</v>
      </c>
    </row>
    <row r="14" spans="1:33" x14ac:dyDescent="0.25">
      <c r="A14" t="s">
        <v>188</v>
      </c>
      <c r="B14" t="s">
        <v>702</v>
      </c>
      <c r="C14" t="s">
        <v>701</v>
      </c>
      <c r="D14" t="s">
        <v>183</v>
      </c>
      <c r="F14">
        <v>4.9249999999999997E-3</v>
      </c>
      <c r="G14">
        <v>7.8969999999999995E-3</v>
      </c>
      <c r="H14">
        <v>1.1523E-2</v>
      </c>
      <c r="I14">
        <v>1.5072E-2</v>
      </c>
      <c r="J14">
        <v>1.8269000000000001E-2</v>
      </c>
      <c r="K14">
        <v>2.1329999999999998E-2</v>
      </c>
      <c r="L14">
        <v>2.419E-2</v>
      </c>
      <c r="M14">
        <v>2.7018E-2</v>
      </c>
      <c r="N14">
        <v>2.9863000000000001E-2</v>
      </c>
      <c r="O14">
        <v>3.2679E-2</v>
      </c>
      <c r="P14">
        <v>3.5394000000000002E-2</v>
      </c>
      <c r="Q14">
        <v>3.8012999999999998E-2</v>
      </c>
      <c r="R14">
        <v>4.0598000000000002E-2</v>
      </c>
      <c r="S14">
        <v>4.3115000000000001E-2</v>
      </c>
      <c r="T14">
        <v>4.5557E-2</v>
      </c>
      <c r="U14">
        <v>4.7931000000000001E-2</v>
      </c>
      <c r="V14">
        <v>5.0323E-2</v>
      </c>
      <c r="W14">
        <v>5.2707999999999998E-2</v>
      </c>
      <c r="X14">
        <v>5.5048E-2</v>
      </c>
      <c r="Y14">
        <v>5.7336999999999999E-2</v>
      </c>
      <c r="Z14">
        <v>5.9591999999999999E-2</v>
      </c>
      <c r="AA14">
        <v>6.182E-2</v>
      </c>
      <c r="AB14">
        <v>6.3983999999999999E-2</v>
      </c>
      <c r="AC14">
        <v>6.6125000000000003E-2</v>
      </c>
      <c r="AD14">
        <v>6.8224000000000007E-2</v>
      </c>
      <c r="AE14">
        <v>7.0300000000000001E-2</v>
      </c>
      <c r="AF14">
        <v>7.2325E-2</v>
      </c>
      <c r="AG14" s="16">
        <v>0.109</v>
      </c>
    </row>
    <row r="15" spans="1:33" x14ac:dyDescent="0.25">
      <c r="A15" t="s">
        <v>189</v>
      </c>
      <c r="B15" t="s">
        <v>700</v>
      </c>
      <c r="C15" t="s">
        <v>699</v>
      </c>
      <c r="D15" t="s">
        <v>183</v>
      </c>
      <c r="F15">
        <v>2.220637</v>
      </c>
      <c r="G15">
        <v>2.2126389999999998</v>
      </c>
      <c r="H15">
        <v>2.2048290000000001</v>
      </c>
      <c r="I15">
        <v>2.1970589999999999</v>
      </c>
      <c r="J15">
        <v>2.1893750000000001</v>
      </c>
      <c r="K15">
        <v>2.1817530000000001</v>
      </c>
      <c r="L15">
        <v>2.1741869999999999</v>
      </c>
      <c r="M15">
        <v>2.1666919999999998</v>
      </c>
      <c r="N15">
        <v>2.1590280000000002</v>
      </c>
      <c r="O15">
        <v>2.1512479999999998</v>
      </c>
      <c r="P15">
        <v>2.1434000000000002</v>
      </c>
      <c r="Q15">
        <v>2.135421</v>
      </c>
      <c r="R15">
        <v>2.1273569999999999</v>
      </c>
      <c r="S15">
        <v>2.1191689999999999</v>
      </c>
      <c r="T15">
        <v>2.1109499999999999</v>
      </c>
      <c r="U15">
        <v>2.102684</v>
      </c>
      <c r="V15">
        <v>2.0943290000000001</v>
      </c>
      <c r="W15">
        <v>2.085804</v>
      </c>
      <c r="X15">
        <v>2.0775749999999999</v>
      </c>
      <c r="Y15">
        <v>2.0696460000000001</v>
      </c>
      <c r="Z15">
        <v>2.062065</v>
      </c>
      <c r="AA15">
        <v>2.054862</v>
      </c>
      <c r="AB15">
        <v>2.0480360000000002</v>
      </c>
      <c r="AC15">
        <v>2.0416629999999998</v>
      </c>
      <c r="AD15">
        <v>2.0357189999999998</v>
      </c>
      <c r="AE15">
        <v>2.030173</v>
      </c>
      <c r="AF15">
        <v>2.0250210000000002</v>
      </c>
      <c r="AG15" s="16">
        <v>-4.0000000000000001E-3</v>
      </c>
    </row>
    <row r="16" spans="1:33" x14ac:dyDescent="0.25">
      <c r="A16" t="s">
        <v>190</v>
      </c>
      <c r="B16" t="s">
        <v>698</v>
      </c>
      <c r="C16" t="s">
        <v>697</v>
      </c>
      <c r="D16" t="s">
        <v>183</v>
      </c>
      <c r="F16">
        <v>1.3606750000000001</v>
      </c>
      <c r="G16">
        <v>1.4081809999999999</v>
      </c>
      <c r="H16">
        <v>1.455492</v>
      </c>
      <c r="I16">
        <v>1.5027200000000001</v>
      </c>
      <c r="J16">
        <v>1.5491330000000001</v>
      </c>
      <c r="K16">
        <v>1.595817</v>
      </c>
      <c r="L16">
        <v>1.642325</v>
      </c>
      <c r="M16">
        <v>1.688836</v>
      </c>
      <c r="N16">
        <v>1.7355499999999999</v>
      </c>
      <c r="O16">
        <v>1.7816719999999999</v>
      </c>
      <c r="P16">
        <v>1.826767</v>
      </c>
      <c r="Q16">
        <v>1.8719479999999999</v>
      </c>
      <c r="R16">
        <v>1.9167529999999999</v>
      </c>
      <c r="S16">
        <v>1.9607570000000001</v>
      </c>
      <c r="T16">
        <v>2.0037910000000001</v>
      </c>
      <c r="U16">
        <v>2.0454750000000002</v>
      </c>
      <c r="V16">
        <v>2.0861049999999999</v>
      </c>
      <c r="W16">
        <v>2.1256249999999999</v>
      </c>
      <c r="X16">
        <v>2.1640130000000002</v>
      </c>
      <c r="Y16">
        <v>2.2007629999999998</v>
      </c>
      <c r="Z16">
        <v>2.2363569999999999</v>
      </c>
      <c r="AA16">
        <v>2.271668</v>
      </c>
      <c r="AB16">
        <v>2.306613</v>
      </c>
      <c r="AC16">
        <v>2.34118</v>
      </c>
      <c r="AD16">
        <v>2.3753600000000001</v>
      </c>
      <c r="AE16">
        <v>2.4091840000000002</v>
      </c>
      <c r="AF16">
        <v>2.4425819999999998</v>
      </c>
      <c r="AG16" s="16">
        <v>2.3E-2</v>
      </c>
    </row>
    <row r="17" spans="1:33" x14ac:dyDescent="0.25">
      <c r="A17" t="s">
        <v>191</v>
      </c>
      <c r="B17" t="s">
        <v>696</v>
      </c>
      <c r="C17" t="s">
        <v>695</v>
      </c>
      <c r="D17" t="s">
        <v>183</v>
      </c>
      <c r="F17">
        <v>123.798164</v>
      </c>
      <c r="G17">
        <v>125.168251</v>
      </c>
      <c r="H17">
        <v>126.62236799999999</v>
      </c>
      <c r="I17">
        <v>128.09318500000001</v>
      </c>
      <c r="J17">
        <v>129.569717</v>
      </c>
      <c r="K17">
        <v>131.083664</v>
      </c>
      <c r="L17">
        <v>132.59764100000001</v>
      </c>
      <c r="M17">
        <v>134.11355599999999</v>
      </c>
      <c r="N17">
        <v>135.61402899999999</v>
      </c>
      <c r="O17">
        <v>137.061768</v>
      </c>
      <c r="P17">
        <v>138.44465600000001</v>
      </c>
      <c r="Q17">
        <v>139.80519100000001</v>
      </c>
      <c r="R17">
        <v>141.13613900000001</v>
      </c>
      <c r="S17">
        <v>142.41052199999999</v>
      </c>
      <c r="T17">
        <v>143.633499</v>
      </c>
      <c r="U17">
        <v>144.800354</v>
      </c>
      <c r="V17">
        <v>145.92430100000001</v>
      </c>
      <c r="W17">
        <v>146.996735</v>
      </c>
      <c r="X17">
        <v>148.03105199999999</v>
      </c>
      <c r="Y17">
        <v>149.024857</v>
      </c>
      <c r="Z17">
        <v>149.99975599999999</v>
      </c>
      <c r="AA17">
        <v>150.97473099999999</v>
      </c>
      <c r="AB17">
        <v>151.946594</v>
      </c>
      <c r="AC17">
        <v>152.91716</v>
      </c>
      <c r="AD17">
        <v>153.886368</v>
      </c>
      <c r="AE17">
        <v>154.855301</v>
      </c>
      <c r="AF17">
        <v>155.82081600000001</v>
      </c>
      <c r="AG17" s="16">
        <v>8.9999999999999993E-3</v>
      </c>
    </row>
    <row r="18" spans="1:33" x14ac:dyDescent="0.25">
      <c r="A18" t="s">
        <v>192</v>
      </c>
    </row>
    <row r="19" spans="1:33" x14ac:dyDescent="0.25">
      <c r="A19" t="s">
        <v>182</v>
      </c>
      <c r="B19" t="s">
        <v>694</v>
      </c>
      <c r="C19" t="s">
        <v>693</v>
      </c>
      <c r="D19" t="s">
        <v>183</v>
      </c>
      <c r="F19">
        <v>16.645529</v>
      </c>
      <c r="G19">
        <v>16.962236000000001</v>
      </c>
      <c r="H19">
        <v>17.297931999999999</v>
      </c>
      <c r="I19">
        <v>17.637352</v>
      </c>
      <c r="J19">
        <v>17.975957999999999</v>
      </c>
      <c r="K19">
        <v>18.323191000000001</v>
      </c>
      <c r="L19">
        <v>18.671116000000001</v>
      </c>
      <c r="M19">
        <v>19.020289999999999</v>
      </c>
      <c r="N19">
        <v>19.366969999999998</v>
      </c>
      <c r="O19">
        <v>19.701841000000002</v>
      </c>
      <c r="P19">
        <v>20.022338999999999</v>
      </c>
      <c r="Q19">
        <v>20.338339000000001</v>
      </c>
      <c r="R19">
        <v>20.648116999999999</v>
      </c>
      <c r="S19">
        <v>20.945914999999999</v>
      </c>
      <c r="T19">
        <v>21.232161000000001</v>
      </c>
      <c r="U19">
        <v>21.506636</v>
      </c>
      <c r="V19">
        <v>21.772034000000001</v>
      </c>
      <c r="W19">
        <v>22.026174999999999</v>
      </c>
      <c r="X19">
        <v>22.271376</v>
      </c>
      <c r="Y19">
        <v>22.506746</v>
      </c>
      <c r="Z19">
        <v>22.737047</v>
      </c>
      <c r="AA19">
        <v>22.966528</v>
      </c>
      <c r="AB19">
        <v>23.194814999999998</v>
      </c>
      <c r="AC19">
        <v>23.422671999999999</v>
      </c>
      <c r="AD19">
        <v>23.650103000000001</v>
      </c>
      <c r="AE19">
        <v>23.87734</v>
      </c>
      <c r="AF19">
        <v>24.103531</v>
      </c>
      <c r="AG19" s="16">
        <v>1.4E-2</v>
      </c>
    </row>
    <row r="20" spans="1:33" x14ac:dyDescent="0.25">
      <c r="A20" t="s">
        <v>185</v>
      </c>
      <c r="B20" t="s">
        <v>692</v>
      </c>
      <c r="C20" t="s">
        <v>691</v>
      </c>
      <c r="D20" t="s">
        <v>183</v>
      </c>
      <c r="F20">
        <v>1.3358559999999999</v>
      </c>
      <c r="G20">
        <v>1.335485</v>
      </c>
      <c r="H20">
        <v>1.335121</v>
      </c>
      <c r="I20">
        <v>1.3347629999999999</v>
      </c>
      <c r="J20">
        <v>1.3344119999999999</v>
      </c>
      <c r="K20">
        <v>1.334066</v>
      </c>
      <c r="L20">
        <v>1.3337270000000001</v>
      </c>
      <c r="M20">
        <v>1.333394</v>
      </c>
      <c r="N20">
        <v>1.333067</v>
      </c>
      <c r="O20">
        <v>1.332746</v>
      </c>
      <c r="P20">
        <v>1.33243</v>
      </c>
      <c r="Q20">
        <v>1.33212</v>
      </c>
      <c r="R20">
        <v>1.3318160000000001</v>
      </c>
      <c r="S20">
        <v>1.3315170000000001</v>
      </c>
      <c r="T20">
        <v>1.331223</v>
      </c>
      <c r="U20">
        <v>1.3309340000000001</v>
      </c>
      <c r="V20">
        <v>1.330651</v>
      </c>
      <c r="W20">
        <v>1.3303720000000001</v>
      </c>
      <c r="X20">
        <v>1.3300989999999999</v>
      </c>
      <c r="Y20">
        <v>1.329831</v>
      </c>
      <c r="Z20">
        <v>1.3295669999999999</v>
      </c>
      <c r="AA20">
        <v>1.3293079999999999</v>
      </c>
      <c r="AB20">
        <v>1.329053</v>
      </c>
      <c r="AC20">
        <v>1.328803</v>
      </c>
      <c r="AD20">
        <v>1.3285579999999999</v>
      </c>
      <c r="AE20">
        <v>1.3283160000000001</v>
      </c>
      <c r="AF20">
        <v>1.3280799999999999</v>
      </c>
      <c r="AG20" s="16">
        <v>0</v>
      </c>
    </row>
    <row r="21" spans="1:33" x14ac:dyDescent="0.25">
      <c r="A21" t="s">
        <v>190</v>
      </c>
      <c r="B21" t="s">
        <v>690</v>
      </c>
      <c r="C21" t="s">
        <v>689</v>
      </c>
      <c r="D21" t="s">
        <v>183</v>
      </c>
      <c r="F21">
        <v>1.3606750000000001</v>
      </c>
      <c r="G21">
        <v>1.40818</v>
      </c>
      <c r="H21">
        <v>1.4554910000000001</v>
      </c>
      <c r="I21">
        <v>1.5027200000000001</v>
      </c>
      <c r="J21">
        <v>1.549134</v>
      </c>
      <c r="K21">
        <v>1.595817</v>
      </c>
      <c r="L21">
        <v>1.642326</v>
      </c>
      <c r="M21">
        <v>1.688836</v>
      </c>
      <c r="N21">
        <v>1.7355499999999999</v>
      </c>
      <c r="O21">
        <v>1.781671</v>
      </c>
      <c r="P21">
        <v>1.8267679999999999</v>
      </c>
      <c r="Q21">
        <v>1.8719479999999999</v>
      </c>
      <c r="R21">
        <v>1.9167529999999999</v>
      </c>
      <c r="S21">
        <v>1.9607559999999999</v>
      </c>
      <c r="T21">
        <v>2.00379</v>
      </c>
      <c r="U21">
        <v>2.0454750000000002</v>
      </c>
      <c r="V21">
        <v>2.0861049999999999</v>
      </c>
      <c r="W21">
        <v>2.125626</v>
      </c>
      <c r="X21">
        <v>2.1640130000000002</v>
      </c>
      <c r="Y21">
        <v>2.2007639999999999</v>
      </c>
      <c r="Z21">
        <v>2.2363559999999998</v>
      </c>
      <c r="AA21">
        <v>2.2716669999999999</v>
      </c>
      <c r="AB21">
        <v>2.306613</v>
      </c>
      <c r="AC21">
        <v>2.3411789999999999</v>
      </c>
      <c r="AD21">
        <v>2.3753600000000001</v>
      </c>
      <c r="AE21">
        <v>2.4091849999999999</v>
      </c>
      <c r="AF21">
        <v>2.4425810000000001</v>
      </c>
      <c r="AG21" s="16">
        <v>2.3E-2</v>
      </c>
    </row>
    <row r="22" spans="1:33" x14ac:dyDescent="0.25">
      <c r="A22" t="s">
        <v>193</v>
      </c>
      <c r="B22" t="s">
        <v>688</v>
      </c>
      <c r="C22" t="s">
        <v>687</v>
      </c>
      <c r="D22" t="s">
        <v>183</v>
      </c>
      <c r="F22">
        <v>79.649451999999997</v>
      </c>
      <c r="G22">
        <v>80.900047000000001</v>
      </c>
      <c r="H22">
        <v>82.197365000000005</v>
      </c>
      <c r="I22">
        <v>83.504149999999996</v>
      </c>
      <c r="J22">
        <v>84.811256</v>
      </c>
      <c r="K22">
        <v>86.135658000000006</v>
      </c>
      <c r="L22">
        <v>87.457458000000003</v>
      </c>
      <c r="M22">
        <v>88.779007000000007</v>
      </c>
      <c r="N22">
        <v>90.091567999999995</v>
      </c>
      <c r="O22">
        <v>91.374115000000003</v>
      </c>
      <c r="P22">
        <v>92.619193999999993</v>
      </c>
      <c r="Q22">
        <v>93.851294999999993</v>
      </c>
      <c r="R22">
        <v>95.065894999999998</v>
      </c>
      <c r="S22">
        <v>96.248183999999995</v>
      </c>
      <c r="T22">
        <v>97.400749000000005</v>
      </c>
      <c r="U22">
        <v>98.520065000000002</v>
      </c>
      <c r="V22">
        <v>99.614029000000002</v>
      </c>
      <c r="W22">
        <v>100.677948</v>
      </c>
      <c r="X22">
        <v>101.719604</v>
      </c>
      <c r="Y22">
        <v>102.736504</v>
      </c>
      <c r="Z22">
        <v>103.740959</v>
      </c>
      <c r="AA22">
        <v>104.74514000000001</v>
      </c>
      <c r="AB22">
        <v>105.747086</v>
      </c>
      <c r="AC22">
        <v>106.748116</v>
      </c>
      <c r="AD22">
        <v>107.748085</v>
      </c>
      <c r="AE22">
        <v>108.747696</v>
      </c>
      <c r="AF22">
        <v>109.74496499999999</v>
      </c>
      <c r="AG22" s="16">
        <v>1.2E-2</v>
      </c>
    </row>
    <row r="23" spans="1:33" x14ac:dyDescent="0.25">
      <c r="A23" t="s">
        <v>194</v>
      </c>
      <c r="B23" t="s">
        <v>686</v>
      </c>
      <c r="C23" t="s">
        <v>685</v>
      </c>
      <c r="D23" t="s">
        <v>183</v>
      </c>
      <c r="F23">
        <v>43.140506999999999</v>
      </c>
      <c r="G23">
        <v>43.232368000000001</v>
      </c>
      <c r="H23">
        <v>43.345275999999998</v>
      </c>
      <c r="I23">
        <v>43.463279999999997</v>
      </c>
      <c r="J23">
        <v>43.586711999999999</v>
      </c>
      <c r="K23">
        <v>43.719509000000002</v>
      </c>
      <c r="L23">
        <v>43.854377999999997</v>
      </c>
      <c r="M23">
        <v>43.990794999999999</v>
      </c>
      <c r="N23">
        <v>44.124844000000003</v>
      </c>
      <c r="O23">
        <v>44.250751000000001</v>
      </c>
      <c r="P23">
        <v>44.367279000000003</v>
      </c>
      <c r="Q23">
        <v>44.480221</v>
      </c>
      <c r="R23">
        <v>44.589432000000002</v>
      </c>
      <c r="S23">
        <v>44.690407</v>
      </c>
      <c r="T23">
        <v>44.784587999999999</v>
      </c>
      <c r="U23">
        <v>44.872436999999998</v>
      </c>
      <c r="V23">
        <v>44.956017000000003</v>
      </c>
      <c r="W23">
        <v>45.033755999999997</v>
      </c>
      <c r="X23">
        <v>45.107017999999997</v>
      </c>
      <c r="Y23">
        <v>45.177340999999998</v>
      </c>
      <c r="Z23">
        <v>45.247604000000003</v>
      </c>
      <c r="AA23">
        <v>45.318492999999997</v>
      </c>
      <c r="AB23">
        <v>45.389637</v>
      </c>
      <c r="AC23">
        <v>45.461101999999997</v>
      </c>
      <c r="AD23">
        <v>45.532989999999998</v>
      </c>
      <c r="AE23">
        <v>45.605553</v>
      </c>
      <c r="AF23">
        <v>45.678272</v>
      </c>
      <c r="AG23" s="16">
        <v>2E-3</v>
      </c>
    </row>
    <row r="24" spans="1:33" x14ac:dyDescent="0.25">
      <c r="A24" t="s">
        <v>191</v>
      </c>
      <c r="B24" t="s">
        <v>684</v>
      </c>
      <c r="C24" t="s">
        <v>683</v>
      </c>
      <c r="D24" t="s">
        <v>183</v>
      </c>
      <c r="F24">
        <v>142.13201900000001</v>
      </c>
      <c r="G24">
        <v>143.83831799999999</v>
      </c>
      <c r="H24">
        <v>145.63118</v>
      </c>
      <c r="I24">
        <v>147.442261</v>
      </c>
      <c r="J24">
        <v>149.25747699999999</v>
      </c>
      <c r="K24">
        <v>151.10824600000001</v>
      </c>
      <c r="L24">
        <v>152.95901499999999</v>
      </c>
      <c r="M24">
        <v>154.812332</v>
      </c>
      <c r="N24">
        <v>156.651993</v>
      </c>
      <c r="O24">
        <v>158.44113200000001</v>
      </c>
      <c r="P24">
        <v>160.168015</v>
      </c>
      <c r="Q24">
        <v>161.873932</v>
      </c>
      <c r="R24">
        <v>163.55201700000001</v>
      </c>
      <c r="S24">
        <v>165.17678799999999</v>
      </c>
      <c r="T24">
        <v>166.75251800000001</v>
      </c>
      <c r="U24">
        <v>168.275543</v>
      </c>
      <c r="V24">
        <v>169.758835</v>
      </c>
      <c r="W24">
        <v>171.19387800000001</v>
      </c>
      <c r="X24">
        <v>172.59210200000001</v>
      </c>
      <c r="Y24">
        <v>173.951187</v>
      </c>
      <c r="Z24">
        <v>175.29153400000001</v>
      </c>
      <c r="AA24">
        <v>176.631134</v>
      </c>
      <c r="AB24">
        <v>177.96719400000001</v>
      </c>
      <c r="AC24">
        <v>179.30188000000001</v>
      </c>
      <c r="AD24">
        <v>180.63510099999999</v>
      </c>
      <c r="AE24">
        <v>181.96807899999999</v>
      </c>
      <c r="AF24">
        <v>183.29742400000001</v>
      </c>
      <c r="AG24" s="16">
        <v>0.01</v>
      </c>
    </row>
    <row r="25" spans="1:33" x14ac:dyDescent="0.25">
      <c r="A25" t="s">
        <v>195</v>
      </c>
    </row>
    <row r="26" spans="1:33" x14ac:dyDescent="0.25">
      <c r="A26" t="s">
        <v>196</v>
      </c>
      <c r="B26" t="s">
        <v>682</v>
      </c>
      <c r="C26" t="s">
        <v>681</v>
      </c>
      <c r="D26" t="s">
        <v>183</v>
      </c>
      <c r="F26">
        <v>62.064090999999998</v>
      </c>
      <c r="G26">
        <v>62.296463000000003</v>
      </c>
      <c r="H26">
        <v>62.600315000000002</v>
      </c>
      <c r="I26">
        <v>62.926879999999997</v>
      </c>
      <c r="J26">
        <v>63.228167999999997</v>
      </c>
      <c r="K26">
        <v>64.053841000000006</v>
      </c>
      <c r="L26">
        <v>64.829207999999994</v>
      </c>
      <c r="M26">
        <v>65.567513000000005</v>
      </c>
      <c r="N26">
        <v>66.280677999999995</v>
      </c>
      <c r="O26">
        <v>66.984313999999998</v>
      </c>
      <c r="P26">
        <v>67.653503000000001</v>
      </c>
      <c r="Q26">
        <v>68.314453</v>
      </c>
      <c r="R26">
        <v>68.978340000000003</v>
      </c>
      <c r="S26">
        <v>69.632026999999994</v>
      </c>
      <c r="T26">
        <v>70.273940999999994</v>
      </c>
      <c r="U26">
        <v>70.902107000000001</v>
      </c>
      <c r="V26">
        <v>71.522514000000001</v>
      </c>
      <c r="W26">
        <v>72.129929000000004</v>
      </c>
      <c r="X26">
        <v>72.728317000000004</v>
      </c>
      <c r="Y26">
        <v>73.317879000000005</v>
      </c>
      <c r="Z26">
        <v>73.899185000000003</v>
      </c>
      <c r="AA26">
        <v>74.478476999999998</v>
      </c>
      <c r="AB26">
        <v>75.054726000000002</v>
      </c>
      <c r="AC26">
        <v>75.626357999999996</v>
      </c>
      <c r="AD26">
        <v>76.193161000000003</v>
      </c>
      <c r="AE26">
        <v>76.757141000000004</v>
      </c>
      <c r="AF26">
        <v>77.316254000000001</v>
      </c>
      <c r="AG26" s="16">
        <v>8.0000000000000002E-3</v>
      </c>
    </row>
    <row r="27" spans="1:33" x14ac:dyDescent="0.25">
      <c r="A27" t="s">
        <v>197</v>
      </c>
      <c r="B27" t="s">
        <v>680</v>
      </c>
      <c r="C27" t="s">
        <v>679</v>
      </c>
      <c r="D27" t="s">
        <v>183</v>
      </c>
      <c r="F27">
        <v>64.896248</v>
      </c>
      <c r="G27">
        <v>65.896964999999994</v>
      </c>
      <c r="H27">
        <v>66.916297999999998</v>
      </c>
      <c r="I27">
        <v>67.939789000000005</v>
      </c>
      <c r="J27">
        <v>68.981887999999998</v>
      </c>
      <c r="K27">
        <v>69.718718999999993</v>
      </c>
      <c r="L27">
        <v>70.479590999999999</v>
      </c>
      <c r="M27">
        <v>71.256225999999998</v>
      </c>
      <c r="N27">
        <v>72.025870999999995</v>
      </c>
      <c r="O27">
        <v>72.786704999999998</v>
      </c>
      <c r="P27">
        <v>73.528267</v>
      </c>
      <c r="Q27">
        <v>74.274551000000002</v>
      </c>
      <c r="R27">
        <v>74.990111999999996</v>
      </c>
      <c r="S27">
        <v>75.663230999999996</v>
      </c>
      <c r="T27">
        <v>76.299582999999998</v>
      </c>
      <c r="U27">
        <v>76.895554000000004</v>
      </c>
      <c r="V27">
        <v>77.456969999999998</v>
      </c>
      <c r="W27">
        <v>77.980125000000001</v>
      </c>
      <c r="X27">
        <v>78.474029999999999</v>
      </c>
      <c r="Y27">
        <v>78.935935999999998</v>
      </c>
      <c r="Z27">
        <v>79.385979000000006</v>
      </c>
      <c r="AA27">
        <v>79.836296000000004</v>
      </c>
      <c r="AB27">
        <v>80.284760000000006</v>
      </c>
      <c r="AC27">
        <v>80.734145999999996</v>
      </c>
      <c r="AD27">
        <v>81.184737999999996</v>
      </c>
      <c r="AE27">
        <v>81.635727000000003</v>
      </c>
      <c r="AF27">
        <v>82.086112999999997</v>
      </c>
      <c r="AG27" s="16">
        <v>8.9999999999999993E-3</v>
      </c>
    </row>
    <row r="28" spans="1:33" x14ac:dyDescent="0.25">
      <c r="A28" t="s">
        <v>187</v>
      </c>
      <c r="B28" t="s">
        <v>678</v>
      </c>
      <c r="C28" t="s">
        <v>677</v>
      </c>
      <c r="D28" t="s">
        <v>183</v>
      </c>
      <c r="F28">
        <v>2.3288120000000001</v>
      </c>
      <c r="G28">
        <v>2.2297609999999999</v>
      </c>
      <c r="H28">
        <v>2.1372330000000002</v>
      </c>
      <c r="I28">
        <v>2.0504609999999999</v>
      </c>
      <c r="J28">
        <v>1.970477</v>
      </c>
      <c r="K28">
        <v>1.8960379999999999</v>
      </c>
      <c r="L28">
        <v>1.8306039999999999</v>
      </c>
      <c r="M28">
        <v>1.773455</v>
      </c>
      <c r="N28">
        <v>1.7249589999999999</v>
      </c>
      <c r="O28">
        <v>1.6851780000000001</v>
      </c>
      <c r="P28">
        <v>1.6544099999999999</v>
      </c>
      <c r="Q28">
        <v>1.632862</v>
      </c>
      <c r="R28">
        <v>1.6100810000000001</v>
      </c>
      <c r="S28">
        <v>1.586346</v>
      </c>
      <c r="T28">
        <v>1.561976</v>
      </c>
      <c r="U28">
        <v>1.537204</v>
      </c>
      <c r="V28">
        <v>1.5122819999999999</v>
      </c>
      <c r="W28">
        <v>1.4873860000000001</v>
      </c>
      <c r="X28">
        <v>1.4626790000000001</v>
      </c>
      <c r="Y28">
        <v>1.4382870000000001</v>
      </c>
      <c r="Z28">
        <v>1.4143269999999999</v>
      </c>
      <c r="AA28">
        <v>1.390946</v>
      </c>
      <c r="AB28">
        <v>1.368182</v>
      </c>
      <c r="AC28">
        <v>1.346109</v>
      </c>
      <c r="AD28">
        <v>1.3247599999999999</v>
      </c>
      <c r="AE28">
        <v>1.3041579999999999</v>
      </c>
      <c r="AF28">
        <v>1.284297</v>
      </c>
      <c r="AG28" s="16">
        <v>-2.3E-2</v>
      </c>
    </row>
    <row r="29" spans="1:33" x14ac:dyDescent="0.25">
      <c r="A29" t="s">
        <v>149</v>
      </c>
      <c r="B29" t="s">
        <v>676</v>
      </c>
      <c r="C29" t="s">
        <v>675</v>
      </c>
      <c r="D29" t="s">
        <v>183</v>
      </c>
      <c r="F29">
        <v>3.9946730000000001</v>
      </c>
      <c r="G29">
        <v>3.890314</v>
      </c>
      <c r="H29">
        <v>3.7962470000000001</v>
      </c>
      <c r="I29">
        <v>3.7080109999999999</v>
      </c>
      <c r="J29">
        <v>3.6263679999999998</v>
      </c>
      <c r="K29">
        <v>3.5316860000000001</v>
      </c>
      <c r="L29">
        <v>3.4475519999999999</v>
      </c>
      <c r="M29">
        <v>3.3742220000000001</v>
      </c>
      <c r="N29">
        <v>3.3114400000000002</v>
      </c>
      <c r="O29">
        <v>3.2595969999999999</v>
      </c>
      <c r="P29">
        <v>3.218467</v>
      </c>
      <c r="Q29">
        <v>3.1894399999999998</v>
      </c>
      <c r="R29">
        <v>3.1571709999999999</v>
      </c>
      <c r="S29">
        <v>3.1220840000000001</v>
      </c>
      <c r="T29">
        <v>3.0848930000000001</v>
      </c>
      <c r="U29">
        <v>3.04617</v>
      </c>
      <c r="V29">
        <v>3.0071240000000001</v>
      </c>
      <c r="W29">
        <v>2.9679280000000001</v>
      </c>
      <c r="X29">
        <v>2.9288409999999998</v>
      </c>
      <c r="Y29">
        <v>2.889926</v>
      </c>
      <c r="Z29">
        <v>2.8518140000000001</v>
      </c>
      <c r="AA29">
        <v>2.814927</v>
      </c>
      <c r="AB29">
        <v>2.7792430000000001</v>
      </c>
      <c r="AC29">
        <v>2.7452239999999999</v>
      </c>
      <c r="AD29">
        <v>2.7127650000000001</v>
      </c>
      <c r="AE29">
        <v>2.6819009999999999</v>
      </c>
      <c r="AF29">
        <v>2.6522920000000001</v>
      </c>
      <c r="AG29" s="16">
        <v>-1.6E-2</v>
      </c>
    </row>
    <row r="30" spans="1:33" x14ac:dyDescent="0.25">
      <c r="A30" t="s">
        <v>198</v>
      </c>
      <c r="B30" t="s">
        <v>674</v>
      </c>
      <c r="C30" t="s">
        <v>673</v>
      </c>
      <c r="D30" t="s">
        <v>183</v>
      </c>
      <c r="F30">
        <v>1.564945</v>
      </c>
      <c r="G30">
        <v>1.899681</v>
      </c>
      <c r="H30">
        <v>2.211646</v>
      </c>
      <c r="I30">
        <v>2.5019809999999998</v>
      </c>
      <c r="J30">
        <v>2.7914560000000002</v>
      </c>
      <c r="K30">
        <v>2.9067609999999999</v>
      </c>
      <c r="L30">
        <v>3.0289009999999998</v>
      </c>
      <c r="M30">
        <v>3.1553260000000001</v>
      </c>
      <c r="N30">
        <v>3.279312</v>
      </c>
      <c r="O30">
        <v>3.349281</v>
      </c>
      <c r="P30">
        <v>3.3885100000000001</v>
      </c>
      <c r="Q30">
        <v>3.3877120000000001</v>
      </c>
      <c r="R30">
        <v>3.389602</v>
      </c>
      <c r="S30">
        <v>3.3914620000000002</v>
      </c>
      <c r="T30">
        <v>3.3933059999999999</v>
      </c>
      <c r="U30">
        <v>3.395105</v>
      </c>
      <c r="V30">
        <v>3.3968569999999998</v>
      </c>
      <c r="W30">
        <v>3.398571</v>
      </c>
      <c r="X30">
        <v>3.4002330000000001</v>
      </c>
      <c r="Y30">
        <v>3.4018389999999998</v>
      </c>
      <c r="Z30">
        <v>3.4034949999999999</v>
      </c>
      <c r="AA30">
        <v>3.405192</v>
      </c>
      <c r="AB30">
        <v>3.40693</v>
      </c>
      <c r="AC30">
        <v>3.4087040000000002</v>
      </c>
      <c r="AD30">
        <v>3.410507</v>
      </c>
      <c r="AE30">
        <v>3.4123410000000001</v>
      </c>
      <c r="AF30">
        <v>3.4142049999999999</v>
      </c>
      <c r="AG30" s="16">
        <v>0.03</v>
      </c>
    </row>
    <row r="31" spans="1:33" x14ac:dyDescent="0.25">
      <c r="A31" t="s">
        <v>191</v>
      </c>
      <c r="B31" t="s">
        <v>672</v>
      </c>
      <c r="C31" t="s">
        <v>671</v>
      </c>
      <c r="D31" t="s">
        <v>183</v>
      </c>
      <c r="F31">
        <v>134.84877</v>
      </c>
      <c r="G31">
        <v>136.21318099999999</v>
      </c>
      <c r="H31">
        <v>137.661743</v>
      </c>
      <c r="I31">
        <v>139.12712099999999</v>
      </c>
      <c r="J31">
        <v>140.59835799999999</v>
      </c>
      <c r="K31">
        <v>142.107056</v>
      </c>
      <c r="L31">
        <v>143.61586</v>
      </c>
      <c r="M31">
        <v>145.126724</v>
      </c>
      <c r="N31">
        <v>146.62226899999999</v>
      </c>
      <c r="O31">
        <v>148.065079</v>
      </c>
      <c r="P31">
        <v>149.44313</v>
      </c>
      <c r="Q31">
        <v>150.79901100000001</v>
      </c>
      <c r="R31">
        <v>152.12529000000001</v>
      </c>
      <c r="S31">
        <v>153.39515700000001</v>
      </c>
      <c r="T31">
        <v>154.613708</v>
      </c>
      <c r="U31">
        <v>155.77615399999999</v>
      </c>
      <c r="V31">
        <v>156.89575199999999</v>
      </c>
      <c r="W31">
        <v>157.96392800000001</v>
      </c>
      <c r="X31">
        <v>158.99411000000001</v>
      </c>
      <c r="Y31">
        <v>159.98387099999999</v>
      </c>
      <c r="Z31">
        <v>160.95477299999999</v>
      </c>
      <c r="AA31">
        <v>161.92584199999999</v>
      </c>
      <c r="AB31">
        <v>162.893845</v>
      </c>
      <c r="AC31">
        <v>163.86054999999999</v>
      </c>
      <c r="AD31">
        <v>164.825928</v>
      </c>
      <c r="AE31">
        <v>165.79125999999999</v>
      </c>
      <c r="AF31">
        <v>166.753174</v>
      </c>
      <c r="AG31" s="16">
        <v>8.0000000000000002E-3</v>
      </c>
    </row>
    <row r="32" spans="1:33" x14ac:dyDescent="0.25">
      <c r="A32" t="s">
        <v>199</v>
      </c>
    </row>
    <row r="33" spans="1:33" x14ac:dyDescent="0.25">
      <c r="A33" t="s">
        <v>196</v>
      </c>
      <c r="B33" t="s">
        <v>670</v>
      </c>
      <c r="C33" t="s">
        <v>669</v>
      </c>
      <c r="D33" t="s">
        <v>183</v>
      </c>
      <c r="F33">
        <v>100.278122</v>
      </c>
      <c r="G33">
        <v>101.102592</v>
      </c>
      <c r="H33">
        <v>101.98053</v>
      </c>
      <c r="I33">
        <v>102.86320499999999</v>
      </c>
      <c r="J33">
        <v>103.745369</v>
      </c>
      <c r="K33">
        <v>104.65044399999999</v>
      </c>
      <c r="L33">
        <v>105.550758</v>
      </c>
      <c r="M33">
        <v>106.44516</v>
      </c>
      <c r="N33">
        <v>107.318939</v>
      </c>
      <c r="O33">
        <v>108.14340199999999</v>
      </c>
      <c r="P33">
        <v>108.88472</v>
      </c>
      <c r="Q33">
        <v>109.571144</v>
      </c>
      <c r="R33">
        <v>110.186699</v>
      </c>
      <c r="S33">
        <v>110.704346</v>
      </c>
      <c r="T33">
        <v>111.208107</v>
      </c>
      <c r="U33">
        <v>111.71865099999999</v>
      </c>
      <c r="V33">
        <v>112.249855</v>
      </c>
      <c r="W33">
        <v>112.808708</v>
      </c>
      <c r="X33">
        <v>113.413826</v>
      </c>
      <c r="Y33">
        <v>113.983414</v>
      </c>
      <c r="Z33">
        <v>114.533653</v>
      </c>
      <c r="AA33">
        <v>115.07654599999999</v>
      </c>
      <c r="AB33">
        <v>115.60882599999999</v>
      </c>
      <c r="AC33">
        <v>116.130173</v>
      </c>
      <c r="AD33">
        <v>116.639099</v>
      </c>
      <c r="AE33">
        <v>117.134621</v>
      </c>
      <c r="AF33">
        <v>117.61185500000001</v>
      </c>
      <c r="AG33" s="16">
        <v>6.0000000000000001E-3</v>
      </c>
    </row>
    <row r="34" spans="1:33" x14ac:dyDescent="0.25">
      <c r="A34" t="s">
        <v>197</v>
      </c>
      <c r="B34" t="s">
        <v>668</v>
      </c>
      <c r="C34" t="s">
        <v>667</v>
      </c>
      <c r="D34" t="s">
        <v>183</v>
      </c>
      <c r="F34">
        <v>53.972369999999998</v>
      </c>
      <c r="G34">
        <v>54.503726999999998</v>
      </c>
      <c r="H34">
        <v>55.061763999999997</v>
      </c>
      <c r="I34">
        <v>55.632815999999998</v>
      </c>
      <c r="J34">
        <v>56.213551000000002</v>
      </c>
      <c r="K34">
        <v>56.809649999999998</v>
      </c>
      <c r="L34">
        <v>57.412582</v>
      </c>
      <c r="M34">
        <v>58.024859999999997</v>
      </c>
      <c r="N34">
        <v>58.644409000000003</v>
      </c>
      <c r="O34">
        <v>59.262939000000003</v>
      </c>
      <c r="P34">
        <v>59.903132999999997</v>
      </c>
      <c r="Q34">
        <v>60.579704</v>
      </c>
      <c r="R34">
        <v>61.301079000000001</v>
      </c>
      <c r="S34">
        <v>62.067855999999999</v>
      </c>
      <c r="T34">
        <v>62.795506000000003</v>
      </c>
      <c r="U34">
        <v>63.458030999999998</v>
      </c>
      <c r="V34">
        <v>64.053505000000001</v>
      </c>
      <c r="W34">
        <v>64.565849</v>
      </c>
      <c r="X34">
        <v>64.989624000000006</v>
      </c>
      <c r="Y34">
        <v>65.410422999999994</v>
      </c>
      <c r="Z34">
        <v>65.833290000000005</v>
      </c>
      <c r="AA34">
        <v>66.264915000000002</v>
      </c>
      <c r="AB34">
        <v>66.705817999999994</v>
      </c>
      <c r="AC34">
        <v>67.157866999999996</v>
      </c>
      <c r="AD34">
        <v>67.622642999999997</v>
      </c>
      <c r="AE34">
        <v>68.102385999999996</v>
      </c>
      <c r="AF34">
        <v>68.598465000000004</v>
      </c>
      <c r="AG34" s="16">
        <v>8.9999999999999993E-3</v>
      </c>
    </row>
    <row r="35" spans="1:33" x14ac:dyDescent="0.25">
      <c r="A35" t="s">
        <v>149</v>
      </c>
      <c r="B35" t="s">
        <v>666</v>
      </c>
      <c r="C35" t="s">
        <v>665</v>
      </c>
      <c r="D35" t="s">
        <v>183</v>
      </c>
      <c r="F35">
        <v>6.2497920000000002</v>
      </c>
      <c r="G35">
        <v>6.2491399999999997</v>
      </c>
      <c r="H35">
        <v>6.2527059999999999</v>
      </c>
      <c r="I35">
        <v>6.2554980000000002</v>
      </c>
      <c r="J35">
        <v>6.2551610000000002</v>
      </c>
      <c r="K35">
        <v>6.2540430000000002</v>
      </c>
      <c r="L35">
        <v>6.2512809999999996</v>
      </c>
      <c r="M35">
        <v>6.2471810000000003</v>
      </c>
      <c r="N35">
        <v>6.2412419999999997</v>
      </c>
      <c r="O35">
        <v>6.2331770000000004</v>
      </c>
      <c r="P35">
        <v>6.2218739999999997</v>
      </c>
      <c r="Q35">
        <v>6.2071079999999998</v>
      </c>
      <c r="R35">
        <v>6.1889000000000003</v>
      </c>
      <c r="S35">
        <v>6.166887</v>
      </c>
      <c r="T35">
        <v>6.1467599999999996</v>
      </c>
      <c r="U35">
        <v>6.1289179999999996</v>
      </c>
      <c r="V35">
        <v>6.1148509999999998</v>
      </c>
      <c r="W35">
        <v>6.1049769999999999</v>
      </c>
      <c r="X35">
        <v>6.099405</v>
      </c>
      <c r="Y35">
        <v>6.0921519999999996</v>
      </c>
      <c r="Z35">
        <v>6.0834679999999999</v>
      </c>
      <c r="AA35">
        <v>6.0735400000000004</v>
      </c>
      <c r="AB35">
        <v>6.0620159999999998</v>
      </c>
      <c r="AC35">
        <v>6.049131</v>
      </c>
      <c r="AD35">
        <v>6.0346979999999997</v>
      </c>
      <c r="AE35">
        <v>6.0188639999999998</v>
      </c>
      <c r="AF35">
        <v>6.0015609999999997</v>
      </c>
      <c r="AG35" s="16">
        <v>-2E-3</v>
      </c>
    </row>
    <row r="36" spans="1:33" x14ac:dyDescent="0.25">
      <c r="A36" t="s">
        <v>191</v>
      </c>
      <c r="B36" t="s">
        <v>664</v>
      </c>
      <c r="C36" t="s">
        <v>663</v>
      </c>
      <c r="D36" t="s">
        <v>183</v>
      </c>
      <c r="F36">
        <v>160.50027499999999</v>
      </c>
      <c r="G36">
        <v>161.855469</v>
      </c>
      <c r="H36">
        <v>163.29499799999999</v>
      </c>
      <c r="I36">
        <v>164.75151099999999</v>
      </c>
      <c r="J36">
        <v>166.21408099999999</v>
      </c>
      <c r="K36">
        <v>167.71414200000001</v>
      </c>
      <c r="L36">
        <v>169.21463</v>
      </c>
      <c r="M36">
        <v>170.71719400000001</v>
      </c>
      <c r="N36">
        <v>172.20459</v>
      </c>
      <c r="O36">
        <v>173.63952599999999</v>
      </c>
      <c r="P36">
        <v>175.00973500000001</v>
      </c>
      <c r="Q36">
        <v>176.357956</v>
      </c>
      <c r="R36">
        <v>177.676682</v>
      </c>
      <c r="S36">
        <v>178.939087</v>
      </c>
      <c r="T36">
        <v>180.150375</v>
      </c>
      <c r="U36">
        <v>181.30560299999999</v>
      </c>
      <c r="V36">
        <v>182.41821300000001</v>
      </c>
      <c r="W36">
        <v>183.47953799999999</v>
      </c>
      <c r="X36">
        <v>184.50285299999999</v>
      </c>
      <c r="Y36">
        <v>185.48597699999999</v>
      </c>
      <c r="Z36">
        <v>186.45040900000001</v>
      </c>
      <c r="AA36">
        <v>187.415009</v>
      </c>
      <c r="AB36">
        <v>188.37664799999999</v>
      </c>
      <c r="AC36">
        <v>189.33717300000001</v>
      </c>
      <c r="AD36">
        <v>190.296448</v>
      </c>
      <c r="AE36">
        <v>191.25585899999999</v>
      </c>
      <c r="AF36">
        <v>192.211884</v>
      </c>
      <c r="AG36" s="16">
        <v>7.0000000000000001E-3</v>
      </c>
    </row>
    <row r="37" spans="1:33" x14ac:dyDescent="0.25">
      <c r="A37" t="s">
        <v>200</v>
      </c>
    </row>
    <row r="38" spans="1:33" x14ac:dyDescent="0.25">
      <c r="A38" t="s">
        <v>196</v>
      </c>
      <c r="B38" t="s">
        <v>662</v>
      </c>
      <c r="C38" t="s">
        <v>661</v>
      </c>
      <c r="D38" t="s">
        <v>183</v>
      </c>
      <c r="F38">
        <v>92.221107000000003</v>
      </c>
      <c r="G38">
        <v>94.908974000000001</v>
      </c>
      <c r="H38">
        <v>97.661568000000003</v>
      </c>
      <c r="I38">
        <v>100.444298</v>
      </c>
      <c r="J38">
        <v>103.246483</v>
      </c>
      <c r="K38">
        <v>106.05999</v>
      </c>
      <c r="L38">
        <v>108.873177</v>
      </c>
      <c r="M38">
        <v>111.66229199999999</v>
      </c>
      <c r="N38">
        <v>114.413849</v>
      </c>
      <c r="O38">
        <v>117.12387099999999</v>
      </c>
      <c r="P38">
        <v>119.780914</v>
      </c>
      <c r="Q38">
        <v>122.4272</v>
      </c>
      <c r="R38">
        <v>125.052719</v>
      </c>
      <c r="S38">
        <v>127.63446</v>
      </c>
      <c r="T38">
        <v>130.176163</v>
      </c>
      <c r="U38">
        <v>132.67475899999999</v>
      </c>
      <c r="V38">
        <v>135.14604199999999</v>
      </c>
      <c r="W38">
        <v>137.59196499999999</v>
      </c>
      <c r="X38">
        <v>139.98710600000001</v>
      </c>
      <c r="Y38">
        <v>142.33012400000001</v>
      </c>
      <c r="Z38">
        <v>144.64094499999999</v>
      </c>
      <c r="AA38">
        <v>146.94053600000001</v>
      </c>
      <c r="AB38">
        <v>149.23036200000001</v>
      </c>
      <c r="AC38">
        <v>151.51019299999999</v>
      </c>
      <c r="AD38">
        <v>153.78225699999999</v>
      </c>
      <c r="AE38">
        <v>156.04994199999999</v>
      </c>
      <c r="AF38">
        <v>158.30891399999999</v>
      </c>
      <c r="AG38" s="16">
        <v>2.1000000000000001E-2</v>
      </c>
    </row>
    <row r="39" spans="1:33" x14ac:dyDescent="0.25">
      <c r="A39" t="s">
        <v>197</v>
      </c>
      <c r="B39" t="s">
        <v>660</v>
      </c>
      <c r="C39" t="s">
        <v>659</v>
      </c>
      <c r="D39" t="s">
        <v>183</v>
      </c>
      <c r="F39">
        <v>20.353802000000002</v>
      </c>
      <c r="G39">
        <v>20.727464999999999</v>
      </c>
      <c r="H39">
        <v>21.108975999999998</v>
      </c>
      <c r="I39">
        <v>21.498467999999999</v>
      </c>
      <c r="J39">
        <v>21.905369</v>
      </c>
      <c r="K39">
        <v>22.331651999999998</v>
      </c>
      <c r="L39">
        <v>22.776668999999998</v>
      </c>
      <c r="M39">
        <v>23.246670000000002</v>
      </c>
      <c r="N39">
        <v>23.740404000000002</v>
      </c>
      <c r="O39">
        <v>24.225313</v>
      </c>
      <c r="P39">
        <v>24.699818</v>
      </c>
      <c r="Q39">
        <v>25.166246000000001</v>
      </c>
      <c r="R39">
        <v>25.623446000000001</v>
      </c>
      <c r="S39">
        <v>26.068548</v>
      </c>
      <c r="T39">
        <v>26.501984</v>
      </c>
      <c r="U39">
        <v>26.919896999999999</v>
      </c>
      <c r="V39">
        <v>27.319825999999999</v>
      </c>
      <c r="W39">
        <v>27.699757000000002</v>
      </c>
      <c r="X39">
        <v>28.090371999999999</v>
      </c>
      <c r="Y39">
        <v>28.489045999999998</v>
      </c>
      <c r="Z39">
        <v>28.897078</v>
      </c>
      <c r="AA39">
        <v>29.315380000000001</v>
      </c>
      <c r="AB39">
        <v>29.741956999999999</v>
      </c>
      <c r="AC39">
        <v>30.175975999999999</v>
      </c>
      <c r="AD39">
        <v>30.615866</v>
      </c>
      <c r="AE39">
        <v>31.060276000000002</v>
      </c>
      <c r="AF39">
        <v>31.508205</v>
      </c>
      <c r="AG39" s="16">
        <v>1.7000000000000001E-2</v>
      </c>
    </row>
    <row r="40" spans="1:33" x14ac:dyDescent="0.25">
      <c r="A40" t="s">
        <v>191</v>
      </c>
      <c r="B40" t="s">
        <v>658</v>
      </c>
      <c r="C40" t="s">
        <v>657</v>
      </c>
      <c r="D40" t="s">
        <v>183</v>
      </c>
      <c r="F40">
        <v>112.574905</v>
      </c>
      <c r="G40">
        <v>115.636436</v>
      </c>
      <c r="H40">
        <v>118.770546</v>
      </c>
      <c r="I40">
        <v>121.942764</v>
      </c>
      <c r="J40">
        <v>125.151855</v>
      </c>
      <c r="K40">
        <v>128.39164700000001</v>
      </c>
      <c r="L40">
        <v>131.64984100000001</v>
      </c>
      <c r="M40">
        <v>134.90896599999999</v>
      </c>
      <c r="N40">
        <v>138.15425099999999</v>
      </c>
      <c r="O40">
        <v>141.34918200000001</v>
      </c>
      <c r="P40">
        <v>144.480728</v>
      </c>
      <c r="Q40">
        <v>147.593445</v>
      </c>
      <c r="R40">
        <v>150.676163</v>
      </c>
      <c r="S40">
        <v>153.703003</v>
      </c>
      <c r="T40">
        <v>156.678146</v>
      </c>
      <c r="U40">
        <v>159.59465</v>
      </c>
      <c r="V40">
        <v>162.46586600000001</v>
      </c>
      <c r="W40">
        <v>165.291718</v>
      </c>
      <c r="X40">
        <v>168.077484</v>
      </c>
      <c r="Y40">
        <v>170.81916799999999</v>
      </c>
      <c r="Z40">
        <v>173.538025</v>
      </c>
      <c r="AA40">
        <v>176.25592</v>
      </c>
      <c r="AB40">
        <v>178.97232099999999</v>
      </c>
      <c r="AC40">
        <v>181.686172</v>
      </c>
      <c r="AD40">
        <v>184.39811700000001</v>
      </c>
      <c r="AE40">
        <v>187.11021400000001</v>
      </c>
      <c r="AF40">
        <v>189.81712300000001</v>
      </c>
      <c r="AG40" s="16">
        <v>0.02</v>
      </c>
    </row>
    <row r="41" spans="1:33" x14ac:dyDescent="0.25">
      <c r="A41" t="s">
        <v>201</v>
      </c>
    </row>
    <row r="42" spans="1:33" x14ac:dyDescent="0.25">
      <c r="A42" t="s">
        <v>202</v>
      </c>
      <c r="B42" t="s">
        <v>656</v>
      </c>
      <c r="C42" t="s">
        <v>655</v>
      </c>
      <c r="D42" t="s">
        <v>183</v>
      </c>
      <c r="F42">
        <v>185.51213100000001</v>
      </c>
      <c r="G42">
        <v>187.57015999999999</v>
      </c>
      <c r="H42">
        <v>189.72297699999999</v>
      </c>
      <c r="I42">
        <v>191.892639</v>
      </c>
      <c r="J42">
        <v>194.05687</v>
      </c>
      <c r="K42">
        <v>196.26173399999999</v>
      </c>
      <c r="L42">
        <v>198.461578</v>
      </c>
      <c r="M42">
        <v>200.66261299999999</v>
      </c>
      <c r="N42">
        <v>202.84565699999999</v>
      </c>
      <c r="O42">
        <v>204.960297</v>
      </c>
      <c r="P42">
        <v>206.98817399999999</v>
      </c>
      <c r="Q42">
        <v>208.988495</v>
      </c>
      <c r="R42">
        <v>210.94859299999999</v>
      </c>
      <c r="S42">
        <v>212.83372499999999</v>
      </c>
      <c r="T42">
        <v>214.64849899999999</v>
      </c>
      <c r="U42">
        <v>216.38301100000001</v>
      </c>
      <c r="V42">
        <v>218.05542</v>
      </c>
      <c r="W42">
        <v>219.65475499999999</v>
      </c>
      <c r="X42">
        <v>221.20091199999999</v>
      </c>
      <c r="Y42">
        <v>222.68464700000001</v>
      </c>
      <c r="Z42">
        <v>224.13630699999999</v>
      </c>
      <c r="AA42">
        <v>225.58776900000001</v>
      </c>
      <c r="AB42">
        <v>227.03428600000001</v>
      </c>
      <c r="AC42">
        <v>228.47901899999999</v>
      </c>
      <c r="AD42">
        <v>229.92160000000001</v>
      </c>
      <c r="AE42">
        <v>231.36346399999999</v>
      </c>
      <c r="AF42">
        <v>232.79994199999999</v>
      </c>
      <c r="AG42" s="16">
        <v>8.9999999999999993E-3</v>
      </c>
    </row>
    <row r="43" spans="1:33" x14ac:dyDescent="0.25">
      <c r="A43" t="s">
        <v>203</v>
      </c>
      <c r="B43" t="s">
        <v>654</v>
      </c>
      <c r="C43" t="s">
        <v>653</v>
      </c>
      <c r="D43" t="s">
        <v>183</v>
      </c>
      <c r="F43">
        <v>48.421523999999998</v>
      </c>
      <c r="G43">
        <v>48.897556000000002</v>
      </c>
      <c r="H43">
        <v>49.389957000000003</v>
      </c>
      <c r="I43">
        <v>49.883246999999997</v>
      </c>
      <c r="J43">
        <v>50.367457999999999</v>
      </c>
      <c r="K43">
        <v>50.854793999999998</v>
      </c>
      <c r="L43">
        <v>51.338000999999998</v>
      </c>
      <c r="M43">
        <v>51.821067999999997</v>
      </c>
      <c r="N43">
        <v>52.302494000000003</v>
      </c>
      <c r="O43">
        <v>52.772449000000002</v>
      </c>
      <c r="P43">
        <v>53.225802999999999</v>
      </c>
      <c r="Q43">
        <v>53.674511000000003</v>
      </c>
      <c r="R43">
        <v>54.115622999999999</v>
      </c>
      <c r="S43">
        <v>54.542957000000001</v>
      </c>
      <c r="T43">
        <v>54.956287000000003</v>
      </c>
      <c r="U43">
        <v>55.352367000000001</v>
      </c>
      <c r="V43">
        <v>55.735515999999997</v>
      </c>
      <c r="W43">
        <v>56.103614999999998</v>
      </c>
      <c r="X43">
        <v>56.460856999999997</v>
      </c>
      <c r="Y43">
        <v>56.802979000000001</v>
      </c>
      <c r="Z43">
        <v>57.136333</v>
      </c>
      <c r="AA43">
        <v>57.469645999999997</v>
      </c>
      <c r="AB43">
        <v>57.801506000000003</v>
      </c>
      <c r="AC43">
        <v>58.133105999999998</v>
      </c>
      <c r="AD43">
        <v>58.464126999999998</v>
      </c>
      <c r="AE43">
        <v>58.794894999999997</v>
      </c>
      <c r="AF43">
        <v>59.124156999999997</v>
      </c>
      <c r="AG43" s="16">
        <v>8.0000000000000002E-3</v>
      </c>
    </row>
    <row r="44" spans="1:33" x14ac:dyDescent="0.25">
      <c r="A44" t="s">
        <v>3</v>
      </c>
    </row>
    <row r="45" spans="1:33" x14ac:dyDescent="0.25">
      <c r="A45" t="s">
        <v>181</v>
      </c>
    </row>
    <row r="46" spans="1:33" x14ac:dyDescent="0.25">
      <c r="A46" t="s">
        <v>204</v>
      </c>
      <c r="B46" t="s">
        <v>652</v>
      </c>
      <c r="C46" t="s">
        <v>651</v>
      </c>
      <c r="D46" t="s">
        <v>205</v>
      </c>
      <c r="F46">
        <v>8.3015749999999997</v>
      </c>
      <c r="G46">
        <v>8.4117829999999998</v>
      </c>
      <c r="H46">
        <v>8.5242609999999992</v>
      </c>
      <c r="I46">
        <v>8.6396730000000002</v>
      </c>
      <c r="J46">
        <v>8.7591149999999995</v>
      </c>
      <c r="K46">
        <v>8.8707279999999997</v>
      </c>
      <c r="L46">
        <v>8.974126</v>
      </c>
      <c r="M46">
        <v>9.0690150000000003</v>
      </c>
      <c r="N46">
        <v>9.1557250000000003</v>
      </c>
      <c r="O46">
        <v>9.2265060000000005</v>
      </c>
      <c r="P46">
        <v>9.2895909999999997</v>
      </c>
      <c r="Q46">
        <v>9.3448089999999997</v>
      </c>
      <c r="R46">
        <v>9.3924570000000003</v>
      </c>
      <c r="S46">
        <v>9.4328009999999995</v>
      </c>
      <c r="T46">
        <v>9.4657739999999997</v>
      </c>
      <c r="U46">
        <v>9.4915289999999999</v>
      </c>
      <c r="V46">
        <v>9.5116619999999994</v>
      </c>
      <c r="W46">
        <v>9.5233550000000005</v>
      </c>
      <c r="X46">
        <v>9.5257579999999997</v>
      </c>
      <c r="Y46">
        <v>9.5284410000000008</v>
      </c>
      <c r="Z46">
        <v>9.5312710000000003</v>
      </c>
      <c r="AA46">
        <v>9.5340980000000002</v>
      </c>
      <c r="AB46">
        <v>9.5369150000000005</v>
      </c>
      <c r="AC46">
        <v>9.5396990000000006</v>
      </c>
      <c r="AD46">
        <v>9.5424229999999994</v>
      </c>
      <c r="AE46">
        <v>9.5450660000000003</v>
      </c>
      <c r="AF46">
        <v>9.5476329999999994</v>
      </c>
      <c r="AG46" s="16">
        <v>5.0000000000000001E-3</v>
      </c>
    </row>
    <row r="47" spans="1:33" x14ac:dyDescent="0.25">
      <c r="A47" t="s">
        <v>206</v>
      </c>
      <c r="B47" t="s">
        <v>650</v>
      </c>
      <c r="C47" t="s">
        <v>649</v>
      </c>
      <c r="D47" t="s">
        <v>207</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s="16">
        <v>0</v>
      </c>
    </row>
    <row r="48" spans="1:33" x14ac:dyDescent="0.25">
      <c r="A48" t="s">
        <v>208</v>
      </c>
      <c r="B48" t="s">
        <v>648</v>
      </c>
      <c r="C48" t="s">
        <v>647</v>
      </c>
      <c r="D48" t="s">
        <v>209</v>
      </c>
      <c r="F48">
        <v>3.1980179999999998</v>
      </c>
      <c r="G48">
        <v>3.2298360000000002</v>
      </c>
      <c r="H48">
        <v>3.2606570000000001</v>
      </c>
      <c r="I48">
        <v>3.2903829999999998</v>
      </c>
      <c r="J48">
        <v>3.3189289999999998</v>
      </c>
      <c r="K48">
        <v>3.3464049999999999</v>
      </c>
      <c r="L48">
        <v>3.3728039999999999</v>
      </c>
      <c r="M48">
        <v>3.3982709999999998</v>
      </c>
      <c r="N48">
        <v>3.4217919999999999</v>
      </c>
      <c r="O48">
        <v>3.4418000000000002</v>
      </c>
      <c r="P48">
        <v>3.4592320000000001</v>
      </c>
      <c r="Q48">
        <v>3.469077</v>
      </c>
      <c r="R48">
        <v>3.477528</v>
      </c>
      <c r="S48">
        <v>3.485055</v>
      </c>
      <c r="T48">
        <v>3.4917150000000001</v>
      </c>
      <c r="U48">
        <v>3.4976020000000001</v>
      </c>
      <c r="V48">
        <v>3.5028269999999999</v>
      </c>
      <c r="W48">
        <v>3.5072960000000002</v>
      </c>
      <c r="X48">
        <v>3.5110809999999999</v>
      </c>
      <c r="Y48">
        <v>3.5141840000000002</v>
      </c>
      <c r="Z48">
        <v>3.5166650000000002</v>
      </c>
      <c r="AA48">
        <v>3.5184199999999999</v>
      </c>
      <c r="AB48">
        <v>3.5196239999999999</v>
      </c>
      <c r="AC48">
        <v>3.5202610000000001</v>
      </c>
      <c r="AD48">
        <v>3.5203120000000001</v>
      </c>
      <c r="AE48">
        <v>3.5199310000000001</v>
      </c>
      <c r="AF48">
        <v>3.519072</v>
      </c>
      <c r="AG48" s="16">
        <v>4.0000000000000001E-3</v>
      </c>
    </row>
    <row r="49" spans="1:33" x14ac:dyDescent="0.25">
      <c r="A49" t="s">
        <v>210</v>
      </c>
      <c r="B49" t="s">
        <v>646</v>
      </c>
      <c r="C49" t="s">
        <v>645</v>
      </c>
      <c r="D49" t="s">
        <v>211</v>
      </c>
      <c r="F49">
        <v>0.81869000000000003</v>
      </c>
      <c r="G49">
        <v>0.82376499999999997</v>
      </c>
      <c r="H49">
        <v>0.82883799999999996</v>
      </c>
      <c r="I49">
        <v>0.83387900000000004</v>
      </c>
      <c r="J49">
        <v>0.83890600000000004</v>
      </c>
      <c r="K49">
        <v>0.84789700000000001</v>
      </c>
      <c r="L49">
        <v>0.85755800000000004</v>
      </c>
      <c r="M49">
        <v>0.86722600000000005</v>
      </c>
      <c r="N49">
        <v>0.87631700000000001</v>
      </c>
      <c r="O49">
        <v>0.88464299999999996</v>
      </c>
      <c r="P49">
        <v>0.89239999999999997</v>
      </c>
      <c r="Q49">
        <v>0.89957799999999999</v>
      </c>
      <c r="R49">
        <v>0.90626099999999998</v>
      </c>
      <c r="S49">
        <v>0.91242199999999996</v>
      </c>
      <c r="T49">
        <v>0.91810099999999994</v>
      </c>
      <c r="U49">
        <v>0.92328900000000003</v>
      </c>
      <c r="V49">
        <v>0.92801299999999998</v>
      </c>
      <c r="W49">
        <v>0.93226600000000004</v>
      </c>
      <c r="X49">
        <v>0.93608599999999997</v>
      </c>
      <c r="Y49">
        <v>0.939438</v>
      </c>
      <c r="Z49">
        <v>0.94230899999999995</v>
      </c>
      <c r="AA49">
        <v>0.944658</v>
      </c>
      <c r="AB49">
        <v>0.94646699999999995</v>
      </c>
      <c r="AC49">
        <v>0.948268</v>
      </c>
      <c r="AD49">
        <v>0.95002399999999998</v>
      </c>
      <c r="AE49">
        <v>0.95170399999999999</v>
      </c>
      <c r="AF49">
        <v>0.95327700000000004</v>
      </c>
      <c r="AG49" s="16">
        <v>6.0000000000000001E-3</v>
      </c>
    </row>
    <row r="50" spans="1:33" x14ac:dyDescent="0.25">
      <c r="A50" t="s">
        <v>212</v>
      </c>
      <c r="B50" t="s">
        <v>644</v>
      </c>
      <c r="C50" t="s">
        <v>643</v>
      </c>
      <c r="D50" t="s">
        <v>211</v>
      </c>
      <c r="F50">
        <v>0.83582100000000004</v>
      </c>
      <c r="G50">
        <v>0.83736999999999995</v>
      </c>
      <c r="H50">
        <v>0.83893399999999996</v>
      </c>
      <c r="I50">
        <v>0.84047899999999998</v>
      </c>
      <c r="J50">
        <v>0.84198799999999996</v>
      </c>
      <c r="K50">
        <v>0.84346500000000002</v>
      </c>
      <c r="L50">
        <v>0.84493399999999996</v>
      </c>
      <c r="M50">
        <v>0.84641200000000005</v>
      </c>
      <c r="N50">
        <v>0.84782100000000005</v>
      </c>
      <c r="O50">
        <v>0.84907299999999997</v>
      </c>
      <c r="P50">
        <v>0.85023499999999996</v>
      </c>
      <c r="Q50">
        <v>0.85128599999999999</v>
      </c>
      <c r="R50">
        <v>0.85225200000000001</v>
      </c>
      <c r="S50">
        <v>0.85311000000000003</v>
      </c>
      <c r="T50">
        <v>0.85387800000000003</v>
      </c>
      <c r="U50">
        <v>0.85455499999999995</v>
      </c>
      <c r="V50">
        <v>0.85513799999999995</v>
      </c>
      <c r="W50">
        <v>0.85562499999999997</v>
      </c>
      <c r="X50">
        <v>0.85601799999999995</v>
      </c>
      <c r="Y50">
        <v>0.85631400000000002</v>
      </c>
      <c r="Z50">
        <v>0.85650599999999999</v>
      </c>
      <c r="AA50">
        <v>0.85658599999999996</v>
      </c>
      <c r="AB50">
        <v>0.856572</v>
      </c>
      <c r="AC50">
        <v>0.85655800000000004</v>
      </c>
      <c r="AD50">
        <v>0.856545</v>
      </c>
      <c r="AE50">
        <v>0.85653199999999996</v>
      </c>
      <c r="AF50">
        <v>0.85651900000000003</v>
      </c>
      <c r="AG50" s="16">
        <v>1E-3</v>
      </c>
    </row>
    <row r="51" spans="1:33" x14ac:dyDescent="0.25">
      <c r="A51" t="s">
        <v>213</v>
      </c>
    </row>
    <row r="52" spans="1:33" x14ac:dyDescent="0.25">
      <c r="A52" t="s">
        <v>214</v>
      </c>
      <c r="B52" t="s">
        <v>642</v>
      </c>
      <c r="C52" t="s">
        <v>641</v>
      </c>
      <c r="D52" t="s">
        <v>215</v>
      </c>
      <c r="F52">
        <v>13.990335</v>
      </c>
      <c r="G52">
        <v>14.225822000000001</v>
      </c>
      <c r="H52">
        <v>14.465521000000001</v>
      </c>
      <c r="I52">
        <v>14.710986</v>
      </c>
      <c r="J52">
        <v>14.964726000000001</v>
      </c>
      <c r="K52">
        <v>15.201395</v>
      </c>
      <c r="L52">
        <v>15.42023</v>
      </c>
      <c r="M52">
        <v>15.620710000000001</v>
      </c>
      <c r="N52">
        <v>15.803606</v>
      </c>
      <c r="O52">
        <v>15.951933</v>
      </c>
      <c r="P52">
        <v>16.083611999999999</v>
      </c>
      <c r="Q52">
        <v>16.198575999999999</v>
      </c>
      <c r="R52">
        <v>16.297474000000001</v>
      </c>
      <c r="S52">
        <v>16.380913</v>
      </c>
      <c r="T52">
        <v>16.448741999999999</v>
      </c>
      <c r="U52">
        <v>16.501339000000002</v>
      </c>
      <c r="V52">
        <v>16.546972</v>
      </c>
      <c r="W52">
        <v>16.574265</v>
      </c>
      <c r="X52">
        <v>16.581530000000001</v>
      </c>
      <c r="Y52">
        <v>16.589703</v>
      </c>
      <c r="Z52">
        <v>16.598382999999998</v>
      </c>
      <c r="AA52">
        <v>16.607206000000001</v>
      </c>
      <c r="AB52">
        <v>16.616085000000002</v>
      </c>
      <c r="AC52">
        <v>16.624941</v>
      </c>
      <c r="AD52">
        <v>16.633641999999998</v>
      </c>
      <c r="AE52">
        <v>16.642115</v>
      </c>
      <c r="AF52">
        <v>16.650321999999999</v>
      </c>
      <c r="AG52" s="16">
        <v>7.0000000000000001E-3</v>
      </c>
    </row>
    <row r="53" spans="1:33" x14ac:dyDescent="0.25">
      <c r="A53" t="s">
        <v>206</v>
      </c>
      <c r="B53" t="s">
        <v>640</v>
      </c>
      <c r="C53" t="s">
        <v>639</v>
      </c>
      <c r="D53" t="s">
        <v>207</v>
      </c>
      <c r="F53">
        <v>0.62333899999999998</v>
      </c>
      <c r="G53">
        <v>0.62898399999999999</v>
      </c>
      <c r="H53">
        <v>0.63492199999999999</v>
      </c>
      <c r="I53">
        <v>0.64126799999999995</v>
      </c>
      <c r="J53">
        <v>0.64812000000000003</v>
      </c>
      <c r="K53">
        <v>0.65468099999999996</v>
      </c>
      <c r="L53">
        <v>0.66091200000000005</v>
      </c>
      <c r="M53">
        <v>0.66676400000000002</v>
      </c>
      <c r="N53">
        <v>0.672238</v>
      </c>
      <c r="O53">
        <v>0.677284</v>
      </c>
      <c r="P53">
        <v>0.68191199999999996</v>
      </c>
      <c r="Q53">
        <v>0.68607399999999996</v>
      </c>
      <c r="R53">
        <v>0.68975900000000001</v>
      </c>
      <c r="S53">
        <v>0.69294900000000004</v>
      </c>
      <c r="T53">
        <v>0.695604</v>
      </c>
      <c r="U53">
        <v>0.69770399999999999</v>
      </c>
      <c r="V53">
        <v>0.69920199999999999</v>
      </c>
      <c r="W53">
        <v>0.7</v>
      </c>
      <c r="X53">
        <v>0.7</v>
      </c>
      <c r="Y53">
        <v>0.7</v>
      </c>
      <c r="Z53">
        <v>0.7</v>
      </c>
      <c r="AA53">
        <v>0.7</v>
      </c>
      <c r="AB53">
        <v>0.7</v>
      </c>
      <c r="AC53">
        <v>0.7</v>
      </c>
      <c r="AD53">
        <v>0.7</v>
      </c>
      <c r="AE53">
        <v>0.7</v>
      </c>
      <c r="AF53">
        <v>0.7</v>
      </c>
      <c r="AG53" s="16">
        <v>4.0000000000000001E-3</v>
      </c>
    </row>
    <row r="54" spans="1:33" x14ac:dyDescent="0.25">
      <c r="A54" t="s">
        <v>216</v>
      </c>
      <c r="B54" t="s">
        <v>638</v>
      </c>
      <c r="C54" t="s">
        <v>637</v>
      </c>
      <c r="D54" t="s">
        <v>217</v>
      </c>
      <c r="F54">
        <v>13.993668</v>
      </c>
      <c r="G54">
        <v>14.221729</v>
      </c>
      <c r="H54">
        <v>14.442513999999999</v>
      </c>
      <c r="I54">
        <v>14.655156</v>
      </c>
      <c r="J54">
        <v>14.858943</v>
      </c>
      <c r="K54">
        <v>15.054792000000001</v>
      </c>
      <c r="L54">
        <v>15.242620000000001</v>
      </c>
      <c r="M54">
        <v>15.423491</v>
      </c>
      <c r="N54">
        <v>15.590322</v>
      </c>
      <c r="O54">
        <v>15.732929</v>
      </c>
      <c r="P54">
        <v>15.857524</v>
      </c>
      <c r="Q54">
        <v>15.92991</v>
      </c>
      <c r="R54">
        <v>15.991645999999999</v>
      </c>
      <c r="S54">
        <v>16.046742999999999</v>
      </c>
      <c r="T54">
        <v>16.095617000000001</v>
      </c>
      <c r="U54">
        <v>16.138884999999998</v>
      </c>
      <c r="V54">
        <v>16.177298</v>
      </c>
      <c r="W54">
        <v>16.210196</v>
      </c>
      <c r="X54">
        <v>16.238112999999998</v>
      </c>
      <c r="Y54">
        <v>16.261043999999998</v>
      </c>
      <c r="Z54">
        <v>16.279423000000001</v>
      </c>
      <c r="AA54">
        <v>16.292555</v>
      </c>
      <c r="AB54">
        <v>16.301682</v>
      </c>
      <c r="AC54">
        <v>16.306694</v>
      </c>
      <c r="AD54">
        <v>16.307490999999999</v>
      </c>
      <c r="AE54">
        <v>16.305126000000001</v>
      </c>
      <c r="AF54">
        <v>16.299299000000001</v>
      </c>
      <c r="AG54" s="16">
        <v>6.0000000000000001E-3</v>
      </c>
    </row>
    <row r="55" spans="1:33" x14ac:dyDescent="0.25">
      <c r="A55" t="s">
        <v>218</v>
      </c>
      <c r="B55" t="s">
        <v>636</v>
      </c>
      <c r="C55" t="s">
        <v>635</v>
      </c>
      <c r="D55" t="s">
        <v>215</v>
      </c>
      <c r="F55">
        <v>13.469367999999999</v>
      </c>
      <c r="G55">
        <v>13.760479999999999</v>
      </c>
      <c r="H55">
        <v>14.051945</v>
      </c>
      <c r="I55">
        <v>14.34586</v>
      </c>
      <c r="J55">
        <v>14.645688</v>
      </c>
      <c r="K55">
        <v>14.925357</v>
      </c>
      <c r="L55">
        <v>15.18473</v>
      </c>
      <c r="M55">
        <v>15.422160999999999</v>
      </c>
      <c r="N55">
        <v>15.637525</v>
      </c>
      <c r="O55">
        <v>15.709616</v>
      </c>
      <c r="P55">
        <v>15.752591000000001</v>
      </c>
      <c r="Q55">
        <v>15.78285</v>
      </c>
      <c r="R55">
        <v>15.799917000000001</v>
      </c>
      <c r="S55">
        <v>15.80462</v>
      </c>
      <c r="T55">
        <v>15.79846</v>
      </c>
      <c r="U55">
        <v>15.781046</v>
      </c>
      <c r="V55">
        <v>15.753360000000001</v>
      </c>
      <c r="W55">
        <v>15.715132000000001</v>
      </c>
      <c r="X55">
        <v>15.665411000000001</v>
      </c>
      <c r="Y55">
        <v>15.616528000000001</v>
      </c>
      <c r="Z55">
        <v>15.568357000000001</v>
      </c>
      <c r="AA55">
        <v>15.521165999999999</v>
      </c>
      <c r="AB55">
        <v>15.475282</v>
      </c>
      <c r="AC55">
        <v>15.430944999999999</v>
      </c>
      <c r="AD55">
        <v>15.388375999999999</v>
      </c>
      <c r="AE55">
        <v>15.347758000000001</v>
      </c>
      <c r="AF55">
        <v>15.309222</v>
      </c>
      <c r="AG55" s="16">
        <v>5.0000000000000001E-3</v>
      </c>
    </row>
    <row r="56" spans="1:33" x14ac:dyDescent="0.25">
      <c r="A56" t="s">
        <v>219</v>
      </c>
      <c r="B56" t="s">
        <v>634</v>
      </c>
      <c r="C56" t="s">
        <v>633</v>
      </c>
      <c r="D56" t="s">
        <v>217</v>
      </c>
      <c r="F56">
        <v>11.448732</v>
      </c>
      <c r="G56">
        <v>11.644736999999999</v>
      </c>
      <c r="H56">
        <v>11.847325</v>
      </c>
      <c r="I56">
        <v>12.298437</v>
      </c>
      <c r="J56">
        <v>12.757018</v>
      </c>
      <c r="K56">
        <v>13.272966</v>
      </c>
      <c r="L56">
        <v>13.771557</v>
      </c>
      <c r="M56">
        <v>14.233993999999999</v>
      </c>
      <c r="N56">
        <v>14.651569</v>
      </c>
      <c r="O56">
        <v>15.024331999999999</v>
      </c>
      <c r="P56">
        <v>15.341799</v>
      </c>
      <c r="Q56">
        <v>15.580716000000001</v>
      </c>
      <c r="R56">
        <v>15.738295000000001</v>
      </c>
      <c r="S56">
        <v>15.813057000000001</v>
      </c>
      <c r="T56">
        <v>15.872056000000001</v>
      </c>
      <c r="U56">
        <v>15.916221999999999</v>
      </c>
      <c r="V56">
        <v>15.947607</v>
      </c>
      <c r="W56">
        <v>15.968753</v>
      </c>
      <c r="X56">
        <v>15.982252000000001</v>
      </c>
      <c r="Y56">
        <v>15.990417000000001</v>
      </c>
      <c r="Z56">
        <v>15.995094999999999</v>
      </c>
      <c r="AA56">
        <v>15.997622</v>
      </c>
      <c r="AB56">
        <v>15.998911</v>
      </c>
      <c r="AC56">
        <v>15.999532</v>
      </c>
      <c r="AD56">
        <v>15.999801</v>
      </c>
      <c r="AE56">
        <v>15.999924</v>
      </c>
      <c r="AF56">
        <v>15.999976</v>
      </c>
      <c r="AG56" s="16">
        <v>1.2999999999999999E-2</v>
      </c>
    </row>
    <row r="57" spans="1:33" x14ac:dyDescent="0.25">
      <c r="A57" t="s">
        <v>220</v>
      </c>
    </row>
    <row r="58" spans="1:33" x14ac:dyDescent="0.25">
      <c r="A58" t="s">
        <v>221</v>
      </c>
      <c r="B58" t="s">
        <v>632</v>
      </c>
      <c r="C58" t="s">
        <v>631</v>
      </c>
      <c r="D58" t="s">
        <v>222</v>
      </c>
      <c r="F58">
        <v>1.089594</v>
      </c>
      <c r="G58">
        <v>1.1425160000000001</v>
      </c>
      <c r="H58">
        <v>1.194647</v>
      </c>
      <c r="I58">
        <v>1.2457849999999999</v>
      </c>
      <c r="J58">
        <v>1.296718</v>
      </c>
      <c r="K58">
        <v>1.427567</v>
      </c>
      <c r="L58">
        <v>1.530845</v>
      </c>
      <c r="M58">
        <v>1.6406940000000001</v>
      </c>
      <c r="N58">
        <v>1.7447140000000001</v>
      </c>
      <c r="O58">
        <v>1.833205</v>
      </c>
      <c r="P58">
        <v>1.91778</v>
      </c>
      <c r="Q58">
        <v>1.995061</v>
      </c>
      <c r="R58">
        <v>2.064635</v>
      </c>
      <c r="S58">
        <v>2.1261709999999998</v>
      </c>
      <c r="T58">
        <v>2.179694</v>
      </c>
      <c r="U58">
        <v>2.225028</v>
      </c>
      <c r="V58">
        <v>2.2624460000000002</v>
      </c>
      <c r="W58">
        <v>2.291731</v>
      </c>
      <c r="X58">
        <v>2.3127049999999998</v>
      </c>
      <c r="Y58">
        <v>2.3256410000000001</v>
      </c>
      <c r="Z58">
        <v>2.3376600000000001</v>
      </c>
      <c r="AA58">
        <v>2.3487290000000001</v>
      </c>
      <c r="AB58">
        <v>2.3588469999999999</v>
      </c>
      <c r="AC58">
        <v>2.3680279999999998</v>
      </c>
      <c r="AD58">
        <v>2.3763190000000001</v>
      </c>
      <c r="AE58">
        <v>2.3837579999999998</v>
      </c>
      <c r="AF58">
        <v>2.3903810000000001</v>
      </c>
      <c r="AG58" s="16">
        <v>3.1E-2</v>
      </c>
    </row>
    <row r="59" spans="1:33" x14ac:dyDescent="0.25">
      <c r="A59" t="s">
        <v>223</v>
      </c>
      <c r="B59" t="s">
        <v>630</v>
      </c>
      <c r="C59" t="s">
        <v>629</v>
      </c>
      <c r="D59" t="s">
        <v>222</v>
      </c>
      <c r="F59">
        <v>0.60598600000000002</v>
      </c>
      <c r="G59">
        <v>0.61377400000000004</v>
      </c>
      <c r="H59">
        <v>0.62073199999999995</v>
      </c>
      <c r="I59">
        <v>0.62687899999999996</v>
      </c>
      <c r="J59">
        <v>0.63224800000000003</v>
      </c>
      <c r="K59">
        <v>0.64028099999999999</v>
      </c>
      <c r="L59">
        <v>0.64717400000000003</v>
      </c>
      <c r="M59">
        <v>0.653142</v>
      </c>
      <c r="N59">
        <v>0.65814099999999998</v>
      </c>
      <c r="O59">
        <v>0.66080300000000003</v>
      </c>
      <c r="P59">
        <v>0.66259400000000002</v>
      </c>
      <c r="Q59">
        <v>0.66352299999999997</v>
      </c>
      <c r="R59">
        <v>0.66439199999999998</v>
      </c>
      <c r="S59">
        <v>0.66519700000000004</v>
      </c>
      <c r="T59">
        <v>0.66593599999999997</v>
      </c>
      <c r="U59">
        <v>0.66660900000000001</v>
      </c>
      <c r="V59">
        <v>0.66721600000000003</v>
      </c>
      <c r="W59">
        <v>0.66775799999999996</v>
      </c>
      <c r="X59">
        <v>0.668238</v>
      </c>
      <c r="Y59">
        <v>0.66866000000000003</v>
      </c>
      <c r="Z59">
        <v>0.66902799999999996</v>
      </c>
      <c r="AA59">
        <v>0.669346</v>
      </c>
      <c r="AB59">
        <v>0.66961800000000005</v>
      </c>
      <c r="AC59">
        <v>0.66984900000000003</v>
      </c>
      <c r="AD59">
        <v>0.67004300000000006</v>
      </c>
      <c r="AE59">
        <v>0.67020400000000002</v>
      </c>
      <c r="AF59">
        <v>0.67033699999999996</v>
      </c>
      <c r="AG59" s="16">
        <v>4.0000000000000001E-3</v>
      </c>
    </row>
    <row r="60" spans="1:33" x14ac:dyDescent="0.25">
      <c r="A60" t="s">
        <v>224</v>
      </c>
      <c r="B60" t="s">
        <v>628</v>
      </c>
      <c r="C60" t="s">
        <v>627</v>
      </c>
      <c r="D60" t="s">
        <v>222</v>
      </c>
      <c r="F60">
        <v>0.54769800000000002</v>
      </c>
      <c r="G60">
        <v>0.55999399999999999</v>
      </c>
      <c r="H60">
        <v>0.57217899999999999</v>
      </c>
      <c r="I60">
        <v>0.58399400000000001</v>
      </c>
      <c r="J60">
        <v>0.59521000000000002</v>
      </c>
      <c r="K60">
        <v>0.60663999999999996</v>
      </c>
      <c r="L60">
        <v>0.61675899999999995</v>
      </c>
      <c r="M60">
        <v>0.625502</v>
      </c>
      <c r="N60">
        <v>0.63254699999999997</v>
      </c>
      <c r="O60">
        <v>0.63764500000000002</v>
      </c>
      <c r="P60">
        <v>0.640544</v>
      </c>
      <c r="Q60">
        <v>0.64108200000000004</v>
      </c>
      <c r="R60">
        <v>0.64163400000000004</v>
      </c>
      <c r="S60">
        <v>0.64219300000000001</v>
      </c>
      <c r="T60">
        <v>0.64275400000000005</v>
      </c>
      <c r="U60">
        <v>0.64331199999999999</v>
      </c>
      <c r="V60">
        <v>0.64386200000000005</v>
      </c>
      <c r="W60">
        <v>0.644401</v>
      </c>
      <c r="X60">
        <v>0.64492499999999997</v>
      </c>
      <c r="Y60">
        <v>0.64542999999999995</v>
      </c>
      <c r="Z60">
        <v>0.64591299999999996</v>
      </c>
      <c r="AA60">
        <v>0.646374</v>
      </c>
      <c r="AB60">
        <v>0.64680899999999997</v>
      </c>
      <c r="AC60">
        <v>0.64721899999999999</v>
      </c>
      <c r="AD60">
        <v>0.64760200000000001</v>
      </c>
      <c r="AE60">
        <v>0.64795700000000001</v>
      </c>
      <c r="AF60">
        <v>0.648285</v>
      </c>
      <c r="AG60" s="16">
        <v>7.0000000000000001E-3</v>
      </c>
    </row>
    <row r="61" spans="1:33" x14ac:dyDescent="0.25">
      <c r="A61" t="s">
        <v>225</v>
      </c>
      <c r="B61" t="s">
        <v>626</v>
      </c>
      <c r="C61" t="s">
        <v>625</v>
      </c>
      <c r="D61" t="s">
        <v>222</v>
      </c>
      <c r="F61">
        <v>0.60939900000000002</v>
      </c>
      <c r="G61">
        <v>0.61870400000000003</v>
      </c>
      <c r="H61">
        <v>0.627502</v>
      </c>
      <c r="I61">
        <v>0.635687</v>
      </c>
      <c r="J61">
        <v>0.64312899999999995</v>
      </c>
      <c r="K61">
        <v>0.650474</v>
      </c>
      <c r="L61">
        <v>0.65689600000000004</v>
      </c>
      <c r="M61">
        <v>0.662416</v>
      </c>
      <c r="N61">
        <v>0.66691800000000001</v>
      </c>
      <c r="O61">
        <v>0.66920900000000005</v>
      </c>
      <c r="P61">
        <v>0.67036200000000001</v>
      </c>
      <c r="Q61">
        <v>0.67031200000000002</v>
      </c>
      <c r="R61">
        <v>0.67021699999999995</v>
      </c>
      <c r="S61">
        <v>0.67008400000000001</v>
      </c>
      <c r="T61">
        <v>0.66991699999999998</v>
      </c>
      <c r="U61">
        <v>0.66972299999999996</v>
      </c>
      <c r="V61">
        <v>0.66950500000000002</v>
      </c>
      <c r="W61">
        <v>0.66927000000000003</v>
      </c>
      <c r="X61">
        <v>0.66902200000000001</v>
      </c>
      <c r="Y61">
        <v>0.66876599999999997</v>
      </c>
      <c r="Z61">
        <v>0.66850799999999999</v>
      </c>
      <c r="AA61">
        <v>0.66824899999999998</v>
      </c>
      <c r="AB61">
        <v>0.66799500000000001</v>
      </c>
      <c r="AC61">
        <v>0.66774800000000001</v>
      </c>
      <c r="AD61">
        <v>0.66751099999999997</v>
      </c>
      <c r="AE61">
        <v>0.66728600000000005</v>
      </c>
      <c r="AF61">
        <v>0.66707499999999997</v>
      </c>
      <c r="AG61" s="16">
        <v>3.0000000000000001E-3</v>
      </c>
    </row>
    <row r="62" spans="1:33" x14ac:dyDescent="0.25">
      <c r="A62" t="s">
        <v>226</v>
      </c>
    </row>
    <row r="63" spans="1:33" x14ac:dyDescent="0.25">
      <c r="A63" t="s">
        <v>202</v>
      </c>
      <c r="B63" t="s">
        <v>624</v>
      </c>
      <c r="C63" t="s">
        <v>623</v>
      </c>
      <c r="D63" t="s">
        <v>227</v>
      </c>
      <c r="F63">
        <v>605.32141100000001</v>
      </c>
      <c r="G63">
        <v>596.56372099999999</v>
      </c>
      <c r="H63">
        <v>587.74408000000005</v>
      </c>
      <c r="I63">
        <v>578.85461399999997</v>
      </c>
      <c r="J63">
        <v>569.90594499999997</v>
      </c>
      <c r="K63">
        <v>561.43499799999995</v>
      </c>
      <c r="L63">
        <v>548.93573000000004</v>
      </c>
      <c r="M63">
        <v>536.88128700000004</v>
      </c>
      <c r="N63">
        <v>525.27539100000001</v>
      </c>
      <c r="O63">
        <v>514.09533699999997</v>
      </c>
      <c r="P63">
        <v>503.33850100000001</v>
      </c>
      <c r="Q63">
        <v>493.03497299999998</v>
      </c>
      <c r="R63">
        <v>483.48178100000001</v>
      </c>
      <c r="S63">
        <v>474.760132</v>
      </c>
      <c r="T63">
        <v>466.87344400000001</v>
      </c>
      <c r="U63">
        <v>459.84948700000001</v>
      </c>
      <c r="V63">
        <v>453.64550800000001</v>
      </c>
      <c r="W63">
        <v>448.24676499999998</v>
      </c>
      <c r="X63">
        <v>443.60870399999999</v>
      </c>
      <c r="Y63">
        <v>439.75659200000001</v>
      </c>
      <c r="Z63">
        <v>436.64328</v>
      </c>
      <c r="AA63">
        <v>434.29330399999998</v>
      </c>
      <c r="AB63">
        <v>432.73150600000002</v>
      </c>
      <c r="AC63">
        <v>431.93127399999997</v>
      </c>
      <c r="AD63">
        <v>431.20816000000002</v>
      </c>
      <c r="AE63">
        <v>430.55432100000002</v>
      </c>
      <c r="AF63">
        <v>429.95950299999998</v>
      </c>
      <c r="AG63" s="16">
        <v>-1.2999999999999999E-2</v>
      </c>
    </row>
    <row r="64" spans="1:33" x14ac:dyDescent="0.25">
      <c r="A64" t="s">
        <v>203</v>
      </c>
      <c r="B64" t="s">
        <v>622</v>
      </c>
      <c r="C64" t="s">
        <v>621</v>
      </c>
      <c r="D64" t="s">
        <v>227</v>
      </c>
      <c r="F64">
        <v>463.55093399999998</v>
      </c>
      <c r="G64">
        <v>458.890198</v>
      </c>
      <c r="H64">
        <v>454.28131100000002</v>
      </c>
      <c r="I64">
        <v>449.72030599999999</v>
      </c>
      <c r="J64">
        <v>445.12622099999999</v>
      </c>
      <c r="K64">
        <v>440.455017</v>
      </c>
      <c r="L64">
        <v>433.68933099999998</v>
      </c>
      <c r="M64">
        <v>426.78295900000001</v>
      </c>
      <c r="N64">
        <v>419.79501299999998</v>
      </c>
      <c r="O64">
        <v>413.10067700000002</v>
      </c>
      <c r="P64">
        <v>406.70031699999998</v>
      </c>
      <c r="Q64">
        <v>400.597534</v>
      </c>
      <c r="R64">
        <v>394.77926600000001</v>
      </c>
      <c r="S64">
        <v>389.23379499999999</v>
      </c>
      <c r="T64">
        <v>383.98913599999997</v>
      </c>
      <c r="U64">
        <v>379.06469700000002</v>
      </c>
      <c r="V64">
        <v>374.43823200000003</v>
      </c>
      <c r="W64">
        <v>370.161316</v>
      </c>
      <c r="X64">
        <v>366.20214800000002</v>
      </c>
      <c r="Y64">
        <v>362.57891799999999</v>
      </c>
      <c r="Z64">
        <v>359.27200299999998</v>
      </c>
      <c r="AA64">
        <v>356.26269500000001</v>
      </c>
      <c r="AB64">
        <v>353.61422700000003</v>
      </c>
      <c r="AC64">
        <v>351.29882800000001</v>
      </c>
      <c r="AD64">
        <v>349.36639400000001</v>
      </c>
      <c r="AE64">
        <v>347.84356700000001</v>
      </c>
      <c r="AF64">
        <v>346.73440599999998</v>
      </c>
      <c r="AG64" s="16">
        <v>-1.0999999999999999E-2</v>
      </c>
    </row>
    <row r="65" spans="1:33" x14ac:dyDescent="0.25">
      <c r="A65" t="s">
        <v>228</v>
      </c>
    </row>
    <row r="66" spans="1:33" x14ac:dyDescent="0.25">
      <c r="A66" t="s">
        <v>229</v>
      </c>
    </row>
    <row r="67" spans="1:33" x14ac:dyDescent="0.25">
      <c r="A67" t="s">
        <v>614</v>
      </c>
      <c r="B67" t="s">
        <v>620</v>
      </c>
      <c r="C67" t="s">
        <v>619</v>
      </c>
      <c r="D67" t="s">
        <v>231</v>
      </c>
      <c r="F67">
        <v>0.96249899999999999</v>
      </c>
      <c r="G67">
        <v>0.95829299999999995</v>
      </c>
      <c r="H67">
        <v>0.95386099999999996</v>
      </c>
      <c r="I67">
        <v>0.94897600000000004</v>
      </c>
      <c r="J67">
        <v>0.94338</v>
      </c>
      <c r="K67">
        <v>0.93713900000000006</v>
      </c>
      <c r="L67">
        <v>0.93051399999999995</v>
      </c>
      <c r="M67">
        <v>0.92341399999999996</v>
      </c>
      <c r="N67">
        <v>0.91581699999999999</v>
      </c>
      <c r="O67">
        <v>0.90795400000000004</v>
      </c>
      <c r="P67">
        <v>0.90028900000000001</v>
      </c>
      <c r="Q67">
        <v>0.89305000000000001</v>
      </c>
      <c r="R67">
        <v>0.88626899999999997</v>
      </c>
      <c r="S67">
        <v>0.87971500000000002</v>
      </c>
      <c r="T67">
        <v>0.87315799999999999</v>
      </c>
      <c r="U67">
        <v>0.86665999999999999</v>
      </c>
      <c r="V67">
        <v>0.860093</v>
      </c>
      <c r="W67">
        <v>0.85333700000000001</v>
      </c>
      <c r="X67">
        <v>0.84650400000000003</v>
      </c>
      <c r="Y67">
        <v>0.83967000000000003</v>
      </c>
      <c r="Z67">
        <v>0.83284999999999998</v>
      </c>
      <c r="AA67">
        <v>0.82602600000000004</v>
      </c>
      <c r="AB67">
        <v>0.81914399999999998</v>
      </c>
      <c r="AC67">
        <v>0.81228999999999996</v>
      </c>
      <c r="AD67">
        <v>0.80550299999999997</v>
      </c>
      <c r="AE67">
        <v>0.79870200000000002</v>
      </c>
      <c r="AF67">
        <v>0.791856</v>
      </c>
      <c r="AG67" s="16">
        <v>-7.0000000000000001E-3</v>
      </c>
    </row>
    <row r="68" spans="1:33" x14ac:dyDescent="0.25">
      <c r="A68" t="s">
        <v>232</v>
      </c>
      <c r="B68" t="s">
        <v>618</v>
      </c>
      <c r="C68" t="s">
        <v>617</v>
      </c>
      <c r="D68" t="s">
        <v>231</v>
      </c>
      <c r="F68">
        <v>0.77779500000000001</v>
      </c>
      <c r="G68">
        <v>0.77780400000000005</v>
      </c>
      <c r="H68">
        <v>0.78845600000000005</v>
      </c>
      <c r="I68">
        <v>0.79193599999999997</v>
      </c>
      <c r="J68">
        <v>0.79717300000000002</v>
      </c>
      <c r="K68">
        <v>0.79640299999999997</v>
      </c>
      <c r="L68">
        <v>0.79713100000000003</v>
      </c>
      <c r="M68">
        <v>0.79560699999999995</v>
      </c>
      <c r="N68">
        <v>0.79143799999999997</v>
      </c>
      <c r="O68">
        <v>0.90783000000000003</v>
      </c>
      <c r="P68">
        <v>0.90350900000000001</v>
      </c>
      <c r="Q68">
        <v>0.90333200000000002</v>
      </c>
      <c r="R68">
        <v>0.90135600000000005</v>
      </c>
      <c r="S68">
        <v>0.89688199999999996</v>
      </c>
      <c r="T68">
        <v>0.89327900000000005</v>
      </c>
      <c r="U68">
        <v>0.89083299999999999</v>
      </c>
      <c r="V68">
        <v>0.88829000000000002</v>
      </c>
      <c r="W68">
        <v>0.88452799999999998</v>
      </c>
      <c r="X68">
        <v>0.88126199999999999</v>
      </c>
      <c r="Y68">
        <v>0.88093200000000005</v>
      </c>
      <c r="Z68">
        <v>0.88181200000000004</v>
      </c>
      <c r="AA68">
        <v>0.88065700000000002</v>
      </c>
      <c r="AB68">
        <v>0.87968900000000005</v>
      </c>
      <c r="AC68">
        <v>0.87822</v>
      </c>
      <c r="AD68">
        <v>0.87721899999999997</v>
      </c>
      <c r="AE68">
        <v>0.87615900000000002</v>
      </c>
      <c r="AF68">
        <v>0.87512100000000004</v>
      </c>
      <c r="AG68" s="16">
        <v>5.0000000000000001E-3</v>
      </c>
    </row>
    <row r="69" spans="1:33" x14ac:dyDescent="0.25">
      <c r="A69" t="s">
        <v>233</v>
      </c>
      <c r="B69" t="s">
        <v>616</v>
      </c>
      <c r="C69" t="s">
        <v>615</v>
      </c>
      <c r="D69" t="s">
        <v>231</v>
      </c>
      <c r="F69">
        <v>0.95514299999999996</v>
      </c>
      <c r="G69">
        <v>0.94909500000000002</v>
      </c>
      <c r="H69">
        <v>0.94300399999999995</v>
      </c>
      <c r="I69">
        <v>0.93666700000000003</v>
      </c>
      <c r="J69">
        <v>0.92990099999999998</v>
      </c>
      <c r="K69">
        <v>0.922678</v>
      </c>
      <c r="L69">
        <v>0.9153</v>
      </c>
      <c r="M69">
        <v>0.907667</v>
      </c>
      <c r="N69">
        <v>0.89975099999999997</v>
      </c>
      <c r="O69">
        <v>0.89316200000000001</v>
      </c>
      <c r="P69">
        <v>0.88683000000000001</v>
      </c>
      <c r="Q69">
        <v>0.88098299999999996</v>
      </c>
      <c r="R69">
        <v>0.87561</v>
      </c>
      <c r="S69">
        <v>0.870475</v>
      </c>
      <c r="T69">
        <v>0.86539299999999997</v>
      </c>
      <c r="U69">
        <v>0.86041800000000002</v>
      </c>
      <c r="V69">
        <v>0.85544500000000001</v>
      </c>
      <c r="W69">
        <v>0.85036100000000003</v>
      </c>
      <c r="X69">
        <v>0.84526299999999999</v>
      </c>
      <c r="Y69">
        <v>0.840229</v>
      </c>
      <c r="Z69">
        <v>0.83528000000000002</v>
      </c>
      <c r="AA69">
        <v>0.83039099999999999</v>
      </c>
      <c r="AB69">
        <v>0.82552000000000003</v>
      </c>
      <c r="AC69">
        <v>0.82072599999999996</v>
      </c>
      <c r="AD69">
        <v>0.81604299999999996</v>
      </c>
      <c r="AE69">
        <v>0.81140699999999999</v>
      </c>
      <c r="AF69">
        <v>0.80679100000000004</v>
      </c>
      <c r="AG69" s="16">
        <v>-6.0000000000000001E-3</v>
      </c>
    </row>
    <row r="70" spans="1:33" x14ac:dyDescent="0.25">
      <c r="A70" t="s">
        <v>213</v>
      </c>
    </row>
    <row r="71" spans="1:33" x14ac:dyDescent="0.25">
      <c r="A71" t="s">
        <v>614</v>
      </c>
      <c r="B71" t="s">
        <v>613</v>
      </c>
      <c r="C71" t="s">
        <v>612</v>
      </c>
      <c r="D71" t="s">
        <v>231</v>
      </c>
      <c r="F71">
        <v>0.98706400000000005</v>
      </c>
      <c r="G71">
        <v>0.98577199999999998</v>
      </c>
      <c r="H71">
        <v>0.98426999999999998</v>
      </c>
      <c r="I71">
        <v>0.98250800000000005</v>
      </c>
      <c r="J71">
        <v>0.98045800000000005</v>
      </c>
      <c r="K71">
        <v>0.97818700000000003</v>
      </c>
      <c r="L71">
        <v>0.97578299999999996</v>
      </c>
      <c r="M71">
        <v>0.97324600000000006</v>
      </c>
      <c r="N71">
        <v>0.97056500000000001</v>
      </c>
      <c r="O71">
        <v>0.96779499999999996</v>
      </c>
      <c r="P71">
        <v>0.96509599999999995</v>
      </c>
      <c r="Q71">
        <v>0.96253900000000003</v>
      </c>
      <c r="R71">
        <v>0.96013199999999999</v>
      </c>
      <c r="S71">
        <v>0.95780299999999996</v>
      </c>
      <c r="T71">
        <v>0.95547099999999996</v>
      </c>
      <c r="U71">
        <v>0.95317200000000002</v>
      </c>
      <c r="V71">
        <v>0.95085500000000001</v>
      </c>
      <c r="W71">
        <v>0.94845699999999999</v>
      </c>
      <c r="X71">
        <v>0.94602200000000003</v>
      </c>
      <c r="Y71">
        <v>0.94357500000000005</v>
      </c>
      <c r="Z71">
        <v>0.94112799999999996</v>
      </c>
      <c r="AA71">
        <v>0.93869599999999997</v>
      </c>
      <c r="AB71">
        <v>0.93624700000000005</v>
      </c>
      <c r="AC71">
        <v>0.933813</v>
      </c>
      <c r="AD71">
        <v>0.931396</v>
      </c>
      <c r="AE71">
        <v>0.92897200000000002</v>
      </c>
      <c r="AF71">
        <v>0.92652999999999996</v>
      </c>
      <c r="AG71" s="16">
        <v>-2E-3</v>
      </c>
    </row>
    <row r="72" spans="1:33" x14ac:dyDescent="0.25">
      <c r="A72" t="s">
        <v>232</v>
      </c>
      <c r="B72" t="s">
        <v>611</v>
      </c>
      <c r="C72" t="s">
        <v>610</v>
      </c>
      <c r="D72" t="s">
        <v>231</v>
      </c>
      <c r="F72">
        <v>0.96223800000000004</v>
      </c>
      <c r="G72">
        <v>0.96373500000000001</v>
      </c>
      <c r="H72">
        <v>0.97250599999999998</v>
      </c>
      <c r="I72">
        <v>0.97536900000000004</v>
      </c>
      <c r="J72">
        <v>0.97906000000000004</v>
      </c>
      <c r="K72">
        <v>0.98203700000000005</v>
      </c>
      <c r="L72">
        <v>0.98287800000000003</v>
      </c>
      <c r="M72">
        <v>0.982742</v>
      </c>
      <c r="N72">
        <v>0.98086799999999996</v>
      </c>
      <c r="O72">
        <v>1.0203709999999999</v>
      </c>
      <c r="P72">
        <v>1.0181690000000001</v>
      </c>
      <c r="Q72">
        <v>1.0179069999999999</v>
      </c>
      <c r="R72">
        <v>1.016993</v>
      </c>
      <c r="S72">
        <v>1.014689</v>
      </c>
      <c r="T72">
        <v>1.0129760000000001</v>
      </c>
      <c r="U72">
        <v>1.0120750000000001</v>
      </c>
      <c r="V72">
        <v>1.0114399999999999</v>
      </c>
      <c r="W72">
        <v>1.010168</v>
      </c>
      <c r="X72">
        <v>1.0089360000000001</v>
      </c>
      <c r="Y72">
        <v>1.0096099999999999</v>
      </c>
      <c r="Z72">
        <v>1.0109030000000001</v>
      </c>
      <c r="AA72">
        <v>1.0107729999999999</v>
      </c>
      <c r="AB72">
        <v>1.010664</v>
      </c>
      <c r="AC72">
        <v>1.0103740000000001</v>
      </c>
      <c r="AD72">
        <v>1.010311</v>
      </c>
      <c r="AE72">
        <v>1.0102930000000001</v>
      </c>
      <c r="AF72">
        <v>1.0102</v>
      </c>
      <c r="AG72" s="16">
        <v>2E-3</v>
      </c>
    </row>
    <row r="73" spans="1:33" x14ac:dyDescent="0.25">
      <c r="A73" t="s">
        <v>233</v>
      </c>
      <c r="B73" t="s">
        <v>609</v>
      </c>
      <c r="C73" t="s">
        <v>608</v>
      </c>
      <c r="D73" t="s">
        <v>231</v>
      </c>
      <c r="F73">
        <v>0.98711800000000005</v>
      </c>
      <c r="G73">
        <v>0.98565800000000003</v>
      </c>
      <c r="H73">
        <v>0.98411000000000004</v>
      </c>
      <c r="I73">
        <v>0.98237699999999994</v>
      </c>
      <c r="J73">
        <v>0.98045300000000002</v>
      </c>
      <c r="K73">
        <v>0.97839399999999999</v>
      </c>
      <c r="L73">
        <v>0.97626400000000002</v>
      </c>
      <c r="M73">
        <v>0.974055</v>
      </c>
      <c r="N73">
        <v>0.97173900000000002</v>
      </c>
      <c r="O73">
        <v>0.96975900000000004</v>
      </c>
      <c r="P73">
        <v>0.96782999999999997</v>
      </c>
      <c r="Q73">
        <v>0.96604500000000004</v>
      </c>
      <c r="R73">
        <v>0.96439600000000003</v>
      </c>
      <c r="S73">
        <v>0.96279999999999999</v>
      </c>
      <c r="T73">
        <v>0.96119299999999996</v>
      </c>
      <c r="U73">
        <v>0.95961099999999999</v>
      </c>
      <c r="V73">
        <v>0.95801400000000003</v>
      </c>
      <c r="W73">
        <v>0.95634399999999997</v>
      </c>
      <c r="X73">
        <v>0.95464099999999996</v>
      </c>
      <c r="Y73">
        <v>0.95293700000000003</v>
      </c>
      <c r="Z73">
        <v>0.95125099999999996</v>
      </c>
      <c r="AA73">
        <v>0.94959099999999996</v>
      </c>
      <c r="AB73">
        <v>0.94793099999999997</v>
      </c>
      <c r="AC73">
        <v>0.946295</v>
      </c>
      <c r="AD73">
        <v>0.94468700000000005</v>
      </c>
      <c r="AE73">
        <v>0.94308499999999995</v>
      </c>
      <c r="AF73">
        <v>0.94148100000000001</v>
      </c>
      <c r="AG73" s="16">
        <v>-2E-3</v>
      </c>
    </row>
    <row r="74" spans="1:33" x14ac:dyDescent="0.25">
      <c r="A74" t="s">
        <v>234</v>
      </c>
    </row>
    <row r="75" spans="1:33" x14ac:dyDescent="0.25">
      <c r="A75" t="s">
        <v>235</v>
      </c>
    </row>
    <row r="76" spans="1:33" s="49" customFormat="1" x14ac:dyDescent="0.25">
      <c r="A76" s="49" t="s">
        <v>175</v>
      </c>
    </row>
    <row r="77" spans="1:33" x14ac:dyDescent="0.25">
      <c r="A77" t="s">
        <v>236</v>
      </c>
      <c r="B77" t="s">
        <v>607</v>
      </c>
      <c r="C77" t="s">
        <v>606</v>
      </c>
      <c r="D77" t="s">
        <v>237</v>
      </c>
      <c r="F77">
        <v>1.725E-3</v>
      </c>
      <c r="G77">
        <v>3.088E-3</v>
      </c>
      <c r="H77">
        <v>3.101E-3</v>
      </c>
      <c r="I77">
        <v>3.114E-3</v>
      </c>
      <c r="J77">
        <v>3.127E-3</v>
      </c>
      <c r="K77">
        <v>3.14E-3</v>
      </c>
      <c r="L77">
        <v>3.153E-3</v>
      </c>
      <c r="M77">
        <v>3.166E-3</v>
      </c>
      <c r="N77">
        <v>3.179E-3</v>
      </c>
      <c r="O77">
        <v>3.192E-3</v>
      </c>
      <c r="P77">
        <v>3.2049999999999999E-3</v>
      </c>
      <c r="Q77">
        <v>3.2179999999999999E-3</v>
      </c>
      <c r="R77">
        <v>3.2309999999999999E-3</v>
      </c>
      <c r="S77">
        <v>3.2439999999999999E-3</v>
      </c>
      <c r="T77">
        <v>3.2569999999999999E-3</v>
      </c>
      <c r="U77">
        <v>3.2699999999999999E-3</v>
      </c>
      <c r="V77">
        <v>3.2850000000000002E-3</v>
      </c>
      <c r="W77">
        <v>3.3010000000000001E-3</v>
      </c>
      <c r="X77">
        <v>3.3219999999999999E-3</v>
      </c>
      <c r="Y77">
        <v>3.3519999999999999E-3</v>
      </c>
      <c r="Z77">
        <v>3.3990000000000001E-3</v>
      </c>
      <c r="AA77">
        <v>3.4780000000000002E-3</v>
      </c>
      <c r="AB77">
        <v>3.6180000000000001E-3</v>
      </c>
      <c r="AC77">
        <v>3.7590000000000002E-3</v>
      </c>
      <c r="AD77">
        <v>3.8999999999999998E-3</v>
      </c>
      <c r="AE77">
        <v>4.0419999999999996E-3</v>
      </c>
      <c r="AF77">
        <v>4.1850000000000004E-3</v>
      </c>
      <c r="AG77" s="16">
        <v>3.5000000000000003E-2</v>
      </c>
    </row>
    <row r="78" spans="1:33" x14ac:dyDescent="0.25">
      <c r="A78" t="s">
        <v>238</v>
      </c>
      <c r="B78" t="s">
        <v>605</v>
      </c>
      <c r="C78" t="s">
        <v>604</v>
      </c>
      <c r="D78" t="s">
        <v>237</v>
      </c>
      <c r="F78">
        <v>41.307827000000003</v>
      </c>
      <c r="G78">
        <v>47.377986999999997</v>
      </c>
      <c r="H78">
        <v>53.527718</v>
      </c>
      <c r="I78">
        <v>59.344631</v>
      </c>
      <c r="J78">
        <v>65.296081999999998</v>
      </c>
      <c r="K78">
        <v>71.340698000000003</v>
      </c>
      <c r="L78">
        <v>77.804955000000007</v>
      </c>
      <c r="M78">
        <v>84.770461999999995</v>
      </c>
      <c r="N78">
        <v>91.686965999999998</v>
      </c>
      <c r="O78">
        <v>98.871689000000003</v>
      </c>
      <c r="P78">
        <v>105.994034</v>
      </c>
      <c r="Q78">
        <v>111.568611</v>
      </c>
      <c r="R78">
        <v>117.32034299999999</v>
      </c>
      <c r="S78">
        <v>123.133934</v>
      </c>
      <c r="T78">
        <v>129.23361199999999</v>
      </c>
      <c r="U78">
        <v>135.37600699999999</v>
      </c>
      <c r="V78">
        <v>141.64863600000001</v>
      </c>
      <c r="W78">
        <v>147.97232099999999</v>
      </c>
      <c r="X78">
        <v>154.48625200000001</v>
      </c>
      <c r="Y78">
        <v>161.08810399999999</v>
      </c>
      <c r="Z78">
        <v>167.799713</v>
      </c>
      <c r="AA78">
        <v>174.750168</v>
      </c>
      <c r="AB78">
        <v>181.85144</v>
      </c>
      <c r="AC78">
        <v>189.17082199999999</v>
      </c>
      <c r="AD78">
        <v>196.66996800000001</v>
      </c>
      <c r="AE78">
        <v>204.34806800000001</v>
      </c>
      <c r="AF78">
        <v>212.126541</v>
      </c>
      <c r="AG78" s="16">
        <v>6.5000000000000002E-2</v>
      </c>
    </row>
    <row r="79" spans="1:33" x14ac:dyDescent="0.25">
      <c r="A79" t="s">
        <v>239</v>
      </c>
      <c r="B79" t="s">
        <v>603</v>
      </c>
      <c r="C79" t="s">
        <v>602</v>
      </c>
      <c r="D79" t="s">
        <v>237</v>
      </c>
      <c r="F79">
        <v>0.30817899999999998</v>
      </c>
      <c r="G79">
        <v>0.560921</v>
      </c>
      <c r="H79">
        <v>0.80604399999999998</v>
      </c>
      <c r="I79">
        <v>0.90843200000000002</v>
      </c>
      <c r="J79">
        <v>1.022869</v>
      </c>
      <c r="K79">
        <v>1.146172</v>
      </c>
      <c r="L79">
        <v>1.390895</v>
      </c>
      <c r="M79">
        <v>1.6908190000000001</v>
      </c>
      <c r="N79">
        <v>1.994769</v>
      </c>
      <c r="O79">
        <v>2.108177</v>
      </c>
      <c r="P79">
        <v>2.1611229999999999</v>
      </c>
      <c r="Q79">
        <v>2.1623380000000001</v>
      </c>
      <c r="R79">
        <v>2.1638169999999999</v>
      </c>
      <c r="S79">
        <v>2.1655449999999998</v>
      </c>
      <c r="T79">
        <v>2.1675360000000001</v>
      </c>
      <c r="U79">
        <v>2.1697259999999998</v>
      </c>
      <c r="V79">
        <v>2.172139</v>
      </c>
      <c r="W79">
        <v>2.1747999999999998</v>
      </c>
      <c r="X79">
        <v>2.1776339999999998</v>
      </c>
      <c r="Y79">
        <v>2.18058</v>
      </c>
      <c r="Z79">
        <v>2.1836340000000001</v>
      </c>
      <c r="AA79">
        <v>2.1868249999999998</v>
      </c>
      <c r="AB79">
        <v>2.190188</v>
      </c>
      <c r="AC79">
        <v>2.193648</v>
      </c>
      <c r="AD79">
        <v>2.1972459999999998</v>
      </c>
      <c r="AE79">
        <v>2.2009859999999999</v>
      </c>
      <c r="AF79">
        <v>2.2048700000000001</v>
      </c>
      <c r="AG79" s="16">
        <v>7.9000000000000001E-2</v>
      </c>
    </row>
    <row r="80" spans="1:33" x14ac:dyDescent="0.25">
      <c r="A80" t="s">
        <v>191</v>
      </c>
      <c r="B80" t="s">
        <v>601</v>
      </c>
      <c r="C80" t="s">
        <v>600</v>
      </c>
      <c r="D80" t="s">
        <v>237</v>
      </c>
      <c r="F80">
        <v>41.617728999999997</v>
      </c>
      <c r="G80">
        <v>47.941997999999998</v>
      </c>
      <c r="H80">
        <v>54.336863999999998</v>
      </c>
      <c r="I80">
        <v>60.256176000000004</v>
      </c>
      <c r="J80">
        <v>66.322074999999998</v>
      </c>
      <c r="K80">
        <v>72.490013000000005</v>
      </c>
      <c r="L80">
        <v>79.198997000000006</v>
      </c>
      <c r="M80">
        <v>86.464447000000007</v>
      </c>
      <c r="N80">
        <v>93.684914000000006</v>
      </c>
      <c r="O80">
        <v>100.98305499999999</v>
      </c>
      <c r="P80">
        <v>108.15836299999999</v>
      </c>
      <c r="Q80">
        <v>113.73416899999999</v>
      </c>
      <c r="R80">
        <v>119.487396</v>
      </c>
      <c r="S80">
        <v>125.302719</v>
      </c>
      <c r="T80">
        <v>131.404404</v>
      </c>
      <c r="U80">
        <v>137.54899599999999</v>
      </c>
      <c r="V80">
        <v>143.824051</v>
      </c>
      <c r="W80">
        <v>150.15042099999999</v>
      </c>
      <c r="X80">
        <v>156.66720599999999</v>
      </c>
      <c r="Y80">
        <v>163.27203399999999</v>
      </c>
      <c r="Z80">
        <v>169.98675499999999</v>
      </c>
      <c r="AA80">
        <v>176.94047499999999</v>
      </c>
      <c r="AB80">
        <v>184.045242</v>
      </c>
      <c r="AC80">
        <v>191.368225</v>
      </c>
      <c r="AD80">
        <v>198.87112400000001</v>
      </c>
      <c r="AE80">
        <v>206.553101</v>
      </c>
      <c r="AF80">
        <v>214.335587</v>
      </c>
      <c r="AG80" s="16">
        <v>6.5000000000000002E-2</v>
      </c>
    </row>
    <row r="81" spans="1:33" s="49" customFormat="1" x14ac:dyDescent="0.25">
      <c r="A81" s="49" t="s">
        <v>174</v>
      </c>
    </row>
    <row r="82" spans="1:33" x14ac:dyDescent="0.25">
      <c r="A82" t="s">
        <v>236</v>
      </c>
      <c r="B82" t="s">
        <v>599</v>
      </c>
      <c r="C82" t="s">
        <v>598</v>
      </c>
      <c r="D82" t="s">
        <v>240</v>
      </c>
      <c r="F82">
        <v>6.8329999999999997E-3</v>
      </c>
      <c r="G82">
        <v>1.223E-2</v>
      </c>
      <c r="H82">
        <v>1.2281E-2</v>
      </c>
      <c r="I82">
        <v>1.2333E-2</v>
      </c>
      <c r="J82">
        <v>1.2383999999999999E-2</v>
      </c>
      <c r="K82">
        <v>1.2435999999999999E-2</v>
      </c>
      <c r="L82">
        <v>1.2487E-2</v>
      </c>
      <c r="M82">
        <v>1.2539E-2</v>
      </c>
      <c r="N82">
        <v>1.259E-2</v>
      </c>
      <c r="O82">
        <v>1.2642E-2</v>
      </c>
      <c r="P82">
        <v>1.2692999999999999E-2</v>
      </c>
      <c r="Q82">
        <v>1.2744E-2</v>
      </c>
      <c r="R82">
        <v>1.2796E-2</v>
      </c>
      <c r="S82">
        <v>1.2847000000000001E-2</v>
      </c>
      <c r="T82">
        <v>1.2899000000000001E-2</v>
      </c>
      <c r="U82">
        <v>1.2951000000000001E-2</v>
      </c>
      <c r="V82">
        <v>1.3006999999999999E-2</v>
      </c>
      <c r="W82">
        <v>1.3070999999999999E-2</v>
      </c>
      <c r="X82">
        <v>1.3154000000000001E-2</v>
      </c>
      <c r="Y82">
        <v>1.3272000000000001E-2</v>
      </c>
      <c r="Z82">
        <v>1.3459E-2</v>
      </c>
      <c r="AA82">
        <v>1.3774E-2</v>
      </c>
      <c r="AB82">
        <v>1.4328E-2</v>
      </c>
      <c r="AC82">
        <v>1.4885000000000001E-2</v>
      </c>
      <c r="AD82">
        <v>1.5443999999999999E-2</v>
      </c>
      <c r="AE82">
        <v>1.6007E-2</v>
      </c>
      <c r="AF82">
        <v>1.6572E-2</v>
      </c>
      <c r="AG82" s="16">
        <v>3.5000000000000003E-2</v>
      </c>
    </row>
    <row r="83" spans="1:33" x14ac:dyDescent="0.25">
      <c r="A83" t="s">
        <v>238</v>
      </c>
      <c r="B83" t="s">
        <v>597</v>
      </c>
      <c r="C83" t="s">
        <v>596</v>
      </c>
      <c r="D83" t="s">
        <v>240</v>
      </c>
      <c r="F83">
        <v>62.697704000000002</v>
      </c>
      <c r="G83">
        <v>71.294235</v>
      </c>
      <c r="H83">
        <v>79.992973000000006</v>
      </c>
      <c r="I83">
        <v>88.178039999999996</v>
      </c>
      <c r="J83">
        <v>96.523482999999999</v>
      </c>
      <c r="K83">
        <v>104.968887</v>
      </c>
      <c r="L83">
        <v>113.990364</v>
      </c>
      <c r="M83">
        <v>123.68132</v>
      </c>
      <c r="N83">
        <v>133.259018</v>
      </c>
      <c r="O83">
        <v>143.18649300000001</v>
      </c>
      <c r="P83">
        <v>153.01391599999999</v>
      </c>
      <c r="Q83">
        <v>160.67247</v>
      </c>
      <c r="R83">
        <v>168.56346099999999</v>
      </c>
      <c r="S83">
        <v>176.51448099999999</v>
      </c>
      <c r="T83">
        <v>184.853317</v>
      </c>
      <c r="U83">
        <v>193.228027</v>
      </c>
      <c r="V83">
        <v>201.758499</v>
      </c>
      <c r="W83">
        <v>210.33152799999999</v>
      </c>
      <c r="X83">
        <v>219.14546200000001</v>
      </c>
      <c r="Y83">
        <v>228.058289</v>
      </c>
      <c r="Z83">
        <v>237.096405</v>
      </c>
      <c r="AA83">
        <v>246.43699599999999</v>
      </c>
      <c r="AB83">
        <v>255.963303</v>
      </c>
      <c r="AC83">
        <v>265.76538099999999</v>
      </c>
      <c r="AD83">
        <v>275.789062</v>
      </c>
      <c r="AE83">
        <v>286.03298999999998</v>
      </c>
      <c r="AF83">
        <v>296.38397200000003</v>
      </c>
      <c r="AG83" s="16">
        <v>6.2E-2</v>
      </c>
    </row>
    <row r="84" spans="1:33" s="1" customFormat="1" x14ac:dyDescent="0.25">
      <c r="A84" s="1" t="s">
        <v>239</v>
      </c>
      <c r="B84" s="1" t="s">
        <v>595</v>
      </c>
      <c r="C84" s="1" t="s">
        <v>594</v>
      </c>
      <c r="D84" s="1" t="s">
        <v>240</v>
      </c>
      <c r="F84" s="1">
        <v>0.36942000000000003</v>
      </c>
      <c r="G84" s="1">
        <v>0.62720100000000001</v>
      </c>
      <c r="H84" s="1">
        <v>0.87962300000000004</v>
      </c>
      <c r="I84" s="1">
        <v>0.99686600000000003</v>
      </c>
      <c r="J84" s="1">
        <v>1.1279790000000001</v>
      </c>
      <c r="K84" s="1">
        <v>1.269903</v>
      </c>
      <c r="L84" s="1">
        <v>1.541979</v>
      </c>
      <c r="M84" s="1">
        <v>1.9001189999999999</v>
      </c>
      <c r="N84" s="1">
        <v>2.2639939999999998</v>
      </c>
      <c r="O84" s="1">
        <v>2.3875139999999999</v>
      </c>
      <c r="P84" s="1">
        <v>2.4449730000000001</v>
      </c>
      <c r="Q84" s="1">
        <v>2.4463569999999999</v>
      </c>
      <c r="R84" s="1">
        <v>2.448035</v>
      </c>
      <c r="S84" s="1">
        <v>2.4499900000000001</v>
      </c>
      <c r="T84" s="1">
        <v>2.4522360000000001</v>
      </c>
      <c r="U84" s="1">
        <v>2.4546999999999999</v>
      </c>
      <c r="V84" s="1">
        <v>2.4574090000000002</v>
      </c>
      <c r="W84" s="1">
        <v>2.4603890000000002</v>
      </c>
      <c r="X84" s="1">
        <v>2.4635590000000001</v>
      </c>
      <c r="Y84" s="1">
        <v>2.4668480000000002</v>
      </c>
      <c r="Z84" s="1">
        <v>2.4702540000000002</v>
      </c>
      <c r="AA84" s="1">
        <v>2.4738060000000002</v>
      </c>
      <c r="AB84" s="1">
        <v>2.4775369999999999</v>
      </c>
      <c r="AC84" s="1">
        <v>2.4813749999999999</v>
      </c>
      <c r="AD84" s="1">
        <v>2.4853670000000001</v>
      </c>
      <c r="AE84" s="1">
        <v>2.4895170000000002</v>
      </c>
      <c r="AF84" s="1">
        <v>2.493827</v>
      </c>
      <c r="AG84" s="48">
        <v>7.5999999999999998E-2</v>
      </c>
    </row>
    <row r="85" spans="1:33" x14ac:dyDescent="0.25">
      <c r="A85" t="s">
        <v>191</v>
      </c>
      <c r="B85" t="s">
        <v>593</v>
      </c>
      <c r="C85" t="s">
        <v>592</v>
      </c>
      <c r="D85" t="s">
        <v>240</v>
      </c>
      <c r="F85">
        <v>63.073956000000003</v>
      </c>
      <c r="G85">
        <v>71.933661999999998</v>
      </c>
      <c r="H85">
        <v>80.884879999999995</v>
      </c>
      <c r="I85">
        <v>89.187233000000006</v>
      </c>
      <c r="J85">
        <v>97.663848999999999</v>
      </c>
      <c r="K85">
        <v>106.251228</v>
      </c>
      <c r="L85">
        <v>115.54483</v>
      </c>
      <c r="M85">
        <v>125.593971</v>
      </c>
      <c r="N85">
        <v>135.53559899999999</v>
      </c>
      <c r="O85">
        <v>145.58663899999999</v>
      </c>
      <c r="P85">
        <v>155.471588</v>
      </c>
      <c r="Q85">
        <v>163.131561</v>
      </c>
      <c r="R85">
        <v>171.024292</v>
      </c>
      <c r="S85">
        <v>178.97732500000001</v>
      </c>
      <c r="T85">
        <v>187.31845100000001</v>
      </c>
      <c r="U85">
        <v>195.69567900000001</v>
      </c>
      <c r="V85">
        <v>204.22891200000001</v>
      </c>
      <c r="W85">
        <v>212.804993</v>
      </c>
      <c r="X85">
        <v>221.62217699999999</v>
      </c>
      <c r="Y85">
        <v>230.53840600000001</v>
      </c>
      <c r="Z85">
        <v>239.58012400000001</v>
      </c>
      <c r="AA85">
        <v>248.924576</v>
      </c>
      <c r="AB85">
        <v>258.45517000000001</v>
      </c>
      <c r="AC85">
        <v>268.26165800000001</v>
      </c>
      <c r="AD85">
        <v>278.28988600000002</v>
      </c>
      <c r="AE85">
        <v>288.53851300000002</v>
      </c>
      <c r="AF85">
        <v>298.89437900000001</v>
      </c>
      <c r="AG85" s="16">
        <v>6.2E-2</v>
      </c>
    </row>
    <row r="86" spans="1:33" x14ac:dyDescent="0.25">
      <c r="A86" t="s">
        <v>241</v>
      </c>
    </row>
    <row r="87" spans="1:33" x14ac:dyDescent="0.25">
      <c r="A87" t="s">
        <v>242</v>
      </c>
      <c r="B87" t="s">
        <v>591</v>
      </c>
      <c r="C87" t="s">
        <v>590</v>
      </c>
      <c r="D87" t="s">
        <v>240</v>
      </c>
      <c r="F87">
        <v>11.527926000000001</v>
      </c>
      <c r="G87">
        <v>13.327674999999999</v>
      </c>
      <c r="H87">
        <v>15.115705</v>
      </c>
      <c r="I87">
        <v>16.711511999999999</v>
      </c>
      <c r="J87">
        <v>18.336743999999999</v>
      </c>
      <c r="K87">
        <v>19.964907</v>
      </c>
      <c r="L87">
        <v>21.847279</v>
      </c>
      <c r="M87">
        <v>23.999292000000001</v>
      </c>
      <c r="N87">
        <v>26.075050000000001</v>
      </c>
      <c r="O87">
        <v>28.288122000000001</v>
      </c>
      <c r="P87">
        <v>30.488133999999999</v>
      </c>
      <c r="Q87">
        <v>32.147984000000001</v>
      </c>
      <c r="R87">
        <v>33.877605000000003</v>
      </c>
      <c r="S87">
        <v>35.583419999999997</v>
      </c>
      <c r="T87">
        <v>37.429049999999997</v>
      </c>
      <c r="U87">
        <v>39.226177</v>
      </c>
      <c r="V87">
        <v>41.045380000000002</v>
      </c>
      <c r="W87">
        <v>42.813847000000003</v>
      </c>
      <c r="X87">
        <v>44.644409000000003</v>
      </c>
      <c r="Y87">
        <v>46.466735999999997</v>
      </c>
      <c r="Z87">
        <v>48.275852</v>
      </c>
      <c r="AA87">
        <v>50.168255000000002</v>
      </c>
      <c r="AB87">
        <v>52.062747999999999</v>
      </c>
      <c r="AC87">
        <v>54.058846000000003</v>
      </c>
      <c r="AD87">
        <v>56.059513000000003</v>
      </c>
      <c r="AE87">
        <v>58.126334999999997</v>
      </c>
      <c r="AF87">
        <v>60.175502999999999</v>
      </c>
      <c r="AG87" s="16">
        <v>6.6000000000000003E-2</v>
      </c>
    </row>
    <row r="88" spans="1:33" x14ac:dyDescent="0.25">
      <c r="A88" t="s">
        <v>243</v>
      </c>
      <c r="B88" t="s">
        <v>589</v>
      </c>
      <c r="C88" t="s">
        <v>588</v>
      </c>
      <c r="D88" t="s">
        <v>240</v>
      </c>
      <c r="F88">
        <v>51.546031999999997</v>
      </c>
      <c r="G88">
        <v>58.605991000000003</v>
      </c>
      <c r="H88">
        <v>65.769172999999995</v>
      </c>
      <c r="I88">
        <v>72.475723000000002</v>
      </c>
      <c r="J88">
        <v>79.327110000000005</v>
      </c>
      <c r="K88">
        <v>86.286323999999993</v>
      </c>
      <c r="L88">
        <v>93.697556000000006</v>
      </c>
      <c r="M88">
        <v>101.594688</v>
      </c>
      <c r="N88">
        <v>109.460548</v>
      </c>
      <c r="O88">
        <v>117.298531</v>
      </c>
      <c r="P88">
        <v>124.983452</v>
      </c>
      <c r="Q88">
        <v>130.98358200000001</v>
      </c>
      <c r="R88">
        <v>137.146683</v>
      </c>
      <c r="S88">
        <v>143.39390599999999</v>
      </c>
      <c r="T88">
        <v>149.88938899999999</v>
      </c>
      <c r="U88">
        <v>156.46949799999999</v>
      </c>
      <c r="V88">
        <v>163.18351699999999</v>
      </c>
      <c r="W88">
        <v>169.99115</v>
      </c>
      <c r="X88">
        <v>176.977768</v>
      </c>
      <c r="Y88">
        <v>184.07167100000001</v>
      </c>
      <c r="Z88">
        <v>191.30427599999999</v>
      </c>
      <c r="AA88">
        <v>198.75633199999999</v>
      </c>
      <c r="AB88">
        <v>206.39241000000001</v>
      </c>
      <c r="AC88">
        <v>214.20282</v>
      </c>
      <c r="AD88">
        <v>222.230377</v>
      </c>
      <c r="AE88">
        <v>230.41217</v>
      </c>
      <c r="AF88">
        <v>238.718842</v>
      </c>
      <c r="AG88" s="16">
        <v>6.0999999999999999E-2</v>
      </c>
    </row>
    <row r="89" spans="1:33" x14ac:dyDescent="0.25">
      <c r="A89" t="s">
        <v>244</v>
      </c>
    </row>
    <row r="90" spans="1:33" x14ac:dyDescent="0.25">
      <c r="A90" t="s">
        <v>236</v>
      </c>
      <c r="B90" t="s">
        <v>587</v>
      </c>
      <c r="C90" t="s">
        <v>586</v>
      </c>
      <c r="D90" t="s">
        <v>245</v>
      </c>
      <c r="F90">
        <v>5.2158999999999997E-2</v>
      </c>
      <c r="G90">
        <v>9.3352000000000004E-2</v>
      </c>
      <c r="H90">
        <v>9.3744999999999995E-2</v>
      </c>
      <c r="I90">
        <v>9.4137999999999999E-2</v>
      </c>
      <c r="J90">
        <v>9.4531000000000004E-2</v>
      </c>
      <c r="K90">
        <v>9.4923999999999994E-2</v>
      </c>
      <c r="L90">
        <v>9.5316999999999999E-2</v>
      </c>
      <c r="M90">
        <v>9.5710000000000003E-2</v>
      </c>
      <c r="N90">
        <v>9.6102999999999994E-2</v>
      </c>
      <c r="O90">
        <v>9.6495999999999998E-2</v>
      </c>
      <c r="P90">
        <v>9.6889000000000003E-2</v>
      </c>
      <c r="Q90">
        <v>9.7281999999999993E-2</v>
      </c>
      <c r="R90">
        <v>9.7674999999999998E-2</v>
      </c>
      <c r="S90">
        <v>9.8068000000000002E-2</v>
      </c>
      <c r="T90">
        <v>9.8461000000000007E-2</v>
      </c>
      <c r="U90">
        <v>9.8860000000000003E-2</v>
      </c>
      <c r="V90">
        <v>9.9283999999999997E-2</v>
      </c>
      <c r="W90">
        <v>9.9774000000000002E-2</v>
      </c>
      <c r="X90">
        <v>0.100407</v>
      </c>
      <c r="Y90">
        <v>0.101309</v>
      </c>
      <c r="Z90">
        <v>0.10273500000000001</v>
      </c>
      <c r="AA90">
        <v>0.105142</v>
      </c>
      <c r="AB90">
        <v>0.109371</v>
      </c>
      <c r="AC90">
        <v>0.113619</v>
      </c>
      <c r="AD90">
        <v>0.117891</v>
      </c>
      <c r="AE90">
        <v>0.122184</v>
      </c>
      <c r="AF90">
        <v>0.126495</v>
      </c>
      <c r="AG90" s="16">
        <v>3.5000000000000003E-2</v>
      </c>
    </row>
    <row r="91" spans="1:33" x14ac:dyDescent="0.25">
      <c r="A91" t="s">
        <v>238</v>
      </c>
      <c r="B91" t="s">
        <v>585</v>
      </c>
      <c r="C91" t="s">
        <v>584</v>
      </c>
      <c r="D91" t="s">
        <v>245</v>
      </c>
      <c r="F91">
        <v>213.92456100000001</v>
      </c>
      <c r="G91">
        <v>243.25592</v>
      </c>
      <c r="H91">
        <v>272.93600500000002</v>
      </c>
      <c r="I91">
        <v>300.86346400000002</v>
      </c>
      <c r="J91">
        <v>329.33810399999999</v>
      </c>
      <c r="K91">
        <v>358.15386999999998</v>
      </c>
      <c r="L91">
        <v>388.93511999999998</v>
      </c>
      <c r="M91">
        <v>422.00060999999999</v>
      </c>
      <c r="N91">
        <v>454.67974900000002</v>
      </c>
      <c r="O91">
        <v>488.55230699999998</v>
      </c>
      <c r="P91">
        <v>522.08343500000001</v>
      </c>
      <c r="Q91">
        <v>548.21447799999999</v>
      </c>
      <c r="R91">
        <v>575.13855000000001</v>
      </c>
      <c r="S91">
        <v>602.26739499999996</v>
      </c>
      <c r="T91">
        <v>630.71948199999997</v>
      </c>
      <c r="U91">
        <v>659.29394500000001</v>
      </c>
      <c r="V91">
        <v>688.399902</v>
      </c>
      <c r="W91">
        <v>717.65118399999994</v>
      </c>
      <c r="X91">
        <v>747.72436500000003</v>
      </c>
      <c r="Y91">
        <v>778.13476600000001</v>
      </c>
      <c r="Z91">
        <v>808.97296100000005</v>
      </c>
      <c r="AA91">
        <v>840.84301800000003</v>
      </c>
      <c r="AB91">
        <v>873.34674099999995</v>
      </c>
      <c r="AC91">
        <v>906.79150400000003</v>
      </c>
      <c r="AD91">
        <v>940.99224900000002</v>
      </c>
      <c r="AE91">
        <v>975.94445800000005</v>
      </c>
      <c r="AF91">
        <v>1011.261963</v>
      </c>
      <c r="AG91" s="16">
        <v>6.2E-2</v>
      </c>
    </row>
    <row r="92" spans="1:33" x14ac:dyDescent="0.25">
      <c r="A92" t="s">
        <v>239</v>
      </c>
      <c r="B92" t="s">
        <v>583</v>
      </c>
      <c r="C92" t="s">
        <v>582</v>
      </c>
      <c r="D92" t="s">
        <v>245</v>
      </c>
      <c r="F92">
        <v>1.2604599999999999</v>
      </c>
      <c r="G92">
        <v>2.1400079999999999</v>
      </c>
      <c r="H92">
        <v>3.0012729999999999</v>
      </c>
      <c r="I92">
        <v>3.4013070000000001</v>
      </c>
      <c r="J92">
        <v>3.848665</v>
      </c>
      <c r="K92">
        <v>4.3329079999999998</v>
      </c>
      <c r="L92">
        <v>5.2612310000000004</v>
      </c>
      <c r="M92">
        <v>6.483206</v>
      </c>
      <c r="N92">
        <v>7.7247459999999997</v>
      </c>
      <c r="O92">
        <v>8.1461970000000008</v>
      </c>
      <c r="P92">
        <v>8.3422479999999997</v>
      </c>
      <c r="Q92">
        <v>8.3469700000000007</v>
      </c>
      <c r="R92">
        <v>8.3526950000000006</v>
      </c>
      <c r="S92">
        <v>8.3593650000000004</v>
      </c>
      <c r="T92">
        <v>8.3670290000000005</v>
      </c>
      <c r="U92">
        <v>8.3754380000000008</v>
      </c>
      <c r="V92">
        <v>8.3846799999999995</v>
      </c>
      <c r="W92">
        <v>8.3948470000000004</v>
      </c>
      <c r="X92">
        <v>8.4056619999999995</v>
      </c>
      <c r="Y92">
        <v>8.4168839999999996</v>
      </c>
      <c r="Z92">
        <v>8.4285049999999995</v>
      </c>
      <c r="AA92">
        <v>8.4406239999999997</v>
      </c>
      <c r="AB92">
        <v>8.4533539999999991</v>
      </c>
      <c r="AC92">
        <v>8.46645</v>
      </c>
      <c r="AD92">
        <v>8.4800719999999998</v>
      </c>
      <c r="AE92">
        <v>8.4942320000000002</v>
      </c>
      <c r="AF92">
        <v>8.5089380000000006</v>
      </c>
      <c r="AG92" s="16">
        <v>7.5999999999999998E-2</v>
      </c>
    </row>
    <row r="93" spans="1:33" x14ac:dyDescent="0.25">
      <c r="A93" t="s">
        <v>191</v>
      </c>
      <c r="B93" t="s">
        <v>581</v>
      </c>
      <c r="C93" t="s">
        <v>580</v>
      </c>
      <c r="D93" t="s">
        <v>245</v>
      </c>
      <c r="F93">
        <v>215.237167</v>
      </c>
      <c r="G93">
        <v>245.48928799999999</v>
      </c>
      <c r="H93">
        <v>276.03103599999997</v>
      </c>
      <c r="I93">
        <v>304.35891700000002</v>
      </c>
      <c r="J93">
        <v>333.28131100000002</v>
      </c>
      <c r="K93">
        <v>362.58169600000002</v>
      </c>
      <c r="L93">
        <v>394.29165599999999</v>
      </c>
      <c r="M93">
        <v>428.57952899999998</v>
      </c>
      <c r="N93">
        <v>462.50058000000001</v>
      </c>
      <c r="O93">
        <v>496.79501299999998</v>
      </c>
      <c r="P93">
        <v>530.52252199999998</v>
      </c>
      <c r="Q93">
        <v>556.65875200000005</v>
      </c>
      <c r="R93">
        <v>583.58892800000001</v>
      </c>
      <c r="S93">
        <v>610.72485400000005</v>
      </c>
      <c r="T93">
        <v>639.18493699999999</v>
      </c>
      <c r="U93">
        <v>667.76824999999997</v>
      </c>
      <c r="V93">
        <v>696.88391100000001</v>
      </c>
      <c r="W93">
        <v>726.14581299999998</v>
      </c>
      <c r="X93">
        <v>756.23040800000001</v>
      </c>
      <c r="Y93">
        <v>786.65295400000002</v>
      </c>
      <c r="Z93">
        <v>817.50421100000005</v>
      </c>
      <c r="AA93">
        <v>849.38879399999996</v>
      </c>
      <c r="AB93">
        <v>881.90948500000002</v>
      </c>
      <c r="AC93">
        <v>915.37158199999999</v>
      </c>
      <c r="AD93">
        <v>949.59020999999996</v>
      </c>
      <c r="AE93">
        <v>984.56091300000003</v>
      </c>
      <c r="AF93">
        <v>1019.897339</v>
      </c>
      <c r="AG93" s="16">
        <v>6.2E-2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32F1-1795-4BD1-B6BF-8C27C4F5084F}">
  <dimension ref="A1:AI81"/>
  <sheetViews>
    <sheetView topLeftCell="A49" workbookViewId="0">
      <selection activeCell="H42" sqref="H42"/>
    </sheetView>
  </sheetViews>
  <sheetFormatPr defaultRowHeight="15" x14ac:dyDescent="0.25"/>
  <cols>
    <col min="1" max="1" width="25.7109375" customWidth="1"/>
    <col min="7" max="7" width="9.140625" style="1"/>
  </cols>
  <sheetData>
    <row r="1" spans="1:35" x14ac:dyDescent="0.25">
      <c r="A1" t="s">
        <v>246</v>
      </c>
    </row>
    <row r="2" spans="1:35" x14ac:dyDescent="0.25">
      <c r="A2" t="s">
        <v>481</v>
      </c>
    </row>
    <row r="3" spans="1:35" x14ac:dyDescent="0.25">
      <c r="A3" t="s">
        <v>482</v>
      </c>
    </row>
    <row r="4" spans="1:35" x14ac:dyDescent="0.25">
      <c r="A4" t="s">
        <v>177</v>
      </c>
    </row>
    <row r="5" spans="1:35" x14ac:dyDescent="0.25">
      <c r="B5" t="s">
        <v>178</v>
      </c>
      <c r="C5" t="s">
        <v>179</v>
      </c>
      <c r="D5" t="s">
        <v>180</v>
      </c>
      <c r="E5">
        <v>2021</v>
      </c>
      <c r="F5">
        <v>2022</v>
      </c>
      <c r="G5" s="1">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346</v>
      </c>
    </row>
    <row r="6" spans="1:35" x14ac:dyDescent="0.25">
      <c r="A6" t="s">
        <v>5</v>
      </c>
    </row>
    <row r="7" spans="1:35" x14ac:dyDescent="0.25">
      <c r="A7" t="s">
        <v>247</v>
      </c>
    </row>
    <row r="8" spans="1:35" x14ac:dyDescent="0.25">
      <c r="A8" t="s">
        <v>248</v>
      </c>
      <c r="B8" t="s">
        <v>483</v>
      </c>
      <c r="C8" t="s">
        <v>484</v>
      </c>
      <c r="D8" t="s">
        <v>249</v>
      </c>
      <c r="F8">
        <v>0.645733</v>
      </c>
      <c r="G8" s="1">
        <v>0.62814400000000004</v>
      </c>
      <c r="H8">
        <v>0.62173999999999996</v>
      </c>
      <c r="I8">
        <v>0.62755099999999997</v>
      </c>
      <c r="J8">
        <v>0.631386</v>
      </c>
      <c r="K8">
        <v>0.63334100000000004</v>
      </c>
      <c r="L8">
        <v>0.63432900000000003</v>
      </c>
      <c r="M8">
        <v>0.63422800000000001</v>
      </c>
      <c r="N8">
        <v>0.63337600000000005</v>
      </c>
      <c r="O8">
        <v>0.63220399999999999</v>
      </c>
      <c r="P8">
        <v>0.63171200000000005</v>
      </c>
      <c r="Q8">
        <v>0.62978900000000004</v>
      </c>
      <c r="R8">
        <v>0.62738000000000005</v>
      </c>
      <c r="S8">
        <v>0.62486900000000001</v>
      </c>
      <c r="T8">
        <v>0.62241500000000005</v>
      </c>
      <c r="U8">
        <v>0.61970700000000001</v>
      </c>
      <c r="V8">
        <v>0.61643800000000004</v>
      </c>
      <c r="W8">
        <v>0.61326800000000004</v>
      </c>
      <c r="X8">
        <v>0.60988900000000001</v>
      </c>
      <c r="Y8">
        <v>0.60662000000000005</v>
      </c>
      <c r="Z8">
        <v>0.60349699999999995</v>
      </c>
      <c r="AA8">
        <v>0.60076499999999999</v>
      </c>
      <c r="AB8">
        <v>0.598298</v>
      </c>
      <c r="AC8">
        <v>0.59561600000000003</v>
      </c>
      <c r="AD8">
        <v>0.59232300000000004</v>
      </c>
      <c r="AE8">
        <v>0.58963699999999997</v>
      </c>
      <c r="AF8">
        <v>0.58739300000000005</v>
      </c>
      <c r="AG8">
        <v>0.58534200000000003</v>
      </c>
      <c r="AH8">
        <v>0.58316900000000005</v>
      </c>
      <c r="AI8" s="16">
        <v>-4.0000000000000001E-3</v>
      </c>
    </row>
    <row r="9" spans="1:35" x14ac:dyDescent="0.25">
      <c r="A9" t="s">
        <v>250</v>
      </c>
      <c r="B9" t="s">
        <v>485</v>
      </c>
      <c r="C9" t="s">
        <v>484</v>
      </c>
      <c r="D9" t="s">
        <v>249</v>
      </c>
      <c r="F9">
        <v>1.0231920000000001</v>
      </c>
      <c r="G9" s="1">
        <v>1.0038149999999999</v>
      </c>
      <c r="H9">
        <v>1.000211</v>
      </c>
      <c r="I9">
        <v>1.013541</v>
      </c>
      <c r="J9">
        <v>1.0245010000000001</v>
      </c>
      <c r="K9">
        <v>1.0329729999999999</v>
      </c>
      <c r="L9">
        <v>1.0403530000000001</v>
      </c>
      <c r="M9">
        <v>1.0459320000000001</v>
      </c>
      <c r="N9">
        <v>1.049982</v>
      </c>
      <c r="O9">
        <v>1.0530619999999999</v>
      </c>
      <c r="P9">
        <v>1.0573710000000001</v>
      </c>
      <c r="Q9">
        <v>1.0593030000000001</v>
      </c>
      <c r="R9">
        <v>1.0603720000000001</v>
      </c>
      <c r="S9">
        <v>1.0612349999999999</v>
      </c>
      <c r="T9">
        <v>1.06226</v>
      </c>
      <c r="U9">
        <v>1.062465</v>
      </c>
      <c r="V9">
        <v>1.0618570000000001</v>
      </c>
      <c r="W9">
        <v>1.061067</v>
      </c>
      <c r="X9">
        <v>1.0607390000000001</v>
      </c>
      <c r="Y9">
        <v>1.0605830000000001</v>
      </c>
      <c r="Z9">
        <v>1.0607500000000001</v>
      </c>
      <c r="AA9">
        <v>1.061631</v>
      </c>
      <c r="AB9">
        <v>1.062934</v>
      </c>
      <c r="AC9">
        <v>1.0641149999999999</v>
      </c>
      <c r="AD9">
        <v>1.065007</v>
      </c>
      <c r="AE9">
        <v>1.066551</v>
      </c>
      <c r="AF9">
        <v>1.0686199999999999</v>
      </c>
      <c r="AG9">
        <v>1.070613</v>
      </c>
      <c r="AH9">
        <v>1.0724549999999999</v>
      </c>
      <c r="AI9" s="16">
        <v>2E-3</v>
      </c>
    </row>
    <row r="10" spans="1:35" x14ac:dyDescent="0.25">
      <c r="A10" t="s">
        <v>251</v>
      </c>
      <c r="B10" t="s">
        <v>486</v>
      </c>
      <c r="C10" t="s">
        <v>484</v>
      </c>
      <c r="D10" t="s">
        <v>249</v>
      </c>
      <c r="F10">
        <v>0.376753</v>
      </c>
      <c r="G10" s="1">
        <v>0.37426500000000001</v>
      </c>
      <c r="H10">
        <v>0.37534200000000001</v>
      </c>
      <c r="I10">
        <v>0.37853599999999998</v>
      </c>
      <c r="J10">
        <v>0.38111899999999999</v>
      </c>
      <c r="K10">
        <v>0.38286399999999998</v>
      </c>
      <c r="L10">
        <v>0.38444099999999998</v>
      </c>
      <c r="M10">
        <v>0.38580300000000001</v>
      </c>
      <c r="N10">
        <v>0.386818</v>
      </c>
      <c r="O10">
        <v>0.38821099999999997</v>
      </c>
      <c r="P10">
        <v>0.38956299999999999</v>
      </c>
      <c r="Q10">
        <v>0.39030999999999999</v>
      </c>
      <c r="R10">
        <v>0.390741</v>
      </c>
      <c r="S10">
        <v>0.39105499999999999</v>
      </c>
      <c r="T10">
        <v>0.39120199999999999</v>
      </c>
      <c r="U10">
        <v>0.391069</v>
      </c>
      <c r="V10">
        <v>0.39058999999999999</v>
      </c>
      <c r="W10">
        <v>0.38994200000000001</v>
      </c>
      <c r="X10">
        <v>0.389324</v>
      </c>
      <c r="Y10">
        <v>0.38908599999999999</v>
      </c>
      <c r="Z10">
        <v>0.38891300000000001</v>
      </c>
      <c r="AA10">
        <v>0.38880100000000001</v>
      </c>
      <c r="AB10">
        <v>0.38876899999999998</v>
      </c>
      <c r="AC10">
        <v>0.38869799999999999</v>
      </c>
      <c r="AD10">
        <v>0.38839400000000002</v>
      </c>
      <c r="AE10">
        <v>0.38834099999999999</v>
      </c>
      <c r="AF10">
        <v>0.38847500000000001</v>
      </c>
      <c r="AG10">
        <v>0.38872600000000002</v>
      </c>
      <c r="AH10">
        <v>0.38897500000000002</v>
      </c>
      <c r="AI10" s="16">
        <v>1E-3</v>
      </c>
    </row>
    <row r="11" spans="1:35" x14ac:dyDescent="0.25">
      <c r="A11" t="s">
        <v>252</v>
      </c>
      <c r="B11" t="s">
        <v>487</v>
      </c>
      <c r="C11" t="s">
        <v>484</v>
      </c>
      <c r="D11" t="s">
        <v>249</v>
      </c>
      <c r="F11">
        <v>0.55955699999999997</v>
      </c>
      <c r="G11" s="1">
        <v>0.55140699999999998</v>
      </c>
      <c r="H11">
        <v>0.55741300000000005</v>
      </c>
      <c r="I11">
        <v>0.56562699999999999</v>
      </c>
      <c r="J11">
        <v>0.57210799999999995</v>
      </c>
      <c r="K11">
        <v>0.57667400000000002</v>
      </c>
      <c r="L11">
        <v>0.58048900000000003</v>
      </c>
      <c r="M11">
        <v>0.58359700000000003</v>
      </c>
      <c r="N11">
        <v>0.58585299999999996</v>
      </c>
      <c r="O11">
        <v>0.58840099999999995</v>
      </c>
      <c r="P11">
        <v>0.59074400000000005</v>
      </c>
      <c r="Q11">
        <v>0.59203700000000004</v>
      </c>
      <c r="R11">
        <v>0.59277400000000002</v>
      </c>
      <c r="S11">
        <v>0.59339799999999998</v>
      </c>
      <c r="T11">
        <v>0.59401899999999996</v>
      </c>
      <c r="U11">
        <v>0.594302</v>
      </c>
      <c r="V11">
        <v>0.593912</v>
      </c>
      <c r="W11">
        <v>0.59358100000000003</v>
      </c>
      <c r="X11">
        <v>0.59289000000000003</v>
      </c>
      <c r="Y11">
        <v>0.59255400000000003</v>
      </c>
      <c r="Z11">
        <v>0.592391</v>
      </c>
      <c r="AA11">
        <v>0.59260100000000004</v>
      </c>
      <c r="AB11">
        <v>0.59309699999999999</v>
      </c>
      <c r="AC11">
        <v>0.59340599999999999</v>
      </c>
      <c r="AD11">
        <v>0.59283600000000003</v>
      </c>
      <c r="AE11">
        <v>0.592862</v>
      </c>
      <c r="AF11">
        <v>0.593445</v>
      </c>
      <c r="AG11">
        <v>0.59427399999999997</v>
      </c>
      <c r="AH11">
        <v>0.59501099999999996</v>
      </c>
      <c r="AI11" s="16">
        <v>2E-3</v>
      </c>
    </row>
    <row r="12" spans="1:35" x14ac:dyDescent="0.25">
      <c r="A12" t="s">
        <v>253</v>
      </c>
      <c r="B12" t="s">
        <v>488</v>
      </c>
      <c r="C12" t="s">
        <v>484</v>
      </c>
      <c r="D12" t="s">
        <v>249</v>
      </c>
      <c r="F12">
        <v>0.53744599999999998</v>
      </c>
      <c r="G12" s="1">
        <v>0.52533700000000005</v>
      </c>
      <c r="H12">
        <v>0.52850900000000001</v>
      </c>
      <c r="I12">
        <v>0.53863499999999997</v>
      </c>
      <c r="J12">
        <v>0.54731300000000005</v>
      </c>
      <c r="K12">
        <v>0.55427300000000002</v>
      </c>
      <c r="L12">
        <v>0.56043900000000002</v>
      </c>
      <c r="M12">
        <v>0.56540999999999997</v>
      </c>
      <c r="N12">
        <v>0.56936299999999995</v>
      </c>
      <c r="O12">
        <v>0.573106</v>
      </c>
      <c r="P12">
        <v>0.57696400000000003</v>
      </c>
      <c r="Q12">
        <v>0.57978300000000005</v>
      </c>
      <c r="R12">
        <v>0.58215700000000004</v>
      </c>
      <c r="S12">
        <v>0.58446500000000001</v>
      </c>
      <c r="T12">
        <v>0.58692500000000003</v>
      </c>
      <c r="U12">
        <v>0.58907100000000001</v>
      </c>
      <c r="V12">
        <v>0.59061399999999997</v>
      </c>
      <c r="W12">
        <v>0.59224900000000003</v>
      </c>
      <c r="X12">
        <v>0.59392699999999998</v>
      </c>
      <c r="Y12">
        <v>0.59567400000000004</v>
      </c>
      <c r="Z12">
        <v>0.597665</v>
      </c>
      <c r="AA12">
        <v>0.60015499999999999</v>
      </c>
      <c r="AB12">
        <v>0.60308099999999998</v>
      </c>
      <c r="AC12">
        <v>0.60584499999999997</v>
      </c>
      <c r="AD12">
        <v>0.60811199999999999</v>
      </c>
      <c r="AE12">
        <v>0.61098399999999997</v>
      </c>
      <c r="AF12">
        <v>0.61440300000000003</v>
      </c>
      <c r="AG12">
        <v>0.61794300000000002</v>
      </c>
      <c r="AH12">
        <v>0.62136400000000003</v>
      </c>
      <c r="AI12" s="16">
        <v>5.0000000000000001E-3</v>
      </c>
    </row>
    <row r="13" spans="1:35" x14ac:dyDescent="0.25">
      <c r="A13" t="s">
        <v>254</v>
      </c>
      <c r="B13" t="s">
        <v>489</v>
      </c>
      <c r="C13" t="s">
        <v>484</v>
      </c>
      <c r="D13" t="s">
        <v>249</v>
      </c>
      <c r="F13">
        <v>0.59619900000000003</v>
      </c>
      <c r="G13" s="1">
        <v>0.58934500000000001</v>
      </c>
      <c r="H13">
        <v>0.59514699999999998</v>
      </c>
      <c r="I13">
        <v>0.60480699999999998</v>
      </c>
      <c r="J13">
        <v>0.61331100000000005</v>
      </c>
      <c r="K13">
        <v>0.62043400000000004</v>
      </c>
      <c r="L13">
        <v>0.62707100000000005</v>
      </c>
      <c r="M13">
        <v>0.633023</v>
      </c>
      <c r="N13">
        <v>0.63844000000000001</v>
      </c>
      <c r="O13">
        <v>0.643374</v>
      </c>
      <c r="P13">
        <v>0.64918100000000001</v>
      </c>
      <c r="Q13">
        <v>0.65363000000000004</v>
      </c>
      <c r="R13">
        <v>0.657586</v>
      </c>
      <c r="S13">
        <v>0.661524</v>
      </c>
      <c r="T13">
        <v>0.66544999999999999</v>
      </c>
      <c r="U13">
        <v>0.66901900000000003</v>
      </c>
      <c r="V13">
        <v>0.67191000000000001</v>
      </c>
      <c r="W13">
        <v>0.674736</v>
      </c>
      <c r="X13">
        <v>0.67733299999999996</v>
      </c>
      <c r="Y13">
        <v>0.67994200000000005</v>
      </c>
      <c r="Z13">
        <v>0.68261000000000005</v>
      </c>
      <c r="AA13">
        <v>0.68563399999999997</v>
      </c>
      <c r="AB13">
        <v>0.68898700000000002</v>
      </c>
      <c r="AC13">
        <v>0.69199600000000006</v>
      </c>
      <c r="AD13">
        <v>0.69410300000000003</v>
      </c>
      <c r="AE13">
        <v>0.69679599999999997</v>
      </c>
      <c r="AF13">
        <v>0.69999100000000003</v>
      </c>
      <c r="AG13">
        <v>0.70324600000000004</v>
      </c>
      <c r="AH13">
        <v>0.70608700000000002</v>
      </c>
      <c r="AI13" s="16">
        <v>6.0000000000000001E-3</v>
      </c>
    </row>
    <row r="14" spans="1:35" x14ac:dyDescent="0.25">
      <c r="A14" t="s">
        <v>255</v>
      </c>
      <c r="B14" t="s">
        <v>490</v>
      </c>
      <c r="C14" t="s">
        <v>484</v>
      </c>
      <c r="D14" t="s">
        <v>249</v>
      </c>
      <c r="F14">
        <v>0.90617099999999995</v>
      </c>
      <c r="G14" s="1">
        <v>0.89040200000000003</v>
      </c>
      <c r="H14">
        <v>0.88982899999999998</v>
      </c>
      <c r="I14">
        <v>0.89931099999999997</v>
      </c>
      <c r="J14">
        <v>0.90748499999999999</v>
      </c>
      <c r="K14">
        <v>0.913852</v>
      </c>
      <c r="L14">
        <v>0.919879</v>
      </c>
      <c r="M14">
        <v>0.92467299999999997</v>
      </c>
      <c r="N14">
        <v>0.92852100000000004</v>
      </c>
      <c r="O14">
        <v>0.93209900000000001</v>
      </c>
      <c r="P14">
        <v>0.93619399999999997</v>
      </c>
      <c r="Q14">
        <v>0.93894500000000003</v>
      </c>
      <c r="R14">
        <v>0.94142800000000004</v>
      </c>
      <c r="S14">
        <v>0.94411199999999995</v>
      </c>
      <c r="T14">
        <v>0.94733299999999998</v>
      </c>
      <c r="U14">
        <v>0.95020400000000005</v>
      </c>
      <c r="V14">
        <v>0.95267500000000005</v>
      </c>
      <c r="W14">
        <v>0.95522200000000002</v>
      </c>
      <c r="X14">
        <v>0.95876300000000003</v>
      </c>
      <c r="Y14">
        <v>0.96284599999999998</v>
      </c>
      <c r="Z14">
        <v>0.96771799999999997</v>
      </c>
      <c r="AA14">
        <v>0.97365000000000002</v>
      </c>
      <c r="AB14">
        <v>0.98055999999999999</v>
      </c>
      <c r="AC14">
        <v>0.98793299999999995</v>
      </c>
      <c r="AD14">
        <v>0.99587099999999995</v>
      </c>
      <c r="AE14">
        <v>1.0053019999999999</v>
      </c>
      <c r="AF14">
        <v>1.0160629999999999</v>
      </c>
      <c r="AG14">
        <v>1.0275970000000001</v>
      </c>
      <c r="AH14">
        <v>1.0397650000000001</v>
      </c>
      <c r="AI14" s="16">
        <v>5.0000000000000001E-3</v>
      </c>
    </row>
    <row r="15" spans="1:35" x14ac:dyDescent="0.25">
      <c r="A15" t="s">
        <v>256</v>
      </c>
      <c r="B15" t="s">
        <v>491</v>
      </c>
      <c r="C15" t="s">
        <v>484</v>
      </c>
      <c r="D15" t="s">
        <v>249</v>
      </c>
      <c r="F15">
        <v>0.62007699999999999</v>
      </c>
      <c r="G15" s="1">
        <v>0.60958199999999996</v>
      </c>
      <c r="H15">
        <v>0.60710900000000001</v>
      </c>
      <c r="I15">
        <v>0.61328400000000005</v>
      </c>
      <c r="J15">
        <v>0.61809899999999995</v>
      </c>
      <c r="K15">
        <v>0.62135600000000002</v>
      </c>
      <c r="L15">
        <v>0.62424500000000005</v>
      </c>
      <c r="M15">
        <v>0.62645600000000001</v>
      </c>
      <c r="N15">
        <v>0.62797000000000003</v>
      </c>
      <c r="O15">
        <v>0.62875499999999995</v>
      </c>
      <c r="P15">
        <v>0.63064799999999999</v>
      </c>
      <c r="Q15">
        <v>0.63105</v>
      </c>
      <c r="R15">
        <v>0.63102100000000005</v>
      </c>
      <c r="S15">
        <v>0.63095199999999996</v>
      </c>
      <c r="T15">
        <v>0.63098200000000004</v>
      </c>
      <c r="U15">
        <v>0.63059699999999996</v>
      </c>
      <c r="V15">
        <v>0.62973599999999996</v>
      </c>
      <c r="W15">
        <v>0.62883500000000003</v>
      </c>
      <c r="X15">
        <v>0.62801300000000004</v>
      </c>
      <c r="Y15">
        <v>0.62738799999999995</v>
      </c>
      <c r="Z15">
        <v>0.62697999999999998</v>
      </c>
      <c r="AA15">
        <v>0.62690000000000001</v>
      </c>
      <c r="AB15">
        <v>0.62692300000000001</v>
      </c>
      <c r="AC15">
        <v>0.62693399999999999</v>
      </c>
      <c r="AD15">
        <v>0.62678800000000001</v>
      </c>
      <c r="AE15">
        <v>0.62696600000000002</v>
      </c>
      <c r="AF15">
        <v>0.62746599999999997</v>
      </c>
      <c r="AG15">
        <v>0.62805</v>
      </c>
      <c r="AH15">
        <v>0.62860899999999997</v>
      </c>
      <c r="AI15" s="16">
        <v>0</v>
      </c>
    </row>
    <row r="16" spans="1:35" x14ac:dyDescent="0.25">
      <c r="A16" t="s">
        <v>257</v>
      </c>
      <c r="B16" t="s">
        <v>492</v>
      </c>
      <c r="C16" t="s">
        <v>484</v>
      </c>
      <c r="D16" t="s">
        <v>249</v>
      </c>
      <c r="F16">
        <v>1.411627</v>
      </c>
      <c r="G16" s="1">
        <v>1.386703</v>
      </c>
      <c r="H16">
        <v>1.3774420000000001</v>
      </c>
      <c r="I16">
        <v>1.392811</v>
      </c>
      <c r="J16">
        <v>1.4047019999999999</v>
      </c>
      <c r="K16">
        <v>1.4128970000000001</v>
      </c>
      <c r="L16">
        <v>1.419597</v>
      </c>
      <c r="M16">
        <v>1.4240170000000001</v>
      </c>
      <c r="N16">
        <v>1.425929</v>
      </c>
      <c r="O16">
        <v>1.427025</v>
      </c>
      <c r="P16">
        <v>1.4299759999999999</v>
      </c>
      <c r="Q16">
        <v>1.4296219999999999</v>
      </c>
      <c r="R16">
        <v>1.4281470000000001</v>
      </c>
      <c r="S16">
        <v>1.4264209999999999</v>
      </c>
      <c r="T16">
        <v>1.4246190000000001</v>
      </c>
      <c r="U16">
        <v>1.4216740000000001</v>
      </c>
      <c r="V16">
        <v>1.417378</v>
      </c>
      <c r="W16">
        <v>1.4128559999999999</v>
      </c>
      <c r="X16">
        <v>1.408803</v>
      </c>
      <c r="Y16">
        <v>1.405292</v>
      </c>
      <c r="Z16">
        <v>1.402139</v>
      </c>
      <c r="AA16">
        <v>1.3997820000000001</v>
      </c>
      <c r="AB16">
        <v>1.3980189999999999</v>
      </c>
      <c r="AC16">
        <v>1.3957740000000001</v>
      </c>
      <c r="AD16">
        <v>1.3922000000000001</v>
      </c>
      <c r="AE16">
        <v>1.389886</v>
      </c>
      <c r="AF16">
        <v>1.3885860000000001</v>
      </c>
      <c r="AG16">
        <v>1.387521</v>
      </c>
      <c r="AH16">
        <v>1.3861410000000001</v>
      </c>
      <c r="AI16" s="16">
        <v>-1E-3</v>
      </c>
    </row>
    <row r="17" spans="1:35" x14ac:dyDescent="0.25">
      <c r="A17" t="s">
        <v>258</v>
      </c>
      <c r="B17" t="s">
        <v>493</v>
      </c>
      <c r="C17" t="s">
        <v>484</v>
      </c>
      <c r="D17" t="s">
        <v>249</v>
      </c>
      <c r="F17">
        <v>0.45086399999999999</v>
      </c>
      <c r="G17" s="1">
        <v>0.45114500000000002</v>
      </c>
      <c r="H17">
        <v>0.45415499999999998</v>
      </c>
      <c r="I17">
        <v>0.46308899999999997</v>
      </c>
      <c r="J17">
        <v>0.471026</v>
      </c>
      <c r="K17">
        <v>0.47812900000000003</v>
      </c>
      <c r="L17">
        <v>0.48510199999999998</v>
      </c>
      <c r="M17">
        <v>0.49182199999999998</v>
      </c>
      <c r="N17">
        <v>0.49791200000000002</v>
      </c>
      <c r="O17">
        <v>0.50344999999999995</v>
      </c>
      <c r="P17">
        <v>0.51003699999999996</v>
      </c>
      <c r="Q17">
        <v>0.51535500000000001</v>
      </c>
      <c r="R17">
        <v>0.52031300000000003</v>
      </c>
      <c r="S17">
        <v>0.525204</v>
      </c>
      <c r="T17">
        <v>0.53007000000000004</v>
      </c>
      <c r="U17">
        <v>0.53457200000000005</v>
      </c>
      <c r="V17">
        <v>0.53851599999999999</v>
      </c>
      <c r="W17">
        <v>0.54243699999999995</v>
      </c>
      <c r="X17">
        <v>0.546601</v>
      </c>
      <c r="Y17">
        <v>0.55094699999999996</v>
      </c>
      <c r="Z17">
        <v>0.55539799999999995</v>
      </c>
      <c r="AA17">
        <v>0.56006</v>
      </c>
      <c r="AB17">
        <v>0.564801</v>
      </c>
      <c r="AC17">
        <v>0.56948699999999997</v>
      </c>
      <c r="AD17">
        <v>0.57391400000000004</v>
      </c>
      <c r="AE17">
        <v>0.57871099999999998</v>
      </c>
      <c r="AF17">
        <v>0.58371200000000001</v>
      </c>
      <c r="AG17">
        <v>0.58879000000000004</v>
      </c>
      <c r="AH17">
        <v>0.59386099999999997</v>
      </c>
      <c r="AI17" s="16">
        <v>0.01</v>
      </c>
    </row>
    <row r="18" spans="1:35" x14ac:dyDescent="0.25">
      <c r="A18" t="s">
        <v>259</v>
      </c>
      <c r="B18" t="s">
        <v>494</v>
      </c>
      <c r="C18" t="s">
        <v>484</v>
      </c>
      <c r="D18" t="s">
        <v>249</v>
      </c>
      <c r="F18">
        <v>0.40379300000000001</v>
      </c>
      <c r="G18" s="1">
        <v>0.40009600000000001</v>
      </c>
      <c r="H18">
        <v>0.395901</v>
      </c>
      <c r="I18">
        <v>0.40204699999999999</v>
      </c>
      <c r="J18">
        <v>0.40749299999999999</v>
      </c>
      <c r="K18">
        <v>0.41223900000000002</v>
      </c>
      <c r="L18">
        <v>0.41678999999999999</v>
      </c>
      <c r="M18">
        <v>0.420545</v>
      </c>
      <c r="N18">
        <v>0.423651</v>
      </c>
      <c r="O18">
        <v>0.42630800000000002</v>
      </c>
      <c r="P18">
        <v>0.42925799999999997</v>
      </c>
      <c r="Q18">
        <v>0.43141800000000002</v>
      </c>
      <c r="R18">
        <v>0.43324600000000002</v>
      </c>
      <c r="S18">
        <v>0.43494699999999997</v>
      </c>
      <c r="T18">
        <v>0.43662600000000001</v>
      </c>
      <c r="U18">
        <v>0.438</v>
      </c>
      <c r="V18">
        <v>0.43904300000000002</v>
      </c>
      <c r="W18">
        <v>0.43992900000000001</v>
      </c>
      <c r="X18">
        <v>0.441081</v>
      </c>
      <c r="Y18">
        <v>0.44220500000000001</v>
      </c>
      <c r="Z18">
        <v>0.443411</v>
      </c>
      <c r="AA18">
        <v>0.444822</v>
      </c>
      <c r="AB18">
        <v>0.44643899999999997</v>
      </c>
      <c r="AC18">
        <v>0.44800400000000001</v>
      </c>
      <c r="AD18">
        <v>0.44941599999999998</v>
      </c>
      <c r="AE18">
        <v>0.451156</v>
      </c>
      <c r="AF18">
        <v>0.45316099999999998</v>
      </c>
      <c r="AG18">
        <v>0.45519900000000002</v>
      </c>
      <c r="AH18">
        <v>0.45720300000000003</v>
      </c>
      <c r="AI18" s="16">
        <v>4.0000000000000001E-3</v>
      </c>
    </row>
    <row r="19" spans="1:35" x14ac:dyDescent="0.25">
      <c r="A19" t="s">
        <v>191</v>
      </c>
      <c r="B19" t="s">
        <v>495</v>
      </c>
      <c r="C19" t="s">
        <v>484</v>
      </c>
      <c r="D19" t="s">
        <v>249</v>
      </c>
      <c r="F19">
        <v>7.5314129999999997</v>
      </c>
      <c r="G19" s="1">
        <v>7.4102430000000004</v>
      </c>
      <c r="H19">
        <v>7.4028</v>
      </c>
      <c r="I19">
        <v>7.4992380000000001</v>
      </c>
      <c r="J19">
        <v>7.5785439999999999</v>
      </c>
      <c r="K19">
        <v>7.6390320000000003</v>
      </c>
      <c r="L19">
        <v>7.692736</v>
      </c>
      <c r="M19">
        <v>7.735506</v>
      </c>
      <c r="N19">
        <v>7.7678140000000004</v>
      </c>
      <c r="O19">
        <v>7.7959949999999996</v>
      </c>
      <c r="P19">
        <v>7.8316480000000004</v>
      </c>
      <c r="Q19">
        <v>7.8512409999999999</v>
      </c>
      <c r="R19">
        <v>7.8651629999999999</v>
      </c>
      <c r="S19">
        <v>7.8781809999999997</v>
      </c>
      <c r="T19">
        <v>7.8918990000000004</v>
      </c>
      <c r="U19">
        <v>7.9006809999999996</v>
      </c>
      <c r="V19">
        <v>7.9026690000000004</v>
      </c>
      <c r="W19">
        <v>7.904121</v>
      </c>
      <c r="X19">
        <v>7.907362</v>
      </c>
      <c r="Y19">
        <v>7.9131359999999997</v>
      </c>
      <c r="Z19">
        <v>7.9214700000000002</v>
      </c>
      <c r="AA19">
        <v>7.9348010000000002</v>
      </c>
      <c r="AB19">
        <v>7.9519070000000003</v>
      </c>
      <c r="AC19">
        <v>7.9678100000000001</v>
      </c>
      <c r="AD19">
        <v>7.9789649999999996</v>
      </c>
      <c r="AE19">
        <v>7.9971930000000002</v>
      </c>
      <c r="AF19">
        <v>8.0213149999999995</v>
      </c>
      <c r="AG19">
        <v>8.0473009999999991</v>
      </c>
      <c r="AH19">
        <v>8.0726399999999998</v>
      </c>
      <c r="AI19" s="16">
        <v>2E-3</v>
      </c>
    </row>
    <row r="20" spans="1:35" x14ac:dyDescent="0.25">
      <c r="A20" t="s">
        <v>6</v>
      </c>
    </row>
    <row r="21" spans="1:35" x14ac:dyDescent="0.25">
      <c r="A21" t="s">
        <v>260</v>
      </c>
    </row>
    <row r="22" spans="1:35" x14ac:dyDescent="0.25">
      <c r="A22" t="s">
        <v>248</v>
      </c>
      <c r="B22" t="s">
        <v>496</v>
      </c>
      <c r="C22" t="s">
        <v>497</v>
      </c>
      <c r="D22" t="s">
        <v>261</v>
      </c>
      <c r="F22">
        <v>10.400917</v>
      </c>
      <c r="G22" s="1">
        <v>10.436387</v>
      </c>
      <c r="H22">
        <v>10.496305</v>
      </c>
      <c r="I22">
        <v>10.57352</v>
      </c>
      <c r="J22">
        <v>10.640577</v>
      </c>
      <c r="K22">
        <v>10.701997</v>
      </c>
      <c r="L22">
        <v>10.772717</v>
      </c>
      <c r="M22">
        <v>10.853343000000001</v>
      </c>
      <c r="N22">
        <v>10.941223000000001</v>
      </c>
      <c r="O22">
        <v>11.033052</v>
      </c>
      <c r="P22">
        <v>11.121057</v>
      </c>
      <c r="Q22">
        <v>11.200279999999999</v>
      </c>
      <c r="R22">
        <v>11.270811999999999</v>
      </c>
      <c r="S22">
        <v>11.332419</v>
      </c>
      <c r="T22">
        <v>11.385809999999999</v>
      </c>
      <c r="U22">
        <v>11.432501999999999</v>
      </c>
      <c r="V22">
        <v>11.472918999999999</v>
      </c>
      <c r="W22">
        <v>11.507771</v>
      </c>
      <c r="X22">
        <v>11.538271999999999</v>
      </c>
      <c r="Y22">
        <v>11.565514</v>
      </c>
      <c r="Z22">
        <v>11.590730000000001</v>
      </c>
      <c r="AA22">
        <v>11.615142000000001</v>
      </c>
      <c r="AB22">
        <v>11.639624</v>
      </c>
      <c r="AC22">
        <v>11.664806</v>
      </c>
      <c r="AD22">
        <v>11.691126000000001</v>
      </c>
      <c r="AE22">
        <v>11.718759</v>
      </c>
      <c r="AF22">
        <v>11.747728</v>
      </c>
      <c r="AG22">
        <v>11.777931000000001</v>
      </c>
      <c r="AH22">
        <v>11.809134999999999</v>
      </c>
      <c r="AI22" s="16">
        <v>5.0000000000000001E-3</v>
      </c>
    </row>
    <row r="23" spans="1:35" x14ac:dyDescent="0.25">
      <c r="A23" t="s">
        <v>250</v>
      </c>
      <c r="B23" t="s">
        <v>498</v>
      </c>
      <c r="C23" t="s">
        <v>499</v>
      </c>
      <c r="D23" t="s">
        <v>261</v>
      </c>
      <c r="F23">
        <v>13.515454</v>
      </c>
      <c r="G23" s="1">
        <v>13.643662000000001</v>
      </c>
      <c r="H23">
        <v>13.780690999999999</v>
      </c>
      <c r="I23">
        <v>13.941533</v>
      </c>
      <c r="J23">
        <v>14.090282</v>
      </c>
      <c r="K23">
        <v>14.232786000000001</v>
      </c>
      <c r="L23">
        <v>14.388821999999999</v>
      </c>
      <c r="M23">
        <v>14.559372</v>
      </c>
      <c r="N23">
        <v>14.741059999999999</v>
      </c>
      <c r="O23">
        <v>14.929582</v>
      </c>
      <c r="P23">
        <v>15.114496000000001</v>
      </c>
      <c r="Q23">
        <v>15.289021</v>
      </c>
      <c r="R23">
        <v>15.453143000000001</v>
      </c>
      <c r="S23">
        <v>15.606401999999999</v>
      </c>
      <c r="T23">
        <v>15.749625</v>
      </c>
      <c r="U23">
        <v>15.884776</v>
      </c>
      <c r="V23">
        <v>16.012333000000002</v>
      </c>
      <c r="W23">
        <v>16.133185999999998</v>
      </c>
      <c r="X23">
        <v>16.248940000000001</v>
      </c>
      <c r="Y23">
        <v>16.361060999999999</v>
      </c>
      <c r="Z23">
        <v>16.471249</v>
      </c>
      <c r="AA23">
        <v>16.581206999999999</v>
      </c>
      <c r="AB23">
        <v>16.692177000000001</v>
      </c>
      <c r="AC23">
        <v>16.80508</v>
      </c>
      <c r="AD23">
        <v>16.920566999999998</v>
      </c>
      <c r="AE23">
        <v>17.038923</v>
      </c>
      <c r="AF23">
        <v>17.160229000000001</v>
      </c>
      <c r="AG23">
        <v>17.284369999999999</v>
      </c>
      <c r="AH23">
        <v>17.411037</v>
      </c>
      <c r="AI23" s="16">
        <v>8.9999999999999993E-3</v>
      </c>
    </row>
    <row r="24" spans="1:35" x14ac:dyDescent="0.25">
      <c r="A24" t="s">
        <v>251</v>
      </c>
      <c r="B24" t="s">
        <v>500</v>
      </c>
      <c r="C24" t="s">
        <v>501</v>
      </c>
      <c r="D24" t="s">
        <v>261</v>
      </c>
      <c r="F24">
        <v>1.2914620000000001</v>
      </c>
      <c r="G24" s="1">
        <v>1.296816</v>
      </c>
      <c r="H24">
        <v>1.305836</v>
      </c>
      <c r="I24">
        <v>1.3170390000000001</v>
      </c>
      <c r="J24">
        <v>1.32701</v>
      </c>
      <c r="K24">
        <v>1.3363119999999999</v>
      </c>
      <c r="L24">
        <v>1.3468059999999999</v>
      </c>
      <c r="M24">
        <v>1.358573</v>
      </c>
      <c r="N24">
        <v>1.371286</v>
      </c>
      <c r="O24">
        <v>1.3845350000000001</v>
      </c>
      <c r="P24">
        <v>1.397346</v>
      </c>
      <c r="Q24">
        <v>1.409095</v>
      </c>
      <c r="R24">
        <v>1.419791</v>
      </c>
      <c r="S24">
        <v>1.4293979999999999</v>
      </c>
      <c r="T24">
        <v>1.4380040000000001</v>
      </c>
      <c r="U24">
        <v>1.4457960000000001</v>
      </c>
      <c r="V24">
        <v>1.452825</v>
      </c>
      <c r="W24">
        <v>1.4591780000000001</v>
      </c>
      <c r="X24">
        <v>1.465006</v>
      </c>
      <c r="Y24">
        <v>1.470445</v>
      </c>
      <c r="Z24">
        <v>1.4756530000000001</v>
      </c>
      <c r="AA24">
        <v>1.480783</v>
      </c>
      <c r="AB24">
        <v>1.485946</v>
      </c>
      <c r="AC24">
        <v>1.491223</v>
      </c>
      <c r="AD24">
        <v>1.496672</v>
      </c>
      <c r="AE24">
        <v>1.5023139999999999</v>
      </c>
      <c r="AF24">
        <v>1.5081549999999999</v>
      </c>
      <c r="AG24">
        <v>1.5141830000000001</v>
      </c>
      <c r="AH24">
        <v>1.520367</v>
      </c>
      <c r="AI24" s="16">
        <v>6.0000000000000001E-3</v>
      </c>
    </row>
    <row r="25" spans="1:35" x14ac:dyDescent="0.25">
      <c r="A25" t="s">
        <v>252</v>
      </c>
      <c r="B25" t="s">
        <v>502</v>
      </c>
      <c r="C25" t="s">
        <v>503</v>
      </c>
      <c r="D25" t="s">
        <v>261</v>
      </c>
      <c r="F25">
        <v>1.8883460000000001</v>
      </c>
      <c r="G25" s="1">
        <v>1.8964529999999999</v>
      </c>
      <c r="H25">
        <v>1.9096249999999999</v>
      </c>
      <c r="I25">
        <v>1.9259869999999999</v>
      </c>
      <c r="J25">
        <v>1.9405490000000001</v>
      </c>
      <c r="K25">
        <v>1.9541310000000001</v>
      </c>
      <c r="L25">
        <v>1.9694560000000001</v>
      </c>
      <c r="M25">
        <v>1.9866429999999999</v>
      </c>
      <c r="N25">
        <v>2.0052120000000002</v>
      </c>
      <c r="O25">
        <v>2.0245639999999998</v>
      </c>
      <c r="P25">
        <v>2.0432760000000001</v>
      </c>
      <c r="Q25">
        <v>2.0604339999999999</v>
      </c>
      <c r="R25">
        <v>2.07605</v>
      </c>
      <c r="S25">
        <v>2.0900759999999998</v>
      </c>
      <c r="T25">
        <v>2.1026370000000001</v>
      </c>
      <c r="U25">
        <v>2.114007</v>
      </c>
      <c r="V25">
        <v>2.1242610000000002</v>
      </c>
      <c r="W25">
        <v>2.1335259999999998</v>
      </c>
      <c r="X25">
        <v>2.142023</v>
      </c>
      <c r="Y25">
        <v>2.149953</v>
      </c>
      <c r="Z25">
        <v>2.1575419999999998</v>
      </c>
      <c r="AA25">
        <v>2.1650179999999999</v>
      </c>
      <c r="AB25">
        <v>2.172542</v>
      </c>
      <c r="AC25">
        <v>2.1802329999999999</v>
      </c>
      <c r="AD25">
        <v>2.1881729999999999</v>
      </c>
      <c r="AE25">
        <v>2.1963979999999999</v>
      </c>
      <c r="AF25">
        <v>2.2049110000000001</v>
      </c>
      <c r="AG25">
        <v>2.2136969999999998</v>
      </c>
      <c r="AH25">
        <v>2.2227130000000002</v>
      </c>
      <c r="AI25" s="16">
        <v>6.0000000000000001E-3</v>
      </c>
    </row>
    <row r="26" spans="1:35" x14ac:dyDescent="0.25">
      <c r="A26" t="s">
        <v>253</v>
      </c>
      <c r="B26" t="s">
        <v>504</v>
      </c>
      <c r="C26" t="s">
        <v>505</v>
      </c>
      <c r="D26" t="s">
        <v>261</v>
      </c>
      <c r="F26">
        <v>2.7018550000000001</v>
      </c>
      <c r="G26" s="1">
        <v>2.7332130000000001</v>
      </c>
      <c r="H26">
        <v>2.7693189999999999</v>
      </c>
      <c r="I26">
        <v>2.8103699999999998</v>
      </c>
      <c r="J26">
        <v>2.8491740000000001</v>
      </c>
      <c r="K26">
        <v>2.886892</v>
      </c>
      <c r="L26">
        <v>2.9275220000000002</v>
      </c>
      <c r="M26">
        <v>2.9712890000000001</v>
      </c>
      <c r="N26">
        <v>3.017531</v>
      </c>
      <c r="O26">
        <v>3.0653860000000002</v>
      </c>
      <c r="P26">
        <v>3.1127229999999999</v>
      </c>
      <c r="Q26">
        <v>3.1581399999999999</v>
      </c>
      <c r="R26">
        <v>3.2016119999999999</v>
      </c>
      <c r="S26">
        <v>3.2430249999999998</v>
      </c>
      <c r="T26">
        <v>3.2825319999999998</v>
      </c>
      <c r="U26">
        <v>3.3205209999999998</v>
      </c>
      <c r="V26">
        <v>3.357078</v>
      </c>
      <c r="W26">
        <v>3.3923760000000001</v>
      </c>
      <c r="X26">
        <v>3.4267379999999998</v>
      </c>
      <c r="Y26">
        <v>3.460464</v>
      </c>
      <c r="Z26">
        <v>3.4939070000000001</v>
      </c>
      <c r="AA26">
        <v>3.527425</v>
      </c>
      <c r="AB26">
        <v>3.5612810000000001</v>
      </c>
      <c r="AC26">
        <v>3.5956730000000001</v>
      </c>
      <c r="AD26">
        <v>3.630744</v>
      </c>
      <c r="AE26">
        <v>3.66656</v>
      </c>
      <c r="AF26">
        <v>3.7031399999999999</v>
      </c>
      <c r="AG26">
        <v>3.740469</v>
      </c>
      <c r="AH26">
        <v>3.778483</v>
      </c>
      <c r="AI26" s="16">
        <v>1.2E-2</v>
      </c>
    </row>
    <row r="27" spans="1:35" x14ac:dyDescent="0.25">
      <c r="A27" t="s">
        <v>254</v>
      </c>
      <c r="B27" t="s">
        <v>506</v>
      </c>
      <c r="C27" t="s">
        <v>507</v>
      </c>
      <c r="D27" t="s">
        <v>261</v>
      </c>
      <c r="F27">
        <v>6.6874169999999999</v>
      </c>
      <c r="G27" s="1">
        <v>6.7613000000000003</v>
      </c>
      <c r="H27">
        <v>6.8514350000000004</v>
      </c>
      <c r="I27">
        <v>6.9538039999999999</v>
      </c>
      <c r="J27">
        <v>7.0506169999999999</v>
      </c>
      <c r="K27">
        <v>7.1447450000000003</v>
      </c>
      <c r="L27">
        <v>7.2460839999999997</v>
      </c>
      <c r="M27">
        <v>7.3551900000000003</v>
      </c>
      <c r="N27">
        <v>7.4704259999999998</v>
      </c>
      <c r="O27">
        <v>7.5896619999999997</v>
      </c>
      <c r="P27">
        <v>7.7076209999999996</v>
      </c>
      <c r="Q27">
        <v>7.8208279999999997</v>
      </c>
      <c r="R27">
        <v>7.9292259999999999</v>
      </c>
      <c r="S27">
        <v>8.0325249999999997</v>
      </c>
      <c r="T27">
        <v>8.1311040000000006</v>
      </c>
      <c r="U27">
        <v>8.2259239999999991</v>
      </c>
      <c r="V27">
        <v>8.3171920000000004</v>
      </c>
      <c r="W27">
        <v>8.4053380000000004</v>
      </c>
      <c r="X27">
        <v>8.4911659999999998</v>
      </c>
      <c r="Y27">
        <v>8.5754149999999996</v>
      </c>
      <c r="Z27">
        <v>8.6589569999999991</v>
      </c>
      <c r="AA27">
        <v>8.7426809999999993</v>
      </c>
      <c r="AB27">
        <v>8.8272379999999995</v>
      </c>
      <c r="AC27">
        <v>8.9131199999999993</v>
      </c>
      <c r="AD27">
        <v>9.0006789999999999</v>
      </c>
      <c r="AE27">
        <v>9.0900820000000007</v>
      </c>
      <c r="AF27">
        <v>9.1813789999999997</v>
      </c>
      <c r="AG27">
        <v>9.2745259999999998</v>
      </c>
      <c r="AH27">
        <v>9.3693679999999997</v>
      </c>
      <c r="AI27" s="16">
        <v>1.2E-2</v>
      </c>
    </row>
    <row r="28" spans="1:35" x14ac:dyDescent="0.25">
      <c r="A28" t="s">
        <v>255</v>
      </c>
      <c r="B28" t="s">
        <v>508</v>
      </c>
      <c r="C28" t="s">
        <v>509</v>
      </c>
      <c r="D28" t="s">
        <v>261</v>
      </c>
      <c r="F28">
        <v>9.6037389999999991</v>
      </c>
      <c r="G28" s="1">
        <v>9.6598450000000007</v>
      </c>
      <c r="H28">
        <v>9.7272700000000007</v>
      </c>
      <c r="I28">
        <v>9.8109219999999997</v>
      </c>
      <c r="J28">
        <v>9.885389</v>
      </c>
      <c r="K28">
        <v>9.9548439999999996</v>
      </c>
      <c r="L28">
        <v>10.033158</v>
      </c>
      <c r="M28">
        <v>10.120936</v>
      </c>
      <c r="N28">
        <v>10.215735</v>
      </c>
      <c r="O28">
        <v>10.314505</v>
      </c>
      <c r="P28">
        <v>10.409986</v>
      </c>
      <c r="Q28">
        <v>10.497533000000001</v>
      </c>
      <c r="R28">
        <v>10.577204</v>
      </c>
      <c r="S28">
        <v>10.648745</v>
      </c>
      <c r="T28">
        <v>10.712796000000001</v>
      </c>
      <c r="U28">
        <v>10.770758000000001</v>
      </c>
      <c r="V28">
        <v>10.823005999999999</v>
      </c>
      <c r="W28">
        <v>10.870186</v>
      </c>
      <c r="X28">
        <v>10.913432999999999</v>
      </c>
      <c r="Y28">
        <v>10.953754999999999</v>
      </c>
      <c r="Z28">
        <v>10.992319999999999</v>
      </c>
      <c r="AA28">
        <v>11.030277</v>
      </c>
      <c r="AB28">
        <v>11.068451</v>
      </c>
      <c r="AC28">
        <v>11.107449000000001</v>
      </c>
      <c r="AD28">
        <v>11.147686</v>
      </c>
      <c r="AE28">
        <v>11.189342</v>
      </c>
      <c r="AF28">
        <v>11.232442000000001</v>
      </c>
      <c r="AG28">
        <v>11.276896000000001</v>
      </c>
      <c r="AH28">
        <v>11.322490999999999</v>
      </c>
      <c r="AI28" s="16">
        <v>6.0000000000000001E-3</v>
      </c>
    </row>
    <row r="29" spans="1:35" x14ac:dyDescent="0.25">
      <c r="A29" t="s">
        <v>256</v>
      </c>
      <c r="B29" t="s">
        <v>510</v>
      </c>
      <c r="C29" t="s">
        <v>511</v>
      </c>
      <c r="D29" t="s">
        <v>261</v>
      </c>
      <c r="F29">
        <v>9.1346969999999992</v>
      </c>
      <c r="G29" s="1">
        <v>9.1966210000000004</v>
      </c>
      <c r="H29">
        <v>9.2712800000000009</v>
      </c>
      <c r="I29">
        <v>9.3615779999999997</v>
      </c>
      <c r="J29">
        <v>9.4433159999999994</v>
      </c>
      <c r="K29">
        <v>9.5204500000000003</v>
      </c>
      <c r="L29">
        <v>9.6062360000000009</v>
      </c>
      <c r="M29">
        <v>9.7012800000000006</v>
      </c>
      <c r="N29">
        <v>9.803274</v>
      </c>
      <c r="O29">
        <v>9.9093110000000006</v>
      </c>
      <c r="P29">
        <v>10.012435999999999</v>
      </c>
      <c r="Q29">
        <v>10.108167999999999</v>
      </c>
      <c r="R29">
        <v>10.196538</v>
      </c>
      <c r="S29">
        <v>10.277281</v>
      </c>
      <c r="T29">
        <v>10.350986000000001</v>
      </c>
      <c r="U29">
        <v>10.418979</v>
      </c>
      <c r="V29">
        <v>10.481609000000001</v>
      </c>
      <c r="W29">
        <v>10.539486</v>
      </c>
      <c r="X29">
        <v>10.593686</v>
      </c>
      <c r="Y29">
        <v>10.645185</v>
      </c>
      <c r="Z29">
        <v>10.6951</v>
      </c>
      <c r="AA29">
        <v>10.744548999999999</v>
      </c>
      <c r="AB29">
        <v>10.794333999999999</v>
      </c>
      <c r="AC29">
        <v>10.845050000000001</v>
      </c>
      <c r="AD29">
        <v>10.897103</v>
      </c>
      <c r="AE29">
        <v>10.950673999999999</v>
      </c>
      <c r="AF29">
        <v>11.005796</v>
      </c>
      <c r="AG29">
        <v>11.062386</v>
      </c>
      <c r="AH29">
        <v>11.120239</v>
      </c>
      <c r="AI29" s="16">
        <v>7.0000000000000001E-3</v>
      </c>
    </row>
    <row r="30" spans="1:35" x14ac:dyDescent="0.25">
      <c r="A30" t="s">
        <v>257</v>
      </c>
      <c r="B30" t="s">
        <v>512</v>
      </c>
      <c r="C30" t="s">
        <v>513</v>
      </c>
      <c r="D30" t="s">
        <v>261</v>
      </c>
      <c r="F30">
        <v>17.156851</v>
      </c>
      <c r="G30" s="1">
        <v>17.261364</v>
      </c>
      <c r="H30">
        <v>17.402252000000001</v>
      </c>
      <c r="I30">
        <v>17.572482999999998</v>
      </c>
      <c r="J30">
        <v>17.726637</v>
      </c>
      <c r="K30">
        <v>17.872143000000001</v>
      </c>
      <c r="L30">
        <v>18.033881999999998</v>
      </c>
      <c r="M30">
        <v>18.212990000000001</v>
      </c>
      <c r="N30">
        <v>18.405138000000001</v>
      </c>
      <c r="O30">
        <v>18.604869999999998</v>
      </c>
      <c r="P30">
        <v>18.799126000000001</v>
      </c>
      <c r="Q30">
        <v>18.979485</v>
      </c>
      <c r="R30">
        <v>19.146017000000001</v>
      </c>
      <c r="S30">
        <v>19.298210000000001</v>
      </c>
      <c r="T30">
        <v>19.437168</v>
      </c>
      <c r="U30">
        <v>19.565394999999999</v>
      </c>
      <c r="V30">
        <v>19.683524999999999</v>
      </c>
      <c r="W30">
        <v>19.792712999999999</v>
      </c>
      <c r="X30">
        <v>19.894976</v>
      </c>
      <c r="Y30">
        <v>19.992142000000001</v>
      </c>
      <c r="Z30">
        <v>20.086314999999999</v>
      </c>
      <c r="AA30">
        <v>20.179587999999999</v>
      </c>
      <c r="AB30">
        <v>20.273474</v>
      </c>
      <c r="AC30">
        <v>20.36908</v>
      </c>
      <c r="AD30">
        <v>20.467175999999998</v>
      </c>
      <c r="AE30">
        <v>20.568097999999999</v>
      </c>
      <c r="AF30">
        <v>20.671907000000001</v>
      </c>
      <c r="AG30">
        <v>20.778452000000001</v>
      </c>
      <c r="AH30">
        <v>20.887339000000001</v>
      </c>
      <c r="AI30" s="16">
        <v>7.0000000000000001E-3</v>
      </c>
    </row>
    <row r="31" spans="1:35" x14ac:dyDescent="0.25">
      <c r="A31" t="s">
        <v>258</v>
      </c>
      <c r="B31" t="s">
        <v>514</v>
      </c>
      <c r="C31" t="s">
        <v>515</v>
      </c>
      <c r="D31" t="s">
        <v>261</v>
      </c>
      <c r="F31">
        <v>15.59821</v>
      </c>
      <c r="G31" s="1">
        <v>15.909663</v>
      </c>
      <c r="H31">
        <v>16.170262999999998</v>
      </c>
      <c r="I31">
        <v>16.460664999999999</v>
      </c>
      <c r="J31">
        <v>16.739001999999999</v>
      </c>
      <c r="K31">
        <v>17.011980000000001</v>
      </c>
      <c r="L31">
        <v>17.303083000000001</v>
      </c>
      <c r="M31">
        <v>17.613776999999999</v>
      </c>
      <c r="N31">
        <v>17.940296</v>
      </c>
      <c r="O31">
        <v>18.277628</v>
      </c>
      <c r="P31">
        <v>18.613136000000001</v>
      </c>
      <c r="Q31">
        <v>18.938386999999999</v>
      </c>
      <c r="R31">
        <v>19.253145</v>
      </c>
      <c r="S31">
        <v>19.556597</v>
      </c>
      <c r="T31">
        <v>19.849546</v>
      </c>
      <c r="U31">
        <v>20.134249000000001</v>
      </c>
      <c r="V31">
        <v>20.411131000000001</v>
      </c>
      <c r="W31">
        <v>20.681159999999998</v>
      </c>
      <c r="X31">
        <v>20.946251</v>
      </c>
      <c r="Y31">
        <v>21.208176000000002</v>
      </c>
      <c r="Z31">
        <v>21.469056999999999</v>
      </c>
      <c r="AA31">
        <v>21.731072999999999</v>
      </c>
      <c r="AB31">
        <v>21.995847999999999</v>
      </c>
      <c r="AC31">
        <v>22.264605</v>
      </c>
      <c r="AD31">
        <v>22.538246000000001</v>
      </c>
      <c r="AE31">
        <v>22.817212999999999</v>
      </c>
      <c r="AF31">
        <v>23.101664</v>
      </c>
      <c r="AG31">
        <v>23.391500000000001</v>
      </c>
      <c r="AH31">
        <v>23.686375000000002</v>
      </c>
      <c r="AI31" s="16">
        <v>1.4999999999999999E-2</v>
      </c>
    </row>
    <row r="32" spans="1:35" x14ac:dyDescent="0.25">
      <c r="A32" t="s">
        <v>259</v>
      </c>
      <c r="B32" t="s">
        <v>516</v>
      </c>
      <c r="C32" t="s">
        <v>517</v>
      </c>
      <c r="D32" t="s">
        <v>261</v>
      </c>
      <c r="F32">
        <v>7.492591</v>
      </c>
      <c r="G32" s="1">
        <v>7.5801299999999996</v>
      </c>
      <c r="H32">
        <v>7.6722739999999998</v>
      </c>
      <c r="I32">
        <v>7.7779699999999998</v>
      </c>
      <c r="J32">
        <v>7.8772729999999997</v>
      </c>
      <c r="K32">
        <v>7.9734119999999997</v>
      </c>
      <c r="L32">
        <v>8.0774399999999993</v>
      </c>
      <c r="M32">
        <v>8.189959</v>
      </c>
      <c r="N32">
        <v>8.3091159999999995</v>
      </c>
      <c r="O32">
        <v>8.4325209999999995</v>
      </c>
      <c r="P32">
        <v>8.5543019999999999</v>
      </c>
      <c r="Q32">
        <v>8.6706079999999996</v>
      </c>
      <c r="R32">
        <v>8.7813949999999998</v>
      </c>
      <c r="S32">
        <v>8.8863629999999993</v>
      </c>
      <c r="T32">
        <v>8.9859460000000002</v>
      </c>
      <c r="U32">
        <v>9.0812299999999997</v>
      </c>
      <c r="V32">
        <v>9.1724619999999994</v>
      </c>
      <c r="W32">
        <v>9.2601209999999998</v>
      </c>
      <c r="X32">
        <v>9.3451079999999997</v>
      </c>
      <c r="Y32">
        <v>9.4282470000000007</v>
      </c>
      <c r="Z32">
        <v>9.5105059999999995</v>
      </c>
      <c r="AA32">
        <v>9.5928590000000007</v>
      </c>
      <c r="AB32">
        <v>9.6760269999999995</v>
      </c>
      <c r="AC32">
        <v>9.7605419999999992</v>
      </c>
      <c r="AD32">
        <v>9.8467900000000004</v>
      </c>
      <c r="AE32">
        <v>9.9349509999999999</v>
      </c>
      <c r="AF32">
        <v>10.025074</v>
      </c>
      <c r="AG32">
        <v>10.117101999999999</v>
      </c>
      <c r="AH32">
        <v>10.210867</v>
      </c>
      <c r="AI32" s="16">
        <v>1.0999999999999999E-2</v>
      </c>
    </row>
    <row r="33" spans="1:35" x14ac:dyDescent="0.25">
      <c r="A33" t="s">
        <v>191</v>
      </c>
      <c r="B33" t="s">
        <v>518</v>
      </c>
      <c r="C33" t="s">
        <v>519</v>
      </c>
      <c r="D33" t="s">
        <v>261</v>
      </c>
      <c r="F33">
        <v>95.471541999999999</v>
      </c>
      <c r="G33" s="1">
        <v>96.375450000000001</v>
      </c>
      <c r="H33">
        <v>97.356551999999994</v>
      </c>
      <c r="I33">
        <v>98.505859000000001</v>
      </c>
      <c r="J33">
        <v>99.569823999999997</v>
      </c>
      <c r="K33">
        <v>100.589691</v>
      </c>
      <c r="L33">
        <v>101.7052</v>
      </c>
      <c r="M33">
        <v>102.92334700000001</v>
      </c>
      <c r="N33">
        <v>104.220291</v>
      </c>
      <c r="O33">
        <v>105.565613</v>
      </c>
      <c r="P33">
        <v>106.885513</v>
      </c>
      <c r="Q33">
        <v>108.131973</v>
      </c>
      <c r="R33">
        <v>109.304924</v>
      </c>
      <c r="S33">
        <v>110.401039</v>
      </c>
      <c r="T33">
        <v>111.42615499999999</v>
      </c>
      <c r="U33">
        <v>112.394142</v>
      </c>
      <c r="V33">
        <v>113.308342</v>
      </c>
      <c r="W33">
        <v>114.175034</v>
      </c>
      <c r="X33">
        <v>115.0056</v>
      </c>
      <c r="Y33">
        <v>115.810349</v>
      </c>
      <c r="Z33">
        <v>116.60134100000001</v>
      </c>
      <c r="AA33">
        <v>117.390602</v>
      </c>
      <c r="AB33">
        <v>118.186943</v>
      </c>
      <c r="AC33">
        <v>118.99685700000001</v>
      </c>
      <c r="AD33">
        <v>119.824966</v>
      </c>
      <c r="AE33">
        <v>120.673317</v>
      </c>
      <c r="AF33">
        <v>121.542419</v>
      </c>
      <c r="AG33">
        <v>122.431511</v>
      </c>
      <c r="AH33">
        <v>123.33841700000001</v>
      </c>
      <c r="AI33" s="16">
        <v>8.9999999999999993E-3</v>
      </c>
    </row>
    <row r="34" spans="1:35" x14ac:dyDescent="0.25">
      <c r="A34" t="s">
        <v>3</v>
      </c>
    </row>
    <row r="35" spans="1:35" x14ac:dyDescent="0.25">
      <c r="A35" t="s">
        <v>229</v>
      </c>
    </row>
    <row r="36" spans="1:35" x14ac:dyDescent="0.25">
      <c r="A36" t="s">
        <v>147</v>
      </c>
      <c r="B36" t="s">
        <v>520</v>
      </c>
      <c r="C36" t="s">
        <v>521</v>
      </c>
      <c r="D36" t="s">
        <v>262</v>
      </c>
      <c r="F36">
        <v>1.600274</v>
      </c>
      <c r="G36" s="1">
        <v>1.5942430000000001</v>
      </c>
      <c r="H36">
        <v>1.5870979999999999</v>
      </c>
      <c r="I36">
        <v>1.5789120000000001</v>
      </c>
      <c r="J36">
        <v>1.570767</v>
      </c>
      <c r="K36">
        <v>1.5630120000000001</v>
      </c>
      <c r="L36">
        <v>1.555431</v>
      </c>
      <c r="M36">
        <v>1.548036</v>
      </c>
      <c r="N36">
        <v>1.5405150000000001</v>
      </c>
      <c r="O36">
        <v>1.5329120000000001</v>
      </c>
      <c r="P36">
        <v>1.5255050000000001</v>
      </c>
      <c r="Q36">
        <v>1.517811</v>
      </c>
      <c r="R36">
        <v>1.5105029999999999</v>
      </c>
      <c r="S36">
        <v>1.5036259999999999</v>
      </c>
      <c r="T36">
        <v>1.496855</v>
      </c>
      <c r="U36">
        <v>1.4904200000000001</v>
      </c>
      <c r="V36">
        <v>1.48431</v>
      </c>
      <c r="W36">
        <v>1.4785470000000001</v>
      </c>
      <c r="X36">
        <v>1.47299</v>
      </c>
      <c r="Y36">
        <v>1.4675130000000001</v>
      </c>
      <c r="Z36">
        <v>1.4621649999999999</v>
      </c>
      <c r="AA36">
        <v>1.4569749999999999</v>
      </c>
      <c r="AB36">
        <v>1.451967</v>
      </c>
      <c r="AC36">
        <v>1.447101</v>
      </c>
      <c r="AD36">
        <v>1.4420090000000001</v>
      </c>
      <c r="AE36">
        <v>1.4370240000000001</v>
      </c>
      <c r="AF36">
        <v>1.43215</v>
      </c>
      <c r="AG36">
        <v>1.4274279999999999</v>
      </c>
      <c r="AH36">
        <v>1.4226030000000001</v>
      </c>
      <c r="AI36" s="16">
        <v>-4.0000000000000001E-3</v>
      </c>
    </row>
    <row r="37" spans="1:35" x14ac:dyDescent="0.25">
      <c r="A37" t="s">
        <v>197</v>
      </c>
      <c r="B37" t="s">
        <v>522</v>
      </c>
      <c r="C37" t="s">
        <v>523</v>
      </c>
      <c r="D37" t="s">
        <v>262</v>
      </c>
      <c r="F37">
        <v>0.79032500000000006</v>
      </c>
      <c r="G37" s="1">
        <v>0.79160299999999995</v>
      </c>
      <c r="H37">
        <v>0.79249899999999995</v>
      </c>
      <c r="I37">
        <v>0.79309700000000005</v>
      </c>
      <c r="J37">
        <v>0.79358799999999996</v>
      </c>
      <c r="K37">
        <v>0.79400199999999999</v>
      </c>
      <c r="L37">
        <v>0.79440200000000005</v>
      </c>
      <c r="M37">
        <v>0.79479699999999998</v>
      </c>
      <c r="N37">
        <v>0.79516600000000004</v>
      </c>
      <c r="O37">
        <v>0.79551799999999995</v>
      </c>
      <c r="P37">
        <v>0.79585099999999998</v>
      </c>
      <c r="Q37">
        <v>0.79616600000000004</v>
      </c>
      <c r="R37">
        <v>0.79646300000000003</v>
      </c>
      <c r="S37">
        <v>0.79674699999999998</v>
      </c>
      <c r="T37">
        <v>0.79701599999999995</v>
      </c>
      <c r="U37">
        <v>0.79726799999999998</v>
      </c>
      <c r="V37">
        <v>0.79749800000000004</v>
      </c>
      <c r="W37">
        <v>0.79771899999999996</v>
      </c>
      <c r="X37">
        <v>0.79792799999999997</v>
      </c>
      <c r="Y37">
        <v>0.79813900000000004</v>
      </c>
      <c r="Z37">
        <v>0.79833200000000004</v>
      </c>
      <c r="AA37">
        <v>0.79849599999999998</v>
      </c>
      <c r="AB37">
        <v>0.79863399999999996</v>
      </c>
      <c r="AC37">
        <v>0.79876599999999998</v>
      </c>
      <c r="AD37">
        <v>0.79890499999999998</v>
      </c>
      <c r="AE37">
        <v>0.79902099999999998</v>
      </c>
      <c r="AF37">
        <v>0.79913100000000004</v>
      </c>
      <c r="AG37">
        <v>0.79922499999999996</v>
      </c>
      <c r="AH37">
        <v>0.79931700000000006</v>
      </c>
      <c r="AI37" s="16">
        <v>0</v>
      </c>
    </row>
    <row r="38" spans="1:35" x14ac:dyDescent="0.25">
      <c r="A38" t="s">
        <v>187</v>
      </c>
      <c r="B38" t="s">
        <v>524</v>
      </c>
      <c r="C38" t="s">
        <v>525</v>
      </c>
      <c r="D38" t="s">
        <v>262</v>
      </c>
      <c r="F38">
        <v>0.81107499999999999</v>
      </c>
      <c r="G38" s="1">
        <v>0.811913</v>
      </c>
      <c r="H38">
        <v>0.81266300000000002</v>
      </c>
      <c r="I38">
        <v>0.81323299999999998</v>
      </c>
      <c r="J38">
        <v>0.81373899999999999</v>
      </c>
      <c r="K38">
        <v>0.81421399999999999</v>
      </c>
      <c r="L38">
        <v>0.81467000000000001</v>
      </c>
      <c r="M38">
        <v>0.81511199999999995</v>
      </c>
      <c r="N38">
        <v>0.81565600000000005</v>
      </c>
      <c r="O38">
        <v>0.81617200000000001</v>
      </c>
      <c r="P38">
        <v>0.81666099999999997</v>
      </c>
      <c r="Q38">
        <v>0.81711999999999996</v>
      </c>
      <c r="R38">
        <v>0.81755299999999997</v>
      </c>
      <c r="S38">
        <v>0.81796100000000005</v>
      </c>
      <c r="T38">
        <v>0.81834700000000005</v>
      </c>
      <c r="U38">
        <v>0.818712</v>
      </c>
      <c r="V38">
        <v>0.81905700000000004</v>
      </c>
      <c r="W38">
        <v>0.81938100000000003</v>
      </c>
      <c r="X38">
        <v>0.81994</v>
      </c>
      <c r="Y38">
        <v>0.82046799999999998</v>
      </c>
      <c r="Z38">
        <v>0.82096899999999995</v>
      </c>
      <c r="AA38">
        <v>0.82140899999999994</v>
      </c>
      <c r="AB38">
        <v>0.82181999999999999</v>
      </c>
      <c r="AC38">
        <v>0.82221100000000003</v>
      </c>
      <c r="AD38">
        <v>0.82257899999999995</v>
      </c>
      <c r="AE38">
        <v>0.82292799999999999</v>
      </c>
      <c r="AF38">
        <v>0.82325800000000005</v>
      </c>
      <c r="AG38">
        <v>0.82357100000000005</v>
      </c>
      <c r="AH38">
        <v>0.82386800000000004</v>
      </c>
      <c r="AI38" s="16">
        <v>1E-3</v>
      </c>
    </row>
    <row r="39" spans="1:35" x14ac:dyDescent="0.25">
      <c r="A39" t="s">
        <v>213</v>
      </c>
    </row>
    <row r="40" spans="1:35" x14ac:dyDescent="0.25">
      <c r="A40" t="s">
        <v>147</v>
      </c>
      <c r="B40" t="s">
        <v>526</v>
      </c>
      <c r="C40" t="s">
        <v>527</v>
      </c>
      <c r="D40" t="s">
        <v>262</v>
      </c>
      <c r="F40">
        <v>3.6319370000000002</v>
      </c>
      <c r="G40" s="1">
        <v>3.6708440000000002</v>
      </c>
      <c r="H40">
        <v>3.7057950000000002</v>
      </c>
      <c r="I40">
        <v>3.7410410000000001</v>
      </c>
      <c r="J40">
        <v>3.7737560000000001</v>
      </c>
      <c r="K40">
        <v>3.804141</v>
      </c>
      <c r="L40">
        <v>3.8339910000000001</v>
      </c>
      <c r="M40">
        <v>3.8634520000000001</v>
      </c>
      <c r="N40">
        <v>3.8940440000000001</v>
      </c>
      <c r="O40">
        <v>3.9236279999999999</v>
      </c>
      <c r="P40">
        <v>3.951355</v>
      </c>
      <c r="Q40">
        <v>3.9781049999999998</v>
      </c>
      <c r="R40">
        <v>4.0034859999999997</v>
      </c>
      <c r="S40">
        <v>4.0274700000000001</v>
      </c>
      <c r="T40">
        <v>4.0499349999999996</v>
      </c>
      <c r="U40">
        <v>4.0710639999999998</v>
      </c>
      <c r="V40">
        <v>4.0912309999999996</v>
      </c>
      <c r="W40">
        <v>4.1104029999999998</v>
      </c>
      <c r="X40">
        <v>4.1325659999999997</v>
      </c>
      <c r="Y40">
        <v>4.1535640000000003</v>
      </c>
      <c r="Z40">
        <v>4.1737039999999999</v>
      </c>
      <c r="AA40">
        <v>4.1931669999999999</v>
      </c>
      <c r="AB40">
        <v>4.2119299999999997</v>
      </c>
      <c r="AC40">
        <v>4.2299759999999997</v>
      </c>
      <c r="AD40">
        <v>4.2471459999999999</v>
      </c>
      <c r="AE40">
        <v>4.2635459999999998</v>
      </c>
      <c r="AF40">
        <v>4.2794749999999997</v>
      </c>
      <c r="AG40">
        <v>4.2944930000000001</v>
      </c>
      <c r="AH40">
        <v>4.3086650000000004</v>
      </c>
      <c r="AI40" s="16">
        <v>6.0000000000000001E-3</v>
      </c>
    </row>
    <row r="41" spans="1:35" x14ac:dyDescent="0.25">
      <c r="A41" t="s">
        <v>197</v>
      </c>
      <c r="B41" t="s">
        <v>528</v>
      </c>
      <c r="C41" t="s">
        <v>529</v>
      </c>
      <c r="D41" t="s">
        <v>262</v>
      </c>
      <c r="F41">
        <v>0.79191</v>
      </c>
      <c r="G41" s="1">
        <v>0.81588899999999998</v>
      </c>
      <c r="H41">
        <v>0.80177799999999999</v>
      </c>
      <c r="I41">
        <v>0.81152199999999997</v>
      </c>
      <c r="J41">
        <v>0.82088499999999998</v>
      </c>
      <c r="K41">
        <v>0.82996599999999998</v>
      </c>
      <c r="L41">
        <v>0.83910799999999997</v>
      </c>
      <c r="M41">
        <v>0.84825300000000003</v>
      </c>
      <c r="N41">
        <v>0.85747200000000001</v>
      </c>
      <c r="O41">
        <v>0.86655000000000004</v>
      </c>
      <c r="P41">
        <v>0.87543199999999999</v>
      </c>
      <c r="Q41">
        <v>0.88411399999999996</v>
      </c>
      <c r="R41">
        <v>0.89255200000000001</v>
      </c>
      <c r="S41">
        <v>0.90076999999999996</v>
      </c>
      <c r="T41">
        <v>0.90873899999999996</v>
      </c>
      <c r="U41">
        <v>0.91658200000000001</v>
      </c>
      <c r="V41">
        <v>0.92425500000000005</v>
      </c>
      <c r="W41">
        <v>0.93172699999999997</v>
      </c>
      <c r="X41">
        <v>0.93912899999999999</v>
      </c>
      <c r="Y41">
        <v>0.94647400000000004</v>
      </c>
      <c r="Z41">
        <v>0.95368699999999995</v>
      </c>
      <c r="AA41">
        <v>0.96079499999999995</v>
      </c>
      <c r="AB41">
        <v>0.96784700000000001</v>
      </c>
      <c r="AC41">
        <v>0.97489499999999996</v>
      </c>
      <c r="AD41">
        <v>0.98208600000000001</v>
      </c>
      <c r="AE41">
        <v>0.98932799999999999</v>
      </c>
      <c r="AF41">
        <v>0.99642600000000003</v>
      </c>
      <c r="AG41">
        <v>1.003511</v>
      </c>
      <c r="AH41">
        <v>1.0106379999999999</v>
      </c>
      <c r="AI41" s="16">
        <v>8.9999999999999993E-3</v>
      </c>
    </row>
    <row r="42" spans="1:35" x14ac:dyDescent="0.25">
      <c r="A42" t="s">
        <v>263</v>
      </c>
    </row>
    <row r="43" spans="1:35" x14ac:dyDescent="0.25">
      <c r="A43" t="s">
        <v>147</v>
      </c>
      <c r="B43" t="s">
        <v>530</v>
      </c>
      <c r="C43" t="s">
        <v>531</v>
      </c>
      <c r="D43" t="s">
        <v>262</v>
      </c>
      <c r="F43">
        <v>1.1589700000000001</v>
      </c>
      <c r="G43" s="1">
        <v>1.1848380000000001</v>
      </c>
      <c r="H43">
        <v>1.210067</v>
      </c>
      <c r="I43">
        <v>1.2341569999999999</v>
      </c>
      <c r="J43">
        <v>1.2551870000000001</v>
      </c>
      <c r="K43">
        <v>1.2618480000000001</v>
      </c>
      <c r="L43">
        <v>1.2683739999999999</v>
      </c>
      <c r="M43">
        <v>1.2747740000000001</v>
      </c>
      <c r="N43">
        <v>1.2811859999999999</v>
      </c>
      <c r="O43">
        <v>1.2874989999999999</v>
      </c>
      <c r="P43">
        <v>1.2941069999999999</v>
      </c>
      <c r="Q43">
        <v>1.3005899999999999</v>
      </c>
      <c r="R43">
        <v>1.3070189999999999</v>
      </c>
      <c r="S43">
        <v>1.3132410000000001</v>
      </c>
      <c r="T43">
        <v>1.3193710000000001</v>
      </c>
      <c r="U43">
        <v>1.3255110000000001</v>
      </c>
      <c r="V43">
        <v>1.3316669999999999</v>
      </c>
      <c r="W43">
        <v>1.3376920000000001</v>
      </c>
      <c r="X43">
        <v>1.343575</v>
      </c>
      <c r="Y43">
        <v>1.3493170000000001</v>
      </c>
      <c r="Z43">
        <v>1.3549690000000001</v>
      </c>
      <c r="AA43">
        <v>1.3604909999999999</v>
      </c>
      <c r="AB43">
        <v>1.3659589999999999</v>
      </c>
      <c r="AC43">
        <v>1.3712299999999999</v>
      </c>
      <c r="AD43">
        <v>1.376657</v>
      </c>
      <c r="AE43">
        <v>1.3819589999999999</v>
      </c>
      <c r="AF43">
        <v>1.387086</v>
      </c>
      <c r="AG43">
        <v>1.392069</v>
      </c>
      <c r="AH43">
        <v>1.396927</v>
      </c>
      <c r="AI43" s="16">
        <v>7.0000000000000001E-3</v>
      </c>
    </row>
    <row r="44" spans="1:35" x14ac:dyDescent="0.25">
      <c r="A44" t="s">
        <v>197</v>
      </c>
      <c r="B44" t="s">
        <v>532</v>
      </c>
      <c r="C44" t="s">
        <v>533</v>
      </c>
      <c r="D44" t="s">
        <v>262</v>
      </c>
      <c r="F44">
        <v>0.89523200000000003</v>
      </c>
      <c r="G44" s="1">
        <v>0.90059599999999995</v>
      </c>
      <c r="H44">
        <v>0.90494300000000005</v>
      </c>
      <c r="I44">
        <v>0.90891</v>
      </c>
      <c r="J44">
        <v>0.91243399999999997</v>
      </c>
      <c r="K44">
        <v>0.91559900000000005</v>
      </c>
      <c r="L44">
        <v>0.91850500000000002</v>
      </c>
      <c r="M44">
        <v>0.92115100000000005</v>
      </c>
      <c r="N44">
        <v>0.92354999999999998</v>
      </c>
      <c r="O44">
        <v>0.92571300000000001</v>
      </c>
      <c r="P44">
        <v>0.927647</v>
      </c>
      <c r="Q44">
        <v>0.92936799999999997</v>
      </c>
      <c r="R44">
        <v>0.930898</v>
      </c>
      <c r="S44">
        <v>0.93225999999999998</v>
      </c>
      <c r="T44">
        <v>0.93347199999999997</v>
      </c>
      <c r="U44">
        <v>0.93455299999999997</v>
      </c>
      <c r="V44">
        <v>0.93551799999999996</v>
      </c>
      <c r="W44">
        <v>0.93637800000000004</v>
      </c>
      <c r="X44">
        <v>0.93714799999999998</v>
      </c>
      <c r="Y44">
        <v>0.93783700000000003</v>
      </c>
      <c r="Z44">
        <v>0.93845400000000001</v>
      </c>
      <c r="AA44">
        <v>0.93900799999999995</v>
      </c>
      <c r="AB44">
        <v>0.93950400000000001</v>
      </c>
      <c r="AC44">
        <v>0.94020499999999996</v>
      </c>
      <c r="AD44">
        <v>0.94083799999999995</v>
      </c>
      <c r="AE44">
        <v>0.94140800000000002</v>
      </c>
      <c r="AF44">
        <v>0.94192100000000001</v>
      </c>
      <c r="AG44">
        <v>0.94238200000000005</v>
      </c>
      <c r="AH44">
        <v>0.94279500000000005</v>
      </c>
      <c r="AI44" s="16">
        <v>2E-3</v>
      </c>
    </row>
    <row r="45" spans="1:35" x14ac:dyDescent="0.25">
      <c r="A45" t="s">
        <v>187</v>
      </c>
      <c r="B45" t="s">
        <v>534</v>
      </c>
      <c r="C45" t="s">
        <v>535</v>
      </c>
      <c r="D45" t="s">
        <v>262</v>
      </c>
      <c r="F45">
        <v>0.80796599999999996</v>
      </c>
      <c r="G45" s="1">
        <v>0.80899799999999999</v>
      </c>
      <c r="H45">
        <v>0.80996000000000001</v>
      </c>
      <c r="I45">
        <v>0.81084900000000004</v>
      </c>
      <c r="J45">
        <v>0.81165299999999996</v>
      </c>
      <c r="K45">
        <v>0.81238500000000002</v>
      </c>
      <c r="L45">
        <v>0.813056</v>
      </c>
      <c r="M45">
        <v>0.81367199999999995</v>
      </c>
      <c r="N45">
        <v>0.81423699999999999</v>
      </c>
      <c r="O45">
        <v>0.81475200000000003</v>
      </c>
      <c r="P45">
        <v>0.81521999999999994</v>
      </c>
      <c r="Q45">
        <v>0.81564400000000004</v>
      </c>
      <c r="R45">
        <v>0.81602799999999998</v>
      </c>
      <c r="S45">
        <v>0.81637700000000002</v>
      </c>
      <c r="T45">
        <v>0.81669199999999997</v>
      </c>
      <c r="U45">
        <v>0.81698300000000001</v>
      </c>
      <c r="V45">
        <v>0.81724399999999997</v>
      </c>
      <c r="W45">
        <v>0.81748500000000002</v>
      </c>
      <c r="X45">
        <v>0.81770100000000001</v>
      </c>
      <c r="Y45">
        <v>0.81790099999999999</v>
      </c>
      <c r="Z45">
        <v>0.818083</v>
      </c>
      <c r="AA45">
        <v>0.81825000000000003</v>
      </c>
      <c r="AB45">
        <v>0.81840100000000005</v>
      </c>
      <c r="AC45">
        <v>0.81854000000000005</v>
      </c>
      <c r="AD45">
        <v>0.81866700000000003</v>
      </c>
      <c r="AE45">
        <v>0.81878300000000004</v>
      </c>
      <c r="AF45">
        <v>0.81888799999999995</v>
      </c>
      <c r="AG45">
        <v>0.81898400000000005</v>
      </c>
      <c r="AH45">
        <v>0.81907099999999999</v>
      </c>
      <c r="AI45" s="16">
        <v>0</v>
      </c>
    </row>
    <row r="46" spans="1:35" x14ac:dyDescent="0.25">
      <c r="A46" t="s">
        <v>264</v>
      </c>
    </row>
    <row r="47" spans="1:35" x14ac:dyDescent="0.25">
      <c r="A47" t="s">
        <v>147</v>
      </c>
      <c r="B47" t="s">
        <v>536</v>
      </c>
      <c r="C47" t="s">
        <v>537</v>
      </c>
      <c r="D47" t="s">
        <v>265</v>
      </c>
      <c r="F47">
        <v>0.33524300000000001</v>
      </c>
      <c r="G47" s="1">
        <v>0.335928</v>
      </c>
      <c r="H47">
        <v>0.33659499999999998</v>
      </c>
      <c r="I47">
        <v>0.33723700000000001</v>
      </c>
      <c r="J47">
        <v>0.33787899999999998</v>
      </c>
      <c r="K47">
        <v>0.33848800000000001</v>
      </c>
      <c r="L47">
        <v>0.33907500000000002</v>
      </c>
      <c r="M47">
        <v>0.339638</v>
      </c>
      <c r="N47">
        <v>0.34053499999999998</v>
      </c>
      <c r="O47">
        <v>0.34140900000000002</v>
      </c>
      <c r="P47">
        <v>0.34224199999999999</v>
      </c>
      <c r="Q47">
        <v>0.34303099999999997</v>
      </c>
      <c r="R47">
        <v>0.34377999999999997</v>
      </c>
      <c r="S47">
        <v>0.34448899999999999</v>
      </c>
      <c r="T47">
        <v>0.34515899999999999</v>
      </c>
      <c r="U47">
        <v>0.34579399999999999</v>
      </c>
      <c r="V47">
        <v>0.34639500000000001</v>
      </c>
      <c r="W47">
        <v>0.34696399999999999</v>
      </c>
      <c r="X47">
        <v>0.347501</v>
      </c>
      <c r="Y47">
        <v>0.34801300000000002</v>
      </c>
      <c r="Z47">
        <v>0.34849799999999997</v>
      </c>
      <c r="AA47">
        <v>0.34895599999999999</v>
      </c>
      <c r="AB47">
        <v>0.34938799999999998</v>
      </c>
      <c r="AC47">
        <v>0.34979500000000002</v>
      </c>
      <c r="AD47">
        <v>0.35017700000000002</v>
      </c>
      <c r="AE47">
        <v>0.35053499999999999</v>
      </c>
      <c r="AF47">
        <v>0.35087000000000002</v>
      </c>
      <c r="AG47">
        <v>0.35118199999999999</v>
      </c>
      <c r="AH47">
        <v>0.351464</v>
      </c>
      <c r="AI47" s="16">
        <v>2E-3</v>
      </c>
    </row>
    <row r="48" spans="1:35" x14ac:dyDescent="0.25">
      <c r="A48" t="s">
        <v>266</v>
      </c>
    </row>
    <row r="49" spans="1:35" x14ac:dyDescent="0.25">
      <c r="A49" t="s">
        <v>147</v>
      </c>
      <c r="B49" t="s">
        <v>538</v>
      </c>
      <c r="C49" t="s">
        <v>539</v>
      </c>
      <c r="D49" t="s">
        <v>262</v>
      </c>
      <c r="F49">
        <v>0.69347899999999996</v>
      </c>
      <c r="G49" s="1">
        <v>0.69406400000000001</v>
      </c>
      <c r="H49">
        <v>0.69460699999999997</v>
      </c>
      <c r="I49">
        <v>0.69510700000000003</v>
      </c>
      <c r="J49">
        <v>0.69555699999999998</v>
      </c>
      <c r="K49">
        <v>0.69596400000000003</v>
      </c>
      <c r="L49">
        <v>0.69633699999999998</v>
      </c>
      <c r="M49">
        <v>0.69667699999999999</v>
      </c>
      <c r="N49">
        <v>0.69698700000000002</v>
      </c>
      <c r="O49">
        <v>0.69726900000000003</v>
      </c>
      <c r="P49">
        <v>0.69752400000000003</v>
      </c>
      <c r="Q49">
        <v>0.69775299999999996</v>
      </c>
      <c r="R49">
        <v>0.69796100000000005</v>
      </c>
      <c r="S49">
        <v>0.69814699999999996</v>
      </c>
      <c r="T49">
        <v>0.69831600000000005</v>
      </c>
      <c r="U49">
        <v>0.69846900000000001</v>
      </c>
      <c r="V49">
        <v>0.69860800000000001</v>
      </c>
      <c r="W49">
        <v>0.69873300000000005</v>
      </c>
      <c r="X49">
        <v>0.698847</v>
      </c>
      <c r="Y49">
        <v>0.69894999999999996</v>
      </c>
      <c r="Z49">
        <v>0.699044</v>
      </c>
      <c r="AA49">
        <v>0.69913000000000003</v>
      </c>
      <c r="AB49">
        <v>0.69920800000000005</v>
      </c>
      <c r="AC49">
        <v>0.69927899999999998</v>
      </c>
      <c r="AD49">
        <v>0.69934300000000005</v>
      </c>
      <c r="AE49">
        <v>0.69940199999999997</v>
      </c>
      <c r="AF49">
        <v>0.69945599999999997</v>
      </c>
      <c r="AG49">
        <v>0.69950500000000004</v>
      </c>
      <c r="AH49">
        <v>0.69955000000000001</v>
      </c>
      <c r="AI49" s="16">
        <v>0</v>
      </c>
    </row>
    <row r="50" spans="1:35" x14ac:dyDescent="0.25">
      <c r="A50" t="s">
        <v>197</v>
      </c>
      <c r="B50" t="s">
        <v>540</v>
      </c>
      <c r="C50" t="s">
        <v>541</v>
      </c>
      <c r="D50" t="s">
        <v>262</v>
      </c>
      <c r="F50">
        <v>0.31666699999999998</v>
      </c>
      <c r="G50" s="1">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s="16">
        <v>0</v>
      </c>
    </row>
    <row r="51" spans="1:35" x14ac:dyDescent="0.25">
      <c r="A51" t="s">
        <v>267</v>
      </c>
    </row>
    <row r="52" spans="1:35" x14ac:dyDescent="0.25">
      <c r="A52" t="s">
        <v>268</v>
      </c>
    </row>
    <row r="53" spans="1:35" x14ac:dyDescent="0.25">
      <c r="A53" t="s">
        <v>147</v>
      </c>
      <c r="B53" t="s">
        <v>542</v>
      </c>
      <c r="C53" t="s">
        <v>543</v>
      </c>
      <c r="D53" t="s">
        <v>269</v>
      </c>
      <c r="F53">
        <v>75.352576999999997</v>
      </c>
      <c r="G53" s="1">
        <v>77.416038999999998</v>
      </c>
      <c r="H53">
        <v>79.081435999999997</v>
      </c>
      <c r="I53">
        <v>80.421126999999998</v>
      </c>
      <c r="J53">
        <v>81.551734999999994</v>
      </c>
      <c r="K53">
        <v>82.538505999999998</v>
      </c>
      <c r="L53">
        <v>83.405852999999993</v>
      </c>
      <c r="M53">
        <v>84.158942999999994</v>
      </c>
      <c r="N53">
        <v>85.745209000000003</v>
      </c>
      <c r="O53">
        <v>87.334564</v>
      </c>
      <c r="P53">
        <v>88.855926999999994</v>
      </c>
      <c r="Q53">
        <v>90.298164</v>
      </c>
      <c r="R53">
        <v>91.731658999999993</v>
      </c>
      <c r="S53">
        <v>93.147094999999993</v>
      </c>
      <c r="T53">
        <v>94.561653000000007</v>
      </c>
      <c r="U53">
        <v>96.152641000000003</v>
      </c>
      <c r="V53">
        <v>97.851867999999996</v>
      </c>
      <c r="W53">
        <v>99.830596999999997</v>
      </c>
      <c r="X53">
        <v>100.642555</v>
      </c>
      <c r="Y53">
        <v>101.381325</v>
      </c>
      <c r="Z53">
        <v>102.09468099999999</v>
      </c>
      <c r="AA53">
        <v>102.730659</v>
      </c>
      <c r="AB53">
        <v>103.286827</v>
      </c>
      <c r="AC53">
        <v>103.77984600000001</v>
      </c>
      <c r="AD53">
        <v>104.21254</v>
      </c>
      <c r="AE53">
        <v>104.52364300000001</v>
      </c>
      <c r="AF53">
        <v>104.796783</v>
      </c>
      <c r="AG53">
        <v>105.034859</v>
      </c>
      <c r="AH53">
        <v>105.227448</v>
      </c>
      <c r="AI53" s="16">
        <v>1.2E-2</v>
      </c>
    </row>
    <row r="54" spans="1:35" x14ac:dyDescent="0.25">
      <c r="A54" t="s">
        <v>270</v>
      </c>
    </row>
    <row r="55" spans="1:35" x14ac:dyDescent="0.25">
      <c r="A55" t="s">
        <v>147</v>
      </c>
      <c r="B55" t="s">
        <v>544</v>
      </c>
      <c r="C55" t="s">
        <v>545</v>
      </c>
      <c r="D55" t="s">
        <v>262</v>
      </c>
      <c r="F55">
        <v>3.0188060000000001</v>
      </c>
      <c r="G55" s="1">
        <v>3.0409980000000001</v>
      </c>
      <c r="H55">
        <v>3.060953</v>
      </c>
      <c r="I55">
        <v>3.0786539999999998</v>
      </c>
      <c r="J55">
        <v>3.094166</v>
      </c>
      <c r="K55">
        <v>3.1078000000000001</v>
      </c>
      <c r="L55">
        <v>3.1198959999999998</v>
      </c>
      <c r="M55">
        <v>3.1306240000000001</v>
      </c>
      <c r="N55">
        <v>3.1458460000000001</v>
      </c>
      <c r="O55">
        <v>3.1594000000000002</v>
      </c>
      <c r="P55">
        <v>3.1713499999999999</v>
      </c>
      <c r="Q55">
        <v>3.1818710000000001</v>
      </c>
      <c r="R55">
        <v>3.1911179999999999</v>
      </c>
      <c r="S55">
        <v>3.1992440000000002</v>
      </c>
      <c r="T55">
        <v>3.2063920000000001</v>
      </c>
      <c r="U55">
        <v>3.2126890000000001</v>
      </c>
      <c r="V55">
        <v>3.2182460000000002</v>
      </c>
      <c r="W55">
        <v>3.2231540000000001</v>
      </c>
      <c r="X55">
        <v>3.227481</v>
      </c>
      <c r="Y55">
        <v>3.2313459999999998</v>
      </c>
      <c r="Z55">
        <v>3.2347730000000001</v>
      </c>
      <c r="AA55">
        <v>3.2378049999999998</v>
      </c>
      <c r="AB55">
        <v>3.2404929999999998</v>
      </c>
      <c r="AC55">
        <v>3.242883</v>
      </c>
      <c r="AD55">
        <v>3.245009</v>
      </c>
      <c r="AE55">
        <v>3.2468810000000001</v>
      </c>
      <c r="AF55">
        <v>3.2485499999999998</v>
      </c>
      <c r="AG55">
        <v>3.2500330000000002</v>
      </c>
      <c r="AH55">
        <v>3.2513450000000002</v>
      </c>
      <c r="AI55" s="16">
        <v>3.0000000000000001E-3</v>
      </c>
    </row>
    <row r="56" spans="1:35" x14ac:dyDescent="0.25">
      <c r="A56" t="s">
        <v>234</v>
      </c>
    </row>
    <row r="57" spans="1:35" x14ac:dyDescent="0.25">
      <c r="A57" t="s">
        <v>235</v>
      </c>
    </row>
    <row r="58" spans="1:35" x14ac:dyDescent="0.25">
      <c r="A58" s="1" t="s">
        <v>175</v>
      </c>
    </row>
    <row r="59" spans="1:35" x14ac:dyDescent="0.25">
      <c r="A59" t="s">
        <v>271</v>
      </c>
      <c r="B59" t="s">
        <v>546</v>
      </c>
      <c r="C59" t="s">
        <v>547</v>
      </c>
      <c r="D59" t="s">
        <v>237</v>
      </c>
      <c r="F59">
        <v>1.3979999999999999E-2</v>
      </c>
      <c r="G59" s="1">
        <v>1.3979999999999999E-2</v>
      </c>
      <c r="H59">
        <v>1.3979999999999999E-2</v>
      </c>
      <c r="I59">
        <v>1.3979999999999999E-2</v>
      </c>
      <c r="J59">
        <v>1.3979999999999999E-2</v>
      </c>
      <c r="K59">
        <v>1.3979999999999999E-2</v>
      </c>
      <c r="L59">
        <v>1.3979999999999999E-2</v>
      </c>
      <c r="M59">
        <v>1.3979999999999999E-2</v>
      </c>
      <c r="N59">
        <v>1.3979999999999999E-2</v>
      </c>
      <c r="O59">
        <v>1.3979999999999999E-2</v>
      </c>
      <c r="P59">
        <v>1.3979999999999999E-2</v>
      </c>
      <c r="Q59">
        <v>1.3979999999999999E-2</v>
      </c>
      <c r="R59">
        <v>1.3979999999999999E-2</v>
      </c>
      <c r="S59">
        <v>1.3979999999999999E-2</v>
      </c>
      <c r="T59">
        <v>1.3979999999999999E-2</v>
      </c>
      <c r="U59">
        <v>1.3979999999999999E-2</v>
      </c>
      <c r="V59">
        <v>1.3979999999999999E-2</v>
      </c>
      <c r="W59">
        <v>1.3979999999999999E-2</v>
      </c>
      <c r="X59">
        <v>1.3979999999999999E-2</v>
      </c>
      <c r="Y59">
        <v>1.3979999999999999E-2</v>
      </c>
      <c r="Z59">
        <v>1.3979999999999999E-2</v>
      </c>
      <c r="AA59">
        <v>1.3979999999999999E-2</v>
      </c>
      <c r="AB59">
        <v>1.3979999999999999E-2</v>
      </c>
      <c r="AC59">
        <v>1.3979999999999999E-2</v>
      </c>
      <c r="AD59">
        <v>1.3979999999999999E-2</v>
      </c>
      <c r="AE59">
        <v>1.3979999999999999E-2</v>
      </c>
      <c r="AF59">
        <v>1.3979999999999999E-2</v>
      </c>
      <c r="AG59">
        <v>1.3979999999999999E-2</v>
      </c>
      <c r="AH59">
        <v>1.3979999999999999E-2</v>
      </c>
      <c r="AI59" s="16">
        <v>0</v>
      </c>
    </row>
    <row r="60" spans="1:35" x14ac:dyDescent="0.25">
      <c r="A60" t="s">
        <v>197</v>
      </c>
      <c r="B60" t="s">
        <v>548</v>
      </c>
      <c r="C60" t="s">
        <v>549</v>
      </c>
      <c r="D60" t="s">
        <v>237</v>
      </c>
      <c r="F60">
        <v>1.368147</v>
      </c>
      <c r="G60" s="1">
        <v>1.3940189999999999</v>
      </c>
      <c r="H60">
        <v>1.422768</v>
      </c>
      <c r="I60">
        <v>1.443255</v>
      </c>
      <c r="J60">
        <v>1.4616290000000001</v>
      </c>
      <c r="K60">
        <v>1.4808079999999999</v>
      </c>
      <c r="L60">
        <v>1.5003839999999999</v>
      </c>
      <c r="M60">
        <v>1.520532</v>
      </c>
      <c r="N60">
        <v>1.543804</v>
      </c>
      <c r="O60">
        <v>1.567393</v>
      </c>
      <c r="P60">
        <v>1.5923529999999999</v>
      </c>
      <c r="Q60">
        <v>1.6152420000000001</v>
      </c>
      <c r="R60">
        <v>1.6366179999999999</v>
      </c>
      <c r="S60">
        <v>1.6558759999999999</v>
      </c>
      <c r="T60">
        <v>1.671951</v>
      </c>
      <c r="U60">
        <v>1.6858439999999999</v>
      </c>
      <c r="V60">
        <v>1.700482</v>
      </c>
      <c r="W60">
        <v>1.716259</v>
      </c>
      <c r="X60">
        <v>1.727784</v>
      </c>
      <c r="Y60">
        <v>1.7389509999999999</v>
      </c>
      <c r="Z60">
        <v>1.7499210000000001</v>
      </c>
      <c r="AA60">
        <v>1.7614860000000001</v>
      </c>
      <c r="AB60">
        <v>1.771808</v>
      </c>
      <c r="AC60">
        <v>1.781531</v>
      </c>
      <c r="AD60">
        <v>1.7918080000000001</v>
      </c>
      <c r="AE60">
        <v>1.8023169999999999</v>
      </c>
      <c r="AF60">
        <v>1.8141579999999999</v>
      </c>
      <c r="AG60">
        <v>1.8251539999999999</v>
      </c>
      <c r="AH60">
        <v>1.8365130000000001</v>
      </c>
      <c r="AI60" s="16">
        <v>1.0999999999999999E-2</v>
      </c>
    </row>
    <row r="61" spans="1:35" x14ac:dyDescent="0.25">
      <c r="A61" t="s">
        <v>238</v>
      </c>
      <c r="B61" t="s">
        <v>550</v>
      </c>
      <c r="C61" t="s">
        <v>551</v>
      </c>
      <c r="D61" t="s">
        <v>237</v>
      </c>
      <c r="F61">
        <v>22.491291</v>
      </c>
      <c r="G61" s="1">
        <v>26.815535000000001</v>
      </c>
      <c r="H61">
        <v>30.254023</v>
      </c>
      <c r="I61">
        <v>33.178463000000001</v>
      </c>
      <c r="J61">
        <v>34.785682999999999</v>
      </c>
      <c r="K61">
        <v>36.654330999999999</v>
      </c>
      <c r="L61">
        <v>38.291961999999998</v>
      </c>
      <c r="M61">
        <v>40.837508999999997</v>
      </c>
      <c r="N61">
        <v>42.625346999999998</v>
      </c>
      <c r="O61">
        <v>44.444000000000003</v>
      </c>
      <c r="P61">
        <v>46.077877000000001</v>
      </c>
      <c r="Q61">
        <v>48.438850000000002</v>
      </c>
      <c r="R61">
        <v>51.029842000000002</v>
      </c>
      <c r="S61">
        <v>52.509289000000003</v>
      </c>
      <c r="T61">
        <v>55.255535000000002</v>
      </c>
      <c r="U61">
        <v>56.865172999999999</v>
      </c>
      <c r="V61">
        <v>59.174522000000003</v>
      </c>
      <c r="W61">
        <v>61.338107999999998</v>
      </c>
      <c r="X61">
        <v>63.244408</v>
      </c>
      <c r="Y61">
        <v>64.905724000000006</v>
      </c>
      <c r="Z61">
        <v>66.276015999999998</v>
      </c>
      <c r="AA61">
        <v>67.472403999999997</v>
      </c>
      <c r="AB61">
        <v>68.558639999999997</v>
      </c>
      <c r="AC61">
        <v>69.653053</v>
      </c>
      <c r="AD61">
        <v>71.534721000000005</v>
      </c>
      <c r="AE61">
        <v>72.148803999999998</v>
      </c>
      <c r="AF61">
        <v>73.245368999999997</v>
      </c>
      <c r="AG61">
        <v>73.763748000000007</v>
      </c>
      <c r="AH61">
        <v>74.117523000000006</v>
      </c>
      <c r="AI61" s="16">
        <v>4.3999999999999997E-2</v>
      </c>
    </row>
    <row r="62" spans="1:35" x14ac:dyDescent="0.25">
      <c r="A62" t="s">
        <v>239</v>
      </c>
      <c r="B62" t="s">
        <v>552</v>
      </c>
      <c r="C62" t="s">
        <v>553</v>
      </c>
      <c r="D62" t="s">
        <v>237</v>
      </c>
      <c r="F62">
        <v>0.55488099999999996</v>
      </c>
      <c r="G62" s="1">
        <v>0.55973700000000004</v>
      </c>
      <c r="H62">
        <v>0.56107300000000004</v>
      </c>
      <c r="I62">
        <v>0.56107300000000004</v>
      </c>
      <c r="J62">
        <v>0.56107300000000004</v>
      </c>
      <c r="K62">
        <v>0.56107300000000004</v>
      </c>
      <c r="L62">
        <v>0.56111299999999997</v>
      </c>
      <c r="M62">
        <v>0.56111299999999997</v>
      </c>
      <c r="N62">
        <v>0.561222</v>
      </c>
      <c r="O62">
        <v>0.56145999999999996</v>
      </c>
      <c r="P62">
        <v>0.56233299999999997</v>
      </c>
      <c r="Q62">
        <v>0.56416200000000005</v>
      </c>
      <c r="R62">
        <v>0.566106</v>
      </c>
      <c r="S62">
        <v>0.56645900000000005</v>
      </c>
      <c r="T62">
        <v>0.56810300000000002</v>
      </c>
      <c r="U62">
        <v>0.56838900000000003</v>
      </c>
      <c r="V62">
        <v>0.56980299999999995</v>
      </c>
      <c r="W62">
        <v>0.57158699999999996</v>
      </c>
      <c r="X62">
        <v>0.57174700000000001</v>
      </c>
      <c r="Y62">
        <v>0.57225300000000001</v>
      </c>
      <c r="Z62">
        <v>0.57251700000000005</v>
      </c>
      <c r="AA62">
        <v>0.57303300000000001</v>
      </c>
      <c r="AB62">
        <v>0.57322700000000004</v>
      </c>
      <c r="AC62">
        <v>0.57333500000000004</v>
      </c>
      <c r="AD62">
        <v>0.573658</v>
      </c>
      <c r="AE62">
        <v>0.573658</v>
      </c>
      <c r="AF62">
        <v>0.57397100000000001</v>
      </c>
      <c r="AG62">
        <v>0.57397100000000001</v>
      </c>
      <c r="AH62">
        <v>0.57397100000000001</v>
      </c>
      <c r="AI62" s="16">
        <v>1E-3</v>
      </c>
    </row>
    <row r="63" spans="1:35" x14ac:dyDescent="0.25">
      <c r="A63" t="s">
        <v>259</v>
      </c>
      <c r="B63" t="s">
        <v>554</v>
      </c>
      <c r="C63" t="s">
        <v>555</v>
      </c>
      <c r="D63" t="s">
        <v>237</v>
      </c>
      <c r="F63">
        <v>0.11776300000000001</v>
      </c>
      <c r="G63" s="1">
        <v>0.11776300000000001</v>
      </c>
      <c r="H63">
        <v>0.11776300000000001</v>
      </c>
      <c r="I63">
        <v>0.11776300000000001</v>
      </c>
      <c r="J63">
        <v>0.11776300000000001</v>
      </c>
      <c r="K63">
        <v>0.11776300000000001</v>
      </c>
      <c r="L63">
        <v>0.11776300000000001</v>
      </c>
      <c r="M63">
        <v>0.11776300000000001</v>
      </c>
      <c r="N63">
        <v>0.11776300000000001</v>
      </c>
      <c r="O63">
        <v>0.11776300000000001</v>
      </c>
      <c r="P63">
        <v>0.11776300000000001</v>
      </c>
      <c r="Q63">
        <v>0.11776300000000001</v>
      </c>
      <c r="R63">
        <v>0.11776300000000001</v>
      </c>
      <c r="S63">
        <v>0.11776300000000001</v>
      </c>
      <c r="T63">
        <v>0.11776300000000001</v>
      </c>
      <c r="U63">
        <v>0.11776300000000001</v>
      </c>
      <c r="V63">
        <v>0.11776300000000001</v>
      </c>
      <c r="W63">
        <v>0.11776300000000001</v>
      </c>
      <c r="X63">
        <v>0.11776300000000001</v>
      </c>
      <c r="Y63">
        <v>0.11776300000000001</v>
      </c>
      <c r="Z63">
        <v>0.11776300000000001</v>
      </c>
      <c r="AA63">
        <v>0.11776300000000001</v>
      </c>
      <c r="AB63">
        <v>0.11776300000000001</v>
      </c>
      <c r="AC63">
        <v>0.11776300000000001</v>
      </c>
      <c r="AD63">
        <v>0.11776300000000001</v>
      </c>
      <c r="AE63">
        <v>0.11776300000000001</v>
      </c>
      <c r="AF63">
        <v>0.11776300000000001</v>
      </c>
      <c r="AG63">
        <v>0.11776300000000001</v>
      </c>
      <c r="AH63">
        <v>0.11776300000000001</v>
      </c>
      <c r="AI63" s="16">
        <v>0</v>
      </c>
    </row>
    <row r="64" spans="1:35" x14ac:dyDescent="0.25">
      <c r="A64" t="s">
        <v>191</v>
      </c>
      <c r="B64" t="s">
        <v>556</v>
      </c>
      <c r="C64" t="s">
        <v>557</v>
      </c>
      <c r="D64" t="s">
        <v>237</v>
      </c>
      <c r="F64">
        <v>24.546064000000001</v>
      </c>
      <c r="G64" s="1">
        <v>28.901033000000002</v>
      </c>
      <c r="H64">
        <v>32.369610000000002</v>
      </c>
      <c r="I64">
        <v>35.314532999999997</v>
      </c>
      <c r="J64">
        <v>36.940128000000001</v>
      </c>
      <c r="K64">
        <v>38.827956999999998</v>
      </c>
      <c r="L64">
        <v>40.485202999999998</v>
      </c>
      <c r="M64">
        <v>43.050899999999999</v>
      </c>
      <c r="N64">
        <v>44.862118000000002</v>
      </c>
      <c r="O64">
        <v>46.704597</v>
      </c>
      <c r="P64">
        <v>48.364306999999997</v>
      </c>
      <c r="Q64">
        <v>50.75</v>
      </c>
      <c r="R64">
        <v>53.364306999999997</v>
      </c>
      <c r="S64">
        <v>54.863368999999999</v>
      </c>
      <c r="T64">
        <v>57.627335000000002</v>
      </c>
      <c r="U64">
        <v>59.251151999999998</v>
      </c>
      <c r="V64">
        <v>61.576552999999997</v>
      </c>
      <c r="W64">
        <v>63.757697999999998</v>
      </c>
      <c r="X64">
        <v>65.675674000000001</v>
      </c>
      <c r="Y64">
        <v>67.348663000000002</v>
      </c>
      <c r="Z64">
        <v>68.730193999999997</v>
      </c>
      <c r="AA64">
        <v>69.938666999999995</v>
      </c>
      <c r="AB64">
        <v>71.035415999999998</v>
      </c>
      <c r="AC64">
        <v>72.139656000000002</v>
      </c>
      <c r="AD64">
        <v>74.031920999999997</v>
      </c>
      <c r="AE64">
        <v>74.656516999999994</v>
      </c>
      <c r="AF64">
        <v>75.765236000000002</v>
      </c>
      <c r="AG64">
        <v>76.294608999999994</v>
      </c>
      <c r="AH64">
        <v>76.659744000000003</v>
      </c>
      <c r="AI64" s="16">
        <v>4.2000000000000003E-2</v>
      </c>
    </row>
    <row r="65" spans="1:35" x14ac:dyDescent="0.25">
      <c r="A65" s="1" t="s">
        <v>174</v>
      </c>
    </row>
    <row r="66" spans="1:35" x14ac:dyDescent="0.25">
      <c r="A66" t="s">
        <v>271</v>
      </c>
      <c r="B66" t="s">
        <v>558</v>
      </c>
      <c r="C66" t="s">
        <v>559</v>
      </c>
      <c r="D66" t="s">
        <v>240</v>
      </c>
      <c r="F66">
        <v>9.7511E-2</v>
      </c>
      <c r="G66" s="1">
        <v>9.7511E-2</v>
      </c>
      <c r="H66">
        <v>9.7511E-2</v>
      </c>
      <c r="I66">
        <v>9.7511E-2</v>
      </c>
      <c r="J66">
        <v>9.7511E-2</v>
      </c>
      <c r="K66">
        <v>9.7511E-2</v>
      </c>
      <c r="L66">
        <v>9.7511E-2</v>
      </c>
      <c r="M66">
        <v>9.7511E-2</v>
      </c>
      <c r="N66">
        <v>9.7511E-2</v>
      </c>
      <c r="O66">
        <v>9.7511E-2</v>
      </c>
      <c r="P66">
        <v>9.7511E-2</v>
      </c>
      <c r="Q66">
        <v>9.7511E-2</v>
      </c>
      <c r="R66">
        <v>9.7511E-2</v>
      </c>
      <c r="S66">
        <v>9.7511E-2</v>
      </c>
      <c r="T66">
        <v>9.7511E-2</v>
      </c>
      <c r="U66">
        <v>9.7511E-2</v>
      </c>
      <c r="V66">
        <v>9.7511E-2</v>
      </c>
      <c r="W66">
        <v>9.7511E-2</v>
      </c>
      <c r="X66">
        <v>9.7511E-2</v>
      </c>
      <c r="Y66">
        <v>9.7511E-2</v>
      </c>
      <c r="Z66">
        <v>9.7511E-2</v>
      </c>
      <c r="AA66">
        <v>9.7511E-2</v>
      </c>
      <c r="AB66">
        <v>9.7511E-2</v>
      </c>
      <c r="AC66">
        <v>9.7511E-2</v>
      </c>
      <c r="AD66">
        <v>9.7511E-2</v>
      </c>
      <c r="AE66">
        <v>9.7511E-2</v>
      </c>
      <c r="AF66">
        <v>9.7511E-2</v>
      </c>
      <c r="AG66">
        <v>9.7511E-2</v>
      </c>
      <c r="AH66">
        <v>9.7511E-2</v>
      </c>
      <c r="AI66" s="16">
        <v>0</v>
      </c>
    </row>
    <row r="67" spans="1:35" x14ac:dyDescent="0.25">
      <c r="A67" t="s">
        <v>197</v>
      </c>
      <c r="B67" t="s">
        <v>560</v>
      </c>
      <c r="C67" t="s">
        <v>561</v>
      </c>
      <c r="D67" t="s">
        <v>240</v>
      </c>
      <c r="F67">
        <v>9.5428239999999995</v>
      </c>
      <c r="G67" s="1">
        <v>9.7232830000000003</v>
      </c>
      <c r="H67">
        <v>9.9238060000000008</v>
      </c>
      <c r="I67">
        <v>10.066701</v>
      </c>
      <c r="J67">
        <v>10.194861</v>
      </c>
      <c r="K67">
        <v>10.328632000000001</v>
      </c>
      <c r="L67">
        <v>10.465176</v>
      </c>
      <c r="M67">
        <v>10.605714000000001</v>
      </c>
      <c r="N67">
        <v>10.768033000000001</v>
      </c>
      <c r="O67">
        <v>10.932568</v>
      </c>
      <c r="P67">
        <v>11.106659000000001</v>
      </c>
      <c r="Q67">
        <v>11.266313</v>
      </c>
      <c r="R67">
        <v>11.415409</v>
      </c>
      <c r="S67">
        <v>11.549734000000001</v>
      </c>
      <c r="T67">
        <v>11.661860000000001</v>
      </c>
      <c r="U67">
        <v>11.758763</v>
      </c>
      <c r="V67">
        <v>11.860858</v>
      </c>
      <c r="W67">
        <v>11.970905</v>
      </c>
      <c r="X67">
        <v>12.051291000000001</v>
      </c>
      <c r="Y67">
        <v>12.12918</v>
      </c>
      <c r="Z67">
        <v>12.205700999999999</v>
      </c>
      <c r="AA67">
        <v>12.286364000000001</v>
      </c>
      <c r="AB67">
        <v>12.358362</v>
      </c>
      <c r="AC67">
        <v>12.426178</v>
      </c>
      <c r="AD67">
        <v>12.497861</v>
      </c>
      <c r="AE67">
        <v>12.571158</v>
      </c>
      <c r="AF67">
        <v>12.653753999999999</v>
      </c>
      <c r="AG67">
        <v>12.730446000000001</v>
      </c>
      <c r="AH67">
        <v>12.809677000000001</v>
      </c>
      <c r="AI67" s="16">
        <v>1.0999999999999999E-2</v>
      </c>
    </row>
    <row r="68" spans="1:35" x14ac:dyDescent="0.25">
      <c r="A68" t="s">
        <v>238</v>
      </c>
      <c r="B68" t="s">
        <v>562</v>
      </c>
      <c r="C68" t="s">
        <v>464</v>
      </c>
      <c r="D68" t="s">
        <v>240</v>
      </c>
      <c r="F68">
        <v>31.884121</v>
      </c>
      <c r="G68" s="1">
        <v>37.878464000000001</v>
      </c>
      <c r="H68">
        <v>42.628193000000003</v>
      </c>
      <c r="I68">
        <v>46.505924</v>
      </c>
      <c r="J68">
        <v>48.667228999999999</v>
      </c>
      <c r="K68">
        <v>51.194096000000002</v>
      </c>
      <c r="L68">
        <v>53.380569000000001</v>
      </c>
      <c r="M68">
        <v>56.781303000000001</v>
      </c>
      <c r="N68">
        <v>59.208064999999998</v>
      </c>
      <c r="O68">
        <v>61.639690000000002</v>
      </c>
      <c r="P68">
        <v>63.799804999999999</v>
      </c>
      <c r="Q68">
        <v>66.962447999999995</v>
      </c>
      <c r="R68">
        <v>70.303557999999995</v>
      </c>
      <c r="S68">
        <v>72.270660000000007</v>
      </c>
      <c r="T68">
        <v>75.848861999999997</v>
      </c>
      <c r="U68">
        <v>77.991562000000002</v>
      </c>
      <c r="V68">
        <v>81.021461000000002</v>
      </c>
      <c r="W68">
        <v>83.826828000000006</v>
      </c>
      <c r="X68">
        <v>86.340187</v>
      </c>
      <c r="Y68">
        <v>88.522994999999995</v>
      </c>
      <c r="Z68">
        <v>90.352363999999994</v>
      </c>
      <c r="AA68">
        <v>91.947806999999997</v>
      </c>
      <c r="AB68">
        <v>93.428084999999996</v>
      </c>
      <c r="AC68">
        <v>94.886870999999999</v>
      </c>
      <c r="AD68">
        <v>97.368354999999994</v>
      </c>
      <c r="AE68">
        <v>98.220366999999996</v>
      </c>
      <c r="AF68">
        <v>99.644149999999996</v>
      </c>
      <c r="AG68">
        <v>100.374458</v>
      </c>
      <c r="AH68">
        <v>100.877022</v>
      </c>
      <c r="AI68" s="16">
        <v>4.2000000000000003E-2</v>
      </c>
    </row>
    <row r="69" spans="1:35" x14ac:dyDescent="0.25">
      <c r="A69" t="s">
        <v>239</v>
      </c>
      <c r="B69" t="s">
        <v>563</v>
      </c>
      <c r="C69" t="s">
        <v>466</v>
      </c>
      <c r="D69" t="s">
        <v>240</v>
      </c>
      <c r="F69">
        <v>0.75530799999999998</v>
      </c>
      <c r="G69" s="1">
        <v>0.76343899999999998</v>
      </c>
      <c r="H69">
        <v>0.76568899999999995</v>
      </c>
      <c r="I69">
        <v>0.76568899999999995</v>
      </c>
      <c r="J69">
        <v>0.76568899999999995</v>
      </c>
      <c r="K69">
        <v>0.76568899999999995</v>
      </c>
      <c r="L69">
        <v>0.76575599999999999</v>
      </c>
      <c r="M69">
        <v>0.76575599999999999</v>
      </c>
      <c r="N69">
        <v>0.76588999999999996</v>
      </c>
      <c r="O69">
        <v>0.76624300000000001</v>
      </c>
      <c r="P69">
        <v>0.76763599999999999</v>
      </c>
      <c r="Q69">
        <v>0.77062600000000003</v>
      </c>
      <c r="R69">
        <v>0.77386600000000005</v>
      </c>
      <c r="S69">
        <v>0.77439999999999998</v>
      </c>
      <c r="T69">
        <v>0.77713299999999996</v>
      </c>
      <c r="U69">
        <v>0.77759199999999995</v>
      </c>
      <c r="V69">
        <v>0.779941</v>
      </c>
      <c r="W69">
        <v>0.78296600000000005</v>
      </c>
      <c r="X69">
        <v>0.78323699999999996</v>
      </c>
      <c r="Y69">
        <v>0.78407099999999996</v>
      </c>
      <c r="Z69">
        <v>0.78447800000000001</v>
      </c>
      <c r="AA69">
        <v>0.78524400000000005</v>
      </c>
      <c r="AB69">
        <v>0.78548600000000002</v>
      </c>
      <c r="AC69">
        <v>0.78562100000000001</v>
      </c>
      <c r="AD69">
        <v>0.78612099999999996</v>
      </c>
      <c r="AE69">
        <v>0.78612099999999996</v>
      </c>
      <c r="AF69">
        <v>0.78662100000000001</v>
      </c>
      <c r="AG69">
        <v>0.78662100000000001</v>
      </c>
      <c r="AH69">
        <v>0.78662100000000001</v>
      </c>
      <c r="AI69" s="16">
        <v>1E-3</v>
      </c>
    </row>
    <row r="70" spans="1:35" x14ac:dyDescent="0.25">
      <c r="A70" t="s">
        <v>259</v>
      </c>
      <c r="B70" t="s">
        <v>564</v>
      </c>
      <c r="C70" t="s">
        <v>565</v>
      </c>
      <c r="D70" t="s">
        <v>240</v>
      </c>
      <c r="F70">
        <v>0.86204999999999998</v>
      </c>
      <c r="G70" s="1">
        <v>0.86204999999999998</v>
      </c>
      <c r="H70">
        <v>0.86204999999999998</v>
      </c>
      <c r="I70">
        <v>0.86204999999999998</v>
      </c>
      <c r="J70">
        <v>0.86204999999999998</v>
      </c>
      <c r="K70">
        <v>0.86204999999999998</v>
      </c>
      <c r="L70">
        <v>0.86204999999999998</v>
      </c>
      <c r="M70">
        <v>0.86204999999999998</v>
      </c>
      <c r="N70">
        <v>0.86204999999999998</v>
      </c>
      <c r="O70">
        <v>0.86204999999999998</v>
      </c>
      <c r="P70">
        <v>0.86204999999999998</v>
      </c>
      <c r="Q70">
        <v>0.86204999999999998</v>
      </c>
      <c r="R70">
        <v>0.86204999999999998</v>
      </c>
      <c r="S70">
        <v>0.86204999999999998</v>
      </c>
      <c r="T70">
        <v>0.86204999999999998</v>
      </c>
      <c r="U70">
        <v>0.86204999999999998</v>
      </c>
      <c r="V70">
        <v>0.86204999999999998</v>
      </c>
      <c r="W70">
        <v>0.86204999999999998</v>
      </c>
      <c r="X70">
        <v>0.86204999999999998</v>
      </c>
      <c r="Y70">
        <v>0.86204999999999998</v>
      </c>
      <c r="Z70">
        <v>0.86204999999999998</v>
      </c>
      <c r="AA70">
        <v>0.86204999999999998</v>
      </c>
      <c r="AB70">
        <v>0.86204999999999998</v>
      </c>
      <c r="AC70">
        <v>0.86204999999999998</v>
      </c>
      <c r="AD70">
        <v>0.86204999999999998</v>
      </c>
      <c r="AE70">
        <v>0.86204999999999998</v>
      </c>
      <c r="AF70">
        <v>0.86204999999999998</v>
      </c>
      <c r="AG70">
        <v>0.86204999999999998</v>
      </c>
      <c r="AH70">
        <v>0.86204999999999998</v>
      </c>
      <c r="AI70" s="16">
        <v>0</v>
      </c>
    </row>
    <row r="71" spans="1:35" x14ac:dyDescent="0.25">
      <c r="A71" t="s">
        <v>191</v>
      </c>
      <c r="B71" t="s">
        <v>566</v>
      </c>
      <c r="C71" t="s">
        <v>468</v>
      </c>
      <c r="D71" t="s">
        <v>240</v>
      </c>
      <c r="F71">
        <v>43.141810999999997</v>
      </c>
      <c r="G71" s="1">
        <v>49.324745</v>
      </c>
      <c r="H71">
        <v>54.277248</v>
      </c>
      <c r="I71">
        <v>58.297874</v>
      </c>
      <c r="J71">
        <v>60.587341000000002</v>
      </c>
      <c r="K71">
        <v>63.247978000000003</v>
      </c>
      <c r="L71">
        <v>65.571067999999997</v>
      </c>
      <c r="M71">
        <v>69.112335000000002</v>
      </c>
      <c r="N71">
        <v>71.701553000000004</v>
      </c>
      <c r="O71">
        <v>74.298064999999994</v>
      </c>
      <c r="P71">
        <v>76.633667000000003</v>
      </c>
      <c r="Q71">
        <v>79.958954000000006</v>
      </c>
      <c r="R71">
        <v>83.452399999999997</v>
      </c>
      <c r="S71">
        <v>85.554359000000005</v>
      </c>
      <c r="T71">
        <v>89.247414000000006</v>
      </c>
      <c r="U71">
        <v>91.487487999999999</v>
      </c>
      <c r="V71">
        <v>94.621819000000002</v>
      </c>
      <c r="W71">
        <v>97.540267999999998</v>
      </c>
      <c r="X71">
        <v>100.134277</v>
      </c>
      <c r="Y71">
        <v>102.395813</v>
      </c>
      <c r="Z71">
        <v>104.302109</v>
      </c>
      <c r="AA71">
        <v>105.978981</v>
      </c>
      <c r="AB71">
        <v>107.531494</v>
      </c>
      <c r="AC71">
        <v>109.058235</v>
      </c>
      <c r="AD71">
        <v>111.61190000000001</v>
      </c>
      <c r="AE71">
        <v>112.537209</v>
      </c>
      <c r="AF71">
        <v>114.04409</v>
      </c>
      <c r="AG71">
        <v>114.851089</v>
      </c>
      <c r="AH71">
        <v>115.432884</v>
      </c>
      <c r="AI71" s="16">
        <v>3.5999999999999997E-2</v>
      </c>
    </row>
    <row r="72" spans="1:35" x14ac:dyDescent="0.25">
      <c r="A72" t="s">
        <v>241</v>
      </c>
    </row>
    <row r="73" spans="1:35" x14ac:dyDescent="0.25">
      <c r="A73" t="s">
        <v>242</v>
      </c>
      <c r="B73" t="s">
        <v>567</v>
      </c>
      <c r="C73" t="s">
        <v>470</v>
      </c>
      <c r="D73" t="s">
        <v>240</v>
      </c>
      <c r="F73">
        <v>7.7965220000000004</v>
      </c>
      <c r="G73" s="1">
        <v>7.9140519999999999</v>
      </c>
      <c r="H73">
        <v>8.0300150000000006</v>
      </c>
      <c r="I73">
        <v>8.1640499999999996</v>
      </c>
      <c r="J73">
        <v>8.2799530000000008</v>
      </c>
      <c r="K73">
        <v>8.3879850000000005</v>
      </c>
      <c r="L73">
        <v>8.5068280000000005</v>
      </c>
      <c r="M73">
        <v>8.6406349999999996</v>
      </c>
      <c r="N73">
        <v>8.7865090000000006</v>
      </c>
      <c r="O73">
        <v>8.9388559999999995</v>
      </c>
      <c r="P73">
        <v>9.0872770000000003</v>
      </c>
      <c r="Q73">
        <v>9.2220680000000002</v>
      </c>
      <c r="R73">
        <v>9.3453029999999995</v>
      </c>
      <c r="S73">
        <v>9.4565509999999993</v>
      </c>
      <c r="T73">
        <v>9.5567189999999993</v>
      </c>
      <c r="U73">
        <v>9.6481960000000004</v>
      </c>
      <c r="V73">
        <v>9.7304040000000001</v>
      </c>
      <c r="W73">
        <v>9.8068840000000002</v>
      </c>
      <c r="X73">
        <v>9.8767180000000003</v>
      </c>
      <c r="Y73">
        <v>9.9426170000000003</v>
      </c>
      <c r="Z73">
        <v>10.007073999999999</v>
      </c>
      <c r="AA73">
        <v>10.071661000000001</v>
      </c>
      <c r="AB73">
        <v>10.136639000000001</v>
      </c>
      <c r="AC73">
        <v>10.202756000000001</v>
      </c>
      <c r="AD73">
        <v>10.27134</v>
      </c>
      <c r="AE73">
        <v>10.342048999999999</v>
      </c>
      <c r="AF73">
        <v>10.415813999999999</v>
      </c>
      <c r="AG73">
        <v>10.491967000000001</v>
      </c>
      <c r="AH73">
        <v>10.570430999999999</v>
      </c>
      <c r="AI73" s="16">
        <v>1.0999999999999999E-2</v>
      </c>
    </row>
    <row r="74" spans="1:35" x14ac:dyDescent="0.25">
      <c r="A74" t="s">
        <v>243</v>
      </c>
      <c r="B74" t="s">
        <v>568</v>
      </c>
      <c r="C74" t="s">
        <v>472</v>
      </c>
      <c r="D74" t="s">
        <v>240</v>
      </c>
      <c r="F74">
        <v>35.345286999999999</v>
      </c>
      <c r="G74" s="1">
        <v>41.410697999999996</v>
      </c>
      <c r="H74">
        <v>46.247233999999999</v>
      </c>
      <c r="I74">
        <v>50.133826999999997</v>
      </c>
      <c r="J74">
        <v>52.307392</v>
      </c>
      <c r="K74">
        <v>54.859993000000003</v>
      </c>
      <c r="L74">
        <v>57.064236000000001</v>
      </c>
      <c r="M74">
        <v>60.471702999999998</v>
      </c>
      <c r="N74">
        <v>62.915042999999997</v>
      </c>
      <c r="O74">
        <v>65.359206999999998</v>
      </c>
      <c r="P74">
        <v>67.546379000000002</v>
      </c>
      <c r="Q74">
        <v>70.736885000000001</v>
      </c>
      <c r="R74">
        <v>74.107094000000004</v>
      </c>
      <c r="S74">
        <v>76.097801000000004</v>
      </c>
      <c r="T74">
        <v>79.690697</v>
      </c>
      <c r="U74">
        <v>81.839279000000005</v>
      </c>
      <c r="V74">
        <v>84.891411000000005</v>
      </c>
      <c r="W74">
        <v>87.733383000000003</v>
      </c>
      <c r="X74">
        <v>90.257553000000001</v>
      </c>
      <c r="Y74">
        <v>92.453186000000002</v>
      </c>
      <c r="Z74">
        <v>94.295035999999996</v>
      </c>
      <c r="AA74">
        <v>95.907318000000004</v>
      </c>
      <c r="AB74">
        <v>97.394858999999997</v>
      </c>
      <c r="AC74">
        <v>98.855484000000004</v>
      </c>
      <c r="AD74">
        <v>101.340553</v>
      </c>
      <c r="AE74">
        <v>102.19516</v>
      </c>
      <c r="AF74">
        <v>103.62827299999999</v>
      </c>
      <c r="AG74">
        <v>104.359123</v>
      </c>
      <c r="AH74">
        <v>104.86245</v>
      </c>
      <c r="AI74" s="16">
        <v>0.04</v>
      </c>
    </row>
    <row r="75" spans="1:35" x14ac:dyDescent="0.25">
      <c r="A75" t="s">
        <v>244</v>
      </c>
    </row>
    <row r="76" spans="1:35" x14ac:dyDescent="0.25">
      <c r="A76" t="s">
        <v>271</v>
      </c>
      <c r="B76" t="s">
        <v>569</v>
      </c>
      <c r="C76" t="s">
        <v>570</v>
      </c>
      <c r="D76" t="s">
        <v>245</v>
      </c>
      <c r="F76">
        <v>1.0165280000000001</v>
      </c>
      <c r="G76" s="1">
        <v>1.0165280000000001</v>
      </c>
      <c r="H76">
        <v>1.0165280000000001</v>
      </c>
      <c r="I76">
        <v>1.0165280000000001</v>
      </c>
      <c r="J76">
        <v>1.0165280000000001</v>
      </c>
      <c r="K76">
        <v>1.0165280000000001</v>
      </c>
      <c r="L76">
        <v>1.0165280000000001</v>
      </c>
      <c r="M76">
        <v>1.0165280000000001</v>
      </c>
      <c r="N76">
        <v>1.0165280000000001</v>
      </c>
      <c r="O76">
        <v>1.0165280000000001</v>
      </c>
      <c r="P76">
        <v>1.0165280000000001</v>
      </c>
      <c r="Q76">
        <v>1.0165280000000001</v>
      </c>
      <c r="R76">
        <v>1.0165280000000001</v>
      </c>
      <c r="S76">
        <v>1.0165280000000001</v>
      </c>
      <c r="T76">
        <v>1.0165280000000001</v>
      </c>
      <c r="U76">
        <v>1.0165280000000001</v>
      </c>
      <c r="V76">
        <v>1.0165280000000001</v>
      </c>
      <c r="W76">
        <v>1.0165280000000001</v>
      </c>
      <c r="X76">
        <v>1.0165280000000001</v>
      </c>
      <c r="Y76">
        <v>1.0165280000000001</v>
      </c>
      <c r="Z76">
        <v>1.0165280000000001</v>
      </c>
      <c r="AA76">
        <v>1.0165280000000001</v>
      </c>
      <c r="AB76">
        <v>1.0165280000000001</v>
      </c>
      <c r="AC76">
        <v>1.0165280000000001</v>
      </c>
      <c r="AD76">
        <v>1.0165280000000001</v>
      </c>
      <c r="AE76">
        <v>1.0165280000000001</v>
      </c>
      <c r="AF76">
        <v>1.0165280000000001</v>
      </c>
      <c r="AG76">
        <v>1.0165280000000001</v>
      </c>
      <c r="AH76">
        <v>1.0165280000000001</v>
      </c>
      <c r="AI76" s="16">
        <v>0</v>
      </c>
    </row>
    <row r="77" spans="1:35" x14ac:dyDescent="0.25">
      <c r="A77" t="s">
        <v>197</v>
      </c>
      <c r="B77" t="s">
        <v>571</v>
      </c>
      <c r="C77" t="s">
        <v>572</v>
      </c>
      <c r="D77" t="s">
        <v>245</v>
      </c>
      <c r="F77">
        <v>102.695099</v>
      </c>
      <c r="G77" s="1">
        <v>104.688721</v>
      </c>
      <c r="H77">
        <v>106.936668</v>
      </c>
      <c r="I77">
        <v>108.52356</v>
      </c>
      <c r="J77">
        <v>109.95264400000001</v>
      </c>
      <c r="K77">
        <v>111.454178</v>
      </c>
      <c r="L77">
        <v>112.988495</v>
      </c>
      <c r="M77">
        <v>114.56694</v>
      </c>
      <c r="N77">
        <v>116.394722</v>
      </c>
      <c r="O77">
        <v>118.24170700000001</v>
      </c>
      <c r="P77">
        <v>120.19517500000001</v>
      </c>
      <c r="Q77">
        <v>121.982651</v>
      </c>
      <c r="R77">
        <v>123.64547</v>
      </c>
      <c r="S77">
        <v>125.14054899999999</v>
      </c>
      <c r="T77">
        <v>126.382019</v>
      </c>
      <c r="U77">
        <v>127.45240800000001</v>
      </c>
      <c r="V77">
        <v>128.580276</v>
      </c>
      <c r="W77">
        <v>129.79591400000001</v>
      </c>
      <c r="X77">
        <v>130.67846700000001</v>
      </c>
      <c r="Y77">
        <v>131.53282200000001</v>
      </c>
      <c r="Z77">
        <v>132.37248199999999</v>
      </c>
      <c r="AA77">
        <v>133.25744599999999</v>
      </c>
      <c r="AB77">
        <v>134.04570000000001</v>
      </c>
      <c r="AC77">
        <v>134.78710899999999</v>
      </c>
      <c r="AD77">
        <v>135.57063299999999</v>
      </c>
      <c r="AE77">
        <v>136.37170399999999</v>
      </c>
      <c r="AF77">
        <v>137.27465799999999</v>
      </c>
      <c r="AG77">
        <v>138.112167</v>
      </c>
      <c r="AH77">
        <v>138.97695899999999</v>
      </c>
      <c r="AI77" s="16">
        <v>1.0999999999999999E-2</v>
      </c>
    </row>
    <row r="78" spans="1:35" x14ac:dyDescent="0.25">
      <c r="A78" t="s">
        <v>238</v>
      </c>
      <c r="B78" t="s">
        <v>573</v>
      </c>
      <c r="C78" t="s">
        <v>476</v>
      </c>
      <c r="D78" t="s">
        <v>245</v>
      </c>
      <c r="F78">
        <v>261.81536899999998</v>
      </c>
      <c r="G78" s="1">
        <v>308.04424999999998</v>
      </c>
      <c r="H78">
        <v>349.12451199999998</v>
      </c>
      <c r="I78">
        <v>378.46252399999997</v>
      </c>
      <c r="J78">
        <v>393.90902699999998</v>
      </c>
      <c r="K78">
        <v>414.62033100000002</v>
      </c>
      <c r="L78">
        <v>431.87567100000001</v>
      </c>
      <c r="M78">
        <v>460.30529799999999</v>
      </c>
      <c r="N78">
        <v>480.62396200000001</v>
      </c>
      <c r="O78">
        <v>501.82757600000002</v>
      </c>
      <c r="P78">
        <v>519.754456</v>
      </c>
      <c r="Q78">
        <v>545.57995600000004</v>
      </c>
      <c r="R78">
        <v>573.58019999999999</v>
      </c>
      <c r="S78">
        <v>591.70874000000003</v>
      </c>
      <c r="T78">
        <v>620.73809800000004</v>
      </c>
      <c r="U78">
        <v>637.33618200000001</v>
      </c>
      <c r="V78">
        <v>658.83990500000004</v>
      </c>
      <c r="W78">
        <v>681.91436799999997</v>
      </c>
      <c r="X78">
        <v>701.09399399999995</v>
      </c>
      <c r="Y78">
        <v>720.85174600000005</v>
      </c>
      <c r="Z78">
        <v>735.41528300000004</v>
      </c>
      <c r="AA78">
        <v>748.40484600000002</v>
      </c>
      <c r="AB78">
        <v>761.18206799999996</v>
      </c>
      <c r="AC78">
        <v>772.83422900000005</v>
      </c>
      <c r="AD78">
        <v>793.08624299999997</v>
      </c>
      <c r="AE78">
        <v>800.96893299999999</v>
      </c>
      <c r="AF78">
        <v>811.40136700000005</v>
      </c>
      <c r="AG78">
        <v>818.58081100000004</v>
      </c>
      <c r="AH78">
        <v>819.180969</v>
      </c>
      <c r="AI78" s="16">
        <v>4.2000000000000003E-2</v>
      </c>
    </row>
    <row r="79" spans="1:35" x14ac:dyDescent="0.25">
      <c r="A79" t="s">
        <v>239</v>
      </c>
      <c r="B79" t="s">
        <v>574</v>
      </c>
      <c r="C79" t="s">
        <v>478</v>
      </c>
      <c r="D79" t="s">
        <v>245</v>
      </c>
      <c r="F79">
        <v>6.7917750000000003</v>
      </c>
      <c r="G79" s="1">
        <v>6.7889340000000002</v>
      </c>
      <c r="H79">
        <v>6.8487220000000004</v>
      </c>
      <c r="I79">
        <v>6.7939990000000003</v>
      </c>
      <c r="J79">
        <v>6.7299030000000002</v>
      </c>
      <c r="K79">
        <v>6.7143389999999998</v>
      </c>
      <c r="L79">
        <v>6.7315040000000002</v>
      </c>
      <c r="M79">
        <v>6.7956190000000003</v>
      </c>
      <c r="N79">
        <v>6.7823789999999997</v>
      </c>
      <c r="O79">
        <v>6.8196789999999998</v>
      </c>
      <c r="P79">
        <v>6.8348420000000001</v>
      </c>
      <c r="Q79">
        <v>6.8361929999999997</v>
      </c>
      <c r="R79">
        <v>6.8568100000000003</v>
      </c>
      <c r="S79">
        <v>6.9028080000000003</v>
      </c>
      <c r="T79">
        <v>6.9139020000000002</v>
      </c>
      <c r="U79">
        <v>6.8828230000000001</v>
      </c>
      <c r="V79">
        <v>6.8004189999999998</v>
      </c>
      <c r="W79">
        <v>6.8082890000000003</v>
      </c>
      <c r="X79">
        <v>6.7807579999999996</v>
      </c>
      <c r="Y79">
        <v>6.8042550000000004</v>
      </c>
      <c r="Z79">
        <v>6.8025869999999999</v>
      </c>
      <c r="AA79">
        <v>6.7917269999999998</v>
      </c>
      <c r="AB79">
        <v>6.7827000000000002</v>
      </c>
      <c r="AC79">
        <v>6.7688360000000003</v>
      </c>
      <c r="AD79">
        <v>6.7645239999999998</v>
      </c>
      <c r="AE79">
        <v>6.7665100000000002</v>
      </c>
      <c r="AF79">
        <v>6.7603850000000003</v>
      </c>
      <c r="AG79">
        <v>6.7543709999999999</v>
      </c>
      <c r="AH79">
        <v>6.7430329999999996</v>
      </c>
      <c r="AI79" s="16">
        <v>0</v>
      </c>
    </row>
    <row r="80" spans="1:35" x14ac:dyDescent="0.25">
      <c r="A80" t="s">
        <v>259</v>
      </c>
      <c r="B80" t="s">
        <v>575</v>
      </c>
      <c r="C80" t="s">
        <v>576</v>
      </c>
      <c r="D80" t="s">
        <v>245</v>
      </c>
      <c r="F80">
        <v>16.760142999999999</v>
      </c>
      <c r="G80" s="1">
        <v>16.760142999999999</v>
      </c>
      <c r="H80">
        <v>16.760142999999999</v>
      </c>
      <c r="I80">
        <v>16.760142999999999</v>
      </c>
      <c r="J80">
        <v>16.760142999999999</v>
      </c>
      <c r="K80">
        <v>16.760142999999999</v>
      </c>
      <c r="L80">
        <v>16.760142999999999</v>
      </c>
      <c r="M80">
        <v>16.760142999999999</v>
      </c>
      <c r="N80">
        <v>16.760142999999999</v>
      </c>
      <c r="O80">
        <v>16.760142999999999</v>
      </c>
      <c r="P80">
        <v>16.760142999999999</v>
      </c>
      <c r="Q80">
        <v>16.760142999999999</v>
      </c>
      <c r="R80">
        <v>16.760142999999999</v>
      </c>
      <c r="S80">
        <v>16.760142999999999</v>
      </c>
      <c r="T80">
        <v>16.760142999999999</v>
      </c>
      <c r="U80">
        <v>16.760142999999999</v>
      </c>
      <c r="V80">
        <v>16.760142999999999</v>
      </c>
      <c r="W80">
        <v>16.760142999999999</v>
      </c>
      <c r="X80">
        <v>16.760142999999999</v>
      </c>
      <c r="Y80">
        <v>16.760142999999999</v>
      </c>
      <c r="Z80">
        <v>16.760142999999999</v>
      </c>
      <c r="AA80">
        <v>16.760142999999999</v>
      </c>
      <c r="AB80">
        <v>16.760142999999999</v>
      </c>
      <c r="AC80">
        <v>16.760142999999999</v>
      </c>
      <c r="AD80">
        <v>16.760142999999999</v>
      </c>
      <c r="AE80">
        <v>16.760142999999999</v>
      </c>
      <c r="AF80">
        <v>16.760142999999999</v>
      </c>
      <c r="AG80">
        <v>16.760142999999999</v>
      </c>
      <c r="AH80">
        <v>16.760142999999999</v>
      </c>
      <c r="AI80" s="16">
        <v>0</v>
      </c>
    </row>
    <row r="81" spans="1:35" x14ac:dyDescent="0.25">
      <c r="A81" t="s">
        <v>191</v>
      </c>
      <c r="B81" t="s">
        <v>577</v>
      </c>
      <c r="C81" t="s">
        <v>480</v>
      </c>
      <c r="D81" t="s">
        <v>245</v>
      </c>
      <c r="F81">
        <v>389.07888800000001</v>
      </c>
      <c r="G81" s="1">
        <v>437.29858400000001</v>
      </c>
      <c r="H81">
        <v>480.686554</v>
      </c>
      <c r="I81">
        <v>511.55676299999999</v>
      </c>
      <c r="J81">
        <v>528.36822500000005</v>
      </c>
      <c r="K81">
        <v>550.56555200000003</v>
      </c>
      <c r="L81">
        <v>569.37231399999996</v>
      </c>
      <c r="M81">
        <v>599.44451900000001</v>
      </c>
      <c r="N81">
        <v>621.57769800000005</v>
      </c>
      <c r="O81">
        <v>644.66564900000003</v>
      </c>
      <c r="P81">
        <v>664.56115699999998</v>
      </c>
      <c r="Q81">
        <v>692.17541500000004</v>
      </c>
      <c r="R81">
        <v>721.85913100000005</v>
      </c>
      <c r="S81">
        <v>741.52880900000002</v>
      </c>
      <c r="T81">
        <v>771.81066899999996</v>
      </c>
      <c r="U81">
        <v>789.44805899999994</v>
      </c>
      <c r="V81">
        <v>811.997253</v>
      </c>
      <c r="W81">
        <v>836.29522699999995</v>
      </c>
      <c r="X81">
        <v>856.32989499999996</v>
      </c>
      <c r="Y81">
        <v>876.96551499999998</v>
      </c>
      <c r="Z81">
        <v>892.36706500000003</v>
      </c>
      <c r="AA81">
        <v>906.23071300000004</v>
      </c>
      <c r="AB81">
        <v>919.78710899999999</v>
      </c>
      <c r="AC81">
        <v>932.16687000000002</v>
      </c>
      <c r="AD81">
        <v>953.19805899999994</v>
      </c>
      <c r="AE81">
        <v>961.88385000000005</v>
      </c>
      <c r="AF81">
        <v>973.21307400000001</v>
      </c>
      <c r="AG81">
        <v>981.22399900000005</v>
      </c>
      <c r="AH81">
        <v>982.67761199999995</v>
      </c>
      <c r="AI81" s="16">
        <v>3.4000000000000002E-2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D7AE-769E-4749-8258-C6193598C5A3}">
  <dimension ref="A1:AG81"/>
  <sheetViews>
    <sheetView topLeftCell="A49" workbookViewId="0">
      <selection activeCell="H42" sqref="H42"/>
    </sheetView>
  </sheetViews>
  <sheetFormatPr defaultRowHeight="15" x14ac:dyDescent="0.25"/>
  <cols>
    <col min="1" max="1" width="37.42578125" customWidth="1"/>
    <col min="2" max="2" width="107.7109375" bestFit="1" customWidth="1"/>
  </cols>
  <sheetData>
    <row r="1" spans="1:33" x14ac:dyDescent="0.25">
      <c r="A1" t="s">
        <v>246</v>
      </c>
    </row>
    <row r="2" spans="1:33" x14ac:dyDescent="0.25">
      <c r="A2" t="s">
        <v>825</v>
      </c>
    </row>
    <row r="3" spans="1:33" x14ac:dyDescent="0.25">
      <c r="A3" t="s">
        <v>824</v>
      </c>
    </row>
    <row r="4" spans="1:33" x14ac:dyDescent="0.25">
      <c r="A4" t="s">
        <v>177</v>
      </c>
    </row>
    <row r="5" spans="1:33" x14ac:dyDescent="0.25">
      <c r="B5" t="s">
        <v>178</v>
      </c>
      <c r="C5" t="s">
        <v>179</v>
      </c>
      <c r="D5" t="s">
        <v>180</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715</v>
      </c>
    </row>
    <row r="6" spans="1:33" x14ac:dyDescent="0.25">
      <c r="A6" t="s">
        <v>5</v>
      </c>
    </row>
    <row r="7" spans="1:33" x14ac:dyDescent="0.25">
      <c r="A7" t="s">
        <v>247</v>
      </c>
    </row>
    <row r="8" spans="1:33" x14ac:dyDescent="0.25">
      <c r="A8" t="s">
        <v>248</v>
      </c>
      <c r="B8" t="s">
        <v>823</v>
      </c>
      <c r="C8" t="s">
        <v>822</v>
      </c>
      <c r="D8" t="s">
        <v>249</v>
      </c>
      <c r="F8">
        <v>0.84867999999999999</v>
      </c>
      <c r="G8">
        <v>0.88404899999999997</v>
      </c>
      <c r="H8">
        <v>0.89417500000000005</v>
      </c>
      <c r="I8">
        <v>0.90364999999999995</v>
      </c>
      <c r="J8">
        <v>0.91047699999999998</v>
      </c>
      <c r="K8">
        <v>0.91443099999999999</v>
      </c>
      <c r="L8">
        <v>0.91583099999999995</v>
      </c>
      <c r="M8">
        <v>0.91812199999999999</v>
      </c>
      <c r="N8">
        <v>0.92017499999999997</v>
      </c>
      <c r="O8">
        <v>0.92177100000000001</v>
      </c>
      <c r="P8">
        <v>0.92458399999999996</v>
      </c>
      <c r="Q8">
        <v>0.92938100000000001</v>
      </c>
      <c r="R8">
        <v>0.93603099999999995</v>
      </c>
      <c r="S8">
        <v>0.94353100000000001</v>
      </c>
      <c r="T8">
        <v>0.95072900000000005</v>
      </c>
      <c r="U8">
        <v>0.95842899999999998</v>
      </c>
      <c r="V8">
        <v>0.96596599999999999</v>
      </c>
      <c r="W8">
        <v>0.973333</v>
      </c>
      <c r="X8">
        <v>0.98049200000000003</v>
      </c>
      <c r="Y8">
        <v>0.98783200000000004</v>
      </c>
      <c r="Z8">
        <v>0.99549600000000005</v>
      </c>
      <c r="AA8">
        <v>1.0033859999999999</v>
      </c>
      <c r="AB8">
        <v>1.011123</v>
      </c>
      <c r="AC8">
        <v>1.0192289999999999</v>
      </c>
      <c r="AD8">
        <v>1.027779</v>
      </c>
      <c r="AE8">
        <v>1.036476</v>
      </c>
      <c r="AF8">
        <v>1.0453220000000001</v>
      </c>
      <c r="AG8" s="16">
        <v>8.0000000000000002E-3</v>
      </c>
    </row>
    <row r="9" spans="1:33" x14ac:dyDescent="0.25">
      <c r="A9" t="s">
        <v>250</v>
      </c>
      <c r="B9" t="s">
        <v>821</v>
      </c>
      <c r="C9" t="s">
        <v>820</v>
      </c>
      <c r="D9" t="s">
        <v>249</v>
      </c>
      <c r="F9">
        <v>1.0179240000000001</v>
      </c>
      <c r="G9">
        <v>1.051998</v>
      </c>
      <c r="H9">
        <v>1.0637779999999999</v>
      </c>
      <c r="I9">
        <v>1.0739019999999999</v>
      </c>
      <c r="J9">
        <v>1.0812120000000001</v>
      </c>
      <c r="K9">
        <v>1.0853429999999999</v>
      </c>
      <c r="L9">
        <v>1.0859650000000001</v>
      </c>
      <c r="M9">
        <v>1.0869800000000001</v>
      </c>
      <c r="N9">
        <v>1.087402</v>
      </c>
      <c r="O9">
        <v>1.0869180000000001</v>
      </c>
      <c r="P9">
        <v>1.087472</v>
      </c>
      <c r="Q9">
        <v>1.090411</v>
      </c>
      <c r="R9">
        <v>1.0952820000000001</v>
      </c>
      <c r="S9">
        <v>1.100983</v>
      </c>
      <c r="T9">
        <v>1.106382</v>
      </c>
      <c r="U9">
        <v>1.1123449999999999</v>
      </c>
      <c r="V9">
        <v>1.117577</v>
      </c>
      <c r="W9">
        <v>1.122382</v>
      </c>
      <c r="X9">
        <v>1.126814</v>
      </c>
      <c r="Y9">
        <v>1.131356</v>
      </c>
      <c r="Z9">
        <v>1.136234</v>
      </c>
      <c r="AA9">
        <v>1.1412549999999999</v>
      </c>
      <c r="AB9">
        <v>1.145905</v>
      </c>
      <c r="AC9">
        <v>1.1508480000000001</v>
      </c>
      <c r="AD9">
        <v>1.1561030000000001</v>
      </c>
      <c r="AE9">
        <v>1.161276</v>
      </c>
      <c r="AF9">
        <v>1.1663539999999999</v>
      </c>
      <c r="AG9" s="16">
        <v>5.0000000000000001E-3</v>
      </c>
    </row>
    <row r="10" spans="1:33" x14ac:dyDescent="0.25">
      <c r="A10" t="s">
        <v>251</v>
      </c>
      <c r="B10" t="s">
        <v>819</v>
      </c>
      <c r="C10" t="s">
        <v>818</v>
      </c>
      <c r="D10" t="s">
        <v>249</v>
      </c>
      <c r="F10">
        <v>0.19708000000000001</v>
      </c>
      <c r="G10">
        <v>0.20136299999999999</v>
      </c>
      <c r="H10">
        <v>0.20273099999999999</v>
      </c>
      <c r="I10">
        <v>0.20441000000000001</v>
      </c>
      <c r="J10">
        <v>0.205563</v>
      </c>
      <c r="K10">
        <v>0.20605699999999999</v>
      </c>
      <c r="L10">
        <v>0.20571700000000001</v>
      </c>
      <c r="M10">
        <v>0.205627</v>
      </c>
      <c r="N10">
        <v>0.20551900000000001</v>
      </c>
      <c r="O10">
        <v>0.205291</v>
      </c>
      <c r="P10">
        <v>0.20524100000000001</v>
      </c>
      <c r="Q10">
        <v>0.20556099999999999</v>
      </c>
      <c r="R10">
        <v>0.206175</v>
      </c>
      <c r="S10">
        <v>0.20688500000000001</v>
      </c>
      <c r="T10">
        <v>0.20747099999999999</v>
      </c>
      <c r="U10">
        <v>0.20807300000000001</v>
      </c>
      <c r="V10">
        <v>0.208533</v>
      </c>
      <c r="W10">
        <v>0.209096</v>
      </c>
      <c r="X10">
        <v>0.209596</v>
      </c>
      <c r="Y10">
        <v>0.210064</v>
      </c>
      <c r="Z10">
        <v>0.210534</v>
      </c>
      <c r="AA10">
        <v>0.210984</v>
      </c>
      <c r="AB10">
        <v>0.211364</v>
      </c>
      <c r="AC10">
        <v>0.21174999999999999</v>
      </c>
      <c r="AD10">
        <v>0.21215000000000001</v>
      </c>
      <c r="AE10">
        <v>0.21249699999999999</v>
      </c>
      <c r="AF10">
        <v>0.212814</v>
      </c>
      <c r="AG10" s="16">
        <v>3.0000000000000001E-3</v>
      </c>
    </row>
    <row r="11" spans="1:33" x14ac:dyDescent="0.25">
      <c r="A11" t="s">
        <v>252</v>
      </c>
      <c r="B11" t="s">
        <v>817</v>
      </c>
      <c r="C11" t="s">
        <v>816</v>
      </c>
      <c r="D11" t="s">
        <v>249</v>
      </c>
      <c r="F11">
        <v>0.36001899999999998</v>
      </c>
      <c r="G11">
        <v>0.36967699999999998</v>
      </c>
      <c r="H11">
        <v>0.374469</v>
      </c>
      <c r="I11">
        <v>0.37878400000000001</v>
      </c>
      <c r="J11">
        <v>0.38170300000000001</v>
      </c>
      <c r="K11">
        <v>0.383299</v>
      </c>
      <c r="L11">
        <v>0.38369500000000001</v>
      </c>
      <c r="M11">
        <v>0.38439099999999998</v>
      </c>
      <c r="N11">
        <v>0.38486599999999999</v>
      </c>
      <c r="O11">
        <v>0.38509599999999999</v>
      </c>
      <c r="P11">
        <v>0.38578299999999999</v>
      </c>
      <c r="Q11">
        <v>0.38734400000000002</v>
      </c>
      <c r="R11">
        <v>0.38963100000000001</v>
      </c>
      <c r="S11">
        <v>0.39217600000000002</v>
      </c>
      <c r="T11">
        <v>0.39450400000000002</v>
      </c>
      <c r="U11">
        <v>0.39685999999999999</v>
      </c>
      <c r="V11">
        <v>0.39888800000000002</v>
      </c>
      <c r="W11">
        <v>0.40082400000000001</v>
      </c>
      <c r="X11">
        <v>0.40257199999999999</v>
      </c>
      <c r="Y11">
        <v>0.40425899999999998</v>
      </c>
      <c r="Z11">
        <v>0.40596599999999999</v>
      </c>
      <c r="AA11">
        <v>0.40762999999999999</v>
      </c>
      <c r="AB11">
        <v>0.40909899999999999</v>
      </c>
      <c r="AC11">
        <v>0.41065400000000002</v>
      </c>
      <c r="AD11">
        <v>0.412275</v>
      </c>
      <c r="AE11">
        <v>0.41379300000000002</v>
      </c>
      <c r="AF11">
        <v>0.41520299999999999</v>
      </c>
      <c r="AG11" s="16">
        <v>6.0000000000000001E-3</v>
      </c>
    </row>
    <row r="12" spans="1:33" x14ac:dyDescent="0.25">
      <c r="A12" t="s">
        <v>253</v>
      </c>
      <c r="B12" t="s">
        <v>815</v>
      </c>
      <c r="C12" t="s">
        <v>814</v>
      </c>
      <c r="D12" t="s">
        <v>249</v>
      </c>
      <c r="F12">
        <v>0.42599399999999998</v>
      </c>
      <c r="G12">
        <v>0.44456800000000002</v>
      </c>
      <c r="H12">
        <v>0.45241199999999998</v>
      </c>
      <c r="I12">
        <v>0.459559</v>
      </c>
      <c r="J12">
        <v>0.46516999999999997</v>
      </c>
      <c r="K12">
        <v>0.46929500000000002</v>
      </c>
      <c r="L12">
        <v>0.47185500000000002</v>
      </c>
      <c r="M12">
        <v>0.47451399999999999</v>
      </c>
      <c r="N12">
        <v>0.47677399999999998</v>
      </c>
      <c r="O12">
        <v>0.47870400000000002</v>
      </c>
      <c r="P12">
        <v>0.48130200000000001</v>
      </c>
      <c r="Q12">
        <v>0.485045</v>
      </c>
      <c r="R12">
        <v>0.48985899999999999</v>
      </c>
      <c r="S12">
        <v>0.49523</v>
      </c>
      <c r="T12">
        <v>0.50055899999999998</v>
      </c>
      <c r="U12">
        <v>0.50620200000000004</v>
      </c>
      <c r="V12">
        <v>0.51155200000000001</v>
      </c>
      <c r="W12">
        <v>0.516625</v>
      </c>
      <c r="X12">
        <v>0.52146800000000004</v>
      </c>
      <c r="Y12">
        <v>0.52626399999999995</v>
      </c>
      <c r="Z12">
        <v>0.53128699999999995</v>
      </c>
      <c r="AA12">
        <v>0.53642599999999996</v>
      </c>
      <c r="AB12">
        <v>0.54142800000000002</v>
      </c>
      <c r="AC12">
        <v>0.54669999999999996</v>
      </c>
      <c r="AD12">
        <v>0.552199</v>
      </c>
      <c r="AE12">
        <v>0.55766400000000005</v>
      </c>
      <c r="AF12">
        <v>0.56313199999999997</v>
      </c>
      <c r="AG12" s="16">
        <v>1.0999999999999999E-2</v>
      </c>
    </row>
    <row r="13" spans="1:33" x14ac:dyDescent="0.25">
      <c r="A13" t="s">
        <v>254</v>
      </c>
      <c r="B13" t="s">
        <v>813</v>
      </c>
      <c r="C13" t="s">
        <v>812</v>
      </c>
      <c r="D13" t="s">
        <v>249</v>
      </c>
      <c r="F13">
        <v>0.68128999999999995</v>
      </c>
      <c r="G13">
        <v>0.70705499999999999</v>
      </c>
      <c r="H13">
        <v>0.72161500000000001</v>
      </c>
      <c r="I13">
        <v>0.73589199999999999</v>
      </c>
      <c r="J13">
        <v>0.74813600000000002</v>
      </c>
      <c r="K13">
        <v>0.75817999999999997</v>
      </c>
      <c r="L13">
        <v>0.76574600000000004</v>
      </c>
      <c r="M13">
        <v>0.77356800000000003</v>
      </c>
      <c r="N13">
        <v>0.781026</v>
      </c>
      <c r="O13">
        <v>0.78819600000000001</v>
      </c>
      <c r="P13">
        <v>0.79633399999999999</v>
      </c>
      <c r="Q13">
        <v>0.80609600000000003</v>
      </c>
      <c r="R13">
        <v>0.81744600000000001</v>
      </c>
      <c r="S13">
        <v>0.82960299999999998</v>
      </c>
      <c r="T13">
        <v>0.84157700000000002</v>
      </c>
      <c r="U13">
        <v>0.85406000000000004</v>
      </c>
      <c r="V13">
        <v>0.86616400000000004</v>
      </c>
      <c r="W13">
        <v>0.87792499999999996</v>
      </c>
      <c r="X13">
        <v>0.88938499999999998</v>
      </c>
      <c r="Y13">
        <v>0.90087099999999998</v>
      </c>
      <c r="Z13">
        <v>0.91272600000000004</v>
      </c>
      <c r="AA13">
        <v>0.92478300000000002</v>
      </c>
      <c r="AB13">
        <v>0.93669800000000003</v>
      </c>
      <c r="AC13">
        <v>0.94911299999999998</v>
      </c>
      <c r="AD13">
        <v>0.96192200000000005</v>
      </c>
      <c r="AE13">
        <v>0.974742</v>
      </c>
      <c r="AF13">
        <v>0.98767300000000002</v>
      </c>
      <c r="AG13" s="16">
        <v>1.4E-2</v>
      </c>
    </row>
    <row r="14" spans="1:33" x14ac:dyDescent="0.25">
      <c r="A14" t="s">
        <v>255</v>
      </c>
      <c r="B14" t="s">
        <v>811</v>
      </c>
      <c r="C14" t="s">
        <v>810</v>
      </c>
      <c r="D14" t="s">
        <v>249</v>
      </c>
      <c r="F14">
        <v>0.84531199999999995</v>
      </c>
      <c r="G14">
        <v>0.86479600000000001</v>
      </c>
      <c r="H14">
        <v>0.87357799999999997</v>
      </c>
      <c r="I14">
        <v>0.88402400000000003</v>
      </c>
      <c r="J14">
        <v>0.89253400000000005</v>
      </c>
      <c r="K14">
        <v>0.898061</v>
      </c>
      <c r="L14">
        <v>0.89984299999999995</v>
      </c>
      <c r="M14">
        <v>0.90124000000000004</v>
      </c>
      <c r="N14">
        <v>0.90227299999999999</v>
      </c>
      <c r="O14">
        <v>0.90309399999999995</v>
      </c>
      <c r="P14">
        <v>0.90500400000000003</v>
      </c>
      <c r="Q14">
        <v>0.90824800000000006</v>
      </c>
      <c r="R14">
        <v>0.91310000000000002</v>
      </c>
      <c r="S14">
        <v>0.91880099999999998</v>
      </c>
      <c r="T14">
        <v>0.924095</v>
      </c>
      <c r="U14">
        <v>0.93000499999999997</v>
      </c>
      <c r="V14">
        <v>0.93598999999999999</v>
      </c>
      <c r="W14">
        <v>0.94165200000000004</v>
      </c>
      <c r="X14">
        <v>0.94701500000000005</v>
      </c>
      <c r="Y14">
        <v>0.95232899999999998</v>
      </c>
      <c r="Z14">
        <v>0.95793499999999998</v>
      </c>
      <c r="AA14">
        <v>0.96369800000000005</v>
      </c>
      <c r="AB14">
        <v>0.96928999999999998</v>
      </c>
      <c r="AC14">
        <v>0.97495500000000002</v>
      </c>
      <c r="AD14">
        <v>0.98092900000000005</v>
      </c>
      <c r="AE14">
        <v>0.98694499999999996</v>
      </c>
      <c r="AF14">
        <v>0.99305600000000005</v>
      </c>
      <c r="AG14" s="16">
        <v>6.0000000000000001E-3</v>
      </c>
    </row>
    <row r="15" spans="1:33" x14ac:dyDescent="0.25">
      <c r="A15" t="s">
        <v>256</v>
      </c>
      <c r="B15" t="s">
        <v>809</v>
      </c>
      <c r="C15" t="s">
        <v>808</v>
      </c>
      <c r="D15" t="s">
        <v>249</v>
      </c>
      <c r="F15">
        <v>0.54838399999999998</v>
      </c>
      <c r="G15">
        <v>0.564639</v>
      </c>
      <c r="H15">
        <v>0.57295799999999997</v>
      </c>
      <c r="I15">
        <v>0.58193399999999995</v>
      </c>
      <c r="J15">
        <v>0.58942799999999995</v>
      </c>
      <c r="K15">
        <v>0.59474199999999999</v>
      </c>
      <c r="L15">
        <v>0.59773900000000002</v>
      </c>
      <c r="M15">
        <v>0.60075999999999996</v>
      </c>
      <c r="N15">
        <v>0.60371900000000001</v>
      </c>
      <c r="O15">
        <v>0.60624100000000003</v>
      </c>
      <c r="P15">
        <v>0.60965800000000003</v>
      </c>
      <c r="Q15">
        <v>0.61435899999999999</v>
      </c>
      <c r="R15">
        <v>0.62003299999999995</v>
      </c>
      <c r="S15">
        <v>0.62623799999999996</v>
      </c>
      <c r="T15">
        <v>0.63217400000000001</v>
      </c>
      <c r="U15">
        <v>0.63841700000000001</v>
      </c>
      <c r="V15">
        <v>0.64474600000000004</v>
      </c>
      <c r="W15">
        <v>0.65113600000000005</v>
      </c>
      <c r="X15">
        <v>0.65745100000000001</v>
      </c>
      <c r="Y15">
        <v>0.66384900000000002</v>
      </c>
      <c r="Z15">
        <v>0.67047000000000001</v>
      </c>
      <c r="AA15">
        <v>0.67719399999999996</v>
      </c>
      <c r="AB15">
        <v>0.68386599999999997</v>
      </c>
      <c r="AC15">
        <v>0.69088300000000002</v>
      </c>
      <c r="AD15">
        <v>0.69813800000000004</v>
      </c>
      <c r="AE15">
        <v>0.70546299999999995</v>
      </c>
      <c r="AF15">
        <v>0.71294800000000003</v>
      </c>
      <c r="AG15" s="16">
        <v>0.01</v>
      </c>
    </row>
    <row r="16" spans="1:33" x14ac:dyDescent="0.25">
      <c r="A16" t="s">
        <v>257</v>
      </c>
      <c r="B16" t="s">
        <v>807</v>
      </c>
      <c r="C16" t="s">
        <v>806</v>
      </c>
      <c r="D16" t="s">
        <v>249</v>
      </c>
      <c r="F16">
        <v>1.2937700000000001</v>
      </c>
      <c r="G16">
        <v>1.331958</v>
      </c>
      <c r="H16">
        <v>1.3457490000000001</v>
      </c>
      <c r="I16">
        <v>1.359766</v>
      </c>
      <c r="J16">
        <v>1.37026</v>
      </c>
      <c r="K16">
        <v>1.375947</v>
      </c>
      <c r="L16">
        <v>1.375796</v>
      </c>
      <c r="M16">
        <v>1.376849</v>
      </c>
      <c r="N16">
        <v>1.3776930000000001</v>
      </c>
      <c r="O16">
        <v>1.377624</v>
      </c>
      <c r="P16">
        <v>1.378849</v>
      </c>
      <c r="Q16">
        <v>1.3833359999999999</v>
      </c>
      <c r="R16">
        <v>1.390393</v>
      </c>
      <c r="S16">
        <v>1.398474</v>
      </c>
      <c r="T16">
        <v>1.405899</v>
      </c>
      <c r="U16">
        <v>1.4138329999999999</v>
      </c>
      <c r="V16">
        <v>1.420698</v>
      </c>
      <c r="W16">
        <v>1.4273229999999999</v>
      </c>
      <c r="X16">
        <v>1.4336089999999999</v>
      </c>
      <c r="Y16">
        <v>1.4400010000000001</v>
      </c>
      <c r="Z16">
        <v>1.4466399999999999</v>
      </c>
      <c r="AA16">
        <v>1.453325</v>
      </c>
      <c r="AB16">
        <v>1.4595370000000001</v>
      </c>
      <c r="AC16">
        <v>1.466175</v>
      </c>
      <c r="AD16">
        <v>1.4730840000000001</v>
      </c>
      <c r="AE16">
        <v>1.4799119999999999</v>
      </c>
      <c r="AF16">
        <v>1.486415</v>
      </c>
      <c r="AG16" s="16">
        <v>5.0000000000000001E-3</v>
      </c>
    </row>
    <row r="17" spans="1:33" x14ac:dyDescent="0.25">
      <c r="A17" t="s">
        <v>258</v>
      </c>
      <c r="B17" t="s">
        <v>805</v>
      </c>
      <c r="C17" t="s">
        <v>804</v>
      </c>
      <c r="D17" t="s">
        <v>249</v>
      </c>
      <c r="F17">
        <v>0.71577199999999996</v>
      </c>
      <c r="G17">
        <v>0.72448100000000004</v>
      </c>
      <c r="H17">
        <v>0.74137600000000003</v>
      </c>
      <c r="I17">
        <v>0.75723799999999997</v>
      </c>
      <c r="J17">
        <v>0.77171800000000002</v>
      </c>
      <c r="K17">
        <v>0.78420299999999998</v>
      </c>
      <c r="L17">
        <v>0.79412099999999997</v>
      </c>
      <c r="M17">
        <v>0.80472999999999995</v>
      </c>
      <c r="N17">
        <v>0.81553500000000001</v>
      </c>
      <c r="O17">
        <v>0.82627899999999999</v>
      </c>
      <c r="P17">
        <v>0.83818199999999998</v>
      </c>
      <c r="Q17">
        <v>0.85149699999999995</v>
      </c>
      <c r="R17">
        <v>0.86593299999999995</v>
      </c>
      <c r="S17">
        <v>0.88115500000000002</v>
      </c>
      <c r="T17">
        <v>0.89632299999999998</v>
      </c>
      <c r="U17">
        <v>0.91208999999999996</v>
      </c>
      <c r="V17">
        <v>0.928087</v>
      </c>
      <c r="W17">
        <v>0.94431900000000002</v>
      </c>
      <c r="X17">
        <v>0.96060900000000005</v>
      </c>
      <c r="Y17">
        <v>0.97718700000000003</v>
      </c>
      <c r="Z17">
        <v>0.99419900000000005</v>
      </c>
      <c r="AA17">
        <v>1.011541</v>
      </c>
      <c r="AB17">
        <v>1.028967</v>
      </c>
      <c r="AC17">
        <v>1.04695</v>
      </c>
      <c r="AD17">
        <v>1.065453</v>
      </c>
      <c r="AE17">
        <v>1.084217</v>
      </c>
      <c r="AF17">
        <v>1.103227</v>
      </c>
      <c r="AG17" s="16">
        <v>1.7000000000000001E-2</v>
      </c>
    </row>
    <row r="18" spans="1:33" x14ac:dyDescent="0.25">
      <c r="A18" t="s">
        <v>259</v>
      </c>
      <c r="B18" t="s">
        <v>803</v>
      </c>
      <c r="C18" t="s">
        <v>802</v>
      </c>
      <c r="D18" t="s">
        <v>249</v>
      </c>
      <c r="F18">
        <v>0.57760599999999995</v>
      </c>
      <c r="G18">
        <v>0.60371200000000003</v>
      </c>
      <c r="H18">
        <v>0.62371399999999999</v>
      </c>
      <c r="I18">
        <v>0.64481100000000002</v>
      </c>
      <c r="J18">
        <v>0.66541300000000003</v>
      </c>
      <c r="K18">
        <v>0.68476800000000004</v>
      </c>
      <c r="L18">
        <v>0.70257499999999995</v>
      </c>
      <c r="M18">
        <v>0.72082400000000002</v>
      </c>
      <c r="N18">
        <v>0.739429</v>
      </c>
      <c r="O18">
        <v>0.758544</v>
      </c>
      <c r="P18">
        <v>0.77908699999999997</v>
      </c>
      <c r="Q18">
        <v>0.80137000000000003</v>
      </c>
      <c r="R18">
        <v>0.82562800000000003</v>
      </c>
      <c r="S18">
        <v>0.85149799999999998</v>
      </c>
      <c r="T18">
        <v>0.87790999999999997</v>
      </c>
      <c r="U18">
        <v>0.90566899999999995</v>
      </c>
      <c r="V18">
        <v>0.93444099999999997</v>
      </c>
      <c r="W18">
        <v>0.96408199999999999</v>
      </c>
      <c r="X18">
        <v>0.99449100000000001</v>
      </c>
      <c r="Y18">
        <v>1.0258670000000001</v>
      </c>
      <c r="Z18">
        <v>1.058732</v>
      </c>
      <c r="AA18">
        <v>1.092843</v>
      </c>
      <c r="AB18">
        <v>1.1279399999999999</v>
      </c>
      <c r="AC18">
        <v>1.164685</v>
      </c>
      <c r="AD18">
        <v>1.2030019999999999</v>
      </c>
      <c r="AE18">
        <v>1.242329</v>
      </c>
      <c r="AF18">
        <v>1.2833669999999999</v>
      </c>
      <c r="AG18" s="16">
        <v>3.1E-2</v>
      </c>
    </row>
    <row r="19" spans="1:33" x14ac:dyDescent="0.25">
      <c r="A19" t="s">
        <v>191</v>
      </c>
      <c r="B19" t="s">
        <v>801</v>
      </c>
      <c r="C19" t="s">
        <v>800</v>
      </c>
      <c r="D19" t="s">
        <v>249</v>
      </c>
      <c r="F19">
        <v>7.5118309999999999</v>
      </c>
      <c r="G19">
        <v>7.7482930000000003</v>
      </c>
      <c r="H19">
        <v>7.8665560000000001</v>
      </c>
      <c r="I19">
        <v>7.9839690000000001</v>
      </c>
      <c r="J19">
        <v>8.0816140000000001</v>
      </c>
      <c r="K19">
        <v>8.154325</v>
      </c>
      <c r="L19">
        <v>8.1988839999999996</v>
      </c>
      <c r="M19">
        <v>8.2476040000000008</v>
      </c>
      <c r="N19">
        <v>8.2944110000000002</v>
      </c>
      <c r="O19">
        <v>8.3377590000000001</v>
      </c>
      <c r="P19">
        <v>8.3914969999999993</v>
      </c>
      <c r="Q19">
        <v>8.4626479999999997</v>
      </c>
      <c r="R19">
        <v>8.5495099999999997</v>
      </c>
      <c r="S19">
        <v>8.6445740000000004</v>
      </c>
      <c r="T19">
        <v>8.7376249999999995</v>
      </c>
      <c r="U19">
        <v>8.8359839999999998</v>
      </c>
      <c r="V19">
        <v>8.9326419999999995</v>
      </c>
      <c r="W19">
        <v>9.0286969999999993</v>
      </c>
      <c r="X19">
        <v>9.1235029999999995</v>
      </c>
      <c r="Y19">
        <v>9.2198770000000003</v>
      </c>
      <c r="Z19">
        <v>9.3202200000000008</v>
      </c>
      <c r="AA19">
        <v>9.4230640000000001</v>
      </c>
      <c r="AB19">
        <v>9.5252149999999993</v>
      </c>
      <c r="AC19">
        <v>9.6319409999999994</v>
      </c>
      <c r="AD19">
        <v>9.7430339999999998</v>
      </c>
      <c r="AE19">
        <v>9.8553130000000007</v>
      </c>
      <c r="AF19">
        <v>9.9695119999999999</v>
      </c>
      <c r="AG19" s="16">
        <v>1.0999999999999999E-2</v>
      </c>
    </row>
    <row r="20" spans="1:33" x14ac:dyDescent="0.25">
      <c r="A20" t="s">
        <v>6</v>
      </c>
    </row>
    <row r="21" spans="1:33" x14ac:dyDescent="0.25">
      <c r="A21" t="s">
        <v>260</v>
      </c>
    </row>
    <row r="22" spans="1:33" x14ac:dyDescent="0.25">
      <c r="A22" t="s">
        <v>248</v>
      </c>
      <c r="B22" t="s">
        <v>799</v>
      </c>
      <c r="C22" t="s">
        <v>798</v>
      </c>
      <c r="D22" t="s">
        <v>261</v>
      </c>
      <c r="F22">
        <v>12.817468</v>
      </c>
      <c r="G22">
        <v>13.024554999999999</v>
      </c>
      <c r="H22">
        <v>13.145020000000001</v>
      </c>
      <c r="I22">
        <v>13.285360000000001</v>
      </c>
      <c r="J22">
        <v>13.435477000000001</v>
      </c>
      <c r="K22">
        <v>13.58338</v>
      </c>
      <c r="L22">
        <v>13.724409</v>
      </c>
      <c r="M22">
        <v>13.860393999999999</v>
      </c>
      <c r="N22">
        <v>13.995576</v>
      </c>
      <c r="O22">
        <v>14.131164999999999</v>
      </c>
      <c r="P22">
        <v>14.266126999999999</v>
      </c>
      <c r="Q22">
        <v>14.398698</v>
      </c>
      <c r="R22">
        <v>14.526923</v>
      </c>
      <c r="S22">
        <v>14.649872999999999</v>
      </c>
      <c r="T22">
        <v>14.767887999999999</v>
      </c>
      <c r="U22">
        <v>14.881608999999999</v>
      </c>
      <c r="V22">
        <v>14.991705</v>
      </c>
      <c r="W22">
        <v>15.098834999999999</v>
      </c>
      <c r="X22">
        <v>15.203424999999999</v>
      </c>
      <c r="Y22">
        <v>15.305864</v>
      </c>
      <c r="Z22">
        <v>15.406606999999999</v>
      </c>
      <c r="AA22">
        <v>15.506073000000001</v>
      </c>
      <c r="AB22">
        <v>15.604649999999999</v>
      </c>
      <c r="AC22">
        <v>15.702631</v>
      </c>
      <c r="AD22">
        <v>15.800198999999999</v>
      </c>
      <c r="AE22">
        <v>15.897416</v>
      </c>
      <c r="AF22">
        <v>15.994262000000001</v>
      </c>
      <c r="AG22" s="16">
        <v>8.9999999999999993E-3</v>
      </c>
    </row>
    <row r="23" spans="1:33" x14ac:dyDescent="0.25">
      <c r="A23" t="s">
        <v>250</v>
      </c>
      <c r="B23" t="s">
        <v>797</v>
      </c>
      <c r="C23" t="s">
        <v>796</v>
      </c>
      <c r="D23" t="s">
        <v>261</v>
      </c>
      <c r="F23">
        <v>14.477226999999999</v>
      </c>
      <c r="G23">
        <v>14.669399</v>
      </c>
      <c r="H23">
        <v>14.860004</v>
      </c>
      <c r="I23">
        <v>15.074451</v>
      </c>
      <c r="J23">
        <v>15.301549</v>
      </c>
      <c r="K23">
        <v>15.527782</v>
      </c>
      <c r="L23">
        <v>15.747817</v>
      </c>
      <c r="M23">
        <v>15.963676</v>
      </c>
      <c r="N23">
        <v>16.180205999999998</v>
      </c>
      <c r="O23">
        <v>16.398797999999999</v>
      </c>
      <c r="P23">
        <v>16.618282000000001</v>
      </c>
      <c r="Q23">
        <v>16.836611000000001</v>
      </c>
      <c r="R23">
        <v>17.051476999999998</v>
      </c>
      <c r="S23">
        <v>17.261756999999999</v>
      </c>
      <c r="T23">
        <v>17.467796</v>
      </c>
      <c r="U23">
        <v>17.670296</v>
      </c>
      <c r="V23">
        <v>17.870014000000001</v>
      </c>
      <c r="W23">
        <v>18.067698</v>
      </c>
      <c r="X23">
        <v>18.263833999999999</v>
      </c>
      <c r="Y23">
        <v>18.458870000000001</v>
      </c>
      <c r="Z23">
        <v>18.653334000000001</v>
      </c>
      <c r="AA23">
        <v>18.847738</v>
      </c>
      <c r="AB23">
        <v>19.042535999999998</v>
      </c>
      <c r="AC23">
        <v>19.238104</v>
      </c>
      <c r="AD23">
        <v>19.434661999999999</v>
      </c>
      <c r="AE23">
        <v>19.632297999999999</v>
      </c>
      <c r="AF23">
        <v>19.831005000000001</v>
      </c>
      <c r="AG23" s="16">
        <v>1.2E-2</v>
      </c>
    </row>
    <row r="24" spans="1:33" x14ac:dyDescent="0.25">
      <c r="A24" t="s">
        <v>251</v>
      </c>
      <c r="B24" t="s">
        <v>795</v>
      </c>
      <c r="C24" t="s">
        <v>794</v>
      </c>
      <c r="D24" t="s">
        <v>261</v>
      </c>
      <c r="F24">
        <v>1.013164</v>
      </c>
      <c r="G24">
        <v>1.031002</v>
      </c>
      <c r="H24">
        <v>1.040686</v>
      </c>
      <c r="I24">
        <v>1.051947</v>
      </c>
      <c r="J24">
        <v>1.0639860000000001</v>
      </c>
      <c r="K24">
        <v>1.075855</v>
      </c>
      <c r="L24">
        <v>1.087183</v>
      </c>
      <c r="M24">
        <v>1.098117</v>
      </c>
      <c r="N24">
        <v>1.1089910000000001</v>
      </c>
      <c r="O24">
        <v>1.119901</v>
      </c>
      <c r="P24">
        <v>1.1307670000000001</v>
      </c>
      <c r="Q24">
        <v>1.1414470000000001</v>
      </c>
      <c r="R24">
        <v>1.1517869999999999</v>
      </c>
      <c r="S24">
        <v>1.161713</v>
      </c>
      <c r="T24">
        <v>1.171252</v>
      </c>
      <c r="U24">
        <v>1.180455</v>
      </c>
      <c r="V24">
        <v>1.1893739999999999</v>
      </c>
      <c r="W24">
        <v>1.198062</v>
      </c>
      <c r="X24">
        <v>1.206553</v>
      </c>
      <c r="Y24">
        <v>1.2148760000000001</v>
      </c>
      <c r="Z24">
        <v>1.223069</v>
      </c>
      <c r="AA24">
        <v>1.231166</v>
      </c>
      <c r="AB24">
        <v>1.239195</v>
      </c>
      <c r="AC24">
        <v>1.2471810000000001</v>
      </c>
      <c r="AD24">
        <v>1.2551380000000001</v>
      </c>
      <c r="AE24">
        <v>1.2630710000000001</v>
      </c>
      <c r="AF24">
        <v>1.27098</v>
      </c>
      <c r="AG24" s="16">
        <v>8.9999999999999993E-3</v>
      </c>
    </row>
    <row r="25" spans="1:33" x14ac:dyDescent="0.25">
      <c r="A25" t="s">
        <v>252</v>
      </c>
      <c r="B25" t="s">
        <v>793</v>
      </c>
      <c r="C25" t="s">
        <v>792</v>
      </c>
      <c r="D25" t="s">
        <v>261</v>
      </c>
      <c r="F25">
        <v>1.401535</v>
      </c>
      <c r="G25">
        <v>1.4271020000000001</v>
      </c>
      <c r="H25">
        <v>1.4415979999999999</v>
      </c>
      <c r="I25">
        <v>1.458307</v>
      </c>
      <c r="J25">
        <v>1.476126</v>
      </c>
      <c r="K25">
        <v>1.493741</v>
      </c>
      <c r="L25">
        <v>1.5106390000000001</v>
      </c>
      <c r="M25">
        <v>1.527021</v>
      </c>
      <c r="N25">
        <v>1.5433509999999999</v>
      </c>
      <c r="O25">
        <v>1.5597650000000001</v>
      </c>
      <c r="P25">
        <v>1.576147</v>
      </c>
      <c r="Q25">
        <v>1.592303</v>
      </c>
      <c r="R25">
        <v>1.6080179999999999</v>
      </c>
      <c r="S25">
        <v>1.623186</v>
      </c>
      <c r="T25">
        <v>1.6378459999999999</v>
      </c>
      <c r="U25">
        <v>1.6520649999999999</v>
      </c>
      <c r="V25">
        <v>1.665918</v>
      </c>
      <c r="W25">
        <v>1.6794770000000001</v>
      </c>
      <c r="X25">
        <v>1.6927890000000001</v>
      </c>
      <c r="Y25">
        <v>1.7058960000000001</v>
      </c>
      <c r="Z25">
        <v>1.71885</v>
      </c>
      <c r="AA25">
        <v>1.7316959999999999</v>
      </c>
      <c r="AB25">
        <v>1.744478</v>
      </c>
      <c r="AC25">
        <v>1.757228</v>
      </c>
      <c r="AD25">
        <v>1.769968</v>
      </c>
      <c r="AE25">
        <v>1.7827040000000001</v>
      </c>
      <c r="AF25">
        <v>1.795436</v>
      </c>
      <c r="AG25" s="16">
        <v>0.01</v>
      </c>
    </row>
    <row r="26" spans="1:33" x14ac:dyDescent="0.25">
      <c r="A26" t="s">
        <v>253</v>
      </c>
      <c r="B26" t="s">
        <v>791</v>
      </c>
      <c r="C26" t="s">
        <v>790</v>
      </c>
      <c r="D26" t="s">
        <v>261</v>
      </c>
      <c r="F26">
        <v>2.4833980000000002</v>
      </c>
      <c r="G26">
        <v>2.5297079999999998</v>
      </c>
      <c r="H26">
        <v>2.5717409999999998</v>
      </c>
      <c r="I26">
        <v>2.6181290000000002</v>
      </c>
      <c r="J26">
        <v>2.6669700000000001</v>
      </c>
      <c r="K26">
        <v>2.715932</v>
      </c>
      <c r="L26">
        <v>2.7640820000000001</v>
      </c>
      <c r="M26">
        <v>2.811763</v>
      </c>
      <c r="N26">
        <v>2.8598189999999999</v>
      </c>
      <c r="O26">
        <v>2.9084979999999998</v>
      </c>
      <c r="P26">
        <v>2.9575960000000001</v>
      </c>
      <c r="Q26">
        <v>3.0067499999999998</v>
      </c>
      <c r="R26">
        <v>3.055545</v>
      </c>
      <c r="S26">
        <v>3.1037729999999999</v>
      </c>
      <c r="T26">
        <v>3.1514890000000002</v>
      </c>
      <c r="U26">
        <v>3.1988089999999998</v>
      </c>
      <c r="V26">
        <v>3.2458650000000002</v>
      </c>
      <c r="W26">
        <v>3.2927870000000001</v>
      </c>
      <c r="X26">
        <v>3.339661</v>
      </c>
      <c r="Y26">
        <v>3.3865630000000002</v>
      </c>
      <c r="Z26">
        <v>3.4335900000000001</v>
      </c>
      <c r="AA26">
        <v>3.4808340000000002</v>
      </c>
      <c r="AB26">
        <v>3.528378</v>
      </c>
      <c r="AC26">
        <v>3.5762930000000002</v>
      </c>
      <c r="AD26">
        <v>3.6246200000000002</v>
      </c>
      <c r="AE26">
        <v>3.673378</v>
      </c>
      <c r="AF26">
        <v>3.7225670000000002</v>
      </c>
      <c r="AG26" s="16">
        <v>1.6E-2</v>
      </c>
    </row>
    <row r="27" spans="1:33" x14ac:dyDescent="0.25">
      <c r="A27" t="s">
        <v>254</v>
      </c>
      <c r="B27" t="s">
        <v>789</v>
      </c>
      <c r="C27" t="s">
        <v>788</v>
      </c>
      <c r="D27" t="s">
        <v>261</v>
      </c>
      <c r="F27">
        <v>7.4181350000000004</v>
      </c>
      <c r="G27">
        <v>7.5840610000000002</v>
      </c>
      <c r="H27">
        <v>7.7083870000000001</v>
      </c>
      <c r="I27">
        <v>7.8457090000000003</v>
      </c>
      <c r="J27">
        <v>7.9903219999999999</v>
      </c>
      <c r="K27">
        <v>8.1352309999999992</v>
      </c>
      <c r="L27">
        <v>8.2776370000000004</v>
      </c>
      <c r="M27">
        <v>8.4185739999999996</v>
      </c>
      <c r="N27">
        <v>8.5605689999999992</v>
      </c>
      <c r="O27">
        <v>8.7043649999999992</v>
      </c>
      <c r="P27">
        <v>8.8493490000000001</v>
      </c>
      <c r="Q27">
        <v>8.9944319999999998</v>
      </c>
      <c r="R27">
        <v>9.1383770000000002</v>
      </c>
      <c r="S27">
        <v>9.2805610000000005</v>
      </c>
      <c r="T27">
        <v>9.4211469999999995</v>
      </c>
      <c r="U27">
        <v>9.5604899999999997</v>
      </c>
      <c r="V27">
        <v>9.6989769999999993</v>
      </c>
      <c r="W27">
        <v>9.8370049999999996</v>
      </c>
      <c r="X27">
        <v>9.9748219999999996</v>
      </c>
      <c r="Y27">
        <v>10.112667</v>
      </c>
      <c r="Z27">
        <v>10.250821</v>
      </c>
      <c r="AA27">
        <v>10.389561</v>
      </c>
      <c r="AB27">
        <v>10.529137</v>
      </c>
      <c r="AC27">
        <v>10.669755</v>
      </c>
      <c r="AD27">
        <v>10.811544</v>
      </c>
      <c r="AE27">
        <v>10.954556</v>
      </c>
      <c r="AF27">
        <v>11.098789999999999</v>
      </c>
      <c r="AG27" s="16">
        <v>1.6E-2</v>
      </c>
    </row>
    <row r="28" spans="1:33" x14ac:dyDescent="0.25">
      <c r="A28" t="s">
        <v>255</v>
      </c>
      <c r="B28" t="s">
        <v>787</v>
      </c>
      <c r="C28" t="s">
        <v>786</v>
      </c>
      <c r="D28" t="s">
        <v>261</v>
      </c>
      <c r="F28">
        <v>11.034375000000001</v>
      </c>
      <c r="G28">
        <v>11.170792</v>
      </c>
      <c r="H28">
        <v>11.289731</v>
      </c>
      <c r="I28">
        <v>11.426095999999999</v>
      </c>
      <c r="J28">
        <v>11.571279000000001</v>
      </c>
      <c r="K28">
        <v>11.714988999999999</v>
      </c>
      <c r="L28">
        <v>11.853201</v>
      </c>
      <c r="M28">
        <v>11.987477</v>
      </c>
      <c r="N28">
        <v>12.12147</v>
      </c>
      <c r="O28">
        <v>12.256226</v>
      </c>
      <c r="P28">
        <v>12.390857</v>
      </c>
      <c r="Q28">
        <v>12.523828</v>
      </c>
      <c r="R28">
        <v>12.653435</v>
      </c>
      <c r="S28">
        <v>12.778854000000001</v>
      </c>
      <c r="T28">
        <v>12.900372000000001</v>
      </c>
      <c r="U28">
        <v>13.018527000000001</v>
      </c>
      <c r="V28">
        <v>13.133893</v>
      </c>
      <c r="W28">
        <v>13.247038</v>
      </c>
      <c r="X28">
        <v>13.358326999999999</v>
      </c>
      <c r="Y28">
        <v>13.468095999999999</v>
      </c>
      <c r="Z28">
        <v>13.576739</v>
      </c>
      <c r="AA28">
        <v>13.684623</v>
      </c>
      <c r="AB28">
        <v>13.792088</v>
      </c>
      <c r="AC28">
        <v>13.899397</v>
      </c>
      <c r="AD28">
        <v>14.006705999999999</v>
      </c>
      <c r="AE28">
        <v>14.114076000000001</v>
      </c>
      <c r="AF28">
        <v>14.221491</v>
      </c>
      <c r="AG28" s="16">
        <v>0.01</v>
      </c>
    </row>
    <row r="29" spans="1:33" x14ac:dyDescent="0.25">
      <c r="A29" t="s">
        <v>256</v>
      </c>
      <c r="B29" t="s">
        <v>785</v>
      </c>
      <c r="C29" t="s">
        <v>784</v>
      </c>
      <c r="D29" t="s">
        <v>261</v>
      </c>
      <c r="F29">
        <v>8.0951559999999994</v>
      </c>
      <c r="G29">
        <v>8.1972699999999996</v>
      </c>
      <c r="H29">
        <v>8.2870749999999997</v>
      </c>
      <c r="I29">
        <v>8.3897119999999994</v>
      </c>
      <c r="J29">
        <v>8.4988720000000004</v>
      </c>
      <c r="K29">
        <v>8.6070030000000006</v>
      </c>
      <c r="L29">
        <v>8.7111529999999995</v>
      </c>
      <c r="M29">
        <v>8.8124549999999999</v>
      </c>
      <c r="N29">
        <v>8.9135980000000004</v>
      </c>
      <c r="O29">
        <v>9.0153490000000005</v>
      </c>
      <c r="P29">
        <v>9.1170559999999998</v>
      </c>
      <c r="Q29">
        <v>9.2175890000000003</v>
      </c>
      <c r="R29">
        <v>9.3156920000000003</v>
      </c>
      <c r="S29">
        <v>9.4107570000000003</v>
      </c>
      <c r="T29">
        <v>9.5029880000000002</v>
      </c>
      <c r="U29">
        <v>9.5927830000000007</v>
      </c>
      <c r="V29">
        <v>9.6805610000000009</v>
      </c>
      <c r="W29">
        <v>9.7667400000000004</v>
      </c>
      <c r="X29">
        <v>9.8515840000000008</v>
      </c>
      <c r="Y29">
        <v>9.9353429999999996</v>
      </c>
      <c r="Z29">
        <v>10.018303</v>
      </c>
      <c r="AA29">
        <v>10.100739000000001</v>
      </c>
      <c r="AB29">
        <v>10.182895</v>
      </c>
      <c r="AC29">
        <v>10.264968</v>
      </c>
      <c r="AD29">
        <v>10.347072000000001</v>
      </c>
      <c r="AE29">
        <v>10.429251000000001</v>
      </c>
      <c r="AF29">
        <v>10.511497</v>
      </c>
      <c r="AG29" s="16">
        <v>0.01</v>
      </c>
    </row>
    <row r="30" spans="1:33" x14ac:dyDescent="0.25">
      <c r="A30" t="s">
        <v>257</v>
      </c>
      <c r="B30" t="s">
        <v>783</v>
      </c>
      <c r="C30" t="s">
        <v>782</v>
      </c>
      <c r="D30" t="s">
        <v>261</v>
      </c>
      <c r="F30">
        <v>17.797789000000002</v>
      </c>
      <c r="G30">
        <v>18.087166</v>
      </c>
      <c r="H30">
        <v>18.296322</v>
      </c>
      <c r="I30">
        <v>18.534037000000001</v>
      </c>
      <c r="J30">
        <v>18.786425000000001</v>
      </c>
      <c r="K30">
        <v>19.036812000000001</v>
      </c>
      <c r="L30">
        <v>19.278666000000001</v>
      </c>
      <c r="M30">
        <v>19.514486000000002</v>
      </c>
      <c r="N30">
        <v>19.750214</v>
      </c>
      <c r="O30">
        <v>19.987541</v>
      </c>
      <c r="P30">
        <v>20.225027000000001</v>
      </c>
      <c r="Q30">
        <v>20.460169</v>
      </c>
      <c r="R30">
        <v>20.690165</v>
      </c>
      <c r="S30">
        <v>20.913661999999999</v>
      </c>
      <c r="T30">
        <v>21.131105000000002</v>
      </c>
      <c r="U30">
        <v>21.343359</v>
      </c>
      <c r="V30">
        <v>21.551352999999999</v>
      </c>
      <c r="W30">
        <v>21.756001000000001</v>
      </c>
      <c r="X30">
        <v>21.957896999999999</v>
      </c>
      <c r="Y30">
        <v>22.157578999999998</v>
      </c>
      <c r="Z30">
        <v>22.355694</v>
      </c>
      <c r="AA30">
        <v>22.552841000000001</v>
      </c>
      <c r="AB30">
        <v>22.749566999999999</v>
      </c>
      <c r="AC30">
        <v>22.946315999999999</v>
      </c>
      <c r="AD30">
        <v>23.143336999999999</v>
      </c>
      <c r="AE30">
        <v>23.340731000000002</v>
      </c>
      <c r="AF30">
        <v>23.538468999999999</v>
      </c>
      <c r="AG30" s="16">
        <v>1.0999999999999999E-2</v>
      </c>
    </row>
    <row r="31" spans="1:33" x14ac:dyDescent="0.25">
      <c r="A31" t="s">
        <v>258</v>
      </c>
      <c r="B31" t="s">
        <v>781</v>
      </c>
      <c r="C31" t="s">
        <v>780</v>
      </c>
      <c r="D31" t="s">
        <v>261</v>
      </c>
      <c r="F31">
        <v>20.811036999999999</v>
      </c>
      <c r="G31">
        <v>20.688267</v>
      </c>
      <c r="H31">
        <v>21.090682999999999</v>
      </c>
      <c r="I31">
        <v>21.530262</v>
      </c>
      <c r="J31">
        <v>21.991648000000001</v>
      </c>
      <c r="K31">
        <v>22.455756999999998</v>
      </c>
      <c r="L31">
        <v>22.914847999999999</v>
      </c>
      <c r="M31">
        <v>23.371706</v>
      </c>
      <c r="N31">
        <v>23.833302</v>
      </c>
      <c r="O31">
        <v>24.301704000000001</v>
      </c>
      <c r="P31">
        <v>24.775219</v>
      </c>
      <c r="Q31">
        <v>25.250817999999999</v>
      </c>
      <c r="R31">
        <v>25.725010000000001</v>
      </c>
      <c r="S31">
        <v>26.195992</v>
      </c>
      <c r="T31">
        <v>26.664169000000001</v>
      </c>
      <c r="U31">
        <v>27.130500999999999</v>
      </c>
      <c r="V31">
        <v>27.596041</v>
      </c>
      <c r="W31">
        <v>28.061879999999999</v>
      </c>
      <c r="X31">
        <v>28.528696</v>
      </c>
      <c r="Y31">
        <v>28.997156</v>
      </c>
      <c r="Z31">
        <v>29.468057999999999</v>
      </c>
      <c r="AA31">
        <v>29.942181000000001</v>
      </c>
      <c r="AB31">
        <v>30.420248000000001</v>
      </c>
      <c r="AC31">
        <v>30.902866</v>
      </c>
      <c r="AD31">
        <v>31.390402000000002</v>
      </c>
      <c r="AE31">
        <v>31.883022</v>
      </c>
      <c r="AF31">
        <v>32.380737000000003</v>
      </c>
      <c r="AG31" s="16">
        <v>1.7000000000000001E-2</v>
      </c>
    </row>
    <row r="32" spans="1:33" x14ac:dyDescent="0.25">
      <c r="A32" t="s">
        <v>259</v>
      </c>
      <c r="B32" t="s">
        <v>779</v>
      </c>
      <c r="C32" t="s">
        <v>778</v>
      </c>
      <c r="D32" t="s">
        <v>261</v>
      </c>
      <c r="F32">
        <v>6.0225790000000003</v>
      </c>
      <c r="G32">
        <v>6.1126230000000001</v>
      </c>
      <c r="H32">
        <v>6.2037740000000001</v>
      </c>
      <c r="I32">
        <v>6.3051709999999996</v>
      </c>
      <c r="J32">
        <v>6.4121899999999998</v>
      </c>
      <c r="K32">
        <v>6.5191949999999999</v>
      </c>
      <c r="L32">
        <v>6.6239429999999997</v>
      </c>
      <c r="M32">
        <v>6.7272740000000004</v>
      </c>
      <c r="N32">
        <v>6.8312169999999997</v>
      </c>
      <c r="O32">
        <v>6.9363630000000001</v>
      </c>
      <c r="P32">
        <v>7.0422190000000002</v>
      </c>
      <c r="Q32">
        <v>7.1479210000000002</v>
      </c>
      <c r="R32">
        <v>7.2524860000000002</v>
      </c>
      <c r="S32">
        <v>7.3554250000000003</v>
      </c>
      <c r="T32">
        <v>7.4568779999999997</v>
      </c>
      <c r="U32">
        <v>7.5571330000000003</v>
      </c>
      <c r="V32">
        <v>7.656504</v>
      </c>
      <c r="W32">
        <v>7.7553049999999999</v>
      </c>
      <c r="X32">
        <v>7.8537410000000003</v>
      </c>
      <c r="Y32">
        <v>7.9519979999999997</v>
      </c>
      <c r="Z32">
        <v>8.0503040000000006</v>
      </c>
      <c r="AA32">
        <v>8.1488759999999996</v>
      </c>
      <c r="AB32">
        <v>8.2479099999999992</v>
      </c>
      <c r="AC32">
        <v>8.347569</v>
      </c>
      <c r="AD32">
        <v>8.4479500000000005</v>
      </c>
      <c r="AE32">
        <v>8.5490940000000002</v>
      </c>
      <c r="AF32">
        <v>8.6509990000000005</v>
      </c>
      <c r="AG32" s="16">
        <v>1.4E-2</v>
      </c>
    </row>
    <row r="33" spans="1:33" x14ac:dyDescent="0.25">
      <c r="A33" t="s">
        <v>191</v>
      </c>
      <c r="B33" t="s">
        <v>777</v>
      </c>
      <c r="C33" t="s">
        <v>776</v>
      </c>
      <c r="D33" t="s">
        <v>261</v>
      </c>
      <c r="F33">
        <v>103.371872</v>
      </c>
      <c r="G33">
        <v>104.521942</v>
      </c>
      <c r="H33">
        <v>105.93501999999999</v>
      </c>
      <c r="I33">
        <v>107.51917299999999</v>
      </c>
      <c r="J33">
        <v>109.194839</v>
      </c>
      <c r="K33">
        <v>110.86567700000001</v>
      </c>
      <c r="L33">
        <v>112.493576</v>
      </c>
      <c r="M33">
        <v>114.092941</v>
      </c>
      <c r="N33">
        <v>115.698311</v>
      </c>
      <c r="O33">
        <v>117.319672</v>
      </c>
      <c r="P33">
        <v>118.948654</v>
      </c>
      <c r="Q33">
        <v>120.57055699999999</v>
      </c>
      <c r="R33">
        <v>122.168915</v>
      </c>
      <c r="S33">
        <v>123.735558</v>
      </c>
      <c r="T33">
        <v>125.272926</v>
      </c>
      <c r="U33">
        <v>126.786034</v>
      </c>
      <c r="V33">
        <v>128.28019699999999</v>
      </c>
      <c r="W33">
        <v>129.76083399999999</v>
      </c>
      <c r="X33">
        <v>131.231323</v>
      </c>
      <c r="Y33">
        <v>132.69490099999999</v>
      </c>
      <c r="Z33">
        <v>134.15536499999999</v>
      </c>
      <c r="AA33">
        <v>135.616333</v>
      </c>
      <c r="AB33">
        <v>137.08107000000001</v>
      </c>
      <c r="AC33">
        <v>138.55230700000001</v>
      </c>
      <c r="AD33">
        <v>140.031586</v>
      </c>
      <c r="AE33">
        <v>141.51959199999999</v>
      </c>
      <c r="AF33">
        <v>143.01623499999999</v>
      </c>
      <c r="AG33" s="16">
        <v>1.2999999999999999E-2</v>
      </c>
    </row>
    <row r="34" spans="1:33" x14ac:dyDescent="0.25">
      <c r="A34" t="s">
        <v>3</v>
      </c>
    </row>
    <row r="35" spans="1:33" x14ac:dyDescent="0.25">
      <c r="A35" t="s">
        <v>229</v>
      </c>
    </row>
    <row r="36" spans="1:33" x14ac:dyDescent="0.25">
      <c r="A36" t="s">
        <v>147</v>
      </c>
      <c r="B36" t="s">
        <v>775</v>
      </c>
      <c r="C36" t="s">
        <v>774</v>
      </c>
      <c r="D36" t="s">
        <v>262</v>
      </c>
      <c r="F36">
        <v>1.689959</v>
      </c>
      <c r="G36">
        <v>1.6662589999999999</v>
      </c>
      <c r="H36">
        <v>1.6422669999999999</v>
      </c>
      <c r="I36">
        <v>1.618919</v>
      </c>
      <c r="J36">
        <v>1.5970089999999999</v>
      </c>
      <c r="K36">
        <v>1.580247</v>
      </c>
      <c r="L36">
        <v>1.560718</v>
      </c>
      <c r="M36">
        <v>1.543037</v>
      </c>
      <c r="N36">
        <v>1.526859</v>
      </c>
      <c r="O36">
        <v>1.5199510000000001</v>
      </c>
      <c r="P36">
        <v>1.512956</v>
      </c>
      <c r="Q36">
        <v>1.4966550000000001</v>
      </c>
      <c r="R36">
        <v>1.4814620000000001</v>
      </c>
      <c r="S36">
        <v>1.4672499999999999</v>
      </c>
      <c r="T36">
        <v>1.4540900000000001</v>
      </c>
      <c r="U36">
        <v>1.441667</v>
      </c>
      <c r="V36">
        <v>1.4300029999999999</v>
      </c>
      <c r="W36">
        <v>1.4191469999999999</v>
      </c>
      <c r="X36">
        <v>1.409232</v>
      </c>
      <c r="Y36">
        <v>1.3999630000000001</v>
      </c>
      <c r="Z36">
        <v>1.3912679999999999</v>
      </c>
      <c r="AA36">
        <v>1.3831830000000001</v>
      </c>
      <c r="AB36">
        <v>1.3757699999999999</v>
      </c>
      <c r="AC36">
        <v>1.3689579999999999</v>
      </c>
      <c r="AD36">
        <v>1.36269</v>
      </c>
      <c r="AE36">
        <v>1.3568629999999999</v>
      </c>
      <c r="AF36">
        <v>1.351421</v>
      </c>
      <c r="AG36" s="16">
        <v>-8.9999999999999993E-3</v>
      </c>
    </row>
    <row r="37" spans="1:33" x14ac:dyDescent="0.25">
      <c r="A37" t="s">
        <v>197</v>
      </c>
      <c r="B37" t="s">
        <v>773</v>
      </c>
      <c r="C37" t="s">
        <v>772</v>
      </c>
      <c r="D37" t="s">
        <v>262</v>
      </c>
      <c r="F37">
        <v>0.82015700000000002</v>
      </c>
      <c r="G37">
        <v>0.81988899999999998</v>
      </c>
      <c r="H37">
        <v>0.81961200000000001</v>
      </c>
      <c r="I37">
        <v>0.81933999999999996</v>
      </c>
      <c r="J37">
        <v>0.81907200000000002</v>
      </c>
      <c r="K37">
        <v>0.81881199999999998</v>
      </c>
      <c r="L37">
        <v>0.81856099999999998</v>
      </c>
      <c r="M37">
        <v>0.81831500000000001</v>
      </c>
      <c r="N37">
        <v>0.81807700000000005</v>
      </c>
      <c r="O37">
        <v>0.81784400000000002</v>
      </c>
      <c r="P37">
        <v>0.81761899999999998</v>
      </c>
      <c r="Q37">
        <v>0.81739499999999998</v>
      </c>
      <c r="R37">
        <v>0.81717799999999996</v>
      </c>
      <c r="S37">
        <v>0.81696800000000003</v>
      </c>
      <c r="T37">
        <v>0.81676199999999999</v>
      </c>
      <c r="U37">
        <v>0.81656399999999996</v>
      </c>
      <c r="V37">
        <v>0.81637099999999996</v>
      </c>
      <c r="W37">
        <v>0.81618100000000005</v>
      </c>
      <c r="X37">
        <v>0.81599900000000003</v>
      </c>
      <c r="Y37">
        <v>0.81581999999999999</v>
      </c>
      <c r="Z37">
        <v>0.81564800000000004</v>
      </c>
      <c r="AA37">
        <v>0.81547999999999998</v>
      </c>
      <c r="AB37">
        <v>0.81531699999999996</v>
      </c>
      <c r="AC37">
        <v>0.81515899999999997</v>
      </c>
      <c r="AD37">
        <v>0.81500399999999995</v>
      </c>
      <c r="AE37">
        <v>0.81485399999999997</v>
      </c>
      <c r="AF37">
        <v>0.81470799999999999</v>
      </c>
      <c r="AG37" s="16">
        <v>0</v>
      </c>
    </row>
    <row r="38" spans="1:33" x14ac:dyDescent="0.25">
      <c r="A38" t="s">
        <v>187</v>
      </c>
      <c r="B38" t="s">
        <v>771</v>
      </c>
      <c r="C38" t="s">
        <v>770</v>
      </c>
      <c r="D38" t="s">
        <v>262</v>
      </c>
      <c r="F38">
        <v>0.84058299999999997</v>
      </c>
      <c r="G38">
        <v>0.84081499999999998</v>
      </c>
      <c r="H38">
        <v>0.84099599999999997</v>
      </c>
      <c r="I38">
        <v>0.84111599999999997</v>
      </c>
      <c r="J38">
        <v>0.84119600000000005</v>
      </c>
      <c r="K38">
        <v>0.84125099999999997</v>
      </c>
      <c r="L38">
        <v>0.84127700000000005</v>
      </c>
      <c r="M38">
        <v>0.841283</v>
      </c>
      <c r="N38">
        <v>0.84126800000000002</v>
      </c>
      <c r="O38">
        <v>0.84123999999999999</v>
      </c>
      <c r="P38">
        <v>0.84119500000000003</v>
      </c>
      <c r="Q38">
        <v>0.84113000000000004</v>
      </c>
      <c r="R38">
        <v>0.84103700000000003</v>
      </c>
      <c r="S38">
        <v>0.84093399999999996</v>
      </c>
      <c r="T38">
        <v>0.84082199999999996</v>
      </c>
      <c r="U38">
        <v>0.84069700000000003</v>
      </c>
      <c r="V38">
        <v>0.84056600000000004</v>
      </c>
      <c r="W38">
        <v>0.84042799999999995</v>
      </c>
      <c r="X38">
        <v>0.840283</v>
      </c>
      <c r="Y38">
        <v>0.84013199999999999</v>
      </c>
      <c r="Z38">
        <v>0.83997999999999995</v>
      </c>
      <c r="AA38">
        <v>0.83982100000000004</v>
      </c>
      <c r="AB38">
        <v>0.83965699999999999</v>
      </c>
      <c r="AC38">
        <v>0.83948800000000001</v>
      </c>
      <c r="AD38">
        <v>0.83931599999999995</v>
      </c>
      <c r="AE38">
        <v>0.83914299999999997</v>
      </c>
      <c r="AF38">
        <v>0.83896499999999996</v>
      </c>
      <c r="AG38" s="16">
        <v>0</v>
      </c>
    </row>
    <row r="39" spans="1:33" x14ac:dyDescent="0.25">
      <c r="A39" t="s">
        <v>213</v>
      </c>
    </row>
    <row r="40" spans="1:33" x14ac:dyDescent="0.25">
      <c r="A40" t="s">
        <v>147</v>
      </c>
      <c r="B40" t="s">
        <v>769</v>
      </c>
      <c r="C40" t="s">
        <v>768</v>
      </c>
      <c r="D40" t="s">
        <v>262</v>
      </c>
      <c r="F40">
        <v>4.2587089999999996</v>
      </c>
      <c r="G40">
        <v>4.300516</v>
      </c>
      <c r="H40">
        <v>4.3344560000000003</v>
      </c>
      <c r="I40">
        <v>4.366873</v>
      </c>
      <c r="J40">
        <v>4.3977269999999997</v>
      </c>
      <c r="K40">
        <v>4.4268239999999999</v>
      </c>
      <c r="L40">
        <v>4.4590059999999996</v>
      </c>
      <c r="M40">
        <v>4.4891030000000001</v>
      </c>
      <c r="N40">
        <v>4.5176920000000003</v>
      </c>
      <c r="O40">
        <v>4.546163</v>
      </c>
      <c r="P40">
        <v>4.5726959999999996</v>
      </c>
      <c r="Q40">
        <v>4.5968669999999996</v>
      </c>
      <c r="R40">
        <v>4.6195199999999996</v>
      </c>
      <c r="S40">
        <v>4.640612</v>
      </c>
      <c r="T40">
        <v>4.660393</v>
      </c>
      <c r="U40">
        <v>4.6788629999999998</v>
      </c>
      <c r="V40">
        <v>4.6963619999999997</v>
      </c>
      <c r="W40">
        <v>4.7127340000000002</v>
      </c>
      <c r="X40">
        <v>4.7281599999999999</v>
      </c>
      <c r="Y40">
        <v>4.7426690000000002</v>
      </c>
      <c r="Z40">
        <v>4.7563490000000002</v>
      </c>
      <c r="AA40">
        <v>4.7692730000000001</v>
      </c>
      <c r="AB40">
        <v>4.7815019999999997</v>
      </c>
      <c r="AC40">
        <v>4.7930999999999999</v>
      </c>
      <c r="AD40">
        <v>4.8040570000000002</v>
      </c>
      <c r="AE40">
        <v>4.8144390000000001</v>
      </c>
      <c r="AF40">
        <v>4.8242940000000001</v>
      </c>
      <c r="AG40" s="16">
        <v>5.0000000000000001E-3</v>
      </c>
    </row>
    <row r="41" spans="1:33" x14ac:dyDescent="0.25">
      <c r="A41" t="s">
        <v>197</v>
      </c>
      <c r="B41" t="s">
        <v>767</v>
      </c>
      <c r="C41" t="s">
        <v>766</v>
      </c>
      <c r="D41" t="s">
        <v>262</v>
      </c>
      <c r="F41">
        <v>0.99611400000000005</v>
      </c>
      <c r="G41">
        <v>1.0163009999999999</v>
      </c>
      <c r="H41">
        <v>1.0249429999999999</v>
      </c>
      <c r="I41">
        <v>1.033631</v>
      </c>
      <c r="J41">
        <v>1.04149</v>
      </c>
      <c r="K41">
        <v>1.0493749999999999</v>
      </c>
      <c r="L41">
        <v>1.056732</v>
      </c>
      <c r="M41">
        <v>1.0640309999999999</v>
      </c>
      <c r="N41">
        <v>1.0712010000000001</v>
      </c>
      <c r="O41">
        <v>1.0785130000000001</v>
      </c>
      <c r="P41">
        <v>1.0856779999999999</v>
      </c>
      <c r="Q41">
        <v>1.0926530000000001</v>
      </c>
      <c r="R41">
        <v>1.0994390000000001</v>
      </c>
      <c r="S41">
        <v>1.106004</v>
      </c>
      <c r="T41">
        <v>1.1123989999999999</v>
      </c>
      <c r="U41">
        <v>1.1185909999999999</v>
      </c>
      <c r="V41">
        <v>1.1241540000000001</v>
      </c>
      <c r="W41">
        <v>1.129521</v>
      </c>
      <c r="X41">
        <v>1.134754</v>
      </c>
      <c r="Y41">
        <v>1.1397820000000001</v>
      </c>
      <c r="Z41">
        <v>1.14463</v>
      </c>
      <c r="AA41">
        <v>1.1493629999999999</v>
      </c>
      <c r="AB41">
        <v>1.153932</v>
      </c>
      <c r="AC41">
        <v>1.158361</v>
      </c>
      <c r="AD41">
        <v>1.162617</v>
      </c>
      <c r="AE41">
        <v>1.1667400000000001</v>
      </c>
      <c r="AF41">
        <v>1.1706989999999999</v>
      </c>
      <c r="AG41" s="16">
        <v>6.0000000000000001E-3</v>
      </c>
    </row>
    <row r="42" spans="1:33" x14ac:dyDescent="0.25">
      <c r="A42" t="s">
        <v>263</v>
      </c>
    </row>
    <row r="43" spans="1:33" x14ac:dyDescent="0.25">
      <c r="A43" t="s">
        <v>147</v>
      </c>
      <c r="B43" t="s">
        <v>765</v>
      </c>
      <c r="C43" t="s">
        <v>764</v>
      </c>
      <c r="D43" t="s">
        <v>262</v>
      </c>
      <c r="F43">
        <v>1.079736</v>
      </c>
      <c r="G43">
        <v>1.087494</v>
      </c>
      <c r="H43">
        <v>1.0923989999999999</v>
      </c>
      <c r="I43">
        <v>1.0967640000000001</v>
      </c>
      <c r="J43">
        <v>1.101024</v>
      </c>
      <c r="K43">
        <v>1.1053200000000001</v>
      </c>
      <c r="L43">
        <v>1.1097269999999999</v>
      </c>
      <c r="M43">
        <v>1.1147320000000001</v>
      </c>
      <c r="N43">
        <v>1.1199380000000001</v>
      </c>
      <c r="O43">
        <v>1.1259319999999999</v>
      </c>
      <c r="P43">
        <v>1.1318280000000001</v>
      </c>
      <c r="Q43">
        <v>1.137575</v>
      </c>
      <c r="R43">
        <v>1.1431819999999999</v>
      </c>
      <c r="S43">
        <v>1.1486430000000001</v>
      </c>
      <c r="T43">
        <v>1.154029</v>
      </c>
      <c r="U43">
        <v>1.1593910000000001</v>
      </c>
      <c r="V43">
        <v>1.1646190000000001</v>
      </c>
      <c r="W43">
        <v>1.1702360000000001</v>
      </c>
      <c r="X43">
        <v>1.1757139999999999</v>
      </c>
      <c r="Y43">
        <v>1.1810659999999999</v>
      </c>
      <c r="Z43">
        <v>1.186285</v>
      </c>
      <c r="AA43">
        <v>1.1914370000000001</v>
      </c>
      <c r="AB43">
        <v>1.1965539999999999</v>
      </c>
      <c r="AC43">
        <v>1.2016469999999999</v>
      </c>
      <c r="AD43">
        <v>1.2068989999999999</v>
      </c>
      <c r="AE43">
        <v>1.212083</v>
      </c>
      <c r="AF43">
        <v>1.217387</v>
      </c>
      <c r="AG43" s="16">
        <v>5.0000000000000001E-3</v>
      </c>
    </row>
    <row r="44" spans="1:33" x14ac:dyDescent="0.25">
      <c r="A44" t="s">
        <v>197</v>
      </c>
      <c r="B44" t="s">
        <v>763</v>
      </c>
      <c r="C44" t="s">
        <v>762</v>
      </c>
      <c r="D44" t="s">
        <v>262</v>
      </c>
      <c r="F44">
        <v>0.86797100000000005</v>
      </c>
      <c r="G44">
        <v>0.87266500000000002</v>
      </c>
      <c r="H44">
        <v>0.87709400000000004</v>
      </c>
      <c r="I44">
        <v>0.88620100000000002</v>
      </c>
      <c r="J44">
        <v>0.89435600000000004</v>
      </c>
      <c r="K44">
        <v>0.90159199999999995</v>
      </c>
      <c r="L44">
        <v>0.90797499999999998</v>
      </c>
      <c r="M44">
        <v>0.91361400000000004</v>
      </c>
      <c r="N44">
        <v>0.91860299999999995</v>
      </c>
      <c r="O44">
        <v>0.92302399999999996</v>
      </c>
      <c r="P44">
        <v>0.92693099999999995</v>
      </c>
      <c r="Q44">
        <v>0.93037199999999998</v>
      </c>
      <c r="R44">
        <v>0.93339899999999998</v>
      </c>
      <c r="S44">
        <v>0.93605700000000003</v>
      </c>
      <c r="T44">
        <v>0.93839300000000003</v>
      </c>
      <c r="U44">
        <v>0.940446</v>
      </c>
      <c r="V44">
        <v>0.94225199999999998</v>
      </c>
      <c r="W44">
        <v>0.94384100000000004</v>
      </c>
      <c r="X44">
        <v>0.94523800000000002</v>
      </c>
      <c r="Y44">
        <v>0.94647000000000003</v>
      </c>
      <c r="Z44">
        <v>0.94755400000000001</v>
      </c>
      <c r="AA44">
        <v>0.94850800000000002</v>
      </c>
      <c r="AB44">
        <v>0.94934700000000005</v>
      </c>
      <c r="AC44">
        <v>0.95008499999999996</v>
      </c>
      <c r="AD44">
        <v>0.95073300000000005</v>
      </c>
      <c r="AE44">
        <v>0.95130400000000004</v>
      </c>
      <c r="AF44">
        <v>0.95180500000000001</v>
      </c>
      <c r="AG44" s="16">
        <v>4.0000000000000001E-3</v>
      </c>
    </row>
    <row r="45" spans="1:33" x14ac:dyDescent="0.25">
      <c r="A45" t="s">
        <v>187</v>
      </c>
      <c r="B45" t="s">
        <v>761</v>
      </c>
      <c r="C45" t="s">
        <v>760</v>
      </c>
      <c r="D45" t="s">
        <v>262</v>
      </c>
      <c r="F45">
        <v>0.81193099999999996</v>
      </c>
      <c r="G45">
        <v>0.81255999999999995</v>
      </c>
      <c r="H45">
        <v>0.81312499999999999</v>
      </c>
      <c r="I45">
        <v>0.81366000000000005</v>
      </c>
      <c r="J45">
        <v>0.81416200000000005</v>
      </c>
      <c r="K45">
        <v>0.81462800000000002</v>
      </c>
      <c r="L45">
        <v>0.81505899999999998</v>
      </c>
      <c r="M45">
        <v>0.81545699999999999</v>
      </c>
      <c r="N45">
        <v>0.81582699999999997</v>
      </c>
      <c r="O45">
        <v>0.81616900000000003</v>
      </c>
      <c r="P45">
        <v>0.81648399999999999</v>
      </c>
      <c r="Q45">
        <v>0.81677500000000003</v>
      </c>
      <c r="R45">
        <v>0.81704299999999996</v>
      </c>
      <c r="S45">
        <v>0.81728999999999996</v>
      </c>
      <c r="T45">
        <v>0.81751600000000002</v>
      </c>
      <c r="U45">
        <v>0.81772400000000001</v>
      </c>
      <c r="V45">
        <v>0.81791499999999995</v>
      </c>
      <c r="W45">
        <v>0.81808999999999998</v>
      </c>
      <c r="X45">
        <v>0.81825099999999995</v>
      </c>
      <c r="Y45">
        <v>0.81839799999999996</v>
      </c>
      <c r="Z45">
        <v>0.81853399999999998</v>
      </c>
      <c r="AA45">
        <v>0.818658</v>
      </c>
      <c r="AB45">
        <v>0.81877200000000006</v>
      </c>
      <c r="AC45">
        <v>0.81887699999999997</v>
      </c>
      <c r="AD45">
        <v>0.81897299999999995</v>
      </c>
      <c r="AE45">
        <v>0.81906100000000004</v>
      </c>
      <c r="AF45">
        <v>0.81914100000000001</v>
      </c>
      <c r="AG45" s="16">
        <v>0</v>
      </c>
    </row>
    <row r="46" spans="1:33" x14ac:dyDescent="0.25">
      <c r="A46" t="s">
        <v>264</v>
      </c>
    </row>
    <row r="47" spans="1:33" x14ac:dyDescent="0.25">
      <c r="A47" t="s">
        <v>147</v>
      </c>
      <c r="B47" t="s">
        <v>759</v>
      </c>
      <c r="C47" t="s">
        <v>758</v>
      </c>
      <c r="D47" t="s">
        <v>265</v>
      </c>
      <c r="F47">
        <v>0.37019299999999999</v>
      </c>
      <c r="G47">
        <v>0.37176599999999999</v>
      </c>
      <c r="H47">
        <v>0.37323499999999998</v>
      </c>
      <c r="I47">
        <v>0.37468099999999999</v>
      </c>
      <c r="J47">
        <v>0.37608900000000001</v>
      </c>
      <c r="K47">
        <v>0.377442</v>
      </c>
      <c r="L47">
        <v>0.38005899999999998</v>
      </c>
      <c r="M47">
        <v>0.38255400000000001</v>
      </c>
      <c r="N47">
        <v>0.38492999999999999</v>
      </c>
      <c r="O47">
        <v>0.38719599999999998</v>
      </c>
      <c r="P47">
        <v>0.38935199999999998</v>
      </c>
      <c r="Q47">
        <v>0.39140200000000003</v>
      </c>
      <c r="R47">
        <v>0.393347</v>
      </c>
      <c r="S47">
        <v>0.39519100000000001</v>
      </c>
      <c r="T47">
        <v>0.39694000000000002</v>
      </c>
      <c r="U47">
        <v>0.39859899999999998</v>
      </c>
      <c r="V47">
        <v>0.40017599999999998</v>
      </c>
      <c r="W47">
        <v>0.40167999999999998</v>
      </c>
      <c r="X47">
        <v>0.40311200000000003</v>
      </c>
      <c r="Y47">
        <v>0.40447699999999998</v>
      </c>
      <c r="Z47">
        <v>0.40577800000000003</v>
      </c>
      <c r="AA47">
        <v>0.40701799999999999</v>
      </c>
      <c r="AB47">
        <v>0.40820299999999998</v>
      </c>
      <c r="AC47">
        <v>0.40933399999999998</v>
      </c>
      <c r="AD47">
        <v>0.41041299999999997</v>
      </c>
      <c r="AE47">
        <v>0.41144599999999998</v>
      </c>
      <c r="AF47">
        <v>0.41243299999999999</v>
      </c>
      <c r="AG47" s="16">
        <v>4.0000000000000001E-3</v>
      </c>
    </row>
    <row r="48" spans="1:33" x14ac:dyDescent="0.25">
      <c r="A48" t="s">
        <v>266</v>
      </c>
    </row>
    <row r="49" spans="1:33" x14ac:dyDescent="0.25">
      <c r="A49" t="s">
        <v>147</v>
      </c>
      <c r="B49" t="s">
        <v>757</v>
      </c>
      <c r="C49" t="s">
        <v>756</v>
      </c>
      <c r="D49" t="s">
        <v>262</v>
      </c>
      <c r="F49">
        <v>0.70810799999999996</v>
      </c>
      <c r="G49">
        <v>0.70866700000000005</v>
      </c>
      <c r="H49">
        <v>0.709152</v>
      </c>
      <c r="I49">
        <v>0.70959499999999998</v>
      </c>
      <c r="J49">
        <v>0.70999699999999999</v>
      </c>
      <c r="K49">
        <v>0.71035999999999999</v>
      </c>
      <c r="L49">
        <v>0.71068699999999996</v>
      </c>
      <c r="M49">
        <v>0.71098099999999997</v>
      </c>
      <c r="N49">
        <v>0.71124600000000004</v>
      </c>
      <c r="O49">
        <v>0.71148599999999995</v>
      </c>
      <c r="P49">
        <v>0.711704</v>
      </c>
      <c r="Q49">
        <v>0.71189899999999995</v>
      </c>
      <c r="R49">
        <v>0.71207600000000004</v>
      </c>
      <c r="S49">
        <v>0.71223499999999995</v>
      </c>
      <c r="T49">
        <v>0.71237899999999998</v>
      </c>
      <c r="U49">
        <v>0.71250899999999995</v>
      </c>
      <c r="V49">
        <v>0.71262599999999998</v>
      </c>
      <c r="W49">
        <v>0.71273200000000003</v>
      </c>
      <c r="X49">
        <v>0.71282800000000002</v>
      </c>
      <c r="Y49">
        <v>0.71291499999999997</v>
      </c>
      <c r="Z49">
        <v>0.71299299999999999</v>
      </c>
      <c r="AA49">
        <v>0.71306400000000003</v>
      </c>
      <c r="AB49">
        <v>0.71312900000000001</v>
      </c>
      <c r="AC49">
        <v>0.71318700000000002</v>
      </c>
      <c r="AD49">
        <v>0.71323999999999999</v>
      </c>
      <c r="AE49">
        <v>0.71328800000000003</v>
      </c>
      <c r="AF49">
        <v>0.71333100000000005</v>
      </c>
      <c r="AG49" s="16">
        <v>0</v>
      </c>
    </row>
    <row r="50" spans="1:33" x14ac:dyDescent="0.25">
      <c r="A50" t="s">
        <v>197</v>
      </c>
      <c r="B50" t="s">
        <v>755</v>
      </c>
      <c r="C50" t="s">
        <v>754</v>
      </c>
      <c r="D50" t="s">
        <v>262</v>
      </c>
      <c r="F50">
        <v>0.32267000000000001</v>
      </c>
      <c r="G50">
        <v>0.32577299999999998</v>
      </c>
      <c r="H50">
        <v>0.328432</v>
      </c>
      <c r="I50">
        <v>0.33085199999999998</v>
      </c>
      <c r="J50">
        <v>0.333034</v>
      </c>
      <c r="K50">
        <v>0.334982</v>
      </c>
      <c r="L50">
        <v>0.33671499999999999</v>
      </c>
      <c r="M50">
        <v>0.33825899999999998</v>
      </c>
      <c r="N50">
        <v>0.33963599999999999</v>
      </c>
      <c r="O50">
        <v>0.340866</v>
      </c>
      <c r="P50">
        <v>0.34196300000000002</v>
      </c>
      <c r="Q50">
        <v>0.34293899999999999</v>
      </c>
      <c r="R50">
        <v>0.34380699999999997</v>
      </c>
      <c r="S50">
        <v>0.344578</v>
      </c>
      <c r="T50">
        <v>0.34526400000000002</v>
      </c>
      <c r="U50">
        <v>0.34587299999999999</v>
      </c>
      <c r="V50">
        <v>0.34641499999999997</v>
      </c>
      <c r="W50">
        <v>0.34689799999999998</v>
      </c>
      <c r="X50">
        <v>0.34732800000000003</v>
      </c>
      <c r="Y50">
        <v>0.34771099999999999</v>
      </c>
      <c r="Z50">
        <v>0.34805199999999997</v>
      </c>
      <c r="AA50">
        <v>0.348356</v>
      </c>
      <c r="AB50">
        <v>0.34862700000000002</v>
      </c>
      <c r="AC50">
        <v>0.34886899999999998</v>
      </c>
      <c r="AD50">
        <v>0.34908400000000001</v>
      </c>
      <c r="AE50">
        <v>0.34927599999999998</v>
      </c>
      <c r="AF50">
        <v>0.34944799999999998</v>
      </c>
      <c r="AG50" s="16">
        <v>3.0000000000000001E-3</v>
      </c>
    </row>
    <row r="51" spans="1:33" x14ac:dyDescent="0.25">
      <c r="A51" t="s">
        <v>267</v>
      </c>
    </row>
    <row r="52" spans="1:33" x14ac:dyDescent="0.25">
      <c r="A52" t="s">
        <v>268</v>
      </c>
    </row>
    <row r="53" spans="1:33" x14ac:dyDescent="0.25">
      <c r="A53" t="s">
        <v>147</v>
      </c>
      <c r="B53" t="s">
        <v>753</v>
      </c>
      <c r="C53" t="s">
        <v>752</v>
      </c>
      <c r="D53" t="s">
        <v>269</v>
      </c>
      <c r="F53">
        <v>75.495743000000004</v>
      </c>
      <c r="G53">
        <v>78.406456000000006</v>
      </c>
      <c r="H53">
        <v>80.647705000000002</v>
      </c>
      <c r="I53">
        <v>82.438682999999997</v>
      </c>
      <c r="J53">
        <v>83.836082000000005</v>
      </c>
      <c r="K53">
        <v>85.001983999999993</v>
      </c>
      <c r="L53">
        <v>87.771720999999999</v>
      </c>
      <c r="M53">
        <v>90.388015999999993</v>
      </c>
      <c r="N53">
        <v>92.890006999999997</v>
      </c>
      <c r="O53">
        <v>95.361960999999994</v>
      </c>
      <c r="P53">
        <v>97.894904999999994</v>
      </c>
      <c r="Q53">
        <v>100.436234</v>
      </c>
      <c r="R53">
        <v>102.859268</v>
      </c>
      <c r="S53">
        <v>105.056465</v>
      </c>
      <c r="T53">
        <v>107.060661</v>
      </c>
      <c r="U53">
        <v>108.87384</v>
      </c>
      <c r="V53">
        <v>110.95819899999999</v>
      </c>
      <c r="W53">
        <v>112.86351000000001</v>
      </c>
      <c r="X53">
        <v>114.579536</v>
      </c>
      <c r="Y53">
        <v>116.11515799999999</v>
      </c>
      <c r="Z53">
        <v>117.51068100000001</v>
      </c>
      <c r="AA53">
        <v>118.76211499999999</v>
      </c>
      <c r="AB53">
        <v>119.895004</v>
      </c>
      <c r="AC53">
        <v>121.154022</v>
      </c>
      <c r="AD53">
        <v>122.305649</v>
      </c>
      <c r="AE53">
        <v>123.351089</v>
      </c>
      <c r="AF53">
        <v>124.390717</v>
      </c>
      <c r="AG53" s="16">
        <v>1.9E-2</v>
      </c>
    </row>
    <row r="54" spans="1:33" x14ac:dyDescent="0.25">
      <c r="A54" t="s">
        <v>270</v>
      </c>
    </row>
    <row r="55" spans="1:33" x14ac:dyDescent="0.25">
      <c r="A55" t="s">
        <v>147</v>
      </c>
      <c r="B55" t="s">
        <v>751</v>
      </c>
      <c r="C55" t="s">
        <v>750</v>
      </c>
      <c r="D55" t="s">
        <v>262</v>
      </c>
      <c r="F55">
        <v>3.6486869999999998</v>
      </c>
      <c r="G55">
        <v>3.6830430000000001</v>
      </c>
      <c r="H55">
        <v>3.7141839999999999</v>
      </c>
      <c r="I55">
        <v>3.742016</v>
      </c>
      <c r="J55">
        <v>3.7667980000000001</v>
      </c>
      <c r="K55">
        <v>3.7887430000000002</v>
      </c>
      <c r="L55">
        <v>3.8194300000000001</v>
      </c>
      <c r="M55">
        <v>3.8465729999999998</v>
      </c>
      <c r="N55">
        <v>3.870695</v>
      </c>
      <c r="O55">
        <v>3.8921540000000001</v>
      </c>
      <c r="P55">
        <v>3.9111940000000001</v>
      </c>
      <c r="Q55">
        <v>3.9280629999999999</v>
      </c>
      <c r="R55">
        <v>3.9429880000000002</v>
      </c>
      <c r="S55">
        <v>3.9561890000000002</v>
      </c>
      <c r="T55">
        <v>3.9679060000000002</v>
      </c>
      <c r="U55">
        <v>3.9782829999999998</v>
      </c>
      <c r="V55">
        <v>3.9875129999999999</v>
      </c>
      <c r="W55">
        <v>3.995587</v>
      </c>
      <c r="X55">
        <v>4.0027739999999996</v>
      </c>
      <c r="Y55">
        <v>4.0091789999999996</v>
      </c>
      <c r="Z55">
        <v>4.0149100000000004</v>
      </c>
      <c r="AA55">
        <v>4.0200300000000002</v>
      </c>
      <c r="AB55">
        <v>4.0246219999999999</v>
      </c>
      <c r="AC55">
        <v>4.0287439999999997</v>
      </c>
      <c r="AD55">
        <v>4.0324530000000003</v>
      </c>
      <c r="AE55">
        <v>4.0358099999999997</v>
      </c>
      <c r="AF55">
        <v>4.0388820000000001</v>
      </c>
      <c r="AG55" s="16">
        <v>4.0000000000000001E-3</v>
      </c>
    </row>
    <row r="56" spans="1:33" x14ac:dyDescent="0.25">
      <c r="A56" t="s">
        <v>234</v>
      </c>
    </row>
    <row r="57" spans="1:33" x14ac:dyDescent="0.25">
      <c r="A57" t="s">
        <v>235</v>
      </c>
    </row>
    <row r="58" spans="1:33" x14ac:dyDescent="0.25">
      <c r="A58" t="s">
        <v>175</v>
      </c>
    </row>
    <row r="59" spans="1:33" x14ac:dyDescent="0.25">
      <c r="A59" t="s">
        <v>271</v>
      </c>
      <c r="B59" t="s">
        <v>749</v>
      </c>
      <c r="C59" t="s">
        <v>748</v>
      </c>
      <c r="D59" t="s">
        <v>237</v>
      </c>
      <c r="F59">
        <v>2.0507000000000001E-2</v>
      </c>
      <c r="G59">
        <v>2.0507000000000001E-2</v>
      </c>
      <c r="H59">
        <v>2.0507000000000001E-2</v>
      </c>
      <c r="I59">
        <v>2.0507000000000001E-2</v>
      </c>
      <c r="J59">
        <v>2.0507000000000001E-2</v>
      </c>
      <c r="K59">
        <v>2.0507000000000001E-2</v>
      </c>
      <c r="L59">
        <v>2.0507000000000001E-2</v>
      </c>
      <c r="M59">
        <v>2.0507000000000001E-2</v>
      </c>
      <c r="N59">
        <v>2.0507000000000001E-2</v>
      </c>
      <c r="O59">
        <v>2.0507000000000001E-2</v>
      </c>
      <c r="P59">
        <v>2.0507000000000001E-2</v>
      </c>
      <c r="Q59">
        <v>2.0507000000000001E-2</v>
      </c>
      <c r="R59">
        <v>2.0507000000000001E-2</v>
      </c>
      <c r="S59">
        <v>2.0507000000000001E-2</v>
      </c>
      <c r="T59">
        <v>2.0507000000000001E-2</v>
      </c>
      <c r="U59">
        <v>2.0507000000000001E-2</v>
      </c>
      <c r="V59">
        <v>2.0507000000000001E-2</v>
      </c>
      <c r="W59">
        <v>2.0507000000000001E-2</v>
      </c>
      <c r="X59">
        <v>2.0507000000000001E-2</v>
      </c>
      <c r="Y59">
        <v>2.0507000000000001E-2</v>
      </c>
      <c r="Z59">
        <v>2.0507000000000001E-2</v>
      </c>
      <c r="AA59">
        <v>2.0507000000000001E-2</v>
      </c>
      <c r="AB59">
        <v>2.0507000000000001E-2</v>
      </c>
      <c r="AC59">
        <v>2.0507000000000001E-2</v>
      </c>
      <c r="AD59">
        <v>2.0507000000000001E-2</v>
      </c>
      <c r="AE59">
        <v>2.0507000000000001E-2</v>
      </c>
      <c r="AF59">
        <v>2.0507000000000001E-2</v>
      </c>
      <c r="AG59" s="16">
        <v>0</v>
      </c>
    </row>
    <row r="60" spans="1:33" x14ac:dyDescent="0.25">
      <c r="A60" t="s">
        <v>197</v>
      </c>
      <c r="B60" t="s">
        <v>747</v>
      </c>
      <c r="C60" t="s">
        <v>746</v>
      </c>
      <c r="D60" t="s">
        <v>237</v>
      </c>
      <c r="F60">
        <v>1.4687250000000001</v>
      </c>
      <c r="G60">
        <v>1.491927</v>
      </c>
      <c r="H60">
        <v>1.5130300000000001</v>
      </c>
      <c r="I60">
        <v>1.537755</v>
      </c>
      <c r="J60">
        <v>1.5660259999999999</v>
      </c>
      <c r="K60">
        <v>1.5958749999999999</v>
      </c>
      <c r="L60">
        <v>1.62534</v>
      </c>
      <c r="M60">
        <v>1.6560779999999999</v>
      </c>
      <c r="N60">
        <v>1.6840310000000001</v>
      </c>
      <c r="O60">
        <v>1.7158310000000001</v>
      </c>
      <c r="P60">
        <v>1.743984</v>
      </c>
      <c r="Q60">
        <v>1.7696210000000001</v>
      </c>
      <c r="R60">
        <v>1.7947610000000001</v>
      </c>
      <c r="S60">
        <v>1.8189709999999999</v>
      </c>
      <c r="T60">
        <v>1.8448580000000001</v>
      </c>
      <c r="U60">
        <v>1.8677429999999999</v>
      </c>
      <c r="V60">
        <v>1.8904730000000001</v>
      </c>
      <c r="W60">
        <v>1.9138539999999999</v>
      </c>
      <c r="X60">
        <v>1.937492</v>
      </c>
      <c r="Y60">
        <v>1.960683</v>
      </c>
      <c r="Z60">
        <v>1.9844999999999999</v>
      </c>
      <c r="AA60">
        <v>2.0077500000000001</v>
      </c>
      <c r="AB60">
        <v>2.0303949999999999</v>
      </c>
      <c r="AC60">
        <v>2.054643</v>
      </c>
      <c r="AD60">
        <v>2.079596</v>
      </c>
      <c r="AE60">
        <v>2.1041590000000001</v>
      </c>
      <c r="AF60">
        <v>2.12886</v>
      </c>
      <c r="AG60" s="16">
        <v>1.4E-2</v>
      </c>
    </row>
    <row r="61" spans="1:33" x14ac:dyDescent="0.25">
      <c r="A61" t="s">
        <v>238</v>
      </c>
      <c r="B61" t="s">
        <v>745</v>
      </c>
      <c r="C61" t="s">
        <v>744</v>
      </c>
      <c r="D61" t="s">
        <v>237</v>
      </c>
      <c r="F61">
        <v>29.4039</v>
      </c>
      <c r="G61">
        <v>33.142555000000002</v>
      </c>
      <c r="H61">
        <v>36.800395999999999</v>
      </c>
      <c r="I61">
        <v>38.358521000000003</v>
      </c>
      <c r="J61">
        <v>39.891655</v>
      </c>
      <c r="K61">
        <v>42.091751000000002</v>
      </c>
      <c r="L61">
        <v>44.706080999999998</v>
      </c>
      <c r="M61">
        <v>48.084167000000001</v>
      </c>
      <c r="N61">
        <v>51.117046000000002</v>
      </c>
      <c r="O61">
        <v>54.807766000000001</v>
      </c>
      <c r="P61">
        <v>57.239325999999998</v>
      </c>
      <c r="Q61">
        <v>58.673073000000002</v>
      </c>
      <c r="R61">
        <v>59.890532999999998</v>
      </c>
      <c r="S61">
        <v>61.188201999999997</v>
      </c>
      <c r="T61">
        <v>63.243031000000002</v>
      </c>
      <c r="U61">
        <v>64.339179999999999</v>
      </c>
      <c r="V61">
        <v>65.586028999999996</v>
      </c>
      <c r="W61">
        <v>67.469230999999994</v>
      </c>
      <c r="X61">
        <v>69.360336000000004</v>
      </c>
      <c r="Y61">
        <v>71.423912000000001</v>
      </c>
      <c r="Z61">
        <v>73.477112000000005</v>
      </c>
      <c r="AA61">
        <v>75.590889000000004</v>
      </c>
      <c r="AB61">
        <v>77.521834999999996</v>
      </c>
      <c r="AC61">
        <v>79.788016999999996</v>
      </c>
      <c r="AD61">
        <v>82.122703999999999</v>
      </c>
      <c r="AE61">
        <v>84.375609999999995</v>
      </c>
      <c r="AF61">
        <v>86.847686999999993</v>
      </c>
      <c r="AG61" s="16">
        <v>4.2999999999999997E-2</v>
      </c>
    </row>
    <row r="62" spans="1:33" x14ac:dyDescent="0.25">
      <c r="A62" t="s">
        <v>239</v>
      </c>
      <c r="B62" t="s">
        <v>743</v>
      </c>
      <c r="C62" t="s">
        <v>742</v>
      </c>
      <c r="D62" t="s">
        <v>237</v>
      </c>
      <c r="F62">
        <v>0.58564000000000005</v>
      </c>
      <c r="G62">
        <v>0.58613999999999999</v>
      </c>
      <c r="H62">
        <v>0.58597600000000005</v>
      </c>
      <c r="I62">
        <v>0.585812</v>
      </c>
      <c r="J62">
        <v>0.58596599999999999</v>
      </c>
      <c r="K62">
        <v>0.58770699999999998</v>
      </c>
      <c r="L62">
        <v>0.58913899999999997</v>
      </c>
      <c r="M62">
        <v>0.59123099999999995</v>
      </c>
      <c r="N62">
        <v>0.59408499999999997</v>
      </c>
      <c r="O62">
        <v>0.59839600000000004</v>
      </c>
      <c r="P62">
        <v>0.59972199999999998</v>
      </c>
      <c r="Q62">
        <v>0.60002</v>
      </c>
      <c r="R62">
        <v>0.60029399999999999</v>
      </c>
      <c r="S62">
        <v>0.60051399999999999</v>
      </c>
      <c r="T62">
        <v>0.60131100000000004</v>
      </c>
      <c r="U62">
        <v>0.60201099999999996</v>
      </c>
      <c r="V62">
        <v>0.602796</v>
      </c>
      <c r="W62">
        <v>0.60384099999999996</v>
      </c>
      <c r="X62">
        <v>0.604634</v>
      </c>
      <c r="Y62">
        <v>0.60530700000000004</v>
      </c>
      <c r="Z62">
        <v>0.60643400000000003</v>
      </c>
      <c r="AA62">
        <v>0.60762099999999997</v>
      </c>
      <c r="AB62">
        <v>0.60856100000000002</v>
      </c>
      <c r="AC62">
        <v>0.60970400000000002</v>
      </c>
      <c r="AD62">
        <v>0.61088699999999996</v>
      </c>
      <c r="AE62">
        <v>0.61193699999999995</v>
      </c>
      <c r="AF62">
        <v>0.61352099999999998</v>
      </c>
      <c r="AG62" s="16">
        <v>2E-3</v>
      </c>
    </row>
    <row r="63" spans="1:33" x14ac:dyDescent="0.25">
      <c r="A63" t="s">
        <v>259</v>
      </c>
      <c r="B63" t="s">
        <v>741</v>
      </c>
      <c r="C63" t="s">
        <v>740</v>
      </c>
      <c r="D63" t="s">
        <v>237</v>
      </c>
      <c r="F63">
        <v>0.13075300000000001</v>
      </c>
      <c r="G63">
        <v>0.13075300000000001</v>
      </c>
      <c r="H63">
        <v>0.13075300000000001</v>
      </c>
      <c r="I63">
        <v>0.13075300000000001</v>
      </c>
      <c r="J63">
        <v>0.13075300000000001</v>
      </c>
      <c r="K63">
        <v>0.13075300000000001</v>
      </c>
      <c r="L63">
        <v>0.13075300000000001</v>
      </c>
      <c r="M63">
        <v>0.13075300000000001</v>
      </c>
      <c r="N63">
        <v>0.13075300000000001</v>
      </c>
      <c r="O63">
        <v>0.13075300000000001</v>
      </c>
      <c r="P63">
        <v>0.13075300000000001</v>
      </c>
      <c r="Q63">
        <v>0.13075300000000001</v>
      </c>
      <c r="R63">
        <v>0.13075300000000001</v>
      </c>
      <c r="S63">
        <v>0.13075300000000001</v>
      </c>
      <c r="T63">
        <v>0.13075300000000001</v>
      </c>
      <c r="U63">
        <v>0.13075300000000001</v>
      </c>
      <c r="V63">
        <v>0.13075300000000001</v>
      </c>
      <c r="W63">
        <v>0.13075300000000001</v>
      </c>
      <c r="X63">
        <v>0.13075300000000001</v>
      </c>
      <c r="Y63">
        <v>0.13075300000000001</v>
      </c>
      <c r="Z63">
        <v>0.13075300000000001</v>
      </c>
      <c r="AA63">
        <v>0.13075300000000001</v>
      </c>
      <c r="AB63">
        <v>0.13075300000000001</v>
      </c>
      <c r="AC63">
        <v>0.13075300000000001</v>
      </c>
      <c r="AD63">
        <v>0.13075300000000001</v>
      </c>
      <c r="AE63">
        <v>0.13075300000000001</v>
      </c>
      <c r="AF63">
        <v>0.13075300000000001</v>
      </c>
      <c r="AG63" s="16">
        <v>0</v>
      </c>
    </row>
    <row r="64" spans="1:33" x14ac:dyDescent="0.25">
      <c r="A64" t="s">
        <v>191</v>
      </c>
      <c r="B64" t="s">
        <v>739</v>
      </c>
      <c r="C64" t="s">
        <v>738</v>
      </c>
      <c r="D64" t="s">
        <v>237</v>
      </c>
      <c r="F64">
        <v>31.609525999999999</v>
      </c>
      <c r="G64">
        <v>35.371882999999997</v>
      </c>
      <c r="H64">
        <v>39.050663</v>
      </c>
      <c r="I64">
        <v>40.633347000000001</v>
      </c>
      <c r="J64">
        <v>42.194907999999998</v>
      </c>
      <c r="K64">
        <v>44.426594000000001</v>
      </c>
      <c r="L64">
        <v>47.071818999999998</v>
      </c>
      <c r="M64">
        <v>50.482737999999998</v>
      </c>
      <c r="N64">
        <v>53.546421000000002</v>
      </c>
      <c r="O64">
        <v>57.273254000000001</v>
      </c>
      <c r="P64">
        <v>59.734290999999999</v>
      </c>
      <c r="Q64">
        <v>61.193973999999997</v>
      </c>
      <c r="R64">
        <v>62.436847999999998</v>
      </c>
      <c r="S64">
        <v>63.758944999999997</v>
      </c>
      <c r="T64">
        <v>65.840462000000002</v>
      </c>
      <c r="U64">
        <v>66.960196999999994</v>
      </c>
      <c r="V64">
        <v>68.230559999999997</v>
      </c>
      <c r="W64">
        <v>70.138191000000006</v>
      </c>
      <c r="X64">
        <v>72.053725999999997</v>
      </c>
      <c r="Y64">
        <v>74.141166999999996</v>
      </c>
      <c r="Z64">
        <v>76.219299000000007</v>
      </c>
      <c r="AA64">
        <v>78.357521000000006</v>
      </c>
      <c r="AB64">
        <v>80.312049999999999</v>
      </c>
      <c r="AC64">
        <v>82.603622000000001</v>
      </c>
      <c r="AD64">
        <v>84.964447000000007</v>
      </c>
      <c r="AE64">
        <v>87.242965999999996</v>
      </c>
      <c r="AF64">
        <v>89.741325000000003</v>
      </c>
      <c r="AG64" s="16">
        <v>4.1000000000000002E-2</v>
      </c>
    </row>
    <row r="65" spans="1:33" s="1" customFormat="1" x14ac:dyDescent="0.25">
      <c r="A65" s="1" t="s">
        <v>174</v>
      </c>
    </row>
    <row r="66" spans="1:33" x14ac:dyDescent="0.25">
      <c r="A66" t="s">
        <v>271</v>
      </c>
      <c r="B66" t="s">
        <v>737</v>
      </c>
      <c r="C66" t="s">
        <v>736</v>
      </c>
      <c r="D66" t="s">
        <v>240</v>
      </c>
      <c r="F66">
        <v>8.1209000000000003E-2</v>
      </c>
      <c r="G66">
        <v>8.1209000000000003E-2</v>
      </c>
      <c r="H66">
        <v>8.1209000000000003E-2</v>
      </c>
      <c r="I66">
        <v>8.1209000000000003E-2</v>
      </c>
      <c r="J66">
        <v>8.1209000000000003E-2</v>
      </c>
      <c r="K66">
        <v>8.1209000000000003E-2</v>
      </c>
      <c r="L66">
        <v>8.1209000000000003E-2</v>
      </c>
      <c r="M66">
        <v>8.1209000000000003E-2</v>
      </c>
      <c r="N66">
        <v>8.1209000000000003E-2</v>
      </c>
      <c r="O66">
        <v>8.1209000000000003E-2</v>
      </c>
      <c r="P66">
        <v>8.1209000000000003E-2</v>
      </c>
      <c r="Q66">
        <v>8.1209000000000003E-2</v>
      </c>
      <c r="R66">
        <v>8.1209000000000003E-2</v>
      </c>
      <c r="S66">
        <v>8.1209000000000003E-2</v>
      </c>
      <c r="T66">
        <v>8.1209000000000003E-2</v>
      </c>
      <c r="U66">
        <v>8.1209000000000003E-2</v>
      </c>
      <c r="V66">
        <v>8.1209000000000003E-2</v>
      </c>
      <c r="W66">
        <v>8.1209000000000003E-2</v>
      </c>
      <c r="X66">
        <v>8.1209000000000003E-2</v>
      </c>
      <c r="Y66">
        <v>8.1209000000000003E-2</v>
      </c>
      <c r="Z66">
        <v>8.1209000000000003E-2</v>
      </c>
      <c r="AA66">
        <v>8.1209000000000003E-2</v>
      </c>
      <c r="AB66">
        <v>8.1209000000000003E-2</v>
      </c>
      <c r="AC66">
        <v>8.1209000000000003E-2</v>
      </c>
      <c r="AD66">
        <v>8.1209000000000003E-2</v>
      </c>
      <c r="AE66">
        <v>8.1209000000000003E-2</v>
      </c>
      <c r="AF66">
        <v>8.1209000000000003E-2</v>
      </c>
      <c r="AG66" s="16">
        <v>0</v>
      </c>
    </row>
    <row r="67" spans="1:33" x14ac:dyDescent="0.25">
      <c r="A67" t="s">
        <v>197</v>
      </c>
      <c r="B67" t="s">
        <v>735</v>
      </c>
      <c r="C67" t="s">
        <v>734</v>
      </c>
      <c r="D67" t="s">
        <v>240</v>
      </c>
      <c r="F67">
        <v>8.7747930000000007</v>
      </c>
      <c r="G67">
        <v>8.9136009999999999</v>
      </c>
      <c r="H67">
        <v>9.0423050000000007</v>
      </c>
      <c r="I67">
        <v>9.1929920000000003</v>
      </c>
      <c r="J67">
        <v>9.3633140000000008</v>
      </c>
      <c r="K67">
        <v>9.5415469999999996</v>
      </c>
      <c r="L67">
        <v>9.7167309999999993</v>
      </c>
      <c r="M67">
        <v>9.8975639999999991</v>
      </c>
      <c r="N67">
        <v>10.064679999999999</v>
      </c>
      <c r="O67">
        <v>10.251438</v>
      </c>
      <c r="P67">
        <v>10.419797000000001</v>
      </c>
      <c r="Q67">
        <v>10.57531</v>
      </c>
      <c r="R67">
        <v>10.727733000000001</v>
      </c>
      <c r="S67">
        <v>10.874772</v>
      </c>
      <c r="T67">
        <v>11.029309</v>
      </c>
      <c r="U67">
        <v>11.168316000000001</v>
      </c>
      <c r="V67">
        <v>11.306188000000001</v>
      </c>
      <c r="W67">
        <v>11.446854</v>
      </c>
      <c r="X67">
        <v>11.588435</v>
      </c>
      <c r="Y67">
        <v>11.727713</v>
      </c>
      <c r="Z67">
        <v>11.869937</v>
      </c>
      <c r="AA67">
        <v>12.009143999999999</v>
      </c>
      <c r="AB67">
        <v>12.145295000000001</v>
      </c>
      <c r="AC67">
        <v>12.289522</v>
      </c>
      <c r="AD67">
        <v>12.437376</v>
      </c>
      <c r="AE67">
        <v>12.583394999999999</v>
      </c>
      <c r="AF67">
        <v>12.730259</v>
      </c>
      <c r="AG67" s="16">
        <v>1.4E-2</v>
      </c>
    </row>
    <row r="68" spans="1:33" x14ac:dyDescent="0.25">
      <c r="A68" t="s">
        <v>238</v>
      </c>
      <c r="B68" t="s">
        <v>733</v>
      </c>
      <c r="C68" t="s">
        <v>596</v>
      </c>
      <c r="D68" t="s">
        <v>240</v>
      </c>
      <c r="F68">
        <v>40.940165999999998</v>
      </c>
      <c r="G68">
        <v>45.887695000000001</v>
      </c>
      <c r="H68">
        <v>50.716282</v>
      </c>
      <c r="I68">
        <v>52.765445999999997</v>
      </c>
      <c r="J68">
        <v>54.753529</v>
      </c>
      <c r="K68">
        <v>57.639774000000003</v>
      </c>
      <c r="L68">
        <v>61.061390000000003</v>
      </c>
      <c r="M68">
        <v>65.40625</v>
      </c>
      <c r="N68">
        <v>69.372765000000001</v>
      </c>
      <c r="O68">
        <v>74.072677999999996</v>
      </c>
      <c r="P68">
        <v>77.172493000000003</v>
      </c>
      <c r="Q68">
        <v>79.025940000000006</v>
      </c>
      <c r="R68">
        <v>80.611716999999999</v>
      </c>
      <c r="S68">
        <v>82.329025000000001</v>
      </c>
      <c r="T68">
        <v>84.916397000000003</v>
      </c>
      <c r="U68">
        <v>86.386359999999996</v>
      </c>
      <c r="V68">
        <v>88.048469999999995</v>
      </c>
      <c r="W68">
        <v>90.493285999999998</v>
      </c>
      <c r="X68">
        <v>92.879172999999994</v>
      </c>
      <c r="Y68">
        <v>95.495697000000007</v>
      </c>
      <c r="Z68">
        <v>98.128258000000002</v>
      </c>
      <c r="AA68">
        <v>100.852867</v>
      </c>
      <c r="AB68">
        <v>103.325272</v>
      </c>
      <c r="AC68">
        <v>106.200821</v>
      </c>
      <c r="AD68">
        <v>109.17126500000001</v>
      </c>
      <c r="AE68">
        <v>112.04883599999999</v>
      </c>
      <c r="AF68">
        <v>115.19002500000001</v>
      </c>
      <c r="AG68" s="16">
        <v>4.1000000000000002E-2</v>
      </c>
    </row>
    <row r="69" spans="1:33" x14ac:dyDescent="0.25">
      <c r="A69" t="s">
        <v>239</v>
      </c>
      <c r="B69" t="s">
        <v>732</v>
      </c>
      <c r="C69" t="s">
        <v>594</v>
      </c>
      <c r="D69" t="s">
        <v>240</v>
      </c>
      <c r="F69">
        <v>0.74116400000000004</v>
      </c>
      <c r="G69">
        <v>0.74186200000000002</v>
      </c>
      <c r="H69">
        <v>0.74163400000000002</v>
      </c>
      <c r="I69">
        <v>0.74140499999999998</v>
      </c>
      <c r="J69">
        <v>0.74158500000000005</v>
      </c>
      <c r="K69">
        <v>0.74338700000000002</v>
      </c>
      <c r="L69">
        <v>0.74491600000000002</v>
      </c>
      <c r="M69">
        <v>0.74715299999999996</v>
      </c>
      <c r="N69">
        <v>0.750224</v>
      </c>
      <c r="O69">
        <v>0.75497499999999995</v>
      </c>
      <c r="P69">
        <v>0.75660000000000005</v>
      </c>
      <c r="Q69">
        <v>0.756915</v>
      </c>
      <c r="R69">
        <v>0.75725799999999999</v>
      </c>
      <c r="S69">
        <v>0.75747500000000001</v>
      </c>
      <c r="T69">
        <v>0.75839800000000002</v>
      </c>
      <c r="U69">
        <v>0.75912900000000005</v>
      </c>
      <c r="V69">
        <v>0.75993900000000003</v>
      </c>
      <c r="W69">
        <v>0.76102899999999996</v>
      </c>
      <c r="X69">
        <v>0.76187199999999999</v>
      </c>
      <c r="Y69">
        <v>0.762598</v>
      </c>
      <c r="Z69">
        <v>0.76384600000000002</v>
      </c>
      <c r="AA69">
        <v>0.76510100000000003</v>
      </c>
      <c r="AB69">
        <v>0.76608299999999996</v>
      </c>
      <c r="AC69">
        <v>0.76729700000000001</v>
      </c>
      <c r="AD69">
        <v>0.76856199999999997</v>
      </c>
      <c r="AE69">
        <v>0.76968099999999995</v>
      </c>
      <c r="AF69">
        <v>0.77136499999999997</v>
      </c>
      <c r="AG69" s="16">
        <v>2E-3</v>
      </c>
    </row>
    <row r="70" spans="1:33" x14ac:dyDescent="0.25">
      <c r="A70" t="s">
        <v>259</v>
      </c>
      <c r="B70" t="s">
        <v>731</v>
      </c>
      <c r="C70" t="s">
        <v>730</v>
      </c>
      <c r="D70" t="s">
        <v>240</v>
      </c>
      <c r="F70">
        <v>0.95138599999999995</v>
      </c>
      <c r="G70">
        <v>0.95138599999999995</v>
      </c>
      <c r="H70">
        <v>0.95138599999999995</v>
      </c>
      <c r="I70">
        <v>0.95138599999999995</v>
      </c>
      <c r="J70">
        <v>0.95138599999999995</v>
      </c>
      <c r="K70">
        <v>0.95138599999999995</v>
      </c>
      <c r="L70">
        <v>0.95138599999999995</v>
      </c>
      <c r="M70">
        <v>0.95138599999999995</v>
      </c>
      <c r="N70">
        <v>0.95138599999999995</v>
      </c>
      <c r="O70">
        <v>0.95138599999999995</v>
      </c>
      <c r="P70">
        <v>0.95138599999999995</v>
      </c>
      <c r="Q70">
        <v>0.95138599999999995</v>
      </c>
      <c r="R70">
        <v>0.95138599999999995</v>
      </c>
      <c r="S70">
        <v>0.95138599999999995</v>
      </c>
      <c r="T70">
        <v>0.95138599999999995</v>
      </c>
      <c r="U70">
        <v>0.95138599999999995</v>
      </c>
      <c r="V70">
        <v>0.95138599999999995</v>
      </c>
      <c r="W70">
        <v>0.95138599999999995</v>
      </c>
      <c r="X70">
        <v>0.95138599999999995</v>
      </c>
      <c r="Y70">
        <v>0.95138599999999995</v>
      </c>
      <c r="Z70">
        <v>0.95138599999999995</v>
      </c>
      <c r="AA70">
        <v>0.95138599999999995</v>
      </c>
      <c r="AB70">
        <v>0.95138599999999995</v>
      </c>
      <c r="AC70">
        <v>0.95138599999999995</v>
      </c>
      <c r="AD70">
        <v>0.95138599999999995</v>
      </c>
      <c r="AE70">
        <v>0.95138599999999995</v>
      </c>
      <c r="AF70">
        <v>0.95138599999999995</v>
      </c>
      <c r="AG70" s="16">
        <v>0</v>
      </c>
    </row>
    <row r="71" spans="1:33" x14ac:dyDescent="0.25">
      <c r="A71" t="s">
        <v>191</v>
      </c>
      <c r="B71" t="s">
        <v>729</v>
      </c>
      <c r="C71" t="s">
        <v>592</v>
      </c>
      <c r="D71" t="s">
        <v>240</v>
      </c>
      <c r="F71">
        <v>51.488715999999997</v>
      </c>
      <c r="G71">
        <v>56.575752000000001</v>
      </c>
      <c r="H71">
        <v>61.532814000000002</v>
      </c>
      <c r="I71">
        <v>63.732436999999997</v>
      </c>
      <c r="J71">
        <v>65.891022000000007</v>
      </c>
      <c r="K71">
        <v>68.957297999999994</v>
      </c>
      <c r="L71">
        <v>72.555633999999998</v>
      </c>
      <c r="M71">
        <v>77.083564999999993</v>
      </c>
      <c r="N71">
        <v>81.220260999999994</v>
      </c>
      <c r="O71">
        <v>86.111687000000003</v>
      </c>
      <c r="P71">
        <v>89.381484999999998</v>
      </c>
      <c r="Q71">
        <v>91.390754999999999</v>
      </c>
      <c r="R71">
        <v>93.129294999999999</v>
      </c>
      <c r="S71">
        <v>94.993865999999997</v>
      </c>
      <c r="T71">
        <v>97.736701999999994</v>
      </c>
      <c r="U71">
        <v>99.346405000000004</v>
      </c>
      <c r="V71">
        <v>101.147194</v>
      </c>
      <c r="W71">
        <v>103.73376500000001</v>
      </c>
      <c r="X71">
        <v>106.26206999999999</v>
      </c>
      <c r="Y71">
        <v>109.01860000000001</v>
      </c>
      <c r="Z71">
        <v>111.79464</v>
      </c>
      <c r="AA71">
        <v>114.659706</v>
      </c>
      <c r="AB71">
        <v>117.26924099999999</v>
      </c>
      <c r="AC71">
        <v>120.29022999999999</v>
      </c>
      <c r="AD71">
        <v>123.40979799999999</v>
      </c>
      <c r="AE71">
        <v>126.43450900000001</v>
      </c>
      <c r="AF71">
        <v>129.724243</v>
      </c>
      <c r="AG71" s="16">
        <v>3.5999999999999997E-2</v>
      </c>
    </row>
    <row r="72" spans="1:33" x14ac:dyDescent="0.25">
      <c r="A72" t="s">
        <v>241</v>
      </c>
    </row>
    <row r="73" spans="1:33" x14ac:dyDescent="0.25">
      <c r="A73" t="s">
        <v>242</v>
      </c>
      <c r="B73" t="s">
        <v>728</v>
      </c>
      <c r="C73" t="s">
        <v>590</v>
      </c>
      <c r="D73" t="s">
        <v>240</v>
      </c>
      <c r="F73">
        <v>9.9462759999999992</v>
      </c>
      <c r="G73">
        <v>10.073193</v>
      </c>
      <c r="H73">
        <v>10.197063999999999</v>
      </c>
      <c r="I73">
        <v>10.341887</v>
      </c>
      <c r="J73">
        <v>10.500024</v>
      </c>
      <c r="K73">
        <v>10.665711</v>
      </c>
      <c r="L73">
        <v>10.825236</v>
      </c>
      <c r="M73">
        <v>10.987113000000001</v>
      </c>
      <c r="N73">
        <v>11.144019999999999</v>
      </c>
      <c r="O73">
        <v>11.313128000000001</v>
      </c>
      <c r="P73">
        <v>11.467193999999999</v>
      </c>
      <c r="Q73">
        <v>11.614271</v>
      </c>
      <c r="R73">
        <v>11.757989</v>
      </c>
      <c r="S73">
        <v>11.897467000000001</v>
      </c>
      <c r="T73">
        <v>12.037535999999999</v>
      </c>
      <c r="U73">
        <v>12.171236</v>
      </c>
      <c r="V73">
        <v>12.30372</v>
      </c>
      <c r="W73">
        <v>12.435464</v>
      </c>
      <c r="X73">
        <v>12.565181000000001</v>
      </c>
      <c r="Y73">
        <v>12.693213</v>
      </c>
      <c r="Z73">
        <v>12.822459</v>
      </c>
      <c r="AA73">
        <v>12.951511</v>
      </c>
      <c r="AB73">
        <v>13.079132</v>
      </c>
      <c r="AC73">
        <v>13.211131</v>
      </c>
      <c r="AD73">
        <v>13.344397000000001</v>
      </c>
      <c r="AE73">
        <v>13.477484</v>
      </c>
      <c r="AF73">
        <v>13.611878000000001</v>
      </c>
      <c r="AG73" s="16">
        <v>1.2E-2</v>
      </c>
    </row>
    <row r="74" spans="1:33" x14ac:dyDescent="0.25">
      <c r="A74" t="s">
        <v>243</v>
      </c>
      <c r="B74" t="s">
        <v>727</v>
      </c>
      <c r="C74" t="s">
        <v>588</v>
      </c>
      <c r="D74" t="s">
        <v>240</v>
      </c>
      <c r="F74">
        <v>41.542450000000002</v>
      </c>
      <c r="G74">
        <v>46.502563000000002</v>
      </c>
      <c r="H74">
        <v>51.335746999999998</v>
      </c>
      <c r="I74">
        <v>53.390552999999997</v>
      </c>
      <c r="J74">
        <v>55.390994999999997</v>
      </c>
      <c r="K74">
        <v>58.291595000000001</v>
      </c>
      <c r="L74">
        <v>61.730400000000003</v>
      </c>
      <c r="M74">
        <v>66.096442999999994</v>
      </c>
      <c r="N74">
        <v>70.076240999999996</v>
      </c>
      <c r="O74">
        <v>74.798552999999998</v>
      </c>
      <c r="P74">
        <v>77.914291000000006</v>
      </c>
      <c r="Q74">
        <v>79.776482000000001</v>
      </c>
      <c r="R74">
        <v>81.371323000000004</v>
      </c>
      <c r="S74">
        <v>83.096396999999996</v>
      </c>
      <c r="T74">
        <v>85.699164999999994</v>
      </c>
      <c r="U74">
        <v>87.175162999999998</v>
      </c>
      <c r="V74">
        <v>88.843468000000001</v>
      </c>
      <c r="W74">
        <v>91.298293999999999</v>
      </c>
      <c r="X74">
        <v>93.696892000000005</v>
      </c>
      <c r="Y74">
        <v>96.325394000000003</v>
      </c>
      <c r="Z74">
        <v>98.972176000000005</v>
      </c>
      <c r="AA74">
        <v>101.70819899999999</v>
      </c>
      <c r="AB74">
        <v>104.190117</v>
      </c>
      <c r="AC74">
        <v>107.079109</v>
      </c>
      <c r="AD74">
        <v>110.065399</v>
      </c>
      <c r="AE74">
        <v>112.957024</v>
      </c>
      <c r="AF74">
        <v>116.11236599999999</v>
      </c>
      <c r="AG74" s="16">
        <v>0.04</v>
      </c>
    </row>
    <row r="75" spans="1:33" x14ac:dyDescent="0.25">
      <c r="A75" t="s">
        <v>244</v>
      </c>
    </row>
    <row r="76" spans="1:33" x14ac:dyDescent="0.25">
      <c r="A76" t="s">
        <v>271</v>
      </c>
      <c r="B76" t="s">
        <v>726</v>
      </c>
      <c r="C76" t="s">
        <v>725</v>
      </c>
      <c r="D76" t="s">
        <v>245</v>
      </c>
      <c r="F76">
        <v>0.82465500000000003</v>
      </c>
      <c r="G76">
        <v>0.82465500000000003</v>
      </c>
      <c r="H76">
        <v>0.82465500000000003</v>
      </c>
      <c r="I76">
        <v>0.82465500000000003</v>
      </c>
      <c r="J76">
        <v>0.82465500000000003</v>
      </c>
      <c r="K76">
        <v>0.82465500000000003</v>
      </c>
      <c r="L76">
        <v>0.82465500000000003</v>
      </c>
      <c r="M76">
        <v>0.82465500000000003</v>
      </c>
      <c r="N76">
        <v>0.82465500000000003</v>
      </c>
      <c r="O76">
        <v>0.82465500000000003</v>
      </c>
      <c r="P76">
        <v>0.82465500000000003</v>
      </c>
      <c r="Q76">
        <v>0.82465500000000003</v>
      </c>
      <c r="R76">
        <v>0.82465500000000003</v>
      </c>
      <c r="S76">
        <v>0.82465500000000003</v>
      </c>
      <c r="T76">
        <v>0.82465500000000003</v>
      </c>
      <c r="U76">
        <v>0.82465500000000003</v>
      </c>
      <c r="V76">
        <v>0.82465500000000003</v>
      </c>
      <c r="W76">
        <v>0.82465500000000003</v>
      </c>
      <c r="X76">
        <v>0.82465500000000003</v>
      </c>
      <c r="Y76">
        <v>0.82465500000000003</v>
      </c>
      <c r="Z76">
        <v>0.82465500000000003</v>
      </c>
      <c r="AA76">
        <v>0.82465500000000003</v>
      </c>
      <c r="AB76">
        <v>0.82465500000000003</v>
      </c>
      <c r="AC76">
        <v>0.82465500000000003</v>
      </c>
      <c r="AD76">
        <v>0.82465500000000003</v>
      </c>
      <c r="AE76">
        <v>0.82465500000000003</v>
      </c>
      <c r="AF76">
        <v>0.82465500000000003</v>
      </c>
      <c r="AG76" s="16">
        <v>0</v>
      </c>
    </row>
    <row r="77" spans="1:33" x14ac:dyDescent="0.25">
      <c r="A77" t="s">
        <v>197</v>
      </c>
      <c r="B77" t="s">
        <v>724</v>
      </c>
      <c r="C77" t="s">
        <v>723</v>
      </c>
      <c r="D77" t="s">
        <v>245</v>
      </c>
      <c r="F77">
        <v>113.846436</v>
      </c>
      <c r="G77">
        <v>115.64671300000001</v>
      </c>
      <c r="H77">
        <v>117.341858</v>
      </c>
      <c r="I77">
        <v>119.325729</v>
      </c>
      <c r="J77">
        <v>121.550201</v>
      </c>
      <c r="K77">
        <v>123.859131</v>
      </c>
      <c r="L77">
        <v>126.12148999999999</v>
      </c>
      <c r="M77">
        <v>128.43653900000001</v>
      </c>
      <c r="N77">
        <v>130.60405</v>
      </c>
      <c r="O77">
        <v>132.99070699999999</v>
      </c>
      <c r="P77">
        <v>135.17598000000001</v>
      </c>
      <c r="Q77">
        <v>137.217117</v>
      </c>
      <c r="R77">
        <v>139.217285</v>
      </c>
      <c r="S77">
        <v>141.14898700000001</v>
      </c>
      <c r="T77">
        <v>143.15292400000001</v>
      </c>
      <c r="U77">
        <v>144.97744800000001</v>
      </c>
      <c r="V77">
        <v>146.78521699999999</v>
      </c>
      <c r="W77">
        <v>148.618652</v>
      </c>
      <c r="X77">
        <v>150.45962499999999</v>
      </c>
      <c r="Y77">
        <v>152.274597</v>
      </c>
      <c r="Z77">
        <v>154.120071</v>
      </c>
      <c r="AA77">
        <v>155.92901599999999</v>
      </c>
      <c r="AB77">
        <v>157.70288099999999</v>
      </c>
      <c r="AC77">
        <v>159.566193</v>
      </c>
      <c r="AD77">
        <v>161.47074900000001</v>
      </c>
      <c r="AE77">
        <v>163.35565199999999</v>
      </c>
      <c r="AF77">
        <v>165.25282300000001</v>
      </c>
      <c r="AG77" s="16">
        <v>1.4E-2</v>
      </c>
    </row>
    <row r="78" spans="1:33" x14ac:dyDescent="0.25">
      <c r="A78" t="s">
        <v>238</v>
      </c>
      <c r="B78" t="s">
        <v>722</v>
      </c>
      <c r="C78" t="s">
        <v>584</v>
      </c>
      <c r="D78" t="s">
        <v>245</v>
      </c>
      <c r="F78">
        <v>139.68785099999999</v>
      </c>
      <c r="G78">
        <v>156.568817</v>
      </c>
      <c r="H78">
        <v>173.04394500000001</v>
      </c>
      <c r="I78">
        <v>180.035675</v>
      </c>
      <c r="J78">
        <v>186.819016</v>
      </c>
      <c r="K78">
        <v>196.666901</v>
      </c>
      <c r="L78">
        <v>208.34146100000001</v>
      </c>
      <c r="M78">
        <v>223.166122</v>
      </c>
      <c r="N78">
        <v>236.69986</v>
      </c>
      <c r="O78">
        <v>252.735962</v>
      </c>
      <c r="P78">
        <v>263.3125</v>
      </c>
      <c r="Q78">
        <v>269.63647500000002</v>
      </c>
      <c r="R78">
        <v>275.04718000000003</v>
      </c>
      <c r="S78">
        <v>280.906586</v>
      </c>
      <c r="T78">
        <v>289.73474099999999</v>
      </c>
      <c r="U78">
        <v>294.75024400000001</v>
      </c>
      <c r="V78">
        <v>300.42132600000002</v>
      </c>
      <c r="W78">
        <v>308.76306199999999</v>
      </c>
      <c r="X78">
        <v>316.90371699999997</v>
      </c>
      <c r="Y78">
        <v>325.83123799999998</v>
      </c>
      <c r="Z78">
        <v>334.81359900000001</v>
      </c>
      <c r="AA78">
        <v>344.10992399999998</v>
      </c>
      <c r="AB78">
        <v>352.54583700000001</v>
      </c>
      <c r="AC78">
        <v>362.35717799999998</v>
      </c>
      <c r="AD78">
        <v>372.49234000000001</v>
      </c>
      <c r="AE78">
        <v>382.310608</v>
      </c>
      <c r="AF78">
        <v>393.02838100000002</v>
      </c>
      <c r="AG78" s="16">
        <v>4.1000000000000002E-2</v>
      </c>
    </row>
    <row r="79" spans="1:33" x14ac:dyDescent="0.25">
      <c r="A79" t="s">
        <v>239</v>
      </c>
      <c r="B79" t="s">
        <v>721</v>
      </c>
      <c r="C79" t="s">
        <v>582</v>
      </c>
      <c r="D79" t="s">
        <v>245</v>
      </c>
      <c r="F79">
        <v>2.5288520000000001</v>
      </c>
      <c r="G79">
        <v>2.531234</v>
      </c>
      <c r="H79">
        <v>2.5304540000000002</v>
      </c>
      <c r="I79">
        <v>2.5296729999999998</v>
      </c>
      <c r="J79">
        <v>2.5302880000000001</v>
      </c>
      <c r="K79">
        <v>2.5364360000000001</v>
      </c>
      <c r="L79">
        <v>2.541655</v>
      </c>
      <c r="M79">
        <v>2.5492849999999998</v>
      </c>
      <c r="N79">
        <v>2.5597639999999999</v>
      </c>
      <c r="O79">
        <v>2.575974</v>
      </c>
      <c r="P79">
        <v>2.581518</v>
      </c>
      <c r="Q79">
        <v>2.582592</v>
      </c>
      <c r="R79">
        <v>2.5837629999999998</v>
      </c>
      <c r="S79">
        <v>2.5845050000000001</v>
      </c>
      <c r="T79">
        <v>2.5876540000000001</v>
      </c>
      <c r="U79">
        <v>2.590147</v>
      </c>
      <c r="V79">
        <v>2.5929129999999998</v>
      </c>
      <c r="W79">
        <v>2.5966290000000001</v>
      </c>
      <c r="X79">
        <v>2.599507</v>
      </c>
      <c r="Y79">
        <v>2.601985</v>
      </c>
      <c r="Z79">
        <v>2.6062419999999999</v>
      </c>
      <c r="AA79">
        <v>2.6105239999999998</v>
      </c>
      <c r="AB79">
        <v>2.6138750000000002</v>
      </c>
      <c r="AC79">
        <v>2.6180180000000002</v>
      </c>
      <c r="AD79">
        <v>2.6223329999999998</v>
      </c>
      <c r="AE79">
        <v>2.6261519999999998</v>
      </c>
      <c r="AF79">
        <v>2.6318980000000001</v>
      </c>
      <c r="AG79" s="16">
        <v>2E-3</v>
      </c>
    </row>
    <row r="80" spans="1:33" x14ac:dyDescent="0.25">
      <c r="A80" t="s">
        <v>259</v>
      </c>
      <c r="B80" t="s">
        <v>720</v>
      </c>
      <c r="C80" t="s">
        <v>719</v>
      </c>
      <c r="D80" t="s">
        <v>245</v>
      </c>
      <c r="F80">
        <v>19.423715999999999</v>
      </c>
      <c r="G80">
        <v>19.423715999999999</v>
      </c>
      <c r="H80">
        <v>19.423715999999999</v>
      </c>
      <c r="I80">
        <v>19.423715999999999</v>
      </c>
      <c r="J80">
        <v>19.423715999999999</v>
      </c>
      <c r="K80">
        <v>19.423715999999999</v>
      </c>
      <c r="L80">
        <v>19.423715999999999</v>
      </c>
      <c r="M80">
        <v>19.423715999999999</v>
      </c>
      <c r="N80">
        <v>19.423715999999999</v>
      </c>
      <c r="O80">
        <v>19.423715999999999</v>
      </c>
      <c r="P80">
        <v>19.423715999999999</v>
      </c>
      <c r="Q80">
        <v>19.423715999999999</v>
      </c>
      <c r="R80">
        <v>19.423715999999999</v>
      </c>
      <c r="S80">
        <v>19.423715999999999</v>
      </c>
      <c r="T80">
        <v>19.423715999999999</v>
      </c>
      <c r="U80">
        <v>19.423715999999999</v>
      </c>
      <c r="V80">
        <v>19.423715999999999</v>
      </c>
      <c r="W80">
        <v>19.423715999999999</v>
      </c>
      <c r="X80">
        <v>19.423715999999999</v>
      </c>
      <c r="Y80">
        <v>19.423715999999999</v>
      </c>
      <c r="Z80">
        <v>19.423715999999999</v>
      </c>
      <c r="AA80">
        <v>19.423715999999999</v>
      </c>
      <c r="AB80">
        <v>19.423715999999999</v>
      </c>
      <c r="AC80">
        <v>19.423715999999999</v>
      </c>
      <c r="AD80">
        <v>19.423715999999999</v>
      </c>
      <c r="AE80">
        <v>19.423715999999999</v>
      </c>
      <c r="AF80">
        <v>19.423715999999999</v>
      </c>
      <c r="AG80" s="16">
        <v>0</v>
      </c>
    </row>
    <row r="81" spans="1:33" x14ac:dyDescent="0.25">
      <c r="A81" t="s">
        <v>191</v>
      </c>
      <c r="B81" t="s">
        <v>718</v>
      </c>
      <c r="C81" t="s">
        <v>580</v>
      </c>
      <c r="D81" t="s">
        <v>245</v>
      </c>
      <c r="F81">
        <v>276.31149299999998</v>
      </c>
      <c r="G81">
        <v>294.99511699999999</v>
      </c>
      <c r="H81">
        <v>313.16461199999998</v>
      </c>
      <c r="I81">
        <v>322.13943499999999</v>
      </c>
      <c r="J81">
        <v>331.14785799999999</v>
      </c>
      <c r="K81">
        <v>343.31082199999997</v>
      </c>
      <c r="L81">
        <v>357.25295999999997</v>
      </c>
      <c r="M81">
        <v>374.40029900000002</v>
      </c>
      <c r="N81">
        <v>390.11203</v>
      </c>
      <c r="O81">
        <v>408.55102499999998</v>
      </c>
      <c r="P81">
        <v>421.31835899999999</v>
      </c>
      <c r="Q81">
        <v>429.68454000000003</v>
      </c>
      <c r="R81">
        <v>437.096588</v>
      </c>
      <c r="S81">
        <v>444.88845800000001</v>
      </c>
      <c r="T81">
        <v>455.72369400000002</v>
      </c>
      <c r="U81">
        <v>462.56622299999998</v>
      </c>
      <c r="V81">
        <v>470.047821</v>
      </c>
      <c r="W81">
        <v>480.22668499999997</v>
      </c>
      <c r="X81">
        <v>490.21121199999999</v>
      </c>
      <c r="Y81">
        <v>500.95617700000003</v>
      </c>
      <c r="Z81">
        <v>511.78826900000001</v>
      </c>
      <c r="AA81">
        <v>522.89782700000001</v>
      </c>
      <c r="AB81">
        <v>533.11096199999997</v>
      </c>
      <c r="AC81">
        <v>544.78979500000003</v>
      </c>
      <c r="AD81">
        <v>556.83374000000003</v>
      </c>
      <c r="AE81">
        <v>568.54077099999995</v>
      </c>
      <c r="AF81">
        <v>581.16143799999998</v>
      </c>
      <c r="AG81" s="16">
        <v>2.9000000000000001E-2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2"/>
  <sheetViews>
    <sheetView workbookViewId="0">
      <selection activeCell="H42" sqref="H42"/>
    </sheetView>
  </sheetViews>
  <sheetFormatPr defaultRowHeight="15" x14ac:dyDescent="0.25"/>
  <cols>
    <col min="1" max="1" width="28.7109375" customWidth="1"/>
    <col min="2" max="7" width="11.7109375" customWidth="1"/>
  </cols>
  <sheetData>
    <row r="1" spans="1:7" x14ac:dyDescent="0.25">
      <c r="A1" s="66" t="s">
        <v>274</v>
      </c>
      <c r="B1" s="66"/>
    </row>
    <row r="2" spans="1:7" ht="24" customHeight="1" x14ac:dyDescent="0.25">
      <c r="A2" s="60" t="s">
        <v>275</v>
      </c>
      <c r="B2" s="61"/>
      <c r="C2" s="61"/>
      <c r="D2" s="61"/>
      <c r="E2" s="61"/>
      <c r="F2" s="61"/>
      <c r="G2" s="61"/>
    </row>
    <row r="3" spans="1:7" ht="24" customHeight="1" thickBot="1" x14ac:dyDescent="0.3">
      <c r="A3" s="17"/>
      <c r="B3" s="62" t="s">
        <v>61</v>
      </c>
      <c r="C3" s="62"/>
      <c r="D3" s="62"/>
      <c r="E3" s="62"/>
      <c r="F3" s="62"/>
      <c r="G3" s="63"/>
    </row>
    <row r="4" spans="1:7" ht="23.25" customHeight="1" thickTop="1" x14ac:dyDescent="0.25">
      <c r="A4" s="17"/>
      <c r="B4" s="19"/>
      <c r="C4" s="64" t="s">
        <v>62</v>
      </c>
      <c r="D4" s="64"/>
      <c r="E4" s="64"/>
      <c r="F4" s="64"/>
      <c r="G4" s="64"/>
    </row>
    <row r="5" spans="1:7" ht="46.5" customHeight="1" thickBot="1" x14ac:dyDescent="0.3">
      <c r="A5" s="20"/>
      <c r="B5" s="4" t="s">
        <v>276</v>
      </c>
      <c r="C5" s="4" t="s">
        <v>63</v>
      </c>
      <c r="D5" s="4" t="s">
        <v>64</v>
      </c>
      <c r="E5" s="4" t="s">
        <v>277</v>
      </c>
      <c r="F5" s="4" t="s">
        <v>278</v>
      </c>
      <c r="G5" s="4" t="s">
        <v>65</v>
      </c>
    </row>
    <row r="6" spans="1:7" ht="24" customHeight="1" thickTop="1" x14ac:dyDescent="0.25">
      <c r="A6" s="21" t="s">
        <v>66</v>
      </c>
      <c r="B6" s="22">
        <v>123.53</v>
      </c>
      <c r="C6" s="22">
        <v>77.069999999999993</v>
      </c>
      <c r="D6" s="22">
        <v>7.45</v>
      </c>
      <c r="E6" s="22">
        <v>9.34</v>
      </c>
      <c r="F6" s="22">
        <v>22.84</v>
      </c>
      <c r="G6" s="22">
        <v>6.83</v>
      </c>
    </row>
    <row r="7" spans="1:7" ht="24" customHeight="1" x14ac:dyDescent="0.25">
      <c r="A7" s="23" t="s">
        <v>67</v>
      </c>
      <c r="B7" s="24" t="s">
        <v>1</v>
      </c>
      <c r="C7" s="24" t="s">
        <v>1</v>
      </c>
      <c r="D7" s="24" t="s">
        <v>1</v>
      </c>
      <c r="E7" s="24" t="s">
        <v>1</v>
      </c>
      <c r="F7" s="24" t="s">
        <v>1</v>
      </c>
      <c r="G7" s="24" t="s">
        <v>1</v>
      </c>
    </row>
    <row r="8" spans="1:7" ht="15" customHeight="1" x14ac:dyDescent="0.25">
      <c r="A8" s="7" t="s">
        <v>17</v>
      </c>
      <c r="B8" s="25">
        <v>21.92</v>
      </c>
      <c r="C8" s="25">
        <v>11.23</v>
      </c>
      <c r="D8" s="25">
        <v>1.95</v>
      </c>
      <c r="E8" s="25">
        <v>3.15</v>
      </c>
      <c r="F8" s="25">
        <v>5.0999999999999996</v>
      </c>
      <c r="G8" s="25">
        <v>0.5</v>
      </c>
    </row>
    <row r="9" spans="1:7" x14ac:dyDescent="0.25">
      <c r="A9" s="26" t="s">
        <v>18</v>
      </c>
      <c r="B9" s="25">
        <v>5.88</v>
      </c>
      <c r="C9" s="25">
        <v>3.34</v>
      </c>
      <c r="D9" s="25">
        <v>0.3</v>
      </c>
      <c r="E9" s="25">
        <v>0.99</v>
      </c>
      <c r="F9" s="25">
        <v>1.1000000000000001</v>
      </c>
      <c r="G9" s="25">
        <v>0.14000000000000001</v>
      </c>
    </row>
    <row r="10" spans="1:7" x14ac:dyDescent="0.25">
      <c r="A10" s="26" t="s">
        <v>19</v>
      </c>
      <c r="B10" s="25">
        <v>16.04</v>
      </c>
      <c r="C10" s="25">
        <v>7.89</v>
      </c>
      <c r="D10" s="25">
        <v>1.65</v>
      </c>
      <c r="E10" s="25">
        <v>2.15</v>
      </c>
      <c r="F10" s="25">
        <v>3.99</v>
      </c>
      <c r="G10" s="25">
        <v>0.36</v>
      </c>
    </row>
    <row r="11" spans="1:7" x14ac:dyDescent="0.25">
      <c r="A11" s="7" t="s">
        <v>20</v>
      </c>
      <c r="B11" s="25">
        <v>27.04</v>
      </c>
      <c r="C11" s="25">
        <v>18.579999999999998</v>
      </c>
      <c r="D11" s="25">
        <v>1.33</v>
      </c>
      <c r="E11" s="25">
        <v>1.95</v>
      </c>
      <c r="F11" s="25">
        <v>4.2</v>
      </c>
      <c r="G11" s="25">
        <v>0.97</v>
      </c>
    </row>
    <row r="12" spans="1:7" x14ac:dyDescent="0.25">
      <c r="A12" s="26" t="s">
        <v>21</v>
      </c>
      <c r="B12" s="25">
        <v>18.55</v>
      </c>
      <c r="C12" s="25">
        <v>12.59</v>
      </c>
      <c r="D12" s="25">
        <v>0.91</v>
      </c>
      <c r="E12" s="25">
        <v>1.49</v>
      </c>
      <c r="F12" s="25">
        <v>2.94</v>
      </c>
      <c r="G12" s="25">
        <v>0.63</v>
      </c>
    </row>
    <row r="13" spans="1:7" ht="15" customHeight="1" x14ac:dyDescent="0.25">
      <c r="A13" s="26" t="s">
        <v>22</v>
      </c>
      <c r="B13" s="25">
        <v>8.5</v>
      </c>
      <c r="C13" s="25">
        <v>5.99</v>
      </c>
      <c r="D13" s="25">
        <v>0.43</v>
      </c>
      <c r="E13" s="25">
        <v>0.47</v>
      </c>
      <c r="F13" s="25">
        <v>1.26</v>
      </c>
      <c r="G13" s="25">
        <v>0.35</v>
      </c>
    </row>
    <row r="14" spans="1:7" x14ac:dyDescent="0.25">
      <c r="A14" s="7" t="s">
        <v>23</v>
      </c>
      <c r="B14" s="25">
        <v>46.84</v>
      </c>
      <c r="C14" s="25">
        <v>30.29</v>
      </c>
      <c r="D14" s="25">
        <v>2.48</v>
      </c>
      <c r="E14" s="25">
        <v>2.36</v>
      </c>
      <c r="F14" s="25">
        <v>7.83</v>
      </c>
      <c r="G14" s="25">
        <v>3.89</v>
      </c>
    </row>
    <row r="15" spans="1:7" x14ac:dyDescent="0.25">
      <c r="A15" s="26" t="s">
        <v>24</v>
      </c>
      <c r="B15" s="25">
        <v>24.84</v>
      </c>
      <c r="C15" s="25">
        <v>15.25</v>
      </c>
      <c r="D15" s="25">
        <v>1.92</v>
      </c>
      <c r="E15" s="25">
        <v>1.17</v>
      </c>
      <c r="F15" s="25">
        <v>4.51</v>
      </c>
      <c r="G15" s="25">
        <v>2</v>
      </c>
    </row>
    <row r="16" spans="1:7" x14ac:dyDescent="0.25">
      <c r="A16" s="26" t="s">
        <v>25</v>
      </c>
      <c r="B16" s="25">
        <v>7.38</v>
      </c>
      <c r="C16" s="25">
        <v>5.17</v>
      </c>
      <c r="D16" s="25">
        <v>0.19</v>
      </c>
      <c r="E16" s="25">
        <v>0.41</v>
      </c>
      <c r="F16" s="25">
        <v>0.84</v>
      </c>
      <c r="G16" s="25">
        <v>0.77</v>
      </c>
    </row>
    <row r="17" spans="1:7" ht="15" customHeight="1" x14ac:dyDescent="0.25">
      <c r="A17" s="26" t="s">
        <v>26</v>
      </c>
      <c r="B17" s="25">
        <v>14.62</v>
      </c>
      <c r="C17" s="25">
        <v>9.8699999999999992</v>
      </c>
      <c r="D17" s="25">
        <v>0.36</v>
      </c>
      <c r="E17" s="25">
        <v>0.78</v>
      </c>
      <c r="F17" s="25">
        <v>2.48</v>
      </c>
      <c r="G17" s="25">
        <v>1.1200000000000001</v>
      </c>
    </row>
    <row r="18" spans="1:7" x14ac:dyDescent="0.25">
      <c r="A18" s="7" t="s">
        <v>27</v>
      </c>
      <c r="B18" s="25">
        <v>27.72</v>
      </c>
      <c r="C18" s="25">
        <v>16.97</v>
      </c>
      <c r="D18" s="25">
        <v>1.69</v>
      </c>
      <c r="E18" s="25">
        <v>1.89</v>
      </c>
      <c r="F18" s="25">
        <v>5.7</v>
      </c>
      <c r="G18" s="25">
        <v>1.47</v>
      </c>
    </row>
    <row r="19" spans="1:7" x14ac:dyDescent="0.25">
      <c r="A19" s="26" t="s">
        <v>28</v>
      </c>
      <c r="B19" s="25">
        <v>9.2200000000000006</v>
      </c>
      <c r="C19" s="25">
        <v>6.06</v>
      </c>
      <c r="D19" s="25">
        <v>0.5</v>
      </c>
      <c r="E19" s="25">
        <v>0.52</v>
      </c>
      <c r="F19" s="25">
        <v>1.47</v>
      </c>
      <c r="G19" s="25">
        <v>0.67</v>
      </c>
    </row>
    <row r="20" spans="1:7" x14ac:dyDescent="0.25">
      <c r="A20" s="27" t="s">
        <v>29</v>
      </c>
      <c r="B20" s="25">
        <v>4.62</v>
      </c>
      <c r="C20" s="25">
        <v>3.1</v>
      </c>
      <c r="D20" s="25">
        <v>0.28999999999999998</v>
      </c>
      <c r="E20" s="25">
        <v>0.26</v>
      </c>
      <c r="F20" s="25">
        <v>0.73</v>
      </c>
      <c r="G20" s="25">
        <v>0.24</v>
      </c>
    </row>
    <row r="21" spans="1:7" x14ac:dyDescent="0.25">
      <c r="A21" s="27" t="s">
        <v>30</v>
      </c>
      <c r="B21" s="25">
        <v>4.5999999999999996</v>
      </c>
      <c r="C21" s="25">
        <v>2.96</v>
      </c>
      <c r="D21" s="25">
        <v>0.21</v>
      </c>
      <c r="E21" s="25">
        <v>0.26</v>
      </c>
      <c r="F21" s="25">
        <v>0.74</v>
      </c>
      <c r="G21" s="25">
        <v>0.43</v>
      </c>
    </row>
    <row r="22" spans="1:7" x14ac:dyDescent="0.25">
      <c r="A22" s="26" t="s">
        <v>31</v>
      </c>
      <c r="B22" s="25">
        <v>18.510000000000002</v>
      </c>
      <c r="C22" s="25">
        <v>10.91</v>
      </c>
      <c r="D22" s="25">
        <v>1.19</v>
      </c>
      <c r="E22" s="25">
        <v>1.36</v>
      </c>
      <c r="F22" s="25">
        <v>4.24</v>
      </c>
      <c r="G22" s="25">
        <v>0.8</v>
      </c>
    </row>
    <row r="23" spans="1:7" ht="24" customHeight="1" x14ac:dyDescent="0.25">
      <c r="A23" s="23" t="s">
        <v>279</v>
      </c>
      <c r="B23" s="24" t="s">
        <v>1</v>
      </c>
      <c r="C23" s="24" t="s">
        <v>1</v>
      </c>
      <c r="D23" s="24" t="s">
        <v>1</v>
      </c>
      <c r="E23" s="24" t="s">
        <v>1</v>
      </c>
      <c r="F23" s="24" t="s">
        <v>1</v>
      </c>
      <c r="G23" s="24" t="s">
        <v>1</v>
      </c>
    </row>
    <row r="24" spans="1:7" x14ac:dyDescent="0.25">
      <c r="A24" s="7" t="s">
        <v>32</v>
      </c>
      <c r="B24" s="25">
        <v>100.44</v>
      </c>
      <c r="C24" s="25">
        <v>58.8</v>
      </c>
      <c r="D24" s="25">
        <v>7.04</v>
      </c>
      <c r="E24" s="25">
        <v>9.02</v>
      </c>
      <c r="F24" s="25">
        <v>22.27</v>
      </c>
      <c r="G24" s="25">
        <v>3.31</v>
      </c>
    </row>
    <row r="25" spans="1:7" s="6" customFormat="1" x14ac:dyDescent="0.25">
      <c r="A25" s="26" t="s">
        <v>68</v>
      </c>
      <c r="B25" s="25">
        <v>89.24</v>
      </c>
      <c r="C25" s="25">
        <v>50.99</v>
      </c>
      <c r="D25" s="25">
        <v>6.57</v>
      </c>
      <c r="E25" s="25">
        <v>7.95</v>
      </c>
      <c r="F25" s="25">
        <v>21.2</v>
      </c>
      <c r="G25" s="25">
        <v>2.5299999999999998</v>
      </c>
    </row>
    <row r="26" spans="1:7" s="6" customFormat="1" x14ac:dyDescent="0.25">
      <c r="A26" s="26" t="s">
        <v>69</v>
      </c>
      <c r="B26" s="25">
        <v>11.2</v>
      </c>
      <c r="C26" s="25">
        <v>7.82</v>
      </c>
      <c r="D26" s="25">
        <v>0.47</v>
      </c>
      <c r="E26" s="25">
        <v>1.07</v>
      </c>
      <c r="F26" s="25">
        <v>1.07</v>
      </c>
      <c r="G26" s="25">
        <v>0.77</v>
      </c>
    </row>
    <row r="27" spans="1:7" x14ac:dyDescent="0.25">
      <c r="A27" s="7" t="s">
        <v>33</v>
      </c>
      <c r="B27" s="25">
        <v>23.09</v>
      </c>
      <c r="C27" s="25">
        <v>18.27</v>
      </c>
      <c r="D27" s="25">
        <v>0.41</v>
      </c>
      <c r="E27" s="25">
        <v>0.32</v>
      </c>
      <c r="F27" s="25">
        <v>0.56999999999999995</v>
      </c>
      <c r="G27" s="25">
        <v>3.52</v>
      </c>
    </row>
    <row r="28" spans="1:7" ht="33.950000000000003" customHeight="1" x14ac:dyDescent="0.25">
      <c r="A28" s="23" t="s">
        <v>280</v>
      </c>
      <c r="B28" s="24" t="s">
        <v>1</v>
      </c>
      <c r="C28" s="24" t="s">
        <v>1</v>
      </c>
      <c r="D28" s="24" t="s">
        <v>1</v>
      </c>
      <c r="E28" s="24" t="s">
        <v>1</v>
      </c>
      <c r="F28" s="24" t="s">
        <v>1</v>
      </c>
      <c r="G28" s="24" t="s">
        <v>1</v>
      </c>
    </row>
    <row r="29" spans="1:7" x14ac:dyDescent="0.25">
      <c r="A29" s="7" t="s">
        <v>70</v>
      </c>
      <c r="B29" s="25">
        <v>42.5</v>
      </c>
      <c r="C29" s="25">
        <v>28.04</v>
      </c>
      <c r="D29" s="25">
        <v>2.4300000000000002</v>
      </c>
      <c r="E29" s="25">
        <v>3.78</v>
      </c>
      <c r="F29" s="25">
        <v>6.74</v>
      </c>
      <c r="G29" s="25">
        <v>1.52</v>
      </c>
    </row>
    <row r="30" spans="1:7" x14ac:dyDescent="0.25">
      <c r="A30" s="7" t="s">
        <v>71</v>
      </c>
      <c r="B30" s="25">
        <v>36.79</v>
      </c>
      <c r="C30" s="25">
        <v>21.89</v>
      </c>
      <c r="D30" s="25">
        <v>2.8</v>
      </c>
      <c r="E30" s="25">
        <v>2.72</v>
      </c>
      <c r="F30" s="25">
        <v>7.03</v>
      </c>
      <c r="G30" s="25">
        <v>2.35</v>
      </c>
    </row>
    <row r="31" spans="1:7" x14ac:dyDescent="0.25">
      <c r="A31" s="7" t="s">
        <v>72</v>
      </c>
      <c r="B31" s="25">
        <v>15.06</v>
      </c>
      <c r="C31" s="25">
        <v>9.07</v>
      </c>
      <c r="D31" s="25">
        <v>0.9</v>
      </c>
      <c r="E31" s="25">
        <v>1.1200000000000001</v>
      </c>
      <c r="F31" s="25">
        <v>3.12</v>
      </c>
      <c r="G31" s="25">
        <v>0.83</v>
      </c>
    </row>
    <row r="32" spans="1:7" ht="24" customHeight="1" x14ac:dyDescent="0.25">
      <c r="A32" s="7" t="s">
        <v>73</v>
      </c>
      <c r="B32" s="25">
        <v>22.31</v>
      </c>
      <c r="C32" s="25">
        <v>13.98</v>
      </c>
      <c r="D32" s="25">
        <v>0.92</v>
      </c>
      <c r="E32" s="25">
        <v>1.25</v>
      </c>
      <c r="F32" s="25">
        <v>4.37</v>
      </c>
      <c r="G32" s="25">
        <v>1.8</v>
      </c>
    </row>
    <row r="33" spans="1:7" x14ac:dyDescent="0.25">
      <c r="A33" s="7" t="s">
        <v>34</v>
      </c>
      <c r="B33" s="25">
        <v>6.87</v>
      </c>
      <c r="C33" s="25">
        <v>4.09</v>
      </c>
      <c r="D33" s="25">
        <v>0.4</v>
      </c>
      <c r="E33" s="25">
        <v>0.48</v>
      </c>
      <c r="F33" s="25">
        <v>1.57</v>
      </c>
      <c r="G33" s="25">
        <v>0.34</v>
      </c>
    </row>
    <row r="34" spans="1:7" x14ac:dyDescent="0.25">
      <c r="A34" s="23" t="s">
        <v>74</v>
      </c>
      <c r="B34" s="24" t="s">
        <v>1</v>
      </c>
      <c r="C34" s="24" t="s">
        <v>1</v>
      </c>
      <c r="D34" s="24" t="s">
        <v>1</v>
      </c>
      <c r="E34" s="24" t="s">
        <v>1</v>
      </c>
      <c r="F34" s="24" t="s">
        <v>1</v>
      </c>
      <c r="G34" s="24" t="s">
        <v>1</v>
      </c>
    </row>
    <row r="35" spans="1:7" x14ac:dyDescent="0.25">
      <c r="A35" s="7" t="s">
        <v>75</v>
      </c>
      <c r="B35" s="25">
        <v>20.260000000000002</v>
      </c>
      <c r="C35" s="25">
        <v>13.58</v>
      </c>
      <c r="D35" s="25">
        <v>1.1399999999999999</v>
      </c>
      <c r="E35" s="25">
        <v>2.36</v>
      </c>
      <c r="F35" s="25">
        <v>3.08</v>
      </c>
      <c r="G35" s="25">
        <v>0.09</v>
      </c>
    </row>
    <row r="36" spans="1:7" x14ac:dyDescent="0.25">
      <c r="A36" s="7" t="s">
        <v>36</v>
      </c>
      <c r="B36" s="25">
        <v>12.48</v>
      </c>
      <c r="C36" s="25">
        <v>9.9</v>
      </c>
      <c r="D36" s="25">
        <v>0.4</v>
      </c>
      <c r="E36" s="25">
        <v>0.77</v>
      </c>
      <c r="F36" s="25">
        <v>1.25</v>
      </c>
      <c r="G36" s="25">
        <v>0.16</v>
      </c>
    </row>
    <row r="37" spans="1:7" x14ac:dyDescent="0.25">
      <c r="A37" s="7" t="s">
        <v>37</v>
      </c>
      <c r="B37" s="25">
        <v>12.76</v>
      </c>
      <c r="C37" s="25">
        <v>8.23</v>
      </c>
      <c r="D37" s="25">
        <v>0.63</v>
      </c>
      <c r="E37" s="25">
        <v>1.1200000000000001</v>
      </c>
      <c r="F37" s="25">
        <v>2.41</v>
      </c>
      <c r="G37" s="25">
        <v>0.37</v>
      </c>
    </row>
    <row r="38" spans="1:7" ht="24" customHeight="1" x14ac:dyDescent="0.25">
      <c r="A38" s="7" t="s">
        <v>38</v>
      </c>
      <c r="B38" s="25">
        <v>18.34</v>
      </c>
      <c r="C38" s="25">
        <v>10.46</v>
      </c>
      <c r="D38" s="25">
        <v>0.97</v>
      </c>
      <c r="E38" s="25">
        <v>1.56</v>
      </c>
      <c r="F38" s="25">
        <v>4.01</v>
      </c>
      <c r="G38" s="25">
        <v>1.34</v>
      </c>
    </row>
    <row r="39" spans="1:7" x14ac:dyDescent="0.25">
      <c r="A39" s="7" t="s">
        <v>39</v>
      </c>
      <c r="B39" s="25">
        <v>16.3</v>
      </c>
      <c r="C39" s="25">
        <v>8.67</v>
      </c>
      <c r="D39" s="25">
        <v>1.26</v>
      </c>
      <c r="E39" s="25">
        <v>1.43</v>
      </c>
      <c r="F39" s="25">
        <v>3.6</v>
      </c>
      <c r="G39" s="25">
        <v>1.33</v>
      </c>
    </row>
    <row r="40" spans="1:7" x14ac:dyDescent="0.25">
      <c r="A40" s="7" t="s">
        <v>40</v>
      </c>
      <c r="B40" s="25">
        <v>17.16</v>
      </c>
      <c r="C40" s="25">
        <v>10.65</v>
      </c>
      <c r="D40" s="25">
        <v>1.08</v>
      </c>
      <c r="E40" s="25">
        <v>0.95</v>
      </c>
      <c r="F40" s="25">
        <v>2.5499999999999998</v>
      </c>
      <c r="G40" s="25">
        <v>1.92</v>
      </c>
    </row>
    <row r="41" spans="1:7" x14ac:dyDescent="0.25">
      <c r="A41" s="7" t="s">
        <v>41</v>
      </c>
      <c r="B41" s="25">
        <v>16.16</v>
      </c>
      <c r="C41" s="25">
        <v>9.98</v>
      </c>
      <c r="D41" s="25">
        <v>1.31</v>
      </c>
      <c r="E41" s="25">
        <v>0.72</v>
      </c>
      <c r="F41" s="25">
        <v>3.17</v>
      </c>
      <c r="G41" s="25">
        <v>0.98</v>
      </c>
    </row>
    <row r="42" spans="1:7" x14ac:dyDescent="0.25">
      <c r="A42" s="7" t="s">
        <v>76</v>
      </c>
      <c r="B42" s="25">
        <v>5.53</v>
      </c>
      <c r="C42" s="25">
        <v>3.05</v>
      </c>
      <c r="D42" s="25">
        <v>0.37</v>
      </c>
      <c r="E42" s="25">
        <v>0.26</v>
      </c>
      <c r="F42" s="25">
        <v>1.52</v>
      </c>
      <c r="G42" s="25">
        <v>0.32</v>
      </c>
    </row>
    <row r="43" spans="1:7" x14ac:dyDescent="0.25">
      <c r="A43" s="7" t="s">
        <v>281</v>
      </c>
      <c r="B43" s="25">
        <v>4.5599999999999996</v>
      </c>
      <c r="C43" s="25">
        <v>2.5299999999999998</v>
      </c>
      <c r="D43" s="25">
        <v>0.28999999999999998</v>
      </c>
      <c r="E43" s="25">
        <v>0.18</v>
      </c>
      <c r="F43" s="25">
        <v>1.26</v>
      </c>
      <c r="G43" s="25">
        <v>0.31</v>
      </c>
    </row>
    <row r="44" spans="1:7" x14ac:dyDescent="0.25">
      <c r="A44" s="23" t="s">
        <v>77</v>
      </c>
      <c r="B44" s="24" t="s">
        <v>1</v>
      </c>
      <c r="C44" s="24" t="s">
        <v>1</v>
      </c>
      <c r="D44" s="24" t="s">
        <v>1</v>
      </c>
      <c r="E44" s="24" t="s">
        <v>1</v>
      </c>
      <c r="F44" s="24" t="s">
        <v>1</v>
      </c>
      <c r="G44" s="24" t="s">
        <v>1</v>
      </c>
    </row>
    <row r="45" spans="1:7" x14ac:dyDescent="0.25">
      <c r="A45" s="7" t="s">
        <v>282</v>
      </c>
      <c r="B45" s="25">
        <v>47.15</v>
      </c>
      <c r="C45" s="25">
        <v>44.59</v>
      </c>
      <c r="D45" s="25">
        <v>2.57</v>
      </c>
      <c r="E45" s="25" t="s">
        <v>42</v>
      </c>
      <c r="F45" s="25" t="s">
        <v>42</v>
      </c>
      <c r="G45" s="25" t="s">
        <v>42</v>
      </c>
    </row>
    <row r="46" spans="1:7" x14ac:dyDescent="0.25">
      <c r="A46" s="7" t="s">
        <v>283</v>
      </c>
      <c r="B46" s="25">
        <v>32.47</v>
      </c>
      <c r="C46" s="25">
        <v>28.53</v>
      </c>
      <c r="D46" s="25">
        <v>3.94</v>
      </c>
      <c r="E46" s="25" t="s">
        <v>42</v>
      </c>
      <c r="F46" s="25" t="s">
        <v>42</v>
      </c>
      <c r="G46" s="25" t="s">
        <v>42</v>
      </c>
    </row>
    <row r="47" spans="1:7" ht="24" customHeight="1" x14ac:dyDescent="0.25">
      <c r="A47" s="7" t="s">
        <v>284</v>
      </c>
      <c r="B47" s="25">
        <v>2.61</v>
      </c>
      <c r="C47" s="25">
        <v>1.76</v>
      </c>
      <c r="D47" s="25">
        <v>0.85</v>
      </c>
      <c r="E47" s="25" t="s">
        <v>42</v>
      </c>
      <c r="F47" s="25" t="s">
        <v>42</v>
      </c>
      <c r="G47" s="25" t="s">
        <v>42</v>
      </c>
    </row>
    <row r="48" spans="1:7" x14ac:dyDescent="0.25">
      <c r="A48" s="7" t="s">
        <v>285</v>
      </c>
      <c r="B48" s="25">
        <v>2.2799999999999998</v>
      </c>
      <c r="C48" s="25">
        <v>2.19</v>
      </c>
      <c r="D48" s="25">
        <v>0.09</v>
      </c>
      <c r="E48" s="25" t="s">
        <v>42</v>
      </c>
      <c r="F48" s="25" t="s">
        <v>42</v>
      </c>
      <c r="G48" s="25" t="s">
        <v>42</v>
      </c>
    </row>
    <row r="49" spans="1:7" ht="26.25" x14ac:dyDescent="0.25">
      <c r="A49" s="7" t="s">
        <v>78</v>
      </c>
      <c r="B49" s="25">
        <v>39.01</v>
      </c>
      <c r="C49" s="25" t="s">
        <v>42</v>
      </c>
      <c r="D49" s="25" t="s">
        <v>42</v>
      </c>
      <c r="E49" s="25">
        <v>9.34</v>
      </c>
      <c r="F49" s="25">
        <v>22.84</v>
      </c>
      <c r="G49" s="25">
        <v>6.83</v>
      </c>
    </row>
    <row r="50" spans="1:7" x14ac:dyDescent="0.25">
      <c r="A50" s="23" t="s">
        <v>79</v>
      </c>
      <c r="B50" s="24" t="s">
        <v>1</v>
      </c>
      <c r="C50" s="24" t="s">
        <v>1</v>
      </c>
      <c r="D50" s="24" t="s">
        <v>1</v>
      </c>
      <c r="E50" s="24" t="s">
        <v>1</v>
      </c>
      <c r="F50" s="24" t="s">
        <v>1</v>
      </c>
      <c r="G50" s="24" t="s">
        <v>1</v>
      </c>
    </row>
    <row r="51" spans="1:7" ht="26.25" x14ac:dyDescent="0.25">
      <c r="A51" s="7" t="s">
        <v>286</v>
      </c>
      <c r="B51" s="25">
        <v>45.44</v>
      </c>
      <c r="C51" s="25">
        <v>31.14</v>
      </c>
      <c r="D51" s="25">
        <v>2.83</v>
      </c>
      <c r="E51" s="25">
        <v>2.23</v>
      </c>
      <c r="F51" s="25">
        <v>3.79</v>
      </c>
      <c r="G51" s="25">
        <v>5.45</v>
      </c>
    </row>
    <row r="52" spans="1:7" x14ac:dyDescent="0.25">
      <c r="A52" s="7" t="s">
        <v>43</v>
      </c>
      <c r="B52" s="25">
        <v>33.369999999999997</v>
      </c>
      <c r="C52" s="25">
        <v>17.52</v>
      </c>
      <c r="D52" s="25">
        <v>2.0099999999999998</v>
      </c>
      <c r="E52" s="25">
        <v>3.79</v>
      </c>
      <c r="F52" s="25">
        <v>9.8000000000000007</v>
      </c>
      <c r="G52" s="25">
        <v>0.24</v>
      </c>
    </row>
    <row r="53" spans="1:7" ht="24" customHeight="1" x14ac:dyDescent="0.25">
      <c r="A53" s="7" t="s">
        <v>44</v>
      </c>
      <c r="B53" s="25">
        <v>18.8</v>
      </c>
      <c r="C53" s="25">
        <v>12.63</v>
      </c>
      <c r="D53" s="25">
        <v>0.92</v>
      </c>
      <c r="E53" s="25">
        <v>1.55</v>
      </c>
      <c r="F53" s="25">
        <v>2.86</v>
      </c>
      <c r="G53" s="25">
        <v>0.84</v>
      </c>
    </row>
    <row r="54" spans="1:7" ht="15" customHeight="1" x14ac:dyDescent="0.25">
      <c r="A54" s="7" t="s">
        <v>45</v>
      </c>
      <c r="B54" s="25">
        <v>15.65</v>
      </c>
      <c r="C54" s="25">
        <v>10.54</v>
      </c>
      <c r="D54" s="25">
        <v>1.07</v>
      </c>
      <c r="E54" s="25">
        <v>0.89</v>
      </c>
      <c r="F54" s="25">
        <v>3.08</v>
      </c>
      <c r="G54" s="25">
        <v>0.08</v>
      </c>
    </row>
    <row r="55" spans="1:7" x14ac:dyDescent="0.25">
      <c r="A55" s="7" t="s">
        <v>287</v>
      </c>
      <c r="B55" s="25">
        <v>6.42</v>
      </c>
      <c r="C55" s="25">
        <v>2.89</v>
      </c>
      <c r="D55" s="25">
        <v>0.41</v>
      </c>
      <c r="E55" s="25">
        <v>0.5</v>
      </c>
      <c r="F55" s="25">
        <v>2.56</v>
      </c>
      <c r="G55" s="25" t="s">
        <v>35</v>
      </c>
    </row>
    <row r="56" spans="1:7" x14ac:dyDescent="0.25">
      <c r="A56" s="7" t="s">
        <v>288</v>
      </c>
      <c r="B56" s="25">
        <v>1.89</v>
      </c>
      <c r="C56" s="25">
        <v>1.1599999999999999</v>
      </c>
      <c r="D56" s="25">
        <v>0.11</v>
      </c>
      <c r="E56" s="25">
        <v>0.21</v>
      </c>
      <c r="F56" s="25">
        <v>0.3</v>
      </c>
      <c r="G56" s="25">
        <v>0.11</v>
      </c>
    </row>
    <row r="57" spans="1:7" x14ac:dyDescent="0.25">
      <c r="A57" s="7" t="s">
        <v>46</v>
      </c>
      <c r="B57" s="25">
        <v>1.46</v>
      </c>
      <c r="C57" s="25">
        <v>0.94</v>
      </c>
      <c r="D57" s="25">
        <v>0.08</v>
      </c>
      <c r="E57" s="25">
        <v>0.14000000000000001</v>
      </c>
      <c r="F57" s="25">
        <v>0.31</v>
      </c>
      <c r="G57" s="25" t="s">
        <v>42</v>
      </c>
    </row>
    <row r="58" spans="1:7" x14ac:dyDescent="0.25">
      <c r="A58" s="7" t="s">
        <v>80</v>
      </c>
      <c r="B58" s="25">
        <v>0.5</v>
      </c>
      <c r="C58" s="25">
        <v>0.26</v>
      </c>
      <c r="D58" s="25" t="s">
        <v>35</v>
      </c>
      <c r="E58" s="25" t="s">
        <v>35</v>
      </c>
      <c r="F58" s="25">
        <v>0.14000000000000001</v>
      </c>
      <c r="G58" s="25" t="s">
        <v>35</v>
      </c>
    </row>
    <row r="59" spans="1:7" x14ac:dyDescent="0.25">
      <c r="A59" s="23" t="s">
        <v>81</v>
      </c>
      <c r="B59" s="24" t="s">
        <v>1</v>
      </c>
      <c r="C59" s="24" t="s">
        <v>1</v>
      </c>
      <c r="D59" s="24" t="s">
        <v>1</v>
      </c>
      <c r="E59" s="24" t="s">
        <v>1</v>
      </c>
      <c r="F59" s="24" t="s">
        <v>1</v>
      </c>
      <c r="G59" s="24" t="s">
        <v>1</v>
      </c>
    </row>
    <row r="60" spans="1:7" x14ac:dyDescent="0.25">
      <c r="A60" s="7" t="s">
        <v>82</v>
      </c>
      <c r="B60" s="25">
        <v>76.03</v>
      </c>
      <c r="C60" s="25">
        <v>61.56</v>
      </c>
      <c r="D60" s="25">
        <v>5.49</v>
      </c>
      <c r="E60" s="25">
        <v>5.89</v>
      </c>
      <c r="F60" s="25" t="s">
        <v>42</v>
      </c>
      <c r="G60" s="25">
        <v>3.09</v>
      </c>
    </row>
    <row r="61" spans="1:7" x14ac:dyDescent="0.25">
      <c r="A61" s="7" t="s">
        <v>47</v>
      </c>
      <c r="B61" s="25">
        <v>9.69</v>
      </c>
      <c r="C61" s="25">
        <v>5.87</v>
      </c>
      <c r="D61" s="25">
        <v>0.28000000000000003</v>
      </c>
      <c r="E61" s="25">
        <v>0.46</v>
      </c>
      <c r="F61" s="25" t="s">
        <v>42</v>
      </c>
      <c r="G61" s="25">
        <v>3.08</v>
      </c>
    </row>
    <row r="62" spans="1:7" ht="24" customHeight="1" x14ac:dyDescent="0.25">
      <c r="A62" s="7" t="s">
        <v>83</v>
      </c>
      <c r="B62" s="25">
        <v>5.19</v>
      </c>
      <c r="C62" s="25">
        <v>3.06</v>
      </c>
      <c r="D62" s="25">
        <v>0.55000000000000004</v>
      </c>
      <c r="E62" s="25">
        <v>1.23</v>
      </c>
      <c r="F62" s="25" t="s">
        <v>42</v>
      </c>
      <c r="G62" s="25">
        <v>0.35</v>
      </c>
    </row>
    <row r="63" spans="1:7" x14ac:dyDescent="0.25">
      <c r="A63" s="7" t="s">
        <v>84</v>
      </c>
      <c r="B63" s="25">
        <v>4.8899999999999997</v>
      </c>
      <c r="C63" s="25">
        <v>3.6</v>
      </c>
      <c r="D63" s="25">
        <v>0.59</v>
      </c>
      <c r="E63" s="25">
        <v>0.66</v>
      </c>
      <c r="F63" s="25" t="s">
        <v>42</v>
      </c>
      <c r="G63" s="25" t="s">
        <v>35</v>
      </c>
    </row>
    <row r="64" spans="1:7" x14ac:dyDescent="0.25">
      <c r="A64" s="7" t="s">
        <v>85</v>
      </c>
      <c r="B64" s="25">
        <v>2.14</v>
      </c>
      <c r="C64" s="25">
        <v>1.58</v>
      </c>
      <c r="D64" s="25">
        <v>0.11</v>
      </c>
      <c r="E64" s="25">
        <v>0.43</v>
      </c>
      <c r="F64" s="25" t="s">
        <v>42</v>
      </c>
      <c r="G64" s="25" t="s">
        <v>35</v>
      </c>
    </row>
    <row r="65" spans="1:7" x14ac:dyDescent="0.25">
      <c r="A65" s="7" t="s">
        <v>86</v>
      </c>
      <c r="B65" s="25">
        <v>1.49</v>
      </c>
      <c r="C65" s="25">
        <v>0.73</v>
      </c>
      <c r="D65" s="25">
        <v>0.18</v>
      </c>
      <c r="E65" s="25">
        <v>0.51</v>
      </c>
      <c r="F65" s="25" t="s">
        <v>42</v>
      </c>
      <c r="G65" s="25">
        <v>0.08</v>
      </c>
    </row>
    <row r="66" spans="1:7" x14ac:dyDescent="0.25">
      <c r="A66" s="7" t="s">
        <v>80</v>
      </c>
      <c r="B66" s="25">
        <v>1.26</v>
      </c>
      <c r="C66" s="25">
        <v>0.67</v>
      </c>
      <c r="D66" s="25">
        <v>0.27</v>
      </c>
      <c r="E66" s="25">
        <v>0.15</v>
      </c>
      <c r="F66" s="25" t="s">
        <v>42</v>
      </c>
      <c r="G66" s="25">
        <v>0.18</v>
      </c>
    </row>
    <row r="67" spans="1:7" ht="26.25" x14ac:dyDescent="0.25">
      <c r="A67" s="7" t="s">
        <v>87</v>
      </c>
      <c r="B67" s="25">
        <v>22.84</v>
      </c>
      <c r="C67" s="25" t="s">
        <v>42</v>
      </c>
      <c r="D67" s="25" t="s">
        <v>42</v>
      </c>
      <c r="E67" s="25" t="s">
        <v>42</v>
      </c>
      <c r="F67" s="25">
        <v>22.84</v>
      </c>
      <c r="G67" s="25" t="s">
        <v>42</v>
      </c>
    </row>
    <row r="68" spans="1:7" ht="26.25" x14ac:dyDescent="0.25">
      <c r="A68" s="23" t="s">
        <v>88</v>
      </c>
      <c r="B68" s="24" t="s">
        <v>1</v>
      </c>
      <c r="C68" s="24" t="s">
        <v>1</v>
      </c>
      <c r="D68" s="24" t="s">
        <v>1</v>
      </c>
      <c r="E68" s="24" t="s">
        <v>1</v>
      </c>
      <c r="F68" s="24" t="s">
        <v>1</v>
      </c>
      <c r="G68" s="24" t="s">
        <v>1</v>
      </c>
    </row>
    <row r="69" spans="1:7" x14ac:dyDescent="0.25">
      <c r="A69" s="28" t="s">
        <v>49</v>
      </c>
      <c r="B69" s="25">
        <v>4.59</v>
      </c>
      <c r="C69" s="25">
        <v>0.09</v>
      </c>
      <c r="D69" s="25">
        <v>0.05</v>
      </c>
      <c r="E69" s="25">
        <v>0.77</v>
      </c>
      <c r="F69" s="25">
        <v>3.56</v>
      </c>
      <c r="G69" s="25">
        <v>0.11</v>
      </c>
    </row>
    <row r="70" spans="1:7" x14ac:dyDescent="0.25">
      <c r="A70" s="28">
        <v>3</v>
      </c>
      <c r="B70" s="25">
        <v>8.73</v>
      </c>
      <c r="C70" s="25">
        <v>0.65</v>
      </c>
      <c r="D70" s="25">
        <v>0.3</v>
      </c>
      <c r="E70" s="25">
        <v>1.71</v>
      </c>
      <c r="F70" s="25">
        <v>5.86</v>
      </c>
      <c r="G70" s="25">
        <v>0.21</v>
      </c>
    </row>
    <row r="71" spans="1:7" ht="33.950000000000003" customHeight="1" x14ac:dyDescent="0.25">
      <c r="A71" s="28">
        <v>4</v>
      </c>
      <c r="B71" s="25">
        <v>15.95</v>
      </c>
      <c r="C71" s="25">
        <v>3.3</v>
      </c>
      <c r="D71" s="25">
        <v>1.46</v>
      </c>
      <c r="E71" s="25">
        <v>3.04</v>
      </c>
      <c r="F71" s="25">
        <v>6.98</v>
      </c>
      <c r="G71" s="25">
        <v>1.17</v>
      </c>
    </row>
    <row r="72" spans="1:7" x14ac:dyDescent="0.25">
      <c r="A72" s="28">
        <v>5</v>
      </c>
      <c r="B72" s="25">
        <v>19.54</v>
      </c>
      <c r="C72" s="25">
        <v>9.77</v>
      </c>
      <c r="D72" s="25">
        <v>1.81</v>
      </c>
      <c r="E72" s="25">
        <v>2.17</v>
      </c>
      <c r="F72" s="25">
        <v>4.13</v>
      </c>
      <c r="G72" s="25">
        <v>1.65</v>
      </c>
    </row>
    <row r="73" spans="1:7" x14ac:dyDescent="0.25">
      <c r="A73" s="28">
        <v>6</v>
      </c>
      <c r="B73" s="25">
        <v>22.1</v>
      </c>
      <c r="C73" s="25">
        <v>15.86</v>
      </c>
      <c r="D73" s="25">
        <v>1.66</v>
      </c>
      <c r="E73" s="25">
        <v>0.97</v>
      </c>
      <c r="F73" s="25">
        <v>1.68</v>
      </c>
      <c r="G73" s="25">
        <v>1.94</v>
      </c>
    </row>
    <row r="74" spans="1:7" x14ac:dyDescent="0.25">
      <c r="A74" s="28">
        <v>7</v>
      </c>
      <c r="B74" s="25">
        <v>18.86</v>
      </c>
      <c r="C74" s="25">
        <v>16.23</v>
      </c>
      <c r="D74" s="25">
        <v>1.1000000000000001</v>
      </c>
      <c r="E74" s="25">
        <v>0.27</v>
      </c>
      <c r="F74" s="25">
        <v>0.38</v>
      </c>
      <c r="G74" s="25">
        <v>0.87</v>
      </c>
    </row>
    <row r="75" spans="1:7" x14ac:dyDescent="0.25">
      <c r="A75" s="28">
        <v>8</v>
      </c>
      <c r="B75" s="25">
        <v>13.87</v>
      </c>
      <c r="C75" s="25">
        <v>12.42</v>
      </c>
      <c r="D75" s="25">
        <v>0.56000000000000005</v>
      </c>
      <c r="E75" s="25">
        <v>0.16</v>
      </c>
      <c r="F75" s="25">
        <v>0.15</v>
      </c>
      <c r="G75" s="25">
        <v>0.57999999999999996</v>
      </c>
    </row>
    <row r="76" spans="1:7" x14ac:dyDescent="0.25">
      <c r="A76" s="28" t="s">
        <v>89</v>
      </c>
      <c r="B76" s="25">
        <v>19.899999999999999</v>
      </c>
      <c r="C76" s="25">
        <v>18.73</v>
      </c>
      <c r="D76" s="25">
        <v>0.51</v>
      </c>
      <c r="E76" s="25">
        <v>0.25</v>
      </c>
      <c r="F76" s="25">
        <v>0.11</v>
      </c>
      <c r="G76" s="25">
        <v>0.3</v>
      </c>
    </row>
    <row r="77" spans="1:7" x14ac:dyDescent="0.25">
      <c r="A77" s="23" t="s">
        <v>90</v>
      </c>
      <c r="B77" s="25" t="s">
        <v>1</v>
      </c>
      <c r="C77" s="25" t="s">
        <v>1</v>
      </c>
      <c r="D77" s="25" t="s">
        <v>1</v>
      </c>
      <c r="E77" s="25" t="s">
        <v>1</v>
      </c>
      <c r="F77" s="25" t="s">
        <v>1</v>
      </c>
      <c r="G77" s="25" t="s">
        <v>1</v>
      </c>
    </row>
    <row r="78" spans="1:7" x14ac:dyDescent="0.25">
      <c r="A78" s="28">
        <v>0</v>
      </c>
      <c r="B78" s="25">
        <v>1.82</v>
      </c>
      <c r="C78" s="25">
        <v>0.1</v>
      </c>
      <c r="D78" s="25" t="s">
        <v>35</v>
      </c>
      <c r="E78" s="25">
        <v>0.32</v>
      </c>
      <c r="F78" s="25">
        <v>1.36</v>
      </c>
      <c r="G78" s="25" t="s">
        <v>35</v>
      </c>
    </row>
    <row r="79" spans="1:7" x14ac:dyDescent="0.25">
      <c r="A79" s="28">
        <v>1</v>
      </c>
      <c r="B79" s="25">
        <v>14.52</v>
      </c>
      <c r="C79" s="25">
        <v>1.25</v>
      </c>
      <c r="D79" s="25">
        <v>0.49</v>
      </c>
      <c r="E79" s="25">
        <v>2.61</v>
      </c>
      <c r="F79" s="25">
        <v>9.7799999999999994</v>
      </c>
      <c r="G79" s="25">
        <v>0.4</v>
      </c>
    </row>
    <row r="80" spans="1:7" ht="24" customHeight="1" x14ac:dyDescent="0.25">
      <c r="A80" s="28">
        <v>2</v>
      </c>
      <c r="B80" s="25">
        <v>30.67</v>
      </c>
      <c r="C80" s="25">
        <v>10.56</v>
      </c>
      <c r="D80" s="25">
        <v>3.19</v>
      </c>
      <c r="E80" s="25">
        <v>4.57</v>
      </c>
      <c r="F80" s="25">
        <v>9.99</v>
      </c>
      <c r="G80" s="25">
        <v>2.36</v>
      </c>
    </row>
    <row r="81" spans="1:7" x14ac:dyDescent="0.25">
      <c r="A81" s="28">
        <v>3</v>
      </c>
      <c r="B81" s="25">
        <v>48.27</v>
      </c>
      <c r="C81" s="25">
        <v>38.869999999999997</v>
      </c>
      <c r="D81" s="25">
        <v>2.94</v>
      </c>
      <c r="E81" s="25">
        <v>1.48</v>
      </c>
      <c r="F81" s="25">
        <v>1.51</v>
      </c>
      <c r="G81" s="25">
        <v>3.49</v>
      </c>
    </row>
    <row r="82" spans="1:7" x14ac:dyDescent="0.25">
      <c r="A82" s="28">
        <v>4</v>
      </c>
      <c r="B82" s="25">
        <v>22.08</v>
      </c>
      <c r="C82" s="25">
        <v>20.61</v>
      </c>
      <c r="D82" s="25">
        <v>0.57999999999999996</v>
      </c>
      <c r="E82" s="25">
        <v>0.23</v>
      </c>
      <c r="F82" s="25">
        <v>0.15</v>
      </c>
      <c r="G82" s="25">
        <v>0.51</v>
      </c>
    </row>
    <row r="83" spans="1:7" x14ac:dyDescent="0.25">
      <c r="A83" s="28" t="s">
        <v>91</v>
      </c>
      <c r="B83" s="25">
        <v>6.16</v>
      </c>
      <c r="C83" s="25">
        <v>5.69</v>
      </c>
      <c r="D83" s="25">
        <v>0.21</v>
      </c>
      <c r="E83" s="25">
        <v>0.13</v>
      </c>
      <c r="F83" s="25" t="s">
        <v>35</v>
      </c>
      <c r="G83" s="25">
        <v>7.0000000000000007E-2</v>
      </c>
    </row>
    <row r="84" spans="1:7" ht="26.25" x14ac:dyDescent="0.25">
      <c r="A84" s="23" t="s">
        <v>92</v>
      </c>
      <c r="B84" s="24" t="s">
        <v>1</v>
      </c>
      <c r="C84" s="24" t="s">
        <v>1</v>
      </c>
      <c r="D84" s="24" t="s">
        <v>1</v>
      </c>
      <c r="E84" s="24" t="s">
        <v>1</v>
      </c>
      <c r="F84" s="24" t="s">
        <v>1</v>
      </c>
      <c r="G84" s="24" t="s">
        <v>1</v>
      </c>
    </row>
    <row r="85" spans="1:7" x14ac:dyDescent="0.25">
      <c r="A85" s="28">
        <v>1</v>
      </c>
      <c r="B85" s="25">
        <v>8.41</v>
      </c>
      <c r="C85" s="25">
        <v>1.43</v>
      </c>
      <c r="D85" s="25">
        <v>0.31</v>
      </c>
      <c r="E85" s="25">
        <v>1.55</v>
      </c>
      <c r="F85" s="25">
        <v>4.84</v>
      </c>
      <c r="G85" s="25">
        <v>0.28000000000000003</v>
      </c>
    </row>
    <row r="86" spans="1:7" x14ac:dyDescent="0.25">
      <c r="A86" s="28">
        <v>2</v>
      </c>
      <c r="B86" s="25">
        <v>27.88</v>
      </c>
      <c r="C86" s="25">
        <v>9.65</v>
      </c>
      <c r="D86" s="25">
        <v>2.13</v>
      </c>
      <c r="E86" s="25">
        <v>3.9</v>
      </c>
      <c r="F86" s="25">
        <v>10.07</v>
      </c>
      <c r="G86" s="25">
        <v>2.13</v>
      </c>
    </row>
    <row r="87" spans="1:7" ht="33.950000000000003" customHeight="1" x14ac:dyDescent="0.25">
      <c r="A87" s="28">
        <v>3</v>
      </c>
      <c r="B87" s="25">
        <v>32.82</v>
      </c>
      <c r="C87" s="25">
        <v>19.91</v>
      </c>
      <c r="D87" s="25">
        <v>2.39</v>
      </c>
      <c r="E87" s="25">
        <v>2.5499999999999998</v>
      </c>
      <c r="F87" s="25">
        <v>5.6</v>
      </c>
      <c r="G87" s="25">
        <v>2.36</v>
      </c>
    </row>
    <row r="88" spans="1:7" x14ac:dyDescent="0.25">
      <c r="A88" s="28">
        <v>4</v>
      </c>
      <c r="B88" s="25">
        <v>26.77</v>
      </c>
      <c r="C88" s="25">
        <v>21.33</v>
      </c>
      <c r="D88" s="25">
        <v>1.5</v>
      </c>
      <c r="E88" s="25">
        <v>0.82</v>
      </c>
      <c r="F88" s="25">
        <v>1.86</v>
      </c>
      <c r="G88" s="25">
        <v>1.26</v>
      </c>
    </row>
    <row r="89" spans="1:7" x14ac:dyDescent="0.25">
      <c r="A89" s="28" t="s">
        <v>91</v>
      </c>
      <c r="B89" s="25">
        <v>27.64</v>
      </c>
      <c r="C89" s="25">
        <v>24.75</v>
      </c>
      <c r="D89" s="25">
        <v>1.1100000000000001</v>
      </c>
      <c r="E89" s="25">
        <v>0.51</v>
      </c>
      <c r="F89" s="25">
        <v>0.47</v>
      </c>
      <c r="G89" s="25">
        <v>0.79</v>
      </c>
    </row>
    <row r="90" spans="1:7" x14ac:dyDescent="0.25">
      <c r="A90" s="23" t="s">
        <v>93</v>
      </c>
      <c r="B90" s="24" t="s">
        <v>1</v>
      </c>
      <c r="C90" s="24" t="s">
        <v>1</v>
      </c>
      <c r="D90" s="24" t="s">
        <v>1</v>
      </c>
      <c r="E90" s="24" t="s">
        <v>1</v>
      </c>
      <c r="F90" s="24" t="s">
        <v>1</v>
      </c>
      <c r="G90" s="24" t="s">
        <v>1</v>
      </c>
    </row>
    <row r="91" spans="1:7" x14ac:dyDescent="0.25">
      <c r="A91" s="28">
        <v>0</v>
      </c>
      <c r="B91" s="25">
        <v>0.15</v>
      </c>
      <c r="C91" s="25">
        <v>7.0000000000000007E-2</v>
      </c>
      <c r="D91" s="25" t="s">
        <v>35</v>
      </c>
      <c r="E91" s="25" t="s">
        <v>35</v>
      </c>
      <c r="F91" s="25" t="s">
        <v>35</v>
      </c>
      <c r="G91" s="25" t="s">
        <v>35</v>
      </c>
    </row>
    <row r="92" spans="1:7" x14ac:dyDescent="0.25">
      <c r="A92" s="28">
        <v>1</v>
      </c>
      <c r="B92" s="25">
        <v>50.32</v>
      </c>
      <c r="C92" s="25">
        <v>21.7</v>
      </c>
      <c r="D92" s="25">
        <v>3.03</v>
      </c>
      <c r="E92" s="25">
        <v>7.24</v>
      </c>
      <c r="F92" s="25">
        <v>16.260000000000002</v>
      </c>
      <c r="G92" s="25">
        <v>2.1</v>
      </c>
    </row>
    <row r="93" spans="1:7" ht="24" customHeight="1" x14ac:dyDescent="0.25">
      <c r="A93" s="28">
        <v>2</v>
      </c>
      <c r="B93" s="25">
        <v>56.85</v>
      </c>
      <c r="C93" s="25">
        <v>40.42</v>
      </c>
      <c r="D93" s="25">
        <v>3.7</v>
      </c>
      <c r="E93" s="25">
        <v>1.86</v>
      </c>
      <c r="F93" s="25">
        <v>6.36</v>
      </c>
      <c r="G93" s="25">
        <v>4.51</v>
      </c>
    </row>
    <row r="94" spans="1:7" x14ac:dyDescent="0.25">
      <c r="A94" s="28" t="s">
        <v>94</v>
      </c>
      <c r="B94" s="25">
        <v>16.21</v>
      </c>
      <c r="C94" s="25">
        <v>14.89</v>
      </c>
      <c r="D94" s="25">
        <v>0.72</v>
      </c>
      <c r="E94" s="25">
        <v>0.23</v>
      </c>
      <c r="F94" s="25">
        <v>0.15</v>
      </c>
      <c r="G94" s="25">
        <v>0.22</v>
      </c>
    </row>
    <row r="95" spans="1:7" x14ac:dyDescent="0.25">
      <c r="A95" s="23" t="s">
        <v>95</v>
      </c>
      <c r="B95" s="24" t="s">
        <v>1</v>
      </c>
      <c r="C95" s="24" t="s">
        <v>1</v>
      </c>
      <c r="D95" s="24" t="s">
        <v>1</v>
      </c>
      <c r="E95" s="24" t="s">
        <v>1</v>
      </c>
      <c r="F95" s="24" t="s">
        <v>1</v>
      </c>
      <c r="G95" s="24" t="s">
        <v>1</v>
      </c>
    </row>
    <row r="96" spans="1:7" x14ac:dyDescent="0.25">
      <c r="A96" s="28">
        <v>0</v>
      </c>
      <c r="B96" s="25">
        <v>86.83</v>
      </c>
      <c r="C96" s="25">
        <v>47.8</v>
      </c>
      <c r="D96" s="25">
        <v>4.0599999999999996</v>
      </c>
      <c r="E96" s="25">
        <v>8.2100000000000009</v>
      </c>
      <c r="F96" s="25">
        <v>20.77</v>
      </c>
      <c r="G96" s="25">
        <v>5.98</v>
      </c>
    </row>
    <row r="97" spans="1:7" x14ac:dyDescent="0.25">
      <c r="A97" s="28">
        <v>1</v>
      </c>
      <c r="B97" s="25">
        <v>33.79</v>
      </c>
      <c r="C97" s="25">
        <v>26.87</v>
      </c>
      <c r="D97" s="25">
        <v>3.21</v>
      </c>
      <c r="E97" s="25">
        <v>1.03</v>
      </c>
      <c r="F97" s="25">
        <v>1.94</v>
      </c>
      <c r="G97" s="25">
        <v>0.75</v>
      </c>
    </row>
    <row r="98" spans="1:7" ht="24" customHeight="1" x14ac:dyDescent="0.25">
      <c r="A98" s="28" t="s">
        <v>96</v>
      </c>
      <c r="B98" s="25">
        <v>2.91</v>
      </c>
      <c r="C98" s="25">
        <v>2.39</v>
      </c>
      <c r="D98" s="25">
        <v>0.18</v>
      </c>
      <c r="E98" s="25">
        <v>0.11</v>
      </c>
      <c r="F98" s="25">
        <v>0.13</v>
      </c>
      <c r="G98" s="25">
        <v>0.1</v>
      </c>
    </row>
    <row r="99" spans="1:7" x14ac:dyDescent="0.25">
      <c r="A99" s="23" t="s">
        <v>48</v>
      </c>
      <c r="B99" s="24" t="s">
        <v>1</v>
      </c>
      <c r="C99" s="24" t="s">
        <v>1</v>
      </c>
      <c r="D99" s="24" t="s">
        <v>1</v>
      </c>
      <c r="E99" s="24" t="s">
        <v>1</v>
      </c>
      <c r="F99" s="24" t="s">
        <v>1</v>
      </c>
      <c r="G99" s="24" t="s">
        <v>1</v>
      </c>
    </row>
    <row r="100" spans="1:7" x14ac:dyDescent="0.25">
      <c r="A100" s="7" t="s">
        <v>50</v>
      </c>
      <c r="B100" s="25">
        <v>36.83</v>
      </c>
      <c r="C100" s="25">
        <v>33.86</v>
      </c>
      <c r="D100" s="25">
        <v>2.98</v>
      </c>
      <c r="E100" s="25" t="s">
        <v>42</v>
      </c>
      <c r="F100" s="25" t="s">
        <v>42</v>
      </c>
      <c r="G100" s="25" t="s">
        <v>42</v>
      </c>
    </row>
    <row r="101" spans="1:7" x14ac:dyDescent="0.25">
      <c r="A101" s="26" t="s">
        <v>97</v>
      </c>
      <c r="B101" s="25">
        <v>21.71</v>
      </c>
      <c r="C101" s="25">
        <v>19.850000000000001</v>
      </c>
      <c r="D101" s="25">
        <v>1.87</v>
      </c>
      <c r="E101" s="25" t="s">
        <v>42</v>
      </c>
      <c r="F101" s="25" t="s">
        <v>42</v>
      </c>
      <c r="G101" s="25" t="s">
        <v>42</v>
      </c>
    </row>
    <row r="102" spans="1:7" ht="24" customHeight="1" x14ac:dyDescent="0.25">
      <c r="A102" s="26" t="s">
        <v>98</v>
      </c>
      <c r="B102" s="25">
        <v>15.12</v>
      </c>
      <c r="C102" s="25">
        <v>14.01</v>
      </c>
      <c r="D102" s="25">
        <v>1.1100000000000001</v>
      </c>
      <c r="E102" s="25" t="s">
        <v>42</v>
      </c>
      <c r="F102" s="25" t="s">
        <v>42</v>
      </c>
      <c r="G102" s="25" t="s">
        <v>42</v>
      </c>
    </row>
    <row r="103" spans="1:7" x14ac:dyDescent="0.25">
      <c r="A103" s="28" t="s">
        <v>51</v>
      </c>
      <c r="B103" s="25">
        <v>47.68</v>
      </c>
      <c r="C103" s="25">
        <v>43.21</v>
      </c>
      <c r="D103" s="25">
        <v>4.47</v>
      </c>
      <c r="E103" s="25" t="s">
        <v>42</v>
      </c>
      <c r="F103" s="25" t="s">
        <v>42</v>
      </c>
      <c r="G103" s="25" t="s">
        <v>42</v>
      </c>
    </row>
    <row r="104" spans="1:7" ht="26.25" x14ac:dyDescent="0.25">
      <c r="A104" s="28" t="s">
        <v>78</v>
      </c>
      <c r="B104" s="25">
        <v>39.01</v>
      </c>
      <c r="C104" s="25" t="s">
        <v>42</v>
      </c>
      <c r="D104" s="25" t="s">
        <v>42</v>
      </c>
      <c r="E104" s="25">
        <v>9.34</v>
      </c>
      <c r="F104" s="25">
        <v>22.84</v>
      </c>
      <c r="G104" s="25">
        <v>6.83</v>
      </c>
    </row>
    <row r="105" spans="1:7" x14ac:dyDescent="0.25">
      <c r="A105" s="23" t="s">
        <v>99</v>
      </c>
      <c r="B105" s="24" t="s">
        <v>1</v>
      </c>
      <c r="C105" s="24" t="s">
        <v>1</v>
      </c>
      <c r="D105" s="24" t="s">
        <v>1</v>
      </c>
      <c r="E105" s="24" t="s">
        <v>1</v>
      </c>
      <c r="F105" s="24" t="s">
        <v>1</v>
      </c>
      <c r="G105" s="24" t="s">
        <v>1</v>
      </c>
    </row>
    <row r="106" spans="1:7" x14ac:dyDescent="0.25">
      <c r="A106" s="7" t="s">
        <v>50</v>
      </c>
      <c r="B106" s="25">
        <v>56.5</v>
      </c>
      <c r="C106" s="25">
        <v>52.99</v>
      </c>
      <c r="D106" s="25">
        <v>3.52</v>
      </c>
      <c r="E106" s="25" t="s">
        <v>42</v>
      </c>
      <c r="F106" s="25" t="s">
        <v>42</v>
      </c>
      <c r="G106" s="25" t="s">
        <v>42</v>
      </c>
    </row>
    <row r="107" spans="1:7" x14ac:dyDescent="0.25">
      <c r="A107" s="26" t="s">
        <v>100</v>
      </c>
      <c r="B107" s="25">
        <v>7.68</v>
      </c>
      <c r="C107" s="25">
        <v>7.1</v>
      </c>
      <c r="D107" s="25">
        <v>0.56999999999999995</v>
      </c>
      <c r="E107" s="25" t="s">
        <v>42</v>
      </c>
      <c r="F107" s="25" t="s">
        <v>42</v>
      </c>
      <c r="G107" s="25" t="s">
        <v>42</v>
      </c>
    </row>
    <row r="108" spans="1:7" ht="24" customHeight="1" x14ac:dyDescent="0.25">
      <c r="A108" s="26" t="s">
        <v>101</v>
      </c>
      <c r="B108" s="25">
        <v>48.83</v>
      </c>
      <c r="C108" s="25">
        <v>45.88</v>
      </c>
      <c r="D108" s="25">
        <v>2.94</v>
      </c>
      <c r="E108" s="25" t="s">
        <v>42</v>
      </c>
      <c r="F108" s="25" t="s">
        <v>42</v>
      </c>
      <c r="G108" s="25" t="s">
        <v>42</v>
      </c>
    </row>
    <row r="109" spans="1:7" x14ac:dyDescent="0.25">
      <c r="A109" s="7" t="s">
        <v>51</v>
      </c>
      <c r="B109" s="25">
        <v>28.01</v>
      </c>
      <c r="C109" s="25">
        <v>24.08</v>
      </c>
      <c r="D109" s="25">
        <v>3.94</v>
      </c>
      <c r="E109" s="25" t="s">
        <v>42</v>
      </c>
      <c r="F109" s="25" t="s">
        <v>42</v>
      </c>
      <c r="G109" s="25" t="s">
        <v>42</v>
      </c>
    </row>
    <row r="110" spans="1:7" ht="26.25" x14ac:dyDescent="0.25">
      <c r="A110" s="28" t="s">
        <v>78</v>
      </c>
      <c r="B110" s="25">
        <v>39.01</v>
      </c>
      <c r="C110" s="25" t="s">
        <v>42</v>
      </c>
      <c r="D110" s="25" t="s">
        <v>42</v>
      </c>
      <c r="E110" s="25">
        <v>9.34</v>
      </c>
      <c r="F110" s="25">
        <v>22.84</v>
      </c>
      <c r="G110" s="25">
        <v>6.83</v>
      </c>
    </row>
    <row r="111" spans="1:7" x14ac:dyDescent="0.25">
      <c r="A111" s="23" t="s">
        <v>102</v>
      </c>
      <c r="B111" s="24" t="s">
        <v>1</v>
      </c>
      <c r="C111" s="24" t="s">
        <v>1</v>
      </c>
      <c r="D111" s="24" t="s">
        <v>1</v>
      </c>
      <c r="E111" s="24" t="s">
        <v>1</v>
      </c>
      <c r="F111" s="24" t="s">
        <v>1</v>
      </c>
      <c r="G111" s="24" t="s">
        <v>1</v>
      </c>
    </row>
    <row r="112" spans="1:7" x14ac:dyDescent="0.25">
      <c r="A112" s="7" t="s">
        <v>50</v>
      </c>
      <c r="B112" s="25">
        <v>51.79</v>
      </c>
      <c r="C112" s="25">
        <v>48.19</v>
      </c>
      <c r="D112" s="25">
        <v>3.6</v>
      </c>
      <c r="E112" s="25" t="s">
        <v>42</v>
      </c>
      <c r="F112" s="25" t="s">
        <v>42</v>
      </c>
      <c r="G112" s="25" t="s">
        <v>42</v>
      </c>
    </row>
    <row r="113" spans="1:7" x14ac:dyDescent="0.25">
      <c r="A113" s="26" t="s">
        <v>103</v>
      </c>
      <c r="B113" s="25">
        <v>11.27</v>
      </c>
      <c r="C113" s="25">
        <v>9.64</v>
      </c>
      <c r="D113" s="25">
        <v>1.64</v>
      </c>
      <c r="E113" s="25" t="s">
        <v>42</v>
      </c>
      <c r="F113" s="25" t="s">
        <v>42</v>
      </c>
      <c r="G113" s="25" t="s">
        <v>42</v>
      </c>
    </row>
    <row r="114" spans="1:7" ht="24" customHeight="1" x14ac:dyDescent="0.25">
      <c r="A114" s="26" t="s">
        <v>104</v>
      </c>
      <c r="B114" s="25">
        <v>34.18</v>
      </c>
      <c r="C114" s="25">
        <v>32.270000000000003</v>
      </c>
      <c r="D114" s="25">
        <v>1.91</v>
      </c>
      <c r="E114" s="25" t="s">
        <v>42</v>
      </c>
      <c r="F114" s="25" t="s">
        <v>42</v>
      </c>
      <c r="G114" s="25" t="s">
        <v>42</v>
      </c>
    </row>
    <row r="115" spans="1:7" ht="24" customHeight="1" x14ac:dyDescent="0.25">
      <c r="A115" s="26" t="s">
        <v>105</v>
      </c>
      <c r="B115" s="25">
        <v>6.34</v>
      </c>
      <c r="C115" s="25">
        <v>6.28</v>
      </c>
      <c r="D115" s="25">
        <v>0.06</v>
      </c>
      <c r="E115" s="25" t="s">
        <v>42</v>
      </c>
      <c r="F115" s="25" t="s">
        <v>42</v>
      </c>
      <c r="G115" s="25" t="s">
        <v>42</v>
      </c>
    </row>
    <row r="116" spans="1:7" x14ac:dyDescent="0.25">
      <c r="A116" s="7" t="s">
        <v>51</v>
      </c>
      <c r="B116" s="25">
        <v>32.72</v>
      </c>
      <c r="C116" s="25">
        <v>28.88</v>
      </c>
      <c r="D116" s="25">
        <v>3.85</v>
      </c>
      <c r="E116" s="25" t="s">
        <v>42</v>
      </c>
      <c r="F116" s="25" t="s">
        <v>42</v>
      </c>
      <c r="G116" s="25" t="s">
        <v>42</v>
      </c>
    </row>
    <row r="117" spans="1:7" ht="26.25" x14ac:dyDescent="0.25">
      <c r="A117" s="28" t="s">
        <v>78</v>
      </c>
      <c r="B117" s="25">
        <v>39.01</v>
      </c>
      <c r="C117" s="25" t="s">
        <v>42</v>
      </c>
      <c r="D117" s="25" t="s">
        <v>42</v>
      </c>
      <c r="E117" s="25">
        <v>9.34</v>
      </c>
      <c r="F117" s="25">
        <v>22.84</v>
      </c>
      <c r="G117" s="25">
        <v>6.83</v>
      </c>
    </row>
    <row r="118" spans="1:7" x14ac:dyDescent="0.25">
      <c r="A118" s="23" t="s">
        <v>106</v>
      </c>
      <c r="B118" s="24" t="s">
        <v>1</v>
      </c>
      <c r="C118" s="24" t="s">
        <v>1</v>
      </c>
      <c r="D118" s="24" t="s">
        <v>1</v>
      </c>
      <c r="E118" s="24" t="s">
        <v>1</v>
      </c>
      <c r="F118" s="24" t="s">
        <v>1</v>
      </c>
      <c r="G118" s="24" t="s">
        <v>1</v>
      </c>
    </row>
    <row r="119" spans="1:7" x14ac:dyDescent="0.25">
      <c r="A119" s="7" t="s">
        <v>107</v>
      </c>
      <c r="B119" s="25">
        <v>34.340000000000003</v>
      </c>
      <c r="C119" s="25">
        <v>24.33</v>
      </c>
      <c r="D119" s="25">
        <v>1.8</v>
      </c>
      <c r="E119" s="25">
        <v>1.59</v>
      </c>
      <c r="F119" s="25">
        <v>5.22</v>
      </c>
      <c r="G119" s="25">
        <v>1.39</v>
      </c>
    </row>
    <row r="120" spans="1:7" x14ac:dyDescent="0.25">
      <c r="A120" s="7" t="s">
        <v>108</v>
      </c>
      <c r="B120" s="25">
        <v>64.27</v>
      </c>
      <c r="C120" s="25">
        <v>40.369999999999997</v>
      </c>
      <c r="D120" s="25">
        <v>3.98</v>
      </c>
      <c r="E120" s="25">
        <v>4.41</v>
      </c>
      <c r="F120" s="25">
        <v>12.22</v>
      </c>
      <c r="G120" s="25">
        <v>3.28</v>
      </c>
    </row>
    <row r="121" spans="1:7" ht="24" customHeight="1" x14ac:dyDescent="0.25">
      <c r="A121" s="7" t="s">
        <v>109</v>
      </c>
      <c r="B121" s="25">
        <v>21.29</v>
      </c>
      <c r="C121" s="25">
        <v>11.11</v>
      </c>
      <c r="D121" s="25">
        <v>1.45</v>
      </c>
      <c r="E121" s="25">
        <v>2.7</v>
      </c>
      <c r="F121" s="25">
        <v>4.1500000000000004</v>
      </c>
      <c r="G121" s="25">
        <v>1.87</v>
      </c>
    </row>
    <row r="122" spans="1:7" x14ac:dyDescent="0.25">
      <c r="A122" s="7" t="s">
        <v>289</v>
      </c>
      <c r="B122" s="25">
        <v>3.63</v>
      </c>
      <c r="C122" s="25">
        <v>1.25</v>
      </c>
      <c r="D122" s="25">
        <v>0.21</v>
      </c>
      <c r="E122" s="25">
        <v>0.64</v>
      </c>
      <c r="F122" s="25">
        <v>1.24</v>
      </c>
      <c r="G122" s="25">
        <v>0.28999999999999998</v>
      </c>
    </row>
    <row r="123" spans="1:7" ht="26.25" x14ac:dyDescent="0.25">
      <c r="A123" s="23" t="s">
        <v>110</v>
      </c>
      <c r="B123" s="24" t="s">
        <v>1</v>
      </c>
      <c r="C123" s="24" t="s">
        <v>1</v>
      </c>
      <c r="D123" s="24" t="s">
        <v>1</v>
      </c>
      <c r="E123" s="24" t="s">
        <v>1</v>
      </c>
      <c r="F123" s="24" t="s">
        <v>1</v>
      </c>
      <c r="G123" s="24" t="s">
        <v>1</v>
      </c>
    </row>
    <row r="124" spans="1:7" x14ac:dyDescent="0.25">
      <c r="A124" s="7" t="s">
        <v>52</v>
      </c>
      <c r="B124" s="25">
        <v>55.37</v>
      </c>
      <c r="C124" s="25">
        <v>37.020000000000003</v>
      </c>
      <c r="D124" s="25">
        <v>2.91</v>
      </c>
      <c r="E124" s="25">
        <v>2.9</v>
      </c>
      <c r="F124" s="25">
        <v>10.130000000000001</v>
      </c>
      <c r="G124" s="25">
        <v>2.41</v>
      </c>
    </row>
    <row r="125" spans="1:7" x14ac:dyDescent="0.25">
      <c r="A125" s="7" t="s">
        <v>111</v>
      </c>
      <c r="B125" s="25">
        <v>52.63</v>
      </c>
      <c r="C125" s="25">
        <v>32.53</v>
      </c>
      <c r="D125" s="25">
        <v>3.35</v>
      </c>
      <c r="E125" s="25">
        <v>4.22</v>
      </c>
      <c r="F125" s="25">
        <v>9.35</v>
      </c>
      <c r="G125" s="25">
        <v>3.19</v>
      </c>
    </row>
    <row r="126" spans="1:7" s="6" customFormat="1" ht="24" customHeight="1" x14ac:dyDescent="0.25">
      <c r="A126" s="7" t="s">
        <v>112</v>
      </c>
      <c r="B126" s="25">
        <v>10.39</v>
      </c>
      <c r="C126" s="25">
        <v>5.3</v>
      </c>
      <c r="D126" s="25">
        <v>0.76</v>
      </c>
      <c r="E126" s="25">
        <v>1.43</v>
      </c>
      <c r="F126" s="25">
        <v>2.15</v>
      </c>
      <c r="G126" s="25">
        <v>0.75</v>
      </c>
    </row>
    <row r="127" spans="1:7" s="6" customFormat="1" x14ac:dyDescent="0.25">
      <c r="A127" s="7" t="s">
        <v>113</v>
      </c>
      <c r="B127" s="25">
        <v>5.14</v>
      </c>
      <c r="C127" s="25">
        <v>2.2200000000000002</v>
      </c>
      <c r="D127" s="25">
        <v>0.44</v>
      </c>
      <c r="E127" s="25">
        <v>0.8</v>
      </c>
      <c r="F127" s="25">
        <v>1.2</v>
      </c>
      <c r="G127" s="25">
        <v>0.48</v>
      </c>
    </row>
    <row r="128" spans="1:7" s="6" customFormat="1" x14ac:dyDescent="0.25">
      <c r="A128" s="23" t="s">
        <v>290</v>
      </c>
      <c r="B128" s="24" t="s">
        <v>1</v>
      </c>
      <c r="C128" s="24" t="s">
        <v>1</v>
      </c>
      <c r="D128" s="24" t="s">
        <v>1</v>
      </c>
      <c r="E128" s="24" t="s">
        <v>1</v>
      </c>
      <c r="F128" s="24" t="s">
        <v>1</v>
      </c>
      <c r="G128" s="24" t="s">
        <v>1</v>
      </c>
    </row>
    <row r="129" spans="1:7" x14ac:dyDescent="0.25">
      <c r="A129" s="7" t="s">
        <v>50</v>
      </c>
      <c r="B129" s="25">
        <v>55.18</v>
      </c>
      <c r="C129" s="25">
        <v>39.22</v>
      </c>
      <c r="D129" s="25">
        <v>3.72</v>
      </c>
      <c r="E129" s="25">
        <v>3.49</v>
      </c>
      <c r="F129" s="25">
        <v>8.75</v>
      </c>
      <c r="G129" s="25" t="s">
        <v>42</v>
      </c>
    </row>
    <row r="130" spans="1:7" x14ac:dyDescent="0.25">
      <c r="A130" s="7" t="s">
        <v>51</v>
      </c>
      <c r="B130" s="25">
        <v>61.52</v>
      </c>
      <c r="C130" s="25">
        <v>37.85</v>
      </c>
      <c r="D130" s="25">
        <v>3.73</v>
      </c>
      <c r="E130" s="25">
        <v>5.85</v>
      </c>
      <c r="F130" s="25">
        <v>14.08</v>
      </c>
      <c r="G130" s="25" t="s">
        <v>42</v>
      </c>
    </row>
    <row r="131" spans="1:7" ht="24" customHeight="1" x14ac:dyDescent="0.25">
      <c r="A131" s="28" t="s">
        <v>114</v>
      </c>
      <c r="B131" s="25">
        <v>6.83</v>
      </c>
      <c r="C131" s="25" t="s">
        <v>42</v>
      </c>
      <c r="D131" s="25" t="s">
        <v>42</v>
      </c>
      <c r="E131" s="25" t="s">
        <v>42</v>
      </c>
      <c r="F131" s="25" t="s">
        <v>42</v>
      </c>
      <c r="G131" s="25">
        <v>6.83</v>
      </c>
    </row>
    <row r="132" spans="1:7" x14ac:dyDescent="0.25">
      <c r="A132" s="23" t="s">
        <v>115</v>
      </c>
      <c r="B132" s="24" t="s">
        <v>1</v>
      </c>
      <c r="C132" s="24" t="s">
        <v>1</v>
      </c>
      <c r="D132" s="24" t="s">
        <v>1</v>
      </c>
      <c r="E132" s="24" t="s">
        <v>1</v>
      </c>
      <c r="F132" s="24" t="s">
        <v>1</v>
      </c>
      <c r="G132" s="24" t="s">
        <v>1</v>
      </c>
    </row>
    <row r="133" spans="1:7" x14ac:dyDescent="0.25">
      <c r="A133" s="7" t="s">
        <v>116</v>
      </c>
      <c r="B133" s="25">
        <v>6.95</v>
      </c>
      <c r="C133" s="25">
        <v>0.1</v>
      </c>
      <c r="D133" s="25">
        <v>0.22</v>
      </c>
      <c r="E133" s="25">
        <v>0.77</v>
      </c>
      <c r="F133" s="25">
        <v>5.85</v>
      </c>
      <c r="G133" s="25" t="s">
        <v>35</v>
      </c>
    </row>
    <row r="134" spans="1:7" x14ac:dyDescent="0.25">
      <c r="A134" s="7" t="s">
        <v>117</v>
      </c>
      <c r="B134" s="25">
        <v>18.149999999999999</v>
      </c>
      <c r="C134" s="25">
        <v>1.72</v>
      </c>
      <c r="D134" s="25">
        <v>1.79</v>
      </c>
      <c r="E134" s="25">
        <v>3.81</v>
      </c>
      <c r="F134" s="25">
        <v>10.54</v>
      </c>
      <c r="G134" s="25">
        <v>0.28999999999999998</v>
      </c>
    </row>
    <row r="135" spans="1:7" ht="24" customHeight="1" x14ac:dyDescent="0.25">
      <c r="A135" s="7" t="s">
        <v>118</v>
      </c>
      <c r="B135" s="25">
        <v>29.35</v>
      </c>
      <c r="C135" s="25">
        <v>16.16</v>
      </c>
      <c r="D135" s="25">
        <v>2.6</v>
      </c>
      <c r="E135" s="25">
        <v>2.86</v>
      </c>
      <c r="F135" s="25">
        <v>5.09</v>
      </c>
      <c r="G135" s="25">
        <v>2.66</v>
      </c>
    </row>
    <row r="136" spans="1:7" x14ac:dyDescent="0.25">
      <c r="A136" s="29" t="s">
        <v>119</v>
      </c>
      <c r="B136" s="25">
        <v>38.42</v>
      </c>
      <c r="C136" s="25">
        <v>30.76</v>
      </c>
      <c r="D136" s="25">
        <v>1.97</v>
      </c>
      <c r="E136" s="25">
        <v>1.42</v>
      </c>
      <c r="F136" s="25">
        <v>1.04</v>
      </c>
      <c r="G136" s="25">
        <v>3.23</v>
      </c>
    </row>
    <row r="137" spans="1:7" x14ac:dyDescent="0.25">
      <c r="A137" s="29" t="s">
        <v>120</v>
      </c>
      <c r="B137" s="25">
        <v>13.61</v>
      </c>
      <c r="C137" s="25">
        <v>12.28</v>
      </c>
      <c r="D137" s="25">
        <v>0.43</v>
      </c>
      <c r="E137" s="25">
        <v>0.25</v>
      </c>
      <c r="F137" s="25">
        <v>0.14000000000000001</v>
      </c>
      <c r="G137" s="25">
        <v>0.51</v>
      </c>
    </row>
    <row r="138" spans="1:7" x14ac:dyDescent="0.25">
      <c r="A138" s="29" t="s">
        <v>121</v>
      </c>
      <c r="B138" s="25">
        <v>12.43</v>
      </c>
      <c r="C138" s="25">
        <v>11.7</v>
      </c>
      <c r="D138" s="25">
        <v>0.35</v>
      </c>
      <c r="E138" s="25">
        <v>0.14000000000000001</v>
      </c>
      <c r="F138" s="25" t="s">
        <v>35</v>
      </c>
      <c r="G138" s="25">
        <v>0.13</v>
      </c>
    </row>
    <row r="139" spans="1:7" x14ac:dyDescent="0.25">
      <c r="A139" s="29" t="s">
        <v>122</v>
      </c>
      <c r="B139" s="25">
        <v>4.62</v>
      </c>
      <c r="C139" s="25">
        <v>4.3499999999999996</v>
      </c>
      <c r="D139" s="25">
        <v>0.1</v>
      </c>
      <c r="E139" s="25">
        <v>0.09</v>
      </c>
      <c r="F139" s="25" t="s">
        <v>35</v>
      </c>
      <c r="G139" s="25" t="s">
        <v>35</v>
      </c>
    </row>
    <row r="140" spans="1:7" x14ac:dyDescent="0.25">
      <c r="A140" s="23" t="s">
        <v>123</v>
      </c>
      <c r="B140" s="24" t="s">
        <v>1</v>
      </c>
      <c r="C140" s="24" t="s">
        <v>1</v>
      </c>
      <c r="D140" s="24" t="s">
        <v>1</v>
      </c>
      <c r="E140" s="24" t="s">
        <v>1</v>
      </c>
      <c r="F140" s="24" t="s">
        <v>1</v>
      </c>
      <c r="G140" s="24" t="s">
        <v>1</v>
      </c>
    </row>
    <row r="141" spans="1:7" x14ac:dyDescent="0.25">
      <c r="A141" s="7" t="s">
        <v>124</v>
      </c>
      <c r="B141" s="25">
        <v>43.51</v>
      </c>
      <c r="C141" s="25">
        <v>21.45</v>
      </c>
      <c r="D141" s="25">
        <v>2.81</v>
      </c>
      <c r="E141" s="25">
        <v>4.9400000000000004</v>
      </c>
      <c r="F141" s="25">
        <v>10.84</v>
      </c>
      <c r="G141" s="25">
        <v>3.46</v>
      </c>
    </row>
    <row r="142" spans="1:7" x14ac:dyDescent="0.25">
      <c r="A142" s="7" t="s">
        <v>125</v>
      </c>
      <c r="B142" s="25">
        <v>77.95</v>
      </c>
      <c r="C142" s="25">
        <v>54.09</v>
      </c>
      <c r="D142" s="25">
        <v>4.5199999999999996</v>
      </c>
      <c r="E142" s="25">
        <v>4.33</v>
      </c>
      <c r="F142" s="25">
        <v>11.72</v>
      </c>
      <c r="G142" s="25">
        <v>3.29</v>
      </c>
    </row>
    <row r="143" spans="1:7" ht="24" customHeight="1" x14ac:dyDescent="0.25">
      <c r="A143" s="7" t="s">
        <v>126</v>
      </c>
      <c r="B143" s="25">
        <v>2.0699999999999998</v>
      </c>
      <c r="C143" s="25">
        <v>1.53</v>
      </c>
      <c r="D143" s="25">
        <v>0.12</v>
      </c>
      <c r="E143" s="25">
        <v>7.0000000000000007E-2</v>
      </c>
      <c r="F143" s="25">
        <v>0.27</v>
      </c>
      <c r="G143" s="25" t="s">
        <v>35</v>
      </c>
    </row>
    <row r="144" spans="1:7" x14ac:dyDescent="0.25">
      <c r="A144" s="23" t="s">
        <v>127</v>
      </c>
      <c r="B144" s="24" t="s">
        <v>1</v>
      </c>
      <c r="C144" s="24" t="s">
        <v>1</v>
      </c>
      <c r="D144" s="24" t="s">
        <v>1</v>
      </c>
      <c r="E144" s="24" t="s">
        <v>1</v>
      </c>
      <c r="F144" s="24" t="s">
        <v>1</v>
      </c>
      <c r="G144" s="24" t="s">
        <v>1</v>
      </c>
    </row>
    <row r="145" spans="1:7" x14ac:dyDescent="0.25">
      <c r="A145" s="7" t="s">
        <v>128</v>
      </c>
      <c r="B145" s="25">
        <v>47.4</v>
      </c>
      <c r="C145" s="25">
        <v>23.3</v>
      </c>
      <c r="D145" s="25">
        <v>2.89</v>
      </c>
      <c r="E145" s="25">
        <v>4.2300000000000004</v>
      </c>
      <c r="F145" s="25">
        <v>13.02</v>
      </c>
      <c r="G145" s="25">
        <v>3.94</v>
      </c>
    </row>
    <row r="146" spans="1:7" x14ac:dyDescent="0.25">
      <c r="A146" s="7" t="s">
        <v>44</v>
      </c>
      <c r="B146" s="25">
        <v>40.31</v>
      </c>
      <c r="C146" s="25">
        <v>27.87</v>
      </c>
      <c r="D146" s="25">
        <v>2.2599999999999998</v>
      </c>
      <c r="E146" s="25">
        <v>3.23</v>
      </c>
      <c r="F146" s="25">
        <v>5.52</v>
      </c>
      <c r="G146" s="25">
        <v>1.43</v>
      </c>
    </row>
    <row r="147" spans="1:7" ht="24" customHeight="1" x14ac:dyDescent="0.25">
      <c r="A147" s="7" t="s">
        <v>129</v>
      </c>
      <c r="B147" s="25">
        <v>31.85</v>
      </c>
      <c r="C147" s="25">
        <v>23.39</v>
      </c>
      <c r="D147" s="25">
        <v>1.95</v>
      </c>
      <c r="E147" s="25">
        <v>1.54</v>
      </c>
      <c r="F147" s="25">
        <v>3.66</v>
      </c>
      <c r="G147" s="25">
        <v>1.3</v>
      </c>
    </row>
    <row r="148" spans="1:7" x14ac:dyDescent="0.25">
      <c r="A148" s="29" t="s">
        <v>130</v>
      </c>
      <c r="B148" s="25">
        <v>1.72</v>
      </c>
      <c r="C148" s="25">
        <v>0.94</v>
      </c>
      <c r="D148" s="25">
        <v>0.15</v>
      </c>
      <c r="E148" s="25">
        <v>0.19</v>
      </c>
      <c r="F148" s="25">
        <v>0.34</v>
      </c>
      <c r="G148" s="25">
        <v>0.1</v>
      </c>
    </row>
    <row r="149" spans="1:7" x14ac:dyDescent="0.25">
      <c r="A149" s="29" t="s">
        <v>131</v>
      </c>
      <c r="B149" s="25">
        <v>2.25</v>
      </c>
      <c r="C149" s="25">
        <v>1.56</v>
      </c>
      <c r="D149" s="25">
        <v>0.19</v>
      </c>
      <c r="E149" s="25">
        <v>0.15</v>
      </c>
      <c r="F149" s="25">
        <v>0.3</v>
      </c>
      <c r="G149" s="25" t="s">
        <v>35</v>
      </c>
    </row>
    <row r="150" spans="1:7" ht="26.25" x14ac:dyDescent="0.25">
      <c r="A150" s="23" t="s">
        <v>291</v>
      </c>
      <c r="B150" s="24" t="s">
        <v>1</v>
      </c>
      <c r="C150" s="24" t="s">
        <v>1</v>
      </c>
      <c r="D150" s="24" t="s">
        <v>1</v>
      </c>
      <c r="E150" s="24" t="s">
        <v>1</v>
      </c>
      <c r="F150" s="24" t="s">
        <v>1</v>
      </c>
      <c r="G150" s="24" t="s">
        <v>1</v>
      </c>
    </row>
    <row r="151" spans="1:7" x14ac:dyDescent="0.25">
      <c r="A151" s="28">
        <v>0</v>
      </c>
      <c r="B151" s="25">
        <v>60.38</v>
      </c>
      <c r="C151" s="25">
        <v>33.83</v>
      </c>
      <c r="D151" s="25">
        <v>3.24</v>
      </c>
      <c r="E151" s="25">
        <v>6.19</v>
      </c>
      <c r="F151" s="25">
        <v>12.3</v>
      </c>
      <c r="G151" s="25">
        <v>4.8</v>
      </c>
    </row>
    <row r="152" spans="1:7" x14ac:dyDescent="0.25">
      <c r="A152" s="28">
        <v>1</v>
      </c>
      <c r="B152" s="25">
        <v>39.81</v>
      </c>
      <c r="C152" s="25">
        <v>25.64</v>
      </c>
      <c r="D152" s="25">
        <v>2.57</v>
      </c>
      <c r="E152" s="25">
        <v>2.27</v>
      </c>
      <c r="F152" s="25">
        <v>8.06</v>
      </c>
      <c r="G152" s="25">
        <v>1.27</v>
      </c>
    </row>
    <row r="153" spans="1:7" ht="24" customHeight="1" x14ac:dyDescent="0.25">
      <c r="A153" s="28">
        <v>2</v>
      </c>
      <c r="B153" s="25">
        <v>15.19</v>
      </c>
      <c r="C153" s="25">
        <v>10.85</v>
      </c>
      <c r="D153" s="25">
        <v>1.26</v>
      </c>
      <c r="E153" s="25">
        <v>0.67</v>
      </c>
      <c r="F153" s="25">
        <v>1.84</v>
      </c>
      <c r="G153" s="25">
        <v>0.56000000000000005</v>
      </c>
    </row>
    <row r="154" spans="1:7" x14ac:dyDescent="0.25">
      <c r="A154" s="28" t="s">
        <v>94</v>
      </c>
      <c r="B154" s="25">
        <v>8.16</v>
      </c>
      <c r="C154" s="25">
        <v>6.75</v>
      </c>
      <c r="D154" s="25">
        <v>0.38</v>
      </c>
      <c r="E154" s="25">
        <v>0.2</v>
      </c>
      <c r="F154" s="25">
        <v>0.64</v>
      </c>
      <c r="G154" s="25">
        <v>0.19</v>
      </c>
    </row>
    <row r="155" spans="1:7" x14ac:dyDescent="0.25">
      <c r="A155" s="23" t="s">
        <v>133</v>
      </c>
      <c r="B155" s="24" t="s">
        <v>1</v>
      </c>
      <c r="C155" s="24" t="s">
        <v>1</v>
      </c>
      <c r="D155" s="24" t="s">
        <v>1</v>
      </c>
      <c r="E155" s="24" t="s">
        <v>1</v>
      </c>
      <c r="F155" s="24" t="s">
        <v>1</v>
      </c>
      <c r="G155" s="24" t="s">
        <v>1</v>
      </c>
    </row>
    <row r="156" spans="1:7" x14ac:dyDescent="0.25">
      <c r="A156" s="7" t="s">
        <v>50</v>
      </c>
      <c r="B156" s="25">
        <v>34.299999999999997</v>
      </c>
      <c r="C156" s="25">
        <v>25.3</v>
      </c>
      <c r="D156" s="25">
        <v>1.83</v>
      </c>
      <c r="E156" s="25">
        <v>1.97</v>
      </c>
      <c r="F156" s="25">
        <v>3.38</v>
      </c>
      <c r="G156" s="25">
        <v>1.82</v>
      </c>
    </row>
    <row r="157" spans="1:7" x14ac:dyDescent="0.25">
      <c r="A157" s="7" t="s">
        <v>51</v>
      </c>
      <c r="B157" s="25">
        <v>36.81</v>
      </c>
      <c r="C157" s="25">
        <v>22.8</v>
      </c>
      <c r="D157" s="25">
        <v>2.2000000000000002</v>
      </c>
      <c r="E157" s="25">
        <v>2.74</v>
      </c>
      <c r="F157" s="25">
        <v>6.71</v>
      </c>
      <c r="G157" s="25">
        <v>2.35</v>
      </c>
    </row>
    <row r="158" spans="1:7" ht="24" customHeight="1" x14ac:dyDescent="0.25">
      <c r="A158" s="7" t="s">
        <v>132</v>
      </c>
      <c r="B158" s="25">
        <v>52.42</v>
      </c>
      <c r="C158" s="25">
        <v>28.96</v>
      </c>
      <c r="D158" s="25">
        <v>3.43</v>
      </c>
      <c r="E158" s="25">
        <v>4.62</v>
      </c>
      <c r="F158" s="25">
        <v>12.74</v>
      </c>
      <c r="G158" s="25">
        <v>2.66</v>
      </c>
    </row>
    <row r="159" spans="1:7" ht="26.25" x14ac:dyDescent="0.25">
      <c r="A159" s="23" t="s">
        <v>134</v>
      </c>
      <c r="B159" s="24" t="s">
        <v>1</v>
      </c>
      <c r="C159" s="24" t="s">
        <v>1</v>
      </c>
      <c r="D159" s="24" t="s">
        <v>1</v>
      </c>
      <c r="E159" s="24" t="s">
        <v>1</v>
      </c>
      <c r="F159" s="24" t="s">
        <v>1</v>
      </c>
      <c r="G159" s="24" t="s">
        <v>1</v>
      </c>
    </row>
    <row r="160" spans="1:7" x14ac:dyDescent="0.25">
      <c r="A160" s="7" t="s">
        <v>50</v>
      </c>
      <c r="B160" s="25">
        <v>67.83</v>
      </c>
      <c r="C160" s="25">
        <v>58.09</v>
      </c>
      <c r="D160" s="25">
        <v>4.22</v>
      </c>
      <c r="E160" s="25">
        <v>2.11</v>
      </c>
      <c r="F160" s="25" t="s">
        <v>42</v>
      </c>
      <c r="G160" s="25">
        <v>3.41</v>
      </c>
    </row>
    <row r="161" spans="1:7" x14ac:dyDescent="0.25">
      <c r="A161" s="7" t="s">
        <v>51</v>
      </c>
      <c r="B161" s="25">
        <v>32.869999999999997</v>
      </c>
      <c r="C161" s="25">
        <v>18.97</v>
      </c>
      <c r="D161" s="25">
        <v>3.24</v>
      </c>
      <c r="E161" s="25">
        <v>7.23</v>
      </c>
      <c r="F161" s="25" t="s">
        <v>42</v>
      </c>
      <c r="G161" s="25">
        <v>3.42</v>
      </c>
    </row>
    <row r="162" spans="1:7" ht="24" customHeight="1" x14ac:dyDescent="0.25">
      <c r="A162" s="7" t="s">
        <v>87</v>
      </c>
      <c r="B162" s="25">
        <v>22.84</v>
      </c>
      <c r="C162" s="25" t="s">
        <v>42</v>
      </c>
      <c r="D162" s="25" t="s">
        <v>42</v>
      </c>
      <c r="E162" s="25" t="s">
        <v>42</v>
      </c>
      <c r="F162" s="25">
        <v>22.84</v>
      </c>
      <c r="G162" s="25" t="s">
        <v>42</v>
      </c>
    </row>
    <row r="163" spans="1:7" ht="26.25" x14ac:dyDescent="0.25">
      <c r="A163" s="23" t="s">
        <v>292</v>
      </c>
      <c r="B163" s="30" t="s">
        <v>1</v>
      </c>
      <c r="C163" s="30" t="s">
        <v>1</v>
      </c>
      <c r="D163" s="30" t="s">
        <v>1</v>
      </c>
      <c r="E163" s="30" t="s">
        <v>1</v>
      </c>
      <c r="F163" s="30" t="s">
        <v>1</v>
      </c>
      <c r="G163" s="30" t="s">
        <v>1</v>
      </c>
    </row>
    <row r="164" spans="1:7" x14ac:dyDescent="0.25">
      <c r="A164" s="7" t="s">
        <v>50</v>
      </c>
      <c r="B164" s="30">
        <v>1.82</v>
      </c>
      <c r="C164" s="30">
        <v>1.46</v>
      </c>
      <c r="D164" s="30">
        <v>0.11</v>
      </c>
      <c r="E164" s="30" t="s">
        <v>35</v>
      </c>
      <c r="F164" s="30">
        <v>0.17</v>
      </c>
      <c r="G164" s="30" t="s">
        <v>35</v>
      </c>
    </row>
    <row r="165" spans="1:7" x14ac:dyDescent="0.25">
      <c r="A165" s="26" t="s">
        <v>293</v>
      </c>
      <c r="B165" s="30">
        <v>1.39</v>
      </c>
      <c r="C165" s="30">
        <v>1.22</v>
      </c>
      <c r="D165" s="30">
        <v>0.09</v>
      </c>
      <c r="E165" s="30" t="s">
        <v>35</v>
      </c>
      <c r="F165" s="30" t="s">
        <v>35</v>
      </c>
      <c r="G165" s="30" t="s">
        <v>35</v>
      </c>
    </row>
    <row r="166" spans="1:7" ht="33.75" customHeight="1" x14ac:dyDescent="0.25">
      <c r="A166" s="7" t="s">
        <v>51</v>
      </c>
      <c r="B166" s="30">
        <v>121.71</v>
      </c>
      <c r="C166" s="30">
        <v>75.61</v>
      </c>
      <c r="D166" s="30">
        <v>7.34</v>
      </c>
      <c r="E166" s="30">
        <v>9.2899999999999991</v>
      </c>
      <c r="F166" s="30">
        <v>22.67</v>
      </c>
      <c r="G166" s="30">
        <v>6.79</v>
      </c>
    </row>
    <row r="167" spans="1:7" ht="26.25" x14ac:dyDescent="0.25">
      <c r="A167" s="23" t="s">
        <v>135</v>
      </c>
      <c r="B167" s="23" t="s">
        <v>1</v>
      </c>
      <c r="C167" s="23" t="s">
        <v>1</v>
      </c>
      <c r="D167" s="23" t="s">
        <v>1</v>
      </c>
      <c r="E167" s="23" t="s">
        <v>1</v>
      </c>
      <c r="F167" s="23" t="s">
        <v>1</v>
      </c>
      <c r="G167" s="23" t="s">
        <v>1</v>
      </c>
    </row>
    <row r="168" spans="1:7" x14ac:dyDescent="0.25">
      <c r="A168" s="7" t="s">
        <v>50</v>
      </c>
      <c r="B168" s="25">
        <v>84.52</v>
      </c>
      <c r="C168" s="25">
        <v>54.13</v>
      </c>
      <c r="D168" s="25">
        <v>5.63</v>
      </c>
      <c r="E168" s="25">
        <v>6.95</v>
      </c>
      <c r="F168" s="25">
        <v>14.94</v>
      </c>
      <c r="G168" s="25">
        <v>2.87</v>
      </c>
    </row>
    <row r="169" spans="1:7" x14ac:dyDescent="0.25">
      <c r="A169" s="26" t="s">
        <v>294</v>
      </c>
      <c r="B169" s="25">
        <v>69.489999999999995</v>
      </c>
      <c r="C169" s="25">
        <v>47.14</v>
      </c>
      <c r="D169" s="25">
        <v>4.9000000000000004</v>
      </c>
      <c r="E169" s="25">
        <v>5.27</v>
      </c>
      <c r="F169" s="25">
        <v>10.3</v>
      </c>
      <c r="G169" s="25">
        <v>1.89</v>
      </c>
    </row>
    <row r="170" spans="1:7" ht="33.75" customHeight="1" x14ac:dyDescent="0.25">
      <c r="A170" s="26" t="s">
        <v>295</v>
      </c>
      <c r="B170" s="25">
        <v>15.03</v>
      </c>
      <c r="C170" s="25">
        <v>6.99</v>
      </c>
      <c r="D170" s="25">
        <v>0.74</v>
      </c>
      <c r="E170" s="25">
        <v>1.68</v>
      </c>
      <c r="F170" s="25">
        <v>4.6399999999999997</v>
      </c>
      <c r="G170" s="25">
        <v>0.98</v>
      </c>
    </row>
    <row r="171" spans="1:7" x14ac:dyDescent="0.25">
      <c r="A171" s="7" t="s">
        <v>51</v>
      </c>
      <c r="B171" s="25">
        <v>39.01</v>
      </c>
      <c r="C171" s="25">
        <v>22.93</v>
      </c>
      <c r="D171" s="25">
        <v>1.82</v>
      </c>
      <c r="E171" s="25">
        <v>2.4</v>
      </c>
      <c r="F171" s="25">
        <v>7.9</v>
      </c>
      <c r="G171" s="25">
        <v>3.96</v>
      </c>
    </row>
    <row r="172" spans="1:7" x14ac:dyDescent="0.25">
      <c r="A172" s="23" t="s">
        <v>136</v>
      </c>
      <c r="B172" s="24" t="s">
        <v>1</v>
      </c>
      <c r="C172" s="24" t="s">
        <v>1</v>
      </c>
      <c r="D172" s="24" t="s">
        <v>1</v>
      </c>
      <c r="E172" s="24" t="s">
        <v>1</v>
      </c>
      <c r="F172" s="24" t="s">
        <v>1</v>
      </c>
      <c r="G172" s="24" t="s">
        <v>1</v>
      </c>
    </row>
    <row r="173" spans="1:7" x14ac:dyDescent="0.25">
      <c r="A173" s="7" t="s">
        <v>50</v>
      </c>
      <c r="B173" s="25">
        <v>3.37</v>
      </c>
      <c r="C173" s="25">
        <v>3.16</v>
      </c>
      <c r="D173" s="25">
        <v>0.11</v>
      </c>
      <c r="E173" s="25" t="s">
        <v>42</v>
      </c>
      <c r="F173" s="25" t="s">
        <v>42</v>
      </c>
      <c r="G173" s="25">
        <v>0.1</v>
      </c>
    </row>
    <row r="174" spans="1:7" x14ac:dyDescent="0.25">
      <c r="A174" s="7" t="s">
        <v>51</v>
      </c>
      <c r="B174" s="25">
        <v>87.98</v>
      </c>
      <c r="C174" s="25">
        <v>73.91</v>
      </c>
      <c r="D174" s="25">
        <v>7.34</v>
      </c>
      <c r="E174" s="25" t="s">
        <v>42</v>
      </c>
      <c r="F174" s="25" t="s">
        <v>42</v>
      </c>
      <c r="G174" s="25">
        <v>6.73</v>
      </c>
    </row>
    <row r="175" spans="1:7" ht="24" customHeight="1" x14ac:dyDescent="0.25">
      <c r="A175" s="7" t="s">
        <v>137</v>
      </c>
      <c r="B175" s="25">
        <v>32.18</v>
      </c>
      <c r="C175" s="25" t="s">
        <v>42</v>
      </c>
      <c r="D175" s="25" t="s">
        <v>42</v>
      </c>
      <c r="E175" s="25">
        <v>9.34</v>
      </c>
      <c r="F175" s="25">
        <v>22.84</v>
      </c>
      <c r="G175" s="25" t="s">
        <v>42</v>
      </c>
    </row>
    <row r="176" spans="1:7" ht="26.25" x14ac:dyDescent="0.25">
      <c r="A176" s="23" t="s">
        <v>296</v>
      </c>
      <c r="B176" s="24" t="s">
        <v>1</v>
      </c>
      <c r="C176" s="24" t="s">
        <v>1</v>
      </c>
      <c r="D176" s="24" t="s">
        <v>1</v>
      </c>
      <c r="E176" s="24" t="s">
        <v>1</v>
      </c>
      <c r="F176" s="24" t="s">
        <v>1</v>
      </c>
      <c r="G176" s="24" t="s">
        <v>1</v>
      </c>
    </row>
    <row r="177" spans="1:7" x14ac:dyDescent="0.25">
      <c r="A177" s="7" t="s">
        <v>50</v>
      </c>
      <c r="B177" s="25">
        <v>22.72</v>
      </c>
      <c r="C177" s="25">
        <v>15.11</v>
      </c>
      <c r="D177" s="25">
        <v>1.05</v>
      </c>
      <c r="E177" s="25">
        <v>1.42</v>
      </c>
      <c r="F177" s="25">
        <v>3.64</v>
      </c>
      <c r="G177" s="25">
        <v>1.5</v>
      </c>
    </row>
    <row r="178" spans="1:7" ht="26.25" x14ac:dyDescent="0.25">
      <c r="A178" s="26" t="s">
        <v>297</v>
      </c>
      <c r="B178" s="25">
        <v>19</v>
      </c>
      <c r="C178" s="25">
        <v>13.08</v>
      </c>
      <c r="D178" s="25">
        <v>0.83</v>
      </c>
      <c r="E178" s="25">
        <v>1.08</v>
      </c>
      <c r="F178" s="25">
        <v>2.68</v>
      </c>
      <c r="G178" s="25">
        <v>1.32</v>
      </c>
    </row>
    <row r="179" spans="1:7" ht="24" customHeight="1" x14ac:dyDescent="0.25">
      <c r="A179" s="26" t="s">
        <v>298</v>
      </c>
      <c r="B179" s="25">
        <v>0.25</v>
      </c>
      <c r="C179" s="25">
        <v>0.15</v>
      </c>
      <c r="D179" s="25" t="s">
        <v>35</v>
      </c>
      <c r="E179" s="25" t="s">
        <v>35</v>
      </c>
      <c r="F179" s="25" t="s">
        <v>35</v>
      </c>
      <c r="G179" s="25" t="s">
        <v>35</v>
      </c>
    </row>
    <row r="180" spans="1:7" ht="26.25" x14ac:dyDescent="0.25">
      <c r="A180" s="26" t="s">
        <v>299</v>
      </c>
      <c r="B180" s="25">
        <v>3.08</v>
      </c>
      <c r="C180" s="25">
        <v>1.71</v>
      </c>
      <c r="D180" s="25">
        <v>0.18</v>
      </c>
      <c r="E180" s="25">
        <v>0.28999999999999998</v>
      </c>
      <c r="F180" s="25">
        <v>0.76</v>
      </c>
      <c r="G180" s="25">
        <v>0.14000000000000001</v>
      </c>
    </row>
    <row r="181" spans="1:7" x14ac:dyDescent="0.25">
      <c r="A181" s="26" t="s">
        <v>259</v>
      </c>
      <c r="B181" s="25">
        <v>0.39</v>
      </c>
      <c r="C181" s="25">
        <v>0.16</v>
      </c>
      <c r="D181" s="25" t="s">
        <v>35</v>
      </c>
      <c r="E181" s="25" t="s">
        <v>35</v>
      </c>
      <c r="F181" s="25">
        <v>0.18</v>
      </c>
      <c r="G181" s="25" t="s">
        <v>35</v>
      </c>
    </row>
    <row r="182" spans="1:7" x14ac:dyDescent="0.25">
      <c r="A182" s="7" t="s">
        <v>51</v>
      </c>
      <c r="B182" s="25">
        <v>100.81</v>
      </c>
      <c r="C182" s="25">
        <v>61.96</v>
      </c>
      <c r="D182" s="25">
        <v>6.4</v>
      </c>
      <c r="E182" s="25">
        <v>7.92</v>
      </c>
      <c r="F182" s="25">
        <v>19.190000000000001</v>
      </c>
      <c r="G182" s="25">
        <v>5.33</v>
      </c>
    </row>
    <row r="183" spans="1:7" ht="24" customHeight="1" x14ac:dyDescent="0.25">
      <c r="A183" s="23" t="s">
        <v>138</v>
      </c>
      <c r="B183" s="24" t="s">
        <v>1</v>
      </c>
      <c r="C183" s="24" t="s">
        <v>1</v>
      </c>
      <c r="D183" s="24" t="s">
        <v>1</v>
      </c>
      <c r="E183" s="24" t="s">
        <v>1</v>
      </c>
      <c r="F183" s="24" t="s">
        <v>1</v>
      </c>
      <c r="G183" s="24" t="s">
        <v>1</v>
      </c>
    </row>
    <row r="184" spans="1:7" x14ac:dyDescent="0.25">
      <c r="A184" s="7" t="s">
        <v>50</v>
      </c>
      <c r="B184" s="25">
        <v>17.66</v>
      </c>
      <c r="C184" s="25">
        <v>13.93</v>
      </c>
      <c r="D184" s="25">
        <v>0.34</v>
      </c>
      <c r="E184" s="25">
        <v>0.22</v>
      </c>
      <c r="F184" s="25">
        <v>2.15</v>
      </c>
      <c r="G184" s="25">
        <v>1.02</v>
      </c>
    </row>
    <row r="185" spans="1:7" x14ac:dyDescent="0.25">
      <c r="A185" s="7" t="s">
        <v>51</v>
      </c>
      <c r="B185" s="25">
        <v>105.87</v>
      </c>
      <c r="C185" s="25">
        <v>63.14</v>
      </c>
      <c r="D185" s="25">
        <v>7.11</v>
      </c>
      <c r="E185" s="25">
        <v>9.1199999999999992</v>
      </c>
      <c r="F185" s="25">
        <v>20.69</v>
      </c>
      <c r="G185" s="25">
        <v>5.82</v>
      </c>
    </row>
    <row r="186" spans="1:7" x14ac:dyDescent="0.25">
      <c r="A186" s="23" t="s">
        <v>139</v>
      </c>
      <c r="B186" s="24" t="s">
        <v>1</v>
      </c>
      <c r="C186" s="24" t="s">
        <v>1</v>
      </c>
      <c r="D186" s="24" t="s">
        <v>1</v>
      </c>
      <c r="E186" s="24" t="s">
        <v>1</v>
      </c>
      <c r="F186" s="24" t="s">
        <v>1</v>
      </c>
      <c r="G186" s="24" t="s">
        <v>1</v>
      </c>
    </row>
    <row r="187" spans="1:7" ht="24" customHeight="1" x14ac:dyDescent="0.25">
      <c r="A187" s="28" t="s">
        <v>50</v>
      </c>
      <c r="B187" s="25">
        <v>8.52</v>
      </c>
      <c r="C187" s="25">
        <v>8.09</v>
      </c>
      <c r="D187" s="25">
        <v>0.2</v>
      </c>
      <c r="E187" s="25" t="s">
        <v>42</v>
      </c>
      <c r="F187" s="25" t="s">
        <v>42</v>
      </c>
      <c r="G187" s="25">
        <v>0.23</v>
      </c>
    </row>
    <row r="188" spans="1:7" x14ac:dyDescent="0.25">
      <c r="A188" s="7" t="s">
        <v>51</v>
      </c>
      <c r="B188" s="25">
        <v>82.83</v>
      </c>
      <c r="C188" s="25">
        <v>68.98</v>
      </c>
      <c r="D188" s="25">
        <v>7.25</v>
      </c>
      <c r="E188" s="25" t="s">
        <v>42</v>
      </c>
      <c r="F188" s="25" t="s">
        <v>42</v>
      </c>
      <c r="G188" s="25">
        <v>6.6</v>
      </c>
    </row>
    <row r="189" spans="1:7" x14ac:dyDescent="0.25">
      <c r="A189" s="7" t="s">
        <v>137</v>
      </c>
      <c r="B189" s="25">
        <v>32.18</v>
      </c>
      <c r="C189" s="25" t="s">
        <v>42</v>
      </c>
      <c r="D189" s="25" t="s">
        <v>42</v>
      </c>
      <c r="E189" s="25">
        <v>9.34</v>
      </c>
      <c r="F189" s="25">
        <v>22.84</v>
      </c>
      <c r="G189" s="25" t="s">
        <v>42</v>
      </c>
    </row>
    <row r="190" spans="1:7" x14ac:dyDescent="0.25">
      <c r="A190" s="31" t="s">
        <v>140</v>
      </c>
      <c r="B190" s="24" t="s">
        <v>1</v>
      </c>
      <c r="C190" s="24" t="s">
        <v>1</v>
      </c>
      <c r="D190" s="24" t="s">
        <v>1</v>
      </c>
      <c r="E190" s="24" t="s">
        <v>1</v>
      </c>
      <c r="F190" s="24" t="s">
        <v>1</v>
      </c>
      <c r="G190" s="24" t="s">
        <v>1</v>
      </c>
    </row>
    <row r="191" spans="1:7" x14ac:dyDescent="0.25">
      <c r="A191" s="26" t="s">
        <v>141</v>
      </c>
      <c r="B191" s="25">
        <v>1.9</v>
      </c>
      <c r="C191" s="25">
        <v>1.77</v>
      </c>
      <c r="D191" s="25">
        <v>0.06</v>
      </c>
      <c r="E191" s="25" t="s">
        <v>42</v>
      </c>
      <c r="F191" s="25" t="s">
        <v>42</v>
      </c>
      <c r="G191" s="25" t="s">
        <v>35</v>
      </c>
    </row>
    <row r="192" spans="1:7" x14ac:dyDescent="0.25">
      <c r="A192" s="26" t="s">
        <v>142</v>
      </c>
      <c r="B192" s="25">
        <v>5.08</v>
      </c>
      <c r="C192" s="25">
        <v>4.84</v>
      </c>
      <c r="D192" s="25">
        <v>0.1</v>
      </c>
      <c r="E192" s="25" t="s">
        <v>42</v>
      </c>
      <c r="F192" s="25" t="s">
        <v>42</v>
      </c>
      <c r="G192" s="25">
        <v>0.14000000000000001</v>
      </c>
    </row>
    <row r="193" spans="1:7" ht="24" customHeight="1" x14ac:dyDescent="0.25">
      <c r="A193" s="26" t="s">
        <v>143</v>
      </c>
      <c r="B193" s="25">
        <v>1.54</v>
      </c>
      <c r="C193" s="25">
        <v>1.48</v>
      </c>
      <c r="D193" s="25" t="s">
        <v>35</v>
      </c>
      <c r="E193" s="25" t="s">
        <v>42</v>
      </c>
      <c r="F193" s="25" t="s">
        <v>42</v>
      </c>
      <c r="G193" s="25" t="s">
        <v>35</v>
      </c>
    </row>
    <row r="194" spans="1:7" x14ac:dyDescent="0.25">
      <c r="A194" s="26" t="s">
        <v>144</v>
      </c>
      <c r="B194" s="25">
        <v>82.83</v>
      </c>
      <c r="C194" s="25">
        <v>68.98</v>
      </c>
      <c r="D194" s="25">
        <v>7.25</v>
      </c>
      <c r="E194" s="25" t="s">
        <v>42</v>
      </c>
      <c r="F194" s="25" t="s">
        <v>42</v>
      </c>
      <c r="G194" s="25">
        <v>6.6</v>
      </c>
    </row>
    <row r="195" spans="1:7" x14ac:dyDescent="0.25">
      <c r="A195" s="26" t="s">
        <v>137</v>
      </c>
      <c r="B195" s="25">
        <v>32.18</v>
      </c>
      <c r="C195" s="25" t="s">
        <v>42</v>
      </c>
      <c r="D195" s="25" t="s">
        <v>42</v>
      </c>
      <c r="E195" s="25">
        <v>9.34</v>
      </c>
      <c r="F195" s="25">
        <v>22.84</v>
      </c>
      <c r="G195" s="25" t="s">
        <v>42</v>
      </c>
    </row>
    <row r="196" spans="1:7" x14ac:dyDescent="0.25">
      <c r="A196" s="31" t="s">
        <v>145</v>
      </c>
      <c r="B196" s="24" t="s">
        <v>1</v>
      </c>
      <c r="C196" s="24" t="s">
        <v>1</v>
      </c>
      <c r="D196" s="24" t="s">
        <v>1</v>
      </c>
      <c r="E196" s="24" t="s">
        <v>1</v>
      </c>
      <c r="F196" s="24" t="s">
        <v>1</v>
      </c>
      <c r="G196" s="24" t="s">
        <v>1</v>
      </c>
    </row>
    <row r="197" spans="1:7" x14ac:dyDescent="0.25">
      <c r="A197" s="26" t="s">
        <v>146</v>
      </c>
      <c r="B197" s="25">
        <v>2.89</v>
      </c>
      <c r="C197" s="25">
        <v>2.82</v>
      </c>
      <c r="D197" s="25">
        <v>0.05</v>
      </c>
      <c r="E197" s="25" t="s">
        <v>42</v>
      </c>
      <c r="F197" s="25" t="s">
        <v>42</v>
      </c>
      <c r="G197" s="25" t="s">
        <v>35</v>
      </c>
    </row>
    <row r="198" spans="1:7" x14ac:dyDescent="0.25">
      <c r="A198" s="27" t="s">
        <v>147</v>
      </c>
      <c r="B198" s="25">
        <v>0.85</v>
      </c>
      <c r="C198" s="25">
        <v>0.82</v>
      </c>
      <c r="D198" s="25" t="s">
        <v>35</v>
      </c>
      <c r="E198" s="25" t="s">
        <v>42</v>
      </c>
      <c r="F198" s="25" t="s">
        <v>42</v>
      </c>
      <c r="G198" s="25" t="s">
        <v>35</v>
      </c>
    </row>
    <row r="199" spans="1:7" x14ac:dyDescent="0.25">
      <c r="A199" s="27" t="s">
        <v>148</v>
      </c>
      <c r="B199" s="25">
        <v>1.32</v>
      </c>
      <c r="C199" s="25">
        <v>1.3</v>
      </c>
      <c r="D199" s="25" t="s">
        <v>35</v>
      </c>
      <c r="E199" s="25" t="s">
        <v>42</v>
      </c>
      <c r="F199" s="25" t="s">
        <v>42</v>
      </c>
      <c r="G199" s="25" t="s">
        <v>35</v>
      </c>
    </row>
    <row r="200" spans="1:7" x14ac:dyDescent="0.25">
      <c r="A200" s="27" t="s">
        <v>149</v>
      </c>
      <c r="B200" s="25">
        <v>0.28999999999999998</v>
      </c>
      <c r="C200" s="25">
        <v>0.28000000000000003</v>
      </c>
      <c r="D200" s="25" t="s">
        <v>35</v>
      </c>
      <c r="E200" s="25" t="s">
        <v>42</v>
      </c>
      <c r="F200" s="25" t="s">
        <v>42</v>
      </c>
      <c r="G200" s="25" t="s">
        <v>42</v>
      </c>
    </row>
    <row r="201" spans="1:7" x14ac:dyDescent="0.25">
      <c r="A201" s="27" t="s">
        <v>150</v>
      </c>
      <c r="B201" s="25">
        <v>0.42</v>
      </c>
      <c r="C201" s="25">
        <v>0.42</v>
      </c>
      <c r="D201" s="25" t="s">
        <v>35</v>
      </c>
      <c r="E201" s="25" t="s">
        <v>42</v>
      </c>
      <c r="F201" s="25" t="s">
        <v>42</v>
      </c>
      <c r="G201" s="25" t="s">
        <v>42</v>
      </c>
    </row>
    <row r="202" spans="1:7" x14ac:dyDescent="0.25">
      <c r="A202" s="26" t="s">
        <v>151</v>
      </c>
      <c r="B202" s="25">
        <v>5.63</v>
      </c>
      <c r="C202" s="25">
        <v>5.27</v>
      </c>
      <c r="D202" s="25">
        <v>0.15</v>
      </c>
      <c r="E202" s="25" t="s">
        <v>42</v>
      </c>
      <c r="F202" s="25" t="s">
        <v>42</v>
      </c>
      <c r="G202" s="25">
        <v>0.22</v>
      </c>
    </row>
    <row r="203" spans="1:7" ht="24" customHeight="1" x14ac:dyDescent="0.25">
      <c r="A203" s="26" t="s">
        <v>144</v>
      </c>
      <c r="B203" s="25">
        <v>82.83</v>
      </c>
      <c r="C203" s="25">
        <v>68.98</v>
      </c>
      <c r="D203" s="25">
        <v>7.25</v>
      </c>
      <c r="E203" s="25" t="s">
        <v>42</v>
      </c>
      <c r="F203" s="25" t="s">
        <v>42</v>
      </c>
      <c r="G203" s="25">
        <v>6.6</v>
      </c>
    </row>
    <row r="204" spans="1:7" s="6" customFormat="1" x14ac:dyDescent="0.25">
      <c r="A204" s="26" t="s">
        <v>137</v>
      </c>
      <c r="B204" s="25">
        <v>32.18</v>
      </c>
      <c r="C204" s="25" t="s">
        <v>42</v>
      </c>
      <c r="D204" s="25" t="s">
        <v>42</v>
      </c>
      <c r="E204" s="25">
        <v>9.34</v>
      </c>
      <c r="F204" s="25">
        <v>22.84</v>
      </c>
      <c r="G204" s="25" t="s">
        <v>42</v>
      </c>
    </row>
    <row r="205" spans="1:7" s="6" customFormat="1" x14ac:dyDescent="0.25">
      <c r="A205" s="23" t="s">
        <v>152</v>
      </c>
      <c r="B205" s="24" t="s">
        <v>1</v>
      </c>
      <c r="C205" s="24" t="s">
        <v>1</v>
      </c>
      <c r="D205" s="24" t="s">
        <v>1</v>
      </c>
      <c r="E205" s="24" t="s">
        <v>1</v>
      </c>
      <c r="F205" s="24" t="s">
        <v>1</v>
      </c>
      <c r="G205" s="24" t="s">
        <v>1</v>
      </c>
    </row>
    <row r="206" spans="1:7" s="6" customFormat="1" ht="24" customHeight="1" x14ac:dyDescent="0.25">
      <c r="A206" s="7" t="s">
        <v>50</v>
      </c>
      <c r="B206" s="25">
        <v>8.84</v>
      </c>
      <c r="C206" s="25">
        <v>7.33</v>
      </c>
      <c r="D206" s="25">
        <v>0.28000000000000003</v>
      </c>
      <c r="E206" s="25">
        <v>0.22</v>
      </c>
      <c r="F206" s="25">
        <v>0.73</v>
      </c>
      <c r="G206" s="25">
        <v>0.28999999999999998</v>
      </c>
    </row>
    <row r="207" spans="1:7" s="6" customFormat="1" x14ac:dyDescent="0.25">
      <c r="A207" s="7" t="s">
        <v>51</v>
      </c>
      <c r="B207" s="25">
        <v>114.69</v>
      </c>
      <c r="C207" s="25">
        <v>69.739999999999995</v>
      </c>
      <c r="D207" s="25">
        <v>7.18</v>
      </c>
      <c r="E207" s="25">
        <v>9.1199999999999992</v>
      </c>
      <c r="F207" s="25">
        <v>22.11</v>
      </c>
      <c r="G207" s="25">
        <v>6.55</v>
      </c>
    </row>
    <row r="208" spans="1:7" s="6" customFormat="1" x14ac:dyDescent="0.25">
      <c r="A208" s="31" t="s">
        <v>153</v>
      </c>
      <c r="B208" s="24" t="s">
        <v>1</v>
      </c>
      <c r="C208" s="24" t="s">
        <v>1</v>
      </c>
      <c r="D208" s="24" t="s">
        <v>1</v>
      </c>
      <c r="E208" s="24" t="s">
        <v>1</v>
      </c>
      <c r="F208" s="24" t="s">
        <v>1</v>
      </c>
      <c r="G208" s="24" t="s">
        <v>1</v>
      </c>
    </row>
    <row r="209" spans="1:7" s="6" customFormat="1" x14ac:dyDescent="0.25">
      <c r="A209" s="26" t="s">
        <v>141</v>
      </c>
      <c r="B209" s="25">
        <v>4.22</v>
      </c>
      <c r="C209" s="25">
        <v>3.3</v>
      </c>
      <c r="D209" s="25">
        <v>0.17</v>
      </c>
      <c r="E209" s="25">
        <v>0.14000000000000001</v>
      </c>
      <c r="F209" s="25">
        <v>0.44</v>
      </c>
      <c r="G209" s="25">
        <v>0.16</v>
      </c>
    </row>
    <row r="210" spans="1:7" s="6" customFormat="1" x14ac:dyDescent="0.25">
      <c r="A210" s="26" t="s">
        <v>142</v>
      </c>
      <c r="B210" s="25">
        <v>1.27</v>
      </c>
      <c r="C210" s="25">
        <v>1.1299999999999999</v>
      </c>
      <c r="D210" s="25" t="s">
        <v>35</v>
      </c>
      <c r="E210" s="25" t="s">
        <v>35</v>
      </c>
      <c r="F210" s="25" t="s">
        <v>35</v>
      </c>
      <c r="G210" s="25" t="s">
        <v>35</v>
      </c>
    </row>
    <row r="211" spans="1:7" ht="24" customHeight="1" x14ac:dyDescent="0.25">
      <c r="A211" s="26" t="s">
        <v>143</v>
      </c>
      <c r="B211" s="25">
        <v>3.35</v>
      </c>
      <c r="C211" s="25">
        <v>2.9</v>
      </c>
      <c r="D211" s="25">
        <v>0.08</v>
      </c>
      <c r="E211" s="25" t="s">
        <v>35</v>
      </c>
      <c r="F211" s="25">
        <v>0.21</v>
      </c>
      <c r="G211" s="25">
        <v>0.1</v>
      </c>
    </row>
    <row r="212" spans="1:7" x14ac:dyDescent="0.25">
      <c r="A212" s="26" t="s">
        <v>154</v>
      </c>
      <c r="B212" s="25">
        <v>114.69</v>
      </c>
      <c r="C212" s="25">
        <v>69.739999999999995</v>
      </c>
      <c r="D212" s="25">
        <v>7.18</v>
      </c>
      <c r="E212" s="25">
        <v>9.1199999999999992</v>
      </c>
      <c r="F212" s="25">
        <v>22.11</v>
      </c>
      <c r="G212" s="25">
        <v>6.55</v>
      </c>
    </row>
    <row r="213" spans="1:7" x14ac:dyDescent="0.25">
      <c r="A213" s="31" t="s">
        <v>155</v>
      </c>
      <c r="B213" s="24" t="s">
        <v>1</v>
      </c>
      <c r="C213" s="24" t="s">
        <v>1</v>
      </c>
      <c r="D213" s="24" t="s">
        <v>1</v>
      </c>
      <c r="E213" s="24" t="s">
        <v>1</v>
      </c>
      <c r="F213" s="24" t="s">
        <v>1</v>
      </c>
      <c r="G213" s="24" t="s">
        <v>1</v>
      </c>
    </row>
    <row r="214" spans="1:7" x14ac:dyDescent="0.25">
      <c r="A214" s="26" t="s">
        <v>147</v>
      </c>
      <c r="B214" s="25">
        <v>4.41</v>
      </c>
      <c r="C214" s="25">
        <v>3.8</v>
      </c>
      <c r="D214" s="25">
        <v>0.1</v>
      </c>
      <c r="E214" s="25" t="s">
        <v>35</v>
      </c>
      <c r="F214" s="25">
        <v>0.24</v>
      </c>
      <c r="G214" s="25">
        <v>0.17</v>
      </c>
    </row>
    <row r="215" spans="1:7" x14ac:dyDescent="0.25">
      <c r="A215" s="26" t="s">
        <v>148</v>
      </c>
      <c r="B215" s="25">
        <v>1.47</v>
      </c>
      <c r="C215" s="25">
        <v>1.23</v>
      </c>
      <c r="D215" s="25">
        <v>0.04</v>
      </c>
      <c r="E215" s="25" t="s">
        <v>35</v>
      </c>
      <c r="F215" s="25">
        <v>0.11</v>
      </c>
      <c r="G215" s="25" t="s">
        <v>35</v>
      </c>
    </row>
    <row r="216" spans="1:7" x14ac:dyDescent="0.25">
      <c r="A216" s="26" t="s">
        <v>150</v>
      </c>
      <c r="B216" s="25">
        <v>0.36</v>
      </c>
      <c r="C216" s="25">
        <v>0.32</v>
      </c>
      <c r="D216" s="25" t="s">
        <v>35</v>
      </c>
      <c r="E216" s="25" t="s">
        <v>42</v>
      </c>
      <c r="F216" s="25" t="s">
        <v>35</v>
      </c>
      <c r="G216" s="25" t="s">
        <v>42</v>
      </c>
    </row>
    <row r="217" spans="1:7" ht="43.5" customHeight="1" x14ac:dyDescent="0.25">
      <c r="A217" s="26" t="s">
        <v>156</v>
      </c>
      <c r="B217" s="25">
        <v>2.6</v>
      </c>
      <c r="C217" s="25">
        <v>1.98</v>
      </c>
      <c r="D217" s="25">
        <v>0.12</v>
      </c>
      <c r="E217" s="25" t="s">
        <v>35</v>
      </c>
      <c r="F217" s="25">
        <v>0.34</v>
      </c>
      <c r="G217" s="25">
        <v>0.09</v>
      </c>
    </row>
    <row r="218" spans="1:7" x14ac:dyDescent="0.25">
      <c r="A218" s="26" t="s">
        <v>154</v>
      </c>
      <c r="B218" s="25">
        <v>114.69</v>
      </c>
      <c r="C218" s="25">
        <v>69.739999999999995</v>
      </c>
      <c r="D218" s="25">
        <v>7.18</v>
      </c>
      <c r="E218" s="25">
        <v>9.1199999999999992</v>
      </c>
      <c r="F218" s="25">
        <v>22.11</v>
      </c>
      <c r="G218" s="25">
        <v>6.55</v>
      </c>
    </row>
    <row r="219" spans="1:7" x14ac:dyDescent="0.25">
      <c r="A219" s="7"/>
      <c r="B219" s="5"/>
      <c r="C219" s="5"/>
      <c r="D219" s="5"/>
      <c r="E219" s="5"/>
      <c r="F219" s="5"/>
      <c r="G219" s="5"/>
    </row>
    <row r="220" spans="1:7" s="6" customFormat="1" ht="15.75" thickBot="1" x14ac:dyDescent="0.3">
      <c r="A220" s="26"/>
      <c r="B220" s="25"/>
      <c r="C220" s="25"/>
      <c r="D220" s="25"/>
      <c r="E220" s="25"/>
      <c r="F220" s="25"/>
      <c r="G220" s="25"/>
    </row>
    <row r="221" spans="1:7" s="6" customFormat="1" ht="206.25" customHeight="1" x14ac:dyDescent="0.25">
      <c r="A221" s="65" t="s">
        <v>300</v>
      </c>
      <c r="B221" s="65"/>
      <c r="C221" s="65"/>
      <c r="D221" s="65"/>
      <c r="E221" s="65"/>
      <c r="F221" s="65"/>
      <c r="G221" s="65"/>
    </row>
    <row r="222" spans="1:7" s="6" customFormat="1" x14ac:dyDescent="0.25">
      <c r="A222"/>
      <c r="B222"/>
      <c r="C222"/>
      <c r="D222"/>
      <c r="E222"/>
      <c r="F222"/>
      <c r="G222"/>
    </row>
  </sheetData>
  <mergeCells count="5">
    <mergeCell ref="A2:G2"/>
    <mergeCell ref="B3:G3"/>
    <mergeCell ref="C4:G4"/>
    <mergeCell ref="A221:G22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6D3B-6C4B-4CA4-88A5-52F78BF14182}">
  <sheetPr>
    <tabColor theme="9"/>
  </sheetPr>
  <dimension ref="A1"/>
  <sheetViews>
    <sheetView workbookViewId="0">
      <selection activeCell="H42" sqref="H42"/>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48DE0-AEAD-4096-B0F3-BDB0F419C9A6}">
  <dimension ref="A1:AR121"/>
  <sheetViews>
    <sheetView topLeftCell="A27" zoomScale="70" zoomScaleNormal="70" workbookViewId="0">
      <selection activeCell="H42" sqref="H42"/>
    </sheetView>
  </sheetViews>
  <sheetFormatPr defaultRowHeight="15" x14ac:dyDescent="0.25"/>
  <cols>
    <col min="1" max="1" width="9.85546875" customWidth="1"/>
    <col min="2" max="2" width="60.5703125" customWidth="1"/>
    <col min="3" max="3" width="34.7109375" customWidth="1"/>
    <col min="4" max="4" width="11.5703125" customWidth="1"/>
    <col min="5" max="5" width="10.42578125" customWidth="1"/>
    <col min="6" max="6" width="12" customWidth="1"/>
    <col min="7" max="7" width="9.5703125" bestFit="1" customWidth="1"/>
    <col min="8" max="9" width="9.7109375" bestFit="1" customWidth="1"/>
    <col min="10" max="11" width="9.5703125" bestFit="1" customWidth="1"/>
    <col min="12" max="12" width="9.7109375" bestFit="1" customWidth="1"/>
    <col min="13" max="14" width="9.28515625" bestFit="1" customWidth="1"/>
    <col min="15" max="15" width="13" customWidth="1"/>
    <col min="16" max="16" width="14.140625" customWidth="1"/>
    <col min="17" max="17" width="9.28515625" bestFit="1" customWidth="1"/>
    <col min="18" max="18" width="9.7109375" bestFit="1" customWidth="1"/>
    <col min="19" max="19" width="9.28515625" bestFit="1" customWidth="1"/>
    <col min="20" max="20" width="12.140625" customWidth="1"/>
    <col min="21" max="21" width="13.5703125" customWidth="1"/>
    <col min="22" max="25" width="9.28515625" bestFit="1" customWidth="1"/>
    <col min="26" max="30" width="12" bestFit="1" customWidth="1"/>
    <col min="31" max="31" width="13" customWidth="1"/>
    <col min="45" max="45" width="11.28515625" customWidth="1"/>
    <col min="46" max="46" width="12" customWidth="1"/>
    <col min="47" max="47" width="11" customWidth="1"/>
    <col min="48" max="48" width="9.5703125" bestFit="1" customWidth="1"/>
    <col min="49" max="50" width="9.42578125" bestFit="1" customWidth="1"/>
    <col min="51" max="52" width="9.5703125" bestFit="1" customWidth="1"/>
  </cols>
  <sheetData>
    <row r="1" spans="1:44" ht="18.75" x14ac:dyDescent="0.3">
      <c r="A1" s="51" t="s">
        <v>171</v>
      </c>
      <c r="B1" s="52" t="s">
        <v>826</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row>
    <row r="2" spans="1:44" x14ac:dyDescent="0.25">
      <c r="A2" s="49"/>
      <c r="B2" s="49"/>
      <c r="C2" s="50" t="s">
        <v>174</v>
      </c>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row>
    <row r="3" spans="1:44" x14ac:dyDescent="0.25">
      <c r="C3" s="1" t="s">
        <v>164</v>
      </c>
    </row>
    <row r="4" spans="1:44" x14ac:dyDescent="0.25">
      <c r="C4" s="1" t="s">
        <v>162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44" x14ac:dyDescent="0.25">
      <c r="C5" t="s">
        <v>58</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44" x14ac:dyDescent="0.25">
      <c r="A6" t="s">
        <v>952</v>
      </c>
      <c r="B6" t="s">
        <v>599</v>
      </c>
      <c r="C6" t="s">
        <v>7</v>
      </c>
      <c r="D6" s="47">
        <v>0</v>
      </c>
      <c r="E6">
        <f>INDEX(AEO25_Table_21._Residential!$F$82:$AG$93,MATCH($B6,AEO25_Table_21._Residential!$B$82:$B$93,0),MATCH(E$4,AEO25_Table_21._Residential!$F$5:$AG$5,0))*About!$A$27*About!$B$30</f>
        <v>5555.7882295798581</v>
      </c>
      <c r="F6">
        <f>INDEX(AEO26_Table_21._Residential!$E$6:$AD$92,MATCH($A6,AEO26_Table_21._Residential!$B$6:$B$92,0),MATCH(F$4,AEO26_Table_21._Residential!$E$5:$AD$5,0))*About!$A$27*About!$B$30</f>
        <v>1627.7898486197685</v>
      </c>
      <c r="G6">
        <f>INDEX(AEO26_Table_21._Residential!$E$6:$AD$92,MATCH($A6,AEO26_Table_21._Residential!$B$6:$B$92,0),MATCH(G$4,AEO26_Table_21._Residential!$E$5:$AD$5,0))*About!$A$27*About!$B$30</f>
        <v>3557.2330607949489</v>
      </c>
      <c r="H6">
        <f>INDEX(AEO26_Table_21._Residential!$E$6:$AD$92,MATCH($A6,AEO26_Table_21._Residential!$B$6:$B$92,0),MATCH(H$4,AEO26_Table_21._Residential!$E$5:$AD$5,0))*About!$A$27*About!$B$30</f>
        <v>5437.8913624220841</v>
      </c>
      <c r="I6">
        <f>INDEX(AEO26_Table_21._Residential!$E$6:$AD$92,MATCH($A6,AEO26_Table_21._Residential!$B$6:$B$92,0),MATCH(I$4,AEO26_Table_21._Residential!$E$5:$AD$5,0))*About!$A$27*About!$B$30</f>
        <v>5479.358536387922</v>
      </c>
      <c r="J6">
        <f>INDEX(AEO26_Table_21._Residential!$E$6:$AD$92,MATCH($A6,AEO26_Table_21._Residential!$B$6:$B$92,0),MATCH(J$4,AEO26_Table_21._Residential!$E$5:$AD$5,0))*About!$A$27*About!$B$30</f>
        <v>5521.6387921962278</v>
      </c>
      <c r="K6">
        <f>INDEX(AEO26_Table_21._Residential!$E$6:$AD$92,MATCH($A6,AEO26_Table_21._Residential!$B$6:$B$92,0),MATCH(K$4,AEO26_Table_21._Residential!$E$5:$AD$5,0))*About!$A$27*About!$B$30</f>
        <v>8143.014652311178</v>
      </c>
      <c r="L6">
        <f>INDEX(AEO26_Table_21._Residential!$E$6:$AD$92,MATCH($A6,AEO26_Table_21._Residential!$B$6:$B$92,0),MATCH(L$4,AEO26_Table_21._Residential!$E$5:$AD$5,0))*About!$A$27*About!$B$30</f>
        <v>11642.518902290942</v>
      </c>
      <c r="M6">
        <f>INDEX(AEO26_Table_21._Residential!$E$6:$AD$92,MATCH($A6,AEO26_Table_21._Residential!$B$6:$B$92,0),MATCH(M$4,AEO26_Table_21._Residential!$E$5:$AD$5,0))*About!$A$27*About!$B$30</f>
        <v>15250.976119161336</v>
      </c>
      <c r="N6">
        <f>INDEX(AEO26_Table_21._Residential!$E$6:$AD$92,MATCH($A6,AEO26_Table_21._Residential!$B$6:$B$92,0),MATCH(N$4,AEO26_Table_21._Residential!$E$5:$AD$5,0))*About!$A$27*About!$B$30</f>
        <v>18060.986966728731</v>
      </c>
      <c r="O6">
        <f>INDEX(AEO26_Table_21._Residential!$E$6:$AD$92,MATCH($A6,AEO26_Table_21._Residential!$B$6:$B$92,0),MATCH(O$4,AEO26_Table_21._Residential!$E$5:$AD$5,0))*About!$A$27*About!$B$30</f>
        <v>21580.818262770175</v>
      </c>
      <c r="P6">
        <f>INDEX(AEO26_Table_21._Residential!$E$6:$AD$92,MATCH($A6,AEO26_Table_21._Residential!$B$6:$B$92,0),MATCH(P$4,AEO26_Table_21._Residential!$E$5:$AD$5,0))*About!$A$27*About!$B$30</f>
        <v>21622.285436736012</v>
      </c>
      <c r="Q6">
        <f>INDEX(AEO26_Table_21._Residential!$E$6:$AD$92,MATCH($A6,AEO26_Table_21._Residential!$B$6:$B$92,0),MATCH(Q$4,AEO26_Table_21._Residential!$E$5:$AD$5,0))*About!$A$27*About!$B$30</f>
        <v>21663.752610701853</v>
      </c>
      <c r="R6">
        <f>INDEX(AEO26_Table_21._Residential!$E$6:$AD$92,MATCH($A6,AEO26_Table_21._Residential!$B$6:$B$92,0),MATCH(R$4,AEO26_Table_21._Residential!$E$5:$AD$5,0))*About!$A$27*About!$B$30</f>
        <v>21706.032866510159</v>
      </c>
      <c r="S6">
        <f>INDEX(AEO26_Table_21._Residential!$E$6:$AD$92,MATCH($A6,AEO26_Table_21._Residential!$B$6:$B$92,0),MATCH(S$4,AEO26_Table_21._Residential!$E$5:$AD$5,0))*About!$A$27*About!$B$30</f>
        <v>21747.500040475996</v>
      </c>
      <c r="T6">
        <f>INDEX(AEO26_Table_21._Residential!$E$6:$AD$92,MATCH($A6,AEO26_Table_21._Residential!$B$6:$B$92,0),MATCH(T$4,AEO26_Table_21._Residential!$E$5:$AD$5,0))*About!$A$27*About!$B$30</f>
        <v>21789.780296284302</v>
      </c>
      <c r="U6">
        <f>INDEX(AEO26_Table_21._Residential!$E$6:$AD$92,MATCH($A6,AEO26_Table_21._Residential!$B$6:$B$92,0),MATCH(U$4,AEO26_Table_21._Residential!$E$5:$AD$5,0))*About!$A$27*About!$B$30</f>
        <v>21835.312879462479</v>
      </c>
      <c r="V6">
        <f>INDEX(AEO26_Table_21._Residential!$E$6:$AD$92,MATCH($A6,AEO26_Table_21._Residential!$B$6:$B$92,0),MATCH(V$4,AEO26_Table_21._Residential!$E$5:$AD$5,0))*About!$A$27*About!$B$30</f>
        <v>21887.350117380389</v>
      </c>
      <c r="W6">
        <f>INDEX(AEO26_Table_21._Residential!$E$6:$AD$92,MATCH($A6,AEO26_Table_21._Residential!$B$6:$B$92,0),MATCH(W$4,AEO26_Table_21._Residential!$E$5:$AD$5,0))*About!$A$27*About!$B$30</f>
        <v>21954.022828462723</v>
      </c>
      <c r="X6">
        <f>INDEX(AEO26_Table_21._Residential!$E$6:$AD$92,MATCH($A6,AEO26_Table_21._Residential!$B$6:$B$92,0),MATCH(X$4,AEO26_Table_21._Residential!$E$5:$AD$5,0))*About!$A$27*About!$B$30</f>
        <v>22048.340322188938</v>
      </c>
      <c r="Y6">
        <f>INDEX(AEO26_Table_21._Residential!$E$6:$AD$92,MATCH($A6,AEO26_Table_21._Residential!$B$6:$B$92,0),MATCH(Y$4,AEO26_Table_21._Residential!$E$5:$AD$5,0))*About!$A$27*About!$B$30</f>
        <v>22197.947381202943</v>
      </c>
      <c r="Z6">
        <f>INDEX(AEO26_Table_21._Residential!$E$6:$AD$92,MATCH($A6,AEO26_Table_21._Residential!$B$6:$B$92,0),MATCH(Z$4,AEO26_Table_21._Residential!$E$5:$AD$5,0))*About!$A$27*About!$B$30</f>
        <v>22450.815834210316</v>
      </c>
      <c r="AA6">
        <f>INDEX(AEO26_Table_21._Residential!$E$6:$AD$92,MATCH($A6,AEO26_Table_21._Residential!$B$6:$B$92,0),MATCH(AA$4,AEO26_Table_21._Residential!$E$5:$AD$5,0))*About!$A$27*About!$B$30</f>
        <v>22894.75852019752</v>
      </c>
      <c r="AB6">
        <f>INDEX(AEO26_Table_21._Residential!$E$6:$AD$92,MATCH($A6,AEO26_Table_21._Residential!$B$6:$B$92,0),MATCH(AB$4,AEO26_Table_21._Residential!$E$5:$AD$5,0))*About!$A$27*About!$B$30</f>
        <v>23341.140451712134</v>
      </c>
      <c r="AC6">
        <f>INDEX(AEO26_Table_21._Residential!$E$6:$AD$92,MATCH($A6,AEO26_Table_21._Residential!$B$6:$B$92,0),MATCH(AC$4,AEO26_Table_21._Residential!$E$5:$AD$5,0))*About!$A$27*About!$B$30</f>
        <v>23789.148546911678</v>
      </c>
      <c r="AD6">
        <f>INDEX(AEO26_Table_21._Residential!$E$6:$AD$92,MATCH($A6,AEO26_Table_21._Residential!$B$6:$B$92,0),MATCH(AD$4,AEO26_Table_21._Residential!$E$5:$AD$5,0))*About!$A$27*About!$B$30</f>
        <v>24239.595887638628</v>
      </c>
      <c r="AE6">
        <f>INDEX(AEO26_Table_21._Residential!$E$6:$AD$92,MATCH($A6,AEO26_Table_21._Residential!$B$6:$B$92,0),MATCH(AE$4,AEO26_Table_21._Residential!$E$5:$AD$5,0))*About!$A$27*About!$B$30</f>
        <v>24694.108637577912</v>
      </c>
    </row>
    <row r="7" spans="1:44" x14ac:dyDescent="0.25">
      <c r="C7" t="s">
        <v>8</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44" x14ac:dyDescent="0.25">
      <c r="C8" t="s">
        <v>9</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44" x14ac:dyDescent="0.25">
      <c r="A9" t="s">
        <v>956</v>
      </c>
      <c r="B9" t="s">
        <v>595</v>
      </c>
      <c r="C9" t="s">
        <v>59</v>
      </c>
      <c r="D9" s="47">
        <f>AEO23_Table_21._Residential!$G$84*About!$A$27*About!$B$30</f>
        <v>60829.091880514854</v>
      </c>
      <c r="E9">
        <f>INDEX(AEO25_Table_21._Residential!$F$82:$AG$93,MATCH($B9,AEO25_Table_21._Residential!$B$82:$B$93,0),MATCH(E$4,AEO25_Table_21._Residential!$F$5:$AG$5,0))*About!$A$27*About!$B$30</f>
        <v>300368.69424431311</v>
      </c>
      <c r="F9">
        <f>INDEX(AEO26_Table_21._Residential!$E$6:$AD$92,MATCH($A9,AEO26_Table_21._Residential!$B$6:$B$92,0),MATCH(F$4,AEO26_Table_21._Residential!$E$5:$AD$5,0))*About!$A$27*About!$B$30</f>
        <v>140072.86132923176</v>
      </c>
      <c r="G9">
        <f>INDEX(AEO26_Table_21._Residential!$E$6:$AD$92,MATCH($A9,AEO26_Table_21._Residential!$B$6:$B$92,0),MATCH(G$4,AEO26_Table_21._Residential!$E$5:$AD$5,0))*About!$A$27*About!$B$30</f>
        <v>140198.07593297173</v>
      </c>
      <c r="H9">
        <f>INDEX(AEO26_Table_21._Residential!$E$6:$AD$92,MATCH($A9,AEO26_Table_21._Residential!$B$6:$B$92,0),MATCH(H$4,AEO26_Table_21._Residential!$E$5:$AD$5,0))*About!$A$27*About!$B$30</f>
        <v>140350.9353193556</v>
      </c>
      <c r="I9">
        <f>INDEX(AEO26_Table_21._Residential!$E$6:$AD$92,MATCH($A9,AEO26_Table_21._Residential!$B$6:$B$92,0),MATCH(I$4,AEO26_Table_21._Residential!$E$5:$AD$5,0))*About!$A$27*About!$B$30</f>
        <v>140502.16854205454</v>
      </c>
      <c r="J9">
        <f>INDEX(AEO26_Table_21._Residential!$E$6:$AD$92,MATCH($A9,AEO26_Table_21._Residential!$B$6:$B$92,0),MATCH(J$4,AEO26_Table_21._Residential!$E$5:$AD$5,0))*About!$A$27*About!$B$30</f>
        <v>140746.90617663725</v>
      </c>
      <c r="K9">
        <f>INDEX(AEO26_Table_21._Residential!$E$6:$AD$92,MATCH($A9,AEO26_Table_21._Residential!$B$6:$B$92,0),MATCH(K$4,AEO26_Table_21._Residential!$E$5:$AD$5,0))*About!$A$27*About!$B$30</f>
        <v>141171.33489840524</v>
      </c>
      <c r="L9">
        <f>INDEX(AEO26_Table_21._Residential!$E$6:$AD$92,MATCH($A9,AEO26_Table_21._Residential!$B$6:$B$92,0),MATCH(L$4,AEO26_Table_21._Residential!$E$5:$AD$5,0))*About!$A$27*About!$B$30</f>
        <v>141941.32340322188</v>
      </c>
      <c r="M9">
        <f>INDEX(AEO26_Table_21._Residential!$E$6:$AD$92,MATCH($A9,AEO26_Table_21._Residential!$B$6:$B$92,0),MATCH(M$4,AEO26_Table_21._Residential!$E$5:$AD$5,0))*About!$A$27*About!$B$30</f>
        <v>143138.99295717638</v>
      </c>
      <c r="N9">
        <f>INDEX(AEO26_Table_21._Residential!$E$6:$AD$92,MATCH($A9,AEO26_Table_21._Residential!$B$6:$B$92,0),MATCH(N$4,AEO26_Table_21._Residential!$E$5:$AD$5,0))*About!$A$27*About!$B$30</f>
        <v>144978.99716668014</v>
      </c>
      <c r="O9">
        <f>INDEX(AEO26_Table_21._Residential!$E$6:$AD$92,MATCH($A9,AEO26_Table_21._Residential!$B$6:$B$92,0),MATCH(O$4,AEO26_Table_21._Residential!$E$5:$AD$5,0))*About!$A$27*About!$B$30</f>
        <v>147506.86861491136</v>
      </c>
      <c r="P9">
        <f>INDEX(AEO26_Table_21._Residential!$E$6:$AD$92,MATCH($A9,AEO26_Table_21._Residential!$B$6:$B$92,0),MATCH(P$4,AEO26_Table_21._Residential!$E$5:$AD$5,0))*About!$A$27*About!$B$30</f>
        <v>150522.589168623</v>
      </c>
      <c r="Q9">
        <f>INDEX(AEO26_Table_21._Residential!$E$6:$AD$92,MATCH($A9,AEO26_Table_21._Residential!$B$6:$B$92,0),MATCH(Q$4,AEO26_Table_21._Residential!$E$5:$AD$5,0))*About!$A$27*About!$B$30</f>
        <v>153902.57038776006</v>
      </c>
      <c r="R9">
        <f>INDEX(AEO26_Table_21._Residential!$E$6:$AD$92,MATCH($A9,AEO26_Table_21._Residential!$B$6:$B$92,0),MATCH(R$4,AEO26_Table_21._Residential!$E$5:$AD$5,0))*About!$A$27*About!$B$30</f>
        <v>157645.18610863757</v>
      </c>
      <c r="S9">
        <f>INDEX(AEO26_Table_21._Residential!$E$6:$AD$92,MATCH($A9,AEO26_Table_21._Residential!$B$6:$B$92,0),MATCH(S$4,AEO26_Table_21._Residential!$E$5:$AD$5,0))*About!$A$27*About!$B$30</f>
        <v>161573.18448959765</v>
      </c>
      <c r="T9">
        <f>INDEX(AEO26_Table_21._Residential!$E$6:$AD$92,MATCH($A9,AEO26_Table_21._Residential!$B$6:$B$92,0),MATCH(T$4,AEO26_Table_21._Residential!$E$5:$AD$5,0))*About!$A$27*About!$B$30</f>
        <v>165598.75269165382</v>
      </c>
      <c r="U9">
        <f>INDEX(AEO26_Table_21._Residential!$E$6:$AD$92,MATCH($A9,AEO26_Table_21._Residential!$B$6:$B$92,0),MATCH(U$4,AEO26_Table_21._Residential!$E$5:$AD$5,0))*About!$A$27*About!$B$30</f>
        <v>169864.18003723791</v>
      </c>
      <c r="V9">
        <f>INDEX(AEO26_Table_21._Residential!$E$6:$AD$92,MATCH($A9,AEO26_Table_21._Residential!$B$6:$B$92,0),MATCH(V$4,AEO26_Table_21._Residential!$E$5:$AD$5,0))*About!$A$27*About!$B$30</f>
        <v>174618.26957014488</v>
      </c>
      <c r="W9">
        <f>INDEX(AEO26_Table_21._Residential!$E$6:$AD$92,MATCH($A9,AEO26_Table_21._Residential!$B$6:$B$92,0),MATCH(W$4,AEO26_Table_21._Residential!$E$5:$AD$5,0))*About!$A$27*About!$B$30</f>
        <v>179692.71334898405</v>
      </c>
      <c r="X9">
        <f>INDEX(AEO26_Table_21._Residential!$E$6:$AD$92,MATCH($A9,AEO26_Table_21._Residential!$B$6:$B$92,0),MATCH(X$4,AEO26_Table_21._Residential!$E$5:$AD$5,0))*About!$A$27*About!$B$30</f>
        <v>184928.14733263175</v>
      </c>
      <c r="Y9">
        <f>INDEX(AEO26_Table_21._Residential!$E$6:$AD$92,MATCH($A9,AEO26_Table_21._Residential!$B$6:$B$92,0),MATCH(Y$4,AEO26_Table_21._Residential!$E$5:$AD$5,0))*About!$A$27*About!$B$30</f>
        <v>190289.60900186186</v>
      </c>
      <c r="Z9">
        <f>INDEX(AEO26_Table_21._Residential!$E$6:$AD$92,MATCH($A9,AEO26_Table_21._Residential!$B$6:$B$92,0),MATCH(Z$4,AEO26_Table_21._Residential!$E$5:$AD$5,0))*About!$A$27*About!$B$30</f>
        <v>195821.81785801018</v>
      </c>
      <c r="AA9">
        <f>INDEX(AEO26_Table_21._Residential!$E$6:$AD$92,MATCH($A9,AEO26_Table_21._Residential!$B$6:$B$92,0),MATCH(AA$4,AEO26_Table_21._Residential!$E$5:$AD$5,0))*About!$A$27*About!$B$30</f>
        <v>201816.67028252245</v>
      </c>
      <c r="AB9">
        <f>INDEX(AEO26_Table_21._Residential!$E$6:$AD$92,MATCH($A9,AEO26_Table_21._Residential!$B$6:$B$92,0),MATCH(AB$4,AEO26_Table_21._Residential!$E$5:$AD$5,0))*About!$A$27*About!$B$30</f>
        <v>208040.81178661055</v>
      </c>
      <c r="AC9">
        <f>INDEX(AEO26_Table_21._Residential!$E$6:$AD$92,MATCH($A9,AEO26_Table_21._Residential!$B$6:$B$92,0),MATCH(AC$4,AEO26_Table_21._Residential!$E$5:$AD$5,0))*About!$A$27*About!$B$30</f>
        <v>215123.56771634417</v>
      </c>
      <c r="AD9">
        <f>INDEX(AEO26_Table_21._Residential!$E$6:$AD$92,MATCH($A9,AEO26_Table_21._Residential!$B$6:$B$92,0),MATCH(AD$4,AEO26_Table_21._Residential!$E$5:$AD$5,0))*About!$A$27*About!$B$30</f>
        <v>222286.00566663966</v>
      </c>
      <c r="AE9">
        <f>INDEX(AEO26_Table_21._Residential!$E$6:$AD$92,MATCH($A9,AEO26_Table_21._Residential!$B$6:$B$92,0),MATCH(AE$4,AEO26_Table_21._Residential!$E$5:$AD$5,0))*About!$A$27*About!$B$30</f>
        <v>229521.62098275719</v>
      </c>
    </row>
    <row r="10" spans="1:44" x14ac:dyDescent="0.25">
      <c r="A10" t="s">
        <v>954</v>
      </c>
      <c r="B10" t="s">
        <v>597</v>
      </c>
      <c r="C10" t="s">
        <v>10</v>
      </c>
      <c r="D10" s="47">
        <f>AEO23_Table_21._Residential!$G$83*About!$A$27*About!$B$30</f>
        <v>35064945.58504007</v>
      </c>
      <c r="E10">
        <f>INDEX(AEO25_Table_21._Residential!$F$82:$AG$93,MATCH($B10,AEO25_Table_21._Residential!$B$82:$B$93,0),MATCH(E$4,AEO25_Table_21._Residential!$F$5:$AG$5,0))*About!$A$27*About!$B$30</f>
        <v>50978364.686796732</v>
      </c>
      <c r="F10">
        <f>INDEX(AEO26_Table_21._Residential!$E$6:$AD$92,MATCH($A10,AEO26_Table_21._Residential!$B$6:$B$92,0),MATCH(F$4,AEO26_Table_21._Residential!$E$5:$AD$5,0))*About!$A$27*About!$B$30</f>
        <v>53470950.009228528</v>
      </c>
      <c r="G10">
        <f>INDEX(AEO26_Table_21._Residential!$E$6:$AD$92,MATCH($A10,AEO26_Table_21._Residential!$B$6:$B$92,0),MATCH(G$4,AEO26_Table_21._Residential!$E$5:$AD$5,0))*About!$A$27*About!$B$30</f>
        <v>56521290.774710603</v>
      </c>
      <c r="H10">
        <f>INDEX(AEO26_Table_21._Residential!$E$6:$AD$92,MATCH($A10,AEO26_Table_21._Residential!$B$6:$B$92,0),MATCH(H$4,AEO26_Table_21._Residential!$E$5:$AD$5,0))*About!$A$27*About!$B$30</f>
        <v>59964463.088480517</v>
      </c>
      <c r="I10">
        <f>INDEX(AEO26_Table_21._Residential!$E$6:$AD$92,MATCH($A10,AEO26_Table_21._Residential!$B$6:$B$92,0),MATCH(I$4,AEO26_Table_21._Residential!$E$5:$AD$5,0))*About!$A$27*About!$B$30</f>
        <v>63515989.127823189</v>
      </c>
      <c r="J10">
        <f>INDEX(AEO26_Table_21._Residential!$E$6:$AD$92,MATCH($A10,AEO26_Table_21._Residential!$B$6:$B$92,0),MATCH(J$4,AEO26_Table_21._Residential!$E$5:$AD$5,0))*About!$A$27*About!$B$30</f>
        <v>66825908.71075853</v>
      </c>
      <c r="K10">
        <f>INDEX(AEO26_Table_21._Residential!$E$6:$AD$92,MATCH($A10,AEO26_Table_21._Residential!$B$6:$B$92,0),MATCH(K$4,AEO26_Table_21._Residential!$E$5:$AD$5,0))*About!$A$27*About!$B$30</f>
        <v>70302740.173561066</v>
      </c>
      <c r="L10">
        <f>INDEX(AEO26_Table_21._Residential!$E$6:$AD$92,MATCH($A10,AEO26_Table_21._Residential!$B$6:$B$92,0),MATCH(L$4,AEO26_Table_21._Residential!$E$5:$AD$5,0))*About!$A$27*About!$B$30</f>
        <v>74066152.901805222</v>
      </c>
      <c r="M10">
        <f>INDEX(AEO26_Table_21._Residential!$E$6:$AD$92,MATCH($A10,AEO26_Table_21._Residential!$B$6:$B$92,0),MATCH(M$4,AEO26_Table_21._Residential!$E$5:$AD$5,0))*About!$A$27*About!$B$30</f>
        <v>77813083.648020715</v>
      </c>
      <c r="N10">
        <f>INDEX(AEO26_Table_21._Residential!$E$6:$AD$92,MATCH($A10,AEO26_Table_21._Residential!$B$6:$B$92,0),MATCH(N$4,AEO26_Table_21._Residential!$E$5:$AD$5,0))*About!$A$27*About!$B$30</f>
        <v>81739216.006152347</v>
      </c>
      <c r="O10">
        <f>INDEX(AEO26_Table_21._Residential!$E$6:$AD$92,MATCH($A10,AEO26_Table_21._Residential!$B$6:$B$92,0),MATCH(O$4,AEO26_Table_21._Residential!$E$5:$AD$5,0))*About!$A$27*About!$B$30</f>
        <v>85899672.046628341</v>
      </c>
      <c r="P10">
        <f>INDEX(AEO26_Table_21._Residential!$E$6:$AD$92,MATCH($A10,AEO26_Table_21._Residential!$B$6:$B$92,0),MATCH(P$4,AEO26_Table_21._Residential!$E$5:$AD$5,0))*About!$A$27*About!$B$30</f>
        <v>90335556.308912814</v>
      </c>
      <c r="Q10">
        <f>INDEX(AEO26_Table_21._Residential!$E$6:$AD$92,MATCH($A10,AEO26_Table_21._Residential!$B$6:$B$92,0),MATCH(Q$4,AEO26_Table_21._Residential!$E$5:$AD$5,0))*About!$A$27*About!$B$30</f>
        <v>94982501.982028648</v>
      </c>
      <c r="R10">
        <f>INDEX(AEO26_Table_21._Residential!$E$6:$AD$92,MATCH($A10,AEO26_Table_21._Residential!$B$6:$B$92,0),MATCH(R$4,AEO26_Table_21._Residential!$E$5:$AD$5,0))*About!$A$27*About!$B$30</f>
        <v>99960122.34890309</v>
      </c>
      <c r="S10">
        <f>INDEX(AEO26_Table_21._Residential!$E$6:$AD$92,MATCH($A10,AEO26_Table_21._Residential!$B$6:$B$92,0),MATCH(S$4,AEO26_Table_21._Residential!$E$5:$AD$5,0))*About!$A$27*About!$B$30</f>
        <v>105171992.40767422</v>
      </c>
      <c r="T10">
        <f>INDEX(AEO26_Table_21._Residential!$E$6:$AD$92,MATCH($A10,AEO26_Table_21._Residential!$B$6:$B$92,0),MATCH(T$4,AEO26_Table_21._Residential!$E$5:$AD$5,0))*About!$A$27*About!$B$30</f>
        <v>110663048.75252973</v>
      </c>
      <c r="U10">
        <f>INDEX(AEO26_Table_21._Residential!$E$6:$AD$92,MATCH($A10,AEO26_Table_21._Residential!$B$6:$B$92,0),MATCH(U$4,AEO26_Table_21._Residential!$E$5:$AD$5,0))*About!$A$27*About!$B$30</f>
        <v>116346805.49405001</v>
      </c>
      <c r="V10">
        <f>INDEX(AEO26_Table_21._Residential!$E$6:$AD$92,MATCH($A10,AEO26_Table_21._Residential!$B$6:$B$92,0),MATCH(V$4,AEO26_Table_21._Residential!$E$5:$AD$5,0))*About!$A$27*About!$B$30</f>
        <v>122255072.83315793</v>
      </c>
      <c r="W10">
        <f>INDEX(AEO26_Table_21._Residential!$E$6:$AD$92,MATCH($A10,AEO26_Table_21._Residential!$B$6:$B$92,0),MATCH(W$4,AEO26_Table_21._Residential!$E$5:$AD$5,0))*About!$A$27*About!$B$30</f>
        <v>128329093.41050757</v>
      </c>
      <c r="X10">
        <f>INDEX(AEO26_Table_21._Residential!$E$6:$AD$92,MATCH($A10,AEO26_Table_21._Residential!$B$6:$B$92,0),MATCH(X$4,AEO26_Table_21._Residential!$E$5:$AD$5,0))*About!$A$27*About!$B$30</f>
        <v>134590739.12766129</v>
      </c>
      <c r="Y10">
        <f>INDEX(AEO26_Table_21._Residential!$E$6:$AD$92,MATCH($A10,AEO26_Table_21._Residential!$B$6:$B$92,0),MATCH(Y$4,AEO26_Table_21._Residential!$E$5:$AD$5,0))*About!$A$27*About!$B$30</f>
        <v>141094736.08419007</v>
      </c>
      <c r="Z10">
        <f>INDEX(AEO26_Table_21._Residential!$E$6:$AD$92,MATCH($A10,AEO26_Table_21._Residential!$B$6:$B$92,0),MATCH(Z$4,AEO26_Table_21._Residential!$E$5:$AD$5,0))*About!$A$27*About!$B$30</f>
        <v>147745429.26673684</v>
      </c>
      <c r="AA10">
        <f>INDEX(AEO26_Table_21._Residential!$E$6:$AD$92,MATCH($A10,AEO26_Table_21._Residential!$B$6:$B$92,0),MATCH(AA$4,AEO26_Table_21._Residential!$E$5:$AD$5,0))*About!$A$27*About!$B$30</f>
        <v>154590957.18578482</v>
      </c>
      <c r="AB10">
        <f>INDEX(AEO26_Table_21._Residential!$E$6:$AD$92,MATCH($A10,AEO26_Table_21._Residential!$B$6:$B$92,0),MATCH(AB$4,AEO26_Table_21._Residential!$E$5:$AD$5,0))*About!$A$27*About!$B$30</f>
        <v>161636864.24641788</v>
      </c>
      <c r="AC10">
        <f>INDEX(AEO26_Table_21._Residential!$E$6:$AD$92,MATCH($A10,AEO26_Table_21._Residential!$B$6:$B$92,0),MATCH(AC$4,AEO26_Table_21._Residential!$E$5:$AD$5,0))*About!$A$27*About!$B$30</f>
        <v>168976932.12142801</v>
      </c>
      <c r="AD10">
        <f>INDEX(AEO26_Table_21._Residential!$E$6:$AD$92,MATCH($A10,AEO26_Table_21._Residential!$B$6:$B$92,0),MATCH(AD$4,AEO26_Table_21._Residential!$E$5:$AD$5,0))*About!$A$27*About!$B$30</f>
        <v>176433189.3917267</v>
      </c>
      <c r="AE10">
        <f>INDEX(AEO26_Table_21._Residential!$E$6:$AD$92,MATCH($A10,AEO26_Table_21._Residential!$B$6:$B$92,0),MATCH(AE$4,AEO26_Table_21._Residential!$E$5:$AD$5,0))*About!$A$27*About!$B$30</f>
        <v>184157193.69966808</v>
      </c>
    </row>
    <row r="11" spans="1:44" x14ac:dyDescent="0.25">
      <c r="C11" t="s">
        <v>11</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44" x14ac:dyDescent="0.25">
      <c r="C12" t="s">
        <v>12</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44" x14ac:dyDescent="0.25">
      <c r="C13" t="s">
        <v>13</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44" x14ac:dyDescent="0.25">
      <c r="C14" t="s">
        <v>14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44" x14ac:dyDescent="0.25">
      <c r="C15" t="s">
        <v>15</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44" x14ac:dyDescent="0.25">
      <c r="C16" t="s">
        <v>57</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C17" t="s">
        <v>60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C18" t="s">
        <v>158</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25">
      <c r="C19" t="s">
        <v>159</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C20" t="s">
        <v>160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2" spans="1:31" x14ac:dyDescent="0.25">
      <c r="C22" s="1" t="s">
        <v>166</v>
      </c>
    </row>
    <row r="23" spans="1:31" x14ac:dyDescent="0.25">
      <c r="C23" s="1" t="s">
        <v>162</v>
      </c>
      <c r="D23">
        <v>2023</v>
      </c>
      <c r="E23">
        <v>2024</v>
      </c>
      <c r="F23">
        <v>2025</v>
      </c>
      <c r="G23">
        <v>2026</v>
      </c>
      <c r="H23">
        <v>2027</v>
      </c>
      <c r="I23">
        <v>2028</v>
      </c>
      <c r="J23">
        <v>2029</v>
      </c>
      <c r="K23">
        <v>2030</v>
      </c>
      <c r="L23">
        <v>2031</v>
      </c>
      <c r="M23">
        <v>2032</v>
      </c>
      <c r="N23">
        <v>2033</v>
      </c>
      <c r="O23">
        <v>2034</v>
      </c>
      <c r="P23">
        <v>2035</v>
      </c>
      <c r="Q23">
        <v>2036</v>
      </c>
      <c r="R23">
        <v>2037</v>
      </c>
      <c r="S23">
        <v>2038</v>
      </c>
      <c r="T23">
        <v>2039</v>
      </c>
      <c r="U23">
        <v>2040</v>
      </c>
      <c r="V23">
        <v>2041</v>
      </c>
      <c r="W23">
        <v>2042</v>
      </c>
      <c r="X23">
        <v>2043</v>
      </c>
      <c r="Y23">
        <v>2044</v>
      </c>
      <c r="Z23">
        <v>2045</v>
      </c>
      <c r="AA23">
        <v>2046</v>
      </c>
      <c r="AB23">
        <v>2047</v>
      </c>
      <c r="AC23">
        <v>2048</v>
      </c>
      <c r="AD23">
        <v>2049</v>
      </c>
      <c r="AE23">
        <v>2050</v>
      </c>
    </row>
    <row r="24" spans="1:31" x14ac:dyDescent="0.25">
      <c r="C24" t="s">
        <v>58</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t="s">
        <v>952</v>
      </c>
      <c r="B25" t="s">
        <v>599</v>
      </c>
      <c r="C25" t="s">
        <v>7</v>
      </c>
      <c r="D25" s="47">
        <v>0</v>
      </c>
      <c r="E25">
        <f>INDEX(AEO25_Table_21._Residential!$F$82:$AG$93,MATCH($B25,AEO25_Table_21._Residential!$B$82:$B$93,0),MATCH(E$4,AEO25_Table_21._Residential!$F$5:$AG$5,0))*About!$A$28*About!$B$30</f>
        <v>1277.2117704201407</v>
      </c>
      <c r="F25">
        <f>INDEX(AEO26_Table_21._Residential!$E$6:$AD$92,MATCH($A25,AEO26_Table_21._Residential!$B$6:$B$92,0),MATCH(F$4,AEO26_Table_21._Residential!$E$5:$AD$5,0))*About!$A$28*About!$B$30</f>
        <v>374.21015138023148</v>
      </c>
      <c r="G25">
        <f>INDEX(AEO26_Table_21._Residential!$E$6:$AD$92,MATCH($A25,AEO26_Table_21._Residential!$B$6:$B$92,0),MATCH(G$4,AEO26_Table_21._Residential!$E$5:$AD$5,0))*About!$A$28*About!$B$30</f>
        <v>817.76693920505147</v>
      </c>
      <c r="H25">
        <f>INDEX(AEO26_Table_21._Residential!$E$6:$AD$92,MATCH($A25,AEO26_Table_21._Residential!$B$6:$B$92,0),MATCH(H$4,AEO26_Table_21._Residential!$E$5:$AD$5,0))*About!$A$28*About!$B$30</f>
        <v>1250.1086375779162</v>
      </c>
      <c r="I25">
        <f>INDEX(AEO26_Table_21._Residential!$E$6:$AD$92,MATCH($A25,AEO26_Table_21._Residential!$B$6:$B$92,0),MATCH(I$4,AEO26_Table_21._Residential!$E$5:$AD$5,0))*About!$A$28*About!$B$30</f>
        <v>1259.641463612078</v>
      </c>
      <c r="J25">
        <f>INDEX(AEO26_Table_21._Residential!$E$6:$AD$92,MATCH($A25,AEO26_Table_21._Residential!$B$6:$B$92,0),MATCH(J$4,AEO26_Table_21._Residential!$E$5:$AD$5,0))*About!$A$28*About!$B$30</f>
        <v>1269.3612078037722</v>
      </c>
      <c r="K25">
        <f>INDEX(AEO26_Table_21._Residential!$E$6:$AD$92,MATCH($A25,AEO26_Table_21._Residential!$B$6:$B$92,0),MATCH(K$4,AEO26_Table_21._Residential!$E$5:$AD$5,0))*About!$A$28*About!$B$30</f>
        <v>1871.9853476888204</v>
      </c>
      <c r="L25">
        <f>INDEX(AEO26_Table_21._Residential!$E$6:$AD$92,MATCH($A25,AEO26_Table_21._Residential!$B$6:$B$92,0),MATCH(L$4,AEO26_Table_21._Residential!$E$5:$AD$5,0))*About!$A$28*About!$B$30</f>
        <v>2676.4810977090583</v>
      </c>
      <c r="M25">
        <f>INDEX(AEO26_Table_21._Residential!$E$6:$AD$92,MATCH($A25,AEO26_Table_21._Residential!$B$6:$B$92,0),MATCH(M$4,AEO26_Table_21._Residential!$E$5:$AD$5,0))*About!$A$28*About!$B$30</f>
        <v>3506.0238808386625</v>
      </c>
      <c r="N25">
        <f>INDEX(AEO26_Table_21._Residential!$E$6:$AD$92,MATCH($A25,AEO26_Table_21._Residential!$B$6:$B$92,0),MATCH(N$4,AEO26_Table_21._Residential!$E$5:$AD$5,0))*About!$A$28*About!$B$30</f>
        <v>4152.0130332712697</v>
      </c>
      <c r="O25">
        <f>INDEX(AEO26_Table_21._Residential!$E$6:$AD$92,MATCH($A25,AEO26_Table_21._Residential!$B$6:$B$92,0),MATCH(O$4,AEO26_Table_21._Residential!$E$5:$AD$5,0))*About!$A$28*About!$B$30</f>
        <v>4961.1817372298228</v>
      </c>
      <c r="P25">
        <f>INDEX(AEO26_Table_21._Residential!$E$6:$AD$92,MATCH($A25,AEO26_Table_21._Residential!$B$6:$B$92,0),MATCH(P$4,AEO26_Table_21._Residential!$E$5:$AD$5,0))*About!$A$28*About!$B$30</f>
        <v>4970.714563263984</v>
      </c>
      <c r="Q25">
        <f>INDEX(AEO26_Table_21._Residential!$E$6:$AD$92,MATCH($A25,AEO26_Table_21._Residential!$B$6:$B$92,0),MATCH(Q$4,AEO26_Table_21._Residential!$E$5:$AD$5,0))*About!$A$28*About!$B$30</f>
        <v>4980.2473892981461</v>
      </c>
      <c r="R25">
        <f>INDEX(AEO26_Table_21._Residential!$E$6:$AD$92,MATCH($A25,AEO26_Table_21._Residential!$B$6:$B$92,0),MATCH(R$4,AEO26_Table_21._Residential!$E$5:$AD$5,0))*About!$A$28*About!$B$30</f>
        <v>4989.9671334898403</v>
      </c>
      <c r="S25">
        <f>INDEX(AEO26_Table_21._Residential!$E$6:$AD$92,MATCH($A25,AEO26_Table_21._Residential!$B$6:$B$92,0),MATCH(S$4,AEO26_Table_21._Residential!$E$5:$AD$5,0))*About!$A$28*About!$B$30</f>
        <v>4999.4999595240024</v>
      </c>
      <c r="T25">
        <f>INDEX(AEO26_Table_21._Residential!$E$6:$AD$92,MATCH($A25,AEO26_Table_21._Residential!$B$6:$B$92,0),MATCH(T$4,AEO26_Table_21._Residential!$E$5:$AD$5,0))*About!$A$28*About!$B$30</f>
        <v>5009.2197037156966</v>
      </c>
      <c r="U25">
        <f>INDEX(AEO26_Table_21._Residential!$E$6:$AD$92,MATCH($A25,AEO26_Table_21._Residential!$B$6:$B$92,0),MATCH(U$4,AEO26_Table_21._Residential!$E$5:$AD$5,0))*About!$A$28*About!$B$30</f>
        <v>5019.687120537521</v>
      </c>
      <c r="V25">
        <f>INDEX(AEO26_Table_21._Residential!$E$6:$AD$92,MATCH($A25,AEO26_Table_21._Residential!$B$6:$B$92,0),MATCH(V$4,AEO26_Table_21._Residential!$E$5:$AD$5,0))*About!$A$28*About!$B$30</f>
        <v>5031.6498826196057</v>
      </c>
      <c r="W25">
        <f>INDEX(AEO26_Table_21._Residential!$E$6:$AD$92,MATCH($A25,AEO26_Table_21._Residential!$B$6:$B$92,0),MATCH(W$4,AEO26_Table_21._Residential!$E$5:$AD$5,0))*About!$A$28*About!$B$30</f>
        <v>5046.977171537279</v>
      </c>
      <c r="X25">
        <f>INDEX(AEO26_Table_21._Residential!$E$6:$AD$92,MATCH($A25,AEO26_Table_21._Residential!$B$6:$B$92,0),MATCH(X$4,AEO26_Table_21._Residential!$E$5:$AD$5,0))*About!$A$28*About!$B$30</f>
        <v>5068.6596778110579</v>
      </c>
      <c r="Y25">
        <f>INDEX(AEO26_Table_21._Residential!$E$6:$AD$92,MATCH($A25,AEO26_Table_21._Residential!$B$6:$B$92,0),MATCH(Y$4,AEO26_Table_21._Residential!$E$5:$AD$5,0))*About!$A$28*About!$B$30</f>
        <v>5103.0526187970527</v>
      </c>
      <c r="Z25">
        <f>INDEX(AEO26_Table_21._Residential!$E$6:$AD$92,MATCH($A25,AEO26_Table_21._Residential!$B$6:$B$92,0),MATCH(Z$4,AEO26_Table_21._Residential!$E$5:$AD$5,0))*About!$A$28*About!$B$30</f>
        <v>5161.1841657896866</v>
      </c>
      <c r="AA25">
        <f>INDEX(AEO26_Table_21._Residential!$E$6:$AD$92,MATCH($A25,AEO26_Table_21._Residential!$B$6:$B$92,0),MATCH(AA$4,AEO26_Table_21._Residential!$E$5:$AD$5,0))*About!$A$28*About!$B$30</f>
        <v>5263.2414798024765</v>
      </c>
      <c r="AB25">
        <f>INDEX(AEO26_Table_21._Residential!$E$6:$AD$92,MATCH($A25,AEO26_Table_21._Residential!$B$6:$B$92,0),MATCH(AB$4,AEO26_Table_21._Residential!$E$5:$AD$5,0))*About!$A$28*About!$B$30</f>
        <v>5365.8595482878654</v>
      </c>
      <c r="AC25">
        <f>INDEX(AEO26_Table_21._Residential!$E$6:$AD$92,MATCH($A25,AEO26_Table_21._Residential!$B$6:$B$92,0),MATCH(AC$4,AEO26_Table_21._Residential!$E$5:$AD$5,0))*About!$A$28*About!$B$30</f>
        <v>5468.8514530883176</v>
      </c>
      <c r="AD25">
        <f>INDEX(AEO26_Table_21._Residential!$E$6:$AD$92,MATCH($A25,AEO26_Table_21._Residential!$B$6:$B$92,0),MATCH(AD$4,AEO26_Table_21._Residential!$E$5:$AD$5,0))*About!$A$28*About!$B$30</f>
        <v>5572.4041123613697</v>
      </c>
      <c r="AE25">
        <f>INDEX(AEO26_Table_21._Residential!$E$6:$AD$92,MATCH($A25,AEO26_Table_21._Residential!$B$6:$B$92,0),MATCH(AE$4,AEO26_Table_21._Residential!$E$5:$AD$5,0))*About!$A$28*About!$B$30</f>
        <v>5676.8913624220831</v>
      </c>
    </row>
    <row r="26" spans="1:31" x14ac:dyDescent="0.25">
      <c r="C26" t="s">
        <v>8</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row>
    <row r="27" spans="1:31" x14ac:dyDescent="0.25">
      <c r="C27" t="s">
        <v>9</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row>
    <row r="28" spans="1:31" x14ac:dyDescent="0.25">
      <c r="A28" t="s">
        <v>956</v>
      </c>
      <c r="B28" t="s">
        <v>595</v>
      </c>
      <c r="C28" t="s">
        <v>59</v>
      </c>
      <c r="D28" s="47">
        <f>AEO23_Table_21._Residential!$G$84*About!$A$28*About!$B$30</f>
        <v>13983.908119485146</v>
      </c>
      <c r="E28">
        <f>INDEX(AEO25_Table_21._Residential!$F$82:$AG$93,MATCH($B28,AEO25_Table_21._Residential!$B$82:$B$93,0),MATCH(E$4,AEO25_Table_21._Residential!$F$5:$AG$5,0))*About!$A$28*About!$B$30</f>
        <v>69051.305755686888</v>
      </c>
      <c r="F28">
        <f>INDEX(AEO26_Table_21._Residential!$E$6:$AD$92,MATCH($A28,AEO26_Table_21._Residential!$B$6:$B$92,0),MATCH(F$4,AEO26_Table_21._Residential!$E$5:$AD$5,0))*About!$A$28*About!$B$30</f>
        <v>32201.138670768236</v>
      </c>
      <c r="G28">
        <f>INDEX(AEO26_Table_21._Residential!$E$6:$AD$92,MATCH($A28,AEO26_Table_21._Residential!$B$6:$B$92,0),MATCH(G$4,AEO26_Table_21._Residential!$E$5:$AD$5,0))*About!$A$28*About!$B$30</f>
        <v>32229.924067028252</v>
      </c>
      <c r="H28">
        <f>INDEX(AEO26_Table_21._Residential!$E$6:$AD$92,MATCH($A28,AEO26_Table_21._Residential!$B$6:$B$92,0),MATCH(H$4,AEO26_Table_21._Residential!$E$5:$AD$5,0))*About!$A$28*About!$B$30</f>
        <v>32265.064680644376</v>
      </c>
      <c r="I28">
        <f>INDEX(AEO26_Table_21._Residential!$E$6:$AD$92,MATCH($A28,AEO26_Table_21._Residential!$B$6:$B$92,0),MATCH(I$4,AEO26_Table_21._Residential!$E$5:$AD$5,0))*About!$A$28*About!$B$30</f>
        <v>32299.831457945438</v>
      </c>
      <c r="J28">
        <f>INDEX(AEO26_Table_21._Residential!$E$6:$AD$92,MATCH($A28,AEO26_Table_21._Residential!$B$6:$B$92,0),MATCH(J$4,AEO26_Table_21._Residential!$E$5:$AD$5,0))*About!$A$28*About!$B$30</f>
        <v>32356.093823362749</v>
      </c>
      <c r="K28">
        <f>INDEX(AEO26_Table_21._Residential!$E$6:$AD$92,MATCH($A28,AEO26_Table_21._Residential!$B$6:$B$92,0),MATCH(K$4,AEO26_Table_21._Residential!$E$5:$AD$5,0))*About!$A$28*About!$B$30</f>
        <v>32453.665101594754</v>
      </c>
      <c r="L28">
        <f>INDEX(AEO26_Table_21._Residential!$E$6:$AD$92,MATCH($A28,AEO26_Table_21._Residential!$B$6:$B$92,0),MATCH(L$4,AEO26_Table_21._Residential!$E$5:$AD$5,0))*About!$A$28*About!$B$30</f>
        <v>32630.67659677811</v>
      </c>
      <c r="M28">
        <f>INDEX(AEO26_Table_21._Residential!$E$6:$AD$92,MATCH($A28,AEO26_Table_21._Residential!$B$6:$B$92,0),MATCH(M$4,AEO26_Table_21._Residential!$E$5:$AD$5,0))*About!$A$28*About!$B$30</f>
        <v>32906.007042823607</v>
      </c>
      <c r="N28">
        <f>INDEX(AEO26_Table_21._Residential!$E$6:$AD$92,MATCH($A28,AEO26_Table_21._Residential!$B$6:$B$92,0),MATCH(N$4,AEO26_Table_21._Residential!$E$5:$AD$5,0))*About!$A$28*About!$B$30</f>
        <v>33329.002833319842</v>
      </c>
      <c r="O28">
        <f>INDEX(AEO26_Table_21._Residential!$E$6:$AD$92,MATCH($A28,AEO26_Table_21._Residential!$B$6:$B$92,0),MATCH(O$4,AEO26_Table_21._Residential!$E$5:$AD$5,0))*About!$A$28*About!$B$30</f>
        <v>33910.131385088636</v>
      </c>
      <c r="P28">
        <f>INDEX(AEO26_Table_21._Residential!$E$6:$AD$92,MATCH($A28,AEO26_Table_21._Residential!$B$6:$B$92,0),MATCH(P$4,AEO26_Table_21._Residential!$E$5:$AD$5,0))*About!$A$28*About!$B$30</f>
        <v>34603.410831376998</v>
      </c>
      <c r="Q28">
        <f>INDEX(AEO26_Table_21._Residential!$E$6:$AD$92,MATCH($A28,AEO26_Table_21._Residential!$B$6:$B$92,0),MATCH(Q$4,AEO26_Table_21._Residential!$E$5:$AD$5,0))*About!$A$28*About!$B$30</f>
        <v>35380.429612239946</v>
      </c>
      <c r="R28">
        <f>INDEX(AEO26_Table_21._Residential!$E$6:$AD$92,MATCH($A28,AEO26_Table_21._Residential!$B$6:$B$92,0),MATCH(R$4,AEO26_Table_21._Residential!$E$5:$AD$5,0))*About!$A$28*About!$B$30</f>
        <v>36240.813891362428</v>
      </c>
      <c r="S28">
        <f>INDEX(AEO26_Table_21._Residential!$E$6:$AD$92,MATCH($A28,AEO26_Table_21._Residential!$B$6:$B$92,0),MATCH(S$4,AEO26_Table_21._Residential!$E$5:$AD$5,0))*About!$A$28*About!$B$30</f>
        <v>37143.815510402332</v>
      </c>
      <c r="T28">
        <f>INDEX(AEO26_Table_21._Residential!$E$6:$AD$92,MATCH($A28,AEO26_Table_21._Residential!$B$6:$B$92,0),MATCH(T$4,AEO26_Table_21._Residential!$E$5:$AD$5,0))*About!$A$28*About!$B$30</f>
        <v>38069.247308346145</v>
      </c>
      <c r="U28">
        <f>INDEX(AEO26_Table_21._Residential!$E$6:$AD$92,MATCH($A28,AEO26_Table_21._Residential!$B$6:$B$92,0),MATCH(U$4,AEO26_Table_21._Residential!$E$5:$AD$5,0))*About!$A$28*About!$B$30</f>
        <v>39049.819962762078</v>
      </c>
      <c r="V28">
        <f>INDEX(AEO26_Table_21._Residential!$E$6:$AD$92,MATCH($A28,AEO26_Table_21._Residential!$B$6:$B$92,0),MATCH(V$4,AEO26_Table_21._Residential!$E$5:$AD$5,0))*About!$A$28*About!$B$30</f>
        <v>40142.730429855095</v>
      </c>
      <c r="W28">
        <f>INDEX(AEO26_Table_21._Residential!$E$6:$AD$92,MATCH($A28,AEO26_Table_21._Residential!$B$6:$B$92,0),MATCH(W$4,AEO26_Table_21._Residential!$E$5:$AD$5,0))*About!$A$28*About!$B$30</f>
        <v>41309.286651015951</v>
      </c>
      <c r="X28">
        <f>INDEX(AEO26_Table_21._Residential!$E$6:$AD$92,MATCH($A28,AEO26_Table_21._Residential!$B$6:$B$92,0),MATCH(X$4,AEO26_Table_21._Residential!$E$5:$AD$5,0))*About!$A$28*About!$B$30</f>
        <v>42512.85266736825</v>
      </c>
      <c r="Y28">
        <f>INDEX(AEO26_Table_21._Residential!$E$6:$AD$92,MATCH($A28,AEO26_Table_21._Residential!$B$6:$B$92,0),MATCH(Y$4,AEO26_Table_21._Residential!$E$5:$AD$5,0))*About!$A$28*About!$B$30</f>
        <v>43745.3909981381</v>
      </c>
      <c r="Z28">
        <f>INDEX(AEO26_Table_21._Residential!$E$6:$AD$92,MATCH($A28,AEO26_Table_21._Residential!$B$6:$B$92,0),MATCH(Z$4,AEO26_Table_21._Residential!$E$5:$AD$5,0))*About!$A$28*About!$B$30</f>
        <v>45017.182141989797</v>
      </c>
      <c r="AA28">
        <f>INDEX(AEO26_Table_21._Residential!$E$6:$AD$92,MATCH($A28,AEO26_Table_21._Residential!$B$6:$B$92,0),MATCH(AA$4,AEO26_Table_21._Residential!$E$5:$AD$5,0))*About!$A$28*About!$B$30</f>
        <v>46395.329717477536</v>
      </c>
      <c r="AB28">
        <f>INDEX(AEO26_Table_21._Residential!$E$6:$AD$92,MATCH($A28,AEO26_Table_21._Residential!$B$6:$B$92,0),MATCH(AB$4,AEO26_Table_21._Residential!$E$5:$AD$5,0))*About!$A$28*About!$B$30</f>
        <v>47826.188213389454</v>
      </c>
      <c r="AC28">
        <f>INDEX(AEO26_Table_21._Residential!$E$6:$AD$92,MATCH($A28,AEO26_Table_21._Residential!$B$6:$B$92,0),MATCH(AC$4,AEO26_Table_21._Residential!$E$5:$AD$5,0))*About!$A$28*About!$B$30</f>
        <v>49454.432283655784</v>
      </c>
      <c r="AD28">
        <f>INDEX(AEO26_Table_21._Residential!$E$6:$AD$92,MATCH($A28,AEO26_Table_21._Residential!$B$6:$B$92,0),MATCH(AD$4,AEO26_Table_21._Residential!$E$5:$AD$5,0))*About!$A$28*About!$B$30</f>
        <v>51100.994333360315</v>
      </c>
      <c r="AE28">
        <f>INDEX(AEO26_Table_21._Residential!$E$6:$AD$92,MATCH($A28,AEO26_Table_21._Residential!$B$6:$B$92,0),MATCH(AE$4,AEO26_Table_21._Residential!$E$5:$AD$5,0))*About!$A$28*About!$B$30</f>
        <v>52764.379017242769</v>
      </c>
    </row>
    <row r="29" spans="1:31" x14ac:dyDescent="0.25">
      <c r="A29" t="s">
        <v>954</v>
      </c>
      <c r="B29" t="s">
        <v>597</v>
      </c>
      <c r="C29" t="s">
        <v>10</v>
      </c>
      <c r="D29" s="47">
        <f>AEO23_Table_21._Residential!$G$83*About!$A$28*About!$B$30</f>
        <v>8061027.414959929</v>
      </c>
      <c r="E29">
        <f>INDEX(AEO25_Table_21._Residential!$F$82:$AG$93,MATCH($B29,AEO25_Table_21._Residential!$B$82:$B$93,0),MATCH(E$4,AEO25_Table_21._Residential!$F$5:$AG$5,0))*About!$A$28*About!$B$30</f>
        <v>11719339.313203271</v>
      </c>
      <c r="F29">
        <f>INDEX(AEO26_Table_21._Residential!$E$6:$AD$92,MATCH($A29,AEO26_Table_21._Residential!$B$6:$B$92,0),MATCH(F$4,AEO26_Table_21._Residential!$E$5:$AD$5,0))*About!$A$28*About!$B$30</f>
        <v>12292355.990771472</v>
      </c>
      <c r="G29">
        <f>INDEX(AEO26_Table_21._Residential!$E$6:$AD$92,MATCH($A29,AEO26_Table_21._Residential!$B$6:$B$92,0),MATCH(G$4,AEO26_Table_21._Residential!$E$5:$AD$5,0))*About!$A$28*About!$B$30</f>
        <v>12993594.225289404</v>
      </c>
      <c r="H29">
        <f>INDEX(AEO26_Table_21._Residential!$E$6:$AD$92,MATCH($A29,AEO26_Table_21._Residential!$B$6:$B$92,0),MATCH(H$4,AEO26_Table_21._Residential!$E$5:$AD$5,0))*About!$A$28*About!$B$30</f>
        <v>13785139.911519468</v>
      </c>
      <c r="I29">
        <f>INDEX(AEO26_Table_21._Residential!$E$6:$AD$92,MATCH($A29,AEO26_Table_21._Residential!$B$6:$B$92,0),MATCH(I$4,AEO26_Table_21._Residential!$E$5:$AD$5,0))*About!$A$28*About!$B$30</f>
        <v>14601594.872176796</v>
      </c>
      <c r="J29">
        <f>INDEX(AEO26_Table_21._Residential!$E$6:$AD$92,MATCH($A29,AEO26_Table_21._Residential!$B$6:$B$92,0),MATCH(J$4,AEO26_Table_21._Residential!$E$5:$AD$5,0))*About!$A$28*About!$B$30</f>
        <v>15362507.28924148</v>
      </c>
      <c r="K29">
        <f>INDEX(AEO26_Table_21._Residential!$E$6:$AD$92,MATCH($A29,AEO26_Table_21._Residential!$B$6:$B$92,0),MATCH(K$4,AEO26_Table_21._Residential!$E$5:$AD$5,0))*About!$A$28*About!$B$30</f>
        <v>16161790.826438921</v>
      </c>
      <c r="L29">
        <f>INDEX(AEO26_Table_21._Residential!$E$6:$AD$92,MATCH($A29,AEO26_Table_21._Residential!$B$6:$B$92,0),MATCH(L$4,AEO26_Table_21._Residential!$E$5:$AD$5,0))*About!$A$28*About!$B$30</f>
        <v>17026956.098194771</v>
      </c>
      <c r="M29">
        <f>INDEX(AEO26_Table_21._Residential!$E$6:$AD$92,MATCH($A29,AEO26_Table_21._Residential!$B$6:$B$92,0),MATCH(M$4,AEO26_Table_21._Residential!$E$5:$AD$5,0))*About!$A$28*About!$B$30</f>
        <v>17888332.351979274</v>
      </c>
      <c r="N29">
        <f>INDEX(AEO26_Table_21._Residential!$E$6:$AD$92,MATCH($A29,AEO26_Table_21._Residential!$B$6:$B$92,0),MATCH(N$4,AEO26_Table_21._Residential!$E$5:$AD$5,0))*About!$A$28*About!$B$30</f>
        <v>18790904.993847646</v>
      </c>
      <c r="O29">
        <f>INDEX(AEO26_Table_21._Residential!$E$6:$AD$92,MATCH($A29,AEO26_Table_21._Residential!$B$6:$B$92,0),MATCH(O$4,AEO26_Table_21._Residential!$E$5:$AD$5,0))*About!$A$28*About!$B$30</f>
        <v>19747345.953371648</v>
      </c>
      <c r="P29">
        <f>INDEX(AEO26_Table_21._Residential!$E$6:$AD$92,MATCH($A29,AEO26_Table_21._Residential!$B$6:$B$92,0),MATCH(P$4,AEO26_Table_21._Residential!$E$5:$AD$5,0))*About!$A$28*About!$B$30</f>
        <v>20767104.691087183</v>
      </c>
      <c r="Q29">
        <f>INDEX(AEO26_Table_21._Residential!$E$6:$AD$92,MATCH($A29,AEO26_Table_21._Residential!$B$6:$B$92,0),MATCH(Q$4,AEO26_Table_21._Residential!$E$5:$AD$5,0))*About!$A$28*About!$B$30</f>
        <v>21835384.017971344</v>
      </c>
      <c r="R29">
        <f>INDEX(AEO26_Table_21._Residential!$E$6:$AD$92,MATCH($A29,AEO26_Table_21._Residential!$B$6:$B$92,0),MATCH(R$4,AEO26_Table_21._Residential!$E$5:$AD$5,0))*About!$A$28*About!$B$30</f>
        <v>22979681.651096895</v>
      </c>
      <c r="S29">
        <f>INDEX(AEO26_Table_21._Residential!$E$6:$AD$92,MATCH($A29,AEO26_Table_21._Residential!$B$6:$B$92,0),MATCH(S$4,AEO26_Table_21._Residential!$E$5:$AD$5,0))*About!$A$28*About!$B$30</f>
        <v>24177830.592325747</v>
      </c>
      <c r="T29">
        <f>INDEX(AEO26_Table_21._Residential!$E$6:$AD$92,MATCH($A29,AEO26_Table_21._Residential!$B$6:$B$92,0),MATCH(T$4,AEO26_Table_21._Residential!$E$5:$AD$5,0))*About!$A$28*About!$B$30</f>
        <v>25440161.247470248</v>
      </c>
      <c r="U29">
        <f>INDEX(AEO26_Table_21._Residential!$E$6:$AD$92,MATCH($A29,AEO26_Table_21._Residential!$B$6:$B$92,0),MATCH(U$4,AEO26_Table_21._Residential!$E$5:$AD$5,0))*About!$A$28*About!$B$30</f>
        <v>26746791.505949967</v>
      </c>
      <c r="V29">
        <f>INDEX(AEO26_Table_21._Residential!$E$6:$AD$92,MATCH($A29,AEO26_Table_21._Residential!$B$6:$B$92,0),MATCH(V$4,AEO26_Table_21._Residential!$E$5:$AD$5,0))*About!$A$28*About!$B$30</f>
        <v>28105034.166842062</v>
      </c>
      <c r="W29">
        <f>INDEX(AEO26_Table_21._Residential!$E$6:$AD$92,MATCH($A29,AEO26_Table_21._Residential!$B$6:$B$92,0),MATCH(W$4,AEO26_Table_21._Residential!$E$5:$AD$5,0))*About!$A$28*About!$B$30</f>
        <v>29501381.589492433</v>
      </c>
      <c r="X29">
        <f>INDEX(AEO26_Table_21._Residential!$E$6:$AD$92,MATCH($A29,AEO26_Table_21._Residential!$B$6:$B$92,0),MATCH(X$4,AEO26_Table_21._Residential!$E$5:$AD$5,0))*About!$A$28*About!$B$30</f>
        <v>30940861.872338701</v>
      </c>
      <c r="Y29">
        <f>INDEX(AEO26_Table_21._Residential!$E$6:$AD$92,MATCH($A29,AEO26_Table_21._Residential!$B$6:$B$92,0),MATCH(Y$4,AEO26_Table_21._Residential!$E$5:$AD$5,0))*About!$A$28*About!$B$30</f>
        <v>32436055.915809922</v>
      </c>
      <c r="Z29">
        <f>INDEX(AEO26_Table_21._Residential!$E$6:$AD$92,MATCH($A29,AEO26_Table_21._Residential!$B$6:$B$92,0),MATCH(Z$4,AEO26_Table_21._Residential!$E$5:$AD$5,0))*About!$A$28*About!$B$30</f>
        <v>33964973.73326318</v>
      </c>
      <c r="AA29">
        <f>INDEX(AEO26_Table_21._Residential!$E$6:$AD$92,MATCH($A29,AEO26_Table_21._Residential!$B$6:$B$92,0),MATCH(AA$4,AEO26_Table_21._Residential!$E$5:$AD$5,0))*About!$A$28*About!$B$30</f>
        <v>35538681.814215168</v>
      </c>
      <c r="AB29">
        <f>INDEX(AEO26_Table_21._Residential!$E$6:$AD$92,MATCH($A29,AEO26_Table_21._Residential!$B$6:$B$92,0),MATCH(AB$4,AEO26_Table_21._Residential!$E$5:$AD$5,0))*About!$A$28*About!$B$30</f>
        <v>37158454.753582127</v>
      </c>
      <c r="AC29">
        <f>INDEX(AEO26_Table_21._Residential!$E$6:$AD$92,MATCH($A29,AEO26_Table_21._Residential!$B$6:$B$92,0),MATCH(AC$4,AEO26_Table_21._Residential!$E$5:$AD$5,0))*About!$A$28*About!$B$30</f>
        <v>38845851.87857201</v>
      </c>
      <c r="AD29">
        <f>INDEX(AEO26_Table_21._Residential!$E$6:$AD$92,MATCH($A29,AEO26_Table_21._Residential!$B$6:$B$92,0),MATCH(AD$4,AEO26_Table_21._Residential!$E$5:$AD$5,0))*About!$A$28*About!$B$30</f>
        <v>40559959.60827329</v>
      </c>
      <c r="AE29">
        <f>INDEX(AEO26_Table_21._Residential!$E$6:$AD$92,MATCH($A29,AEO26_Table_21._Residential!$B$6:$B$92,0),MATCH(AE$4,AEO26_Table_21._Residential!$E$5:$AD$5,0))*About!$A$28*About!$B$30</f>
        <v>42335619.300331905</v>
      </c>
    </row>
    <row r="30" spans="1:31" x14ac:dyDescent="0.25">
      <c r="C30" t="s">
        <v>11</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row>
    <row r="31" spans="1:31" x14ac:dyDescent="0.25">
      <c r="C31" t="s">
        <v>12</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row>
    <row r="32" spans="1:31" x14ac:dyDescent="0.25">
      <c r="C32" t="s">
        <v>13</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row>
    <row r="33" spans="1:44" x14ac:dyDescent="0.25">
      <c r="C33" t="s">
        <v>14</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row>
    <row r="34" spans="1:44" x14ac:dyDescent="0.25">
      <c r="C34" t="s">
        <v>15</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row>
    <row r="35" spans="1:44" x14ac:dyDescent="0.25">
      <c r="C35" t="s">
        <v>57</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row>
    <row r="36" spans="1:44" x14ac:dyDescent="0.25">
      <c r="C36" t="s">
        <v>60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row>
    <row r="37" spans="1:44" x14ac:dyDescent="0.25">
      <c r="C37" t="s">
        <v>158</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row>
    <row r="38" spans="1:44" x14ac:dyDescent="0.25">
      <c r="C38" t="s">
        <v>159</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row>
    <row r="39" spans="1:44" x14ac:dyDescent="0.25">
      <c r="C39" t="s">
        <v>160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row>
    <row r="40" spans="1:44" x14ac:dyDescent="0.25">
      <c r="A40" s="49"/>
      <c r="B40" s="49"/>
      <c r="C40" s="50" t="s">
        <v>175</v>
      </c>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row>
    <row r="41" spans="1:44" x14ac:dyDescent="0.25">
      <c r="C41" s="1" t="s">
        <v>168</v>
      </c>
    </row>
    <row r="42" spans="1:44" x14ac:dyDescent="0.25">
      <c r="C42" s="1" t="s">
        <v>161</v>
      </c>
      <c r="D42">
        <v>2023</v>
      </c>
      <c r="E42">
        <v>2024</v>
      </c>
      <c r="F42">
        <v>2025</v>
      </c>
      <c r="G42">
        <v>2026</v>
      </c>
      <c r="H42">
        <v>2027</v>
      </c>
      <c r="I42">
        <v>2028</v>
      </c>
      <c r="J42">
        <v>2029</v>
      </c>
      <c r="K42">
        <v>2030</v>
      </c>
      <c r="L42">
        <v>2031</v>
      </c>
      <c r="M42">
        <v>2032</v>
      </c>
      <c r="N42">
        <v>2033</v>
      </c>
      <c r="O42">
        <v>2034</v>
      </c>
      <c r="P42">
        <v>2035</v>
      </c>
      <c r="Q42">
        <v>2036</v>
      </c>
      <c r="R42">
        <v>2037</v>
      </c>
      <c r="S42">
        <v>2038</v>
      </c>
      <c r="T42">
        <v>2039</v>
      </c>
      <c r="U42">
        <v>2040</v>
      </c>
      <c r="V42">
        <v>2041</v>
      </c>
      <c r="W42">
        <v>2042</v>
      </c>
      <c r="X42">
        <v>2043</v>
      </c>
      <c r="Y42">
        <v>2044</v>
      </c>
      <c r="Z42">
        <v>2045</v>
      </c>
      <c r="AA42">
        <v>2046</v>
      </c>
      <c r="AB42">
        <v>2047</v>
      </c>
      <c r="AC42">
        <v>2048</v>
      </c>
      <c r="AD42">
        <v>2049</v>
      </c>
      <c r="AE42">
        <v>2050</v>
      </c>
    </row>
    <row r="43" spans="1:44" x14ac:dyDescent="0.25">
      <c r="C43" t="s">
        <v>58</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row>
    <row r="44" spans="1:44" x14ac:dyDescent="0.25">
      <c r="A44" t="s">
        <v>944</v>
      </c>
      <c r="B44" t="s">
        <v>607</v>
      </c>
      <c r="C44" t="s">
        <v>7</v>
      </c>
      <c r="D44" s="47">
        <v>0</v>
      </c>
      <c r="E44">
        <f>INDEX(AEO25_Table_21._Residential!$F$77:$AG$80,MATCH($B44,AEO25_Table_21._Residential!$B$77:$B$80,0),MATCH(E$42,AEO25_Table_21._Residential!$F$5:$AG$5,0))*About!$A$27*About!$B$31</f>
        <v>1.4025661782562939</v>
      </c>
      <c r="F44">
        <f>INDEX(AEO26_Table_21._Residential!$E$6:$AD$92,MATCH($A44,AEO26_Table_21._Residential!$B$6:$B$92,0),MATCH(F$42,AEO26_Table_21._Residential!$E$5:$AD$5,0))*About!$A$27*About!$B$31</f>
        <v>0.41060633044604544</v>
      </c>
      <c r="G44">
        <f>INDEX(AEO26_Table_21._Residential!$E$6:$AD$92,MATCH($A44,AEO26_Table_21._Residential!$B$6:$B$92,0),MATCH(G$42,AEO26_Table_21._Residential!$E$5:$AD$5,0))*About!$A$27*About!$B$31</f>
        <v>0.89845543592649557</v>
      </c>
      <c r="H44">
        <f>INDEX(AEO26_Table_21._Residential!$E$6:$AD$92,MATCH($A44,AEO26_Table_21._Residential!$B$6:$B$92,0),MATCH(H$42,AEO26_Table_21._Residential!$E$5:$AD$5,0))*About!$A$27*About!$B$31</f>
        <v>1.3732952319274669</v>
      </c>
      <c r="I44">
        <f>INDEX(AEO26_Table_21._Residential!$E$6:$AD$92,MATCH($A44,AEO26_Table_21._Residential!$B$6:$B$92,0),MATCH(I$42,AEO26_Table_21._Residential!$E$5:$AD$5,0))*About!$A$27*About!$B$31</f>
        <v>1.3838652958795432</v>
      </c>
      <c r="J44">
        <f>INDEX(AEO26_Table_21._Residential!$E$6:$AD$92,MATCH($A44,AEO26_Table_21._Residential!$B$6:$B$92,0),MATCH(J$42,AEO26_Table_21._Residential!$E$5:$AD$5,0))*About!$A$27*About!$B$31</f>
        <v>1.3944353598316197</v>
      </c>
      <c r="K44">
        <f>INDEX(AEO26_Table_21._Residential!$E$6:$AD$92,MATCH($A44,AEO26_Table_21._Residential!$B$6:$B$92,0),MATCH(K$42,AEO26_Table_21._Residential!$E$5:$AD$5,0))*About!$A$27*About!$B$31</f>
        <v>2.0562839796000971</v>
      </c>
      <c r="L44">
        <f>INDEX(AEO26_Table_21._Residential!$E$6:$AD$92,MATCH($A44,AEO26_Table_21._Residential!$B$6:$B$92,0),MATCH(L$42,AEO26_Table_21._Residential!$E$5:$AD$5,0))*About!$A$27*About!$B$31</f>
        <v>2.9401039423621791</v>
      </c>
      <c r="M44">
        <f>INDEX(AEO26_Table_21._Residential!$E$6:$AD$92,MATCH($A44,AEO26_Table_21._Residential!$B$6:$B$92,0),MATCH(M$42,AEO26_Table_21._Residential!$E$5:$AD$5,0))*About!$A$27*About!$B$31</f>
        <v>3.8515686877681534</v>
      </c>
      <c r="N44">
        <f>INDEX(AEO26_Table_21._Residential!$E$6:$AD$92,MATCH($A44,AEO26_Table_21._Residential!$B$6:$B$92,0),MATCH(N$42,AEO26_Table_21._Residential!$E$5:$AD$5,0))*About!$A$27*About!$B$31</f>
        <v>4.5605760543997409</v>
      </c>
      <c r="O44">
        <f>INDEX(AEO26_Table_21._Residential!$E$6:$AD$92,MATCH($A44,AEO26_Table_21._Residential!$B$6:$B$92,0),MATCH(O$42,AEO26_Table_21._Residential!$E$5:$AD$5,0))*About!$A$27*About!$B$31</f>
        <v>5.449274508216627</v>
      </c>
      <c r="P44">
        <f>INDEX(AEO26_Table_21._Residential!$E$6:$AD$92,MATCH($A44,AEO26_Table_21._Residential!$B$6:$B$92,0),MATCH(P$42,AEO26_Table_21._Residential!$E$5:$AD$5,0))*About!$A$27*About!$B$31</f>
        <v>5.459844572168703</v>
      </c>
      <c r="Q44">
        <f>INDEX(AEO26_Table_21._Residential!$E$6:$AD$92,MATCH($A44,AEO26_Table_21._Residential!$B$6:$B$92,0),MATCH(Q$42,AEO26_Table_21._Residential!$E$5:$AD$5,0))*About!$A$27*About!$B$31</f>
        <v>5.4704146361207799</v>
      </c>
      <c r="R44">
        <f>INDEX(AEO26_Table_21._Residential!$E$6:$AD$92,MATCH($A44,AEO26_Table_21._Residential!$B$6:$B$92,0),MATCH(R$42,AEO26_Table_21._Residential!$E$5:$AD$5,0))*About!$A$27*About!$B$31</f>
        <v>5.480984700072856</v>
      </c>
      <c r="S44">
        <f>INDEX(AEO26_Table_21._Residential!$E$6:$AD$92,MATCH($A44,AEO26_Table_21._Residential!$B$6:$B$92,0),MATCH(S$42,AEO26_Table_21._Residential!$E$5:$AD$5,0))*About!$A$27*About!$B$31</f>
        <v>5.4915547640249329</v>
      </c>
      <c r="T44">
        <f>INDEX(AEO26_Table_21._Residential!$E$6:$AD$92,MATCH($A44,AEO26_Table_21._Residential!$B$6:$B$92,0),MATCH(T$42,AEO26_Table_21._Residential!$E$5:$AD$5,0))*About!$A$27*About!$B$31</f>
        <v>5.5029379098194759</v>
      </c>
      <c r="U44">
        <f>INDEX(AEO26_Table_21._Residential!$E$6:$AD$92,MATCH($A44,AEO26_Table_21._Residential!$B$6:$B$92,0),MATCH(U$42,AEO26_Table_21._Residential!$E$5:$AD$5,0))*About!$A$27*About!$B$31</f>
        <v>5.5143210556140208</v>
      </c>
      <c r="V44">
        <f>INDEX(AEO26_Table_21._Residential!$E$6:$AD$92,MATCH($A44,AEO26_Table_21._Residential!$B$6:$B$92,0),MATCH(V$42,AEO26_Table_21._Residential!$E$5:$AD$5,0))*About!$A$27*About!$B$31</f>
        <v>5.5273303650934995</v>
      </c>
      <c r="W44">
        <f>INDEX(AEO26_Table_21._Residential!$E$6:$AD$92,MATCH($A44,AEO26_Table_21._Residential!$B$6:$B$92,0),MATCH(W$42,AEO26_Table_21._Residential!$E$5:$AD$5,0))*About!$A$27*About!$B$31</f>
        <v>5.5444050837853149</v>
      </c>
      <c r="X44">
        <f>INDEX(AEO26_Table_21._Residential!$E$6:$AD$92,MATCH($A44,AEO26_Table_21._Residential!$B$6:$B$92,0),MATCH(X$42,AEO26_Table_21._Residential!$E$5:$AD$5,0))*About!$A$27*About!$B$31</f>
        <v>5.5679844572168697</v>
      </c>
      <c r="Y44">
        <f>INDEX(AEO26_Table_21._Residential!$E$6:$AD$92,MATCH($A44,AEO26_Table_21._Residential!$B$6:$B$92,0),MATCH(Y$42,AEO26_Table_21._Residential!$E$5:$AD$5,0))*About!$A$27*About!$B$31</f>
        <v>5.6053862219703712</v>
      </c>
      <c r="Z44">
        <f>INDEX(AEO26_Table_21._Residential!$E$6:$AD$92,MATCH($A44,AEO26_Table_21._Residential!$B$6:$B$92,0),MATCH(Z$42,AEO26_Table_21._Residential!$E$5:$AD$5,0))*About!$A$27*About!$B$31</f>
        <v>5.6696196875252971</v>
      </c>
      <c r="AA44">
        <f>INDEX(AEO26_Table_21._Residential!$E$6:$AD$92,MATCH($A44,AEO26_Table_21._Residential!$B$6:$B$92,0),MATCH(AA$42,AEO26_Table_21._Residential!$E$5:$AD$5,0))*About!$A$27*About!$B$31</f>
        <v>5.7818249817858005</v>
      </c>
      <c r="AB44">
        <f>INDEX(AEO26_Table_21._Residential!$E$6:$AD$92,MATCH($A44,AEO26_Table_21._Residential!$B$6:$B$92,0),MATCH(AB$42,AEO26_Table_21._Residential!$E$5:$AD$5,0))*About!$A$27*About!$B$31</f>
        <v>5.8940302760463048</v>
      </c>
      <c r="AC44">
        <f>INDEX(AEO26_Table_21._Residential!$E$6:$AD$92,MATCH($A44,AEO26_Table_21._Residential!$B$6:$B$92,0),MATCH(AC$42,AEO26_Table_21._Residential!$E$5:$AD$5,0))*About!$A$27*About!$B$31</f>
        <v>6.0070486521492752</v>
      </c>
      <c r="AD44">
        <f>INDEX(AEO26_Table_21._Residential!$E$6:$AD$92,MATCH($A44,AEO26_Table_21._Residential!$B$6:$B$92,0),MATCH(AD$42,AEO26_Table_21._Residential!$E$5:$AD$5,0))*About!$A$27*About!$B$31</f>
        <v>6.1208801100947134</v>
      </c>
      <c r="AE44">
        <f>INDEX(AEO26_Table_21._Residential!$E$6:$AD$92,MATCH($A44,AEO26_Table_21._Residential!$B$6:$B$92,0),MATCH(AE$42,AEO26_Table_21._Residential!$E$5:$AD$5,0))*About!$A$27*About!$B$31</f>
        <v>6.2355246498826196</v>
      </c>
    </row>
    <row r="45" spans="1:44" x14ac:dyDescent="0.25">
      <c r="C45" t="s">
        <v>8</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row>
    <row r="46" spans="1:44" x14ac:dyDescent="0.25">
      <c r="C46" t="s">
        <v>9</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row>
    <row r="47" spans="1:44" x14ac:dyDescent="0.25">
      <c r="A47" t="s">
        <v>948</v>
      </c>
      <c r="B47" t="s">
        <v>603</v>
      </c>
      <c r="C47" t="s">
        <v>59</v>
      </c>
      <c r="D47" s="47">
        <f>AEO23_Table_21._Residential!$F$79*About!$A$27*About!$B$31</f>
        <v>51.58841674087266</v>
      </c>
      <c r="E47">
        <f>INDEX(AEO25_Table_21._Residential!$F$77:$AG$80,MATCH($B47,AEO25_Table_21._Residential!$B$77:$B$80,0),MATCH(E$42,AEO25_Table_21._Residential!$F$5:$AG$5,0))*About!$A$27*About!$B$31</f>
        <v>250.57474912976602</v>
      </c>
      <c r="F47">
        <f>INDEX(AEO26_Table_21._Residential!$E$6:$AD$92,MATCH($A47,AEO26_Table_21._Residential!$B$6:$B$92,0),MATCH(F$42,AEO26_Table_21._Residential!$E$5:$AD$5,0))*About!$A$27*About!$B$31</f>
        <v>131.09481162470655</v>
      </c>
      <c r="G47">
        <f>INDEX(AEO26_Table_21._Residential!$E$6:$AD$92,MATCH($A47,AEO26_Table_21._Residential!$B$6:$B$92,0),MATCH(G$42,AEO26_Table_21._Residential!$E$5:$AD$5,0))*About!$A$27*About!$B$31</f>
        <v>131.20376459159718</v>
      </c>
      <c r="H47">
        <f>INDEX(AEO26_Table_21._Residential!$E$6:$AD$92,MATCH($A47,AEO26_Table_21._Residential!$B$6:$B$92,0),MATCH(H$42,AEO26_Table_21._Residential!$E$5:$AD$5,0))*About!$A$27*About!$B$31</f>
        <v>131.33711001376184</v>
      </c>
      <c r="I47">
        <f>INDEX(AEO26_Table_21._Residential!$E$6:$AD$92,MATCH($A47,AEO26_Table_21._Residential!$B$6:$B$92,0),MATCH(I$42,AEO26_Table_21._Residential!$E$5:$AD$5,0))*About!$A$27*About!$B$31</f>
        <v>131.46882927224155</v>
      </c>
      <c r="J47">
        <f>INDEX(AEO26_Table_21._Residential!$E$6:$AD$92,MATCH($A47,AEO26_Table_21._Residential!$B$6:$B$92,0),MATCH(J$42,AEO26_Table_21._Residential!$E$5:$AD$5,0))*About!$A$27*About!$B$31</f>
        <v>131.68185671496801</v>
      </c>
      <c r="K47">
        <f>INDEX(AEO26_Table_21._Residential!$E$6:$AD$92,MATCH($A47,AEO26_Table_21._Residential!$B$6:$B$92,0),MATCH(K$42,AEO26_Table_21._Residential!$E$5:$AD$5,0))*About!$A$27*About!$B$31</f>
        <v>132.05262203513317</v>
      </c>
      <c r="L47">
        <f>INDEX(AEO26_Table_21._Residential!$E$6:$AD$92,MATCH($A47,AEO26_Table_21._Residential!$B$6:$B$92,0),MATCH(L$42,AEO26_Table_21._Residential!$E$5:$AD$5,0))*About!$A$27*About!$B$31</f>
        <v>132.72666688253864</v>
      </c>
      <c r="M47">
        <f>INDEX(AEO26_Table_21._Residential!$E$6:$AD$92,MATCH($A47,AEO26_Table_21._Residential!$B$6:$B$92,0),MATCH(M$42,AEO26_Table_21._Residential!$E$5:$AD$5,0))*About!$A$27*About!$B$31</f>
        <v>133.77960786853396</v>
      </c>
      <c r="N47">
        <f>INDEX(AEO26_Table_21._Residential!$E$6:$AD$92,MATCH($A47,AEO26_Table_21._Residential!$B$6:$B$92,0),MATCH(N$42,AEO26_Table_21._Residential!$E$5:$AD$5,0))*About!$A$27*About!$B$31</f>
        <v>135.40658463531125</v>
      </c>
      <c r="O47">
        <f>INDEX(AEO26_Table_21._Residential!$E$6:$AD$92,MATCH($A47,AEO26_Table_21._Residential!$B$6:$B$92,0),MATCH(O$42,AEO26_Table_21._Residential!$E$5:$AD$5,0))*About!$A$27*About!$B$31</f>
        <v>137.65150360236379</v>
      </c>
      <c r="P47">
        <f>INDEX(AEO26_Table_21._Residential!$E$6:$AD$92,MATCH($A47,AEO26_Table_21._Residential!$B$6:$B$92,0),MATCH(P$42,AEO26_Table_21._Residential!$E$5:$AD$5,0))*About!$A$27*About!$B$31</f>
        <v>140.33792600987613</v>
      </c>
      <c r="Q47">
        <f>INDEX(AEO26_Table_21._Residential!$E$6:$AD$92,MATCH($A47,AEO26_Table_21._Residential!$B$6:$B$92,0),MATCH(Q$42,AEO26_Table_21._Residential!$E$5:$AD$5,0))*About!$A$27*About!$B$31</f>
        <v>143.35527272727273</v>
      </c>
      <c r="R47">
        <f>INDEX(AEO26_Table_21._Residential!$E$6:$AD$92,MATCH($A47,AEO26_Table_21._Residential!$B$6:$B$92,0),MATCH(R$42,AEO26_Table_21._Residential!$E$5:$AD$5,0))*About!$A$27*About!$B$31</f>
        <v>146.70191759086862</v>
      </c>
      <c r="S47">
        <f>INDEX(AEO26_Table_21._Residential!$E$6:$AD$92,MATCH($A47,AEO26_Table_21._Residential!$B$6:$B$92,0),MATCH(S$42,AEO26_Table_21._Residential!$E$5:$AD$5,0))*About!$A$27*About!$B$31</f>
        <v>150.2176834776977</v>
      </c>
      <c r="T47">
        <f>INDEX(AEO26_Table_21._Residential!$E$6:$AD$92,MATCH($A47,AEO26_Table_21._Residential!$B$6:$B$92,0),MATCH(T$42,AEO26_Table_21._Residential!$E$5:$AD$5,0))*About!$A$27*About!$B$31</f>
        <v>153.8212622035133</v>
      </c>
      <c r="U47">
        <f>INDEX(AEO26_Table_21._Residential!$E$6:$AD$92,MATCH($A47,AEO26_Table_21._Residential!$B$6:$B$92,0),MATCH(U$42,AEO26_Table_21._Residential!$E$5:$AD$5,0))*About!$A$27*About!$B$31</f>
        <v>157.64274686311018</v>
      </c>
      <c r="V47">
        <f>INDEX(AEO26_Table_21._Residential!$E$6:$AD$92,MATCH($A47,AEO26_Table_21._Residential!$B$6:$B$92,0),MATCH(V$42,AEO26_Table_21._Residential!$E$5:$AD$5,0))*About!$A$27*About!$B$31</f>
        <v>161.90654804500929</v>
      </c>
      <c r="W47">
        <f>INDEX(AEO26_Table_21._Residential!$E$6:$AD$92,MATCH($A47,AEO26_Table_21._Residential!$B$6:$B$92,0),MATCH(W$42,AEO26_Table_21._Residential!$E$5:$AD$5,0))*About!$A$27*About!$B$31</f>
        <v>166.46143252651177</v>
      </c>
      <c r="X47">
        <f>INDEX(AEO26_Table_21._Residential!$E$6:$AD$92,MATCH($A47,AEO26_Table_21._Residential!$B$6:$B$92,0),MATCH(X$42,AEO26_Table_21._Residential!$E$5:$AD$5,0))*About!$A$27*About!$B$31</f>
        <v>171.16429790334331</v>
      </c>
      <c r="Y47">
        <f>INDEX(AEO26_Table_21._Residential!$E$6:$AD$92,MATCH($A47,AEO26_Table_21._Residential!$B$6:$B$92,0),MATCH(Y$42,AEO26_Table_21._Residential!$E$5:$AD$5,0))*About!$A$27*About!$B$31</f>
        <v>175.98343398364767</v>
      </c>
      <c r="Z47">
        <f>INDEX(AEO26_Table_21._Residential!$E$6:$AD$92,MATCH($A47,AEO26_Table_21._Residential!$B$6:$B$92,0),MATCH(Z$42,AEO26_Table_21._Residential!$E$5:$AD$5,0))*About!$A$27*About!$B$31</f>
        <v>180.96112102323323</v>
      </c>
      <c r="AA47">
        <f>INDEX(AEO26_Table_21._Residential!$E$6:$AD$92,MATCH($A47,AEO26_Table_21._Residential!$B$6:$B$92,0),MATCH(AA$42,AEO26_Table_21._Residential!$E$5:$AD$5,0))*About!$A$27*About!$B$31</f>
        <v>186.38193766696349</v>
      </c>
      <c r="AB47">
        <f>INDEX(AEO26_Table_21._Residential!$E$6:$AD$92,MATCH($A47,AEO26_Table_21._Residential!$B$6:$B$92,0),MATCH(AB$42,AEO26_Table_21._Residential!$E$5:$AD$5,0))*About!$A$27*About!$B$31</f>
        <v>192.00683785315306</v>
      </c>
      <c r="AC47">
        <f>INDEX(AEO26_Table_21._Residential!$E$6:$AD$92,MATCH($A47,AEO26_Table_21._Residential!$B$6:$B$92,0),MATCH(AC$42,AEO26_Table_21._Residential!$E$5:$AD$5,0))*About!$A$27*About!$B$31</f>
        <v>198.43587598154292</v>
      </c>
      <c r="AD47">
        <f>INDEX(AEO26_Table_21._Residential!$E$6:$AD$92,MATCH($A47,AEO26_Table_21._Residential!$B$6:$B$92,0),MATCH(AD$42,AEO26_Table_21._Residential!$E$5:$AD$5,0))*About!$A$27*About!$B$31</f>
        <v>204.93646531206994</v>
      </c>
      <c r="AE47">
        <f>INDEX(AEO26_Table_21._Residential!$E$6:$AD$92,MATCH($A47,AEO26_Table_21._Residential!$B$6:$B$92,0),MATCH(AE$42,AEO26_Table_21._Residential!$E$5:$AD$5,0))*About!$A$27*About!$B$31</f>
        <v>211.50616659920667</v>
      </c>
    </row>
    <row r="48" spans="1:44" x14ac:dyDescent="0.25">
      <c r="A48" t="s">
        <v>946</v>
      </c>
      <c r="B48" t="s">
        <v>605</v>
      </c>
      <c r="C48" t="s">
        <v>10</v>
      </c>
      <c r="D48" s="47">
        <f>AEO23_Table_21._Residential!$F$78*About!$A$27*About!$B$31</f>
        <v>21092.010533797456</v>
      </c>
      <c r="E48">
        <f>INDEX(AEO25_Table_21._Residential!$F$77:$AG$80,MATCH($B48,AEO25_Table_21._Residential!$B$77:$B$80,0),MATCH(E$42,AEO25_Table_21._Residential!$F$5:$AG$5,0))*About!$A$27*About!$B$31</f>
        <v>33586.644085485314</v>
      </c>
      <c r="F48">
        <f>INDEX(AEO26_Table_21._Residential!$E$6:$AD$92,MATCH($A48,AEO26_Table_21._Residential!$B$6:$B$92,0),MATCH(F$42,AEO26_Table_21._Residential!$E$5:$AD$5,0))*About!$A$27*About!$B$31</f>
        <v>36072.861350926898</v>
      </c>
      <c r="G48">
        <f>INDEX(AEO26_Table_21._Residential!$E$6:$AD$92,MATCH($A48,AEO26_Table_21._Residential!$B$6:$B$92,0),MATCH(G$42,AEO26_Table_21._Residential!$E$5:$AD$5,0))*About!$A$27*About!$B$31</f>
        <v>38259.984834453164</v>
      </c>
      <c r="H48">
        <f>INDEX(AEO26_Table_21._Residential!$E$6:$AD$92,MATCH($A48,AEO26_Table_21._Residential!$B$6:$B$92,0),MATCH(H$42,AEO26_Table_21._Residential!$E$5:$AD$5,0))*About!$A$27*About!$B$31</f>
        <v>40727.440236379822</v>
      </c>
      <c r="I48">
        <f>INDEX(AEO26_Table_21._Residential!$E$6:$AD$92,MATCH($A48,AEO26_Table_21._Residential!$B$6:$B$92,0),MATCH(I$42,AEO26_Table_21._Residential!$E$5:$AD$5,0))*About!$A$27*About!$B$31</f>
        <v>43279.974083056746</v>
      </c>
      <c r="J48">
        <f>INDEX(AEO26_Table_21._Residential!$E$6:$AD$92,MATCH($A48,AEO26_Table_21._Residential!$B$6:$B$92,0),MATCH(J$42,AEO26_Table_21._Residential!$E$5:$AD$5,0))*About!$A$27*About!$B$31</f>
        <v>45677.105223346553</v>
      </c>
      <c r="K48">
        <f>INDEX(AEO26_Table_21._Residential!$E$6:$AD$92,MATCH($A48,AEO26_Table_21._Residential!$B$6:$B$92,0),MATCH(K$42,AEO26_Table_21._Residential!$E$5:$AD$5,0))*About!$A$27*About!$B$31</f>
        <v>48200.653515421349</v>
      </c>
      <c r="L48">
        <f>INDEX(AEO26_Table_21._Residential!$E$6:$AD$92,MATCH($A48,AEO26_Table_21._Residential!$B$6:$B$92,0),MATCH(L$42,AEO26_Table_21._Residential!$E$5:$AD$5,0))*About!$A$27*About!$B$31</f>
        <v>50934.882696025255</v>
      </c>
      <c r="M48">
        <f>INDEX(AEO26_Table_21._Residential!$E$6:$AD$92,MATCH($A48,AEO26_Table_21._Residential!$B$6:$B$92,0),MATCH(M$42,AEO26_Table_21._Residential!$E$5:$AD$5,0))*About!$A$27*About!$B$31</f>
        <v>53663.724396340971</v>
      </c>
      <c r="N48">
        <f>INDEX(AEO26_Table_21._Residential!$E$6:$AD$92,MATCH($A48,AEO26_Table_21._Residential!$B$6:$B$92,0),MATCH(N$42,AEO26_Table_21._Residential!$E$5:$AD$5,0))*About!$A$27*About!$B$31</f>
        <v>56531.886044199789</v>
      </c>
      <c r="O48">
        <f>INDEX(AEO26_Table_21._Residential!$E$6:$AD$92,MATCH($A48,AEO26_Table_21._Residential!$B$6:$B$92,0),MATCH(O$42,AEO26_Table_21._Residential!$E$5:$AD$5,0))*About!$A$27*About!$B$31</f>
        <v>59575.347324212737</v>
      </c>
      <c r="P48">
        <f>INDEX(AEO26_Table_21._Residential!$E$6:$AD$92,MATCH($A48,AEO26_Table_21._Residential!$B$6:$B$92,0),MATCH(P$42,AEO26_Table_21._Residential!$E$5:$AD$5,0))*About!$A$27*About!$B$31</f>
        <v>62828.816260989224</v>
      </c>
      <c r="Q48">
        <f>INDEX(AEO26_Table_21._Residential!$E$6:$AD$92,MATCH($A48,AEO26_Table_21._Residential!$B$6:$B$92,0),MATCH(Q$42,AEO26_Table_21._Residential!$E$5:$AD$5,0))*About!$A$27*About!$B$31</f>
        <v>66242.132209503761</v>
      </c>
      <c r="R48">
        <f>INDEX(AEO26_Table_21._Residential!$E$6:$AD$92,MATCH($A48,AEO26_Table_21._Residential!$B$6:$B$92,0),MATCH(R$42,AEO26_Table_21._Residential!$E$5:$AD$5,0))*About!$A$27*About!$B$31</f>
        <v>69907.185614182774</v>
      </c>
      <c r="S48">
        <f>INDEX(AEO26_Table_21._Residential!$E$6:$AD$92,MATCH($A48,AEO26_Table_21._Residential!$B$6:$B$92,0),MATCH(S$42,AEO26_Table_21._Residential!$E$5:$AD$5,0))*About!$A$27*About!$B$31</f>
        <v>73746.942662025409</v>
      </c>
      <c r="T48">
        <f>INDEX(AEO26_Table_21._Residential!$E$6:$AD$92,MATCH($A48,AEO26_Table_21._Residential!$B$6:$B$92,0),MATCH(T$42,AEO26_Table_21._Residential!$E$5:$AD$5,0))*About!$A$27*About!$B$31</f>
        <v>77794.55432591273</v>
      </c>
      <c r="U48">
        <f>INDEX(AEO26_Table_21._Residential!$E$6:$AD$92,MATCH($A48,AEO26_Table_21._Residential!$B$6:$B$92,0),MATCH(U$42,AEO26_Table_21._Residential!$E$5:$AD$5,0))*About!$A$27*About!$B$31</f>
        <v>81990.716855500679</v>
      </c>
      <c r="V48">
        <f>INDEX(AEO26_Table_21._Residential!$E$6:$AD$92,MATCH($A48,AEO26_Table_21._Residential!$B$6:$B$92,0),MATCH(V$42,AEO26_Table_21._Residential!$E$5:$AD$5,0))*About!$A$27*About!$B$31</f>
        <v>86364.605253460701</v>
      </c>
      <c r="W48">
        <f>INDEX(AEO26_Table_21._Residential!$E$6:$AD$92,MATCH($A48,AEO26_Table_21._Residential!$B$6:$B$92,0),MATCH(W$42,AEO26_Table_21._Residential!$E$5:$AD$5,0))*About!$A$27*About!$B$31</f>
        <v>90868.614390998133</v>
      </c>
      <c r="X48">
        <f>INDEX(AEO26_Table_21._Residential!$E$6:$AD$92,MATCH($A48,AEO26_Table_21._Residential!$B$6:$B$92,0),MATCH(X$42,AEO26_Table_21._Residential!$E$5:$AD$5,0))*About!$A$27*About!$B$31</f>
        <v>95514.394104751875</v>
      </c>
      <c r="Y48">
        <f>INDEX(AEO26_Table_21._Residential!$E$6:$AD$92,MATCH($A48,AEO26_Table_21._Residential!$B$6:$B$92,0),MATCH(Y$42,AEO26_Table_21._Residential!$E$5:$AD$5,0))*About!$A$27*About!$B$31</f>
        <v>100341.03086505302</v>
      </c>
      <c r="Z48">
        <f>INDEX(AEO26_Table_21._Residential!$E$6:$AD$92,MATCH($A48,AEO26_Table_21._Residential!$B$6:$B$92,0),MATCH(Z$42,AEO26_Table_21._Residential!$E$5:$AD$5,0))*About!$A$27*About!$B$31</f>
        <v>105287.69639310289</v>
      </c>
      <c r="AA48">
        <f>INDEX(AEO26_Table_21._Residential!$E$6:$AD$92,MATCH($A48,AEO26_Table_21._Residential!$B$6:$B$92,0),MATCH(AA$42,AEO26_Table_21._Residential!$E$5:$AD$5,0))*About!$A$27*About!$B$31</f>
        <v>110385.40081729133</v>
      </c>
      <c r="AB48">
        <f>INDEX(AEO26_Table_21._Residential!$E$6:$AD$92,MATCH($A48,AEO26_Table_21._Residential!$B$6:$B$92,0),MATCH(AB$42,AEO26_Table_21._Residential!$E$5:$AD$5,0))*About!$A$27*About!$B$31</f>
        <v>115640.48292366226</v>
      </c>
      <c r="AC48">
        <f>INDEX(AEO26_Table_21._Residential!$E$6:$AD$92,MATCH($A48,AEO26_Table_21._Residential!$B$6:$B$92,0),MATCH(AC$42,AEO26_Table_21._Residential!$E$5:$AD$5,0))*About!$A$27*About!$B$31</f>
        <v>121126.73883331985</v>
      </c>
      <c r="AD48">
        <f>INDEX(AEO26_Table_21._Residential!$E$6:$AD$92,MATCH($A48,AEO26_Table_21._Residential!$B$6:$B$92,0),MATCH(AD$42,AEO26_Table_21._Residential!$E$5:$AD$5,0))*About!$A$27*About!$B$31</f>
        <v>126714.16976896301</v>
      </c>
      <c r="AE48">
        <f>INDEX(AEO26_Table_21._Residential!$E$6:$AD$92,MATCH($A48,AEO26_Table_21._Residential!$B$6:$B$92,0),MATCH(AE$42,AEO26_Table_21._Residential!$E$5:$AD$5,0))*About!$A$27*About!$B$31</f>
        <v>132502.56445203593</v>
      </c>
    </row>
    <row r="49" spans="1:31" x14ac:dyDescent="0.25">
      <c r="C49" t="s">
        <v>11</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row>
    <row r="50" spans="1:31" x14ac:dyDescent="0.25">
      <c r="C50" t="s">
        <v>12</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row>
    <row r="51" spans="1:31" x14ac:dyDescent="0.25">
      <c r="C51" t="s">
        <v>13</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x14ac:dyDescent="0.25">
      <c r="C52" t="s">
        <v>14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row>
    <row r="53" spans="1:31" x14ac:dyDescent="0.25">
      <c r="C53" t="s">
        <v>15</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row>
    <row r="54" spans="1:31" x14ac:dyDescent="0.25">
      <c r="C54" t="s">
        <v>57</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row>
    <row r="55" spans="1:31" x14ac:dyDescent="0.25">
      <c r="C55" t="s">
        <v>60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row>
    <row r="56" spans="1:31" x14ac:dyDescent="0.25">
      <c r="C56" t="s">
        <v>158</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row>
    <row r="57" spans="1:31" x14ac:dyDescent="0.25">
      <c r="C57" t="s">
        <v>159</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row>
    <row r="58" spans="1:31" x14ac:dyDescent="0.25">
      <c r="C58" t="s">
        <v>160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row>
    <row r="60" spans="1:31" x14ac:dyDescent="0.25">
      <c r="B60" s="1" t="s">
        <v>169</v>
      </c>
    </row>
    <row r="61" spans="1:31" x14ac:dyDescent="0.25">
      <c r="C61" s="1" t="s">
        <v>161</v>
      </c>
      <c r="D61">
        <v>2023</v>
      </c>
      <c r="E61">
        <v>2024</v>
      </c>
      <c r="F61">
        <v>2025</v>
      </c>
      <c r="G61">
        <v>2026</v>
      </c>
      <c r="H61">
        <v>2027</v>
      </c>
      <c r="I61">
        <v>2028</v>
      </c>
      <c r="J61">
        <v>2029</v>
      </c>
      <c r="K61">
        <v>2030</v>
      </c>
      <c r="L61">
        <v>2031</v>
      </c>
      <c r="M61">
        <v>2032</v>
      </c>
      <c r="N61">
        <v>2033</v>
      </c>
      <c r="O61">
        <v>2034</v>
      </c>
      <c r="P61">
        <v>2035</v>
      </c>
      <c r="Q61">
        <v>2036</v>
      </c>
      <c r="R61">
        <v>2037</v>
      </c>
      <c r="S61">
        <v>2038</v>
      </c>
      <c r="T61">
        <v>2039</v>
      </c>
      <c r="U61">
        <v>2040</v>
      </c>
      <c r="V61">
        <v>2041</v>
      </c>
      <c r="W61">
        <v>2042</v>
      </c>
      <c r="X61">
        <v>2043</v>
      </c>
      <c r="Y61">
        <v>2044</v>
      </c>
      <c r="Z61">
        <v>2045</v>
      </c>
      <c r="AA61">
        <v>2046</v>
      </c>
      <c r="AB61">
        <v>2047</v>
      </c>
      <c r="AC61">
        <v>2048</v>
      </c>
      <c r="AD61">
        <v>2049</v>
      </c>
      <c r="AE61">
        <v>2050</v>
      </c>
    </row>
    <row r="62" spans="1:31" x14ac:dyDescent="0.25">
      <c r="C62" t="s">
        <v>58</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row>
    <row r="63" spans="1:31" x14ac:dyDescent="0.25">
      <c r="A63" t="s">
        <v>944</v>
      </c>
      <c r="B63" t="s">
        <v>607</v>
      </c>
      <c r="C63" t="s">
        <v>7</v>
      </c>
      <c r="D63" s="47">
        <v>0</v>
      </c>
      <c r="E63">
        <f>INDEX(AEO25_Table_21._Residential!$F$77:$AG$80,MATCH($B63,AEO25_Table_21._Residential!$B$77:$B$80,0),MATCH(E$42,AEO25_Table_21._Residential!$F$5:$AG$5,0))*About!$A$28*About!$B$31</f>
        <v>0.32243382174370594</v>
      </c>
      <c r="F63">
        <f>INDEX(AEO26_Table_21._Residential!$E$6:$AD$92,MATCH($A63,AEO26_Table_21._Residential!$B$6:$B$92,0),MATCH(F$42,AEO26_Table_21._Residential!$E$5:$AD$5,0))*About!$A$28*About!$B$31</f>
        <v>9.4393669553954507E-2</v>
      </c>
      <c r="G63">
        <f>INDEX(AEO26_Table_21._Residential!$E$6:$AD$92,MATCH($A63,AEO26_Table_21._Residential!$B$6:$B$92,0),MATCH(G$42,AEO26_Table_21._Residential!$E$5:$AD$5,0))*About!$A$28*About!$B$31</f>
        <v>0.20654456407350441</v>
      </c>
      <c r="H63">
        <f>INDEX(AEO26_Table_21._Residential!$E$6:$AD$92,MATCH($A63,AEO26_Table_21._Residential!$B$6:$B$92,0),MATCH(H$42,AEO26_Table_21._Residential!$E$5:$AD$5,0))*About!$A$28*About!$B$31</f>
        <v>0.31570476807253295</v>
      </c>
      <c r="I63">
        <f>INDEX(AEO26_Table_21._Residential!$E$6:$AD$92,MATCH($A63,AEO26_Table_21._Residential!$B$6:$B$92,0),MATCH(I$42,AEO26_Table_21._Residential!$E$5:$AD$5,0))*About!$A$28*About!$B$31</f>
        <v>0.31813470412045658</v>
      </c>
      <c r="J63">
        <f>INDEX(AEO26_Table_21._Residential!$E$6:$AD$92,MATCH($A63,AEO26_Table_21._Residential!$B$6:$B$92,0),MATCH(J$42,AEO26_Table_21._Residential!$E$5:$AD$5,0))*About!$A$28*About!$B$31</f>
        <v>0.32056464016838015</v>
      </c>
      <c r="K63">
        <f>INDEX(AEO26_Table_21._Residential!$E$6:$AD$92,MATCH($A63,AEO26_Table_21._Residential!$B$6:$B$92,0),MATCH(K$42,AEO26_Table_21._Residential!$E$5:$AD$5,0))*About!$A$28*About!$B$31</f>
        <v>0.47271602039990285</v>
      </c>
      <c r="L63">
        <f>INDEX(AEO26_Table_21._Residential!$E$6:$AD$92,MATCH($A63,AEO26_Table_21._Residential!$B$6:$B$92,0),MATCH(L$42,AEO26_Table_21._Residential!$E$5:$AD$5,0))*About!$A$28*About!$B$31</f>
        <v>0.67589605763782079</v>
      </c>
      <c r="M63">
        <f>INDEX(AEO26_Table_21._Residential!$E$6:$AD$92,MATCH($A63,AEO26_Table_21._Residential!$B$6:$B$92,0),MATCH(M$42,AEO26_Table_21._Residential!$E$5:$AD$5,0))*About!$A$28*About!$B$31</f>
        <v>0.88543131223184646</v>
      </c>
      <c r="N63">
        <f>INDEX(AEO26_Table_21._Residential!$E$6:$AD$92,MATCH($A63,AEO26_Table_21._Residential!$B$6:$B$92,0),MATCH(N$42,AEO26_Table_21._Residential!$E$5:$AD$5,0))*About!$A$28*About!$B$31</f>
        <v>1.0484239456002591</v>
      </c>
      <c r="O63">
        <f>INDEX(AEO26_Table_21._Residential!$E$6:$AD$92,MATCH($A63,AEO26_Table_21._Residential!$B$6:$B$92,0),MATCH(O$42,AEO26_Table_21._Residential!$E$5:$AD$5,0))*About!$A$28*About!$B$31</f>
        <v>1.2527254917833723</v>
      </c>
      <c r="P63">
        <f>INDEX(AEO26_Table_21._Residential!$E$6:$AD$92,MATCH($A63,AEO26_Table_21._Residential!$B$6:$B$92,0),MATCH(P$42,AEO26_Table_21._Residential!$E$5:$AD$5,0))*About!$A$28*About!$B$31</f>
        <v>1.255155427831296</v>
      </c>
      <c r="Q63">
        <f>INDEX(AEO26_Table_21._Residential!$E$6:$AD$92,MATCH($A63,AEO26_Table_21._Residential!$B$6:$B$92,0),MATCH(Q$42,AEO26_Table_21._Residential!$E$5:$AD$5,0))*About!$A$28*About!$B$31</f>
        <v>1.2575853638792196</v>
      </c>
      <c r="R63">
        <f>INDEX(AEO26_Table_21._Residential!$E$6:$AD$92,MATCH($A63,AEO26_Table_21._Residential!$B$6:$B$92,0),MATCH(R$42,AEO26_Table_21._Residential!$E$5:$AD$5,0))*About!$A$28*About!$B$31</f>
        <v>1.2600152999271432</v>
      </c>
      <c r="S63">
        <f>INDEX(AEO26_Table_21._Residential!$E$6:$AD$92,MATCH($A63,AEO26_Table_21._Residential!$B$6:$B$92,0),MATCH(S$42,AEO26_Table_21._Residential!$E$5:$AD$5,0))*About!$A$28*About!$B$31</f>
        <v>1.2624452359750666</v>
      </c>
      <c r="T63">
        <f>INDEX(AEO26_Table_21._Residential!$E$6:$AD$92,MATCH($A63,AEO26_Table_21._Residential!$B$6:$B$92,0),MATCH(T$42,AEO26_Table_21._Residential!$E$5:$AD$5,0))*About!$A$28*About!$B$31</f>
        <v>1.265062090180523</v>
      </c>
      <c r="U63">
        <f>INDEX(AEO26_Table_21._Residential!$E$6:$AD$92,MATCH($A63,AEO26_Table_21._Residential!$B$6:$B$92,0),MATCH(U$42,AEO26_Table_21._Residential!$E$5:$AD$5,0))*About!$A$28*About!$B$31</f>
        <v>1.2676789443859791</v>
      </c>
      <c r="V63">
        <f>INDEX(AEO26_Table_21._Residential!$E$6:$AD$92,MATCH($A63,AEO26_Table_21._Residential!$B$6:$B$92,0),MATCH(V$42,AEO26_Table_21._Residential!$E$5:$AD$5,0))*About!$A$28*About!$B$31</f>
        <v>1.2706696349065005</v>
      </c>
      <c r="W63">
        <f>INDEX(AEO26_Table_21._Residential!$E$6:$AD$92,MATCH($A63,AEO26_Table_21._Residential!$B$6:$B$92,0),MATCH(W$42,AEO26_Table_21._Residential!$E$5:$AD$5,0))*About!$A$28*About!$B$31</f>
        <v>1.2745949162146848</v>
      </c>
      <c r="X63">
        <f>INDEX(AEO26_Table_21._Residential!$E$6:$AD$92,MATCH($A63,AEO26_Table_21._Residential!$B$6:$B$92,0),MATCH(X$42,AEO26_Table_21._Residential!$E$5:$AD$5,0))*About!$A$28*About!$B$31</f>
        <v>1.2800155427831297</v>
      </c>
      <c r="Y63">
        <f>INDEX(AEO26_Table_21._Residential!$E$6:$AD$92,MATCH($A63,AEO26_Table_21._Residential!$B$6:$B$92,0),MATCH(Y$42,AEO26_Table_21._Residential!$E$5:$AD$5,0))*About!$A$28*About!$B$31</f>
        <v>1.2886137780296285</v>
      </c>
      <c r="Z63">
        <f>INDEX(AEO26_Table_21._Residential!$E$6:$AD$92,MATCH($A63,AEO26_Table_21._Residential!$B$6:$B$92,0),MATCH(Z$42,AEO26_Table_21._Residential!$E$5:$AD$5,0))*About!$A$28*About!$B$31</f>
        <v>1.3033803124747023</v>
      </c>
      <c r="AA63">
        <f>INDEX(AEO26_Table_21._Residential!$E$6:$AD$92,MATCH($A63,AEO26_Table_21._Residential!$B$6:$B$92,0),MATCH(AA$42,AEO26_Table_21._Residential!$E$5:$AD$5,0))*About!$A$28*About!$B$31</f>
        <v>1.329175018214199</v>
      </c>
      <c r="AB63">
        <f>INDEX(AEO26_Table_21._Residential!$E$6:$AD$92,MATCH($A63,AEO26_Table_21._Residential!$B$6:$B$92,0),MATCH(AB$42,AEO26_Table_21._Residential!$E$5:$AD$5,0))*About!$A$28*About!$B$31</f>
        <v>1.3549697239536955</v>
      </c>
      <c r="AC63">
        <f>INDEX(AEO26_Table_21._Residential!$E$6:$AD$92,MATCH($A63,AEO26_Table_21._Residential!$B$6:$B$92,0),MATCH(AC$42,AEO26_Table_21._Residential!$E$5:$AD$5,0))*About!$A$28*About!$B$31</f>
        <v>1.3809513478507245</v>
      </c>
      <c r="AD63">
        <f>INDEX(AEO26_Table_21._Residential!$E$6:$AD$92,MATCH($A63,AEO26_Table_21._Residential!$B$6:$B$92,0),MATCH(AD$42,AEO26_Table_21._Residential!$E$5:$AD$5,0))*About!$A$28*About!$B$31</f>
        <v>1.4071198899052861</v>
      </c>
      <c r="AE63">
        <f>INDEX(AEO26_Table_21._Residential!$E$6:$AD$92,MATCH($A63,AEO26_Table_21._Residential!$B$6:$B$92,0),MATCH(AE$42,AEO26_Table_21._Residential!$E$5:$AD$5,0))*About!$A$28*About!$B$31</f>
        <v>1.4334753501173803</v>
      </c>
    </row>
    <row r="64" spans="1:31" x14ac:dyDescent="0.25">
      <c r="C64" t="s">
        <v>8</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row>
    <row r="65" spans="1:44" x14ac:dyDescent="0.25">
      <c r="C65" t="s">
        <v>9</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row>
    <row r="66" spans="1:44" x14ac:dyDescent="0.25">
      <c r="A66" t="s">
        <v>948</v>
      </c>
      <c r="B66" t="s">
        <v>603</v>
      </c>
      <c r="C66" t="s">
        <v>59</v>
      </c>
      <c r="D66" s="47">
        <f>AEO23_Table_21._Residential!$F$79*About!$A$28*About!$B$31</f>
        <v>11.859583259127337</v>
      </c>
      <c r="E66">
        <f>INDEX(AEO25_Table_21._Residential!$F$77:$AG$80,MATCH($B66,AEO25_Table_21._Residential!$B$77:$B$80,0),MATCH(E$42,AEO25_Table_21._Residential!$F$5:$AG$5,0))*About!$A$28*About!$B$31</f>
        <v>57.60425087023394</v>
      </c>
      <c r="F66">
        <f>INDEX(AEO26_Table_21._Residential!$E$6:$AD$92,MATCH($A66,AEO26_Table_21._Residential!$B$6:$B$92,0),MATCH(F$42,AEO26_Table_21._Residential!$E$5:$AD$5,0))*About!$A$28*About!$B$31</f>
        <v>30.137188375293448</v>
      </c>
      <c r="G66">
        <f>INDEX(AEO26_Table_21._Residential!$E$6:$AD$92,MATCH($A66,AEO26_Table_21._Residential!$B$6:$B$92,0),MATCH(G$42,AEO26_Table_21._Residential!$E$5:$AD$5,0))*About!$A$28*About!$B$31</f>
        <v>30.162235408402818</v>
      </c>
      <c r="H66">
        <f>INDEX(AEO26_Table_21._Residential!$E$6:$AD$92,MATCH($A66,AEO26_Table_21._Residential!$B$6:$B$92,0),MATCH(H$42,AEO26_Table_21._Residential!$E$5:$AD$5,0))*About!$A$28*About!$B$31</f>
        <v>30.192889986238161</v>
      </c>
      <c r="I66">
        <f>INDEX(AEO26_Table_21._Residential!$E$6:$AD$92,MATCH($A66,AEO26_Table_21._Residential!$B$6:$B$92,0),MATCH(I$42,AEO26_Table_21._Residential!$E$5:$AD$5,0))*About!$A$28*About!$B$31</f>
        <v>30.223170727758436</v>
      </c>
      <c r="J66">
        <f>INDEX(AEO26_Table_21._Residential!$E$6:$AD$92,MATCH($A66,AEO26_Table_21._Residential!$B$6:$B$92,0),MATCH(J$42,AEO26_Table_21._Residential!$E$5:$AD$5,0))*About!$A$28*About!$B$31</f>
        <v>30.272143285031973</v>
      </c>
      <c r="K66">
        <f>INDEX(AEO26_Table_21._Residential!$E$6:$AD$92,MATCH($A66,AEO26_Table_21._Residential!$B$6:$B$92,0),MATCH(K$42,AEO26_Table_21._Residential!$E$5:$AD$5,0))*About!$A$28*About!$B$31</f>
        <v>30.357377964866835</v>
      </c>
      <c r="L66">
        <f>INDEX(AEO26_Table_21._Residential!$E$6:$AD$92,MATCH($A66,AEO26_Table_21._Residential!$B$6:$B$92,0),MATCH(L$42,AEO26_Table_21._Residential!$E$5:$AD$5,0))*About!$A$28*About!$B$31</f>
        <v>30.512333117461345</v>
      </c>
      <c r="M66">
        <f>INDEX(AEO26_Table_21._Residential!$E$6:$AD$92,MATCH($A66,AEO26_Table_21._Residential!$B$6:$B$92,0),MATCH(M$42,AEO26_Table_21._Residential!$E$5:$AD$5,0))*About!$A$28*About!$B$31</f>
        <v>30.754392131466041</v>
      </c>
      <c r="N66">
        <f>INDEX(AEO26_Table_21._Residential!$E$6:$AD$92,MATCH($A66,AEO26_Table_21._Residential!$B$6:$B$92,0),MATCH(N$42,AEO26_Table_21._Residential!$E$5:$AD$5,0))*About!$A$28*About!$B$31</f>
        <v>31.128415364688738</v>
      </c>
      <c r="O66">
        <f>INDEX(AEO26_Table_21._Residential!$E$6:$AD$92,MATCH($A66,AEO26_Table_21._Residential!$B$6:$B$92,0),MATCH(O$42,AEO26_Table_21._Residential!$E$5:$AD$5,0))*About!$A$28*About!$B$31</f>
        <v>31.644496397636203</v>
      </c>
      <c r="P66">
        <f>INDEX(AEO26_Table_21._Residential!$E$6:$AD$92,MATCH($A66,AEO26_Table_21._Residential!$B$6:$B$92,0),MATCH(P$42,AEO26_Table_21._Residential!$E$5:$AD$5,0))*About!$A$28*About!$B$31</f>
        <v>32.262073990123852</v>
      </c>
      <c r="Q66">
        <f>INDEX(AEO26_Table_21._Residential!$E$6:$AD$92,MATCH($A66,AEO26_Table_21._Residential!$B$6:$B$92,0),MATCH(Q$42,AEO26_Table_21._Residential!$E$5:$AD$5,0))*About!$A$28*About!$B$31</f>
        <v>32.955727272727266</v>
      </c>
      <c r="R66">
        <f>INDEX(AEO26_Table_21._Residential!$E$6:$AD$92,MATCH($A66,AEO26_Table_21._Residential!$B$6:$B$92,0),MATCH(R$42,AEO26_Table_21._Residential!$E$5:$AD$5,0))*About!$A$28*About!$B$31</f>
        <v>33.725082409131382</v>
      </c>
      <c r="S66">
        <f>INDEX(AEO26_Table_21._Residential!$E$6:$AD$92,MATCH($A66,AEO26_Table_21._Residential!$B$6:$B$92,0),MATCH(S$42,AEO26_Table_21._Residential!$E$5:$AD$5,0))*About!$A$28*About!$B$31</f>
        <v>34.533316522302272</v>
      </c>
      <c r="T66">
        <f>INDEX(AEO26_Table_21._Residential!$E$6:$AD$92,MATCH($A66,AEO26_Table_21._Residential!$B$6:$B$92,0),MATCH(T$42,AEO26_Table_21._Residential!$E$5:$AD$5,0))*About!$A$28*About!$B$31</f>
        <v>35.361737796486679</v>
      </c>
      <c r="U66">
        <f>INDEX(AEO26_Table_21._Residential!$E$6:$AD$92,MATCH($A66,AEO26_Table_21._Residential!$B$6:$B$92,0),MATCH(U$42,AEO26_Table_21._Residential!$E$5:$AD$5,0))*About!$A$28*About!$B$31</f>
        <v>36.240253136889827</v>
      </c>
      <c r="V66">
        <f>INDEX(AEO26_Table_21._Residential!$E$6:$AD$92,MATCH($A66,AEO26_Table_21._Residential!$B$6:$B$92,0),MATCH(V$42,AEO26_Table_21._Residential!$E$5:$AD$5,0))*About!$A$28*About!$B$31</f>
        <v>37.220451954990693</v>
      </c>
      <c r="W66">
        <f>INDEX(AEO26_Table_21._Residential!$E$6:$AD$92,MATCH($A66,AEO26_Table_21._Residential!$B$6:$B$92,0),MATCH(W$42,AEO26_Table_21._Residential!$E$5:$AD$5,0))*About!$A$28*About!$B$31</f>
        <v>38.267567473488214</v>
      </c>
      <c r="X66">
        <f>INDEX(AEO26_Table_21._Residential!$E$6:$AD$92,MATCH($A66,AEO26_Table_21._Residential!$B$6:$B$92,0),MATCH(X$42,AEO26_Table_21._Residential!$E$5:$AD$5,0))*About!$A$28*About!$B$31</f>
        <v>39.34870209665668</v>
      </c>
      <c r="Y66">
        <f>INDEX(AEO26_Table_21._Residential!$E$6:$AD$92,MATCH($A66,AEO26_Table_21._Residential!$B$6:$B$92,0),MATCH(Y$42,AEO26_Table_21._Residential!$E$5:$AD$5,0))*About!$A$28*About!$B$31</f>
        <v>40.456566016352298</v>
      </c>
      <c r="Z66">
        <f>INDEX(AEO26_Table_21._Residential!$E$6:$AD$92,MATCH($A66,AEO26_Table_21._Residential!$B$6:$B$92,0),MATCH(Z$42,AEO26_Table_21._Residential!$E$5:$AD$5,0))*About!$A$28*About!$B$31</f>
        <v>41.600878976766779</v>
      </c>
      <c r="AA66">
        <f>INDEX(AEO26_Table_21._Residential!$E$6:$AD$92,MATCH($A66,AEO26_Table_21._Residential!$B$6:$B$92,0),MATCH(AA$42,AEO26_Table_21._Residential!$E$5:$AD$5,0))*About!$A$28*About!$B$31</f>
        <v>42.847062333036504</v>
      </c>
      <c r="AB66">
        <f>INDEX(AEO26_Table_21._Residential!$E$6:$AD$92,MATCH($A66,AEO26_Table_21._Residential!$B$6:$B$92,0),MATCH(AB$42,AEO26_Table_21._Residential!$E$5:$AD$5,0))*About!$A$28*About!$B$31</f>
        <v>44.140162146846919</v>
      </c>
      <c r="AC66">
        <f>INDEX(AEO26_Table_21._Residential!$E$6:$AD$92,MATCH($A66,AEO26_Table_21._Residential!$B$6:$B$92,0),MATCH(AC$42,AEO26_Table_21._Residential!$E$5:$AD$5,0))*About!$A$28*About!$B$31</f>
        <v>45.618124018457053</v>
      </c>
      <c r="AD66">
        <f>INDEX(AEO26_Table_21._Residential!$E$6:$AD$92,MATCH($A66,AEO26_Table_21._Residential!$B$6:$B$92,0),MATCH(AD$42,AEO26_Table_21._Residential!$E$5:$AD$5,0))*About!$A$28*About!$B$31</f>
        <v>47.112534687930058</v>
      </c>
      <c r="AE66">
        <f>INDEX(AEO26_Table_21._Residential!$E$6:$AD$92,MATCH($A66,AEO26_Table_21._Residential!$B$6:$B$92,0),MATCH(AE$42,AEO26_Table_21._Residential!$E$5:$AD$5,0))*About!$A$28*About!$B$31</f>
        <v>48.622833400793326</v>
      </c>
    </row>
    <row r="67" spans="1:44" x14ac:dyDescent="0.25">
      <c r="A67" t="s">
        <v>946</v>
      </c>
      <c r="B67" t="s">
        <v>605</v>
      </c>
      <c r="C67" t="s">
        <v>10</v>
      </c>
      <c r="D67" s="47">
        <f>AEO23_Table_21._Residential!$F$78*About!$A$28*About!$B$31</f>
        <v>4848.8104662025416</v>
      </c>
      <c r="E67">
        <f>INDEX(AEO25_Table_21._Residential!$F$77:$AG$80,MATCH($B67,AEO25_Table_21._Residential!$B$77:$B$80,0),MATCH(E$42,AEO25_Table_21._Residential!$F$5:$AG$5,0))*About!$A$28*About!$B$31</f>
        <v>7721.182914514693</v>
      </c>
      <c r="F67">
        <f>INDEX(AEO26_Table_21._Residential!$E$6:$AD$92,MATCH($A67,AEO26_Table_21._Residential!$B$6:$B$92,0),MATCH(F$42,AEO26_Table_21._Residential!$E$5:$AD$5,0))*About!$A$28*About!$B$31</f>
        <v>8292.7356490730999</v>
      </c>
      <c r="G67">
        <f>INDEX(AEO26_Table_21._Residential!$E$6:$AD$92,MATCH($A67,AEO26_Table_21._Residential!$B$6:$B$92,0),MATCH(G$42,AEO26_Table_21._Residential!$E$5:$AD$5,0))*About!$A$28*About!$B$31</f>
        <v>8795.5301655468302</v>
      </c>
      <c r="H67">
        <f>INDEX(AEO26_Table_21._Residential!$E$6:$AD$92,MATCH($A67,AEO26_Table_21._Residential!$B$6:$B$92,0),MATCH(H$42,AEO26_Table_21._Residential!$E$5:$AD$5,0))*About!$A$28*About!$B$31</f>
        <v>9362.7697636201738</v>
      </c>
      <c r="I67">
        <f>INDEX(AEO26_Table_21._Residential!$E$6:$AD$92,MATCH($A67,AEO26_Table_21._Residential!$B$6:$B$92,0),MATCH(I$42,AEO26_Table_21._Residential!$E$5:$AD$5,0))*About!$A$28*About!$B$31</f>
        <v>9949.5679169432515</v>
      </c>
      <c r="J67">
        <f>INDEX(AEO26_Table_21._Residential!$E$6:$AD$92,MATCH($A67,AEO26_Table_21._Residential!$B$6:$B$92,0),MATCH(J$42,AEO26_Table_21._Residential!$E$5:$AD$5,0))*About!$A$28*About!$B$31</f>
        <v>10500.640776653445</v>
      </c>
      <c r="K67">
        <f>INDEX(AEO26_Table_21._Residential!$E$6:$AD$92,MATCH($A67,AEO26_Table_21._Residential!$B$6:$B$92,0),MATCH(K$42,AEO26_Table_21._Residential!$E$5:$AD$5,0))*About!$A$28*About!$B$31</f>
        <v>11080.775484578644</v>
      </c>
      <c r="L67">
        <f>INDEX(AEO26_Table_21._Residential!$E$6:$AD$92,MATCH($A67,AEO26_Table_21._Residential!$B$6:$B$92,0),MATCH(L$42,AEO26_Table_21._Residential!$E$5:$AD$5,0))*About!$A$28*About!$B$31</f>
        <v>11709.343303974743</v>
      </c>
      <c r="M67">
        <f>INDEX(AEO26_Table_21._Residential!$E$6:$AD$92,MATCH($A67,AEO26_Table_21._Residential!$B$6:$B$92,0),MATCH(M$42,AEO26_Table_21._Residential!$E$5:$AD$5,0))*About!$A$28*About!$B$31</f>
        <v>12336.67260365903</v>
      </c>
      <c r="N67">
        <f>INDEX(AEO26_Table_21._Residential!$E$6:$AD$92,MATCH($A67,AEO26_Table_21._Residential!$B$6:$B$92,0),MATCH(N$42,AEO26_Table_21._Residential!$E$5:$AD$5,0))*About!$A$28*About!$B$31</f>
        <v>12996.02995580021</v>
      </c>
      <c r="O67">
        <f>INDEX(AEO26_Table_21._Residential!$E$6:$AD$92,MATCH($A67,AEO26_Table_21._Residential!$B$6:$B$92,0),MATCH(O$42,AEO26_Table_21._Residential!$E$5:$AD$5,0))*About!$A$28*About!$B$31</f>
        <v>13695.686675787258</v>
      </c>
      <c r="P67">
        <f>INDEX(AEO26_Table_21._Residential!$E$6:$AD$92,MATCH($A67,AEO26_Table_21._Residential!$B$6:$B$92,0),MATCH(P$42,AEO26_Table_21._Residential!$E$5:$AD$5,0))*About!$A$28*About!$B$31</f>
        <v>14443.621739010765</v>
      </c>
      <c r="Q67">
        <f>INDEX(AEO26_Table_21._Residential!$E$6:$AD$92,MATCH($A67,AEO26_Table_21._Residential!$B$6:$B$92,0),MATCH(Q$42,AEO26_Table_21._Residential!$E$5:$AD$5,0))*About!$A$28*About!$B$31</f>
        <v>15228.303790496237</v>
      </c>
      <c r="R67">
        <f>INDEX(AEO26_Table_21._Residential!$E$6:$AD$92,MATCH($A67,AEO26_Table_21._Residential!$B$6:$B$92,0),MATCH(R$42,AEO26_Table_21._Residential!$E$5:$AD$5,0))*About!$A$28*About!$B$31</f>
        <v>16070.857385817209</v>
      </c>
      <c r="S67">
        <f>INDEX(AEO26_Table_21._Residential!$E$6:$AD$92,MATCH($A67,AEO26_Table_21._Residential!$B$6:$B$92,0),MATCH(S$42,AEO26_Table_21._Residential!$E$5:$AD$5,0))*About!$A$28*About!$B$31</f>
        <v>16953.57333797458</v>
      </c>
      <c r="T67">
        <f>INDEX(AEO26_Table_21._Residential!$E$6:$AD$92,MATCH($A67,AEO26_Table_21._Residential!$B$6:$B$92,0),MATCH(T$42,AEO26_Table_21._Residential!$E$5:$AD$5,0))*About!$A$28*About!$B$31</f>
        <v>17884.072674087267</v>
      </c>
      <c r="U67">
        <f>INDEX(AEO26_Table_21._Residential!$E$6:$AD$92,MATCH($A67,AEO26_Table_21._Residential!$B$6:$B$92,0),MATCH(U$42,AEO26_Table_21._Residential!$E$5:$AD$5,0))*About!$A$28*About!$B$31</f>
        <v>18848.722144499312</v>
      </c>
      <c r="V67">
        <f>INDEX(AEO26_Table_21._Residential!$E$6:$AD$92,MATCH($A67,AEO26_Table_21._Residential!$B$6:$B$92,0),MATCH(V$42,AEO26_Table_21._Residential!$E$5:$AD$5,0))*About!$A$28*About!$B$31</f>
        <v>19854.228746539302</v>
      </c>
      <c r="W67">
        <f>INDEX(AEO26_Table_21._Residential!$E$6:$AD$92,MATCH($A67,AEO26_Table_21._Residential!$B$6:$B$92,0),MATCH(W$42,AEO26_Table_21._Residential!$E$5:$AD$5,0))*About!$A$28*About!$B$31</f>
        <v>20889.648609001859</v>
      </c>
      <c r="X67">
        <f>INDEX(AEO26_Table_21._Residential!$E$6:$AD$92,MATCH($A67,AEO26_Table_21._Residential!$B$6:$B$92,0),MATCH(X$42,AEO26_Table_21._Residential!$E$5:$AD$5,0))*About!$A$28*About!$B$31</f>
        <v>21957.659895248118</v>
      </c>
      <c r="Y67">
        <f>INDEX(AEO26_Table_21._Residential!$E$6:$AD$92,MATCH($A67,AEO26_Table_21._Residential!$B$6:$B$92,0),MATCH(Y$42,AEO26_Table_21._Residential!$E$5:$AD$5,0))*About!$A$28*About!$B$31</f>
        <v>23067.248134946974</v>
      </c>
      <c r="Z67">
        <f>INDEX(AEO26_Table_21._Residential!$E$6:$AD$92,MATCH($A67,AEO26_Table_21._Residential!$B$6:$B$92,0),MATCH(Z$42,AEO26_Table_21._Residential!$E$5:$AD$5,0))*About!$A$28*About!$B$31</f>
        <v>24204.429606897113</v>
      </c>
      <c r="AA67">
        <f>INDEX(AEO26_Table_21._Residential!$E$6:$AD$92,MATCH($A67,AEO26_Table_21._Residential!$B$6:$B$92,0),MATCH(AA$42,AEO26_Table_21._Residential!$E$5:$AD$5,0))*About!$A$28*About!$B$31</f>
        <v>25376.333182708651</v>
      </c>
      <c r="AB67">
        <f>INDEX(AEO26_Table_21._Residential!$E$6:$AD$92,MATCH($A67,AEO26_Table_21._Residential!$B$6:$B$92,0),MATCH(AB$42,AEO26_Table_21._Residential!$E$5:$AD$5,0))*About!$A$28*About!$B$31</f>
        <v>26584.416076337729</v>
      </c>
      <c r="AC67">
        <f>INDEX(AEO26_Table_21._Residential!$E$6:$AD$92,MATCH($A67,AEO26_Table_21._Residential!$B$6:$B$92,0),MATCH(AC$42,AEO26_Table_21._Residential!$E$5:$AD$5,0))*About!$A$28*About!$B$31</f>
        <v>27845.643166680158</v>
      </c>
      <c r="AD67">
        <f>INDEX(AEO26_Table_21._Residential!$E$6:$AD$92,MATCH($A67,AEO26_Table_21._Residential!$B$6:$B$92,0),MATCH(AD$42,AEO26_Table_21._Residential!$E$5:$AD$5,0))*About!$A$28*About!$B$31</f>
        <v>29130.129231036997</v>
      </c>
      <c r="AE67">
        <f>INDEX(AEO26_Table_21._Residential!$E$6:$AD$92,MATCH($A67,AEO26_Table_21._Residential!$B$6:$B$92,0),MATCH(AE$42,AEO26_Table_21._Residential!$E$5:$AD$5,0))*About!$A$28*About!$B$31</f>
        <v>30460.814547964055</v>
      </c>
    </row>
    <row r="68" spans="1:44" x14ac:dyDescent="0.25">
      <c r="C68" t="s">
        <v>11</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44" x14ac:dyDescent="0.25">
      <c r="C69" t="s">
        <v>12</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row>
    <row r="70" spans="1:44" x14ac:dyDescent="0.25">
      <c r="C70" t="s">
        <v>13</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row>
    <row r="71" spans="1:44" x14ac:dyDescent="0.25">
      <c r="C71" t="s">
        <v>14</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row>
    <row r="72" spans="1:44" x14ac:dyDescent="0.25">
      <c r="C72" t="s">
        <v>15</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row>
    <row r="73" spans="1:44" x14ac:dyDescent="0.25">
      <c r="C73" t="s">
        <v>57</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44" x14ac:dyDescent="0.25">
      <c r="C74" t="s">
        <v>60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row>
    <row r="75" spans="1:44" x14ac:dyDescent="0.25">
      <c r="C75" t="s">
        <v>158</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row>
    <row r="76" spans="1:44" x14ac:dyDescent="0.25">
      <c r="C76" t="s">
        <v>159</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row>
    <row r="77" spans="1:44" x14ac:dyDescent="0.25">
      <c r="C77" t="s">
        <v>160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row>
    <row r="78" spans="1:44" x14ac:dyDescent="0.25">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spans="1:44" ht="18.75" x14ac:dyDescent="0.3">
      <c r="A79" s="51" t="s">
        <v>172</v>
      </c>
      <c r="B79" s="52"/>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spans="1:44" ht="18.75" x14ac:dyDescent="0.3">
      <c r="A80" s="14"/>
      <c r="B80" s="15" t="s">
        <v>175</v>
      </c>
    </row>
    <row r="81" spans="1:31" x14ac:dyDescent="0.25">
      <c r="B81" s="1" t="s">
        <v>170</v>
      </c>
      <c r="C81" s="1" t="s">
        <v>161</v>
      </c>
    </row>
    <row r="82" spans="1:31" s="1" customFormat="1" x14ac:dyDescent="0.25">
      <c r="D82" s="1">
        <v>2023</v>
      </c>
      <c r="E82" s="1">
        <v>2024</v>
      </c>
      <c r="F82" s="1">
        <v>2025</v>
      </c>
      <c r="G82" s="1">
        <v>2026</v>
      </c>
      <c r="H82" s="1">
        <v>2027</v>
      </c>
      <c r="I82" s="1">
        <v>2028</v>
      </c>
      <c r="J82" s="1">
        <v>2029</v>
      </c>
      <c r="K82" s="1">
        <v>2030</v>
      </c>
      <c r="L82" s="1">
        <v>2031</v>
      </c>
      <c r="M82" s="1">
        <v>2032</v>
      </c>
      <c r="N82" s="1">
        <v>2033</v>
      </c>
      <c r="O82" s="1">
        <v>2034</v>
      </c>
      <c r="P82" s="1">
        <v>2035</v>
      </c>
      <c r="Q82" s="1">
        <v>2036</v>
      </c>
      <c r="R82" s="1">
        <v>2037</v>
      </c>
      <c r="S82" s="1">
        <v>2038</v>
      </c>
      <c r="T82" s="1">
        <v>2039</v>
      </c>
      <c r="U82" s="1">
        <v>2040</v>
      </c>
      <c r="V82" s="1">
        <v>2041</v>
      </c>
      <c r="W82" s="1">
        <v>2042</v>
      </c>
      <c r="X82" s="1">
        <v>2043</v>
      </c>
      <c r="Y82" s="1">
        <v>2044</v>
      </c>
      <c r="Z82" s="1">
        <v>2045</v>
      </c>
      <c r="AA82" s="1">
        <v>2046</v>
      </c>
      <c r="AB82" s="1">
        <v>2047</v>
      </c>
      <c r="AC82" s="1">
        <v>2048</v>
      </c>
      <c r="AD82" s="1">
        <v>2049</v>
      </c>
      <c r="AE82" s="1">
        <v>2050</v>
      </c>
    </row>
    <row r="83" spans="1:31" x14ac:dyDescent="0.25">
      <c r="C83" t="s">
        <v>58</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x14ac:dyDescent="0.25">
      <c r="A84" t="s">
        <v>1050</v>
      </c>
      <c r="B84" t="s">
        <v>747</v>
      </c>
      <c r="C84" t="s">
        <v>7</v>
      </c>
      <c r="D84">
        <f>AEO23_table_22._Comm!G60*gigwatt_to_megawatt</f>
        <v>1394.019</v>
      </c>
      <c r="E84">
        <f>INDEX(AEO25_Table_22._Commercial!$F$59:$AG$71,MATCH($B84,AEO25_Table_22._Commercial!$B$59:$B$71,0),MATCH(E$82,AEO25_Table_22._Commercial!$F$5:$AG$5,0))*gigwatt_to_megawatt</f>
        <v>1468.7250000000001</v>
      </c>
      <c r="F84">
        <f>INDEX(AEO26_Table_22._Commercial!$E$6:$AD$81,MATCH($A84,AEO26_Table_22._Commercial!$B$6:$B$81,0),MATCH(F$82,AEO26_Table_22._Commercial!$E$5:$AD$5,0))*gigwatt_to_megawatt</f>
        <v>1508.008</v>
      </c>
      <c r="G84">
        <f>INDEX(AEO26_Table_22._Commercial!$E$6:$AD$81,MATCH($A84,AEO26_Table_22._Commercial!$B$6:$B$81,0),MATCH(G$82,AEO26_Table_22._Commercial!$E$5:$AD$5,0))*gigwatt_to_megawatt</f>
        <v>1540.9690000000001</v>
      </c>
      <c r="H84">
        <f>INDEX(AEO26_Table_22._Commercial!$E$6:$AD$81,MATCH($A84,AEO26_Table_22._Commercial!$B$6:$B$81,0),MATCH(H$82,AEO26_Table_22._Commercial!$E$5:$AD$5,0))*gigwatt_to_megawatt</f>
        <v>1559.125</v>
      </c>
      <c r="I84">
        <f>INDEX(AEO26_Table_22._Commercial!$E$6:$AD$81,MATCH($A84,AEO26_Table_22._Commercial!$B$6:$B$81,0),MATCH(I$82,AEO26_Table_22._Commercial!$E$5:$AD$5,0))*gigwatt_to_megawatt</f>
        <v>1576.8690000000001</v>
      </c>
      <c r="J84">
        <f>INDEX(AEO26_Table_22._Commercial!$E$6:$AD$81,MATCH($A84,AEO26_Table_22._Commercial!$B$6:$B$81,0),MATCH(J$82,AEO26_Table_22._Commercial!$E$5:$AD$5,0))*gigwatt_to_megawatt</f>
        <v>1595.395</v>
      </c>
      <c r="K84">
        <f>INDEX(AEO26_Table_22._Commercial!$E$6:$AD$81,MATCH($A84,AEO26_Table_22._Commercial!$B$6:$B$81,0),MATCH(K$82,AEO26_Table_22._Commercial!$E$5:$AD$5,0))*gigwatt_to_megawatt</f>
        <v>1615.2909999999999</v>
      </c>
      <c r="L84">
        <f>INDEX(AEO26_Table_22._Commercial!$E$6:$AD$81,MATCH($A84,AEO26_Table_22._Commercial!$B$6:$B$81,0),MATCH(L$82,AEO26_Table_22._Commercial!$E$5:$AD$5,0))*gigwatt_to_megawatt</f>
        <v>1634.761</v>
      </c>
      <c r="M84">
        <f>INDEX(AEO26_Table_22._Commercial!$E$6:$AD$81,MATCH($A84,AEO26_Table_22._Commercial!$B$6:$B$81,0),MATCH(M$82,AEO26_Table_22._Commercial!$E$5:$AD$5,0))*gigwatt_to_megawatt</f>
        <v>1655.3439999999998</v>
      </c>
      <c r="N84">
        <f>INDEX(AEO26_Table_22._Commercial!$E$6:$AD$81,MATCH($A84,AEO26_Table_22._Commercial!$B$6:$B$81,0),MATCH(N$82,AEO26_Table_22._Commercial!$E$5:$AD$5,0))*gigwatt_to_megawatt</f>
        <v>1676.5520000000001</v>
      </c>
      <c r="O84">
        <f>INDEX(AEO26_Table_22._Commercial!$E$6:$AD$81,MATCH($A84,AEO26_Table_22._Commercial!$B$6:$B$81,0),MATCH(O$82,AEO26_Table_22._Commercial!$E$5:$AD$5,0))*gigwatt_to_megawatt</f>
        <v>1700.0949999999998</v>
      </c>
      <c r="P84">
        <f>INDEX(AEO26_Table_22._Commercial!$E$6:$AD$81,MATCH($A84,AEO26_Table_22._Commercial!$B$6:$B$81,0),MATCH(P$82,AEO26_Table_22._Commercial!$E$5:$AD$5,0))*gigwatt_to_megawatt</f>
        <v>1722.0139999999999</v>
      </c>
      <c r="Q84">
        <f>INDEX(AEO26_Table_22._Commercial!$E$6:$AD$81,MATCH($A84,AEO26_Table_22._Commercial!$B$6:$B$81,0),MATCH(Q$82,AEO26_Table_22._Commercial!$E$5:$AD$5,0))*gigwatt_to_megawatt</f>
        <v>1744.8120000000001</v>
      </c>
      <c r="R84">
        <f>INDEX(AEO26_Table_22._Commercial!$E$6:$AD$81,MATCH($A84,AEO26_Table_22._Commercial!$B$6:$B$81,0),MATCH(R$82,AEO26_Table_22._Commercial!$E$5:$AD$5,0))*gigwatt_to_megawatt</f>
        <v>1769.9970000000001</v>
      </c>
      <c r="S84">
        <f>INDEX(AEO26_Table_22._Commercial!$E$6:$AD$81,MATCH($A84,AEO26_Table_22._Commercial!$B$6:$B$81,0),MATCH(S$82,AEO26_Table_22._Commercial!$E$5:$AD$5,0))*gigwatt_to_megawatt</f>
        <v>1793.4589999999998</v>
      </c>
      <c r="T84">
        <f>INDEX(AEO26_Table_22._Commercial!$E$6:$AD$81,MATCH($A84,AEO26_Table_22._Commercial!$B$6:$B$81,0),MATCH(T$82,AEO26_Table_22._Commercial!$E$5:$AD$5,0))*gigwatt_to_megawatt</f>
        <v>1816.316</v>
      </c>
      <c r="U84">
        <f>INDEX(AEO26_Table_22._Commercial!$E$6:$AD$81,MATCH($A84,AEO26_Table_22._Commercial!$B$6:$B$81,0),MATCH(U$82,AEO26_Table_22._Commercial!$E$5:$AD$5,0))*gigwatt_to_megawatt</f>
        <v>1838.2280000000001</v>
      </c>
      <c r="V84">
        <f>INDEX(AEO26_Table_22._Commercial!$E$6:$AD$81,MATCH($A84,AEO26_Table_22._Commercial!$B$6:$B$81,0),MATCH(V$82,AEO26_Table_22._Commercial!$E$5:$AD$5,0))*gigwatt_to_megawatt</f>
        <v>1858.4989999999998</v>
      </c>
      <c r="W84">
        <f>INDEX(AEO26_Table_22._Commercial!$E$6:$AD$81,MATCH($A84,AEO26_Table_22._Commercial!$B$6:$B$81,0),MATCH(W$82,AEO26_Table_22._Commercial!$E$5:$AD$5,0))*gigwatt_to_megawatt</f>
        <v>1881.0849999999998</v>
      </c>
      <c r="X84">
        <f>INDEX(AEO26_Table_22._Commercial!$E$6:$AD$81,MATCH($A84,AEO26_Table_22._Commercial!$B$6:$B$81,0),MATCH(X$82,AEO26_Table_22._Commercial!$E$5:$AD$5,0))*gigwatt_to_megawatt</f>
        <v>1901.162</v>
      </c>
      <c r="Y84">
        <f>INDEX(AEO26_Table_22._Commercial!$E$6:$AD$81,MATCH($A84,AEO26_Table_22._Commercial!$B$6:$B$81,0),MATCH(Y$82,AEO26_Table_22._Commercial!$E$5:$AD$5,0))*gigwatt_to_megawatt</f>
        <v>1921.1780000000001</v>
      </c>
      <c r="Z84">
        <f>INDEX(AEO26_Table_22._Commercial!$E$6:$AD$81,MATCH($A84,AEO26_Table_22._Commercial!$B$6:$B$81,0),MATCH(Z$82,AEO26_Table_22._Commercial!$E$5:$AD$5,0))*gigwatt_to_megawatt</f>
        <v>1940.0839999999998</v>
      </c>
      <c r="AA84">
        <f>INDEX(AEO26_Table_22._Commercial!$E$6:$AD$81,MATCH($A84,AEO26_Table_22._Commercial!$B$6:$B$81,0),MATCH(AA$82,AEO26_Table_22._Commercial!$E$5:$AD$5,0))*gigwatt_to_megawatt</f>
        <v>1959.433</v>
      </c>
      <c r="AB84">
        <f>INDEX(AEO26_Table_22._Commercial!$E$6:$AD$81,MATCH($A84,AEO26_Table_22._Commercial!$B$6:$B$81,0),MATCH(AB$82,AEO26_Table_22._Commercial!$E$5:$AD$5,0))*gigwatt_to_megawatt</f>
        <v>1979.941</v>
      </c>
      <c r="AC84">
        <f>INDEX(AEO26_Table_22._Commercial!$E$6:$AD$81,MATCH($A84,AEO26_Table_22._Commercial!$B$6:$B$81,0),MATCH(AC$82,AEO26_Table_22._Commercial!$E$5:$AD$5,0))*gigwatt_to_megawatt</f>
        <v>2000.0969999999998</v>
      </c>
      <c r="AD84">
        <f>INDEX(AEO26_Table_22._Commercial!$E$6:$AD$81,MATCH($A84,AEO26_Table_22._Commercial!$B$6:$B$81,0),MATCH(AD$82,AEO26_Table_22._Commercial!$E$5:$AD$5,0))*gigwatt_to_megawatt</f>
        <v>2019.018</v>
      </c>
      <c r="AE84">
        <f>INDEX(AEO26_Table_22._Commercial!$E$6:$AD$81,MATCH($A84,AEO26_Table_22._Commercial!$B$6:$B$81,0),MATCH(AE$82,AEO26_Table_22._Commercial!$E$5:$AD$5,0))*gigwatt_to_megawatt</f>
        <v>2039.0600000000002</v>
      </c>
    </row>
    <row r="85" spans="1:31" x14ac:dyDescent="0.25">
      <c r="C85" t="s">
        <v>8</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x14ac:dyDescent="0.25">
      <c r="C86" t="s">
        <v>9</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x14ac:dyDescent="0.25">
      <c r="A87" t="s">
        <v>1054</v>
      </c>
      <c r="B87" t="s">
        <v>743</v>
      </c>
      <c r="C87" t="s">
        <v>59</v>
      </c>
      <c r="D87">
        <f>AEO23_table_22._Comm!G62*gigwatt_to_megawatt</f>
        <v>559.73700000000008</v>
      </c>
      <c r="E87">
        <f>INDEX(AEO25_Table_22._Commercial!$F$59:$AG$71,MATCH($B87,AEO25_Table_22._Commercial!$B$59:$B$71,0),MATCH(E$82,AEO25_Table_22._Commercial!$F$5:$AG$5,0))*gigwatt_to_megawatt</f>
        <v>585.6400000000001</v>
      </c>
      <c r="F87">
        <f>INDEX(AEO26_Table_22._Commercial!$E$6:$AD$81,MATCH($A87,AEO26_Table_22._Commercial!$B$6:$B$81,0),MATCH(F$82,AEO26_Table_22._Commercial!$E$5:$AD$5,0))*gigwatt_to_megawatt</f>
        <v>584.673</v>
      </c>
      <c r="G87">
        <f>INDEX(AEO26_Table_22._Commercial!$E$6:$AD$81,MATCH($A87,AEO26_Table_22._Commercial!$B$6:$B$81,0),MATCH(G$82,AEO26_Table_22._Commercial!$E$5:$AD$5,0))*gigwatt_to_megawatt</f>
        <v>585.34399999999994</v>
      </c>
      <c r="H87">
        <f>INDEX(AEO26_Table_22._Commercial!$E$6:$AD$81,MATCH($A87,AEO26_Table_22._Commercial!$B$6:$B$81,0),MATCH(H$82,AEO26_Table_22._Commercial!$E$5:$AD$5,0))*gigwatt_to_megawatt</f>
        <v>586.68500000000006</v>
      </c>
      <c r="I87">
        <f>INDEX(AEO26_Table_22._Commercial!$E$6:$AD$81,MATCH($A87,AEO26_Table_22._Commercial!$B$6:$B$81,0),MATCH(I$82,AEO26_Table_22._Commercial!$E$5:$AD$5,0))*gigwatt_to_megawatt</f>
        <v>586.89599999999996</v>
      </c>
      <c r="J87">
        <f>INDEX(AEO26_Table_22._Commercial!$E$6:$AD$81,MATCH($A87,AEO26_Table_22._Commercial!$B$6:$B$81,0),MATCH(J$82,AEO26_Table_22._Commercial!$E$5:$AD$5,0))*gigwatt_to_megawatt</f>
        <v>587.529</v>
      </c>
      <c r="K87">
        <f>INDEX(AEO26_Table_22._Commercial!$E$6:$AD$81,MATCH($A87,AEO26_Table_22._Commercial!$B$6:$B$81,0),MATCH(K$82,AEO26_Table_22._Commercial!$E$5:$AD$5,0))*gigwatt_to_megawatt</f>
        <v>588.68799999999999</v>
      </c>
      <c r="L87">
        <f>INDEX(AEO26_Table_22._Commercial!$E$6:$AD$81,MATCH($A87,AEO26_Table_22._Commercial!$B$6:$B$81,0),MATCH(L$82,AEO26_Table_22._Commercial!$E$5:$AD$5,0))*gigwatt_to_megawatt</f>
        <v>589.22799999999995</v>
      </c>
      <c r="M87">
        <f>INDEX(AEO26_Table_22._Commercial!$E$6:$AD$81,MATCH($A87,AEO26_Table_22._Commercial!$B$6:$B$81,0),MATCH(M$82,AEO26_Table_22._Commercial!$E$5:$AD$5,0))*gigwatt_to_megawatt</f>
        <v>590.12799999999993</v>
      </c>
      <c r="N87">
        <f>INDEX(AEO26_Table_22._Commercial!$E$6:$AD$81,MATCH($A87,AEO26_Table_22._Commercial!$B$6:$B$81,0),MATCH(N$82,AEO26_Table_22._Commercial!$E$5:$AD$5,0))*gigwatt_to_megawatt</f>
        <v>591.15499999999997</v>
      </c>
      <c r="O87">
        <f>INDEX(AEO26_Table_22._Commercial!$E$6:$AD$81,MATCH($A87,AEO26_Table_22._Commercial!$B$6:$B$81,0),MATCH(O$82,AEO26_Table_22._Commercial!$E$5:$AD$5,0))*gigwatt_to_megawatt</f>
        <v>591.76700000000005</v>
      </c>
      <c r="P87">
        <f>INDEX(AEO26_Table_22._Commercial!$E$6:$AD$81,MATCH($A87,AEO26_Table_22._Commercial!$B$6:$B$81,0),MATCH(P$82,AEO26_Table_22._Commercial!$E$5:$AD$5,0))*gigwatt_to_megawatt</f>
        <v>592.12699999999995</v>
      </c>
      <c r="Q87">
        <f>INDEX(AEO26_Table_22._Commercial!$E$6:$AD$81,MATCH($A87,AEO26_Table_22._Commercial!$B$6:$B$81,0),MATCH(Q$82,AEO26_Table_22._Commercial!$E$5:$AD$5,0))*gigwatt_to_megawatt</f>
        <v>592.31299999999999</v>
      </c>
      <c r="R87">
        <f>INDEX(AEO26_Table_22._Commercial!$E$6:$AD$81,MATCH($A87,AEO26_Table_22._Commercial!$B$6:$B$81,0),MATCH(R$82,AEO26_Table_22._Commercial!$E$5:$AD$5,0))*gigwatt_to_megawatt</f>
        <v>592.65</v>
      </c>
      <c r="S87">
        <f>INDEX(AEO26_Table_22._Commercial!$E$6:$AD$81,MATCH($A87,AEO26_Table_22._Commercial!$B$6:$B$81,0),MATCH(S$82,AEO26_Table_22._Commercial!$E$5:$AD$5,0))*gigwatt_to_megawatt</f>
        <v>592.97200000000009</v>
      </c>
      <c r="T87">
        <f>INDEX(AEO26_Table_22._Commercial!$E$6:$AD$81,MATCH($A87,AEO26_Table_22._Commercial!$B$6:$B$81,0),MATCH(T$82,AEO26_Table_22._Commercial!$E$5:$AD$5,0))*gigwatt_to_megawatt</f>
        <v>593.428</v>
      </c>
      <c r="U87">
        <f>INDEX(AEO26_Table_22._Commercial!$E$6:$AD$81,MATCH($A87,AEO26_Table_22._Commercial!$B$6:$B$81,0),MATCH(U$82,AEO26_Table_22._Commercial!$E$5:$AD$5,0))*gigwatt_to_megawatt</f>
        <v>593.94899999999996</v>
      </c>
      <c r="V87">
        <f>INDEX(AEO26_Table_22._Commercial!$E$6:$AD$81,MATCH($A87,AEO26_Table_22._Commercial!$B$6:$B$81,0),MATCH(V$82,AEO26_Table_22._Commercial!$E$5:$AD$5,0))*gigwatt_to_megawatt</f>
        <v>594.14400000000001</v>
      </c>
      <c r="W87">
        <f>INDEX(AEO26_Table_22._Commercial!$E$6:$AD$81,MATCH($A87,AEO26_Table_22._Commercial!$B$6:$B$81,0),MATCH(W$82,AEO26_Table_22._Commercial!$E$5:$AD$5,0))*gigwatt_to_megawatt</f>
        <v>594.97299999999996</v>
      </c>
      <c r="X87">
        <f>INDEX(AEO26_Table_22._Commercial!$E$6:$AD$81,MATCH($A87,AEO26_Table_22._Commercial!$B$6:$B$81,0),MATCH(X$82,AEO26_Table_22._Commercial!$E$5:$AD$5,0))*gigwatt_to_megawatt</f>
        <v>595.30099999999993</v>
      </c>
      <c r="Y87">
        <f>INDEX(AEO26_Table_22._Commercial!$E$6:$AD$81,MATCH($A87,AEO26_Table_22._Commercial!$B$6:$B$81,0),MATCH(Y$82,AEO26_Table_22._Commercial!$E$5:$AD$5,0))*gigwatt_to_megawatt</f>
        <v>595.58399999999995</v>
      </c>
      <c r="Z87">
        <f>INDEX(AEO26_Table_22._Commercial!$E$6:$AD$81,MATCH($A87,AEO26_Table_22._Commercial!$B$6:$B$81,0),MATCH(Z$82,AEO26_Table_22._Commercial!$E$5:$AD$5,0))*gigwatt_to_megawatt</f>
        <v>595.73400000000004</v>
      </c>
      <c r="AA87">
        <f>INDEX(AEO26_Table_22._Commercial!$E$6:$AD$81,MATCH($A87,AEO26_Table_22._Commercial!$B$6:$B$81,0),MATCH(AA$82,AEO26_Table_22._Commercial!$E$5:$AD$5,0))*gigwatt_to_megawatt</f>
        <v>595.96199999999999</v>
      </c>
      <c r="AB87">
        <f>INDEX(AEO26_Table_22._Commercial!$E$6:$AD$81,MATCH($A87,AEO26_Table_22._Commercial!$B$6:$B$81,0),MATCH(AB$82,AEO26_Table_22._Commercial!$E$5:$AD$5,0))*gigwatt_to_megawatt</f>
        <v>596.55700000000002</v>
      </c>
      <c r="AC87">
        <f>INDEX(AEO26_Table_22._Commercial!$E$6:$AD$81,MATCH($A87,AEO26_Table_22._Commercial!$B$6:$B$81,0),MATCH(AC$82,AEO26_Table_22._Commercial!$E$5:$AD$5,0))*gigwatt_to_megawatt</f>
        <v>596.93600000000004</v>
      </c>
      <c r="AD87">
        <f>INDEX(AEO26_Table_22._Commercial!$E$6:$AD$81,MATCH($A87,AEO26_Table_22._Commercial!$B$6:$B$81,0),MATCH(AD$82,AEO26_Table_22._Commercial!$E$5:$AD$5,0))*gigwatt_to_megawatt</f>
        <v>597.101</v>
      </c>
      <c r="AE87">
        <f>INDEX(AEO26_Table_22._Commercial!$E$6:$AD$81,MATCH($A87,AEO26_Table_22._Commercial!$B$6:$B$81,0),MATCH(AE$82,AEO26_Table_22._Commercial!$E$5:$AD$5,0))*gigwatt_to_megawatt</f>
        <v>597.29600000000005</v>
      </c>
    </row>
    <row r="88" spans="1:31" x14ac:dyDescent="0.25">
      <c r="A88" t="s">
        <v>1052</v>
      </c>
      <c r="B88" t="s">
        <v>745</v>
      </c>
      <c r="C88" t="s">
        <v>10</v>
      </c>
      <c r="D88">
        <f>AEO23_table_22._Comm!G61*gigwatt_to_megawatt</f>
        <v>26815.535</v>
      </c>
      <c r="E88">
        <f>INDEX(AEO25_Table_22._Commercial!$F$59:$AG$71,MATCH($B88,AEO25_Table_22._Commercial!$B$59:$B$71,0),MATCH(E$82,AEO25_Table_22._Commercial!$F$5:$AG$5,0))*gigwatt_to_megawatt</f>
        <v>29403.9</v>
      </c>
      <c r="F88">
        <f>INDEX(AEO26_Table_22._Commercial!$E$6:$AD$81,MATCH($A88,AEO26_Table_22._Commercial!$B$6:$B$81,0),MATCH(F$82,AEO26_Table_22._Commercial!$E$5:$AD$5,0))*gigwatt_to_megawatt</f>
        <v>33559.604999999996</v>
      </c>
      <c r="G88">
        <f>INDEX(AEO26_Table_22._Commercial!$E$6:$AD$81,MATCH($A88,AEO26_Table_22._Commercial!$B$6:$B$81,0),MATCH(G$82,AEO26_Table_22._Commercial!$E$5:$AD$5,0))*gigwatt_to_megawatt</f>
        <v>37794.93</v>
      </c>
      <c r="H88">
        <f>INDEX(AEO26_Table_22._Commercial!$E$6:$AD$81,MATCH($A88,AEO26_Table_22._Commercial!$B$6:$B$81,0),MATCH(H$82,AEO26_Table_22._Commercial!$E$5:$AD$5,0))*gigwatt_to_megawatt</f>
        <v>41405.586000000003</v>
      </c>
      <c r="I88">
        <f>INDEX(AEO26_Table_22._Commercial!$E$6:$AD$81,MATCH($A88,AEO26_Table_22._Commercial!$B$6:$B$81,0),MATCH(I$82,AEO26_Table_22._Commercial!$E$5:$AD$5,0))*gigwatt_to_megawatt</f>
        <v>43145.611000000004</v>
      </c>
      <c r="J88">
        <f>INDEX(AEO26_Table_22._Commercial!$E$6:$AD$81,MATCH($A88,AEO26_Table_22._Commercial!$B$6:$B$81,0),MATCH(J$82,AEO26_Table_22._Commercial!$E$5:$AD$5,0))*gigwatt_to_megawatt</f>
        <v>44266.197</v>
      </c>
      <c r="K88">
        <f>INDEX(AEO26_Table_22._Commercial!$E$6:$AD$81,MATCH($A88,AEO26_Table_22._Commercial!$B$6:$B$81,0),MATCH(K$82,AEO26_Table_22._Commercial!$E$5:$AD$5,0))*gigwatt_to_megawatt</f>
        <v>45534.084000000003</v>
      </c>
      <c r="L88">
        <f>INDEX(AEO26_Table_22._Commercial!$E$6:$AD$81,MATCH($A88,AEO26_Table_22._Commercial!$B$6:$B$81,0),MATCH(L$82,AEO26_Table_22._Commercial!$E$5:$AD$5,0))*gigwatt_to_megawatt</f>
        <v>46463.576999999997</v>
      </c>
      <c r="M88">
        <f>INDEX(AEO26_Table_22._Commercial!$E$6:$AD$81,MATCH($A88,AEO26_Table_22._Commercial!$B$6:$B$81,0),MATCH(M$82,AEO26_Table_22._Commercial!$E$5:$AD$5,0))*gigwatt_to_megawatt</f>
        <v>47210.957000000002</v>
      </c>
      <c r="N88">
        <f>INDEX(AEO26_Table_22._Commercial!$E$6:$AD$81,MATCH($A88,AEO26_Table_22._Commercial!$B$6:$B$81,0),MATCH(N$82,AEO26_Table_22._Commercial!$E$5:$AD$5,0))*gigwatt_to_megawatt</f>
        <v>48048.740000000005</v>
      </c>
      <c r="O88">
        <f>INDEX(AEO26_Table_22._Commercial!$E$6:$AD$81,MATCH($A88,AEO26_Table_22._Commercial!$B$6:$B$81,0),MATCH(O$82,AEO26_Table_22._Commercial!$E$5:$AD$5,0))*gigwatt_to_megawatt</f>
        <v>49354.031000000003</v>
      </c>
      <c r="P88">
        <f>INDEX(AEO26_Table_22._Commercial!$E$6:$AD$81,MATCH($A88,AEO26_Table_22._Commercial!$B$6:$B$81,0),MATCH(P$82,AEO26_Table_22._Commercial!$E$5:$AD$5,0))*gigwatt_to_megawatt</f>
        <v>50425.938000000002</v>
      </c>
      <c r="Q88">
        <f>INDEX(AEO26_Table_22._Commercial!$E$6:$AD$81,MATCH($A88,AEO26_Table_22._Commercial!$B$6:$B$81,0),MATCH(Q$82,AEO26_Table_22._Commercial!$E$5:$AD$5,0))*gigwatt_to_megawatt</f>
        <v>51324.492999999995</v>
      </c>
      <c r="R88">
        <f>INDEX(AEO26_Table_22._Commercial!$E$6:$AD$81,MATCH($A88,AEO26_Table_22._Commercial!$B$6:$B$81,0),MATCH(R$82,AEO26_Table_22._Commercial!$E$5:$AD$5,0))*gigwatt_to_megawatt</f>
        <v>52927.57</v>
      </c>
      <c r="S88">
        <f>INDEX(AEO26_Table_22._Commercial!$E$6:$AD$81,MATCH($A88,AEO26_Table_22._Commercial!$B$6:$B$81,0),MATCH(S$82,AEO26_Table_22._Commercial!$E$5:$AD$5,0))*gigwatt_to_megawatt</f>
        <v>54478.226000000002</v>
      </c>
      <c r="T88">
        <f>INDEX(AEO26_Table_22._Commercial!$E$6:$AD$81,MATCH($A88,AEO26_Table_22._Commercial!$B$6:$B$81,0),MATCH(T$82,AEO26_Table_22._Commercial!$E$5:$AD$5,0))*gigwatt_to_megawatt</f>
        <v>56396.023000000001</v>
      </c>
      <c r="U88">
        <f>INDEX(AEO26_Table_22._Commercial!$E$6:$AD$81,MATCH($A88,AEO26_Table_22._Commercial!$B$6:$B$81,0),MATCH(U$82,AEO26_Table_22._Commercial!$E$5:$AD$5,0))*gigwatt_to_megawatt</f>
        <v>58020.966</v>
      </c>
      <c r="V88">
        <f>INDEX(AEO26_Table_22._Commercial!$E$6:$AD$81,MATCH($A88,AEO26_Table_22._Commercial!$B$6:$B$81,0),MATCH(V$82,AEO26_Table_22._Commercial!$E$5:$AD$5,0))*gigwatt_to_megawatt</f>
        <v>58883.471999999994</v>
      </c>
      <c r="W88">
        <f>INDEX(AEO26_Table_22._Commercial!$E$6:$AD$81,MATCH($A88,AEO26_Table_22._Commercial!$B$6:$B$81,0),MATCH(W$82,AEO26_Table_22._Commercial!$E$5:$AD$5,0))*gigwatt_to_megawatt</f>
        <v>60235.283000000003</v>
      </c>
      <c r="X88">
        <f>INDEX(AEO26_Table_22._Commercial!$E$6:$AD$81,MATCH($A88,AEO26_Table_22._Commercial!$B$6:$B$81,0),MATCH(X$82,AEO26_Table_22._Commercial!$E$5:$AD$5,0))*gigwatt_to_megawatt</f>
        <v>60950.233</v>
      </c>
      <c r="Y88">
        <f>INDEX(AEO26_Table_22._Commercial!$E$6:$AD$81,MATCH($A88,AEO26_Table_22._Commercial!$B$6:$B$81,0),MATCH(Y$82,AEO26_Table_22._Commercial!$E$5:$AD$5,0))*gigwatt_to_megawatt</f>
        <v>61766.342000000004</v>
      </c>
      <c r="Z88">
        <f>INDEX(AEO26_Table_22._Commercial!$E$6:$AD$81,MATCH($A88,AEO26_Table_22._Commercial!$B$6:$B$81,0),MATCH(Z$82,AEO26_Table_22._Commercial!$E$5:$AD$5,0))*gigwatt_to_megawatt</f>
        <v>62420.555</v>
      </c>
      <c r="AA88">
        <f>INDEX(AEO26_Table_22._Commercial!$E$6:$AD$81,MATCH($A88,AEO26_Table_22._Commercial!$B$6:$B$81,0),MATCH(AA$82,AEO26_Table_22._Commercial!$E$5:$AD$5,0))*gigwatt_to_megawatt</f>
        <v>63444.836000000003</v>
      </c>
      <c r="AB88">
        <f>INDEX(AEO26_Table_22._Commercial!$E$6:$AD$81,MATCH($A88,AEO26_Table_22._Commercial!$B$6:$B$81,0),MATCH(AB$82,AEO26_Table_22._Commercial!$E$5:$AD$5,0))*gigwatt_to_megawatt</f>
        <v>64722.854999999996</v>
      </c>
      <c r="AC88">
        <f>INDEX(AEO26_Table_22._Commercial!$E$6:$AD$81,MATCH($A88,AEO26_Table_22._Commercial!$B$6:$B$81,0),MATCH(AC$82,AEO26_Table_22._Commercial!$E$5:$AD$5,0))*gigwatt_to_megawatt</f>
        <v>66026.054000000004</v>
      </c>
      <c r="AD88">
        <f>INDEX(AEO26_Table_22._Commercial!$E$6:$AD$81,MATCH($A88,AEO26_Table_22._Commercial!$B$6:$B$81,0),MATCH(AD$82,AEO26_Table_22._Commercial!$E$5:$AD$5,0))*gigwatt_to_megawatt</f>
        <v>66979.820000000007</v>
      </c>
      <c r="AE88">
        <f>INDEX(AEO26_Table_22._Commercial!$E$6:$AD$81,MATCH($A88,AEO26_Table_22._Commercial!$B$6:$B$81,0),MATCH(AE$82,AEO26_Table_22._Commercial!$E$5:$AD$5,0))*gigwatt_to_megawatt</f>
        <v>68250.770999999993</v>
      </c>
    </row>
    <row r="89" spans="1:31" x14ac:dyDescent="0.25">
      <c r="C89" t="s">
        <v>11</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x14ac:dyDescent="0.25">
      <c r="C90" t="s">
        <v>12</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x14ac:dyDescent="0.25">
      <c r="C91" t="s">
        <v>13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x14ac:dyDescent="0.25">
      <c r="A92" t="s">
        <v>1048</v>
      </c>
      <c r="B92" t="s">
        <v>749</v>
      </c>
      <c r="C92" t="s">
        <v>14</v>
      </c>
      <c r="D92">
        <f>AEO23_table_22._Comm!G59*gigwatt_to_megawatt</f>
        <v>13.979999999999999</v>
      </c>
      <c r="E92">
        <f>INDEX(AEO25_Table_22._Commercial!$F$59:$AG$71,MATCH($B92,AEO25_Table_22._Commercial!$B$59:$B$71,0),MATCH(E$82,AEO25_Table_22._Commercial!$F$5:$AG$5,0))*gigwatt_to_megawatt</f>
        <v>20.507000000000001</v>
      </c>
      <c r="F92">
        <f>INDEX(AEO26_Table_22._Commercial!$E$6:$AD$81,MATCH($A92,AEO26_Table_22._Commercial!$B$6:$B$81,0),MATCH(F$82,AEO26_Table_22._Commercial!$E$5:$AD$5,0))*gigwatt_to_megawatt</f>
        <v>14.146000000000001</v>
      </c>
      <c r="G92">
        <f>INDEX(AEO26_Table_22._Commercial!$E$6:$AD$81,MATCH($A92,AEO26_Table_22._Commercial!$B$6:$B$81,0),MATCH(G$82,AEO26_Table_22._Commercial!$E$5:$AD$5,0))*gigwatt_to_megawatt</f>
        <v>14.146000000000001</v>
      </c>
      <c r="H92">
        <f>INDEX(AEO26_Table_22._Commercial!$E$6:$AD$81,MATCH($A92,AEO26_Table_22._Commercial!$B$6:$B$81,0),MATCH(H$82,AEO26_Table_22._Commercial!$E$5:$AD$5,0))*gigwatt_to_megawatt</f>
        <v>14.146000000000001</v>
      </c>
      <c r="I92">
        <f>INDEX(AEO26_Table_22._Commercial!$E$6:$AD$81,MATCH($A92,AEO26_Table_22._Commercial!$B$6:$B$81,0),MATCH(I$82,AEO26_Table_22._Commercial!$E$5:$AD$5,0))*gigwatt_to_megawatt</f>
        <v>14.146000000000001</v>
      </c>
      <c r="J92">
        <f>INDEX(AEO26_Table_22._Commercial!$E$6:$AD$81,MATCH($A92,AEO26_Table_22._Commercial!$B$6:$B$81,0),MATCH(J$82,AEO26_Table_22._Commercial!$E$5:$AD$5,0))*gigwatt_to_megawatt</f>
        <v>14.146000000000001</v>
      </c>
      <c r="K92">
        <f>INDEX(AEO26_Table_22._Commercial!$E$6:$AD$81,MATCH($A92,AEO26_Table_22._Commercial!$B$6:$B$81,0),MATCH(K$82,AEO26_Table_22._Commercial!$E$5:$AD$5,0))*gigwatt_to_megawatt</f>
        <v>14.146000000000001</v>
      </c>
      <c r="L92">
        <f>INDEX(AEO26_Table_22._Commercial!$E$6:$AD$81,MATCH($A92,AEO26_Table_22._Commercial!$B$6:$B$81,0),MATCH(L$82,AEO26_Table_22._Commercial!$E$5:$AD$5,0))*gigwatt_to_megawatt</f>
        <v>14.146000000000001</v>
      </c>
      <c r="M92">
        <f>INDEX(AEO26_Table_22._Commercial!$E$6:$AD$81,MATCH($A92,AEO26_Table_22._Commercial!$B$6:$B$81,0),MATCH(M$82,AEO26_Table_22._Commercial!$E$5:$AD$5,0))*gigwatt_to_megawatt</f>
        <v>14.146000000000001</v>
      </c>
      <c r="N92">
        <f>INDEX(AEO26_Table_22._Commercial!$E$6:$AD$81,MATCH($A92,AEO26_Table_22._Commercial!$B$6:$B$81,0),MATCH(N$82,AEO26_Table_22._Commercial!$E$5:$AD$5,0))*gigwatt_to_megawatt</f>
        <v>14.146000000000001</v>
      </c>
      <c r="O92">
        <f>INDEX(AEO26_Table_22._Commercial!$E$6:$AD$81,MATCH($A92,AEO26_Table_22._Commercial!$B$6:$B$81,0),MATCH(O$82,AEO26_Table_22._Commercial!$E$5:$AD$5,0))*gigwatt_to_megawatt</f>
        <v>14.146000000000001</v>
      </c>
      <c r="P92">
        <f>INDEX(AEO26_Table_22._Commercial!$E$6:$AD$81,MATCH($A92,AEO26_Table_22._Commercial!$B$6:$B$81,0),MATCH(P$82,AEO26_Table_22._Commercial!$E$5:$AD$5,0))*gigwatt_to_megawatt</f>
        <v>14.146000000000001</v>
      </c>
      <c r="Q92">
        <f>INDEX(AEO26_Table_22._Commercial!$E$6:$AD$81,MATCH($A92,AEO26_Table_22._Commercial!$B$6:$B$81,0),MATCH(Q$82,AEO26_Table_22._Commercial!$E$5:$AD$5,0))*gigwatt_to_megawatt</f>
        <v>14.146000000000001</v>
      </c>
      <c r="R92">
        <f>INDEX(AEO26_Table_22._Commercial!$E$6:$AD$81,MATCH($A92,AEO26_Table_22._Commercial!$B$6:$B$81,0),MATCH(R$82,AEO26_Table_22._Commercial!$E$5:$AD$5,0))*gigwatt_to_megawatt</f>
        <v>14.146000000000001</v>
      </c>
      <c r="S92">
        <f>INDEX(AEO26_Table_22._Commercial!$E$6:$AD$81,MATCH($A92,AEO26_Table_22._Commercial!$B$6:$B$81,0),MATCH(S$82,AEO26_Table_22._Commercial!$E$5:$AD$5,0))*gigwatt_to_megawatt</f>
        <v>14.146000000000001</v>
      </c>
      <c r="T92">
        <f>INDEX(AEO26_Table_22._Commercial!$E$6:$AD$81,MATCH($A92,AEO26_Table_22._Commercial!$B$6:$B$81,0),MATCH(T$82,AEO26_Table_22._Commercial!$E$5:$AD$5,0))*gigwatt_to_megawatt</f>
        <v>14.146000000000001</v>
      </c>
      <c r="U92">
        <f>INDEX(AEO26_Table_22._Commercial!$E$6:$AD$81,MATCH($A92,AEO26_Table_22._Commercial!$B$6:$B$81,0),MATCH(U$82,AEO26_Table_22._Commercial!$E$5:$AD$5,0))*gigwatt_to_megawatt</f>
        <v>14.146000000000001</v>
      </c>
      <c r="V92">
        <f>INDEX(AEO26_Table_22._Commercial!$E$6:$AD$81,MATCH($A92,AEO26_Table_22._Commercial!$B$6:$B$81,0),MATCH(V$82,AEO26_Table_22._Commercial!$E$5:$AD$5,0))*gigwatt_to_megawatt</f>
        <v>14.146000000000001</v>
      </c>
      <c r="W92">
        <f>INDEX(AEO26_Table_22._Commercial!$E$6:$AD$81,MATCH($A92,AEO26_Table_22._Commercial!$B$6:$B$81,0),MATCH(W$82,AEO26_Table_22._Commercial!$E$5:$AD$5,0))*gigwatt_to_megawatt</f>
        <v>14.146000000000001</v>
      </c>
      <c r="X92">
        <f>INDEX(AEO26_Table_22._Commercial!$E$6:$AD$81,MATCH($A92,AEO26_Table_22._Commercial!$B$6:$B$81,0),MATCH(X$82,AEO26_Table_22._Commercial!$E$5:$AD$5,0))*gigwatt_to_megawatt</f>
        <v>14.146000000000001</v>
      </c>
      <c r="Y92">
        <f>INDEX(AEO26_Table_22._Commercial!$E$6:$AD$81,MATCH($A92,AEO26_Table_22._Commercial!$B$6:$B$81,0),MATCH(Y$82,AEO26_Table_22._Commercial!$E$5:$AD$5,0))*gigwatt_to_megawatt</f>
        <v>14.146000000000001</v>
      </c>
      <c r="Z92">
        <f>INDEX(AEO26_Table_22._Commercial!$E$6:$AD$81,MATCH($A92,AEO26_Table_22._Commercial!$B$6:$B$81,0),MATCH(Z$82,AEO26_Table_22._Commercial!$E$5:$AD$5,0))*gigwatt_to_megawatt</f>
        <v>14.146000000000001</v>
      </c>
      <c r="AA92">
        <f>INDEX(AEO26_Table_22._Commercial!$E$6:$AD$81,MATCH($A92,AEO26_Table_22._Commercial!$B$6:$B$81,0),MATCH(AA$82,AEO26_Table_22._Commercial!$E$5:$AD$5,0))*gigwatt_to_megawatt</f>
        <v>14.146000000000001</v>
      </c>
      <c r="AB92">
        <f>INDEX(AEO26_Table_22._Commercial!$E$6:$AD$81,MATCH($A92,AEO26_Table_22._Commercial!$B$6:$B$81,0),MATCH(AB$82,AEO26_Table_22._Commercial!$E$5:$AD$5,0))*gigwatt_to_megawatt</f>
        <v>14.146000000000001</v>
      </c>
      <c r="AC92">
        <f>INDEX(AEO26_Table_22._Commercial!$E$6:$AD$81,MATCH($A92,AEO26_Table_22._Commercial!$B$6:$B$81,0),MATCH(AC$82,AEO26_Table_22._Commercial!$E$5:$AD$5,0))*gigwatt_to_megawatt</f>
        <v>14.146000000000001</v>
      </c>
      <c r="AD92">
        <f>INDEX(AEO26_Table_22._Commercial!$E$6:$AD$81,MATCH($A92,AEO26_Table_22._Commercial!$B$6:$B$81,0),MATCH(AD$82,AEO26_Table_22._Commercial!$E$5:$AD$5,0))*gigwatt_to_megawatt</f>
        <v>14.146000000000001</v>
      </c>
      <c r="AE92">
        <f>INDEX(AEO26_Table_22._Commercial!$E$6:$AD$81,MATCH($A92,AEO26_Table_22._Commercial!$B$6:$B$81,0),MATCH(AE$82,AEO26_Table_22._Commercial!$E$5:$AD$5,0))*gigwatt_to_megawatt</f>
        <v>14.146000000000001</v>
      </c>
    </row>
    <row r="93" spans="1:31" x14ac:dyDescent="0.25">
      <c r="C93" t="s">
        <v>15</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x14ac:dyDescent="0.25">
      <c r="C94" t="s">
        <v>57</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x14ac:dyDescent="0.25">
      <c r="C95" t="s">
        <v>60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row>
    <row r="96" spans="1:31" x14ac:dyDescent="0.25">
      <c r="C96" t="s">
        <v>158</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x14ac:dyDescent="0.25">
      <c r="C97" t="s">
        <v>159</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x14ac:dyDescent="0.25">
      <c r="C98" t="s">
        <v>160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x14ac:dyDescent="0.25">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spans="1:31" x14ac:dyDescent="0.25">
      <c r="B100" s="15" t="s">
        <v>174</v>
      </c>
    </row>
    <row r="101" spans="1:31" x14ac:dyDescent="0.25">
      <c r="B101" s="1" t="s">
        <v>167</v>
      </c>
      <c r="C101" s="1" t="s">
        <v>162</v>
      </c>
    </row>
    <row r="102" spans="1:31" s="1" customFormat="1" x14ac:dyDescent="0.25">
      <c r="D102" s="1">
        <v>2023</v>
      </c>
      <c r="E102" s="1">
        <v>2024</v>
      </c>
      <c r="F102" s="1">
        <v>2025</v>
      </c>
      <c r="G102" s="1">
        <v>2026</v>
      </c>
      <c r="H102" s="1">
        <v>2027</v>
      </c>
      <c r="I102" s="1">
        <v>2028</v>
      </c>
      <c r="J102" s="1">
        <v>2029</v>
      </c>
      <c r="K102" s="1">
        <v>2030</v>
      </c>
      <c r="L102" s="1">
        <v>2031</v>
      </c>
      <c r="M102" s="1">
        <v>2032</v>
      </c>
      <c r="N102" s="1">
        <v>2033</v>
      </c>
      <c r="O102" s="1">
        <v>2034</v>
      </c>
      <c r="P102" s="1">
        <v>2035</v>
      </c>
      <c r="Q102" s="1">
        <v>2036</v>
      </c>
      <c r="R102" s="1">
        <v>2037</v>
      </c>
      <c r="S102" s="1">
        <v>2038</v>
      </c>
      <c r="T102" s="1">
        <v>2039</v>
      </c>
      <c r="U102" s="1">
        <v>2040</v>
      </c>
      <c r="V102" s="1">
        <v>2041</v>
      </c>
      <c r="W102" s="1">
        <v>2042</v>
      </c>
      <c r="X102" s="1">
        <v>2043</v>
      </c>
      <c r="Y102" s="1">
        <v>2044</v>
      </c>
      <c r="Z102" s="1">
        <v>2045</v>
      </c>
      <c r="AA102" s="1">
        <v>2046</v>
      </c>
      <c r="AB102" s="1">
        <v>2047</v>
      </c>
      <c r="AC102" s="1">
        <v>2048</v>
      </c>
      <c r="AD102" s="1">
        <v>2049</v>
      </c>
      <c r="AE102" s="1">
        <v>2050</v>
      </c>
    </row>
    <row r="103" spans="1:31" x14ac:dyDescent="0.25">
      <c r="C103" t="s">
        <v>58</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x14ac:dyDescent="0.25">
      <c r="A104" t="s">
        <v>1062</v>
      </c>
      <c r="B104" t="s">
        <v>735</v>
      </c>
      <c r="C104" t="s">
        <v>7</v>
      </c>
      <c r="D104">
        <f>AEO23_table_22._Comm!G67*billion_kw_to_MW</f>
        <v>9723283</v>
      </c>
      <c r="E104">
        <f>INDEX(AEO25_Table_22._Commercial!$F$59:$AG$71,MATCH($B104,AEO25_Table_22._Commercial!$B$59:$B$71,0),MATCH(E$82,AEO25_Table_22._Commercial!$F$5:$AG$5,0))*billion_kw_to_MW</f>
        <v>8774793</v>
      </c>
      <c r="F104">
        <f>INDEX(AEO26_Table_22._Commercial!$E$6:$AD$81,MATCH($A104,AEO26_Table_22._Commercial!$B$6:$B$81,0),MATCH(F$82,AEO26_Table_22._Commercial!$E$5:$AD$5,0))*billion_kw_to_MW</f>
        <v>8993502</v>
      </c>
      <c r="G104">
        <f>INDEX(AEO26_Table_22._Commercial!$E$6:$AD$81,MATCH($A104,AEO26_Table_22._Commercial!$B$6:$B$81,0),MATCH(G$82,AEO26_Table_22._Commercial!$E$5:$AD$5,0))*billion_kw_to_MW</f>
        <v>9177331</v>
      </c>
      <c r="H104">
        <f>INDEX(AEO26_Table_22._Commercial!$E$6:$AD$81,MATCH($A104,AEO26_Table_22._Commercial!$B$6:$B$81,0),MATCH(H$82,AEO26_Table_22._Commercial!$E$5:$AD$5,0))*billion_kw_to_MW</f>
        <v>9287245</v>
      </c>
      <c r="I104">
        <f>INDEX(AEO26_Table_22._Commercial!$E$6:$AD$81,MATCH($A104,AEO26_Table_22._Commercial!$B$6:$B$81,0),MATCH(I$82,AEO26_Table_22._Commercial!$E$5:$AD$5,0))*billion_kw_to_MW</f>
        <v>9394723</v>
      </c>
      <c r="J104">
        <f>INDEX(AEO26_Table_22._Commercial!$E$6:$AD$81,MATCH($A104,AEO26_Table_22._Commercial!$B$6:$B$81,0),MATCH(J$82,AEO26_Table_22._Commercial!$E$5:$AD$5,0))*billion_kw_to_MW</f>
        <v>9505925</v>
      </c>
      <c r="K104">
        <f>INDEX(AEO26_Table_22._Commercial!$E$6:$AD$81,MATCH($A104,AEO26_Table_22._Commercial!$B$6:$B$81,0),MATCH(K$82,AEO26_Table_22._Commercial!$E$5:$AD$5,0))*billion_kw_to_MW</f>
        <v>9624269</v>
      </c>
      <c r="L104">
        <f>INDEX(AEO26_Table_22._Commercial!$E$6:$AD$81,MATCH($A104,AEO26_Table_22._Commercial!$B$6:$B$81,0),MATCH(L$82,AEO26_Table_22._Commercial!$E$5:$AD$5,0))*billion_kw_to_MW</f>
        <v>9741152</v>
      </c>
      <c r="M104">
        <f>INDEX(AEO26_Table_22._Commercial!$E$6:$AD$81,MATCH($A104,AEO26_Table_22._Commercial!$B$6:$B$81,0),MATCH(M$82,AEO26_Table_22._Commercial!$E$5:$AD$5,0))*billion_kw_to_MW</f>
        <v>9864296</v>
      </c>
      <c r="N104">
        <f>INDEX(AEO26_Table_22._Commercial!$E$6:$AD$81,MATCH($A104,AEO26_Table_22._Commercial!$B$6:$B$81,0),MATCH(N$82,AEO26_Table_22._Commercial!$E$5:$AD$5,0))*billion_kw_to_MW</f>
        <v>9991460</v>
      </c>
      <c r="O104">
        <f>INDEX(AEO26_Table_22._Commercial!$E$6:$AD$81,MATCH($A104,AEO26_Table_22._Commercial!$B$6:$B$81,0),MATCH(O$82,AEO26_Table_22._Commercial!$E$5:$AD$5,0))*billion_kw_to_MW</f>
        <v>10130486</v>
      </c>
      <c r="P104">
        <f>INDEX(AEO26_Table_22._Commercial!$E$6:$AD$81,MATCH($A104,AEO26_Table_22._Commercial!$B$6:$B$81,0),MATCH(P$82,AEO26_Table_22._Commercial!$E$5:$AD$5,0))*billion_kw_to_MW</f>
        <v>10261999</v>
      </c>
      <c r="Q104">
        <f>INDEX(AEO26_Table_22._Commercial!$E$6:$AD$81,MATCH($A104,AEO26_Table_22._Commercial!$B$6:$B$81,0),MATCH(Q$82,AEO26_Table_22._Commercial!$E$5:$AD$5,0))*billion_kw_to_MW</f>
        <v>10398590</v>
      </c>
      <c r="R104">
        <f>INDEX(AEO26_Table_22._Commercial!$E$6:$AD$81,MATCH($A104,AEO26_Table_22._Commercial!$B$6:$B$81,0),MATCH(R$82,AEO26_Table_22._Commercial!$E$5:$AD$5,0))*billion_kw_to_MW</f>
        <v>10547682</v>
      </c>
      <c r="S104">
        <f>INDEX(AEO26_Table_22._Commercial!$E$6:$AD$81,MATCH($A104,AEO26_Table_22._Commercial!$B$6:$B$81,0),MATCH(S$82,AEO26_Table_22._Commercial!$E$5:$AD$5,0))*billion_kw_to_MW</f>
        <v>10688287</v>
      </c>
      <c r="T104">
        <f>INDEX(AEO26_Table_22._Commercial!$E$6:$AD$81,MATCH($A104,AEO26_Table_22._Commercial!$B$6:$B$81,0),MATCH(T$82,AEO26_Table_22._Commercial!$E$5:$AD$5,0))*billion_kw_to_MW</f>
        <v>10824841</v>
      </c>
      <c r="U104">
        <f>INDEX(AEO26_Table_22._Commercial!$E$6:$AD$81,MATCH($A104,AEO26_Table_22._Commercial!$B$6:$B$81,0),MATCH(U$82,AEO26_Table_22._Commercial!$E$5:$AD$5,0))*billion_kw_to_MW</f>
        <v>10956556</v>
      </c>
      <c r="V104">
        <f>INDEX(AEO26_Table_22._Commercial!$E$6:$AD$81,MATCH($A104,AEO26_Table_22._Commercial!$B$6:$B$81,0),MATCH(V$82,AEO26_Table_22._Commercial!$E$5:$AD$5,0))*billion_kw_to_MW</f>
        <v>11079158</v>
      </c>
      <c r="W104">
        <f>INDEX(AEO26_Table_22._Commercial!$E$6:$AD$81,MATCH($A104,AEO26_Table_22._Commercial!$B$6:$B$81,0),MATCH(W$82,AEO26_Table_22._Commercial!$E$5:$AD$5,0))*billion_kw_to_MW</f>
        <v>11212235</v>
      </c>
      <c r="X104">
        <f>INDEX(AEO26_Table_22._Commercial!$E$6:$AD$81,MATCH($A104,AEO26_Table_22._Commercial!$B$6:$B$81,0),MATCH(X$82,AEO26_Table_22._Commercial!$E$5:$AD$5,0))*billion_kw_to_MW</f>
        <v>11333235</v>
      </c>
      <c r="Y104">
        <f>INDEX(AEO26_Table_22._Commercial!$E$6:$AD$81,MATCH($A104,AEO26_Table_22._Commercial!$B$6:$B$81,0),MATCH(Y$82,AEO26_Table_22._Commercial!$E$5:$AD$5,0))*billion_kw_to_MW</f>
        <v>11453098</v>
      </c>
      <c r="Z104">
        <f>INDEX(AEO26_Table_22._Commercial!$E$6:$AD$81,MATCH($A104,AEO26_Table_22._Commercial!$B$6:$B$81,0),MATCH(Z$82,AEO26_Table_22._Commercial!$E$5:$AD$5,0))*billion_kw_to_MW</f>
        <v>11567205</v>
      </c>
      <c r="AA104">
        <f>INDEX(AEO26_Table_22._Commercial!$E$6:$AD$81,MATCH($A104,AEO26_Table_22._Commercial!$B$6:$B$81,0),MATCH(AA$82,AEO26_Table_22._Commercial!$E$5:$AD$5,0))*billion_kw_to_MW</f>
        <v>11683376</v>
      </c>
      <c r="AB104">
        <f>INDEX(AEO26_Table_22._Commercial!$E$6:$AD$81,MATCH($A104,AEO26_Table_22._Commercial!$B$6:$B$81,0),MATCH(AB$82,AEO26_Table_22._Commercial!$E$5:$AD$5,0))*billion_kw_to_MW</f>
        <v>11805312</v>
      </c>
      <c r="AC104">
        <f>INDEX(AEO26_Table_22._Commercial!$E$6:$AD$81,MATCH($A104,AEO26_Table_22._Commercial!$B$6:$B$81,0),MATCH(AC$82,AEO26_Table_22._Commercial!$E$5:$AD$5,0))*billion_kw_to_MW</f>
        <v>11925485</v>
      </c>
      <c r="AD104">
        <f>INDEX(AEO26_Table_22._Commercial!$E$6:$AD$81,MATCH($A104,AEO26_Table_22._Commercial!$B$6:$B$81,0),MATCH(AD$82,AEO26_Table_22._Commercial!$E$5:$AD$5,0))*billion_kw_to_MW</f>
        <v>12039975</v>
      </c>
      <c r="AE104">
        <f>INDEX(AEO26_Table_22._Commercial!$E$6:$AD$81,MATCH($A104,AEO26_Table_22._Commercial!$B$6:$B$81,0),MATCH(AE$82,AEO26_Table_22._Commercial!$E$5:$AD$5,0))*billion_kw_to_MW</f>
        <v>12159719</v>
      </c>
    </row>
    <row r="105" spans="1:31" x14ac:dyDescent="0.25">
      <c r="C105" t="s">
        <v>8</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x14ac:dyDescent="0.25">
      <c r="C106" t="s">
        <v>9</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x14ac:dyDescent="0.25">
      <c r="A107" t="s">
        <v>1065</v>
      </c>
      <c r="B107" t="s">
        <v>732</v>
      </c>
      <c r="C107" t="s">
        <v>59</v>
      </c>
      <c r="D107">
        <f>AEO23_table_22._Comm!G69*billion_kw_to_MW</f>
        <v>763439</v>
      </c>
      <c r="E107">
        <f>INDEX(AEO25_Table_22._Commercial!$F$59:$AG$71,MATCH($B107,AEO25_Table_22._Commercial!$B$59:$B$71,0),MATCH(E$82,AEO25_Table_22._Commercial!$F$5:$AG$5,0))*billion_kw_to_MW</f>
        <v>741164</v>
      </c>
      <c r="F107">
        <f>INDEX(AEO26_Table_22._Commercial!$E$6:$AD$81,MATCH($A107,AEO26_Table_22._Commercial!$B$6:$B$81,0),MATCH(F$82,AEO26_Table_22._Commercial!$E$5:$AD$5,0))*billion_kw_to_MW</f>
        <v>739818</v>
      </c>
      <c r="G107">
        <f>INDEX(AEO26_Table_22._Commercial!$E$6:$AD$81,MATCH($A107,AEO26_Table_22._Commercial!$B$6:$B$81,0),MATCH(G$82,AEO26_Table_22._Commercial!$E$5:$AD$5,0))*billion_kw_to_MW</f>
        <v>740753</v>
      </c>
      <c r="H107">
        <f>INDEX(AEO26_Table_22._Commercial!$E$6:$AD$81,MATCH($A107,AEO26_Table_22._Commercial!$B$6:$B$81,0),MATCH(H$82,AEO26_Table_22._Commercial!$E$5:$AD$5,0))*billion_kw_to_MW</f>
        <v>742265</v>
      </c>
      <c r="I107">
        <f>INDEX(AEO26_Table_22._Commercial!$E$6:$AD$81,MATCH($A107,AEO26_Table_22._Commercial!$B$6:$B$81,0),MATCH(I$82,AEO26_Table_22._Commercial!$E$5:$AD$5,0))*billion_kw_to_MW</f>
        <v>742448</v>
      </c>
      <c r="J107">
        <f>INDEX(AEO26_Table_22._Commercial!$E$6:$AD$81,MATCH($A107,AEO26_Table_22._Commercial!$B$6:$B$81,0),MATCH(J$82,AEO26_Table_22._Commercial!$E$5:$AD$5,0))*billion_kw_to_MW</f>
        <v>743225</v>
      </c>
      <c r="K107">
        <f>INDEX(AEO26_Table_22._Commercial!$E$6:$AD$81,MATCH($A107,AEO26_Table_22._Commercial!$B$6:$B$81,0),MATCH(K$82,AEO26_Table_22._Commercial!$E$5:$AD$5,0))*billion_kw_to_MW</f>
        <v>744539</v>
      </c>
      <c r="L107">
        <f>INDEX(AEO26_Table_22._Commercial!$E$6:$AD$81,MATCH($A107,AEO26_Table_22._Commercial!$B$6:$B$81,0),MATCH(L$82,AEO26_Table_22._Commercial!$E$5:$AD$5,0))*billion_kw_to_MW</f>
        <v>745092</v>
      </c>
      <c r="M107">
        <f>INDEX(AEO26_Table_22._Commercial!$E$6:$AD$81,MATCH($A107,AEO26_Table_22._Commercial!$B$6:$B$81,0),MATCH(M$82,AEO26_Table_22._Commercial!$E$5:$AD$5,0))*billion_kw_to_MW</f>
        <v>746012</v>
      </c>
      <c r="N107">
        <f>INDEX(AEO26_Table_22._Commercial!$E$6:$AD$81,MATCH($A107,AEO26_Table_22._Commercial!$B$6:$B$81,0),MATCH(N$82,AEO26_Table_22._Commercial!$E$5:$AD$5,0))*billion_kw_to_MW</f>
        <v>747087</v>
      </c>
      <c r="O107">
        <f>INDEX(AEO26_Table_22._Commercial!$E$6:$AD$81,MATCH($A107,AEO26_Table_22._Commercial!$B$6:$B$81,0),MATCH(O$82,AEO26_Table_22._Commercial!$E$5:$AD$5,0))*billion_kw_to_MW</f>
        <v>747818</v>
      </c>
      <c r="P107">
        <f>INDEX(AEO26_Table_22._Commercial!$E$6:$AD$81,MATCH($A107,AEO26_Table_22._Commercial!$B$6:$B$81,0),MATCH(P$82,AEO26_Table_22._Commercial!$E$5:$AD$5,0))*billion_kw_to_MW</f>
        <v>748208</v>
      </c>
      <c r="Q107">
        <f>INDEX(AEO26_Table_22._Commercial!$E$6:$AD$81,MATCH($A107,AEO26_Table_22._Commercial!$B$6:$B$81,0),MATCH(Q$82,AEO26_Table_22._Commercial!$E$5:$AD$5,0))*billion_kw_to_MW</f>
        <v>748428</v>
      </c>
      <c r="R107">
        <f>INDEX(AEO26_Table_22._Commercial!$E$6:$AD$81,MATCH($A107,AEO26_Table_22._Commercial!$B$6:$B$81,0),MATCH(R$82,AEO26_Table_22._Commercial!$E$5:$AD$5,0))*billion_kw_to_MW</f>
        <v>748864</v>
      </c>
      <c r="S107">
        <f>INDEX(AEO26_Table_22._Commercial!$E$6:$AD$81,MATCH($A107,AEO26_Table_22._Commercial!$B$6:$B$81,0),MATCH(S$82,AEO26_Table_22._Commercial!$E$5:$AD$5,0))*billion_kw_to_MW</f>
        <v>749274</v>
      </c>
      <c r="T107">
        <f>INDEX(AEO26_Table_22._Commercial!$E$6:$AD$81,MATCH($A107,AEO26_Table_22._Commercial!$B$6:$B$81,0),MATCH(T$82,AEO26_Table_22._Commercial!$E$5:$AD$5,0))*billion_kw_to_MW</f>
        <v>749827</v>
      </c>
      <c r="U107">
        <f>INDEX(AEO26_Table_22._Commercial!$E$6:$AD$81,MATCH($A107,AEO26_Table_22._Commercial!$B$6:$B$81,0),MATCH(U$82,AEO26_Table_22._Commercial!$E$5:$AD$5,0))*billion_kw_to_MW</f>
        <v>750408</v>
      </c>
      <c r="V107">
        <f>INDEX(AEO26_Table_22._Commercial!$E$6:$AD$81,MATCH($A107,AEO26_Table_22._Commercial!$B$6:$B$81,0),MATCH(V$82,AEO26_Table_22._Commercial!$E$5:$AD$5,0))*billion_kw_to_MW</f>
        <v>750619</v>
      </c>
      <c r="W107">
        <f>INDEX(AEO26_Table_22._Commercial!$E$6:$AD$81,MATCH($A107,AEO26_Table_22._Commercial!$B$6:$B$81,0),MATCH(W$82,AEO26_Table_22._Commercial!$E$5:$AD$5,0))*billion_kw_to_MW</f>
        <v>751747</v>
      </c>
      <c r="X107">
        <f>INDEX(AEO26_Table_22._Commercial!$E$6:$AD$81,MATCH($A107,AEO26_Table_22._Commercial!$B$6:$B$81,0),MATCH(X$82,AEO26_Table_22._Commercial!$E$5:$AD$5,0))*billion_kw_to_MW</f>
        <v>752186</v>
      </c>
      <c r="Y107">
        <f>INDEX(AEO26_Table_22._Commercial!$E$6:$AD$81,MATCH($A107,AEO26_Table_22._Commercial!$B$6:$B$81,0),MATCH(Y$82,AEO26_Table_22._Commercial!$E$5:$AD$5,0))*billion_kw_to_MW</f>
        <v>752576</v>
      </c>
      <c r="Z107">
        <f>INDEX(AEO26_Table_22._Commercial!$E$6:$AD$81,MATCH($A107,AEO26_Table_22._Commercial!$B$6:$B$81,0),MATCH(Z$82,AEO26_Table_22._Commercial!$E$5:$AD$5,0))*billion_kw_to_MW</f>
        <v>752746</v>
      </c>
      <c r="AA107">
        <f>INDEX(AEO26_Table_22._Commercial!$E$6:$AD$81,MATCH($A107,AEO26_Table_22._Commercial!$B$6:$B$81,0),MATCH(AA$82,AEO26_Table_22._Commercial!$E$5:$AD$5,0))*billion_kw_to_MW</f>
        <v>753008</v>
      </c>
      <c r="AB107">
        <f>INDEX(AEO26_Table_22._Commercial!$E$6:$AD$81,MATCH($A107,AEO26_Table_22._Commercial!$B$6:$B$81,0),MATCH(AB$82,AEO26_Table_22._Commercial!$E$5:$AD$5,0))*billion_kw_to_MW</f>
        <v>753725</v>
      </c>
      <c r="AC107">
        <f>INDEX(AEO26_Table_22._Commercial!$E$6:$AD$81,MATCH($A107,AEO26_Table_22._Commercial!$B$6:$B$81,0),MATCH(AC$82,AEO26_Table_22._Commercial!$E$5:$AD$5,0))*billion_kw_to_MW</f>
        <v>754198</v>
      </c>
      <c r="AD107">
        <f>INDEX(AEO26_Table_22._Commercial!$E$6:$AD$81,MATCH($A107,AEO26_Table_22._Commercial!$B$6:$B$81,0),MATCH(AD$82,AEO26_Table_22._Commercial!$E$5:$AD$5,0))*billion_kw_to_MW</f>
        <v>754389</v>
      </c>
      <c r="AE107">
        <f>INDEX(AEO26_Table_22._Commercial!$E$6:$AD$81,MATCH($A107,AEO26_Table_22._Commercial!$B$6:$B$81,0),MATCH(AE$82,AEO26_Table_22._Commercial!$E$5:$AD$5,0))*billion_kw_to_MW</f>
        <v>754605</v>
      </c>
    </row>
    <row r="108" spans="1:31" x14ac:dyDescent="0.25">
      <c r="A108" t="s">
        <v>1064</v>
      </c>
      <c r="B108" t="s">
        <v>733</v>
      </c>
      <c r="C108" t="s">
        <v>10</v>
      </c>
      <c r="D108">
        <f>AEO23_table_22._Comm!G68*billion_kw_to_MW</f>
        <v>37878464</v>
      </c>
      <c r="E108">
        <f>INDEX(AEO25_Table_22._Commercial!$F$59:$AG$71,MATCH($B108,AEO25_Table_22._Commercial!$B$59:$B$71,0),MATCH(E$82,AEO25_Table_22._Commercial!$F$5:$AG$5,0))*billion_kw_to_MW</f>
        <v>40940166</v>
      </c>
      <c r="F108">
        <f>INDEX(AEO26_Table_22._Commercial!$E$6:$AD$81,MATCH($A108,AEO26_Table_22._Commercial!$B$6:$B$81,0),MATCH(F$82,AEO26_Table_22._Commercial!$E$5:$AD$5,0))*billion_kw_to_MW</f>
        <v>46182064</v>
      </c>
      <c r="G108">
        <f>INDEX(AEO26_Table_22._Commercial!$E$6:$AD$81,MATCH($A108,AEO26_Table_22._Commercial!$B$6:$B$81,0),MATCH(G$82,AEO26_Table_22._Commercial!$E$5:$AD$5,0))*billion_kw_to_MW</f>
        <v>51740406</v>
      </c>
      <c r="H108">
        <f>INDEX(AEO26_Table_22._Commercial!$E$6:$AD$81,MATCH($A108,AEO26_Table_22._Commercial!$B$6:$B$81,0),MATCH(H$82,AEO26_Table_22._Commercial!$E$5:$AD$5,0))*billion_kw_to_MW</f>
        <v>56461273</v>
      </c>
      <c r="I108">
        <f>INDEX(AEO26_Table_22._Commercial!$E$6:$AD$81,MATCH($A108,AEO26_Table_22._Commercial!$B$6:$B$81,0),MATCH(I$82,AEO26_Table_22._Commercial!$E$5:$AD$5,0))*billion_kw_to_MW</f>
        <v>58730679</v>
      </c>
      <c r="J108">
        <f>INDEX(AEO26_Table_22._Commercial!$E$6:$AD$81,MATCH($A108,AEO26_Table_22._Commercial!$B$6:$B$81,0),MATCH(J$82,AEO26_Table_22._Commercial!$E$5:$AD$5,0))*billion_kw_to_MW</f>
        <v>60101696</v>
      </c>
      <c r="K108">
        <f>INDEX(AEO26_Table_22._Commercial!$E$6:$AD$81,MATCH($A108,AEO26_Table_22._Commercial!$B$6:$B$81,0),MATCH(K$82,AEO26_Table_22._Commercial!$E$5:$AD$5,0))*billion_kw_to_MW</f>
        <v>61663147</v>
      </c>
      <c r="L108">
        <f>INDEX(AEO26_Table_22._Commercial!$E$6:$AD$81,MATCH($A108,AEO26_Table_22._Commercial!$B$6:$B$81,0),MATCH(L$82,AEO26_Table_22._Commercial!$E$5:$AD$5,0))*billion_kw_to_MW</f>
        <v>62868874</v>
      </c>
      <c r="M108">
        <f>INDEX(AEO26_Table_22._Commercial!$E$6:$AD$81,MATCH($A108,AEO26_Table_22._Commercial!$B$6:$B$81,0),MATCH(M$82,AEO26_Table_22._Commercial!$E$5:$AD$5,0))*billion_kw_to_MW</f>
        <v>63818760</v>
      </c>
      <c r="N108">
        <f>INDEX(AEO26_Table_22._Commercial!$E$6:$AD$81,MATCH($A108,AEO26_Table_22._Commercial!$B$6:$B$81,0),MATCH(N$82,AEO26_Table_22._Commercial!$E$5:$AD$5,0))*billion_kw_to_MW</f>
        <v>64888107.000000007</v>
      </c>
      <c r="O108">
        <f>INDEX(AEO26_Table_22._Commercial!$E$6:$AD$81,MATCH($A108,AEO26_Table_22._Commercial!$B$6:$B$81,0),MATCH(O$82,AEO26_Table_22._Commercial!$E$5:$AD$5,0))*billion_kw_to_MW</f>
        <v>66510223</v>
      </c>
      <c r="P108">
        <f>INDEX(AEO26_Table_22._Commercial!$E$6:$AD$81,MATCH($A108,AEO26_Table_22._Commercial!$B$6:$B$81,0),MATCH(P$82,AEO26_Table_22._Commercial!$E$5:$AD$5,0))*billion_kw_to_MW</f>
        <v>67825363</v>
      </c>
      <c r="Q108">
        <f>INDEX(AEO26_Table_22._Commercial!$E$6:$AD$81,MATCH($A108,AEO26_Table_22._Commercial!$B$6:$B$81,0),MATCH(Q$82,AEO26_Table_22._Commercial!$E$5:$AD$5,0))*billion_kw_to_MW</f>
        <v>68932243</v>
      </c>
      <c r="R108">
        <f>INDEX(AEO26_Table_22._Commercial!$E$6:$AD$81,MATCH($A108,AEO26_Table_22._Commercial!$B$6:$B$81,0),MATCH(R$82,AEO26_Table_22._Commercial!$E$5:$AD$5,0))*billion_kw_to_MW</f>
        <v>70873024</v>
      </c>
      <c r="S108">
        <f>INDEX(AEO26_Table_22._Commercial!$E$6:$AD$81,MATCH($A108,AEO26_Table_22._Commercial!$B$6:$B$81,0),MATCH(S$82,AEO26_Table_22._Commercial!$E$5:$AD$5,0))*billion_kw_to_MW</f>
        <v>72769089</v>
      </c>
      <c r="T108">
        <f>INDEX(AEO26_Table_22._Commercial!$E$6:$AD$81,MATCH($A108,AEO26_Table_22._Commercial!$B$6:$B$81,0),MATCH(T$82,AEO26_Table_22._Commercial!$E$5:$AD$5,0))*billion_kw_to_MW</f>
        <v>75070816</v>
      </c>
      <c r="U108">
        <f>INDEX(AEO26_Table_22._Commercial!$E$6:$AD$81,MATCH($A108,AEO26_Table_22._Commercial!$B$6:$B$81,0),MATCH(U$82,AEO26_Table_22._Commercial!$E$5:$AD$5,0))*billion_kw_to_MW</f>
        <v>77056648</v>
      </c>
      <c r="V108">
        <f>INDEX(AEO26_Table_22._Commercial!$E$6:$AD$81,MATCH($A108,AEO26_Table_22._Commercial!$B$6:$B$81,0),MATCH(V$82,AEO26_Table_22._Commercial!$E$5:$AD$5,0))*billion_kw_to_MW</f>
        <v>78127480</v>
      </c>
      <c r="W108">
        <f>INDEX(AEO26_Table_22._Commercial!$E$6:$AD$81,MATCH($A108,AEO26_Table_22._Commercial!$B$6:$B$81,0),MATCH(W$82,AEO26_Table_22._Commercial!$E$5:$AD$5,0))*billion_kw_to_MW</f>
        <v>79720940</v>
      </c>
      <c r="X108">
        <f>INDEX(AEO26_Table_22._Commercial!$E$6:$AD$81,MATCH($A108,AEO26_Table_22._Commercial!$B$6:$B$81,0),MATCH(X$82,AEO26_Table_22._Commercial!$E$5:$AD$5,0))*billion_kw_to_MW</f>
        <v>80581863</v>
      </c>
      <c r="Y108">
        <f>INDEX(AEO26_Table_22._Commercial!$E$6:$AD$81,MATCH($A108,AEO26_Table_22._Commercial!$B$6:$B$81,0),MATCH(Y$82,AEO26_Table_22._Commercial!$E$5:$AD$5,0))*billion_kw_to_MW</f>
        <v>81550713</v>
      </c>
      <c r="Z108">
        <f>INDEX(AEO26_Table_22._Commercial!$E$6:$AD$81,MATCH($A108,AEO26_Table_22._Commercial!$B$6:$B$81,0),MATCH(Z$82,AEO26_Table_22._Commercial!$E$5:$AD$5,0))*billion_kw_to_MW</f>
        <v>82343758</v>
      </c>
      <c r="AA108">
        <f>INDEX(AEO26_Table_22._Commercial!$E$6:$AD$81,MATCH($A108,AEO26_Table_22._Commercial!$B$6:$B$81,0),MATCH(AA$82,AEO26_Table_22._Commercial!$E$5:$AD$5,0))*billion_kw_to_MW</f>
        <v>83578865</v>
      </c>
      <c r="AB108">
        <f>INDEX(AEO26_Table_22._Commercial!$E$6:$AD$81,MATCH($A108,AEO26_Table_22._Commercial!$B$6:$B$81,0),MATCH(AB$82,AEO26_Table_22._Commercial!$E$5:$AD$5,0))*billion_kw_to_MW</f>
        <v>85106026</v>
      </c>
      <c r="AC108">
        <f>INDEX(AEO26_Table_22._Commercial!$E$6:$AD$81,MATCH($A108,AEO26_Table_22._Commercial!$B$6:$B$81,0),MATCH(AC$82,AEO26_Table_22._Commercial!$E$5:$AD$5,0))*billion_kw_to_MW</f>
        <v>86662193</v>
      </c>
      <c r="AD108">
        <f>INDEX(AEO26_Table_22._Commercial!$E$6:$AD$81,MATCH($A108,AEO26_Table_22._Commercial!$B$6:$B$81,0),MATCH(AD$82,AEO26_Table_22._Commercial!$E$5:$AD$5,0))*billion_kw_to_MW</f>
        <v>87841270</v>
      </c>
      <c r="AE108">
        <f>INDEX(AEO26_Table_22._Commercial!$E$6:$AD$81,MATCH($A108,AEO26_Table_22._Commercial!$B$6:$B$81,0),MATCH(AE$82,AEO26_Table_22._Commercial!$E$5:$AD$5,0))*billion_kw_to_MW</f>
        <v>89360298</v>
      </c>
    </row>
    <row r="109" spans="1:31" x14ac:dyDescent="0.25">
      <c r="C109" t="s">
        <v>11</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row>
    <row r="110" spans="1:31" x14ac:dyDescent="0.25">
      <c r="C110" t="s">
        <v>12</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x14ac:dyDescent="0.25">
      <c r="C111" t="s">
        <v>13</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x14ac:dyDescent="0.25">
      <c r="A112" t="s">
        <v>1060</v>
      </c>
      <c r="B112" t="s">
        <v>737</v>
      </c>
      <c r="C112" t="s">
        <v>14</v>
      </c>
      <c r="D112">
        <f>AEO23_table_22._Comm!G66*billion_kw_to_MW</f>
        <v>97511</v>
      </c>
      <c r="E112">
        <f>INDEX(AEO25_Table_22._Commercial!$F$59:$AG$71,MATCH($B112,AEO25_Table_22._Commercial!$B$59:$B$71,0),MATCH(E$82,AEO25_Table_22._Commercial!$F$5:$AG$5,0))*billion_kw_to_MW</f>
        <v>81209</v>
      </c>
      <c r="F112">
        <f>INDEX(AEO26_Table_22._Commercial!$E$6:$AD$81,MATCH($A112,AEO26_Table_22._Commercial!$B$6:$B$81,0),MATCH(F$82,AEO26_Table_22._Commercial!$E$5:$AD$5,0))*billion_kw_to_MW</f>
        <v>56017</v>
      </c>
      <c r="G112">
        <f>INDEX(AEO26_Table_22._Commercial!$E$6:$AD$81,MATCH($A112,AEO26_Table_22._Commercial!$B$6:$B$81,0),MATCH(G$82,AEO26_Table_22._Commercial!$E$5:$AD$5,0))*billion_kw_to_MW</f>
        <v>56017</v>
      </c>
      <c r="H112">
        <f>INDEX(AEO26_Table_22._Commercial!$E$6:$AD$81,MATCH($A112,AEO26_Table_22._Commercial!$B$6:$B$81,0),MATCH(H$82,AEO26_Table_22._Commercial!$E$5:$AD$5,0))*billion_kw_to_MW</f>
        <v>56017</v>
      </c>
      <c r="I112">
        <f>INDEX(AEO26_Table_22._Commercial!$E$6:$AD$81,MATCH($A112,AEO26_Table_22._Commercial!$B$6:$B$81,0),MATCH(I$82,AEO26_Table_22._Commercial!$E$5:$AD$5,0))*billion_kw_to_MW</f>
        <v>56017</v>
      </c>
      <c r="J112">
        <f>INDEX(AEO26_Table_22._Commercial!$E$6:$AD$81,MATCH($A112,AEO26_Table_22._Commercial!$B$6:$B$81,0),MATCH(J$82,AEO26_Table_22._Commercial!$E$5:$AD$5,0))*billion_kw_to_MW</f>
        <v>56017</v>
      </c>
      <c r="K112">
        <f>INDEX(AEO26_Table_22._Commercial!$E$6:$AD$81,MATCH($A112,AEO26_Table_22._Commercial!$B$6:$B$81,0),MATCH(K$82,AEO26_Table_22._Commercial!$E$5:$AD$5,0))*billion_kw_to_MW</f>
        <v>56017</v>
      </c>
      <c r="L112">
        <f>INDEX(AEO26_Table_22._Commercial!$E$6:$AD$81,MATCH($A112,AEO26_Table_22._Commercial!$B$6:$B$81,0),MATCH(L$82,AEO26_Table_22._Commercial!$E$5:$AD$5,0))*billion_kw_to_MW</f>
        <v>56017</v>
      </c>
      <c r="M112">
        <f>INDEX(AEO26_Table_22._Commercial!$E$6:$AD$81,MATCH($A112,AEO26_Table_22._Commercial!$B$6:$B$81,0),MATCH(M$82,AEO26_Table_22._Commercial!$E$5:$AD$5,0))*billion_kw_to_MW</f>
        <v>56017</v>
      </c>
      <c r="N112">
        <f>INDEX(AEO26_Table_22._Commercial!$E$6:$AD$81,MATCH($A112,AEO26_Table_22._Commercial!$B$6:$B$81,0),MATCH(N$82,AEO26_Table_22._Commercial!$E$5:$AD$5,0))*billion_kw_to_MW</f>
        <v>56017</v>
      </c>
      <c r="O112">
        <f>INDEX(AEO26_Table_22._Commercial!$E$6:$AD$81,MATCH($A112,AEO26_Table_22._Commercial!$B$6:$B$81,0),MATCH(O$82,AEO26_Table_22._Commercial!$E$5:$AD$5,0))*billion_kw_to_MW</f>
        <v>56017</v>
      </c>
      <c r="P112">
        <f>INDEX(AEO26_Table_22._Commercial!$E$6:$AD$81,MATCH($A112,AEO26_Table_22._Commercial!$B$6:$B$81,0),MATCH(P$82,AEO26_Table_22._Commercial!$E$5:$AD$5,0))*billion_kw_to_MW</f>
        <v>56017</v>
      </c>
      <c r="Q112">
        <f>INDEX(AEO26_Table_22._Commercial!$E$6:$AD$81,MATCH($A112,AEO26_Table_22._Commercial!$B$6:$B$81,0),MATCH(Q$82,AEO26_Table_22._Commercial!$E$5:$AD$5,0))*billion_kw_to_MW</f>
        <v>56017</v>
      </c>
      <c r="R112">
        <f>INDEX(AEO26_Table_22._Commercial!$E$6:$AD$81,MATCH($A112,AEO26_Table_22._Commercial!$B$6:$B$81,0),MATCH(R$82,AEO26_Table_22._Commercial!$E$5:$AD$5,0))*billion_kw_to_MW</f>
        <v>56017</v>
      </c>
      <c r="S112">
        <f>INDEX(AEO26_Table_22._Commercial!$E$6:$AD$81,MATCH($A112,AEO26_Table_22._Commercial!$B$6:$B$81,0),MATCH(S$82,AEO26_Table_22._Commercial!$E$5:$AD$5,0))*billion_kw_to_MW</f>
        <v>56017</v>
      </c>
      <c r="T112">
        <f>INDEX(AEO26_Table_22._Commercial!$E$6:$AD$81,MATCH($A112,AEO26_Table_22._Commercial!$B$6:$B$81,0),MATCH(T$82,AEO26_Table_22._Commercial!$E$5:$AD$5,0))*billion_kw_to_MW</f>
        <v>56017</v>
      </c>
      <c r="U112">
        <f>INDEX(AEO26_Table_22._Commercial!$E$6:$AD$81,MATCH($A112,AEO26_Table_22._Commercial!$B$6:$B$81,0),MATCH(U$82,AEO26_Table_22._Commercial!$E$5:$AD$5,0))*billion_kw_to_MW</f>
        <v>56017</v>
      </c>
      <c r="V112">
        <f>INDEX(AEO26_Table_22._Commercial!$E$6:$AD$81,MATCH($A112,AEO26_Table_22._Commercial!$B$6:$B$81,0),MATCH(V$82,AEO26_Table_22._Commercial!$E$5:$AD$5,0))*billion_kw_to_MW</f>
        <v>56017</v>
      </c>
      <c r="W112">
        <f>INDEX(AEO26_Table_22._Commercial!$E$6:$AD$81,MATCH($A112,AEO26_Table_22._Commercial!$B$6:$B$81,0),MATCH(W$82,AEO26_Table_22._Commercial!$E$5:$AD$5,0))*billion_kw_to_MW</f>
        <v>56017</v>
      </c>
      <c r="X112">
        <f>INDEX(AEO26_Table_22._Commercial!$E$6:$AD$81,MATCH($A112,AEO26_Table_22._Commercial!$B$6:$B$81,0),MATCH(X$82,AEO26_Table_22._Commercial!$E$5:$AD$5,0))*billion_kw_to_MW</f>
        <v>56017</v>
      </c>
      <c r="Y112">
        <f>INDEX(AEO26_Table_22._Commercial!$E$6:$AD$81,MATCH($A112,AEO26_Table_22._Commercial!$B$6:$B$81,0),MATCH(Y$82,AEO26_Table_22._Commercial!$E$5:$AD$5,0))*billion_kw_to_MW</f>
        <v>56017</v>
      </c>
      <c r="Z112">
        <f>INDEX(AEO26_Table_22._Commercial!$E$6:$AD$81,MATCH($A112,AEO26_Table_22._Commercial!$B$6:$B$81,0),MATCH(Z$82,AEO26_Table_22._Commercial!$E$5:$AD$5,0))*billion_kw_to_MW</f>
        <v>56017</v>
      </c>
      <c r="AA112">
        <f>INDEX(AEO26_Table_22._Commercial!$E$6:$AD$81,MATCH($A112,AEO26_Table_22._Commercial!$B$6:$B$81,0),MATCH(AA$82,AEO26_Table_22._Commercial!$E$5:$AD$5,0))*billion_kw_to_MW</f>
        <v>56017</v>
      </c>
      <c r="AB112">
        <f>INDEX(AEO26_Table_22._Commercial!$E$6:$AD$81,MATCH($A112,AEO26_Table_22._Commercial!$B$6:$B$81,0),MATCH(AB$82,AEO26_Table_22._Commercial!$E$5:$AD$5,0))*billion_kw_to_MW</f>
        <v>56017</v>
      </c>
      <c r="AC112">
        <f>INDEX(AEO26_Table_22._Commercial!$E$6:$AD$81,MATCH($A112,AEO26_Table_22._Commercial!$B$6:$B$81,0),MATCH(AC$82,AEO26_Table_22._Commercial!$E$5:$AD$5,0))*billion_kw_to_MW</f>
        <v>56017</v>
      </c>
      <c r="AD112">
        <f>INDEX(AEO26_Table_22._Commercial!$E$6:$AD$81,MATCH($A112,AEO26_Table_22._Commercial!$B$6:$B$81,0),MATCH(AD$82,AEO26_Table_22._Commercial!$E$5:$AD$5,0))*billion_kw_to_MW</f>
        <v>56017</v>
      </c>
      <c r="AE112">
        <f>INDEX(AEO26_Table_22._Commercial!$E$6:$AD$81,MATCH($A112,AEO26_Table_22._Commercial!$B$6:$B$81,0),MATCH(AE$82,AEO26_Table_22._Commercial!$E$5:$AD$5,0))*billion_kw_to_MW</f>
        <v>56017</v>
      </c>
    </row>
    <row r="113" spans="1:31" x14ac:dyDescent="0.25">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x14ac:dyDescent="0.25">
      <c r="C114" t="s">
        <v>57</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x14ac:dyDescent="0.25">
      <c r="C115" t="s">
        <v>60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x14ac:dyDescent="0.25">
      <c r="C116" t="s">
        <v>158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row>
    <row r="117" spans="1:31" x14ac:dyDescent="0.25">
      <c r="C117" t="s">
        <v>159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x14ac:dyDescent="0.25">
      <c r="C118" t="s">
        <v>160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21" spans="1:31" x14ac:dyDescent="0.25">
      <c r="A121" t="s">
        <v>319</v>
      </c>
      <c r="D121" s="42">
        <f t="shared" ref="D121:AE121" si="0">D10/(D48*8760)</f>
        <v>0.18978028022084625</v>
      </c>
      <c r="E121" s="42">
        <f t="shared" si="0"/>
        <v>0.17326673093016295</v>
      </c>
      <c r="F121" s="42">
        <f t="shared" si="0"/>
        <v>0.16921279594927499</v>
      </c>
      <c r="G121" s="42">
        <f t="shared" si="0"/>
        <v>0.16864100106546795</v>
      </c>
      <c r="H121" s="42">
        <f t="shared" si="0"/>
        <v>0.16807484839961331</v>
      </c>
      <c r="I121" s="42">
        <f t="shared" si="0"/>
        <v>0.16752976044940088</v>
      </c>
      <c r="J121" s="42">
        <f t="shared" si="0"/>
        <v>0.16700989159313004</v>
      </c>
      <c r="K121" s="42">
        <f t="shared" si="0"/>
        <v>0.16650037655370203</v>
      </c>
      <c r="L121" s="42">
        <f t="shared" si="0"/>
        <v>0.16599705031330128</v>
      </c>
      <c r="M121" s="42">
        <f t="shared" si="0"/>
        <v>0.1655265676368915</v>
      </c>
      <c r="N121" s="42">
        <f t="shared" si="0"/>
        <v>0.16505659697963132</v>
      </c>
      <c r="O121" s="42">
        <f t="shared" si="0"/>
        <v>0.16459658358507837</v>
      </c>
      <c r="P121" s="42">
        <f t="shared" si="0"/>
        <v>0.16413293662288453</v>
      </c>
      <c r="Q121" s="42">
        <f t="shared" si="0"/>
        <v>0.16368361050817565</v>
      </c>
      <c r="R121" s="42">
        <f t="shared" si="0"/>
        <v>0.16323032847948452</v>
      </c>
      <c r="S121" s="42">
        <f t="shared" si="0"/>
        <v>0.16279909068742635</v>
      </c>
      <c r="T121" s="42">
        <f t="shared" si="0"/>
        <v>0.16238627795862348</v>
      </c>
      <c r="U121" s="42">
        <f t="shared" si="0"/>
        <v>0.16198905571344072</v>
      </c>
      <c r="V121" s="42">
        <f t="shared" si="0"/>
        <v>0.16159465444947085</v>
      </c>
      <c r="W121" s="42">
        <f t="shared" si="0"/>
        <v>0.16121561867345352</v>
      </c>
      <c r="X121" s="42">
        <f t="shared" si="0"/>
        <v>0.16085784525414243</v>
      </c>
      <c r="Y121" s="42">
        <f t="shared" si="0"/>
        <v>0.16051962884558588</v>
      </c>
      <c r="Z121" s="42">
        <f t="shared" si="0"/>
        <v>0.16018886499320986</v>
      </c>
      <c r="AA121" s="42">
        <f t="shared" si="0"/>
        <v>0.15987050290251684</v>
      </c>
      <c r="AB121" s="42">
        <f t="shared" si="0"/>
        <v>0.15956087665219609</v>
      </c>
      <c r="AC121" s="42">
        <f t="shared" si="0"/>
        <v>0.15925141144924851</v>
      </c>
      <c r="AD121" s="42">
        <f t="shared" si="0"/>
        <v>0.15894650993997106</v>
      </c>
      <c r="AE121" s="42">
        <f t="shared" si="0"/>
        <v>0.15865738737395529</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ECBB-D685-4D04-B57F-06294637F7F8}">
  <sheetPr>
    <tabColor rgb="FF6AA84F"/>
    <outlinePr summaryBelow="0" summaryRight="0"/>
  </sheetPr>
  <dimension ref="A1:AL79"/>
  <sheetViews>
    <sheetView topLeftCell="A23" workbookViewId="0">
      <selection activeCell="F49" sqref="F49"/>
    </sheetView>
  </sheetViews>
  <sheetFormatPr defaultColWidth="12.5703125" defaultRowHeight="15.75" customHeight="1" x14ac:dyDescent="0.2"/>
  <cols>
    <col min="1" max="1" width="50.5703125" style="34" customWidth="1"/>
    <col min="2" max="2" width="16.42578125" style="34" customWidth="1"/>
    <col min="3" max="3" width="15.28515625" style="34" customWidth="1"/>
    <col min="4" max="4" width="15.42578125" style="34" customWidth="1"/>
    <col min="5" max="16384" width="12.5703125" style="34"/>
  </cols>
  <sheetData>
    <row r="1" spans="1:38" ht="14.25" customHeight="1" x14ac:dyDescent="0.25">
      <c r="A1" s="32" t="s">
        <v>302</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row>
    <row r="2" spans="1:38" ht="12.75" x14ac:dyDescent="0.2">
      <c r="A2" s="35" t="s">
        <v>309</v>
      </c>
    </row>
    <row r="3" spans="1:38" ht="12.75" x14ac:dyDescent="0.2">
      <c r="A3" s="35"/>
    </row>
    <row r="4" spans="1:38" ht="12.75" x14ac:dyDescent="0.2">
      <c r="A4" s="35" t="s">
        <v>310</v>
      </c>
    </row>
    <row r="5" spans="1:38" ht="12.75" x14ac:dyDescent="0.2">
      <c r="A5" s="35" t="s">
        <v>311</v>
      </c>
    </row>
    <row r="6" spans="1:38" ht="12.75" x14ac:dyDescent="0.2">
      <c r="A6" s="35" t="s">
        <v>312</v>
      </c>
    </row>
    <row r="7" spans="1:38" ht="12.75" x14ac:dyDescent="0.2">
      <c r="A7" s="35"/>
    </row>
    <row r="8" spans="1:38" ht="12.75" x14ac:dyDescent="0.2">
      <c r="A8" s="35" t="s">
        <v>313</v>
      </c>
    </row>
    <row r="9" spans="1:38" ht="12.75" x14ac:dyDescent="0.2">
      <c r="A9" s="35" t="s">
        <v>314</v>
      </c>
    </row>
    <row r="10" spans="1:38" ht="12.75" x14ac:dyDescent="0.2">
      <c r="A10" s="35"/>
    </row>
    <row r="11" spans="1:38" ht="12.75" x14ac:dyDescent="0.2">
      <c r="A11" s="35" t="s">
        <v>315</v>
      </c>
    </row>
    <row r="12" spans="1:38" ht="12.75" x14ac:dyDescent="0.2">
      <c r="A12" s="35" t="s">
        <v>316</v>
      </c>
    </row>
    <row r="13" spans="1:38" ht="12.75" x14ac:dyDescent="0.2">
      <c r="A13" s="35"/>
    </row>
    <row r="14" spans="1:38" ht="14.25" customHeight="1" x14ac:dyDescent="0.25">
      <c r="A14" s="32" t="s">
        <v>303</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row>
    <row r="15" spans="1:38" ht="12.75" x14ac:dyDescent="0.2">
      <c r="A15" s="36"/>
      <c r="B15" s="37"/>
    </row>
    <row r="16" spans="1:38" ht="12.75" x14ac:dyDescent="0.2">
      <c r="A16" s="35" t="s">
        <v>304</v>
      </c>
      <c r="B16" s="37"/>
    </row>
    <row r="17" spans="1:31" ht="12.75" x14ac:dyDescent="0.2">
      <c r="A17" s="35" t="s">
        <v>305</v>
      </c>
      <c r="B17" s="37"/>
    </row>
    <row r="18" spans="1:31" ht="12.75" x14ac:dyDescent="0.2">
      <c r="A18" s="35"/>
      <c r="B18" s="37"/>
    </row>
    <row r="19" spans="1:31" ht="12.75" x14ac:dyDescent="0.2">
      <c r="A19" s="35" t="s">
        <v>317</v>
      </c>
      <c r="B19" s="35">
        <v>3.3</v>
      </c>
    </row>
    <row r="20" spans="1:31" ht="12.75" x14ac:dyDescent="0.2">
      <c r="A20" s="35" t="s">
        <v>318</v>
      </c>
      <c r="B20" s="37">
        <v>0.3</v>
      </c>
    </row>
    <row r="21" spans="1:31" ht="12.75" x14ac:dyDescent="0.2">
      <c r="A21" s="35"/>
      <c r="B21" s="37"/>
    </row>
    <row r="22" spans="1:31" ht="12.75" x14ac:dyDescent="0.2">
      <c r="A22" s="35"/>
      <c r="B22" s="37"/>
    </row>
    <row r="23" spans="1:31" ht="25.5" x14ac:dyDescent="0.2">
      <c r="A23" s="40" t="s">
        <v>306</v>
      </c>
      <c r="B23" s="35">
        <v>0</v>
      </c>
    </row>
    <row r="24" spans="1:31" ht="12.75" x14ac:dyDescent="0.2">
      <c r="A24" s="35" t="s">
        <v>307</v>
      </c>
      <c r="B24" s="35">
        <v>0</v>
      </c>
    </row>
    <row r="25" spans="1:31" ht="15" x14ac:dyDescent="0.25">
      <c r="A25" s="39"/>
      <c r="C25" s="38"/>
    </row>
    <row r="26" spans="1:31" s="44" customFormat="1" ht="15" x14ac:dyDescent="0.25">
      <c r="A26" s="43" t="s">
        <v>335</v>
      </c>
    </row>
    <row r="27" spans="1:31" s="44" customFormat="1" ht="15" x14ac:dyDescent="0.25">
      <c r="A27" s="45" t="s">
        <v>335</v>
      </c>
    </row>
    <row r="28" spans="1:31" s="44" customFormat="1" ht="15" x14ac:dyDescent="0.25">
      <c r="A28" s="44" t="s">
        <v>578</v>
      </c>
      <c r="B28" s="44">
        <v>4</v>
      </c>
      <c r="C28" s="44" t="s">
        <v>579</v>
      </c>
    </row>
    <row r="29" spans="1:31" s="44" customFormat="1" ht="15" x14ac:dyDescent="0.25">
      <c r="A29" s="44" t="s">
        <v>336</v>
      </c>
    </row>
    <row r="30" spans="1:31" s="44" customFormat="1" ht="15" x14ac:dyDescent="0.25"/>
    <row r="31" spans="1:31" s="44" customFormat="1" ht="15" x14ac:dyDescent="0.25">
      <c r="B31" s="44">
        <v>2021</v>
      </c>
      <c r="C31" s="44">
        <v>2022</v>
      </c>
      <c r="D31" s="44">
        <v>2023</v>
      </c>
      <c r="E31" s="44">
        <v>2024</v>
      </c>
      <c r="F31" s="44">
        <v>2025</v>
      </c>
      <c r="G31" s="44">
        <v>2026</v>
      </c>
      <c r="H31" s="44">
        <v>2027</v>
      </c>
      <c r="I31" s="44">
        <v>2028</v>
      </c>
      <c r="J31" s="44">
        <v>2029</v>
      </c>
      <c r="K31" s="44">
        <v>2030</v>
      </c>
      <c r="L31" s="44">
        <v>2031</v>
      </c>
      <c r="M31" s="44">
        <v>2032</v>
      </c>
      <c r="N31" s="44">
        <v>2033</v>
      </c>
      <c r="O31" s="44">
        <v>2034</v>
      </c>
      <c r="P31" s="44">
        <v>2035</v>
      </c>
      <c r="Q31" s="44">
        <v>2036</v>
      </c>
      <c r="R31" s="44">
        <v>2037</v>
      </c>
      <c r="S31" s="44">
        <v>2038</v>
      </c>
      <c r="T31" s="44">
        <v>2039</v>
      </c>
      <c r="U31" s="44">
        <v>2040</v>
      </c>
      <c r="V31" s="44">
        <v>2041</v>
      </c>
      <c r="W31" s="44">
        <v>2042</v>
      </c>
      <c r="X31" s="44">
        <v>2043</v>
      </c>
      <c r="Y31" s="44">
        <v>2044</v>
      </c>
      <c r="Z31" s="44">
        <v>2045</v>
      </c>
      <c r="AA31" s="44">
        <v>2046</v>
      </c>
      <c r="AB31" s="44">
        <v>2047</v>
      </c>
      <c r="AC31" s="44">
        <v>2048</v>
      </c>
      <c r="AD31" s="44">
        <v>2049</v>
      </c>
      <c r="AE31" s="44">
        <v>2050</v>
      </c>
    </row>
    <row r="32" spans="1:31" s="44" customFormat="1" ht="15" x14ac:dyDescent="0.25">
      <c r="A32" s="44" t="s">
        <v>337</v>
      </c>
      <c r="B32" s="44">
        <v>0</v>
      </c>
      <c r="C32" s="44">
        <v>0</v>
      </c>
      <c r="D32" s="44">
        <v>0</v>
      </c>
      <c r="E32" s="44">
        <v>0</v>
      </c>
      <c r="F32" s="44">
        <v>800</v>
      </c>
      <c r="G32" s="44">
        <v>800</v>
      </c>
      <c r="H32" s="44">
        <v>800</v>
      </c>
      <c r="I32" s="44">
        <v>800</v>
      </c>
      <c r="J32" s="44">
        <v>800</v>
      </c>
      <c r="K32" s="44">
        <v>0</v>
      </c>
      <c r="L32" s="44">
        <v>0</v>
      </c>
      <c r="M32" s="44">
        <v>0</v>
      </c>
      <c r="N32" s="44">
        <v>0</v>
      </c>
      <c r="O32" s="44">
        <v>0</v>
      </c>
      <c r="P32" s="44">
        <v>0</v>
      </c>
      <c r="Q32" s="44">
        <v>0</v>
      </c>
      <c r="R32" s="44">
        <v>0</v>
      </c>
      <c r="S32" s="44">
        <v>0</v>
      </c>
      <c r="T32" s="44">
        <v>0</v>
      </c>
      <c r="U32" s="44">
        <v>0</v>
      </c>
      <c r="V32" s="44">
        <v>0</v>
      </c>
      <c r="W32" s="44">
        <v>0</v>
      </c>
      <c r="X32" s="44">
        <v>0</v>
      </c>
      <c r="Y32" s="44">
        <v>0</v>
      </c>
      <c r="Z32" s="44">
        <v>0</v>
      </c>
      <c r="AA32" s="44">
        <v>0</v>
      </c>
      <c r="AB32" s="44">
        <v>0</v>
      </c>
      <c r="AC32" s="44">
        <v>0</v>
      </c>
      <c r="AD32" s="44">
        <v>0</v>
      </c>
      <c r="AE32" s="44">
        <v>0</v>
      </c>
    </row>
    <row r="33" spans="1:31" s="44" customFormat="1" ht="15" x14ac:dyDescent="0.25"/>
    <row r="34" spans="1:31" s="44" customFormat="1" ht="15" x14ac:dyDescent="0.25"/>
    <row r="35" spans="1:31" s="44" customFormat="1" ht="15" x14ac:dyDescent="0.25">
      <c r="A35" s="43" t="s">
        <v>338</v>
      </c>
    </row>
    <row r="36" spans="1:31" s="44" customFormat="1" ht="15" x14ac:dyDescent="0.25"/>
    <row r="37" spans="1:31" s="44" customFormat="1" ht="30" x14ac:dyDescent="0.25">
      <c r="A37" s="45" t="s">
        <v>339</v>
      </c>
      <c r="B37" s="44">
        <v>2.4805304788796994</v>
      </c>
    </row>
    <row r="38" spans="1:31" s="44" customFormat="1" ht="15" x14ac:dyDescent="0.25">
      <c r="A38" s="45" t="s">
        <v>340</v>
      </c>
      <c r="B38" s="44">
        <v>9.9221219155187974</v>
      </c>
    </row>
    <row r="39" spans="1:31" s="44" customFormat="1" ht="15" x14ac:dyDescent="0.25">
      <c r="A39" s="44" t="s">
        <v>341</v>
      </c>
      <c r="B39" s="44">
        <v>7</v>
      </c>
    </row>
    <row r="40" spans="1:31" s="44" customFormat="1" ht="15" x14ac:dyDescent="0.25"/>
    <row r="41" spans="1:31" s="44" customFormat="1" ht="15" x14ac:dyDescent="0.25">
      <c r="B41" s="44">
        <v>2021</v>
      </c>
      <c r="C41" s="44">
        <v>2022</v>
      </c>
      <c r="D41" s="44">
        <v>2023</v>
      </c>
      <c r="E41" s="44">
        <v>2024</v>
      </c>
      <c r="F41" s="44">
        <v>2025</v>
      </c>
      <c r="G41" s="44">
        <v>2026</v>
      </c>
      <c r="H41" s="44">
        <v>2027</v>
      </c>
      <c r="I41" s="44">
        <v>2028</v>
      </c>
      <c r="J41" s="44">
        <v>2029</v>
      </c>
      <c r="K41" s="44">
        <v>2030</v>
      </c>
      <c r="L41" s="44">
        <v>2031</v>
      </c>
      <c r="M41" s="44">
        <v>2032</v>
      </c>
      <c r="N41" s="44">
        <v>2033</v>
      </c>
      <c r="O41" s="44">
        <v>2034</v>
      </c>
      <c r="P41" s="44">
        <v>2035</v>
      </c>
      <c r="Q41" s="44">
        <v>2036</v>
      </c>
      <c r="R41" s="44">
        <v>2037</v>
      </c>
      <c r="S41" s="44">
        <v>2038</v>
      </c>
      <c r="T41" s="44">
        <v>2039</v>
      </c>
      <c r="U41" s="44">
        <v>2040</v>
      </c>
      <c r="V41" s="44">
        <v>2041</v>
      </c>
      <c r="W41" s="44">
        <v>2042</v>
      </c>
      <c r="X41" s="44">
        <v>2043</v>
      </c>
      <c r="Y41" s="44">
        <v>2044</v>
      </c>
      <c r="Z41" s="44">
        <v>2045</v>
      </c>
      <c r="AA41" s="44">
        <v>2046</v>
      </c>
      <c r="AB41" s="44">
        <v>2047</v>
      </c>
      <c r="AC41" s="44">
        <v>2048</v>
      </c>
      <c r="AD41" s="44">
        <v>2049</v>
      </c>
      <c r="AE41" s="44">
        <v>2050</v>
      </c>
    </row>
    <row r="42" spans="1:31" s="44" customFormat="1" ht="15" x14ac:dyDescent="0.25">
      <c r="A42" s="44" t="s">
        <v>337</v>
      </c>
      <c r="B42" s="44">
        <v>0</v>
      </c>
      <c r="C42" s="44">
        <v>0</v>
      </c>
      <c r="D42" s="44">
        <v>0</v>
      </c>
      <c r="E42" s="44">
        <v>0</v>
      </c>
      <c r="F42" s="44">
        <v>1417.4459879312569</v>
      </c>
      <c r="G42" s="44">
        <v>1417.4459879312569</v>
      </c>
      <c r="H42" s="44">
        <v>1417.4459879312569</v>
      </c>
      <c r="I42" s="44">
        <v>1417.4459879312569</v>
      </c>
      <c r="J42" s="44">
        <v>1417.4459879312569</v>
      </c>
      <c r="K42" s="44">
        <v>1417.4459879312569</v>
      </c>
      <c r="L42" s="44">
        <v>1417.4459879312569</v>
      </c>
      <c r="M42" s="44">
        <v>0</v>
      </c>
      <c r="N42" s="44">
        <v>0</v>
      </c>
      <c r="O42" s="44">
        <v>0</v>
      </c>
      <c r="P42" s="44">
        <v>0</v>
      </c>
      <c r="Q42" s="44">
        <v>0</v>
      </c>
      <c r="R42" s="44">
        <v>0</v>
      </c>
      <c r="S42" s="44">
        <v>0</v>
      </c>
      <c r="T42" s="44">
        <v>0</v>
      </c>
      <c r="U42" s="44">
        <v>0</v>
      </c>
      <c r="V42" s="44">
        <v>0</v>
      </c>
      <c r="W42" s="44">
        <v>0</v>
      </c>
      <c r="X42" s="44">
        <v>0</v>
      </c>
      <c r="Y42" s="44">
        <v>0</v>
      </c>
      <c r="Z42" s="44">
        <v>0</v>
      </c>
      <c r="AA42" s="44">
        <v>0</v>
      </c>
      <c r="AB42" s="44">
        <v>0</v>
      </c>
      <c r="AC42" s="44">
        <v>0</v>
      </c>
      <c r="AD42" s="44">
        <v>0</v>
      </c>
      <c r="AE42" s="44">
        <v>0</v>
      </c>
    </row>
    <row r="43" spans="1:31" s="46" customFormat="1" ht="15.75" customHeight="1" x14ac:dyDescent="0.2"/>
    <row r="44" spans="1:31" s="44" customFormat="1" ht="15" x14ac:dyDescent="0.25">
      <c r="A44" s="43" t="s">
        <v>342</v>
      </c>
    </row>
    <row r="45" spans="1:31" s="44" customFormat="1" ht="15" x14ac:dyDescent="0.25"/>
    <row r="46" spans="1:31" s="44" customFormat="1" ht="15" x14ac:dyDescent="0.25">
      <c r="A46" s="44" t="s">
        <v>343</v>
      </c>
      <c r="B46" s="44">
        <v>281</v>
      </c>
    </row>
    <row r="47" spans="1:31" s="44" customFormat="1" ht="15" x14ac:dyDescent="0.25"/>
    <row r="48" spans="1:31" s="44" customFormat="1" ht="15" x14ac:dyDescent="0.25">
      <c r="B48" s="44">
        <v>2021</v>
      </c>
      <c r="C48" s="44">
        <v>2022</v>
      </c>
      <c r="D48" s="44">
        <v>2023</v>
      </c>
      <c r="E48" s="44">
        <v>2024</v>
      </c>
      <c r="F48" s="44">
        <v>2025</v>
      </c>
      <c r="G48" s="44">
        <v>2026</v>
      </c>
      <c r="H48" s="44">
        <v>2027</v>
      </c>
      <c r="I48" s="44">
        <v>2028</v>
      </c>
      <c r="J48" s="44">
        <v>2029</v>
      </c>
      <c r="K48" s="44">
        <v>2030</v>
      </c>
      <c r="L48" s="44">
        <v>2031</v>
      </c>
      <c r="M48" s="44">
        <v>2032</v>
      </c>
      <c r="N48" s="44">
        <v>2033</v>
      </c>
      <c r="O48" s="44">
        <v>2034</v>
      </c>
      <c r="P48" s="44">
        <v>2035</v>
      </c>
      <c r="Q48" s="44">
        <v>2036</v>
      </c>
      <c r="R48" s="44">
        <v>2037</v>
      </c>
      <c r="S48" s="44">
        <v>2038</v>
      </c>
      <c r="T48" s="44">
        <v>2039</v>
      </c>
      <c r="U48" s="44">
        <v>2040</v>
      </c>
      <c r="V48" s="44">
        <v>2041</v>
      </c>
      <c r="W48" s="44">
        <v>2042</v>
      </c>
      <c r="X48" s="44">
        <v>2043</v>
      </c>
      <c r="Y48" s="44">
        <v>2044</v>
      </c>
      <c r="Z48" s="44">
        <v>2045</v>
      </c>
      <c r="AA48" s="44">
        <v>2046</v>
      </c>
      <c r="AB48" s="44">
        <v>2047</v>
      </c>
      <c r="AC48" s="44">
        <v>2048</v>
      </c>
      <c r="AD48" s="44">
        <v>2049</v>
      </c>
      <c r="AE48" s="44">
        <v>2050</v>
      </c>
    </row>
    <row r="49" spans="1:31" s="44" customFormat="1" ht="15" x14ac:dyDescent="0.25">
      <c r="A49" s="44" t="s">
        <v>337</v>
      </c>
      <c r="B49" s="44">
        <v>0</v>
      </c>
      <c r="C49" s="44">
        <v>0</v>
      </c>
      <c r="D49" s="44">
        <v>0</v>
      </c>
      <c r="E49" s="44">
        <v>0</v>
      </c>
      <c r="F49" s="44">
        <v>40.142857142857146</v>
      </c>
      <c r="G49" s="44">
        <v>40.142857142857146</v>
      </c>
      <c r="H49" s="44">
        <v>40.142857142857146</v>
      </c>
      <c r="I49" s="44">
        <v>40.142857142857146</v>
      </c>
      <c r="J49" s="44">
        <v>40.142857142857146</v>
      </c>
      <c r="K49" s="44">
        <v>40.142857142857146</v>
      </c>
      <c r="L49" s="44">
        <v>40.142857142857146</v>
      </c>
      <c r="M49" s="44">
        <v>0</v>
      </c>
      <c r="N49" s="44">
        <v>0</v>
      </c>
      <c r="O49" s="44">
        <v>0</v>
      </c>
      <c r="P49" s="44">
        <v>0</v>
      </c>
      <c r="Q49" s="44">
        <v>0</v>
      </c>
      <c r="R49" s="44">
        <v>0</v>
      </c>
      <c r="S49" s="44">
        <v>0</v>
      </c>
      <c r="T49" s="44">
        <v>0</v>
      </c>
      <c r="U49" s="44">
        <v>0</v>
      </c>
      <c r="V49" s="44">
        <v>0</v>
      </c>
      <c r="W49" s="44">
        <v>0</v>
      </c>
      <c r="X49" s="44">
        <v>0</v>
      </c>
      <c r="Y49" s="44">
        <v>0</v>
      </c>
      <c r="Z49" s="44">
        <v>0</v>
      </c>
      <c r="AA49" s="44">
        <v>0</v>
      </c>
      <c r="AB49" s="44">
        <v>0</v>
      </c>
      <c r="AC49" s="44">
        <v>0</v>
      </c>
      <c r="AD49" s="44">
        <v>0</v>
      </c>
      <c r="AE49" s="44">
        <v>0</v>
      </c>
    </row>
    <row r="56" spans="1:31" ht="15.75" customHeight="1" x14ac:dyDescent="0.2">
      <c r="B56" s="34">
        <v>2023</v>
      </c>
      <c r="C56" s="34">
        <v>2024</v>
      </c>
      <c r="D56" s="34">
        <v>2025</v>
      </c>
      <c r="E56" s="34">
        <v>2026</v>
      </c>
      <c r="F56" s="34">
        <v>2027</v>
      </c>
      <c r="G56" s="34">
        <v>2028</v>
      </c>
      <c r="H56" s="34">
        <v>2029</v>
      </c>
      <c r="I56" s="34">
        <v>2030</v>
      </c>
      <c r="J56" s="34">
        <v>2031</v>
      </c>
      <c r="K56" s="34">
        <v>2032</v>
      </c>
      <c r="L56" s="34">
        <v>2033</v>
      </c>
      <c r="M56" s="34">
        <v>2034</v>
      </c>
      <c r="N56" s="34">
        <v>2035</v>
      </c>
      <c r="O56" s="34">
        <v>2036</v>
      </c>
      <c r="P56" s="34">
        <v>2037</v>
      </c>
      <c r="Q56" s="34">
        <v>2038</v>
      </c>
      <c r="R56" s="34">
        <v>2039</v>
      </c>
      <c r="S56" s="34">
        <v>2040</v>
      </c>
      <c r="T56" s="34">
        <v>2041</v>
      </c>
      <c r="U56" s="34">
        <v>2042</v>
      </c>
      <c r="V56" s="34">
        <v>2043</v>
      </c>
      <c r="W56" s="34">
        <v>2044</v>
      </c>
      <c r="X56" s="34">
        <v>2045</v>
      </c>
      <c r="Y56" s="34">
        <v>2046</v>
      </c>
      <c r="Z56" s="34">
        <v>2047</v>
      </c>
      <c r="AA56" s="34">
        <v>2048</v>
      </c>
      <c r="AB56" s="34">
        <v>2049</v>
      </c>
      <c r="AC56" s="34">
        <v>2050</v>
      </c>
    </row>
    <row r="57" spans="1:31" ht="15.75" customHeight="1" x14ac:dyDescent="0.2">
      <c r="A57" s="34" t="s">
        <v>324</v>
      </c>
      <c r="B57" s="41">
        <f t="shared" ref="B57:K57" si="0">$B$24+$B$23+D32+D42+D49</f>
        <v>0</v>
      </c>
      <c r="C57" s="41">
        <f t="shared" si="0"/>
        <v>0</v>
      </c>
      <c r="D57" s="41">
        <f t="shared" si="0"/>
        <v>2257.5888450741145</v>
      </c>
      <c r="E57" s="41">
        <f t="shared" si="0"/>
        <v>2257.5888450741145</v>
      </c>
      <c r="F57" s="41">
        <f t="shared" si="0"/>
        <v>2257.5888450741145</v>
      </c>
      <c r="G57" s="41">
        <f t="shared" si="0"/>
        <v>2257.5888450741145</v>
      </c>
      <c r="H57" s="41">
        <f t="shared" si="0"/>
        <v>2257.5888450741145</v>
      </c>
      <c r="I57" s="41">
        <f t="shared" si="0"/>
        <v>1457.588845074114</v>
      </c>
      <c r="J57" s="41">
        <f t="shared" si="0"/>
        <v>1457.588845074114</v>
      </c>
      <c r="K57" s="41">
        <f t="shared" si="0"/>
        <v>0</v>
      </c>
      <c r="L57" s="41">
        <f>$B$23+N32+N42</f>
        <v>0</v>
      </c>
      <c r="M57" s="41">
        <f>$B$23+O32+O42</f>
        <v>0</v>
      </c>
      <c r="N57" s="41">
        <f>$B$23+P32+P42</f>
        <v>0</v>
      </c>
      <c r="O57" s="41">
        <f>$B$23+Q32+Q42</f>
        <v>0</v>
      </c>
      <c r="P57" s="41">
        <f>$B$23+R32+R42</f>
        <v>0</v>
      </c>
      <c r="Q57" s="41">
        <f>$B$23*0.75+S32+S42</f>
        <v>0</v>
      </c>
      <c r="R57" s="41">
        <f>$B$23*0.5+T32+T42</f>
        <v>0</v>
      </c>
      <c r="S57" s="41">
        <f>U32+U42</f>
        <v>0</v>
      </c>
      <c r="T57" s="41">
        <f t="shared" ref="T57:AC57" si="1">V32+V42</f>
        <v>0</v>
      </c>
      <c r="U57" s="41">
        <f t="shared" si="1"/>
        <v>0</v>
      </c>
      <c r="V57" s="41">
        <f t="shared" si="1"/>
        <v>0</v>
      </c>
      <c r="W57" s="41">
        <f t="shared" si="1"/>
        <v>0</v>
      </c>
      <c r="X57" s="41">
        <f t="shared" si="1"/>
        <v>0</v>
      </c>
      <c r="Y57" s="41">
        <f t="shared" si="1"/>
        <v>0</v>
      </c>
      <c r="Z57" s="41">
        <f t="shared" si="1"/>
        <v>0</v>
      </c>
      <c r="AA57" s="41">
        <f t="shared" si="1"/>
        <v>0</v>
      </c>
      <c r="AB57" s="41">
        <f t="shared" si="1"/>
        <v>0</v>
      </c>
      <c r="AC57" s="41">
        <f t="shared" si="1"/>
        <v>0</v>
      </c>
    </row>
    <row r="58" spans="1:31" ht="15.75" customHeight="1" x14ac:dyDescent="0.2">
      <c r="A58" s="34" t="s">
        <v>325</v>
      </c>
      <c r="B58" s="41">
        <f>B57</f>
        <v>0</v>
      </c>
      <c r="C58" s="41">
        <f>B58+C57</f>
        <v>0</v>
      </c>
      <c r="D58" s="41">
        <f>C58+D57</f>
        <v>2257.5888450741145</v>
      </c>
      <c r="E58" s="41">
        <f t="shared" ref="E58:AC58" si="2">D58+E57</f>
        <v>4515.177690148229</v>
      </c>
      <c r="F58" s="41">
        <f t="shared" si="2"/>
        <v>6772.766535222343</v>
      </c>
      <c r="G58" s="41">
        <f t="shared" si="2"/>
        <v>9030.355380296458</v>
      </c>
      <c r="H58" s="41">
        <f t="shared" si="2"/>
        <v>11287.944225370573</v>
      </c>
      <c r="I58" s="41">
        <f t="shared" si="2"/>
        <v>12745.533070444686</v>
      </c>
      <c r="J58" s="41">
        <f t="shared" si="2"/>
        <v>14203.121915518801</v>
      </c>
      <c r="K58" s="41">
        <f t="shared" si="2"/>
        <v>14203.121915518801</v>
      </c>
      <c r="L58" s="41">
        <f t="shared" si="2"/>
        <v>14203.121915518801</v>
      </c>
      <c r="M58" s="41">
        <f t="shared" si="2"/>
        <v>14203.121915518801</v>
      </c>
      <c r="N58" s="41">
        <f t="shared" si="2"/>
        <v>14203.121915518801</v>
      </c>
      <c r="O58" s="41">
        <f t="shared" si="2"/>
        <v>14203.121915518801</v>
      </c>
      <c r="P58" s="41">
        <f t="shared" si="2"/>
        <v>14203.121915518801</v>
      </c>
      <c r="Q58" s="41">
        <f t="shared" si="2"/>
        <v>14203.121915518801</v>
      </c>
      <c r="R58" s="41">
        <f t="shared" si="2"/>
        <v>14203.121915518801</v>
      </c>
      <c r="S58" s="41">
        <f t="shared" si="2"/>
        <v>14203.121915518801</v>
      </c>
      <c r="T58" s="41">
        <f t="shared" si="2"/>
        <v>14203.121915518801</v>
      </c>
      <c r="U58" s="41">
        <f t="shared" si="2"/>
        <v>14203.121915518801</v>
      </c>
      <c r="V58" s="41">
        <f t="shared" si="2"/>
        <v>14203.121915518801</v>
      </c>
      <c r="W58" s="41">
        <f t="shared" si="2"/>
        <v>14203.121915518801</v>
      </c>
      <c r="X58" s="41">
        <f t="shared" si="2"/>
        <v>14203.121915518801</v>
      </c>
      <c r="Y58" s="41">
        <f t="shared" si="2"/>
        <v>14203.121915518801</v>
      </c>
      <c r="Z58" s="41">
        <f t="shared" si="2"/>
        <v>14203.121915518801</v>
      </c>
      <c r="AA58" s="41">
        <f t="shared" si="2"/>
        <v>14203.121915518801</v>
      </c>
      <c r="AB58" s="41">
        <f t="shared" si="2"/>
        <v>14203.121915518801</v>
      </c>
      <c r="AC58" s="41">
        <f t="shared" si="2"/>
        <v>14203.121915518801</v>
      </c>
    </row>
    <row r="59" spans="1:31" ht="15.75" customHeight="1" x14ac:dyDescent="0.2">
      <c r="A59" s="34" t="s">
        <v>320</v>
      </c>
      <c r="B59" s="41">
        <f>B58*Percent_Urban</f>
        <v>0</v>
      </c>
      <c r="C59" s="41">
        <f t="shared" ref="C59:AC59" si="3">C58*Percent_Urban</f>
        <v>0</v>
      </c>
      <c r="D59" s="41">
        <f>D58*Percent_Urban</f>
        <v>1835.6044976867486</v>
      </c>
      <c r="E59" s="41">
        <f t="shared" si="3"/>
        <v>3671.2089953734971</v>
      </c>
      <c r="F59" s="41">
        <f t="shared" si="3"/>
        <v>5506.8134930602455</v>
      </c>
      <c r="G59" s="41">
        <f t="shared" si="3"/>
        <v>7342.4179907469943</v>
      </c>
      <c r="H59" s="41">
        <f t="shared" si="3"/>
        <v>9178.0224884337422</v>
      </c>
      <c r="I59" s="41">
        <f>I58*Percent_Urban</f>
        <v>10363.161512146557</v>
      </c>
      <c r="J59" s="41">
        <f>J58*Percent_Urban</f>
        <v>11548.300535859373</v>
      </c>
      <c r="K59" s="41">
        <f t="shared" si="3"/>
        <v>11548.300535859373</v>
      </c>
      <c r="L59" s="41">
        <f t="shared" si="3"/>
        <v>11548.300535859373</v>
      </c>
      <c r="M59" s="41">
        <f t="shared" si="3"/>
        <v>11548.300535859373</v>
      </c>
      <c r="N59" s="41">
        <f t="shared" si="3"/>
        <v>11548.300535859373</v>
      </c>
      <c r="O59" s="41">
        <f t="shared" si="3"/>
        <v>11548.300535859373</v>
      </c>
      <c r="P59" s="41">
        <f t="shared" si="3"/>
        <v>11548.300535859373</v>
      </c>
      <c r="Q59" s="41">
        <f t="shared" si="3"/>
        <v>11548.300535859373</v>
      </c>
      <c r="R59" s="41">
        <f t="shared" si="3"/>
        <v>11548.300535859373</v>
      </c>
      <c r="S59" s="41">
        <f t="shared" si="3"/>
        <v>11548.300535859373</v>
      </c>
      <c r="T59" s="41">
        <f t="shared" si="3"/>
        <v>11548.300535859373</v>
      </c>
      <c r="U59" s="41">
        <f t="shared" si="3"/>
        <v>11548.300535859373</v>
      </c>
      <c r="V59" s="41">
        <f t="shared" si="3"/>
        <v>11548.300535859373</v>
      </c>
      <c r="W59" s="41">
        <f t="shared" si="3"/>
        <v>11548.300535859373</v>
      </c>
      <c r="X59" s="41">
        <f t="shared" si="3"/>
        <v>11548.300535859373</v>
      </c>
      <c r="Y59" s="41">
        <f t="shared" si="3"/>
        <v>11548.300535859373</v>
      </c>
      <c r="Z59" s="41">
        <f t="shared" si="3"/>
        <v>11548.300535859373</v>
      </c>
      <c r="AA59" s="41">
        <f t="shared" si="3"/>
        <v>11548.300535859373</v>
      </c>
      <c r="AB59" s="41">
        <f t="shared" si="3"/>
        <v>11548.300535859373</v>
      </c>
      <c r="AC59" s="41">
        <f t="shared" si="3"/>
        <v>11548.300535859373</v>
      </c>
    </row>
    <row r="60" spans="1:31" ht="15.75" customHeight="1" x14ac:dyDescent="0.2">
      <c r="A60" s="34" t="s">
        <v>321</v>
      </c>
      <c r="B60" s="41">
        <f t="shared" ref="B60:AC60" si="4">B58*Percent_rural</f>
        <v>0</v>
      </c>
      <c r="C60" s="41">
        <f t="shared" si="4"/>
        <v>0</v>
      </c>
      <c r="D60" s="41">
        <f t="shared" si="4"/>
        <v>421.98434738736586</v>
      </c>
      <c r="E60" s="41">
        <f t="shared" si="4"/>
        <v>843.96869477473172</v>
      </c>
      <c r="F60" s="41">
        <f t="shared" si="4"/>
        <v>1265.9530421620975</v>
      </c>
      <c r="G60" s="41">
        <f t="shared" si="4"/>
        <v>1687.9373895494634</v>
      </c>
      <c r="H60" s="41">
        <f t="shared" si="4"/>
        <v>2109.9217369368293</v>
      </c>
      <c r="I60" s="41">
        <f t="shared" si="4"/>
        <v>2382.3715582981285</v>
      </c>
      <c r="J60" s="41">
        <f t="shared" si="4"/>
        <v>2654.8213796594277</v>
      </c>
      <c r="K60" s="41">
        <f t="shared" si="4"/>
        <v>2654.8213796594277</v>
      </c>
      <c r="L60" s="41">
        <f t="shared" si="4"/>
        <v>2654.8213796594277</v>
      </c>
      <c r="M60" s="41">
        <f t="shared" si="4"/>
        <v>2654.8213796594277</v>
      </c>
      <c r="N60" s="41">
        <f t="shared" si="4"/>
        <v>2654.8213796594277</v>
      </c>
      <c r="O60" s="41">
        <f t="shared" si="4"/>
        <v>2654.8213796594277</v>
      </c>
      <c r="P60" s="41">
        <f t="shared" si="4"/>
        <v>2654.8213796594277</v>
      </c>
      <c r="Q60" s="41">
        <f t="shared" si="4"/>
        <v>2654.8213796594277</v>
      </c>
      <c r="R60" s="41">
        <f t="shared" si="4"/>
        <v>2654.8213796594277</v>
      </c>
      <c r="S60" s="41">
        <f t="shared" si="4"/>
        <v>2654.8213796594277</v>
      </c>
      <c r="T60" s="41">
        <f t="shared" si="4"/>
        <v>2654.8213796594277</v>
      </c>
      <c r="U60" s="41">
        <f t="shared" si="4"/>
        <v>2654.8213796594277</v>
      </c>
      <c r="V60" s="41">
        <f t="shared" si="4"/>
        <v>2654.8213796594277</v>
      </c>
      <c r="W60" s="41">
        <f t="shared" si="4"/>
        <v>2654.8213796594277</v>
      </c>
      <c r="X60" s="41">
        <f t="shared" si="4"/>
        <v>2654.8213796594277</v>
      </c>
      <c r="Y60" s="41">
        <f t="shared" si="4"/>
        <v>2654.8213796594277</v>
      </c>
      <c r="Z60" s="41">
        <f t="shared" si="4"/>
        <v>2654.8213796594277</v>
      </c>
      <c r="AA60" s="41">
        <f t="shared" si="4"/>
        <v>2654.8213796594277</v>
      </c>
      <c r="AB60" s="41">
        <f t="shared" si="4"/>
        <v>2654.8213796594277</v>
      </c>
      <c r="AC60" s="41">
        <f t="shared" si="4"/>
        <v>2654.8213796594277</v>
      </c>
    </row>
    <row r="61" spans="1:31" ht="15.75" customHeight="1" x14ac:dyDescent="0.2">
      <c r="A61" s="34" t="s">
        <v>322</v>
      </c>
      <c r="B61" s="41">
        <f>B59*Calculations!D121*8760</f>
        <v>0</v>
      </c>
      <c r="C61" s="41">
        <f>C59*Calculations!E121*8760</f>
        <v>0</v>
      </c>
      <c r="D61" s="41">
        <f>D59*Calculations!F121*8760</f>
        <v>2720924.0591611993</v>
      </c>
      <c r="E61" s="41">
        <f>E59*Calculations!G121*8760</f>
        <v>5423459.3144789562</v>
      </c>
      <c r="F61" s="41">
        <f>F59*Calculations!H121*8760</f>
        <v>8107877.9447767613</v>
      </c>
      <c r="G61" s="41">
        <f>G59*Calculations!I121*8760</f>
        <v>10775444.097476726</v>
      </c>
      <c r="H61" s="41">
        <f>H59*Calculations!J121*8760</f>
        <v>13427507.937693829</v>
      </c>
      <c r="I61" s="41">
        <f>I59*Calculations!K121*8760</f>
        <v>15115119.775958888</v>
      </c>
      <c r="J61" s="41">
        <f>J59*Calculations!L121*8760</f>
        <v>16792778.30773735</v>
      </c>
      <c r="K61" s="41">
        <f>K59*Calculations!M121*8760</f>
        <v>16745182.815723073</v>
      </c>
      <c r="L61" s="41">
        <f>L59*Calculations!N121*8760</f>
        <v>16697639.121159727</v>
      </c>
      <c r="M61" s="41">
        <f>M59*Calculations!O121*8760</f>
        <v>16651102.734285759</v>
      </c>
      <c r="N61" s="41">
        <f>N59*Calculations!P121*8760</f>
        <v>16604198.764399055</v>
      </c>
      <c r="O61" s="41">
        <f>O59*Calculations!Q121*8760</f>
        <v>16558743.536020344</v>
      </c>
      <c r="P61" s="41">
        <f>P59*Calculations!R121*8760</f>
        <v>16512888.115069641</v>
      </c>
      <c r="Q61" s="41">
        <f>Q59*Calculations!S121*8760</f>
        <v>16469262.757713694</v>
      </c>
      <c r="R61" s="41">
        <f>R59*Calculations!T121*8760</f>
        <v>16427501.337108238</v>
      </c>
      <c r="S61" s="41">
        <f>S59*Calculations!U121*8760</f>
        <v>16387317.098354198</v>
      </c>
      <c r="T61" s="41">
        <f>T59*Calculations!V121*8760</f>
        <v>16347418.238840509</v>
      </c>
      <c r="U61" s="41">
        <f>U59*Calculations!W121*8760</f>
        <v>16309073.799916161</v>
      </c>
      <c r="V61" s="41">
        <f>V59*Calculations!X121*8760</f>
        <v>16272880.32717943</v>
      </c>
      <c r="W61" s="41">
        <f>W59*Calculations!Y121*8760</f>
        <v>16238665.302525621</v>
      </c>
      <c r="X61" s="41">
        <f>X59*Calculations!Z121*8760</f>
        <v>16205204.20165256</v>
      </c>
      <c r="Y61" s="41">
        <f>Y59*Calculations!AA121*8760</f>
        <v>16172997.701594247</v>
      </c>
      <c r="Z61" s="41">
        <f>Z59*Calculations!AB121*8760</f>
        <v>16141674.946339989</v>
      </c>
      <c r="AA61" s="41">
        <f>AA59*Calculations!AC121*8760</f>
        <v>16110368.48313929</v>
      </c>
      <c r="AB61" s="41">
        <f>AB59*Calculations!AD121*8760</f>
        <v>16079523.697395645</v>
      </c>
      <c r="AC61" s="41">
        <f>AC59*Calculations!AE121*8760</f>
        <v>16050275.158667376</v>
      </c>
    </row>
    <row r="62" spans="1:31" ht="15.75" customHeight="1" x14ac:dyDescent="0.2">
      <c r="A62" s="34" t="s">
        <v>323</v>
      </c>
      <c r="B62" s="41">
        <f>B60*Calculations!D121*8760</f>
        <v>0</v>
      </c>
      <c r="C62" s="41">
        <f>C60*Calculations!E121*8760</f>
        <v>0</v>
      </c>
      <c r="D62" s="41">
        <f>D60*Calculations!F121*8760</f>
        <v>625509.12510983774</v>
      </c>
      <c r="E62" s="41">
        <f>E60*Calculations!G121*8760</f>
        <v>1246790.8758594096</v>
      </c>
      <c r="F62" s="41">
        <f>F60*Calculations!H121*8760</f>
        <v>1863907.8230276327</v>
      </c>
      <c r="G62" s="41">
        <f>G60*Calculations!I121*8760</f>
        <v>2477150.5795573238</v>
      </c>
      <c r="H62" s="41">
        <f>H60*Calculations!J121*8760</f>
        <v>3086829.5328688826</v>
      </c>
      <c r="I62" s="41">
        <f>I60*Calculations!K121*8760</f>
        <v>3474792.0711558224</v>
      </c>
      <c r="J62" s="41">
        <f>J60*Calculations!L121*8760</f>
        <v>3860466.4588376689</v>
      </c>
      <c r="K62" s="41">
        <f>K60*Calculations!M121*8760</f>
        <v>3849524.8030171818</v>
      </c>
      <c r="L62" s="41">
        <f>L60*Calculations!N121*8760</f>
        <v>3838595.0548345093</v>
      </c>
      <c r="M62" s="41">
        <f>M60*Calculations!O121*8760</f>
        <v>3827896.8750961586</v>
      </c>
      <c r="N62" s="41">
        <f>N60*Calculations!P121*8760</f>
        <v>3817114.1922538248</v>
      </c>
      <c r="O62" s="41">
        <f>O60*Calculations!Q121*8760</f>
        <v>3806664.5584100932</v>
      </c>
      <c r="P62" s="41">
        <f>P60*Calculations!R121*8760</f>
        <v>3796122.92490002</v>
      </c>
      <c r="Q62" s="41">
        <f>Q60*Calculations!S121*8760</f>
        <v>3786093.957343779</v>
      </c>
      <c r="R62" s="41">
        <f>R60*Calculations!T121*8760</f>
        <v>3776493.4873937597</v>
      </c>
      <c r="S62" s="41">
        <f>S60*Calculations!U121*8760</f>
        <v>3767255.5933990288</v>
      </c>
      <c r="T62" s="41">
        <f>T60*Calculations!V121*8760</f>
        <v>3758083.3048071228</v>
      </c>
      <c r="U62" s="41">
        <f>U60*Calculations!W121*8760</f>
        <v>3749268.3596183215</v>
      </c>
      <c r="V62" s="41">
        <f>V60*Calculations!X121*8760</f>
        <v>3740947.8967998116</v>
      </c>
      <c r="W62" s="41">
        <f>W60*Calculations!Y121*8760</f>
        <v>3733082.2564248964</v>
      </c>
      <c r="X62" s="41">
        <f>X60*Calculations!Z121*8760</f>
        <v>3725389.9344499968</v>
      </c>
      <c r="Y62" s="41">
        <f>Y60*Calculations!AA121*8760</f>
        <v>3717986.0307627553</v>
      </c>
      <c r="Z62" s="41">
        <f>Z60*Calculations!AB121*8760</f>
        <v>3710785.2898346311</v>
      </c>
      <c r="AA62" s="41">
        <f>AA60*Calculations!AC121*8760</f>
        <v>3703588.2942621089</v>
      </c>
      <c r="AB62" s="41">
        <f>AB60*Calculations!AD121*8760</f>
        <v>3696497.4330233522</v>
      </c>
      <c r="AC62" s="41">
        <f>AC60*Calculations!AE121*8760</f>
        <v>3689773.5306016505</v>
      </c>
    </row>
    <row r="64" spans="1:31" ht="15.75" customHeight="1" x14ac:dyDescent="0.2">
      <c r="C64" s="41">
        <f t="shared" ref="C64:E64" si="5">C59-B59</f>
        <v>0</v>
      </c>
      <c r="D64" s="41">
        <f t="shared" si="5"/>
        <v>1835.6044976867486</v>
      </c>
      <c r="E64" s="41">
        <f t="shared" si="5"/>
        <v>1835.6044976867486</v>
      </c>
      <c r="F64" s="41">
        <f t="shared" ref="F64:O65" si="6">F59-E59</f>
        <v>1835.6044976867483</v>
      </c>
      <c r="G64" s="41">
        <f t="shared" si="6"/>
        <v>1835.6044976867488</v>
      </c>
      <c r="H64" s="41">
        <f t="shared" si="6"/>
        <v>1835.6044976867479</v>
      </c>
      <c r="I64" s="41">
        <f t="shared" si="6"/>
        <v>1185.1390237128144</v>
      </c>
      <c r="J64" s="41">
        <f t="shared" si="6"/>
        <v>1185.1390237128162</v>
      </c>
      <c r="K64" s="41">
        <f t="shared" si="6"/>
        <v>0</v>
      </c>
      <c r="L64" s="41">
        <f t="shared" si="6"/>
        <v>0</v>
      </c>
      <c r="M64" s="41">
        <f t="shared" si="6"/>
        <v>0</v>
      </c>
      <c r="N64" s="41">
        <f t="shared" si="6"/>
        <v>0</v>
      </c>
      <c r="O64" s="41">
        <f t="shared" si="6"/>
        <v>0</v>
      </c>
    </row>
    <row r="65" spans="1:15" ht="12.75" x14ac:dyDescent="0.2">
      <c r="C65" s="41">
        <f t="shared" ref="C65:D65" si="7">C60-B60</f>
        <v>0</v>
      </c>
      <c r="D65" s="41">
        <f t="shared" si="7"/>
        <v>421.98434738736586</v>
      </c>
      <c r="E65" s="41">
        <f>E60-D60</f>
        <v>421.98434738736586</v>
      </c>
      <c r="F65" s="41">
        <f t="shared" si="6"/>
        <v>421.9843473873658</v>
      </c>
      <c r="G65" s="41">
        <f t="shared" si="6"/>
        <v>421.98434738736591</v>
      </c>
      <c r="H65" s="41">
        <f t="shared" si="6"/>
        <v>421.98434738736591</v>
      </c>
      <c r="I65" s="41">
        <f t="shared" si="6"/>
        <v>272.4498213612992</v>
      </c>
      <c r="J65" s="41">
        <f t="shared" si="6"/>
        <v>272.4498213612992</v>
      </c>
      <c r="K65" s="41">
        <f t="shared" si="6"/>
        <v>0</v>
      </c>
      <c r="L65" s="41">
        <f t="shared" si="6"/>
        <v>0</v>
      </c>
      <c r="M65" s="41">
        <f t="shared" si="6"/>
        <v>0</v>
      </c>
      <c r="N65" s="41">
        <f t="shared" si="6"/>
        <v>0</v>
      </c>
      <c r="O65" s="41">
        <f t="shared" si="6"/>
        <v>0</v>
      </c>
    </row>
    <row r="66" spans="1:15" ht="12.75" x14ac:dyDescent="0.2"/>
    <row r="67" spans="1:15" ht="12.75" x14ac:dyDescent="0.2"/>
    <row r="68" spans="1:15" ht="12.75" x14ac:dyDescent="0.2"/>
    <row r="79" spans="1:15" ht="12.75" x14ac:dyDescent="0.2">
      <c r="A79" s="35" t="s">
        <v>308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5"/>
  <sheetViews>
    <sheetView workbookViewId="0">
      <selection activeCell="C31" sqref="C31"/>
    </sheetView>
  </sheetViews>
  <sheetFormatPr defaultColWidth="8.7109375" defaultRowHeight="15" x14ac:dyDescent="0.25"/>
  <cols>
    <col min="1" max="1" width="31.140625" bestFit="1" customWidth="1"/>
    <col min="2" max="29" width="9.5703125" bestFit="1" customWidth="1"/>
  </cols>
  <sheetData>
    <row r="1" spans="1:29" x14ac:dyDescent="0.25">
      <c r="A1" t="s">
        <v>161</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x14ac:dyDescent="0.25">
      <c r="A2" t="s">
        <v>58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5">
      <c r="A3" t="s">
        <v>326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5">
      <c r="A4" t="s">
        <v>327</v>
      </c>
      <c r="B4">
        <f>Calculations!D44</f>
        <v>0</v>
      </c>
      <c r="C4">
        <f>Calculations!E44</f>
        <v>1.4025661782562939</v>
      </c>
      <c r="D4">
        <f>Calculations!F44</f>
        <v>0.41060633044604544</v>
      </c>
      <c r="E4">
        <f>Calculations!G44</f>
        <v>0.89845543592649557</v>
      </c>
      <c r="F4">
        <f>Calculations!H44</f>
        <v>1.3732952319274669</v>
      </c>
      <c r="G4">
        <f>Calculations!I44</f>
        <v>1.3838652958795432</v>
      </c>
      <c r="H4">
        <f>Calculations!J44</f>
        <v>1.3944353598316197</v>
      </c>
      <c r="I4">
        <f>Calculations!K44</f>
        <v>2.0562839796000971</v>
      </c>
      <c r="J4">
        <f>Calculations!L44</f>
        <v>2.9401039423621791</v>
      </c>
      <c r="K4">
        <f>Calculations!M44</f>
        <v>3.8515686877681534</v>
      </c>
      <c r="L4">
        <f>Calculations!N44</f>
        <v>4.5605760543997409</v>
      </c>
      <c r="M4">
        <f>Calculations!O44</f>
        <v>5.449274508216627</v>
      </c>
      <c r="N4">
        <f>Calculations!P44</f>
        <v>5.459844572168703</v>
      </c>
      <c r="O4">
        <f>Calculations!Q44</f>
        <v>5.4704146361207799</v>
      </c>
      <c r="P4">
        <f>Calculations!R44</f>
        <v>5.480984700072856</v>
      </c>
      <c r="Q4">
        <f>Calculations!S44</f>
        <v>5.4915547640249329</v>
      </c>
      <c r="R4">
        <f>Calculations!T44</f>
        <v>5.5029379098194759</v>
      </c>
      <c r="S4">
        <f>Calculations!U44</f>
        <v>5.5143210556140208</v>
      </c>
      <c r="T4">
        <f>Calculations!V44</f>
        <v>5.5273303650934995</v>
      </c>
      <c r="U4">
        <f>Calculations!W44</f>
        <v>5.5444050837853149</v>
      </c>
      <c r="V4">
        <f>Calculations!X44</f>
        <v>5.5679844572168697</v>
      </c>
      <c r="W4">
        <f>Calculations!Y44</f>
        <v>5.6053862219703712</v>
      </c>
      <c r="X4">
        <f>Calculations!Z44</f>
        <v>5.6696196875252971</v>
      </c>
      <c r="Y4">
        <f>Calculations!AA44</f>
        <v>5.7818249817858005</v>
      </c>
      <c r="Z4">
        <f>Calculations!AB44</f>
        <v>5.8940302760463048</v>
      </c>
      <c r="AA4">
        <f>Calculations!AC44</f>
        <v>6.0070486521492752</v>
      </c>
      <c r="AB4">
        <f>Calculations!AD44</f>
        <v>6.1208801100947134</v>
      </c>
      <c r="AC4">
        <f>Calculations!AE44</f>
        <v>6.2355246498826196</v>
      </c>
    </row>
    <row r="5" spans="1:29" x14ac:dyDescent="0.25">
      <c r="A5" t="s">
        <v>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x14ac:dyDescent="0.25">
      <c r="A6" t="s">
        <v>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5">
      <c r="A7" t="s">
        <v>59</v>
      </c>
      <c r="B7">
        <f>Calculations!D47</f>
        <v>51.58841674087266</v>
      </c>
      <c r="C7">
        <f>Calculations!E47</f>
        <v>250.57474912976602</v>
      </c>
      <c r="D7">
        <f>Calculations!F47</f>
        <v>131.09481162470655</v>
      </c>
      <c r="E7">
        <f>Calculations!G47</f>
        <v>131.20376459159718</v>
      </c>
      <c r="F7">
        <f>Calculations!H47</f>
        <v>131.33711001376184</v>
      </c>
      <c r="G7">
        <f>Calculations!I47</f>
        <v>131.46882927224155</v>
      </c>
      <c r="H7">
        <f>Calculations!J47</f>
        <v>131.68185671496801</v>
      </c>
      <c r="I7">
        <f>Calculations!K47</f>
        <v>132.05262203513317</v>
      </c>
      <c r="J7">
        <f>Calculations!L47</f>
        <v>132.72666688253864</v>
      </c>
      <c r="K7">
        <f>Calculations!M47</f>
        <v>133.77960786853396</v>
      </c>
      <c r="L7">
        <f>Calculations!N47</f>
        <v>135.40658463531125</v>
      </c>
      <c r="M7">
        <f>Calculations!O47</f>
        <v>137.65150360236379</v>
      </c>
      <c r="N7">
        <f>Calculations!P47</f>
        <v>140.33792600987613</v>
      </c>
      <c r="O7">
        <f>Calculations!Q47</f>
        <v>143.35527272727273</v>
      </c>
      <c r="P7">
        <f>Calculations!R47</f>
        <v>146.70191759086862</v>
      </c>
      <c r="Q7">
        <f>Calculations!S47</f>
        <v>150.2176834776977</v>
      </c>
      <c r="R7">
        <f>Calculations!T47</f>
        <v>153.8212622035133</v>
      </c>
      <c r="S7">
        <f>Calculations!U47</f>
        <v>157.64274686311018</v>
      </c>
      <c r="T7">
        <f>Calculations!V47</f>
        <v>161.90654804500929</v>
      </c>
      <c r="U7">
        <f>Calculations!W47</f>
        <v>166.46143252651177</v>
      </c>
      <c r="V7">
        <f>Calculations!X47</f>
        <v>171.16429790334331</v>
      </c>
      <c r="W7">
        <f>Calculations!Y47</f>
        <v>175.98343398364767</v>
      </c>
      <c r="X7">
        <f>Calculations!Z47</f>
        <v>180.96112102323323</v>
      </c>
      <c r="Y7">
        <f>Calculations!AA47</f>
        <v>186.38193766696349</v>
      </c>
      <c r="Z7">
        <f>Calculations!AB47</f>
        <v>192.00683785315306</v>
      </c>
      <c r="AA7">
        <f>Calculations!AC47</f>
        <v>198.43587598154292</v>
      </c>
      <c r="AB7">
        <f>Calculations!AD47</f>
        <v>204.93646531206994</v>
      </c>
      <c r="AC7">
        <f>Calculations!AE47</f>
        <v>211.50616659920667</v>
      </c>
    </row>
    <row r="8" spans="1:29" x14ac:dyDescent="0.25">
      <c r="A8" t="s">
        <v>10</v>
      </c>
      <c r="B8" s="57">
        <f>Calculations!D48+'Inflation Reduction Act'!B59</f>
        <v>21092.010533797456</v>
      </c>
      <c r="C8" s="57">
        <f>Calculations!E48+'Inflation Reduction Act'!C59</f>
        <v>33586.644085485314</v>
      </c>
      <c r="D8" s="57">
        <f>Calculations!F48+'Inflation Reduction Act'!D59</f>
        <v>37908.465848613647</v>
      </c>
      <c r="E8" s="58">
        <f>Calculations!G48</f>
        <v>38259.984834453164</v>
      </c>
      <c r="F8" s="58">
        <f>Calculations!H48</f>
        <v>40727.440236379822</v>
      </c>
      <c r="G8" s="58">
        <f>Calculations!I48</f>
        <v>43279.974083056746</v>
      </c>
      <c r="H8" s="58">
        <f>Calculations!J48</f>
        <v>45677.105223346553</v>
      </c>
      <c r="I8" s="58">
        <f>Calculations!K48</f>
        <v>48200.653515421349</v>
      </c>
      <c r="J8" s="58">
        <f>Calculations!L48</f>
        <v>50934.882696025255</v>
      </c>
      <c r="K8" s="58">
        <f>Calculations!M48</f>
        <v>53663.724396340971</v>
      </c>
      <c r="L8" s="58">
        <f>Calculations!N48</f>
        <v>56531.886044199789</v>
      </c>
      <c r="M8" s="58">
        <f>Calculations!O48</f>
        <v>59575.347324212737</v>
      </c>
      <c r="N8" s="58">
        <f>Calculations!P48</f>
        <v>62828.816260989224</v>
      </c>
      <c r="O8" s="58">
        <f>Calculations!Q48</f>
        <v>66242.132209503761</v>
      </c>
      <c r="P8" s="58">
        <f>Calculations!R48</f>
        <v>69907.185614182774</v>
      </c>
      <c r="Q8" s="58">
        <f>Calculations!S48</f>
        <v>73746.942662025409</v>
      </c>
      <c r="R8" s="58">
        <f>Calculations!T48</f>
        <v>77794.55432591273</v>
      </c>
      <c r="S8" s="58">
        <f>Calculations!U48</f>
        <v>81990.716855500679</v>
      </c>
      <c r="T8" s="58">
        <f>Calculations!V48</f>
        <v>86364.605253460701</v>
      </c>
      <c r="U8" s="58">
        <f>Calculations!W48</f>
        <v>90868.614390998133</v>
      </c>
      <c r="V8" s="58">
        <f>Calculations!X48</f>
        <v>95514.394104751875</v>
      </c>
      <c r="W8" s="58">
        <f>Calculations!Y48</f>
        <v>100341.03086505302</v>
      </c>
      <c r="X8" s="58">
        <f>Calculations!Z48</f>
        <v>105287.69639310289</v>
      </c>
      <c r="Y8" s="58">
        <f>Calculations!AA48</f>
        <v>110385.40081729133</v>
      </c>
      <c r="Z8" s="58">
        <f>Calculations!AB48</f>
        <v>115640.48292366226</v>
      </c>
      <c r="AA8" s="58">
        <f>Calculations!AC48</f>
        <v>121126.73883331985</v>
      </c>
      <c r="AB8" s="58">
        <f>Calculations!AD48</f>
        <v>126714.16976896301</v>
      </c>
      <c r="AC8" s="58">
        <f>Calculations!AE48</f>
        <v>132502.56445203593</v>
      </c>
    </row>
    <row r="9" spans="1:29" x14ac:dyDescent="0.25">
      <c r="A9" t="s">
        <v>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5">
      <c r="A10" t="s">
        <v>12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5">
      <c r="A11" t="s">
        <v>13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5">
      <c r="A12" t="s">
        <v>14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5">
      <c r="A13" t="s">
        <v>15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5">
      <c r="A14" t="s">
        <v>57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29" x14ac:dyDescent="0.25">
      <c r="A15" t="s">
        <v>60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5">
      <c r="A16" t="s">
        <v>158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5">
      <c r="A17" t="s">
        <v>159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5">
      <c r="A18" t="s">
        <v>160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25">
      <c r="A19" s="55" t="s">
        <v>328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5">
      <c r="A20" s="55" t="s">
        <v>329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5">
      <c r="A21" s="55" t="s">
        <v>330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29" x14ac:dyDescent="0.25">
      <c r="A22" s="55" t="s">
        <v>331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5">
      <c r="A23" s="55" t="s">
        <v>332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5">
      <c r="A24" s="56" t="s">
        <v>333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row>
    <row r="25" spans="1:29" x14ac:dyDescent="0.25">
      <c r="A25" s="56" t="s">
        <v>334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5"/>
  <sheetViews>
    <sheetView workbookViewId="0">
      <selection activeCell="E8" sqref="E8"/>
    </sheetView>
  </sheetViews>
  <sheetFormatPr defaultColWidth="8.7109375" defaultRowHeight="15" x14ac:dyDescent="0.25"/>
  <cols>
    <col min="1" max="1" width="23.42578125" customWidth="1"/>
    <col min="2" max="29" width="9.5703125" bestFit="1" customWidth="1"/>
  </cols>
  <sheetData>
    <row r="1" spans="1:29" x14ac:dyDescent="0.25">
      <c r="A1" t="s">
        <v>161</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x14ac:dyDescent="0.25">
      <c r="A2" t="s">
        <v>58</v>
      </c>
      <c r="B2">
        <v>0</v>
      </c>
      <c r="C2">
        <f>Calculations!E62</f>
        <v>0</v>
      </c>
      <c r="D2">
        <f>Calculations!F62</f>
        <v>0</v>
      </c>
      <c r="E2">
        <f>Calculations!G62</f>
        <v>0</v>
      </c>
      <c r="F2">
        <f>Calculations!H62</f>
        <v>0</v>
      </c>
      <c r="G2">
        <f>Calculations!I62</f>
        <v>0</v>
      </c>
      <c r="H2">
        <f>Calculations!J62</f>
        <v>0</v>
      </c>
      <c r="I2">
        <f>Calculations!K62</f>
        <v>0</v>
      </c>
      <c r="J2">
        <f>Calculations!L62</f>
        <v>0</v>
      </c>
      <c r="K2">
        <f>Calculations!M62</f>
        <v>0</v>
      </c>
      <c r="L2">
        <f>Calculations!N62</f>
        <v>0</v>
      </c>
      <c r="M2">
        <f>Calculations!O62</f>
        <v>0</v>
      </c>
      <c r="N2">
        <f>Calculations!P62</f>
        <v>0</v>
      </c>
      <c r="O2">
        <f>Calculations!Q62</f>
        <v>0</v>
      </c>
      <c r="P2">
        <f>Calculations!R62</f>
        <v>0</v>
      </c>
      <c r="Q2">
        <f>Calculations!S62</f>
        <v>0</v>
      </c>
      <c r="R2">
        <f>Calculations!T62</f>
        <v>0</v>
      </c>
      <c r="S2">
        <f>Calculations!U62</f>
        <v>0</v>
      </c>
      <c r="T2">
        <f>Calculations!V62</f>
        <v>0</v>
      </c>
      <c r="U2">
        <f>Calculations!W62</f>
        <v>0</v>
      </c>
      <c r="V2">
        <f>Calculations!X62</f>
        <v>0</v>
      </c>
      <c r="W2">
        <f>Calculations!Y62</f>
        <v>0</v>
      </c>
      <c r="X2">
        <f>Calculations!Z62</f>
        <v>0</v>
      </c>
      <c r="Y2">
        <f>Calculations!AA62</f>
        <v>0</v>
      </c>
      <c r="Z2">
        <f>Calculations!AB62</f>
        <v>0</v>
      </c>
      <c r="AA2">
        <f>Calculations!AC62</f>
        <v>0</v>
      </c>
      <c r="AB2">
        <f>Calculations!AD62</f>
        <v>0</v>
      </c>
      <c r="AC2">
        <f>Calculations!AE62</f>
        <v>0</v>
      </c>
    </row>
    <row r="3" spans="1:29" x14ac:dyDescent="0.25">
      <c r="A3" t="s">
        <v>326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5">
      <c r="A4" t="s">
        <v>327</v>
      </c>
      <c r="B4">
        <f>Calculations!D63</f>
        <v>0</v>
      </c>
      <c r="C4">
        <f>Calculations!E63</f>
        <v>0.32243382174370594</v>
      </c>
      <c r="D4">
        <f>Calculations!F63</f>
        <v>9.4393669553954507E-2</v>
      </c>
      <c r="E4">
        <f>Calculations!G63</f>
        <v>0.20654456407350441</v>
      </c>
      <c r="F4">
        <f>Calculations!H63</f>
        <v>0.31570476807253295</v>
      </c>
      <c r="G4">
        <f>Calculations!I63</f>
        <v>0.31813470412045658</v>
      </c>
      <c r="H4">
        <f>Calculations!J63</f>
        <v>0.32056464016838015</v>
      </c>
      <c r="I4">
        <f>Calculations!K63</f>
        <v>0.47271602039990285</v>
      </c>
      <c r="J4">
        <f>Calculations!L63</f>
        <v>0.67589605763782079</v>
      </c>
      <c r="K4">
        <f>Calculations!M63</f>
        <v>0.88543131223184646</v>
      </c>
      <c r="L4">
        <f>Calculations!N63</f>
        <v>1.0484239456002591</v>
      </c>
      <c r="M4">
        <f>Calculations!O63</f>
        <v>1.2527254917833723</v>
      </c>
      <c r="N4">
        <f>Calculations!P63</f>
        <v>1.255155427831296</v>
      </c>
      <c r="O4">
        <f>Calculations!Q63</f>
        <v>1.2575853638792196</v>
      </c>
      <c r="P4">
        <f>Calculations!R63</f>
        <v>1.2600152999271432</v>
      </c>
      <c r="Q4">
        <f>Calculations!S63</f>
        <v>1.2624452359750666</v>
      </c>
      <c r="R4">
        <f>Calculations!T63</f>
        <v>1.265062090180523</v>
      </c>
      <c r="S4">
        <f>Calculations!U63</f>
        <v>1.2676789443859791</v>
      </c>
      <c r="T4">
        <f>Calculations!V63</f>
        <v>1.2706696349065005</v>
      </c>
      <c r="U4">
        <f>Calculations!W63</f>
        <v>1.2745949162146848</v>
      </c>
      <c r="V4">
        <f>Calculations!X63</f>
        <v>1.2800155427831297</v>
      </c>
      <c r="W4">
        <f>Calculations!Y63</f>
        <v>1.2886137780296285</v>
      </c>
      <c r="X4">
        <f>Calculations!Z63</f>
        <v>1.3033803124747023</v>
      </c>
      <c r="Y4">
        <f>Calculations!AA63</f>
        <v>1.329175018214199</v>
      </c>
      <c r="Z4">
        <f>Calculations!AB63</f>
        <v>1.3549697239536955</v>
      </c>
      <c r="AA4">
        <f>Calculations!AC63</f>
        <v>1.3809513478507245</v>
      </c>
      <c r="AB4">
        <f>Calculations!AD63</f>
        <v>1.4071198899052861</v>
      </c>
      <c r="AC4">
        <f>Calculations!AE63</f>
        <v>1.4334753501173803</v>
      </c>
    </row>
    <row r="5" spans="1:29" x14ac:dyDescent="0.25">
      <c r="A5" t="s">
        <v>8</v>
      </c>
      <c r="B5">
        <f>Calculations!D64</f>
        <v>0</v>
      </c>
      <c r="C5">
        <f>Calculations!E64</f>
        <v>0</v>
      </c>
      <c r="D5">
        <f>Calculations!F64</f>
        <v>0</v>
      </c>
      <c r="E5">
        <f>Calculations!G64</f>
        <v>0</v>
      </c>
      <c r="F5">
        <f>Calculations!H64</f>
        <v>0</v>
      </c>
      <c r="G5">
        <f>Calculations!I64</f>
        <v>0</v>
      </c>
      <c r="H5">
        <f>Calculations!J64</f>
        <v>0</v>
      </c>
      <c r="I5">
        <f>Calculations!K64</f>
        <v>0</v>
      </c>
      <c r="J5">
        <f>Calculations!L64</f>
        <v>0</v>
      </c>
      <c r="K5">
        <f>Calculations!M64</f>
        <v>0</v>
      </c>
      <c r="L5">
        <f>Calculations!N64</f>
        <v>0</v>
      </c>
      <c r="M5">
        <f>Calculations!O64</f>
        <v>0</v>
      </c>
      <c r="N5">
        <f>Calculations!P64</f>
        <v>0</v>
      </c>
      <c r="O5">
        <f>Calculations!Q64</f>
        <v>0</v>
      </c>
      <c r="P5">
        <f>Calculations!R64</f>
        <v>0</v>
      </c>
      <c r="Q5">
        <f>Calculations!S64</f>
        <v>0</v>
      </c>
      <c r="R5">
        <f>Calculations!T64</f>
        <v>0</v>
      </c>
      <c r="S5">
        <f>Calculations!U64</f>
        <v>0</v>
      </c>
      <c r="T5">
        <f>Calculations!V64</f>
        <v>0</v>
      </c>
      <c r="U5">
        <f>Calculations!W64</f>
        <v>0</v>
      </c>
      <c r="V5">
        <f>Calculations!X64</f>
        <v>0</v>
      </c>
      <c r="W5">
        <f>Calculations!Y64</f>
        <v>0</v>
      </c>
      <c r="X5">
        <f>Calculations!Z64</f>
        <v>0</v>
      </c>
      <c r="Y5">
        <f>Calculations!AA64</f>
        <v>0</v>
      </c>
      <c r="Z5">
        <f>Calculations!AB64</f>
        <v>0</v>
      </c>
      <c r="AA5">
        <f>Calculations!AC64</f>
        <v>0</v>
      </c>
      <c r="AB5">
        <f>Calculations!AD64</f>
        <v>0</v>
      </c>
      <c r="AC5">
        <f>Calculations!AE64</f>
        <v>0</v>
      </c>
    </row>
    <row r="6" spans="1:29" x14ac:dyDescent="0.25">
      <c r="A6" t="s">
        <v>9</v>
      </c>
      <c r="B6">
        <f>Calculations!D65</f>
        <v>0</v>
      </c>
      <c r="C6">
        <f>Calculations!E65</f>
        <v>0</v>
      </c>
      <c r="D6">
        <f>Calculations!F65</f>
        <v>0</v>
      </c>
      <c r="E6">
        <f>Calculations!G65</f>
        <v>0</v>
      </c>
      <c r="F6">
        <f>Calculations!H65</f>
        <v>0</v>
      </c>
      <c r="G6">
        <f>Calculations!I65</f>
        <v>0</v>
      </c>
      <c r="H6">
        <f>Calculations!J65</f>
        <v>0</v>
      </c>
      <c r="I6">
        <f>Calculations!K65</f>
        <v>0</v>
      </c>
      <c r="J6">
        <f>Calculations!L65</f>
        <v>0</v>
      </c>
      <c r="K6">
        <f>Calculations!M65</f>
        <v>0</v>
      </c>
      <c r="L6">
        <f>Calculations!N65</f>
        <v>0</v>
      </c>
      <c r="M6">
        <f>Calculations!O65</f>
        <v>0</v>
      </c>
      <c r="N6">
        <f>Calculations!P65</f>
        <v>0</v>
      </c>
      <c r="O6">
        <f>Calculations!Q65</f>
        <v>0</v>
      </c>
      <c r="P6">
        <f>Calculations!R65</f>
        <v>0</v>
      </c>
      <c r="Q6">
        <f>Calculations!S65</f>
        <v>0</v>
      </c>
      <c r="R6">
        <f>Calculations!T65</f>
        <v>0</v>
      </c>
      <c r="S6">
        <f>Calculations!U65</f>
        <v>0</v>
      </c>
      <c r="T6">
        <f>Calculations!V65</f>
        <v>0</v>
      </c>
      <c r="U6">
        <f>Calculations!W65</f>
        <v>0</v>
      </c>
      <c r="V6">
        <f>Calculations!X65</f>
        <v>0</v>
      </c>
      <c r="W6">
        <f>Calculations!Y65</f>
        <v>0</v>
      </c>
      <c r="X6">
        <f>Calculations!Z65</f>
        <v>0</v>
      </c>
      <c r="Y6">
        <f>Calculations!AA65</f>
        <v>0</v>
      </c>
      <c r="Z6">
        <f>Calculations!AB65</f>
        <v>0</v>
      </c>
      <c r="AA6">
        <f>Calculations!AC65</f>
        <v>0</v>
      </c>
      <c r="AB6">
        <f>Calculations!AD65</f>
        <v>0</v>
      </c>
      <c r="AC6">
        <f>Calculations!AE65</f>
        <v>0</v>
      </c>
    </row>
    <row r="7" spans="1:29" x14ac:dyDescent="0.25">
      <c r="A7" t="s">
        <v>59</v>
      </c>
      <c r="B7">
        <f>Calculations!D66</f>
        <v>11.859583259127337</v>
      </c>
      <c r="C7">
        <f>Calculations!E66</f>
        <v>57.60425087023394</v>
      </c>
      <c r="D7">
        <f>Calculations!F66</f>
        <v>30.137188375293448</v>
      </c>
      <c r="E7">
        <f>Calculations!G66</f>
        <v>30.162235408402818</v>
      </c>
      <c r="F7">
        <f>Calculations!H66</f>
        <v>30.192889986238161</v>
      </c>
      <c r="G7">
        <f>Calculations!I66</f>
        <v>30.223170727758436</v>
      </c>
      <c r="H7">
        <f>Calculations!J66</f>
        <v>30.272143285031973</v>
      </c>
      <c r="I7">
        <f>Calculations!K66</f>
        <v>30.357377964866835</v>
      </c>
      <c r="J7">
        <f>Calculations!L66</f>
        <v>30.512333117461345</v>
      </c>
      <c r="K7">
        <f>Calculations!M66</f>
        <v>30.754392131466041</v>
      </c>
      <c r="L7">
        <f>Calculations!N66</f>
        <v>31.128415364688738</v>
      </c>
      <c r="M7">
        <f>Calculations!O66</f>
        <v>31.644496397636203</v>
      </c>
      <c r="N7">
        <f>Calculations!P66</f>
        <v>32.262073990123852</v>
      </c>
      <c r="O7">
        <f>Calculations!Q66</f>
        <v>32.955727272727266</v>
      </c>
      <c r="P7">
        <f>Calculations!R66</f>
        <v>33.725082409131382</v>
      </c>
      <c r="Q7">
        <f>Calculations!S66</f>
        <v>34.533316522302272</v>
      </c>
      <c r="R7">
        <f>Calculations!T66</f>
        <v>35.361737796486679</v>
      </c>
      <c r="S7">
        <f>Calculations!U66</f>
        <v>36.240253136889827</v>
      </c>
      <c r="T7">
        <f>Calculations!V66</f>
        <v>37.220451954990693</v>
      </c>
      <c r="U7">
        <f>Calculations!W66</f>
        <v>38.267567473488214</v>
      </c>
      <c r="V7">
        <f>Calculations!X66</f>
        <v>39.34870209665668</v>
      </c>
      <c r="W7">
        <f>Calculations!Y66</f>
        <v>40.456566016352298</v>
      </c>
      <c r="X7">
        <f>Calculations!Z66</f>
        <v>41.600878976766779</v>
      </c>
      <c r="Y7">
        <f>Calculations!AA66</f>
        <v>42.847062333036504</v>
      </c>
      <c r="Z7">
        <f>Calculations!AB66</f>
        <v>44.140162146846919</v>
      </c>
      <c r="AA7">
        <f>Calculations!AC66</f>
        <v>45.618124018457053</v>
      </c>
      <c r="AB7">
        <f>Calculations!AD66</f>
        <v>47.112534687930058</v>
      </c>
      <c r="AC7">
        <f>Calculations!AE66</f>
        <v>48.622833400793326</v>
      </c>
    </row>
    <row r="8" spans="1:29" x14ac:dyDescent="0.25">
      <c r="A8" t="s">
        <v>10</v>
      </c>
      <c r="B8" s="54">
        <f>Calculations!D67+'Inflation Reduction Act'!B60</f>
        <v>4848.8104662025416</v>
      </c>
      <c r="C8" s="54">
        <f>Calculations!E67+'Inflation Reduction Act'!C60</f>
        <v>7721.182914514693</v>
      </c>
      <c r="D8" s="54">
        <f>Calculations!F67+'Inflation Reduction Act'!D60</f>
        <v>8714.7199964604661</v>
      </c>
      <c r="E8">
        <f>Calculations!G67</f>
        <v>8795.5301655468302</v>
      </c>
      <c r="F8">
        <f>Calculations!H67</f>
        <v>9362.7697636201738</v>
      </c>
      <c r="G8">
        <f>Calculations!I67</f>
        <v>9949.5679169432515</v>
      </c>
      <c r="H8">
        <f>Calculations!J67</f>
        <v>10500.640776653445</v>
      </c>
      <c r="I8">
        <f>Calculations!K67</f>
        <v>11080.775484578644</v>
      </c>
      <c r="J8">
        <f>Calculations!L67</f>
        <v>11709.343303974743</v>
      </c>
      <c r="K8">
        <f>Calculations!M67</f>
        <v>12336.67260365903</v>
      </c>
      <c r="L8">
        <f>Calculations!N67</f>
        <v>12996.02995580021</v>
      </c>
      <c r="M8">
        <f>Calculations!O67</f>
        <v>13695.686675787258</v>
      </c>
      <c r="N8">
        <f>Calculations!P67</f>
        <v>14443.621739010765</v>
      </c>
      <c r="O8">
        <f>Calculations!Q67</f>
        <v>15228.303790496237</v>
      </c>
      <c r="P8">
        <f>Calculations!R67</f>
        <v>16070.857385817209</v>
      </c>
      <c r="Q8">
        <f>Calculations!S67</f>
        <v>16953.57333797458</v>
      </c>
      <c r="R8">
        <f>Calculations!T67</f>
        <v>17884.072674087267</v>
      </c>
      <c r="S8">
        <f>Calculations!U67</f>
        <v>18848.722144499312</v>
      </c>
      <c r="T8">
        <f>Calculations!V67</f>
        <v>19854.228746539302</v>
      </c>
      <c r="U8">
        <f>Calculations!W67</f>
        <v>20889.648609001859</v>
      </c>
      <c r="V8">
        <f>Calculations!X67</f>
        <v>21957.659895248118</v>
      </c>
      <c r="W8">
        <f>Calculations!Y67</f>
        <v>23067.248134946974</v>
      </c>
      <c r="X8">
        <f>Calculations!Z67</f>
        <v>24204.429606897113</v>
      </c>
      <c r="Y8">
        <f>Calculations!AA67</f>
        <v>25376.333182708651</v>
      </c>
      <c r="Z8">
        <f>Calculations!AB67</f>
        <v>26584.416076337729</v>
      </c>
      <c r="AA8">
        <f>Calculations!AC67</f>
        <v>27845.643166680158</v>
      </c>
      <c r="AB8">
        <f>Calculations!AD67</f>
        <v>29130.129231036997</v>
      </c>
      <c r="AC8">
        <f>Calculations!AE67</f>
        <v>30460.814547964055</v>
      </c>
    </row>
    <row r="9" spans="1:29" x14ac:dyDescent="0.25">
      <c r="A9" t="s">
        <v>11</v>
      </c>
      <c r="B9">
        <f>Calculations!D68</f>
        <v>0</v>
      </c>
      <c r="C9">
        <f>Calculations!E68</f>
        <v>0</v>
      </c>
      <c r="D9">
        <f>Calculations!F68</f>
        <v>0</v>
      </c>
      <c r="E9">
        <f>Calculations!G68</f>
        <v>0</v>
      </c>
      <c r="F9">
        <f>Calculations!H68</f>
        <v>0</v>
      </c>
      <c r="G9">
        <f>Calculations!I68</f>
        <v>0</v>
      </c>
      <c r="H9">
        <f>Calculations!J68</f>
        <v>0</v>
      </c>
      <c r="I9">
        <f>Calculations!K68</f>
        <v>0</v>
      </c>
      <c r="J9">
        <f>Calculations!L68</f>
        <v>0</v>
      </c>
      <c r="K9">
        <f>Calculations!M68</f>
        <v>0</v>
      </c>
      <c r="L9">
        <f>Calculations!N68</f>
        <v>0</v>
      </c>
      <c r="M9">
        <f>Calculations!O68</f>
        <v>0</v>
      </c>
      <c r="N9">
        <f>Calculations!P68</f>
        <v>0</v>
      </c>
      <c r="O9">
        <f>Calculations!Q68</f>
        <v>0</v>
      </c>
      <c r="P9">
        <f>Calculations!R68</f>
        <v>0</v>
      </c>
      <c r="Q9">
        <f>Calculations!S68</f>
        <v>0</v>
      </c>
      <c r="R9">
        <f>Calculations!T68</f>
        <v>0</v>
      </c>
      <c r="S9">
        <f>Calculations!U68</f>
        <v>0</v>
      </c>
      <c r="T9">
        <f>Calculations!V68</f>
        <v>0</v>
      </c>
      <c r="U9">
        <f>Calculations!W68</f>
        <v>0</v>
      </c>
      <c r="V9">
        <f>Calculations!X68</f>
        <v>0</v>
      </c>
      <c r="W9">
        <f>Calculations!Y68</f>
        <v>0</v>
      </c>
      <c r="X9">
        <f>Calculations!Z68</f>
        <v>0</v>
      </c>
      <c r="Y9">
        <f>Calculations!AA68</f>
        <v>0</v>
      </c>
      <c r="Z9">
        <f>Calculations!AB68</f>
        <v>0</v>
      </c>
      <c r="AA9">
        <f>Calculations!AC68</f>
        <v>0</v>
      </c>
      <c r="AB9">
        <f>Calculations!AD68</f>
        <v>0</v>
      </c>
      <c r="AC9">
        <f>Calculations!AE68</f>
        <v>0</v>
      </c>
    </row>
    <row r="10" spans="1:29" x14ac:dyDescent="0.25">
      <c r="A10" t="s">
        <v>12</v>
      </c>
      <c r="B10">
        <f>Calculations!D69</f>
        <v>0</v>
      </c>
      <c r="C10">
        <f>Calculations!E69</f>
        <v>0</v>
      </c>
      <c r="D10">
        <f>Calculations!F69</f>
        <v>0</v>
      </c>
      <c r="E10">
        <f>Calculations!G69</f>
        <v>0</v>
      </c>
      <c r="F10">
        <f>Calculations!H69</f>
        <v>0</v>
      </c>
      <c r="G10">
        <f>Calculations!I69</f>
        <v>0</v>
      </c>
      <c r="H10">
        <f>Calculations!J69</f>
        <v>0</v>
      </c>
      <c r="I10">
        <f>Calculations!K69</f>
        <v>0</v>
      </c>
      <c r="J10">
        <f>Calculations!L69</f>
        <v>0</v>
      </c>
      <c r="K10">
        <f>Calculations!M69</f>
        <v>0</v>
      </c>
      <c r="L10">
        <f>Calculations!N69</f>
        <v>0</v>
      </c>
      <c r="M10">
        <f>Calculations!O69</f>
        <v>0</v>
      </c>
      <c r="N10">
        <f>Calculations!P69</f>
        <v>0</v>
      </c>
      <c r="O10">
        <f>Calculations!Q69</f>
        <v>0</v>
      </c>
      <c r="P10">
        <f>Calculations!R69</f>
        <v>0</v>
      </c>
      <c r="Q10">
        <f>Calculations!S69</f>
        <v>0</v>
      </c>
      <c r="R10">
        <f>Calculations!T69</f>
        <v>0</v>
      </c>
      <c r="S10">
        <f>Calculations!U69</f>
        <v>0</v>
      </c>
      <c r="T10">
        <f>Calculations!V69</f>
        <v>0</v>
      </c>
      <c r="U10">
        <f>Calculations!W69</f>
        <v>0</v>
      </c>
      <c r="V10">
        <f>Calculations!X69</f>
        <v>0</v>
      </c>
      <c r="W10">
        <f>Calculations!Y69</f>
        <v>0</v>
      </c>
      <c r="X10">
        <f>Calculations!Z69</f>
        <v>0</v>
      </c>
      <c r="Y10">
        <f>Calculations!AA69</f>
        <v>0</v>
      </c>
      <c r="Z10">
        <f>Calculations!AB69</f>
        <v>0</v>
      </c>
      <c r="AA10">
        <f>Calculations!AC69</f>
        <v>0</v>
      </c>
      <c r="AB10">
        <f>Calculations!AD69</f>
        <v>0</v>
      </c>
      <c r="AC10">
        <f>Calculations!AE69</f>
        <v>0</v>
      </c>
    </row>
    <row r="11" spans="1:29" x14ac:dyDescent="0.25">
      <c r="A11" t="s">
        <v>13</v>
      </c>
      <c r="B11">
        <f>Calculations!D70</f>
        <v>0</v>
      </c>
      <c r="C11">
        <f>Calculations!E70</f>
        <v>0</v>
      </c>
      <c r="D11">
        <f>Calculations!F70</f>
        <v>0</v>
      </c>
      <c r="E11">
        <f>Calculations!G70</f>
        <v>0</v>
      </c>
      <c r="F11">
        <f>Calculations!H70</f>
        <v>0</v>
      </c>
      <c r="G11">
        <f>Calculations!I70</f>
        <v>0</v>
      </c>
      <c r="H11">
        <f>Calculations!J70</f>
        <v>0</v>
      </c>
      <c r="I11">
        <f>Calculations!K70</f>
        <v>0</v>
      </c>
      <c r="J11">
        <f>Calculations!L70</f>
        <v>0</v>
      </c>
      <c r="K11">
        <f>Calculations!M70</f>
        <v>0</v>
      </c>
      <c r="L11">
        <f>Calculations!N70</f>
        <v>0</v>
      </c>
      <c r="M11">
        <f>Calculations!O70</f>
        <v>0</v>
      </c>
      <c r="N11">
        <f>Calculations!P70</f>
        <v>0</v>
      </c>
      <c r="O11">
        <f>Calculations!Q70</f>
        <v>0</v>
      </c>
      <c r="P11">
        <f>Calculations!R70</f>
        <v>0</v>
      </c>
      <c r="Q11">
        <f>Calculations!S70</f>
        <v>0</v>
      </c>
      <c r="R11">
        <f>Calculations!T70</f>
        <v>0</v>
      </c>
      <c r="S11">
        <f>Calculations!U70</f>
        <v>0</v>
      </c>
      <c r="T11">
        <f>Calculations!V70</f>
        <v>0</v>
      </c>
      <c r="U11">
        <f>Calculations!W70</f>
        <v>0</v>
      </c>
      <c r="V11">
        <f>Calculations!X70</f>
        <v>0</v>
      </c>
      <c r="W11">
        <f>Calculations!Y70</f>
        <v>0</v>
      </c>
      <c r="X11">
        <f>Calculations!Z70</f>
        <v>0</v>
      </c>
      <c r="Y11">
        <f>Calculations!AA70</f>
        <v>0</v>
      </c>
      <c r="Z11">
        <f>Calculations!AB70</f>
        <v>0</v>
      </c>
      <c r="AA11">
        <f>Calculations!AC70</f>
        <v>0</v>
      </c>
      <c r="AB11">
        <f>Calculations!AD70</f>
        <v>0</v>
      </c>
      <c r="AC11">
        <f>Calculations!AE70</f>
        <v>0</v>
      </c>
    </row>
    <row r="12" spans="1:29" x14ac:dyDescent="0.25">
      <c r="A12" t="s">
        <v>14</v>
      </c>
      <c r="B12">
        <f>Calculations!D71</f>
        <v>0</v>
      </c>
      <c r="C12">
        <f>Calculations!E71</f>
        <v>0</v>
      </c>
      <c r="D12">
        <f>Calculations!F71</f>
        <v>0</v>
      </c>
      <c r="E12">
        <f>Calculations!G71</f>
        <v>0</v>
      </c>
      <c r="F12">
        <f>Calculations!H71</f>
        <v>0</v>
      </c>
      <c r="G12">
        <f>Calculations!I71</f>
        <v>0</v>
      </c>
      <c r="H12">
        <f>Calculations!J71</f>
        <v>0</v>
      </c>
      <c r="I12">
        <f>Calculations!K71</f>
        <v>0</v>
      </c>
      <c r="J12">
        <f>Calculations!L71</f>
        <v>0</v>
      </c>
      <c r="K12">
        <f>Calculations!M71</f>
        <v>0</v>
      </c>
      <c r="L12">
        <f>Calculations!N71</f>
        <v>0</v>
      </c>
      <c r="M12">
        <f>Calculations!O71</f>
        <v>0</v>
      </c>
      <c r="N12">
        <f>Calculations!P71</f>
        <v>0</v>
      </c>
      <c r="O12">
        <f>Calculations!Q71</f>
        <v>0</v>
      </c>
      <c r="P12">
        <f>Calculations!R71</f>
        <v>0</v>
      </c>
      <c r="Q12">
        <f>Calculations!S71</f>
        <v>0</v>
      </c>
      <c r="R12">
        <f>Calculations!T71</f>
        <v>0</v>
      </c>
      <c r="S12">
        <f>Calculations!U71</f>
        <v>0</v>
      </c>
      <c r="T12">
        <f>Calculations!V71</f>
        <v>0</v>
      </c>
      <c r="U12">
        <f>Calculations!W71</f>
        <v>0</v>
      </c>
      <c r="V12">
        <f>Calculations!X71</f>
        <v>0</v>
      </c>
      <c r="W12">
        <f>Calculations!Y71</f>
        <v>0</v>
      </c>
      <c r="X12">
        <f>Calculations!Z71</f>
        <v>0</v>
      </c>
      <c r="Y12">
        <f>Calculations!AA71</f>
        <v>0</v>
      </c>
      <c r="Z12">
        <f>Calculations!AB71</f>
        <v>0</v>
      </c>
      <c r="AA12">
        <f>Calculations!AC71</f>
        <v>0</v>
      </c>
      <c r="AB12">
        <f>Calculations!AD71</f>
        <v>0</v>
      </c>
      <c r="AC12">
        <f>Calculations!AE71</f>
        <v>0</v>
      </c>
    </row>
    <row r="13" spans="1:29" x14ac:dyDescent="0.25">
      <c r="A13" t="s">
        <v>15</v>
      </c>
      <c r="B13">
        <f>Calculations!D72</f>
        <v>0</v>
      </c>
      <c r="C13">
        <f>Calculations!E72</f>
        <v>0</v>
      </c>
      <c r="D13">
        <f>Calculations!F72</f>
        <v>0</v>
      </c>
      <c r="E13">
        <f>Calculations!G72</f>
        <v>0</v>
      </c>
      <c r="F13">
        <f>Calculations!H72</f>
        <v>0</v>
      </c>
      <c r="G13">
        <f>Calculations!I72</f>
        <v>0</v>
      </c>
      <c r="H13">
        <f>Calculations!J72</f>
        <v>0</v>
      </c>
      <c r="I13">
        <f>Calculations!K72</f>
        <v>0</v>
      </c>
      <c r="J13">
        <f>Calculations!L72</f>
        <v>0</v>
      </c>
      <c r="K13">
        <f>Calculations!M72</f>
        <v>0</v>
      </c>
      <c r="L13">
        <f>Calculations!N72</f>
        <v>0</v>
      </c>
      <c r="M13">
        <f>Calculations!O72</f>
        <v>0</v>
      </c>
      <c r="N13">
        <f>Calculations!P72</f>
        <v>0</v>
      </c>
      <c r="O13">
        <f>Calculations!Q72</f>
        <v>0</v>
      </c>
      <c r="P13">
        <f>Calculations!R72</f>
        <v>0</v>
      </c>
      <c r="Q13">
        <f>Calculations!S72</f>
        <v>0</v>
      </c>
      <c r="R13">
        <f>Calculations!T72</f>
        <v>0</v>
      </c>
      <c r="S13">
        <f>Calculations!U72</f>
        <v>0</v>
      </c>
      <c r="T13">
        <f>Calculations!V72</f>
        <v>0</v>
      </c>
      <c r="U13">
        <f>Calculations!W72</f>
        <v>0</v>
      </c>
      <c r="V13">
        <f>Calculations!X72</f>
        <v>0</v>
      </c>
      <c r="W13">
        <f>Calculations!Y72</f>
        <v>0</v>
      </c>
      <c r="X13">
        <f>Calculations!Z72</f>
        <v>0</v>
      </c>
      <c r="Y13">
        <f>Calculations!AA72</f>
        <v>0</v>
      </c>
      <c r="Z13">
        <f>Calculations!AB72</f>
        <v>0</v>
      </c>
      <c r="AA13">
        <f>Calculations!AC72</f>
        <v>0</v>
      </c>
      <c r="AB13">
        <f>Calculations!AD72</f>
        <v>0</v>
      </c>
      <c r="AC13">
        <f>Calculations!AE72</f>
        <v>0</v>
      </c>
    </row>
    <row r="14" spans="1:29" x14ac:dyDescent="0.25">
      <c r="A14" t="s">
        <v>57</v>
      </c>
      <c r="B14">
        <f>Calculations!D73</f>
        <v>0</v>
      </c>
      <c r="C14">
        <f>Calculations!E73</f>
        <v>0</v>
      </c>
      <c r="D14">
        <f>Calculations!F73</f>
        <v>0</v>
      </c>
      <c r="E14">
        <f>Calculations!G73</f>
        <v>0</v>
      </c>
      <c r="F14">
        <f>Calculations!H73</f>
        <v>0</v>
      </c>
      <c r="G14">
        <f>Calculations!I73</f>
        <v>0</v>
      </c>
      <c r="H14">
        <f>Calculations!J73</f>
        <v>0</v>
      </c>
      <c r="I14">
        <f>Calculations!K73</f>
        <v>0</v>
      </c>
      <c r="J14">
        <f>Calculations!L73</f>
        <v>0</v>
      </c>
      <c r="K14">
        <f>Calculations!M73</f>
        <v>0</v>
      </c>
      <c r="L14">
        <f>Calculations!N73</f>
        <v>0</v>
      </c>
      <c r="M14">
        <f>Calculations!O73</f>
        <v>0</v>
      </c>
      <c r="N14">
        <f>Calculations!P73</f>
        <v>0</v>
      </c>
      <c r="O14">
        <f>Calculations!Q73</f>
        <v>0</v>
      </c>
      <c r="P14">
        <f>Calculations!R73</f>
        <v>0</v>
      </c>
      <c r="Q14">
        <f>Calculations!S73</f>
        <v>0</v>
      </c>
      <c r="R14">
        <f>Calculations!T73</f>
        <v>0</v>
      </c>
      <c r="S14">
        <f>Calculations!U73</f>
        <v>0</v>
      </c>
      <c r="T14">
        <f>Calculations!V73</f>
        <v>0</v>
      </c>
      <c r="U14">
        <f>Calculations!W73</f>
        <v>0</v>
      </c>
      <c r="V14">
        <f>Calculations!X73</f>
        <v>0</v>
      </c>
      <c r="W14">
        <f>Calculations!Y73</f>
        <v>0</v>
      </c>
      <c r="X14">
        <f>Calculations!Z73</f>
        <v>0</v>
      </c>
      <c r="Y14">
        <f>Calculations!AA73</f>
        <v>0</v>
      </c>
      <c r="Z14">
        <f>Calculations!AB73</f>
        <v>0</v>
      </c>
      <c r="AA14">
        <f>Calculations!AC73</f>
        <v>0</v>
      </c>
      <c r="AB14">
        <f>Calculations!AD73</f>
        <v>0</v>
      </c>
      <c r="AC14">
        <f>Calculations!AE73</f>
        <v>0</v>
      </c>
    </row>
    <row r="15" spans="1:29" x14ac:dyDescent="0.25">
      <c r="A15" t="s">
        <v>60</v>
      </c>
      <c r="B15">
        <f>Calculations!D74</f>
        <v>0</v>
      </c>
      <c r="C15">
        <f>Calculations!E74</f>
        <v>0</v>
      </c>
      <c r="D15">
        <f>Calculations!F74</f>
        <v>0</v>
      </c>
      <c r="E15">
        <f>Calculations!G74</f>
        <v>0</v>
      </c>
      <c r="F15">
        <f>Calculations!H74</f>
        <v>0</v>
      </c>
      <c r="G15">
        <f>Calculations!I74</f>
        <v>0</v>
      </c>
      <c r="H15">
        <f>Calculations!J74</f>
        <v>0</v>
      </c>
      <c r="I15">
        <f>Calculations!K74</f>
        <v>0</v>
      </c>
      <c r="J15">
        <f>Calculations!L74</f>
        <v>0</v>
      </c>
      <c r="K15">
        <f>Calculations!M74</f>
        <v>0</v>
      </c>
      <c r="L15">
        <f>Calculations!N74</f>
        <v>0</v>
      </c>
      <c r="M15">
        <f>Calculations!O74</f>
        <v>0</v>
      </c>
      <c r="N15">
        <f>Calculations!P74</f>
        <v>0</v>
      </c>
      <c r="O15">
        <f>Calculations!Q74</f>
        <v>0</v>
      </c>
      <c r="P15">
        <f>Calculations!R74</f>
        <v>0</v>
      </c>
      <c r="Q15">
        <f>Calculations!S74</f>
        <v>0</v>
      </c>
      <c r="R15">
        <f>Calculations!T74</f>
        <v>0</v>
      </c>
      <c r="S15">
        <f>Calculations!U74</f>
        <v>0</v>
      </c>
      <c r="T15">
        <f>Calculations!V74</f>
        <v>0</v>
      </c>
      <c r="U15">
        <f>Calculations!W74</f>
        <v>0</v>
      </c>
      <c r="V15">
        <f>Calculations!X74</f>
        <v>0</v>
      </c>
      <c r="W15">
        <f>Calculations!Y74</f>
        <v>0</v>
      </c>
      <c r="X15">
        <f>Calculations!Z74</f>
        <v>0</v>
      </c>
      <c r="Y15">
        <f>Calculations!AA74</f>
        <v>0</v>
      </c>
      <c r="Z15">
        <f>Calculations!AB74</f>
        <v>0</v>
      </c>
      <c r="AA15">
        <f>Calculations!AC74</f>
        <v>0</v>
      </c>
      <c r="AB15">
        <f>Calculations!AD74</f>
        <v>0</v>
      </c>
      <c r="AC15">
        <f>Calculations!AE74</f>
        <v>0</v>
      </c>
    </row>
    <row r="16" spans="1:29" x14ac:dyDescent="0.25">
      <c r="A16" t="s">
        <v>158</v>
      </c>
      <c r="B16">
        <f>Calculations!D75</f>
        <v>0</v>
      </c>
      <c r="C16">
        <f>Calculations!E75</f>
        <v>0</v>
      </c>
      <c r="D16">
        <f>Calculations!F75</f>
        <v>0</v>
      </c>
      <c r="E16">
        <f>Calculations!G75</f>
        <v>0</v>
      </c>
      <c r="F16">
        <f>Calculations!H75</f>
        <v>0</v>
      </c>
      <c r="G16">
        <f>Calculations!I75</f>
        <v>0</v>
      </c>
      <c r="H16">
        <f>Calculations!J75</f>
        <v>0</v>
      </c>
      <c r="I16">
        <f>Calculations!K75</f>
        <v>0</v>
      </c>
      <c r="J16">
        <f>Calculations!L75</f>
        <v>0</v>
      </c>
      <c r="K16">
        <f>Calculations!M75</f>
        <v>0</v>
      </c>
      <c r="L16">
        <f>Calculations!N75</f>
        <v>0</v>
      </c>
      <c r="M16">
        <f>Calculations!O75</f>
        <v>0</v>
      </c>
      <c r="N16">
        <f>Calculations!P75</f>
        <v>0</v>
      </c>
      <c r="O16">
        <f>Calculations!Q75</f>
        <v>0</v>
      </c>
      <c r="P16">
        <f>Calculations!R75</f>
        <v>0</v>
      </c>
      <c r="Q16">
        <f>Calculations!S75</f>
        <v>0</v>
      </c>
      <c r="R16">
        <f>Calculations!T75</f>
        <v>0</v>
      </c>
      <c r="S16">
        <f>Calculations!U75</f>
        <v>0</v>
      </c>
      <c r="T16">
        <f>Calculations!V75</f>
        <v>0</v>
      </c>
      <c r="U16">
        <f>Calculations!W75</f>
        <v>0</v>
      </c>
      <c r="V16">
        <f>Calculations!X75</f>
        <v>0</v>
      </c>
      <c r="W16">
        <f>Calculations!Y75</f>
        <v>0</v>
      </c>
      <c r="X16">
        <f>Calculations!Z75</f>
        <v>0</v>
      </c>
      <c r="Y16">
        <f>Calculations!AA75</f>
        <v>0</v>
      </c>
      <c r="Z16">
        <f>Calculations!AB75</f>
        <v>0</v>
      </c>
      <c r="AA16">
        <f>Calculations!AC75</f>
        <v>0</v>
      </c>
      <c r="AB16">
        <f>Calculations!AD75</f>
        <v>0</v>
      </c>
      <c r="AC16">
        <f>Calculations!AE75</f>
        <v>0</v>
      </c>
    </row>
    <row r="17" spans="1:29" x14ac:dyDescent="0.25">
      <c r="A17" t="s">
        <v>159</v>
      </c>
      <c r="B17">
        <f>Calculations!D76</f>
        <v>0</v>
      </c>
      <c r="C17">
        <f>Calculations!E76</f>
        <v>0</v>
      </c>
      <c r="D17">
        <f>Calculations!F76</f>
        <v>0</v>
      </c>
      <c r="E17">
        <f>Calculations!G76</f>
        <v>0</v>
      </c>
      <c r="F17">
        <f>Calculations!H76</f>
        <v>0</v>
      </c>
      <c r="G17">
        <f>Calculations!I76</f>
        <v>0</v>
      </c>
      <c r="H17">
        <f>Calculations!J76</f>
        <v>0</v>
      </c>
      <c r="I17">
        <f>Calculations!K76</f>
        <v>0</v>
      </c>
      <c r="J17">
        <f>Calculations!L76</f>
        <v>0</v>
      </c>
      <c r="K17">
        <f>Calculations!M76</f>
        <v>0</v>
      </c>
      <c r="L17">
        <f>Calculations!N76</f>
        <v>0</v>
      </c>
      <c r="M17">
        <f>Calculations!O76</f>
        <v>0</v>
      </c>
      <c r="N17">
        <f>Calculations!P76</f>
        <v>0</v>
      </c>
      <c r="O17">
        <f>Calculations!Q76</f>
        <v>0</v>
      </c>
      <c r="P17">
        <f>Calculations!R76</f>
        <v>0</v>
      </c>
      <c r="Q17">
        <f>Calculations!S76</f>
        <v>0</v>
      </c>
      <c r="R17">
        <f>Calculations!T76</f>
        <v>0</v>
      </c>
      <c r="S17">
        <f>Calculations!U76</f>
        <v>0</v>
      </c>
      <c r="T17">
        <f>Calculations!V76</f>
        <v>0</v>
      </c>
      <c r="U17">
        <f>Calculations!W76</f>
        <v>0</v>
      </c>
      <c r="V17">
        <f>Calculations!X76</f>
        <v>0</v>
      </c>
      <c r="W17">
        <f>Calculations!Y76</f>
        <v>0</v>
      </c>
      <c r="X17">
        <f>Calculations!Z76</f>
        <v>0</v>
      </c>
      <c r="Y17">
        <f>Calculations!AA76</f>
        <v>0</v>
      </c>
      <c r="Z17">
        <f>Calculations!AB76</f>
        <v>0</v>
      </c>
      <c r="AA17">
        <f>Calculations!AC76</f>
        <v>0</v>
      </c>
      <c r="AB17">
        <f>Calculations!AD76</f>
        <v>0</v>
      </c>
      <c r="AC17">
        <f>Calculations!AE76</f>
        <v>0</v>
      </c>
    </row>
    <row r="18" spans="1:29" x14ac:dyDescent="0.25">
      <c r="A18" t="s">
        <v>160</v>
      </c>
      <c r="B18">
        <f>Calculations!D77</f>
        <v>0</v>
      </c>
      <c r="C18">
        <f>Calculations!E77</f>
        <v>0</v>
      </c>
      <c r="D18">
        <f>Calculations!F77</f>
        <v>0</v>
      </c>
      <c r="E18">
        <f>Calculations!G77</f>
        <v>0</v>
      </c>
      <c r="F18">
        <f>Calculations!H77</f>
        <v>0</v>
      </c>
      <c r="G18">
        <f>Calculations!I77</f>
        <v>0</v>
      </c>
      <c r="H18">
        <f>Calculations!J77</f>
        <v>0</v>
      </c>
      <c r="I18">
        <f>Calculations!K77</f>
        <v>0</v>
      </c>
      <c r="J18">
        <f>Calculations!L77</f>
        <v>0</v>
      </c>
      <c r="K18">
        <f>Calculations!M77</f>
        <v>0</v>
      </c>
      <c r="L18">
        <f>Calculations!N77</f>
        <v>0</v>
      </c>
      <c r="M18">
        <f>Calculations!O77</f>
        <v>0</v>
      </c>
      <c r="N18">
        <f>Calculations!P77</f>
        <v>0</v>
      </c>
      <c r="O18">
        <f>Calculations!Q77</f>
        <v>0</v>
      </c>
      <c r="P18">
        <f>Calculations!R77</f>
        <v>0</v>
      </c>
      <c r="Q18">
        <f>Calculations!S77</f>
        <v>0</v>
      </c>
      <c r="R18">
        <f>Calculations!T77</f>
        <v>0</v>
      </c>
      <c r="S18">
        <f>Calculations!U77</f>
        <v>0</v>
      </c>
      <c r="T18">
        <f>Calculations!V77</f>
        <v>0</v>
      </c>
      <c r="U18">
        <f>Calculations!W77</f>
        <v>0</v>
      </c>
      <c r="V18">
        <f>Calculations!X77</f>
        <v>0</v>
      </c>
      <c r="W18">
        <f>Calculations!Y77</f>
        <v>0</v>
      </c>
      <c r="X18">
        <f>Calculations!Z77</f>
        <v>0</v>
      </c>
      <c r="Y18">
        <f>Calculations!AA77</f>
        <v>0</v>
      </c>
      <c r="Z18">
        <f>Calculations!AB77</f>
        <v>0</v>
      </c>
      <c r="AA18">
        <f>Calculations!AC77</f>
        <v>0</v>
      </c>
      <c r="AB18">
        <f>Calculations!AD77</f>
        <v>0</v>
      </c>
      <c r="AC18">
        <f>Calculations!AE77</f>
        <v>0</v>
      </c>
    </row>
    <row r="19" spans="1:29" x14ac:dyDescent="0.25">
      <c r="A19" s="55" t="s">
        <v>328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5">
      <c r="A20" s="55" t="s">
        <v>329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5">
      <c r="A21" s="55" t="s">
        <v>330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29" x14ac:dyDescent="0.25">
      <c r="A22" s="55" t="s">
        <v>331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5">
      <c r="A23" s="55" t="s">
        <v>332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5">
      <c r="A24" s="56" t="s">
        <v>333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row>
    <row r="25" spans="1:29" x14ac:dyDescent="0.25">
      <c r="A25" s="56" t="s">
        <v>334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25"/>
  <sheetViews>
    <sheetView workbookViewId="0">
      <selection activeCell="E8" sqref="E8"/>
    </sheetView>
  </sheetViews>
  <sheetFormatPr defaultColWidth="8.7109375" defaultRowHeight="15" x14ac:dyDescent="0.25"/>
  <cols>
    <col min="1" max="1" width="23.42578125" customWidth="1"/>
    <col min="2" max="29" width="9.5703125" bestFit="1" customWidth="1"/>
  </cols>
  <sheetData>
    <row r="1" spans="1:29" x14ac:dyDescent="0.25">
      <c r="A1" t="s">
        <v>161</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x14ac:dyDescent="0.25">
      <c r="A2" t="s">
        <v>58</v>
      </c>
      <c r="B2">
        <f>Calculations!D83</f>
        <v>0</v>
      </c>
      <c r="C2">
        <f>Calculations!E83</f>
        <v>0</v>
      </c>
      <c r="D2">
        <f>Calculations!F83</f>
        <v>0</v>
      </c>
      <c r="E2">
        <f>Calculations!G83</f>
        <v>0</v>
      </c>
      <c r="F2">
        <f>Calculations!H83</f>
        <v>0</v>
      </c>
      <c r="G2">
        <f>Calculations!I83</f>
        <v>0</v>
      </c>
      <c r="H2">
        <f>Calculations!J83</f>
        <v>0</v>
      </c>
      <c r="I2">
        <f>Calculations!K83</f>
        <v>0</v>
      </c>
      <c r="J2">
        <f>Calculations!L83</f>
        <v>0</v>
      </c>
      <c r="K2">
        <f>Calculations!M83</f>
        <v>0</v>
      </c>
      <c r="L2">
        <f>Calculations!N83</f>
        <v>0</v>
      </c>
      <c r="M2">
        <f>Calculations!O83</f>
        <v>0</v>
      </c>
      <c r="N2">
        <f>Calculations!P83</f>
        <v>0</v>
      </c>
      <c r="O2">
        <f>Calculations!Q83</f>
        <v>0</v>
      </c>
      <c r="P2">
        <f>Calculations!R83</f>
        <v>0</v>
      </c>
      <c r="Q2">
        <f>Calculations!S83</f>
        <v>0</v>
      </c>
      <c r="R2">
        <f>Calculations!T83</f>
        <v>0</v>
      </c>
      <c r="S2">
        <f>Calculations!U83</f>
        <v>0</v>
      </c>
      <c r="T2">
        <f>Calculations!V83</f>
        <v>0</v>
      </c>
      <c r="U2">
        <f>Calculations!W83</f>
        <v>0</v>
      </c>
      <c r="V2">
        <f>Calculations!X83</f>
        <v>0</v>
      </c>
      <c r="W2">
        <f>Calculations!Y83</f>
        <v>0</v>
      </c>
      <c r="X2">
        <f>Calculations!Z83</f>
        <v>0</v>
      </c>
      <c r="Y2">
        <f>Calculations!AA83</f>
        <v>0</v>
      </c>
      <c r="Z2">
        <f>Calculations!AB83</f>
        <v>0</v>
      </c>
      <c r="AA2">
        <f>Calculations!AC83</f>
        <v>0</v>
      </c>
      <c r="AB2">
        <f>Calculations!AD83</f>
        <v>0</v>
      </c>
      <c r="AC2">
        <f>Calculations!AE83</f>
        <v>0</v>
      </c>
    </row>
    <row r="3" spans="1:29" x14ac:dyDescent="0.25">
      <c r="A3" t="s">
        <v>326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5">
      <c r="A4" t="s">
        <v>327</v>
      </c>
      <c r="B4">
        <f>Calculations!D84</f>
        <v>1394.019</v>
      </c>
      <c r="C4">
        <f>Calculations!E84</f>
        <v>1468.7250000000001</v>
      </c>
      <c r="D4">
        <f>Calculations!F84</f>
        <v>1508.008</v>
      </c>
      <c r="E4">
        <f>Calculations!G84</f>
        <v>1540.9690000000001</v>
      </c>
      <c r="F4">
        <f>Calculations!H84</f>
        <v>1559.125</v>
      </c>
      <c r="G4">
        <f>Calculations!I84</f>
        <v>1576.8690000000001</v>
      </c>
      <c r="H4">
        <f>Calculations!J84</f>
        <v>1595.395</v>
      </c>
      <c r="I4">
        <f>Calculations!K84</f>
        <v>1615.2909999999999</v>
      </c>
      <c r="J4">
        <f>Calculations!L84</f>
        <v>1634.761</v>
      </c>
      <c r="K4">
        <f>Calculations!M84</f>
        <v>1655.3439999999998</v>
      </c>
      <c r="L4">
        <f>Calculations!N84</f>
        <v>1676.5520000000001</v>
      </c>
      <c r="M4">
        <f>Calculations!O84</f>
        <v>1700.0949999999998</v>
      </c>
      <c r="N4">
        <f>Calculations!P84</f>
        <v>1722.0139999999999</v>
      </c>
      <c r="O4">
        <f>Calculations!Q84</f>
        <v>1744.8120000000001</v>
      </c>
      <c r="P4">
        <f>Calculations!R84</f>
        <v>1769.9970000000001</v>
      </c>
      <c r="Q4">
        <f>Calculations!S84</f>
        <v>1793.4589999999998</v>
      </c>
      <c r="R4">
        <f>Calculations!T84</f>
        <v>1816.316</v>
      </c>
      <c r="S4">
        <f>Calculations!U84</f>
        <v>1838.2280000000001</v>
      </c>
      <c r="T4">
        <f>Calculations!V84</f>
        <v>1858.4989999999998</v>
      </c>
      <c r="U4">
        <f>Calculations!W84</f>
        <v>1881.0849999999998</v>
      </c>
      <c r="V4">
        <f>Calculations!X84</f>
        <v>1901.162</v>
      </c>
      <c r="W4">
        <f>Calculations!Y84</f>
        <v>1921.1780000000001</v>
      </c>
      <c r="X4">
        <f>Calculations!Z84</f>
        <v>1940.0839999999998</v>
      </c>
      <c r="Y4">
        <f>Calculations!AA84</f>
        <v>1959.433</v>
      </c>
      <c r="Z4">
        <f>Calculations!AB84</f>
        <v>1979.941</v>
      </c>
      <c r="AA4">
        <f>Calculations!AC84</f>
        <v>2000.0969999999998</v>
      </c>
      <c r="AB4">
        <f>Calculations!AD84</f>
        <v>2019.018</v>
      </c>
      <c r="AC4">
        <f>Calculations!AE84</f>
        <v>2039.0600000000002</v>
      </c>
    </row>
    <row r="5" spans="1:29" x14ac:dyDescent="0.25">
      <c r="A5" t="s">
        <v>8</v>
      </c>
      <c r="B5">
        <f>Calculations!D85</f>
        <v>0</v>
      </c>
      <c r="C5">
        <f>Calculations!E85</f>
        <v>0</v>
      </c>
      <c r="D5">
        <f>Calculations!F85</f>
        <v>0</v>
      </c>
      <c r="E5">
        <f>Calculations!G85</f>
        <v>0</v>
      </c>
      <c r="F5">
        <f>Calculations!H85</f>
        <v>0</v>
      </c>
      <c r="G5">
        <f>Calculations!I85</f>
        <v>0</v>
      </c>
      <c r="H5">
        <f>Calculations!J85</f>
        <v>0</v>
      </c>
      <c r="I5">
        <f>Calculations!K85</f>
        <v>0</v>
      </c>
      <c r="J5">
        <f>Calculations!L85</f>
        <v>0</v>
      </c>
      <c r="K5">
        <f>Calculations!M85</f>
        <v>0</v>
      </c>
      <c r="L5">
        <f>Calculations!N85</f>
        <v>0</v>
      </c>
      <c r="M5">
        <f>Calculations!O85</f>
        <v>0</v>
      </c>
      <c r="N5">
        <f>Calculations!P85</f>
        <v>0</v>
      </c>
      <c r="O5">
        <f>Calculations!Q85</f>
        <v>0</v>
      </c>
      <c r="P5">
        <f>Calculations!R85</f>
        <v>0</v>
      </c>
      <c r="Q5">
        <f>Calculations!S85</f>
        <v>0</v>
      </c>
      <c r="R5">
        <f>Calculations!T85</f>
        <v>0</v>
      </c>
      <c r="S5">
        <f>Calculations!U85</f>
        <v>0</v>
      </c>
      <c r="T5">
        <f>Calculations!V85</f>
        <v>0</v>
      </c>
      <c r="U5">
        <f>Calculations!W85</f>
        <v>0</v>
      </c>
      <c r="V5">
        <f>Calculations!X85</f>
        <v>0</v>
      </c>
      <c r="W5">
        <f>Calculations!Y85</f>
        <v>0</v>
      </c>
      <c r="X5">
        <f>Calculations!Z85</f>
        <v>0</v>
      </c>
      <c r="Y5">
        <f>Calculations!AA85</f>
        <v>0</v>
      </c>
      <c r="Z5">
        <f>Calculations!AB85</f>
        <v>0</v>
      </c>
      <c r="AA5">
        <f>Calculations!AC85</f>
        <v>0</v>
      </c>
      <c r="AB5">
        <f>Calculations!AD85</f>
        <v>0</v>
      </c>
      <c r="AC5">
        <f>Calculations!AE85</f>
        <v>0</v>
      </c>
    </row>
    <row r="6" spans="1:29" x14ac:dyDescent="0.25">
      <c r="A6" t="s">
        <v>9</v>
      </c>
      <c r="B6">
        <f>Calculations!D86</f>
        <v>0</v>
      </c>
      <c r="C6">
        <f>Calculations!E86</f>
        <v>0</v>
      </c>
      <c r="D6">
        <f>Calculations!F86</f>
        <v>0</v>
      </c>
      <c r="E6">
        <f>Calculations!G86</f>
        <v>0</v>
      </c>
      <c r="F6">
        <f>Calculations!H86</f>
        <v>0</v>
      </c>
      <c r="G6">
        <f>Calculations!I86</f>
        <v>0</v>
      </c>
      <c r="H6">
        <f>Calculations!J86</f>
        <v>0</v>
      </c>
      <c r="I6">
        <f>Calculations!K86</f>
        <v>0</v>
      </c>
      <c r="J6">
        <f>Calculations!L86</f>
        <v>0</v>
      </c>
      <c r="K6">
        <f>Calculations!M86</f>
        <v>0</v>
      </c>
      <c r="L6">
        <f>Calculations!N86</f>
        <v>0</v>
      </c>
      <c r="M6">
        <f>Calculations!O86</f>
        <v>0</v>
      </c>
      <c r="N6">
        <f>Calculations!P86</f>
        <v>0</v>
      </c>
      <c r="O6">
        <f>Calculations!Q86</f>
        <v>0</v>
      </c>
      <c r="P6">
        <f>Calculations!R86</f>
        <v>0</v>
      </c>
      <c r="Q6">
        <f>Calculations!S86</f>
        <v>0</v>
      </c>
      <c r="R6">
        <f>Calculations!T86</f>
        <v>0</v>
      </c>
      <c r="S6">
        <f>Calculations!U86</f>
        <v>0</v>
      </c>
      <c r="T6">
        <f>Calculations!V86</f>
        <v>0</v>
      </c>
      <c r="U6">
        <f>Calculations!W86</f>
        <v>0</v>
      </c>
      <c r="V6">
        <f>Calculations!X86</f>
        <v>0</v>
      </c>
      <c r="W6">
        <f>Calculations!Y86</f>
        <v>0</v>
      </c>
      <c r="X6">
        <f>Calculations!Z86</f>
        <v>0</v>
      </c>
      <c r="Y6">
        <f>Calculations!AA86</f>
        <v>0</v>
      </c>
      <c r="Z6">
        <f>Calculations!AB86</f>
        <v>0</v>
      </c>
      <c r="AA6">
        <f>Calculations!AC86</f>
        <v>0</v>
      </c>
      <c r="AB6">
        <f>Calculations!AD86</f>
        <v>0</v>
      </c>
      <c r="AC6">
        <f>Calculations!AE86</f>
        <v>0</v>
      </c>
    </row>
    <row r="7" spans="1:29" x14ac:dyDescent="0.25">
      <c r="A7" t="s">
        <v>59</v>
      </c>
      <c r="B7">
        <f>Calculations!D87</f>
        <v>559.73700000000008</v>
      </c>
      <c r="C7">
        <f>Calculations!E87</f>
        <v>585.6400000000001</v>
      </c>
      <c r="D7">
        <f>Calculations!F87</f>
        <v>584.673</v>
      </c>
      <c r="E7">
        <f>Calculations!G87</f>
        <v>585.34399999999994</v>
      </c>
      <c r="F7">
        <f>Calculations!H87</f>
        <v>586.68500000000006</v>
      </c>
      <c r="G7">
        <f>Calculations!I87</f>
        <v>586.89599999999996</v>
      </c>
      <c r="H7">
        <f>Calculations!J87</f>
        <v>587.529</v>
      </c>
      <c r="I7">
        <f>Calculations!K87</f>
        <v>588.68799999999999</v>
      </c>
      <c r="J7">
        <f>Calculations!L87</f>
        <v>589.22799999999995</v>
      </c>
      <c r="K7">
        <f>Calculations!M87</f>
        <v>590.12799999999993</v>
      </c>
      <c r="L7">
        <f>Calculations!N87</f>
        <v>591.15499999999997</v>
      </c>
      <c r="M7">
        <f>Calculations!O87</f>
        <v>591.76700000000005</v>
      </c>
      <c r="N7">
        <f>Calculations!P87</f>
        <v>592.12699999999995</v>
      </c>
      <c r="O7">
        <f>Calculations!Q87</f>
        <v>592.31299999999999</v>
      </c>
      <c r="P7">
        <f>Calculations!R87</f>
        <v>592.65</v>
      </c>
      <c r="Q7">
        <f>Calculations!S87</f>
        <v>592.97200000000009</v>
      </c>
      <c r="R7">
        <f>Calculations!T87</f>
        <v>593.428</v>
      </c>
      <c r="S7">
        <f>Calculations!U87</f>
        <v>593.94899999999996</v>
      </c>
      <c r="T7">
        <f>Calculations!V87</f>
        <v>594.14400000000001</v>
      </c>
      <c r="U7">
        <f>Calculations!W87</f>
        <v>594.97299999999996</v>
      </c>
      <c r="V7">
        <f>Calculations!X87</f>
        <v>595.30099999999993</v>
      </c>
      <c r="W7">
        <f>Calculations!Y87</f>
        <v>595.58399999999995</v>
      </c>
      <c r="X7">
        <f>Calculations!Z87</f>
        <v>595.73400000000004</v>
      </c>
      <c r="Y7">
        <f>Calculations!AA87</f>
        <v>595.96199999999999</v>
      </c>
      <c r="Z7">
        <f>Calculations!AB87</f>
        <v>596.55700000000002</v>
      </c>
      <c r="AA7">
        <f>Calculations!AC87</f>
        <v>596.93600000000004</v>
      </c>
      <c r="AB7">
        <f>Calculations!AD87</f>
        <v>597.101</v>
      </c>
      <c r="AC7">
        <f>Calculations!AE87</f>
        <v>597.29600000000005</v>
      </c>
    </row>
    <row r="8" spans="1:29" x14ac:dyDescent="0.25">
      <c r="A8" t="s">
        <v>10</v>
      </c>
      <c r="B8">
        <f>Calculations!D88</f>
        <v>26815.535</v>
      </c>
      <c r="C8">
        <f>Calculations!E88</f>
        <v>29403.9</v>
      </c>
      <c r="D8">
        <f>Calculations!F88</f>
        <v>33559.604999999996</v>
      </c>
      <c r="E8">
        <f>Calculations!G88</f>
        <v>37794.93</v>
      </c>
      <c r="F8">
        <f>Calculations!H88</f>
        <v>41405.586000000003</v>
      </c>
      <c r="G8">
        <f>Calculations!I88</f>
        <v>43145.611000000004</v>
      </c>
      <c r="H8">
        <f>Calculations!J88</f>
        <v>44266.197</v>
      </c>
      <c r="I8">
        <f>Calculations!K88</f>
        <v>45534.084000000003</v>
      </c>
      <c r="J8">
        <f>Calculations!L88</f>
        <v>46463.576999999997</v>
      </c>
      <c r="K8">
        <f>Calculations!M88</f>
        <v>47210.957000000002</v>
      </c>
      <c r="L8">
        <f>Calculations!N88</f>
        <v>48048.740000000005</v>
      </c>
      <c r="M8">
        <f>Calculations!O88</f>
        <v>49354.031000000003</v>
      </c>
      <c r="N8">
        <f>Calculations!P88</f>
        <v>50425.938000000002</v>
      </c>
      <c r="O8">
        <f>Calculations!Q88</f>
        <v>51324.492999999995</v>
      </c>
      <c r="P8">
        <f>Calculations!R88</f>
        <v>52927.57</v>
      </c>
      <c r="Q8">
        <f>Calculations!S88</f>
        <v>54478.226000000002</v>
      </c>
      <c r="R8">
        <f>Calculations!T88</f>
        <v>56396.023000000001</v>
      </c>
      <c r="S8">
        <f>Calculations!U88</f>
        <v>58020.966</v>
      </c>
      <c r="T8">
        <f>Calculations!V88</f>
        <v>58883.471999999994</v>
      </c>
      <c r="U8">
        <f>Calculations!W88</f>
        <v>60235.283000000003</v>
      </c>
      <c r="V8">
        <f>Calculations!X88</f>
        <v>60950.233</v>
      </c>
      <c r="W8">
        <f>Calculations!Y88</f>
        <v>61766.342000000004</v>
      </c>
      <c r="X8">
        <f>Calculations!Z88</f>
        <v>62420.555</v>
      </c>
      <c r="Y8">
        <f>Calculations!AA88</f>
        <v>63444.836000000003</v>
      </c>
      <c r="Z8">
        <f>Calculations!AB88</f>
        <v>64722.854999999996</v>
      </c>
      <c r="AA8">
        <f>Calculations!AC88</f>
        <v>66026.054000000004</v>
      </c>
      <c r="AB8">
        <f>Calculations!AD88</f>
        <v>66979.820000000007</v>
      </c>
      <c r="AC8">
        <f>Calculations!AE88</f>
        <v>68250.770999999993</v>
      </c>
    </row>
    <row r="9" spans="1:29" x14ac:dyDescent="0.25">
      <c r="A9" t="s">
        <v>11</v>
      </c>
      <c r="B9">
        <f>Calculations!D89</f>
        <v>0</v>
      </c>
      <c r="C9">
        <f>Calculations!E89</f>
        <v>0</v>
      </c>
      <c r="D9">
        <f>Calculations!F89</f>
        <v>0</v>
      </c>
      <c r="E9">
        <f>Calculations!G89</f>
        <v>0</v>
      </c>
      <c r="F9">
        <f>Calculations!H89</f>
        <v>0</v>
      </c>
      <c r="G9">
        <f>Calculations!I89</f>
        <v>0</v>
      </c>
      <c r="H9">
        <f>Calculations!J89</f>
        <v>0</v>
      </c>
      <c r="I9">
        <f>Calculations!K89</f>
        <v>0</v>
      </c>
      <c r="J9">
        <f>Calculations!L89</f>
        <v>0</v>
      </c>
      <c r="K9">
        <f>Calculations!M89</f>
        <v>0</v>
      </c>
      <c r="L9">
        <f>Calculations!N89</f>
        <v>0</v>
      </c>
      <c r="M9">
        <f>Calculations!O89</f>
        <v>0</v>
      </c>
      <c r="N9">
        <f>Calculations!P89</f>
        <v>0</v>
      </c>
      <c r="O9">
        <f>Calculations!Q89</f>
        <v>0</v>
      </c>
      <c r="P9">
        <f>Calculations!R89</f>
        <v>0</v>
      </c>
      <c r="Q9">
        <f>Calculations!S89</f>
        <v>0</v>
      </c>
      <c r="R9">
        <f>Calculations!T89</f>
        <v>0</v>
      </c>
      <c r="S9">
        <f>Calculations!U89</f>
        <v>0</v>
      </c>
      <c r="T9">
        <f>Calculations!V89</f>
        <v>0</v>
      </c>
      <c r="U9">
        <f>Calculations!W89</f>
        <v>0</v>
      </c>
      <c r="V9">
        <f>Calculations!X89</f>
        <v>0</v>
      </c>
      <c r="W9">
        <f>Calculations!Y89</f>
        <v>0</v>
      </c>
      <c r="X9">
        <f>Calculations!Z89</f>
        <v>0</v>
      </c>
      <c r="Y9">
        <f>Calculations!AA89</f>
        <v>0</v>
      </c>
      <c r="Z9">
        <f>Calculations!AB89</f>
        <v>0</v>
      </c>
      <c r="AA9">
        <f>Calculations!AC89</f>
        <v>0</v>
      </c>
      <c r="AB9">
        <f>Calculations!AD89</f>
        <v>0</v>
      </c>
      <c r="AC9">
        <f>Calculations!AE89</f>
        <v>0</v>
      </c>
    </row>
    <row r="10" spans="1:29" x14ac:dyDescent="0.25">
      <c r="A10" t="s">
        <v>12</v>
      </c>
      <c r="B10">
        <f>Calculations!D90</f>
        <v>0</v>
      </c>
      <c r="C10">
        <f>Calculations!E90</f>
        <v>0</v>
      </c>
      <c r="D10">
        <f>Calculations!F90</f>
        <v>0</v>
      </c>
      <c r="E10">
        <f>Calculations!G90</f>
        <v>0</v>
      </c>
      <c r="F10">
        <f>Calculations!H90</f>
        <v>0</v>
      </c>
      <c r="G10">
        <f>Calculations!I90</f>
        <v>0</v>
      </c>
      <c r="H10">
        <f>Calculations!J90</f>
        <v>0</v>
      </c>
      <c r="I10">
        <f>Calculations!K90</f>
        <v>0</v>
      </c>
      <c r="J10">
        <f>Calculations!L90</f>
        <v>0</v>
      </c>
      <c r="K10">
        <f>Calculations!M90</f>
        <v>0</v>
      </c>
      <c r="L10">
        <f>Calculations!N90</f>
        <v>0</v>
      </c>
      <c r="M10">
        <f>Calculations!O90</f>
        <v>0</v>
      </c>
      <c r="N10">
        <f>Calculations!P90</f>
        <v>0</v>
      </c>
      <c r="O10">
        <f>Calculations!Q90</f>
        <v>0</v>
      </c>
      <c r="P10">
        <f>Calculations!R90</f>
        <v>0</v>
      </c>
      <c r="Q10">
        <f>Calculations!S90</f>
        <v>0</v>
      </c>
      <c r="R10">
        <f>Calculations!T90</f>
        <v>0</v>
      </c>
      <c r="S10">
        <f>Calculations!U90</f>
        <v>0</v>
      </c>
      <c r="T10">
        <f>Calculations!V90</f>
        <v>0</v>
      </c>
      <c r="U10">
        <f>Calculations!W90</f>
        <v>0</v>
      </c>
      <c r="V10">
        <f>Calculations!X90</f>
        <v>0</v>
      </c>
      <c r="W10">
        <f>Calculations!Y90</f>
        <v>0</v>
      </c>
      <c r="X10">
        <f>Calculations!Z90</f>
        <v>0</v>
      </c>
      <c r="Y10">
        <f>Calculations!AA90</f>
        <v>0</v>
      </c>
      <c r="Z10">
        <f>Calculations!AB90</f>
        <v>0</v>
      </c>
      <c r="AA10">
        <f>Calculations!AC90</f>
        <v>0</v>
      </c>
      <c r="AB10">
        <f>Calculations!AD90</f>
        <v>0</v>
      </c>
      <c r="AC10">
        <f>Calculations!AE90</f>
        <v>0</v>
      </c>
    </row>
    <row r="11" spans="1:29" x14ac:dyDescent="0.25">
      <c r="A11" t="s">
        <v>13</v>
      </c>
      <c r="B11">
        <f>Calculations!D91</f>
        <v>0</v>
      </c>
      <c r="C11">
        <f>Calculations!E91</f>
        <v>0</v>
      </c>
      <c r="D11">
        <f>Calculations!F91</f>
        <v>0</v>
      </c>
      <c r="E11">
        <f>Calculations!G91</f>
        <v>0</v>
      </c>
      <c r="F11">
        <f>Calculations!H91</f>
        <v>0</v>
      </c>
      <c r="G11">
        <f>Calculations!I91</f>
        <v>0</v>
      </c>
      <c r="H11">
        <f>Calculations!J91</f>
        <v>0</v>
      </c>
      <c r="I11">
        <f>Calculations!K91</f>
        <v>0</v>
      </c>
      <c r="J11">
        <f>Calculations!L91</f>
        <v>0</v>
      </c>
      <c r="K11">
        <f>Calculations!M91</f>
        <v>0</v>
      </c>
      <c r="L11">
        <f>Calculations!N91</f>
        <v>0</v>
      </c>
      <c r="M11">
        <f>Calculations!O91</f>
        <v>0</v>
      </c>
      <c r="N11">
        <f>Calculations!P91</f>
        <v>0</v>
      </c>
      <c r="O11">
        <f>Calculations!Q91</f>
        <v>0</v>
      </c>
      <c r="P11">
        <f>Calculations!R91</f>
        <v>0</v>
      </c>
      <c r="Q11">
        <f>Calculations!S91</f>
        <v>0</v>
      </c>
      <c r="R11">
        <f>Calculations!T91</f>
        <v>0</v>
      </c>
      <c r="S11">
        <f>Calculations!U91</f>
        <v>0</v>
      </c>
      <c r="T11">
        <f>Calculations!V91</f>
        <v>0</v>
      </c>
      <c r="U11">
        <f>Calculations!W91</f>
        <v>0</v>
      </c>
      <c r="V11">
        <f>Calculations!X91</f>
        <v>0</v>
      </c>
      <c r="W11">
        <f>Calculations!Y91</f>
        <v>0</v>
      </c>
      <c r="X11">
        <f>Calculations!Z91</f>
        <v>0</v>
      </c>
      <c r="Y11">
        <f>Calculations!AA91</f>
        <v>0</v>
      </c>
      <c r="Z11">
        <f>Calculations!AB91</f>
        <v>0</v>
      </c>
      <c r="AA11">
        <f>Calculations!AC91</f>
        <v>0</v>
      </c>
      <c r="AB11">
        <f>Calculations!AD91</f>
        <v>0</v>
      </c>
      <c r="AC11">
        <f>Calculations!AE91</f>
        <v>0</v>
      </c>
    </row>
    <row r="12" spans="1:29" x14ac:dyDescent="0.25">
      <c r="A12" t="s">
        <v>14</v>
      </c>
      <c r="B12">
        <f>Calculations!D92</f>
        <v>13.979999999999999</v>
      </c>
      <c r="C12">
        <f>Calculations!E92</f>
        <v>20.507000000000001</v>
      </c>
      <c r="D12">
        <f>Calculations!F92</f>
        <v>14.146000000000001</v>
      </c>
      <c r="E12">
        <f>Calculations!G92</f>
        <v>14.146000000000001</v>
      </c>
      <c r="F12">
        <f>Calculations!H92</f>
        <v>14.146000000000001</v>
      </c>
      <c r="G12">
        <f>Calculations!I92</f>
        <v>14.146000000000001</v>
      </c>
      <c r="H12">
        <f>Calculations!J92</f>
        <v>14.146000000000001</v>
      </c>
      <c r="I12">
        <f>Calculations!K92</f>
        <v>14.146000000000001</v>
      </c>
      <c r="J12">
        <f>Calculations!L92</f>
        <v>14.146000000000001</v>
      </c>
      <c r="K12">
        <f>Calculations!M92</f>
        <v>14.146000000000001</v>
      </c>
      <c r="L12">
        <f>Calculations!N92</f>
        <v>14.146000000000001</v>
      </c>
      <c r="M12">
        <f>Calculations!O92</f>
        <v>14.146000000000001</v>
      </c>
      <c r="N12">
        <f>Calculations!P92</f>
        <v>14.146000000000001</v>
      </c>
      <c r="O12">
        <f>Calculations!Q92</f>
        <v>14.146000000000001</v>
      </c>
      <c r="P12">
        <f>Calculations!R92</f>
        <v>14.146000000000001</v>
      </c>
      <c r="Q12">
        <f>Calculations!S92</f>
        <v>14.146000000000001</v>
      </c>
      <c r="R12">
        <f>Calculations!T92</f>
        <v>14.146000000000001</v>
      </c>
      <c r="S12">
        <f>Calculations!U92</f>
        <v>14.146000000000001</v>
      </c>
      <c r="T12">
        <f>Calculations!V92</f>
        <v>14.146000000000001</v>
      </c>
      <c r="U12">
        <f>Calculations!W92</f>
        <v>14.146000000000001</v>
      </c>
      <c r="V12">
        <f>Calculations!X92</f>
        <v>14.146000000000001</v>
      </c>
      <c r="W12">
        <f>Calculations!Y92</f>
        <v>14.146000000000001</v>
      </c>
      <c r="X12">
        <f>Calculations!Z92</f>
        <v>14.146000000000001</v>
      </c>
      <c r="Y12">
        <f>Calculations!AA92</f>
        <v>14.146000000000001</v>
      </c>
      <c r="Z12">
        <f>Calculations!AB92</f>
        <v>14.146000000000001</v>
      </c>
      <c r="AA12">
        <f>Calculations!AC92</f>
        <v>14.146000000000001</v>
      </c>
      <c r="AB12">
        <f>Calculations!AD92</f>
        <v>14.146000000000001</v>
      </c>
      <c r="AC12">
        <f>Calculations!AE92</f>
        <v>14.146000000000001</v>
      </c>
    </row>
    <row r="13" spans="1:29" x14ac:dyDescent="0.25">
      <c r="A13" t="s">
        <v>15</v>
      </c>
      <c r="B13">
        <f>Calculations!D93</f>
        <v>0</v>
      </c>
      <c r="C13">
        <f>Calculations!E93</f>
        <v>0</v>
      </c>
      <c r="D13">
        <f>Calculations!F93</f>
        <v>0</v>
      </c>
      <c r="E13">
        <f>Calculations!G93</f>
        <v>0</v>
      </c>
      <c r="F13">
        <f>Calculations!H93</f>
        <v>0</v>
      </c>
      <c r="G13">
        <f>Calculations!I93</f>
        <v>0</v>
      </c>
      <c r="H13">
        <f>Calculations!J93</f>
        <v>0</v>
      </c>
      <c r="I13">
        <f>Calculations!K93</f>
        <v>0</v>
      </c>
      <c r="J13">
        <f>Calculations!L93</f>
        <v>0</v>
      </c>
      <c r="K13">
        <f>Calculations!M93</f>
        <v>0</v>
      </c>
      <c r="L13">
        <f>Calculations!N93</f>
        <v>0</v>
      </c>
      <c r="M13">
        <f>Calculations!O93</f>
        <v>0</v>
      </c>
      <c r="N13">
        <f>Calculations!P93</f>
        <v>0</v>
      </c>
      <c r="O13">
        <f>Calculations!Q93</f>
        <v>0</v>
      </c>
      <c r="P13">
        <f>Calculations!R93</f>
        <v>0</v>
      </c>
      <c r="Q13">
        <f>Calculations!S93</f>
        <v>0</v>
      </c>
      <c r="R13">
        <f>Calculations!T93</f>
        <v>0</v>
      </c>
      <c r="S13">
        <f>Calculations!U93</f>
        <v>0</v>
      </c>
      <c r="T13">
        <f>Calculations!V93</f>
        <v>0</v>
      </c>
      <c r="U13">
        <f>Calculations!W93</f>
        <v>0</v>
      </c>
      <c r="V13">
        <f>Calculations!X93</f>
        <v>0</v>
      </c>
      <c r="W13">
        <f>Calculations!Y93</f>
        <v>0</v>
      </c>
      <c r="X13">
        <f>Calculations!Z93</f>
        <v>0</v>
      </c>
      <c r="Y13">
        <f>Calculations!AA93</f>
        <v>0</v>
      </c>
      <c r="Z13">
        <f>Calculations!AB93</f>
        <v>0</v>
      </c>
      <c r="AA13">
        <f>Calculations!AC93</f>
        <v>0</v>
      </c>
      <c r="AB13">
        <f>Calculations!AD93</f>
        <v>0</v>
      </c>
      <c r="AC13">
        <f>Calculations!AE93</f>
        <v>0</v>
      </c>
    </row>
    <row r="14" spans="1:29" x14ac:dyDescent="0.25">
      <c r="A14" t="s">
        <v>57</v>
      </c>
      <c r="B14">
        <f>Calculations!D94</f>
        <v>0</v>
      </c>
      <c r="C14">
        <f>Calculations!E94</f>
        <v>0</v>
      </c>
      <c r="D14">
        <f>Calculations!F94</f>
        <v>0</v>
      </c>
      <c r="E14">
        <f>Calculations!G94</f>
        <v>0</v>
      </c>
      <c r="F14">
        <f>Calculations!H94</f>
        <v>0</v>
      </c>
      <c r="G14">
        <f>Calculations!I94</f>
        <v>0</v>
      </c>
      <c r="H14">
        <f>Calculations!J94</f>
        <v>0</v>
      </c>
      <c r="I14">
        <f>Calculations!K94</f>
        <v>0</v>
      </c>
      <c r="J14">
        <f>Calculations!L94</f>
        <v>0</v>
      </c>
      <c r="K14">
        <f>Calculations!M94</f>
        <v>0</v>
      </c>
      <c r="L14">
        <f>Calculations!N94</f>
        <v>0</v>
      </c>
      <c r="M14">
        <f>Calculations!O94</f>
        <v>0</v>
      </c>
      <c r="N14">
        <f>Calculations!P94</f>
        <v>0</v>
      </c>
      <c r="O14">
        <f>Calculations!Q94</f>
        <v>0</v>
      </c>
      <c r="P14">
        <f>Calculations!R94</f>
        <v>0</v>
      </c>
      <c r="Q14">
        <f>Calculations!S94</f>
        <v>0</v>
      </c>
      <c r="R14">
        <f>Calculations!T94</f>
        <v>0</v>
      </c>
      <c r="S14">
        <f>Calculations!U94</f>
        <v>0</v>
      </c>
      <c r="T14">
        <f>Calculations!V94</f>
        <v>0</v>
      </c>
      <c r="U14">
        <f>Calculations!W94</f>
        <v>0</v>
      </c>
      <c r="V14">
        <f>Calculations!X94</f>
        <v>0</v>
      </c>
      <c r="W14">
        <f>Calculations!Y94</f>
        <v>0</v>
      </c>
      <c r="X14">
        <f>Calculations!Z94</f>
        <v>0</v>
      </c>
      <c r="Y14">
        <f>Calculations!AA94</f>
        <v>0</v>
      </c>
      <c r="Z14">
        <f>Calculations!AB94</f>
        <v>0</v>
      </c>
      <c r="AA14">
        <f>Calculations!AC94</f>
        <v>0</v>
      </c>
      <c r="AB14">
        <f>Calculations!AD94</f>
        <v>0</v>
      </c>
      <c r="AC14">
        <f>Calculations!AE94</f>
        <v>0</v>
      </c>
    </row>
    <row r="15" spans="1:29" x14ac:dyDescent="0.25">
      <c r="A15" t="s">
        <v>60</v>
      </c>
      <c r="B15">
        <f>Calculations!D95</f>
        <v>0</v>
      </c>
      <c r="C15">
        <f>Calculations!E95</f>
        <v>0</v>
      </c>
      <c r="D15">
        <f>Calculations!F95</f>
        <v>0</v>
      </c>
      <c r="E15">
        <f>Calculations!G95</f>
        <v>0</v>
      </c>
      <c r="F15">
        <f>Calculations!H95</f>
        <v>0</v>
      </c>
      <c r="G15">
        <f>Calculations!I95</f>
        <v>0</v>
      </c>
      <c r="H15">
        <f>Calculations!J95</f>
        <v>0</v>
      </c>
      <c r="I15">
        <f>Calculations!K95</f>
        <v>0</v>
      </c>
      <c r="J15">
        <f>Calculations!L95</f>
        <v>0</v>
      </c>
      <c r="K15">
        <f>Calculations!M95</f>
        <v>0</v>
      </c>
      <c r="L15">
        <f>Calculations!N95</f>
        <v>0</v>
      </c>
      <c r="M15">
        <f>Calculations!O95</f>
        <v>0</v>
      </c>
      <c r="N15">
        <f>Calculations!P95</f>
        <v>0</v>
      </c>
      <c r="O15">
        <f>Calculations!Q95</f>
        <v>0</v>
      </c>
      <c r="P15">
        <f>Calculations!R95</f>
        <v>0</v>
      </c>
      <c r="Q15">
        <f>Calculations!S95</f>
        <v>0</v>
      </c>
      <c r="R15">
        <f>Calculations!T95</f>
        <v>0</v>
      </c>
      <c r="S15">
        <f>Calculations!U95</f>
        <v>0</v>
      </c>
      <c r="T15">
        <f>Calculations!V95</f>
        <v>0</v>
      </c>
      <c r="U15">
        <f>Calculations!W95</f>
        <v>0</v>
      </c>
      <c r="V15">
        <f>Calculations!X95</f>
        <v>0</v>
      </c>
      <c r="W15">
        <f>Calculations!Y95</f>
        <v>0</v>
      </c>
      <c r="X15">
        <f>Calculations!Z95</f>
        <v>0</v>
      </c>
      <c r="Y15">
        <f>Calculations!AA95</f>
        <v>0</v>
      </c>
      <c r="Z15">
        <f>Calculations!AB95</f>
        <v>0</v>
      </c>
      <c r="AA15">
        <f>Calculations!AC95</f>
        <v>0</v>
      </c>
      <c r="AB15">
        <f>Calculations!AD95</f>
        <v>0</v>
      </c>
      <c r="AC15">
        <f>Calculations!AE95</f>
        <v>0</v>
      </c>
    </row>
    <row r="16" spans="1:29" x14ac:dyDescent="0.25">
      <c r="A16" t="s">
        <v>158</v>
      </c>
      <c r="B16">
        <f>Calculations!D96</f>
        <v>0</v>
      </c>
      <c r="C16">
        <f>Calculations!E96</f>
        <v>0</v>
      </c>
      <c r="D16">
        <f>Calculations!F96</f>
        <v>0</v>
      </c>
      <c r="E16">
        <f>Calculations!G96</f>
        <v>0</v>
      </c>
      <c r="F16">
        <f>Calculations!H96</f>
        <v>0</v>
      </c>
      <c r="G16">
        <f>Calculations!I96</f>
        <v>0</v>
      </c>
      <c r="H16">
        <f>Calculations!J96</f>
        <v>0</v>
      </c>
      <c r="I16">
        <f>Calculations!K96</f>
        <v>0</v>
      </c>
      <c r="J16">
        <f>Calculations!L96</f>
        <v>0</v>
      </c>
      <c r="K16">
        <f>Calculations!M96</f>
        <v>0</v>
      </c>
      <c r="L16">
        <f>Calculations!N96</f>
        <v>0</v>
      </c>
      <c r="M16">
        <f>Calculations!O96</f>
        <v>0</v>
      </c>
      <c r="N16">
        <f>Calculations!P96</f>
        <v>0</v>
      </c>
      <c r="O16">
        <f>Calculations!Q96</f>
        <v>0</v>
      </c>
      <c r="P16">
        <f>Calculations!R96</f>
        <v>0</v>
      </c>
      <c r="Q16">
        <f>Calculations!S96</f>
        <v>0</v>
      </c>
      <c r="R16">
        <f>Calculations!T96</f>
        <v>0</v>
      </c>
      <c r="S16">
        <f>Calculations!U96</f>
        <v>0</v>
      </c>
      <c r="T16">
        <f>Calculations!V96</f>
        <v>0</v>
      </c>
      <c r="U16">
        <f>Calculations!W96</f>
        <v>0</v>
      </c>
      <c r="V16">
        <f>Calculations!X96</f>
        <v>0</v>
      </c>
      <c r="W16">
        <f>Calculations!Y96</f>
        <v>0</v>
      </c>
      <c r="X16">
        <f>Calculations!Z96</f>
        <v>0</v>
      </c>
      <c r="Y16">
        <f>Calculations!AA96</f>
        <v>0</v>
      </c>
      <c r="Z16">
        <f>Calculations!AB96</f>
        <v>0</v>
      </c>
      <c r="AA16">
        <f>Calculations!AC96</f>
        <v>0</v>
      </c>
      <c r="AB16">
        <f>Calculations!AD96</f>
        <v>0</v>
      </c>
      <c r="AC16">
        <f>Calculations!AE96</f>
        <v>0</v>
      </c>
    </row>
    <row r="17" spans="1:29" x14ac:dyDescent="0.25">
      <c r="A17" t="s">
        <v>159</v>
      </c>
      <c r="B17">
        <f>Calculations!D97</f>
        <v>0</v>
      </c>
      <c r="C17">
        <f>Calculations!E97</f>
        <v>0</v>
      </c>
      <c r="D17">
        <f>Calculations!F97</f>
        <v>0</v>
      </c>
      <c r="E17">
        <f>Calculations!G97</f>
        <v>0</v>
      </c>
      <c r="F17">
        <f>Calculations!H97</f>
        <v>0</v>
      </c>
      <c r="G17">
        <f>Calculations!I97</f>
        <v>0</v>
      </c>
      <c r="H17">
        <f>Calculations!J97</f>
        <v>0</v>
      </c>
      <c r="I17">
        <f>Calculations!K97</f>
        <v>0</v>
      </c>
      <c r="J17">
        <f>Calculations!L97</f>
        <v>0</v>
      </c>
      <c r="K17">
        <f>Calculations!M97</f>
        <v>0</v>
      </c>
      <c r="L17">
        <f>Calculations!N97</f>
        <v>0</v>
      </c>
      <c r="M17">
        <f>Calculations!O97</f>
        <v>0</v>
      </c>
      <c r="N17">
        <f>Calculations!P97</f>
        <v>0</v>
      </c>
      <c r="O17">
        <f>Calculations!Q97</f>
        <v>0</v>
      </c>
      <c r="P17">
        <f>Calculations!R97</f>
        <v>0</v>
      </c>
      <c r="Q17">
        <f>Calculations!S97</f>
        <v>0</v>
      </c>
      <c r="R17">
        <f>Calculations!T97</f>
        <v>0</v>
      </c>
      <c r="S17">
        <f>Calculations!U97</f>
        <v>0</v>
      </c>
      <c r="T17">
        <f>Calculations!V97</f>
        <v>0</v>
      </c>
      <c r="U17">
        <f>Calculations!W97</f>
        <v>0</v>
      </c>
      <c r="V17">
        <f>Calculations!X97</f>
        <v>0</v>
      </c>
      <c r="W17">
        <f>Calculations!Y97</f>
        <v>0</v>
      </c>
      <c r="X17">
        <f>Calculations!Z97</f>
        <v>0</v>
      </c>
      <c r="Y17">
        <f>Calculations!AA97</f>
        <v>0</v>
      </c>
      <c r="Z17">
        <f>Calculations!AB97</f>
        <v>0</v>
      </c>
      <c r="AA17">
        <f>Calculations!AC97</f>
        <v>0</v>
      </c>
      <c r="AB17">
        <f>Calculations!AD97</f>
        <v>0</v>
      </c>
      <c r="AC17">
        <f>Calculations!AE97</f>
        <v>0</v>
      </c>
    </row>
    <row r="18" spans="1:29" x14ac:dyDescent="0.25">
      <c r="A18" t="s">
        <v>160</v>
      </c>
      <c r="B18">
        <f>Calculations!D98</f>
        <v>0</v>
      </c>
      <c r="C18">
        <f>Calculations!E98</f>
        <v>0</v>
      </c>
      <c r="D18">
        <f>Calculations!F98</f>
        <v>0</v>
      </c>
      <c r="E18">
        <f>Calculations!G98</f>
        <v>0</v>
      </c>
      <c r="F18">
        <f>Calculations!H98</f>
        <v>0</v>
      </c>
      <c r="G18">
        <f>Calculations!I98</f>
        <v>0</v>
      </c>
      <c r="H18">
        <f>Calculations!J98</f>
        <v>0</v>
      </c>
      <c r="I18">
        <f>Calculations!K98</f>
        <v>0</v>
      </c>
      <c r="J18">
        <f>Calculations!L98</f>
        <v>0</v>
      </c>
      <c r="K18">
        <f>Calculations!M98</f>
        <v>0</v>
      </c>
      <c r="L18">
        <f>Calculations!N98</f>
        <v>0</v>
      </c>
      <c r="M18">
        <f>Calculations!O98</f>
        <v>0</v>
      </c>
      <c r="N18">
        <f>Calculations!P98</f>
        <v>0</v>
      </c>
      <c r="O18">
        <f>Calculations!Q98</f>
        <v>0</v>
      </c>
      <c r="P18">
        <f>Calculations!R98</f>
        <v>0</v>
      </c>
      <c r="Q18">
        <f>Calculations!S98</f>
        <v>0</v>
      </c>
      <c r="R18">
        <f>Calculations!T98</f>
        <v>0</v>
      </c>
      <c r="S18">
        <f>Calculations!U98</f>
        <v>0</v>
      </c>
      <c r="T18">
        <f>Calculations!V98</f>
        <v>0</v>
      </c>
      <c r="U18">
        <f>Calculations!W98</f>
        <v>0</v>
      </c>
      <c r="V18">
        <f>Calculations!X98</f>
        <v>0</v>
      </c>
      <c r="W18">
        <f>Calculations!Y98</f>
        <v>0</v>
      </c>
      <c r="X18">
        <f>Calculations!Z98</f>
        <v>0</v>
      </c>
      <c r="Y18">
        <f>Calculations!AA98</f>
        <v>0</v>
      </c>
      <c r="Z18">
        <f>Calculations!AB98</f>
        <v>0</v>
      </c>
      <c r="AA18">
        <f>Calculations!AC98</f>
        <v>0</v>
      </c>
      <c r="AB18">
        <f>Calculations!AD98</f>
        <v>0</v>
      </c>
      <c r="AC18">
        <f>Calculations!AE98</f>
        <v>0</v>
      </c>
    </row>
    <row r="19" spans="1:29" x14ac:dyDescent="0.25">
      <c r="A19" s="55" t="s">
        <v>328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5">
      <c r="A20" s="55" t="s">
        <v>329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5">
      <c r="A21" s="55" t="s">
        <v>330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29" x14ac:dyDescent="0.25">
      <c r="A22" s="55" t="s">
        <v>331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5">
      <c r="A23" s="55" t="s">
        <v>332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5">
      <c r="A24" s="56" t="s">
        <v>333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row>
    <row r="25" spans="1:29" x14ac:dyDescent="0.25">
      <c r="A25" s="56" t="s">
        <v>334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0683-8E44-40A0-986F-7B88B9EBB4AE}">
  <sheetPr>
    <tabColor theme="3"/>
  </sheetPr>
  <dimension ref="A1:AB25"/>
  <sheetViews>
    <sheetView workbookViewId="0">
      <selection activeCell="H34" sqref="H34"/>
    </sheetView>
  </sheetViews>
  <sheetFormatPr defaultColWidth="8.7109375" defaultRowHeight="15" x14ac:dyDescent="0.25"/>
  <cols>
    <col min="1" max="1" width="23.42578125" customWidth="1"/>
    <col min="2" max="28" width="9.5703125" bestFit="1" customWidth="1"/>
  </cols>
  <sheetData>
    <row r="1" spans="1:28" x14ac:dyDescent="0.25">
      <c r="A1" t="s">
        <v>161</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326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327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10</v>
      </c>
      <c r="B8">
        <v>0</v>
      </c>
      <c r="C8">
        <f>'Inflation Reduction Act'!F32*Percent_Urban</f>
        <v>650.4654739739334</v>
      </c>
      <c r="D8">
        <f>'Inflation Reduction Act'!G32*Percent_Urban</f>
        <v>650.4654739739334</v>
      </c>
      <c r="E8">
        <f>'Inflation Reduction Act'!H32*Percent_Urban</f>
        <v>650.4654739739334</v>
      </c>
      <c r="F8">
        <f>'Inflation Reduction Act'!I32*Percent_Urban</f>
        <v>650.4654739739334</v>
      </c>
      <c r="G8">
        <f>'Inflation Reduction Act'!J32*Percent_Urban</f>
        <v>650.4654739739334</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12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13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14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60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158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159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160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s="55" t="s">
        <v>328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5" t="s">
        <v>329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5" t="s">
        <v>330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5" t="s">
        <v>331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5" t="s">
        <v>332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6" t="s">
        <v>333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6" t="s">
        <v>334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02AF-C834-4E89-AF7D-9D59E8DB452E}">
  <sheetPr>
    <tabColor theme="3"/>
  </sheetPr>
  <dimension ref="A1:AB25"/>
  <sheetViews>
    <sheetView workbookViewId="0">
      <selection activeCell="J23" sqref="J23"/>
    </sheetView>
  </sheetViews>
  <sheetFormatPr defaultColWidth="8.7109375" defaultRowHeight="15" x14ac:dyDescent="0.25"/>
  <cols>
    <col min="1" max="1" width="23.42578125" customWidth="1"/>
    <col min="2" max="28" width="9.5703125" bestFit="1" customWidth="1"/>
  </cols>
  <sheetData>
    <row r="1" spans="1:28" x14ac:dyDescent="0.25">
      <c r="A1" t="s">
        <v>161</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58</v>
      </c>
      <c r="B2" s="59">
        <v>0</v>
      </c>
      <c r="C2" s="59">
        <v>0</v>
      </c>
      <c r="D2" s="59">
        <v>0</v>
      </c>
      <c r="E2" s="59">
        <v>0</v>
      </c>
      <c r="F2" s="59">
        <v>0</v>
      </c>
      <c r="G2" s="59">
        <v>0</v>
      </c>
      <c r="H2" s="59">
        <v>0</v>
      </c>
      <c r="I2" s="59">
        <v>0</v>
      </c>
      <c r="J2" s="59">
        <v>0</v>
      </c>
      <c r="K2" s="59">
        <v>0</v>
      </c>
      <c r="L2" s="59">
        <v>0</v>
      </c>
      <c r="M2" s="59">
        <v>0</v>
      </c>
      <c r="N2" s="59">
        <v>0</v>
      </c>
      <c r="O2" s="59">
        <v>0</v>
      </c>
      <c r="P2" s="59">
        <v>0</v>
      </c>
      <c r="Q2" s="59">
        <v>0</v>
      </c>
      <c r="R2" s="59">
        <v>0</v>
      </c>
      <c r="S2" s="59">
        <v>0</v>
      </c>
      <c r="T2" s="59">
        <v>0</v>
      </c>
      <c r="U2" s="59">
        <v>0</v>
      </c>
      <c r="V2" s="59">
        <v>0</v>
      </c>
      <c r="W2" s="59">
        <v>0</v>
      </c>
      <c r="X2" s="59">
        <v>0</v>
      </c>
      <c r="Y2" s="59">
        <v>0</v>
      </c>
      <c r="Z2" s="59">
        <v>0</v>
      </c>
      <c r="AA2" s="59">
        <v>0</v>
      </c>
      <c r="AB2" s="59">
        <v>0</v>
      </c>
    </row>
    <row r="3" spans="1:28" x14ac:dyDescent="0.25">
      <c r="A3" t="s">
        <v>326</v>
      </c>
      <c r="B3" s="59">
        <v>0</v>
      </c>
      <c r="C3" s="59">
        <v>0</v>
      </c>
      <c r="D3" s="59">
        <v>0</v>
      </c>
      <c r="E3" s="59">
        <v>0</v>
      </c>
      <c r="F3" s="59">
        <v>0</v>
      </c>
      <c r="G3" s="59">
        <v>0</v>
      </c>
      <c r="H3" s="59">
        <v>0</v>
      </c>
      <c r="I3" s="59">
        <v>0</v>
      </c>
      <c r="J3" s="59">
        <v>0</v>
      </c>
      <c r="K3" s="59">
        <v>0</v>
      </c>
      <c r="L3" s="59">
        <v>0</v>
      </c>
      <c r="M3" s="59">
        <v>0</v>
      </c>
      <c r="N3" s="59">
        <v>0</v>
      </c>
      <c r="O3" s="59">
        <v>0</v>
      </c>
      <c r="P3" s="59">
        <v>0</v>
      </c>
      <c r="Q3" s="59">
        <v>0</v>
      </c>
      <c r="R3" s="59">
        <v>0</v>
      </c>
      <c r="S3" s="59">
        <v>0</v>
      </c>
      <c r="T3" s="59">
        <v>0</v>
      </c>
      <c r="U3" s="59">
        <v>0</v>
      </c>
      <c r="V3" s="59">
        <v>0</v>
      </c>
      <c r="W3" s="59">
        <v>0</v>
      </c>
      <c r="X3" s="59">
        <v>0</v>
      </c>
      <c r="Y3" s="59">
        <v>0</v>
      </c>
      <c r="Z3" s="59">
        <v>0</v>
      </c>
      <c r="AA3" s="59">
        <v>0</v>
      </c>
      <c r="AB3" s="59">
        <v>0</v>
      </c>
    </row>
    <row r="4" spans="1:28" x14ac:dyDescent="0.25">
      <c r="A4" t="s">
        <v>327</v>
      </c>
      <c r="B4" s="59">
        <v>0</v>
      </c>
      <c r="C4" s="59">
        <v>0</v>
      </c>
      <c r="D4" s="59">
        <v>0</v>
      </c>
      <c r="E4" s="59">
        <v>0</v>
      </c>
      <c r="F4" s="59">
        <v>0</v>
      </c>
      <c r="G4" s="59">
        <v>0</v>
      </c>
      <c r="H4" s="59">
        <v>0</v>
      </c>
      <c r="I4" s="59">
        <v>0</v>
      </c>
      <c r="J4" s="59">
        <v>0</v>
      </c>
      <c r="K4" s="59">
        <v>0</v>
      </c>
      <c r="L4" s="59">
        <v>0</v>
      </c>
      <c r="M4" s="59">
        <v>0</v>
      </c>
      <c r="N4" s="59">
        <v>0</v>
      </c>
      <c r="O4" s="59">
        <v>0</v>
      </c>
      <c r="P4" s="59">
        <v>0</v>
      </c>
      <c r="Q4" s="59">
        <v>0</v>
      </c>
      <c r="R4" s="59">
        <v>0</v>
      </c>
      <c r="S4" s="59">
        <v>0</v>
      </c>
      <c r="T4" s="59">
        <v>0</v>
      </c>
      <c r="U4" s="59">
        <v>0</v>
      </c>
      <c r="V4" s="59">
        <v>0</v>
      </c>
      <c r="W4" s="59">
        <v>0</v>
      </c>
      <c r="X4" s="59">
        <v>0</v>
      </c>
      <c r="Y4" s="59">
        <v>0</v>
      </c>
      <c r="Z4" s="59">
        <v>0</v>
      </c>
      <c r="AA4" s="59">
        <v>0</v>
      </c>
      <c r="AB4" s="59">
        <v>0</v>
      </c>
    </row>
    <row r="5" spans="1:28" x14ac:dyDescent="0.25">
      <c r="A5" t="s">
        <v>8</v>
      </c>
      <c r="B5" s="59">
        <v>0</v>
      </c>
      <c r="C5" s="59">
        <v>0</v>
      </c>
      <c r="D5" s="59">
        <v>0</v>
      </c>
      <c r="E5" s="59">
        <v>0</v>
      </c>
      <c r="F5" s="59">
        <v>0</v>
      </c>
      <c r="G5" s="59">
        <v>0</v>
      </c>
      <c r="H5" s="59">
        <v>0</v>
      </c>
      <c r="I5" s="59">
        <v>0</v>
      </c>
      <c r="J5" s="59">
        <v>0</v>
      </c>
      <c r="K5" s="59">
        <v>0</v>
      </c>
      <c r="L5" s="59">
        <v>0</v>
      </c>
      <c r="M5" s="59">
        <v>0</v>
      </c>
      <c r="N5" s="59">
        <v>0</v>
      </c>
      <c r="O5" s="59">
        <v>0</v>
      </c>
      <c r="P5" s="59">
        <v>0</v>
      </c>
      <c r="Q5" s="59">
        <v>0</v>
      </c>
      <c r="R5" s="59">
        <v>0</v>
      </c>
      <c r="S5" s="59">
        <v>0</v>
      </c>
      <c r="T5" s="59">
        <v>0</v>
      </c>
      <c r="U5" s="59">
        <v>0</v>
      </c>
      <c r="V5" s="59">
        <v>0</v>
      </c>
      <c r="W5" s="59">
        <v>0</v>
      </c>
      <c r="X5" s="59">
        <v>0</v>
      </c>
      <c r="Y5" s="59">
        <v>0</v>
      </c>
      <c r="Z5" s="59">
        <v>0</v>
      </c>
      <c r="AA5" s="59">
        <v>0</v>
      </c>
      <c r="AB5" s="59">
        <v>0</v>
      </c>
    </row>
    <row r="6" spans="1:28" x14ac:dyDescent="0.25">
      <c r="A6" t="s">
        <v>9</v>
      </c>
      <c r="B6" s="59">
        <v>0</v>
      </c>
      <c r="C6" s="59">
        <v>0</v>
      </c>
      <c r="D6" s="59">
        <v>0</v>
      </c>
      <c r="E6" s="59">
        <v>0</v>
      </c>
      <c r="F6" s="59">
        <v>0</v>
      </c>
      <c r="G6" s="59">
        <v>0</v>
      </c>
      <c r="H6" s="59">
        <v>0</v>
      </c>
      <c r="I6" s="59">
        <v>0</v>
      </c>
      <c r="J6" s="59">
        <v>0</v>
      </c>
      <c r="K6" s="59">
        <v>0</v>
      </c>
      <c r="L6" s="59">
        <v>0</v>
      </c>
      <c r="M6" s="59">
        <v>0</v>
      </c>
      <c r="N6" s="59">
        <v>0</v>
      </c>
      <c r="O6" s="59">
        <v>0</v>
      </c>
      <c r="P6" s="59">
        <v>0</v>
      </c>
      <c r="Q6" s="59">
        <v>0</v>
      </c>
      <c r="R6" s="59">
        <v>0</v>
      </c>
      <c r="S6" s="59">
        <v>0</v>
      </c>
      <c r="T6" s="59">
        <v>0</v>
      </c>
      <c r="U6" s="59">
        <v>0</v>
      </c>
      <c r="V6" s="59">
        <v>0</v>
      </c>
      <c r="W6" s="59">
        <v>0</v>
      </c>
      <c r="X6" s="59">
        <v>0</v>
      </c>
      <c r="Y6" s="59">
        <v>0</v>
      </c>
      <c r="Z6" s="59">
        <v>0</v>
      </c>
      <c r="AA6" s="59">
        <v>0</v>
      </c>
      <c r="AB6" s="59">
        <v>0</v>
      </c>
    </row>
    <row r="7" spans="1:28" x14ac:dyDescent="0.25">
      <c r="A7" t="s">
        <v>59</v>
      </c>
      <c r="B7" s="59">
        <v>0</v>
      </c>
      <c r="C7" s="59">
        <v>0</v>
      </c>
      <c r="D7" s="59">
        <v>0</v>
      </c>
      <c r="E7" s="59">
        <v>0</v>
      </c>
      <c r="F7" s="59">
        <v>0</v>
      </c>
      <c r="G7" s="59">
        <v>0</v>
      </c>
      <c r="H7" s="59">
        <v>0</v>
      </c>
      <c r="I7" s="59">
        <v>0</v>
      </c>
      <c r="J7" s="59">
        <v>0</v>
      </c>
      <c r="K7" s="59">
        <v>0</v>
      </c>
      <c r="L7" s="59">
        <v>0</v>
      </c>
      <c r="M7" s="59">
        <v>0</v>
      </c>
      <c r="N7" s="59">
        <v>0</v>
      </c>
      <c r="O7" s="59">
        <v>0</v>
      </c>
      <c r="P7" s="59">
        <v>0</v>
      </c>
      <c r="Q7" s="59">
        <v>0</v>
      </c>
      <c r="R7" s="59">
        <v>0</v>
      </c>
      <c r="S7" s="59">
        <v>0</v>
      </c>
      <c r="T7" s="59">
        <v>0</v>
      </c>
      <c r="U7" s="59">
        <v>0</v>
      </c>
      <c r="V7" s="59">
        <v>0</v>
      </c>
      <c r="W7" s="59">
        <v>0</v>
      </c>
      <c r="X7" s="59">
        <v>0</v>
      </c>
      <c r="Y7" s="59">
        <v>0</v>
      </c>
      <c r="Z7" s="59">
        <v>0</v>
      </c>
      <c r="AA7" s="59">
        <v>0</v>
      </c>
      <c r="AB7" s="59">
        <v>0</v>
      </c>
    </row>
    <row r="8" spans="1:28" x14ac:dyDescent="0.25">
      <c r="A8" t="s">
        <v>10</v>
      </c>
      <c r="B8" s="59">
        <v>0</v>
      </c>
      <c r="C8" s="59">
        <f>'Inflation Reduction Act'!F32*Percent_rural</f>
        <v>149.53452602606654</v>
      </c>
      <c r="D8" s="59">
        <f>'Inflation Reduction Act'!G32*Percent_rural</f>
        <v>149.53452602606654</v>
      </c>
      <c r="E8" s="59">
        <f>'Inflation Reduction Act'!H32*Percent_rural</f>
        <v>149.53452602606654</v>
      </c>
      <c r="F8" s="59">
        <f>'Inflation Reduction Act'!I32*Percent_rural</f>
        <v>149.53452602606654</v>
      </c>
      <c r="G8" s="59">
        <f>'Inflation Reduction Act'!J32*Percent_rural</f>
        <v>149.53452602606654</v>
      </c>
      <c r="H8" s="59">
        <v>0</v>
      </c>
      <c r="I8" s="59">
        <v>0</v>
      </c>
      <c r="J8" s="59">
        <v>0</v>
      </c>
      <c r="K8" s="59">
        <v>0</v>
      </c>
      <c r="L8" s="59">
        <v>0</v>
      </c>
      <c r="M8" s="59">
        <v>0</v>
      </c>
      <c r="N8" s="59">
        <v>0</v>
      </c>
      <c r="O8" s="59">
        <v>0</v>
      </c>
      <c r="P8" s="59">
        <v>0</v>
      </c>
      <c r="Q8" s="59">
        <v>0</v>
      </c>
      <c r="R8" s="59">
        <v>0</v>
      </c>
      <c r="S8" s="59">
        <v>0</v>
      </c>
      <c r="T8" s="59">
        <v>0</v>
      </c>
      <c r="U8" s="59">
        <v>0</v>
      </c>
      <c r="V8" s="59">
        <v>0</v>
      </c>
      <c r="W8" s="59">
        <v>0</v>
      </c>
      <c r="X8" s="59">
        <v>0</v>
      </c>
      <c r="Y8" s="59">
        <v>0</v>
      </c>
      <c r="Z8" s="59">
        <v>0</v>
      </c>
      <c r="AA8" s="59">
        <v>0</v>
      </c>
      <c r="AB8" s="59">
        <v>0</v>
      </c>
    </row>
    <row r="9" spans="1:28" x14ac:dyDescent="0.25">
      <c r="A9" t="s">
        <v>11</v>
      </c>
      <c r="B9" s="59">
        <v>0</v>
      </c>
      <c r="C9" s="59">
        <v>0</v>
      </c>
      <c r="D9" s="59">
        <v>0</v>
      </c>
      <c r="E9" s="59">
        <v>0</v>
      </c>
      <c r="F9" s="59">
        <v>0</v>
      </c>
      <c r="G9" s="59">
        <v>0</v>
      </c>
      <c r="H9" s="59">
        <v>0</v>
      </c>
      <c r="I9" s="59">
        <v>0</v>
      </c>
      <c r="J9" s="59">
        <v>0</v>
      </c>
      <c r="K9" s="59">
        <v>0</v>
      </c>
      <c r="L9" s="59">
        <v>0</v>
      </c>
      <c r="M9" s="59">
        <v>0</v>
      </c>
      <c r="N9" s="59">
        <v>0</v>
      </c>
      <c r="O9" s="59">
        <v>0</v>
      </c>
      <c r="P9" s="59">
        <v>0</v>
      </c>
      <c r="Q9" s="59">
        <v>0</v>
      </c>
      <c r="R9" s="59">
        <v>0</v>
      </c>
      <c r="S9" s="59">
        <v>0</v>
      </c>
      <c r="T9" s="59">
        <v>0</v>
      </c>
      <c r="U9" s="59">
        <v>0</v>
      </c>
      <c r="V9" s="59">
        <v>0</v>
      </c>
      <c r="W9" s="59">
        <v>0</v>
      </c>
      <c r="X9" s="59">
        <v>0</v>
      </c>
      <c r="Y9" s="59">
        <v>0</v>
      </c>
      <c r="Z9" s="59">
        <v>0</v>
      </c>
      <c r="AA9" s="59">
        <v>0</v>
      </c>
      <c r="AB9" s="59">
        <v>0</v>
      </c>
    </row>
    <row r="10" spans="1:28" x14ac:dyDescent="0.25">
      <c r="A10" t="s">
        <v>12</v>
      </c>
      <c r="B10" s="59">
        <v>0</v>
      </c>
      <c r="C10" s="59">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59">
        <v>0</v>
      </c>
      <c r="W10" s="59">
        <v>0</v>
      </c>
      <c r="X10" s="59">
        <v>0</v>
      </c>
      <c r="Y10" s="59">
        <v>0</v>
      </c>
      <c r="Z10" s="59">
        <v>0</v>
      </c>
      <c r="AA10" s="59">
        <v>0</v>
      </c>
      <c r="AB10" s="59">
        <v>0</v>
      </c>
    </row>
    <row r="11" spans="1:28" x14ac:dyDescent="0.25">
      <c r="A11" t="s">
        <v>13</v>
      </c>
      <c r="B11" s="59">
        <v>0</v>
      </c>
      <c r="C11" s="59">
        <v>0</v>
      </c>
      <c r="D11" s="59">
        <v>0</v>
      </c>
      <c r="E11" s="59">
        <v>0</v>
      </c>
      <c r="F11" s="59">
        <v>0</v>
      </c>
      <c r="G11" s="59">
        <v>0</v>
      </c>
      <c r="H11" s="59">
        <v>0</v>
      </c>
      <c r="I11" s="59">
        <v>0</v>
      </c>
      <c r="J11" s="59">
        <v>0</v>
      </c>
      <c r="K11" s="59">
        <v>0</v>
      </c>
      <c r="L11" s="59">
        <v>0</v>
      </c>
      <c r="M11" s="59">
        <v>0</v>
      </c>
      <c r="N11" s="59">
        <v>0</v>
      </c>
      <c r="O11" s="59">
        <v>0</v>
      </c>
      <c r="P11" s="59">
        <v>0</v>
      </c>
      <c r="Q11" s="59">
        <v>0</v>
      </c>
      <c r="R11" s="59">
        <v>0</v>
      </c>
      <c r="S11" s="59">
        <v>0</v>
      </c>
      <c r="T11" s="59">
        <v>0</v>
      </c>
      <c r="U11" s="59">
        <v>0</v>
      </c>
      <c r="V11" s="59">
        <v>0</v>
      </c>
      <c r="W11" s="59">
        <v>0</v>
      </c>
      <c r="X11" s="59">
        <v>0</v>
      </c>
      <c r="Y11" s="59">
        <v>0</v>
      </c>
      <c r="Z11" s="59">
        <v>0</v>
      </c>
      <c r="AA11" s="59">
        <v>0</v>
      </c>
      <c r="AB11" s="59">
        <v>0</v>
      </c>
    </row>
    <row r="12" spans="1:28" x14ac:dyDescent="0.25">
      <c r="A12" t="s">
        <v>14</v>
      </c>
      <c r="B12" s="59">
        <v>0</v>
      </c>
      <c r="C12" s="59">
        <v>0</v>
      </c>
      <c r="D12" s="59">
        <v>0</v>
      </c>
      <c r="E12" s="59">
        <v>0</v>
      </c>
      <c r="F12" s="59">
        <v>0</v>
      </c>
      <c r="G12" s="59">
        <v>0</v>
      </c>
      <c r="H12" s="59">
        <v>0</v>
      </c>
      <c r="I12" s="59">
        <v>0</v>
      </c>
      <c r="J12" s="59">
        <v>0</v>
      </c>
      <c r="K12" s="59">
        <v>0</v>
      </c>
      <c r="L12" s="59">
        <v>0</v>
      </c>
      <c r="M12" s="59">
        <v>0</v>
      </c>
      <c r="N12" s="59">
        <v>0</v>
      </c>
      <c r="O12" s="59">
        <v>0</v>
      </c>
      <c r="P12" s="59">
        <v>0</v>
      </c>
      <c r="Q12" s="59">
        <v>0</v>
      </c>
      <c r="R12" s="59">
        <v>0</v>
      </c>
      <c r="S12" s="59">
        <v>0</v>
      </c>
      <c r="T12" s="59">
        <v>0</v>
      </c>
      <c r="U12" s="59">
        <v>0</v>
      </c>
      <c r="V12" s="59">
        <v>0</v>
      </c>
      <c r="W12" s="59">
        <v>0</v>
      </c>
      <c r="X12" s="59">
        <v>0</v>
      </c>
      <c r="Y12" s="59">
        <v>0</v>
      </c>
      <c r="Z12" s="59">
        <v>0</v>
      </c>
      <c r="AA12" s="59">
        <v>0</v>
      </c>
      <c r="AB12" s="59">
        <v>0</v>
      </c>
    </row>
    <row r="13" spans="1:28" x14ac:dyDescent="0.25">
      <c r="A13" t="s">
        <v>15</v>
      </c>
      <c r="B13" s="59">
        <v>0</v>
      </c>
      <c r="C13" s="59">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59">
        <v>0</v>
      </c>
      <c r="W13" s="59">
        <v>0</v>
      </c>
      <c r="X13" s="59">
        <v>0</v>
      </c>
      <c r="Y13" s="59">
        <v>0</v>
      </c>
      <c r="Z13" s="59">
        <v>0</v>
      </c>
      <c r="AA13" s="59">
        <v>0</v>
      </c>
      <c r="AB13" s="59">
        <v>0</v>
      </c>
    </row>
    <row r="14" spans="1:28" x14ac:dyDescent="0.25">
      <c r="A14" t="s">
        <v>57</v>
      </c>
      <c r="B14" s="59">
        <v>0</v>
      </c>
      <c r="C14" s="59">
        <v>0</v>
      </c>
      <c r="D14" s="59">
        <v>0</v>
      </c>
      <c r="E14" s="59">
        <v>0</v>
      </c>
      <c r="F14" s="59">
        <v>0</v>
      </c>
      <c r="G14" s="59">
        <v>0</v>
      </c>
      <c r="H14" s="59">
        <v>0</v>
      </c>
      <c r="I14" s="59">
        <v>0</v>
      </c>
      <c r="J14" s="59">
        <v>0</v>
      </c>
      <c r="K14" s="59">
        <v>0</v>
      </c>
      <c r="L14" s="59">
        <v>0</v>
      </c>
      <c r="M14" s="59">
        <v>0</v>
      </c>
      <c r="N14" s="59">
        <v>0</v>
      </c>
      <c r="O14" s="59">
        <v>0</v>
      </c>
      <c r="P14" s="59">
        <v>0</v>
      </c>
      <c r="Q14" s="59">
        <v>0</v>
      </c>
      <c r="R14" s="59">
        <v>0</v>
      </c>
      <c r="S14" s="59">
        <v>0</v>
      </c>
      <c r="T14" s="59">
        <v>0</v>
      </c>
      <c r="U14" s="59">
        <v>0</v>
      </c>
      <c r="V14" s="59">
        <v>0</v>
      </c>
      <c r="W14" s="59">
        <v>0</v>
      </c>
      <c r="X14" s="59">
        <v>0</v>
      </c>
      <c r="Y14" s="59">
        <v>0</v>
      </c>
      <c r="Z14" s="59">
        <v>0</v>
      </c>
      <c r="AA14" s="59">
        <v>0</v>
      </c>
      <c r="AB14" s="59">
        <v>0</v>
      </c>
    </row>
    <row r="15" spans="1:28" x14ac:dyDescent="0.25">
      <c r="A15" t="s">
        <v>60</v>
      </c>
      <c r="B15" s="59">
        <v>0</v>
      </c>
      <c r="C15" s="59">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0</v>
      </c>
      <c r="Y15" s="59">
        <v>0</v>
      </c>
      <c r="Z15" s="59">
        <v>0</v>
      </c>
      <c r="AA15" s="59">
        <v>0</v>
      </c>
      <c r="AB15" s="59">
        <v>0</v>
      </c>
    </row>
    <row r="16" spans="1:28" x14ac:dyDescent="0.25">
      <c r="A16" t="s">
        <v>158</v>
      </c>
      <c r="B16" s="59">
        <v>0</v>
      </c>
      <c r="C16" s="59">
        <v>0</v>
      </c>
      <c r="D16" s="59">
        <v>0</v>
      </c>
      <c r="E16" s="59">
        <v>0</v>
      </c>
      <c r="F16" s="59">
        <v>0</v>
      </c>
      <c r="G16" s="59">
        <v>0</v>
      </c>
      <c r="H16" s="59">
        <v>0</v>
      </c>
      <c r="I16" s="59">
        <v>0</v>
      </c>
      <c r="J16" s="59">
        <v>0</v>
      </c>
      <c r="K16" s="59">
        <v>0</v>
      </c>
      <c r="L16" s="59">
        <v>0</v>
      </c>
      <c r="M16" s="59">
        <v>0</v>
      </c>
      <c r="N16" s="59">
        <v>0</v>
      </c>
      <c r="O16" s="59">
        <v>0</v>
      </c>
      <c r="P16" s="59">
        <v>0</v>
      </c>
      <c r="Q16" s="59">
        <v>0</v>
      </c>
      <c r="R16" s="59">
        <v>0</v>
      </c>
      <c r="S16" s="59">
        <v>0</v>
      </c>
      <c r="T16" s="59">
        <v>0</v>
      </c>
      <c r="U16" s="59">
        <v>0</v>
      </c>
      <c r="V16" s="59">
        <v>0</v>
      </c>
      <c r="W16" s="59">
        <v>0</v>
      </c>
      <c r="X16" s="59">
        <v>0</v>
      </c>
      <c r="Y16" s="59">
        <v>0</v>
      </c>
      <c r="Z16" s="59">
        <v>0</v>
      </c>
      <c r="AA16" s="59">
        <v>0</v>
      </c>
      <c r="AB16" s="59">
        <v>0</v>
      </c>
    </row>
    <row r="17" spans="1:28" x14ac:dyDescent="0.25">
      <c r="A17" t="s">
        <v>159</v>
      </c>
      <c r="B17" s="59">
        <v>0</v>
      </c>
      <c r="C17" s="59">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0</v>
      </c>
      <c r="Y17" s="59">
        <v>0</v>
      </c>
      <c r="Z17" s="59">
        <v>0</v>
      </c>
      <c r="AA17" s="59">
        <v>0</v>
      </c>
      <c r="AB17" s="59">
        <v>0</v>
      </c>
    </row>
    <row r="18" spans="1:28" x14ac:dyDescent="0.25">
      <c r="A18" t="s">
        <v>160</v>
      </c>
      <c r="B18" s="59">
        <v>0</v>
      </c>
      <c r="C18" s="59">
        <v>0</v>
      </c>
      <c r="D18" s="59">
        <v>0</v>
      </c>
      <c r="E18" s="59">
        <v>0</v>
      </c>
      <c r="F18" s="59">
        <v>0</v>
      </c>
      <c r="G18" s="59">
        <v>0</v>
      </c>
      <c r="H18" s="59">
        <v>0</v>
      </c>
      <c r="I18" s="59">
        <v>0</v>
      </c>
      <c r="J18" s="59">
        <v>0</v>
      </c>
      <c r="K18" s="59">
        <v>0</v>
      </c>
      <c r="L18" s="59">
        <v>0</v>
      </c>
      <c r="M18" s="59">
        <v>0</v>
      </c>
      <c r="N18" s="59">
        <v>0</v>
      </c>
      <c r="O18" s="59">
        <v>0</v>
      </c>
      <c r="P18" s="59">
        <v>0</v>
      </c>
      <c r="Q18" s="59">
        <v>0</v>
      </c>
      <c r="R18" s="59">
        <v>0</v>
      </c>
      <c r="S18" s="59">
        <v>0</v>
      </c>
      <c r="T18" s="59">
        <v>0</v>
      </c>
      <c r="U18" s="59">
        <v>0</v>
      </c>
      <c r="V18" s="59">
        <v>0</v>
      </c>
      <c r="W18" s="59">
        <v>0</v>
      </c>
      <c r="X18" s="59">
        <v>0</v>
      </c>
      <c r="Y18" s="59">
        <v>0</v>
      </c>
      <c r="Z18" s="59">
        <v>0</v>
      </c>
      <c r="AA18" s="59">
        <v>0</v>
      </c>
      <c r="AB18" s="59">
        <v>0</v>
      </c>
    </row>
    <row r="19" spans="1:28" x14ac:dyDescent="0.25">
      <c r="A19" s="55" t="s">
        <v>328</v>
      </c>
      <c r="B19" s="59">
        <v>0</v>
      </c>
      <c r="C19" s="59">
        <v>0</v>
      </c>
      <c r="D19" s="59">
        <v>0</v>
      </c>
      <c r="E19" s="59">
        <v>0</v>
      </c>
      <c r="F19" s="59">
        <v>0</v>
      </c>
      <c r="G19" s="59">
        <v>0</v>
      </c>
      <c r="H19" s="59">
        <v>0</v>
      </c>
      <c r="I19" s="59">
        <v>0</v>
      </c>
      <c r="J19" s="59">
        <v>0</v>
      </c>
      <c r="K19" s="59">
        <v>0</v>
      </c>
      <c r="L19" s="59">
        <v>0</v>
      </c>
      <c r="M19" s="59">
        <v>0</v>
      </c>
      <c r="N19" s="59">
        <v>0</v>
      </c>
      <c r="O19" s="59">
        <v>0</v>
      </c>
      <c r="P19" s="59">
        <v>0</v>
      </c>
      <c r="Q19" s="59">
        <v>0</v>
      </c>
      <c r="R19" s="59">
        <v>0</v>
      </c>
      <c r="S19" s="59">
        <v>0</v>
      </c>
      <c r="T19" s="59">
        <v>0</v>
      </c>
      <c r="U19" s="59">
        <v>0</v>
      </c>
      <c r="V19" s="59">
        <v>0</v>
      </c>
      <c r="W19" s="59">
        <v>0</v>
      </c>
      <c r="X19" s="59">
        <v>0</v>
      </c>
      <c r="Y19" s="59">
        <v>0</v>
      </c>
      <c r="Z19" s="59">
        <v>0</v>
      </c>
      <c r="AA19" s="59">
        <v>0</v>
      </c>
      <c r="AB19" s="59">
        <v>0</v>
      </c>
    </row>
    <row r="20" spans="1:28" x14ac:dyDescent="0.25">
      <c r="A20" s="55" t="s">
        <v>329</v>
      </c>
      <c r="B20" s="59">
        <v>0</v>
      </c>
      <c r="C20" s="59">
        <v>0</v>
      </c>
      <c r="D20" s="59">
        <v>0</v>
      </c>
      <c r="E20" s="59">
        <v>0</v>
      </c>
      <c r="F20" s="59">
        <v>0</v>
      </c>
      <c r="G20" s="59">
        <v>0</v>
      </c>
      <c r="H20" s="59">
        <v>0</v>
      </c>
      <c r="I20" s="59">
        <v>0</v>
      </c>
      <c r="J20" s="59">
        <v>0</v>
      </c>
      <c r="K20" s="59">
        <v>0</v>
      </c>
      <c r="L20" s="59">
        <v>0</v>
      </c>
      <c r="M20" s="59">
        <v>0</v>
      </c>
      <c r="N20" s="59">
        <v>0</v>
      </c>
      <c r="O20" s="59">
        <v>0</v>
      </c>
      <c r="P20" s="59">
        <v>0</v>
      </c>
      <c r="Q20" s="59">
        <v>0</v>
      </c>
      <c r="R20" s="59">
        <v>0</v>
      </c>
      <c r="S20" s="59">
        <v>0</v>
      </c>
      <c r="T20" s="59">
        <v>0</v>
      </c>
      <c r="U20" s="59">
        <v>0</v>
      </c>
      <c r="V20" s="59">
        <v>0</v>
      </c>
      <c r="W20" s="59">
        <v>0</v>
      </c>
      <c r="X20" s="59">
        <v>0</v>
      </c>
      <c r="Y20" s="59">
        <v>0</v>
      </c>
      <c r="Z20" s="59">
        <v>0</v>
      </c>
      <c r="AA20" s="59">
        <v>0</v>
      </c>
      <c r="AB20" s="59">
        <v>0</v>
      </c>
    </row>
    <row r="21" spans="1:28" x14ac:dyDescent="0.25">
      <c r="A21" s="55" t="s">
        <v>330</v>
      </c>
      <c r="B21" s="59">
        <v>0</v>
      </c>
      <c r="C21" s="59">
        <v>0</v>
      </c>
      <c r="D21" s="59">
        <v>0</v>
      </c>
      <c r="E21" s="59">
        <v>0</v>
      </c>
      <c r="F21" s="59">
        <v>0</v>
      </c>
      <c r="G21" s="59">
        <v>0</v>
      </c>
      <c r="H21" s="59">
        <v>0</v>
      </c>
      <c r="I21" s="59">
        <v>0</v>
      </c>
      <c r="J21" s="59">
        <v>0</v>
      </c>
      <c r="K21" s="59">
        <v>0</v>
      </c>
      <c r="L21" s="59">
        <v>0</v>
      </c>
      <c r="M21" s="59">
        <v>0</v>
      </c>
      <c r="N21" s="59">
        <v>0</v>
      </c>
      <c r="O21" s="59">
        <v>0</v>
      </c>
      <c r="P21" s="59">
        <v>0</v>
      </c>
      <c r="Q21" s="59">
        <v>0</v>
      </c>
      <c r="R21" s="59">
        <v>0</v>
      </c>
      <c r="S21" s="59">
        <v>0</v>
      </c>
      <c r="T21" s="59">
        <v>0</v>
      </c>
      <c r="U21" s="59">
        <v>0</v>
      </c>
      <c r="V21" s="59">
        <v>0</v>
      </c>
      <c r="W21" s="59">
        <v>0</v>
      </c>
      <c r="X21" s="59">
        <v>0</v>
      </c>
      <c r="Y21" s="59">
        <v>0</v>
      </c>
      <c r="Z21" s="59">
        <v>0</v>
      </c>
      <c r="AA21" s="59">
        <v>0</v>
      </c>
      <c r="AB21" s="59">
        <v>0</v>
      </c>
    </row>
    <row r="22" spans="1:28" x14ac:dyDescent="0.25">
      <c r="A22" s="55" t="s">
        <v>331</v>
      </c>
      <c r="B22" s="59">
        <v>0</v>
      </c>
      <c r="C22" s="59">
        <v>0</v>
      </c>
      <c r="D22" s="59">
        <v>0</v>
      </c>
      <c r="E22" s="59">
        <v>0</v>
      </c>
      <c r="F22" s="59">
        <v>0</v>
      </c>
      <c r="G22" s="59">
        <v>0</v>
      </c>
      <c r="H22" s="59">
        <v>0</v>
      </c>
      <c r="I22" s="59">
        <v>0</v>
      </c>
      <c r="J22" s="59">
        <v>0</v>
      </c>
      <c r="K22" s="59">
        <v>0</v>
      </c>
      <c r="L22" s="59">
        <v>0</v>
      </c>
      <c r="M22" s="59">
        <v>0</v>
      </c>
      <c r="N22" s="59">
        <v>0</v>
      </c>
      <c r="O22" s="59">
        <v>0</v>
      </c>
      <c r="P22" s="59">
        <v>0</v>
      </c>
      <c r="Q22" s="59">
        <v>0</v>
      </c>
      <c r="R22" s="59">
        <v>0</v>
      </c>
      <c r="S22" s="59">
        <v>0</v>
      </c>
      <c r="T22" s="59">
        <v>0</v>
      </c>
      <c r="U22" s="59">
        <v>0</v>
      </c>
      <c r="V22" s="59">
        <v>0</v>
      </c>
      <c r="W22" s="59">
        <v>0</v>
      </c>
      <c r="X22" s="59">
        <v>0</v>
      </c>
      <c r="Y22" s="59">
        <v>0</v>
      </c>
      <c r="Z22" s="59">
        <v>0</v>
      </c>
      <c r="AA22" s="59">
        <v>0</v>
      </c>
      <c r="AB22" s="59">
        <v>0</v>
      </c>
    </row>
    <row r="23" spans="1:28" x14ac:dyDescent="0.25">
      <c r="A23" s="55" t="s">
        <v>332</v>
      </c>
      <c r="B23" s="59">
        <v>0</v>
      </c>
      <c r="C23" s="59">
        <v>0</v>
      </c>
      <c r="D23" s="59">
        <v>0</v>
      </c>
      <c r="E23" s="59">
        <v>0</v>
      </c>
      <c r="F23" s="59">
        <v>0</v>
      </c>
      <c r="G23" s="59">
        <v>0</v>
      </c>
      <c r="H23" s="59">
        <v>0</v>
      </c>
      <c r="I23" s="59">
        <v>0</v>
      </c>
      <c r="J23" s="59">
        <v>0</v>
      </c>
      <c r="K23" s="59">
        <v>0</v>
      </c>
      <c r="L23" s="59">
        <v>0</v>
      </c>
      <c r="M23" s="59">
        <v>0</v>
      </c>
      <c r="N23" s="59">
        <v>0</v>
      </c>
      <c r="O23" s="59">
        <v>0</v>
      </c>
      <c r="P23" s="59">
        <v>0</v>
      </c>
      <c r="Q23" s="59">
        <v>0</v>
      </c>
      <c r="R23" s="59">
        <v>0</v>
      </c>
      <c r="S23" s="59">
        <v>0</v>
      </c>
      <c r="T23" s="59">
        <v>0</v>
      </c>
      <c r="U23" s="59">
        <v>0</v>
      </c>
      <c r="V23" s="59">
        <v>0</v>
      </c>
      <c r="W23" s="59">
        <v>0</v>
      </c>
      <c r="X23" s="59">
        <v>0</v>
      </c>
      <c r="Y23" s="59">
        <v>0</v>
      </c>
      <c r="Z23" s="59">
        <v>0</v>
      </c>
      <c r="AA23" s="59">
        <v>0</v>
      </c>
      <c r="AB23" s="59">
        <v>0</v>
      </c>
    </row>
    <row r="24" spans="1:28" x14ac:dyDescent="0.25">
      <c r="A24" s="56" t="s">
        <v>333</v>
      </c>
      <c r="B24" s="59">
        <v>0</v>
      </c>
      <c r="C24" s="59">
        <v>0</v>
      </c>
      <c r="D24" s="59">
        <v>0</v>
      </c>
      <c r="E24" s="59">
        <v>0</v>
      </c>
      <c r="F24" s="59">
        <v>0</v>
      </c>
      <c r="G24" s="59">
        <v>0</v>
      </c>
      <c r="H24" s="59">
        <v>0</v>
      </c>
      <c r="I24" s="59">
        <v>0</v>
      </c>
      <c r="J24" s="59">
        <v>0</v>
      </c>
      <c r="K24" s="59">
        <v>0</v>
      </c>
      <c r="L24" s="59">
        <v>0</v>
      </c>
      <c r="M24" s="59">
        <v>0</v>
      </c>
      <c r="N24" s="59">
        <v>0</v>
      </c>
      <c r="O24" s="59">
        <v>0</v>
      </c>
      <c r="P24" s="59">
        <v>0</v>
      </c>
      <c r="Q24" s="59">
        <v>0</v>
      </c>
      <c r="R24" s="59">
        <v>0</v>
      </c>
      <c r="S24" s="59">
        <v>0</v>
      </c>
      <c r="T24" s="59">
        <v>0</v>
      </c>
      <c r="U24" s="59">
        <v>0</v>
      </c>
      <c r="V24" s="59">
        <v>0</v>
      </c>
      <c r="W24" s="59">
        <v>0</v>
      </c>
      <c r="X24" s="59">
        <v>0</v>
      </c>
      <c r="Y24" s="59">
        <v>0</v>
      </c>
      <c r="Z24" s="59">
        <v>0</v>
      </c>
      <c r="AA24" s="59">
        <v>0</v>
      </c>
      <c r="AB24" s="59">
        <v>0</v>
      </c>
    </row>
    <row r="25" spans="1:28" x14ac:dyDescent="0.25">
      <c r="A25" s="56" t="s">
        <v>334</v>
      </c>
      <c r="B25" s="59">
        <v>0</v>
      </c>
      <c r="C25" s="59">
        <v>0</v>
      </c>
      <c r="D25" s="59">
        <v>0</v>
      </c>
      <c r="E25" s="59">
        <v>0</v>
      </c>
      <c r="F25" s="59">
        <v>0</v>
      </c>
      <c r="G25" s="59">
        <v>0</v>
      </c>
      <c r="H25" s="59">
        <v>0</v>
      </c>
      <c r="I25" s="59">
        <v>0</v>
      </c>
      <c r="J25" s="59">
        <v>0</v>
      </c>
      <c r="K25" s="59">
        <v>0</v>
      </c>
      <c r="L25" s="59">
        <v>0</v>
      </c>
      <c r="M25" s="59">
        <v>0</v>
      </c>
      <c r="N25" s="59">
        <v>0</v>
      </c>
      <c r="O25" s="59">
        <v>0</v>
      </c>
      <c r="P25" s="59">
        <v>0</v>
      </c>
      <c r="Q25" s="59">
        <v>0</v>
      </c>
      <c r="R25" s="59">
        <v>0</v>
      </c>
      <c r="S25" s="59">
        <v>0</v>
      </c>
      <c r="T25" s="59">
        <v>0</v>
      </c>
      <c r="U25" s="59">
        <v>0</v>
      </c>
      <c r="V25" s="59">
        <v>0</v>
      </c>
      <c r="W25" s="59">
        <v>0</v>
      </c>
      <c r="X25" s="59">
        <v>0</v>
      </c>
      <c r="Y25" s="59">
        <v>0</v>
      </c>
      <c r="Z25" s="59">
        <v>0</v>
      </c>
      <c r="AA25" s="59">
        <v>0</v>
      </c>
      <c r="AB25" s="59">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D4811-9918-45A3-9F09-73E527D4CCBB}">
  <sheetPr>
    <tabColor theme="3"/>
  </sheetPr>
  <dimension ref="A1:AB25"/>
  <sheetViews>
    <sheetView workbookViewId="0">
      <selection activeCell="B2" sqref="B2:AB25"/>
    </sheetView>
  </sheetViews>
  <sheetFormatPr defaultColWidth="8.7109375" defaultRowHeight="15" x14ac:dyDescent="0.25"/>
  <cols>
    <col min="1" max="1" width="23.42578125" customWidth="1"/>
    <col min="2" max="28" width="9.5703125" bestFit="1" customWidth="1"/>
  </cols>
  <sheetData>
    <row r="1" spans="1:28" x14ac:dyDescent="0.25">
      <c r="A1" t="s">
        <v>161</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326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327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10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12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13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14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60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158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159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160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s="55" t="s">
        <v>328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5" t="s">
        <v>329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5" t="s">
        <v>330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5" t="s">
        <v>331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5" t="s">
        <v>332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6" t="s">
        <v>333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6" t="s">
        <v>334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739E-3FF7-405C-AC36-79FD8625BF19}">
  <sheetPr>
    <tabColor rgb="FF1F3864"/>
  </sheetPr>
  <dimension ref="A1:AB25"/>
  <sheetViews>
    <sheetView tabSelected="1" workbookViewId="0"/>
  </sheetViews>
  <sheetFormatPr defaultRowHeight="15" x14ac:dyDescent="0.25"/>
  <sheetData>
    <row r="1" spans="1:28" x14ac:dyDescent="0.25">
      <c r="A1" t="s">
        <v>161</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326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327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10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12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13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14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60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158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159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160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328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329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330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331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332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t="s">
        <v>333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t="s">
        <v>334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3FA4-A821-4676-A3D4-0EB58B853D28}">
  <sheetPr>
    <tabColor theme="3"/>
  </sheetPr>
  <dimension ref="A1:AE81"/>
  <sheetViews>
    <sheetView workbookViewId="0"/>
  </sheetViews>
  <sheetFormatPr defaultRowHeight="15" x14ac:dyDescent="0.25"/>
  <sheetData>
    <row r="1" spans="1:31" x14ac:dyDescent="0.25">
      <c r="A1" t="s">
        <v>246</v>
      </c>
    </row>
    <row r="2" spans="1:31" x14ac:dyDescent="0.25">
      <c r="A2" t="s">
        <v>972</v>
      </c>
    </row>
    <row r="3" spans="1:31" x14ac:dyDescent="0.25">
      <c r="A3" t="s">
        <v>973</v>
      </c>
    </row>
    <row r="4" spans="1:31" x14ac:dyDescent="0.25">
      <c r="A4" t="s">
        <v>177</v>
      </c>
    </row>
    <row r="5" spans="1:31" x14ac:dyDescent="0.25">
      <c r="B5" t="s">
        <v>178</v>
      </c>
      <c r="C5" t="s">
        <v>179</v>
      </c>
      <c r="D5" t="s">
        <v>180</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838</v>
      </c>
    </row>
    <row r="6" spans="1:31" x14ac:dyDescent="0.25">
      <c r="A6" t="s">
        <v>5</v>
      </c>
    </row>
    <row r="7" spans="1:31" x14ac:dyDescent="0.25">
      <c r="A7" t="s">
        <v>247</v>
      </c>
    </row>
    <row r="8" spans="1:31" x14ac:dyDescent="0.25">
      <c r="A8" t="s">
        <v>248</v>
      </c>
      <c r="B8" t="s">
        <v>974</v>
      </c>
      <c r="C8" t="s">
        <v>975</v>
      </c>
      <c r="D8" t="s">
        <v>249</v>
      </c>
      <c r="E8">
        <v>0.79839300000000002</v>
      </c>
      <c r="F8">
        <v>0.798346</v>
      </c>
      <c r="G8">
        <v>0.79774599999999996</v>
      </c>
      <c r="H8">
        <v>0.79591400000000001</v>
      </c>
      <c r="I8">
        <v>0.79153200000000001</v>
      </c>
      <c r="J8">
        <v>0.78505400000000003</v>
      </c>
      <c r="K8">
        <v>0.77937100000000004</v>
      </c>
      <c r="L8">
        <v>0.77582700000000004</v>
      </c>
      <c r="M8">
        <v>0.77351499999999995</v>
      </c>
      <c r="N8">
        <v>0.77231399999999994</v>
      </c>
      <c r="O8">
        <v>0.77122599999999997</v>
      </c>
      <c r="P8">
        <v>0.77100000000000002</v>
      </c>
      <c r="Q8">
        <v>0.77078400000000002</v>
      </c>
      <c r="R8">
        <v>0.77058099999999996</v>
      </c>
      <c r="S8">
        <v>0.77030299999999996</v>
      </c>
      <c r="T8">
        <v>0.76990899999999995</v>
      </c>
      <c r="U8">
        <v>0.76967099999999999</v>
      </c>
      <c r="V8">
        <v>0.76997599999999999</v>
      </c>
      <c r="W8">
        <v>0.77045600000000003</v>
      </c>
      <c r="X8">
        <v>0.77110699999999999</v>
      </c>
      <c r="Y8">
        <v>0.77168499999999995</v>
      </c>
      <c r="Z8">
        <v>0.77163000000000004</v>
      </c>
      <c r="AA8">
        <v>0.77088800000000002</v>
      </c>
      <c r="AB8">
        <v>0.76993199999999995</v>
      </c>
      <c r="AC8">
        <v>0.76900800000000002</v>
      </c>
      <c r="AD8">
        <v>0.76809899999999998</v>
      </c>
      <c r="AE8" s="16">
        <v>-2E-3</v>
      </c>
    </row>
    <row r="9" spans="1:31" x14ac:dyDescent="0.25">
      <c r="A9" t="s">
        <v>250</v>
      </c>
      <c r="B9" t="s">
        <v>976</v>
      </c>
      <c r="C9" t="s">
        <v>977</v>
      </c>
      <c r="D9" t="s">
        <v>249</v>
      </c>
      <c r="E9">
        <v>0.98277800000000004</v>
      </c>
      <c r="F9">
        <v>0.98385299999999998</v>
      </c>
      <c r="G9">
        <v>0.98623400000000006</v>
      </c>
      <c r="H9">
        <v>0.98721700000000001</v>
      </c>
      <c r="I9">
        <v>0.98521499999999995</v>
      </c>
      <c r="J9">
        <v>0.98040700000000003</v>
      </c>
      <c r="K9">
        <v>0.976163</v>
      </c>
      <c r="L9">
        <v>0.97434299999999996</v>
      </c>
      <c r="M9">
        <v>0.97401499999999996</v>
      </c>
      <c r="N9">
        <v>0.97485599999999994</v>
      </c>
      <c r="O9">
        <v>0.97597299999999998</v>
      </c>
      <c r="P9">
        <v>0.97817299999999996</v>
      </c>
      <c r="Q9">
        <v>0.98047799999999996</v>
      </c>
      <c r="R9">
        <v>0.98289700000000002</v>
      </c>
      <c r="S9">
        <v>0.98524800000000001</v>
      </c>
      <c r="T9">
        <v>0.98726700000000001</v>
      </c>
      <c r="U9">
        <v>0.98948400000000003</v>
      </c>
      <c r="V9">
        <v>0.992228</v>
      </c>
      <c r="W9">
        <v>0.99514800000000003</v>
      </c>
      <c r="X9">
        <v>0.99823600000000001</v>
      </c>
      <c r="Y9">
        <v>1.0011890000000001</v>
      </c>
      <c r="Z9">
        <v>1.0033019999999999</v>
      </c>
      <c r="AA9">
        <v>1.004586</v>
      </c>
      <c r="AB9">
        <v>1.005568</v>
      </c>
      <c r="AC9">
        <v>1.0064740000000001</v>
      </c>
      <c r="AD9">
        <v>1.0073840000000001</v>
      </c>
      <c r="AE9" s="16">
        <v>1E-3</v>
      </c>
    </row>
    <row r="10" spans="1:31" x14ac:dyDescent="0.25">
      <c r="A10" t="s">
        <v>251</v>
      </c>
      <c r="B10" t="s">
        <v>978</v>
      </c>
      <c r="C10" t="s">
        <v>979</v>
      </c>
      <c r="D10" t="s">
        <v>249</v>
      </c>
      <c r="E10">
        <v>0.18366399999999999</v>
      </c>
      <c r="F10">
        <v>0.18266299999999999</v>
      </c>
      <c r="G10">
        <v>0.18171000000000001</v>
      </c>
      <c r="H10">
        <v>0.18082500000000001</v>
      </c>
      <c r="I10">
        <v>0.17949300000000001</v>
      </c>
      <c r="J10">
        <v>0.17748700000000001</v>
      </c>
      <c r="K10">
        <v>0.175814</v>
      </c>
      <c r="L10">
        <v>0.174454</v>
      </c>
      <c r="M10">
        <v>0.17329800000000001</v>
      </c>
      <c r="N10">
        <v>0.17233000000000001</v>
      </c>
      <c r="O10">
        <v>0.17144599999999999</v>
      </c>
      <c r="P10">
        <v>0.17071500000000001</v>
      </c>
      <c r="Q10">
        <v>0.169992</v>
      </c>
      <c r="R10">
        <v>0.16926099999999999</v>
      </c>
      <c r="S10">
        <v>0.16849700000000001</v>
      </c>
      <c r="T10">
        <v>0.167657</v>
      </c>
      <c r="U10">
        <v>0.16699</v>
      </c>
      <c r="V10">
        <v>0.166381</v>
      </c>
      <c r="W10">
        <v>0.165774</v>
      </c>
      <c r="X10">
        <v>0.165187</v>
      </c>
      <c r="Y10">
        <v>0.16456399999999999</v>
      </c>
      <c r="Z10">
        <v>0.16382099999999999</v>
      </c>
      <c r="AA10">
        <v>0.162964</v>
      </c>
      <c r="AB10">
        <v>0.16205900000000001</v>
      </c>
      <c r="AC10">
        <v>0.16117200000000001</v>
      </c>
      <c r="AD10">
        <v>0.160244</v>
      </c>
      <c r="AE10" s="16">
        <v>-5.0000000000000001E-3</v>
      </c>
    </row>
    <row r="11" spans="1:31" x14ac:dyDescent="0.25">
      <c r="A11" t="s">
        <v>252</v>
      </c>
      <c r="B11" t="s">
        <v>980</v>
      </c>
      <c r="C11" t="s">
        <v>981</v>
      </c>
      <c r="D11" t="s">
        <v>249</v>
      </c>
      <c r="E11">
        <v>0.345192</v>
      </c>
      <c r="F11">
        <v>0.34568399999999999</v>
      </c>
      <c r="G11">
        <v>0.34489999999999998</v>
      </c>
      <c r="H11">
        <v>0.34351999999999999</v>
      </c>
      <c r="I11">
        <v>0.341055</v>
      </c>
      <c r="J11">
        <v>0.33751700000000001</v>
      </c>
      <c r="K11">
        <v>0.33434599999999998</v>
      </c>
      <c r="L11">
        <v>0.33218799999999998</v>
      </c>
      <c r="M11">
        <v>0.33060099999999998</v>
      </c>
      <c r="N11">
        <v>0.32960699999999998</v>
      </c>
      <c r="O11">
        <v>0.32869500000000001</v>
      </c>
      <c r="P11">
        <v>0.32812200000000002</v>
      </c>
      <c r="Q11">
        <v>0.32753700000000002</v>
      </c>
      <c r="R11">
        <v>0.326932</v>
      </c>
      <c r="S11">
        <v>0.32621499999999998</v>
      </c>
      <c r="T11">
        <v>0.32540400000000003</v>
      </c>
      <c r="U11">
        <v>0.32481599999999999</v>
      </c>
      <c r="V11">
        <v>0.32443499999999997</v>
      </c>
      <c r="W11">
        <v>0.324152</v>
      </c>
      <c r="X11">
        <v>0.32394099999999998</v>
      </c>
      <c r="Y11">
        <v>0.323631</v>
      </c>
      <c r="Z11">
        <v>0.322961</v>
      </c>
      <c r="AA11">
        <v>0.32198599999999999</v>
      </c>
      <c r="AB11">
        <v>0.32089699999999999</v>
      </c>
      <c r="AC11">
        <v>0.31978499999999999</v>
      </c>
      <c r="AD11">
        <v>0.31864599999999998</v>
      </c>
      <c r="AE11" s="16">
        <v>-3.0000000000000001E-3</v>
      </c>
    </row>
    <row r="12" spans="1:31" x14ac:dyDescent="0.25">
      <c r="A12" t="s">
        <v>253</v>
      </c>
      <c r="B12" t="s">
        <v>982</v>
      </c>
      <c r="C12" t="s">
        <v>983</v>
      </c>
      <c r="D12" t="s">
        <v>249</v>
      </c>
      <c r="E12">
        <v>0.45100800000000002</v>
      </c>
      <c r="F12">
        <v>0.456312</v>
      </c>
      <c r="G12">
        <v>0.46226299999999998</v>
      </c>
      <c r="H12">
        <v>0.46749499999999999</v>
      </c>
      <c r="I12">
        <v>0.47119</v>
      </c>
      <c r="J12">
        <v>0.47351300000000002</v>
      </c>
      <c r="K12">
        <v>0.47604200000000002</v>
      </c>
      <c r="L12">
        <v>0.47998800000000003</v>
      </c>
      <c r="M12">
        <v>0.48474499999999998</v>
      </c>
      <c r="N12">
        <v>0.49035000000000001</v>
      </c>
      <c r="O12">
        <v>0.49621599999999999</v>
      </c>
      <c r="P12">
        <v>0.50265599999999999</v>
      </c>
      <c r="Q12">
        <v>0.50911399999999996</v>
      </c>
      <c r="R12">
        <v>0.51561299999999999</v>
      </c>
      <c r="S12">
        <v>0.52202899999999997</v>
      </c>
      <c r="T12">
        <v>0.52826600000000001</v>
      </c>
      <c r="U12">
        <v>0.53451400000000004</v>
      </c>
      <c r="V12">
        <v>0.54096100000000003</v>
      </c>
      <c r="W12">
        <v>0.54740999999999995</v>
      </c>
      <c r="X12">
        <v>0.55382799999999999</v>
      </c>
      <c r="Y12">
        <v>0.56001100000000004</v>
      </c>
      <c r="Z12">
        <v>0.56549700000000003</v>
      </c>
      <c r="AA12">
        <v>0.570303</v>
      </c>
      <c r="AB12">
        <v>0.57470200000000005</v>
      </c>
      <c r="AC12">
        <v>0.57883899999999999</v>
      </c>
      <c r="AD12">
        <v>0.58286199999999999</v>
      </c>
      <c r="AE12" s="16">
        <v>0.01</v>
      </c>
    </row>
    <row r="13" spans="1:31" x14ac:dyDescent="0.25">
      <c r="A13" t="s">
        <v>254</v>
      </c>
      <c r="B13" t="s">
        <v>984</v>
      </c>
      <c r="C13" t="s">
        <v>985</v>
      </c>
      <c r="D13" t="s">
        <v>249</v>
      </c>
      <c r="E13">
        <v>0.64881999999999995</v>
      </c>
      <c r="F13">
        <v>0.65629000000000004</v>
      </c>
      <c r="G13">
        <v>0.66223699999999996</v>
      </c>
      <c r="H13">
        <v>0.66763099999999997</v>
      </c>
      <c r="I13">
        <v>0.67115999999999998</v>
      </c>
      <c r="J13">
        <v>0.67243799999999998</v>
      </c>
      <c r="K13">
        <v>0.67413299999999998</v>
      </c>
      <c r="L13">
        <v>0.67758600000000002</v>
      </c>
      <c r="M13">
        <v>0.68205899999999997</v>
      </c>
      <c r="N13">
        <v>0.68754400000000004</v>
      </c>
      <c r="O13">
        <v>0.69328000000000001</v>
      </c>
      <c r="P13">
        <v>0.69980799999999999</v>
      </c>
      <c r="Q13">
        <v>0.70634200000000003</v>
      </c>
      <c r="R13">
        <v>0.71289800000000003</v>
      </c>
      <c r="S13">
        <v>0.71940899999999997</v>
      </c>
      <c r="T13">
        <v>0.72567800000000005</v>
      </c>
      <c r="U13">
        <v>0.73203499999999999</v>
      </c>
      <c r="V13">
        <v>0.73881399999999997</v>
      </c>
      <c r="W13">
        <v>0.74571399999999999</v>
      </c>
      <c r="X13">
        <v>0.75281200000000004</v>
      </c>
      <c r="Y13">
        <v>0.75971999999999995</v>
      </c>
      <c r="Z13">
        <v>0.76591799999999999</v>
      </c>
      <c r="AA13">
        <v>0.77130600000000005</v>
      </c>
      <c r="AB13">
        <v>0.77632299999999999</v>
      </c>
      <c r="AC13">
        <v>0.78121799999999997</v>
      </c>
      <c r="AD13">
        <v>0.78603100000000004</v>
      </c>
      <c r="AE13" s="16">
        <v>8.0000000000000002E-3</v>
      </c>
    </row>
    <row r="14" spans="1:31" x14ac:dyDescent="0.25">
      <c r="A14" t="s">
        <v>255</v>
      </c>
      <c r="B14" t="s">
        <v>986</v>
      </c>
      <c r="C14" t="s">
        <v>987</v>
      </c>
      <c r="D14" t="s">
        <v>249</v>
      </c>
      <c r="E14">
        <v>0.801929</v>
      </c>
      <c r="F14">
        <v>0.80432099999999995</v>
      </c>
      <c r="G14">
        <v>0.80695499999999998</v>
      </c>
      <c r="H14">
        <v>0.81040000000000001</v>
      </c>
      <c r="I14">
        <v>0.81207600000000002</v>
      </c>
      <c r="J14">
        <v>0.81073600000000001</v>
      </c>
      <c r="K14">
        <v>0.809361</v>
      </c>
      <c r="L14">
        <v>0.80958699999999995</v>
      </c>
      <c r="M14">
        <v>0.81082100000000001</v>
      </c>
      <c r="N14">
        <v>0.81283300000000003</v>
      </c>
      <c r="O14">
        <v>0.814724</v>
      </c>
      <c r="P14">
        <v>0.81745100000000004</v>
      </c>
      <c r="Q14">
        <v>0.82006599999999996</v>
      </c>
      <c r="R14">
        <v>0.822631</v>
      </c>
      <c r="S14">
        <v>0.82492500000000002</v>
      </c>
      <c r="T14">
        <v>0.82658600000000004</v>
      </c>
      <c r="U14">
        <v>0.82793099999999997</v>
      </c>
      <c r="V14">
        <v>0.82919799999999999</v>
      </c>
      <c r="W14">
        <v>0.830067</v>
      </c>
      <c r="X14">
        <v>0.83053600000000005</v>
      </c>
      <c r="Y14">
        <v>0.83044499999999999</v>
      </c>
      <c r="Z14">
        <v>0.82931999999999995</v>
      </c>
      <c r="AA14">
        <v>0.82698300000000002</v>
      </c>
      <c r="AB14">
        <v>0.82378899999999999</v>
      </c>
      <c r="AC14">
        <v>0.81994999999999996</v>
      </c>
      <c r="AD14">
        <v>0.81569199999999997</v>
      </c>
      <c r="AE14" s="16">
        <v>1E-3</v>
      </c>
    </row>
    <row r="15" spans="1:31" x14ac:dyDescent="0.25">
      <c r="A15" t="s">
        <v>256</v>
      </c>
      <c r="B15" t="s">
        <v>988</v>
      </c>
      <c r="C15" t="s">
        <v>989</v>
      </c>
      <c r="D15" t="s">
        <v>249</v>
      </c>
      <c r="E15">
        <v>0.498724</v>
      </c>
      <c r="F15">
        <v>0.49881500000000001</v>
      </c>
      <c r="G15">
        <v>0.49858000000000002</v>
      </c>
      <c r="H15">
        <v>0.49855500000000003</v>
      </c>
      <c r="I15">
        <v>0.49721799999999999</v>
      </c>
      <c r="J15">
        <v>0.49400100000000002</v>
      </c>
      <c r="K15">
        <v>0.49093999999999999</v>
      </c>
      <c r="L15">
        <v>0.48876199999999997</v>
      </c>
      <c r="M15">
        <v>0.48721599999999998</v>
      </c>
      <c r="N15">
        <v>0.48621900000000001</v>
      </c>
      <c r="O15">
        <v>0.485182</v>
      </c>
      <c r="P15">
        <v>0.48464800000000002</v>
      </c>
      <c r="Q15">
        <v>0.48410700000000001</v>
      </c>
      <c r="R15">
        <v>0.483597</v>
      </c>
      <c r="S15">
        <v>0.48306500000000002</v>
      </c>
      <c r="T15">
        <v>0.482464</v>
      </c>
      <c r="U15">
        <v>0.48196099999999997</v>
      </c>
      <c r="V15">
        <v>0.48161599999999999</v>
      </c>
      <c r="W15">
        <v>0.48121799999999998</v>
      </c>
      <c r="X15">
        <v>0.48083999999999999</v>
      </c>
      <c r="Y15">
        <v>0.48031000000000001</v>
      </c>
      <c r="Z15">
        <v>0.47936499999999999</v>
      </c>
      <c r="AA15">
        <v>0.47790500000000002</v>
      </c>
      <c r="AB15">
        <v>0.47621400000000003</v>
      </c>
      <c r="AC15">
        <v>0.47443400000000002</v>
      </c>
      <c r="AD15">
        <v>0.47253099999999998</v>
      </c>
      <c r="AE15" s="16">
        <v>-2E-3</v>
      </c>
    </row>
    <row r="16" spans="1:31" x14ac:dyDescent="0.25">
      <c r="A16" t="s">
        <v>257</v>
      </c>
      <c r="B16" t="s">
        <v>990</v>
      </c>
      <c r="C16" t="s">
        <v>991</v>
      </c>
      <c r="D16" t="s">
        <v>249</v>
      </c>
      <c r="E16">
        <v>1.189819</v>
      </c>
      <c r="F16">
        <v>1.1895800000000001</v>
      </c>
      <c r="G16">
        <v>1.189654</v>
      </c>
      <c r="H16">
        <v>1.1890609999999999</v>
      </c>
      <c r="I16">
        <v>1.185241</v>
      </c>
      <c r="J16">
        <v>1.176496</v>
      </c>
      <c r="K16">
        <v>1.169314</v>
      </c>
      <c r="L16">
        <v>1.1650799999999999</v>
      </c>
      <c r="M16">
        <v>1.162234</v>
      </c>
      <c r="N16">
        <v>1.1607449999999999</v>
      </c>
      <c r="O16">
        <v>1.1598839999999999</v>
      </c>
      <c r="P16">
        <v>1.1604749999999999</v>
      </c>
      <c r="Q16">
        <v>1.161225</v>
      </c>
      <c r="R16">
        <v>1.1621090000000001</v>
      </c>
      <c r="S16">
        <v>1.16296</v>
      </c>
      <c r="T16">
        <v>1.163027</v>
      </c>
      <c r="U16">
        <v>1.1635759999999999</v>
      </c>
      <c r="V16">
        <v>1.164814</v>
      </c>
      <c r="W16">
        <v>1.166417</v>
      </c>
      <c r="X16">
        <v>1.168296</v>
      </c>
      <c r="Y16">
        <v>1.1699900000000001</v>
      </c>
      <c r="Z16">
        <v>1.1708130000000001</v>
      </c>
      <c r="AA16">
        <v>1.1707209999999999</v>
      </c>
      <c r="AB16">
        <v>1.1703079999999999</v>
      </c>
      <c r="AC16">
        <v>1.1699109999999999</v>
      </c>
      <c r="AD16">
        <v>1.169465</v>
      </c>
      <c r="AE16" s="16">
        <v>-1E-3</v>
      </c>
    </row>
    <row r="17" spans="1:31" x14ac:dyDescent="0.25">
      <c r="A17" t="s">
        <v>258</v>
      </c>
      <c r="B17" t="s">
        <v>992</v>
      </c>
      <c r="C17" t="s">
        <v>993</v>
      </c>
      <c r="D17" t="s">
        <v>249</v>
      </c>
      <c r="E17">
        <v>0.64655099999999999</v>
      </c>
      <c r="F17">
        <v>0.65864400000000001</v>
      </c>
      <c r="G17">
        <v>0.66887099999999999</v>
      </c>
      <c r="H17">
        <v>0.67947999999999997</v>
      </c>
      <c r="I17">
        <v>0.688774</v>
      </c>
      <c r="J17">
        <v>0.69574899999999995</v>
      </c>
      <c r="K17">
        <v>0.70327600000000001</v>
      </c>
      <c r="L17">
        <v>0.71248400000000001</v>
      </c>
      <c r="M17">
        <v>0.72305799999999998</v>
      </c>
      <c r="N17">
        <v>0.73480500000000004</v>
      </c>
      <c r="O17">
        <v>0.74668800000000002</v>
      </c>
      <c r="P17">
        <v>0.75941499999999995</v>
      </c>
      <c r="Q17">
        <v>0.77258300000000002</v>
      </c>
      <c r="R17">
        <v>0.78606200000000004</v>
      </c>
      <c r="S17">
        <v>0.79977699999999996</v>
      </c>
      <c r="T17">
        <v>0.81390499999999999</v>
      </c>
      <c r="U17">
        <v>0.82852300000000001</v>
      </c>
      <c r="V17">
        <v>0.84368699999999996</v>
      </c>
      <c r="W17">
        <v>0.859209</v>
      </c>
      <c r="X17">
        <v>0.87508300000000006</v>
      </c>
      <c r="Y17">
        <v>0.89116899999999999</v>
      </c>
      <c r="Z17">
        <v>0.90700899999999995</v>
      </c>
      <c r="AA17">
        <v>0.92251000000000005</v>
      </c>
      <c r="AB17">
        <v>0.93805700000000003</v>
      </c>
      <c r="AC17">
        <v>0.95384500000000005</v>
      </c>
      <c r="AD17">
        <v>0.96985399999999999</v>
      </c>
      <c r="AE17" s="16">
        <v>1.6E-2</v>
      </c>
    </row>
    <row r="18" spans="1:31" x14ac:dyDescent="0.25">
      <c r="A18" t="s">
        <v>259</v>
      </c>
      <c r="B18" t="s">
        <v>994</v>
      </c>
      <c r="C18" t="s">
        <v>995</v>
      </c>
      <c r="D18" t="s">
        <v>249</v>
      </c>
      <c r="E18">
        <v>0.72055000000000002</v>
      </c>
      <c r="F18">
        <v>0.76097199999999998</v>
      </c>
      <c r="G18">
        <v>0.80171999999999999</v>
      </c>
      <c r="H18">
        <v>0.84421500000000005</v>
      </c>
      <c r="I18">
        <v>0.88641400000000004</v>
      </c>
      <c r="J18">
        <v>0.92721600000000004</v>
      </c>
      <c r="K18">
        <v>0.96882900000000005</v>
      </c>
      <c r="L18">
        <v>1.012759</v>
      </c>
      <c r="M18">
        <v>1.058524</v>
      </c>
      <c r="N18">
        <v>1.1059270000000001</v>
      </c>
      <c r="O18">
        <v>1.154145</v>
      </c>
      <c r="P18">
        <v>1.203743</v>
      </c>
      <c r="Q18">
        <v>1.2538419999999999</v>
      </c>
      <c r="R18">
        <v>1.3040929999999999</v>
      </c>
      <c r="S18">
        <v>1.353945</v>
      </c>
      <c r="T18">
        <v>1.402955</v>
      </c>
      <c r="U18">
        <v>1.4510970000000001</v>
      </c>
      <c r="V18">
        <v>1.4982200000000001</v>
      </c>
      <c r="W18">
        <v>1.543973</v>
      </c>
      <c r="X18">
        <v>1.5878509999999999</v>
      </c>
      <c r="Y18">
        <v>1.6298090000000001</v>
      </c>
      <c r="Z18">
        <v>1.668623</v>
      </c>
      <c r="AA18">
        <v>1.7038660000000001</v>
      </c>
      <c r="AB18">
        <v>1.7358100000000001</v>
      </c>
      <c r="AC18">
        <v>1.764405</v>
      </c>
      <c r="AD18">
        <v>1.7915140000000001</v>
      </c>
      <c r="AE18" s="16">
        <v>3.6999999999999998E-2</v>
      </c>
    </row>
    <row r="19" spans="1:31" x14ac:dyDescent="0.25">
      <c r="A19" t="s">
        <v>191</v>
      </c>
      <c r="B19" t="s">
        <v>996</v>
      </c>
      <c r="C19" t="s">
        <v>997</v>
      </c>
      <c r="D19" t="s">
        <v>249</v>
      </c>
      <c r="E19">
        <v>7.2674279999999998</v>
      </c>
      <c r="F19">
        <v>7.3354799999999996</v>
      </c>
      <c r="G19">
        <v>7.4008690000000001</v>
      </c>
      <c r="H19">
        <v>7.4643110000000004</v>
      </c>
      <c r="I19">
        <v>7.5093680000000003</v>
      </c>
      <c r="J19">
        <v>7.5306139999999999</v>
      </c>
      <c r="K19">
        <v>7.5575900000000003</v>
      </c>
      <c r="L19">
        <v>7.6030579999999999</v>
      </c>
      <c r="M19">
        <v>7.6600859999999997</v>
      </c>
      <c r="N19">
        <v>7.7275289999999996</v>
      </c>
      <c r="O19">
        <v>7.7974600000000001</v>
      </c>
      <c r="P19">
        <v>7.8762059999999998</v>
      </c>
      <c r="Q19">
        <v>7.9560690000000003</v>
      </c>
      <c r="R19">
        <v>8.0366750000000007</v>
      </c>
      <c r="S19">
        <v>8.1163749999999997</v>
      </c>
      <c r="T19">
        <v>8.1931170000000009</v>
      </c>
      <c r="U19">
        <v>8.2705979999999997</v>
      </c>
      <c r="V19">
        <v>8.3503299999999996</v>
      </c>
      <c r="W19">
        <v>8.4295369999999998</v>
      </c>
      <c r="X19">
        <v>8.5077169999999995</v>
      </c>
      <c r="Y19">
        <v>8.5825250000000004</v>
      </c>
      <c r="Z19">
        <v>8.6482600000000005</v>
      </c>
      <c r="AA19">
        <v>8.7040199999999999</v>
      </c>
      <c r="AB19">
        <v>8.7536579999999997</v>
      </c>
      <c r="AC19">
        <v>8.7990399999999998</v>
      </c>
      <c r="AD19">
        <v>8.8423210000000001</v>
      </c>
      <c r="AE19" s="16">
        <v>8.0000000000000002E-3</v>
      </c>
    </row>
    <row r="20" spans="1:31" x14ac:dyDescent="0.25">
      <c r="A20" t="s">
        <v>6</v>
      </c>
    </row>
    <row r="21" spans="1:31" x14ac:dyDescent="0.25">
      <c r="A21" t="s">
        <v>260</v>
      </c>
    </row>
    <row r="22" spans="1:31" x14ac:dyDescent="0.25">
      <c r="A22" t="s">
        <v>248</v>
      </c>
      <c r="B22" t="s">
        <v>998</v>
      </c>
      <c r="C22" t="s">
        <v>999</v>
      </c>
      <c r="D22" t="s">
        <v>261</v>
      </c>
      <c r="E22">
        <v>12.847167000000001</v>
      </c>
      <c r="F22">
        <v>12.890592</v>
      </c>
      <c r="G22">
        <v>12.938591000000001</v>
      </c>
      <c r="H22">
        <v>12.982117000000001</v>
      </c>
      <c r="I22">
        <v>13.022087000000001</v>
      </c>
      <c r="J22">
        <v>13.061621000000001</v>
      </c>
      <c r="K22">
        <v>13.102444999999999</v>
      </c>
      <c r="L22">
        <v>13.144850999999999</v>
      </c>
      <c r="M22">
        <v>13.189493000000001</v>
      </c>
      <c r="N22">
        <v>13.236426</v>
      </c>
      <c r="O22">
        <v>13.285570999999999</v>
      </c>
      <c r="P22">
        <v>13.336675</v>
      </c>
      <c r="Q22">
        <v>13.388560999999999</v>
      </c>
      <c r="R22">
        <v>13.434659</v>
      </c>
      <c r="S22">
        <v>13.474826999999999</v>
      </c>
      <c r="T22">
        <v>13.509396000000001</v>
      </c>
      <c r="U22">
        <v>13.535755</v>
      </c>
      <c r="V22">
        <v>13.554975000000001</v>
      </c>
      <c r="W22">
        <v>13.568811</v>
      </c>
      <c r="X22">
        <v>13.578412</v>
      </c>
      <c r="Y22">
        <v>13.585127</v>
      </c>
      <c r="Z22">
        <v>13.589354</v>
      </c>
      <c r="AA22">
        <v>13.59126</v>
      </c>
      <c r="AB22">
        <v>13.59103</v>
      </c>
      <c r="AC22">
        <v>13.588768</v>
      </c>
      <c r="AD22">
        <v>13.584612</v>
      </c>
      <c r="AE22" s="16">
        <v>2E-3</v>
      </c>
    </row>
    <row r="23" spans="1:31" x14ac:dyDescent="0.25">
      <c r="A23" t="s">
        <v>250</v>
      </c>
      <c r="B23" t="s">
        <v>1000</v>
      </c>
      <c r="C23" t="s">
        <v>1001</v>
      </c>
      <c r="D23" t="s">
        <v>261</v>
      </c>
      <c r="E23">
        <v>14.618995</v>
      </c>
      <c r="F23">
        <v>14.779116999999999</v>
      </c>
      <c r="G23">
        <v>14.948378999999999</v>
      </c>
      <c r="H23">
        <v>15.115026</v>
      </c>
      <c r="I23">
        <v>15.280071</v>
      </c>
      <c r="J23">
        <v>15.447127</v>
      </c>
      <c r="K23">
        <v>15.618289000000001</v>
      </c>
      <c r="L23">
        <v>15.793993</v>
      </c>
      <c r="M23">
        <v>15.975135</v>
      </c>
      <c r="N23">
        <v>16.161909000000001</v>
      </c>
      <c r="O23">
        <v>16.354358999999999</v>
      </c>
      <c r="P23">
        <v>16.552302999999998</v>
      </c>
      <c r="Q23">
        <v>16.754421000000001</v>
      </c>
      <c r="R23">
        <v>16.952584999999999</v>
      </c>
      <c r="S23">
        <v>17.146522999999998</v>
      </c>
      <c r="T23">
        <v>17.336539999999999</v>
      </c>
      <c r="U23">
        <v>17.519189999999998</v>
      </c>
      <c r="V23">
        <v>17.695663</v>
      </c>
      <c r="W23">
        <v>17.868092000000001</v>
      </c>
      <c r="X23">
        <v>18.037400999999999</v>
      </c>
      <c r="Y23">
        <v>18.204841999999999</v>
      </c>
      <c r="Z23">
        <v>18.370932</v>
      </c>
      <c r="AA23">
        <v>18.535896000000001</v>
      </c>
      <c r="AB23">
        <v>18.699967999999998</v>
      </c>
      <c r="AC23">
        <v>18.863296999999999</v>
      </c>
      <c r="AD23">
        <v>19.026060000000001</v>
      </c>
      <c r="AE23" s="16">
        <v>1.0999999999999999E-2</v>
      </c>
    </row>
    <row r="24" spans="1:31" x14ac:dyDescent="0.25">
      <c r="A24" t="s">
        <v>251</v>
      </c>
      <c r="B24" t="s">
        <v>1002</v>
      </c>
      <c r="C24" t="s">
        <v>1003</v>
      </c>
      <c r="D24" t="s">
        <v>261</v>
      </c>
      <c r="E24">
        <v>1.0146139999999999</v>
      </c>
      <c r="F24">
        <v>1.0173300000000001</v>
      </c>
      <c r="G24">
        <v>1.0205029999999999</v>
      </c>
      <c r="H24">
        <v>1.023309</v>
      </c>
      <c r="I24">
        <v>1.025822</v>
      </c>
      <c r="J24">
        <v>1.028287</v>
      </c>
      <c r="K24">
        <v>1.0308390000000001</v>
      </c>
      <c r="L24">
        <v>1.033501</v>
      </c>
      <c r="M24">
        <v>1.036324</v>
      </c>
      <c r="N24">
        <v>1.039312</v>
      </c>
      <c r="O24">
        <v>1.042457</v>
      </c>
      <c r="P24">
        <v>1.045739</v>
      </c>
      <c r="Q24">
        <v>1.0490649999999999</v>
      </c>
      <c r="R24">
        <v>1.05192</v>
      </c>
      <c r="S24">
        <v>1.0542940000000001</v>
      </c>
      <c r="T24">
        <v>1.056211</v>
      </c>
      <c r="U24">
        <v>1.0574699999999999</v>
      </c>
      <c r="V24">
        <v>1.058154</v>
      </c>
      <c r="W24">
        <v>1.0584009999999999</v>
      </c>
      <c r="X24">
        <v>1.0582750000000001</v>
      </c>
      <c r="Y24">
        <v>1.057852</v>
      </c>
      <c r="Z24">
        <v>1.057167</v>
      </c>
      <c r="AA24">
        <v>1.056235</v>
      </c>
      <c r="AB24">
        <v>1.055072</v>
      </c>
      <c r="AC24">
        <v>1.0536859999999999</v>
      </c>
      <c r="AD24">
        <v>1.0520910000000001</v>
      </c>
      <c r="AE24" s="16">
        <v>1E-3</v>
      </c>
    </row>
    <row r="25" spans="1:31" x14ac:dyDescent="0.25">
      <c r="A25" t="s">
        <v>252</v>
      </c>
      <c r="B25" t="s">
        <v>1004</v>
      </c>
      <c r="C25" t="s">
        <v>1005</v>
      </c>
      <c r="D25" t="s">
        <v>261</v>
      </c>
      <c r="E25">
        <v>1.4047099999999999</v>
      </c>
      <c r="F25">
        <v>1.4103060000000001</v>
      </c>
      <c r="G25">
        <v>1.4169579999999999</v>
      </c>
      <c r="H25">
        <v>1.4231510000000001</v>
      </c>
      <c r="I25">
        <v>1.4289860000000001</v>
      </c>
      <c r="J25">
        <v>1.434804</v>
      </c>
      <c r="K25">
        <v>1.440796</v>
      </c>
      <c r="L25">
        <v>1.4469939999999999</v>
      </c>
      <c r="M25">
        <v>1.4534720000000001</v>
      </c>
      <c r="N25">
        <v>1.460237</v>
      </c>
      <c r="O25">
        <v>1.4672829999999999</v>
      </c>
      <c r="P25">
        <v>1.4745839999999999</v>
      </c>
      <c r="Q25">
        <v>1.48201</v>
      </c>
      <c r="R25">
        <v>1.488837</v>
      </c>
      <c r="S25">
        <v>1.4950460000000001</v>
      </c>
      <c r="T25">
        <v>1.5006729999999999</v>
      </c>
      <c r="U25">
        <v>1.5054270000000001</v>
      </c>
      <c r="V25">
        <v>1.5094259999999999</v>
      </c>
      <c r="W25">
        <v>1.512861</v>
      </c>
      <c r="X25">
        <v>1.5158199999999999</v>
      </c>
      <c r="Y25">
        <v>1.518413</v>
      </c>
      <c r="Z25">
        <v>1.520688</v>
      </c>
      <c r="AA25">
        <v>1.5226660000000001</v>
      </c>
      <c r="AB25">
        <v>1.5243679999999999</v>
      </c>
      <c r="AC25">
        <v>1.525809</v>
      </c>
      <c r="AD25">
        <v>1.5270030000000001</v>
      </c>
      <c r="AE25" s="16">
        <v>3.0000000000000001E-3</v>
      </c>
    </row>
    <row r="26" spans="1:31" x14ac:dyDescent="0.25">
      <c r="A26" t="s">
        <v>253</v>
      </c>
      <c r="B26" t="s">
        <v>1006</v>
      </c>
      <c r="C26" t="s">
        <v>1007</v>
      </c>
      <c r="D26" t="s">
        <v>261</v>
      </c>
      <c r="E26">
        <v>2.5151180000000002</v>
      </c>
      <c r="F26">
        <v>2.5522230000000001</v>
      </c>
      <c r="G26">
        <v>2.5922499999999999</v>
      </c>
      <c r="H26">
        <v>2.6320619999999999</v>
      </c>
      <c r="I26">
        <v>2.6718299999999999</v>
      </c>
      <c r="J26">
        <v>2.7121810000000002</v>
      </c>
      <c r="K26">
        <v>2.7534869999999998</v>
      </c>
      <c r="L26">
        <v>2.7958340000000002</v>
      </c>
      <c r="M26">
        <v>2.8393899999999999</v>
      </c>
      <c r="N26">
        <v>2.8842020000000002</v>
      </c>
      <c r="O26">
        <v>2.930288</v>
      </c>
      <c r="P26">
        <v>2.9776280000000002</v>
      </c>
      <c r="Q26">
        <v>3.0259969999999998</v>
      </c>
      <c r="R26">
        <v>3.0739339999999999</v>
      </c>
      <c r="S26">
        <v>3.1213820000000001</v>
      </c>
      <c r="T26">
        <v>3.1683880000000002</v>
      </c>
      <c r="U26">
        <v>3.2143120000000001</v>
      </c>
      <c r="V26">
        <v>3.2593580000000002</v>
      </c>
      <c r="W26">
        <v>3.3039040000000002</v>
      </c>
      <c r="X26">
        <v>3.3481139999999998</v>
      </c>
      <c r="Y26">
        <v>3.3922110000000001</v>
      </c>
      <c r="Z26">
        <v>3.4362889999999999</v>
      </c>
      <c r="AA26">
        <v>3.4803850000000001</v>
      </c>
      <c r="AB26">
        <v>3.524543</v>
      </c>
      <c r="AC26">
        <v>3.5687869999999999</v>
      </c>
      <c r="AD26">
        <v>3.6131489999999999</v>
      </c>
      <c r="AE26" s="16">
        <v>1.4999999999999999E-2</v>
      </c>
    </row>
    <row r="27" spans="1:31" x14ac:dyDescent="0.25">
      <c r="A27" t="s">
        <v>254</v>
      </c>
      <c r="B27" t="s">
        <v>1008</v>
      </c>
      <c r="C27" t="s">
        <v>1009</v>
      </c>
      <c r="D27" t="s">
        <v>261</v>
      </c>
      <c r="E27">
        <v>7.5010789999999998</v>
      </c>
      <c r="F27">
        <v>7.5924269999999998</v>
      </c>
      <c r="G27">
        <v>7.6871270000000003</v>
      </c>
      <c r="H27">
        <v>7.7805980000000003</v>
      </c>
      <c r="I27">
        <v>7.8733610000000001</v>
      </c>
      <c r="J27">
        <v>7.9672729999999996</v>
      </c>
      <c r="K27">
        <v>8.0634160000000001</v>
      </c>
      <c r="L27">
        <v>8.1620220000000003</v>
      </c>
      <c r="M27">
        <v>8.26356</v>
      </c>
      <c r="N27">
        <v>8.3681400000000004</v>
      </c>
      <c r="O27">
        <v>8.4757899999999999</v>
      </c>
      <c r="P27">
        <v>8.5864250000000002</v>
      </c>
      <c r="Q27">
        <v>8.6993639999999992</v>
      </c>
      <c r="R27">
        <v>8.8103940000000005</v>
      </c>
      <c r="S27">
        <v>8.9193689999999997</v>
      </c>
      <c r="T27">
        <v>9.0264389999999999</v>
      </c>
      <c r="U27">
        <v>9.129804</v>
      </c>
      <c r="V27">
        <v>9.2300730000000009</v>
      </c>
      <c r="W27">
        <v>9.3283450000000006</v>
      </c>
      <c r="X27">
        <v>9.4251050000000003</v>
      </c>
      <c r="Y27">
        <v>9.5209930000000007</v>
      </c>
      <c r="Z27">
        <v>9.6162829999999992</v>
      </c>
      <c r="AA27">
        <v>9.7110850000000006</v>
      </c>
      <c r="AB27">
        <v>9.8055249999999994</v>
      </c>
      <c r="AC27">
        <v>9.8996729999999999</v>
      </c>
      <c r="AD27">
        <v>9.9936229999999995</v>
      </c>
      <c r="AE27" s="16">
        <v>1.2E-2</v>
      </c>
    </row>
    <row r="28" spans="1:31" x14ac:dyDescent="0.25">
      <c r="A28" t="s">
        <v>255</v>
      </c>
      <c r="B28" t="s">
        <v>1010</v>
      </c>
      <c r="C28" t="s">
        <v>1011</v>
      </c>
      <c r="D28" t="s">
        <v>261</v>
      </c>
      <c r="E28">
        <v>11.108781</v>
      </c>
      <c r="F28">
        <v>11.169916000000001</v>
      </c>
      <c r="G28">
        <v>11.219958999999999</v>
      </c>
      <c r="H28">
        <v>11.266199</v>
      </c>
      <c r="I28">
        <v>11.309428</v>
      </c>
      <c r="J28">
        <v>11.352346000000001</v>
      </c>
      <c r="K28">
        <v>11.396459999999999</v>
      </c>
      <c r="L28">
        <v>11.442016000000001</v>
      </c>
      <c r="M28">
        <v>11.489596000000001</v>
      </c>
      <c r="N28">
        <v>11.539253</v>
      </c>
      <c r="O28">
        <v>11.590923</v>
      </c>
      <c r="P28">
        <v>11.644387</v>
      </c>
      <c r="Q28">
        <v>11.698627</v>
      </c>
      <c r="R28">
        <v>11.747904999999999</v>
      </c>
      <c r="S28">
        <v>11.792083999999999</v>
      </c>
      <c r="T28">
        <v>11.831443</v>
      </c>
      <c r="U28">
        <v>11.863685</v>
      </c>
      <c r="V28">
        <v>11.88973</v>
      </c>
      <c r="W28">
        <v>11.911108</v>
      </c>
      <c r="X28">
        <v>11.928499</v>
      </c>
      <c r="Y28">
        <v>11.942774999999999</v>
      </c>
      <c r="Z28">
        <v>11.954300999999999</v>
      </c>
      <c r="AA28">
        <v>11.963244</v>
      </c>
      <c r="AB28">
        <v>11.969772000000001</v>
      </c>
      <c r="AC28">
        <v>11.973985000000001</v>
      </c>
      <c r="AD28">
        <v>11.976011</v>
      </c>
      <c r="AE28" s="16">
        <v>3.0000000000000001E-3</v>
      </c>
    </row>
    <row r="29" spans="1:31" x14ac:dyDescent="0.25">
      <c r="A29" t="s">
        <v>256</v>
      </c>
      <c r="B29" t="s">
        <v>1012</v>
      </c>
      <c r="C29" t="s">
        <v>1013</v>
      </c>
      <c r="D29" t="s">
        <v>261</v>
      </c>
      <c r="E29">
        <v>8.1528109999999998</v>
      </c>
      <c r="F29">
        <v>8.2036899999999999</v>
      </c>
      <c r="G29">
        <v>8.2482880000000005</v>
      </c>
      <c r="H29">
        <v>8.2901969999999992</v>
      </c>
      <c r="I29">
        <v>8.3299970000000005</v>
      </c>
      <c r="J29">
        <v>8.3696680000000008</v>
      </c>
      <c r="K29">
        <v>8.4103200000000005</v>
      </c>
      <c r="L29">
        <v>8.4521470000000001</v>
      </c>
      <c r="M29">
        <v>8.4955780000000001</v>
      </c>
      <c r="N29">
        <v>8.5406580000000005</v>
      </c>
      <c r="O29">
        <v>8.5873480000000004</v>
      </c>
      <c r="P29">
        <v>8.6354930000000003</v>
      </c>
      <c r="Q29">
        <v>8.6843409999999999</v>
      </c>
      <c r="R29">
        <v>8.729635</v>
      </c>
      <c r="S29">
        <v>8.7712690000000002</v>
      </c>
      <c r="T29">
        <v>8.8094389999999994</v>
      </c>
      <c r="U29">
        <v>8.8424239999999994</v>
      </c>
      <c r="V29">
        <v>8.8708989999999996</v>
      </c>
      <c r="W29">
        <v>8.8959899999999994</v>
      </c>
      <c r="X29">
        <v>8.9181969999999993</v>
      </c>
      <c r="Y29">
        <v>8.9381599999999999</v>
      </c>
      <c r="Z29">
        <v>8.9561539999999997</v>
      </c>
      <c r="AA29">
        <v>8.9722950000000008</v>
      </c>
      <c r="AB29">
        <v>8.9867019999999993</v>
      </c>
      <c r="AC29">
        <v>8.9994519999999998</v>
      </c>
      <c r="AD29">
        <v>9.0106300000000008</v>
      </c>
      <c r="AE29" s="16">
        <v>4.0000000000000001E-3</v>
      </c>
    </row>
    <row r="30" spans="1:31" x14ac:dyDescent="0.25">
      <c r="A30" t="s">
        <v>257</v>
      </c>
      <c r="B30" t="s">
        <v>1014</v>
      </c>
      <c r="C30" t="s">
        <v>1015</v>
      </c>
      <c r="D30" t="s">
        <v>261</v>
      </c>
      <c r="E30">
        <v>17.903934</v>
      </c>
      <c r="F30">
        <v>18.059000000000001</v>
      </c>
      <c r="G30">
        <v>18.239118999999999</v>
      </c>
      <c r="H30">
        <v>18.413471000000001</v>
      </c>
      <c r="I30">
        <v>18.583286000000001</v>
      </c>
      <c r="J30">
        <v>18.752941</v>
      </c>
      <c r="K30">
        <v>18.924945999999998</v>
      </c>
      <c r="L30">
        <v>19.099779000000002</v>
      </c>
      <c r="M30">
        <v>19.278462999999999</v>
      </c>
      <c r="N30">
        <v>19.461161000000001</v>
      </c>
      <c r="O30">
        <v>19.647843999999999</v>
      </c>
      <c r="P30">
        <v>19.838217</v>
      </c>
      <c r="Q30">
        <v>20.030611</v>
      </c>
      <c r="R30">
        <v>20.215233000000001</v>
      </c>
      <c r="S30">
        <v>20.391752</v>
      </c>
      <c r="T30">
        <v>20.560534000000001</v>
      </c>
      <c r="U30">
        <v>20.717485</v>
      </c>
      <c r="V30">
        <v>20.864053999999999</v>
      </c>
      <c r="W30">
        <v>21.002776999999998</v>
      </c>
      <c r="X30">
        <v>21.134754000000001</v>
      </c>
      <c r="Y30">
        <v>21.261448000000001</v>
      </c>
      <c r="Z30">
        <v>21.383445999999999</v>
      </c>
      <c r="AA30">
        <v>21.500990000000002</v>
      </c>
      <c r="AB30">
        <v>21.614332000000001</v>
      </c>
      <c r="AC30">
        <v>21.723607999999999</v>
      </c>
      <c r="AD30">
        <v>21.829004000000001</v>
      </c>
      <c r="AE30" s="16">
        <v>8.0000000000000002E-3</v>
      </c>
    </row>
    <row r="31" spans="1:31" x14ac:dyDescent="0.25">
      <c r="A31" t="s">
        <v>258</v>
      </c>
      <c r="B31" t="s">
        <v>1016</v>
      </c>
      <c r="C31" t="s">
        <v>1017</v>
      </c>
      <c r="D31" t="s">
        <v>261</v>
      </c>
      <c r="E31">
        <v>21.484148000000001</v>
      </c>
      <c r="F31">
        <v>22.011977999999999</v>
      </c>
      <c r="G31">
        <v>22.458651</v>
      </c>
      <c r="H31">
        <v>22.905676</v>
      </c>
      <c r="I31">
        <v>23.354492</v>
      </c>
      <c r="J31">
        <v>23.810555000000001</v>
      </c>
      <c r="K31">
        <v>24.277159000000001</v>
      </c>
      <c r="L31">
        <v>24.755137999999999</v>
      </c>
      <c r="M31">
        <v>25.246082000000001</v>
      </c>
      <c r="N31">
        <v>25.750494</v>
      </c>
      <c r="O31">
        <v>26.268657999999999</v>
      </c>
      <c r="P31">
        <v>26.800498999999999</v>
      </c>
      <c r="Q31">
        <v>27.344082</v>
      </c>
      <c r="R31">
        <v>27.886296999999999</v>
      </c>
      <c r="S31">
        <v>28.426553999999999</v>
      </c>
      <c r="T31">
        <v>28.965183</v>
      </c>
      <c r="U31">
        <v>29.496269000000002</v>
      </c>
      <c r="V31">
        <v>30.021540000000002</v>
      </c>
      <c r="W31">
        <v>30.544353000000001</v>
      </c>
      <c r="X31">
        <v>31.066155999999999</v>
      </c>
      <c r="Y31">
        <v>31.588954999999999</v>
      </c>
      <c r="Z31">
        <v>32.113585999999998</v>
      </c>
      <c r="AA31">
        <v>32.640377000000001</v>
      </c>
      <c r="AB31">
        <v>33.169704000000003</v>
      </c>
      <c r="AC31">
        <v>33.701777999999997</v>
      </c>
      <c r="AD31">
        <v>34.236904000000003</v>
      </c>
      <c r="AE31" s="16">
        <v>1.9E-2</v>
      </c>
    </row>
    <row r="32" spans="1:31" x14ac:dyDescent="0.25">
      <c r="A32" t="s">
        <v>259</v>
      </c>
      <c r="B32" t="s">
        <v>1018</v>
      </c>
      <c r="C32" t="s">
        <v>1019</v>
      </c>
      <c r="D32" t="s">
        <v>261</v>
      </c>
      <c r="E32">
        <v>6.0924969999999998</v>
      </c>
      <c r="F32">
        <v>6.1809770000000004</v>
      </c>
      <c r="G32">
        <v>6.2800529999999997</v>
      </c>
      <c r="H32">
        <v>6.3786529999999999</v>
      </c>
      <c r="I32">
        <v>6.4771900000000002</v>
      </c>
      <c r="J32">
        <v>6.5771879999999996</v>
      </c>
      <c r="K32">
        <v>6.6795450000000001</v>
      </c>
      <c r="L32">
        <v>6.7844759999999997</v>
      </c>
      <c r="M32">
        <v>6.8923870000000003</v>
      </c>
      <c r="N32">
        <v>7.0033950000000003</v>
      </c>
      <c r="O32">
        <v>7.1175459999999999</v>
      </c>
      <c r="P32">
        <v>7.2347960000000002</v>
      </c>
      <c r="Q32">
        <v>7.3545949999999998</v>
      </c>
      <c r="R32">
        <v>7.4733989999999997</v>
      </c>
      <c r="S32">
        <v>7.5910659999999996</v>
      </c>
      <c r="T32">
        <v>7.7077080000000002</v>
      </c>
      <c r="U32">
        <v>7.8217679999999996</v>
      </c>
      <c r="V32">
        <v>7.9337369999999998</v>
      </c>
      <c r="W32">
        <v>8.0445349999999998</v>
      </c>
      <c r="X32">
        <v>8.1545570000000005</v>
      </c>
      <c r="Y32">
        <v>8.264348</v>
      </c>
      <c r="Z32">
        <v>8.3741319999999995</v>
      </c>
      <c r="AA32">
        <v>8.4840070000000001</v>
      </c>
      <c r="AB32">
        <v>8.5940700000000003</v>
      </c>
      <c r="AC32">
        <v>8.7043839999999992</v>
      </c>
      <c r="AD32">
        <v>8.8150259999999996</v>
      </c>
      <c r="AE32" s="16">
        <v>1.4999999999999999E-2</v>
      </c>
    </row>
    <row r="33" spans="1:31" x14ac:dyDescent="0.25">
      <c r="A33" t="s">
        <v>191</v>
      </c>
      <c r="B33" t="s">
        <v>1020</v>
      </c>
      <c r="C33" t="s">
        <v>1021</v>
      </c>
      <c r="D33" t="s">
        <v>261</v>
      </c>
      <c r="E33">
        <v>104.64386</v>
      </c>
      <c r="F33">
        <v>105.867554</v>
      </c>
      <c r="G33">
        <v>107.04987300000001</v>
      </c>
      <c r="H33">
        <v>108.210464</v>
      </c>
      <c r="I33">
        <v>109.35655199999999</v>
      </c>
      <c r="J33">
        <v>110.513992</v>
      </c>
      <c r="K33">
        <v>111.697701</v>
      </c>
      <c r="L33">
        <v>112.91074399999999</v>
      </c>
      <c r="M33">
        <v>114.159477</v>
      </c>
      <c r="N33">
        <v>115.44519</v>
      </c>
      <c r="O33">
        <v>116.768074</v>
      </c>
      <c r="P33">
        <v>118.12674699999999</v>
      </c>
      <c r="Q33">
        <v>119.511673</v>
      </c>
      <c r="R33">
        <v>120.864799</v>
      </c>
      <c r="S33">
        <v>122.184166</v>
      </c>
      <c r="T33">
        <v>123.471962</v>
      </c>
      <c r="U33">
        <v>124.70359000000001</v>
      </c>
      <c r="V33">
        <v>125.88761100000001</v>
      </c>
      <c r="W33">
        <v>127.039177</v>
      </c>
      <c r="X33">
        <v>128.16529800000001</v>
      </c>
      <c r="Y33">
        <v>129.275116</v>
      </c>
      <c r="Z33">
        <v>130.37233000000001</v>
      </c>
      <c r="AA33">
        <v>131.45845</v>
      </c>
      <c r="AB33">
        <v>132.53509500000001</v>
      </c>
      <c r="AC33">
        <v>133.603241</v>
      </c>
      <c r="AD33">
        <v>134.664108</v>
      </c>
      <c r="AE33" s="16">
        <v>0.01</v>
      </c>
    </row>
    <row r="34" spans="1:31" x14ac:dyDescent="0.25">
      <c r="A34" t="s">
        <v>3</v>
      </c>
    </row>
    <row r="35" spans="1:31" x14ac:dyDescent="0.25">
      <c r="A35" t="s">
        <v>229</v>
      </c>
    </row>
    <row r="36" spans="1:31" x14ac:dyDescent="0.25">
      <c r="A36" t="s">
        <v>147</v>
      </c>
      <c r="B36" t="s">
        <v>1022</v>
      </c>
      <c r="C36" t="s">
        <v>1023</v>
      </c>
      <c r="D36" t="s">
        <v>262</v>
      </c>
      <c r="E36">
        <v>1.611694</v>
      </c>
      <c r="F36">
        <v>1.5902579999999999</v>
      </c>
      <c r="G36">
        <v>1.569868</v>
      </c>
      <c r="H36">
        <v>1.550575</v>
      </c>
      <c r="I36">
        <v>1.5355589999999999</v>
      </c>
      <c r="J36">
        <v>1.516059</v>
      </c>
      <c r="K36">
        <v>1.498035</v>
      </c>
      <c r="L36">
        <v>1.4811970000000001</v>
      </c>
      <c r="M36">
        <v>1.4656279999999999</v>
      </c>
      <c r="N36">
        <v>1.451155</v>
      </c>
      <c r="O36">
        <v>1.4375770000000001</v>
      </c>
      <c r="P36">
        <v>1.4248559999999999</v>
      </c>
      <c r="Q36">
        <v>1.4131100000000001</v>
      </c>
      <c r="R36">
        <v>1.40228</v>
      </c>
      <c r="S36">
        <v>1.3922019999999999</v>
      </c>
      <c r="T36">
        <v>1.382776</v>
      </c>
      <c r="U36">
        <v>1.3739710000000001</v>
      </c>
      <c r="V36">
        <v>1.3658380000000001</v>
      </c>
      <c r="W36">
        <v>1.3582099999999999</v>
      </c>
      <c r="X36">
        <v>1.3510359999999999</v>
      </c>
      <c r="Y36">
        <v>1.3443000000000001</v>
      </c>
      <c r="Z36">
        <v>1.338114</v>
      </c>
      <c r="AA36">
        <v>1.332384</v>
      </c>
      <c r="AB36">
        <v>1.3270960000000001</v>
      </c>
      <c r="AC36">
        <v>1.322114</v>
      </c>
      <c r="AD36">
        <v>1.3175330000000001</v>
      </c>
      <c r="AE36" s="16">
        <v>-8.0000000000000002E-3</v>
      </c>
    </row>
    <row r="37" spans="1:31" x14ac:dyDescent="0.25">
      <c r="A37" t="s">
        <v>197</v>
      </c>
      <c r="B37" t="s">
        <v>1024</v>
      </c>
      <c r="C37" t="s">
        <v>1025</v>
      </c>
      <c r="D37" t="s">
        <v>262</v>
      </c>
      <c r="E37">
        <v>0.81991400000000003</v>
      </c>
      <c r="F37">
        <v>0.81965699999999997</v>
      </c>
      <c r="G37">
        <v>0.81940500000000005</v>
      </c>
      <c r="H37">
        <v>0.81916</v>
      </c>
      <c r="I37">
        <v>0.81892100000000001</v>
      </c>
      <c r="J37">
        <v>0.81868600000000002</v>
      </c>
      <c r="K37">
        <v>0.81845699999999999</v>
      </c>
      <c r="L37">
        <v>0.81823100000000004</v>
      </c>
      <c r="M37">
        <v>0.81800899999999999</v>
      </c>
      <c r="N37">
        <v>0.81779400000000002</v>
      </c>
      <c r="O37">
        <v>0.81758200000000003</v>
      </c>
      <c r="P37">
        <v>0.81737300000000002</v>
      </c>
      <c r="Q37">
        <v>0.81716999999999995</v>
      </c>
      <c r="R37">
        <v>0.81697200000000003</v>
      </c>
      <c r="S37">
        <v>0.81677999999999995</v>
      </c>
      <c r="T37">
        <v>0.81659199999999998</v>
      </c>
      <c r="U37">
        <v>0.81641200000000003</v>
      </c>
      <c r="V37">
        <v>0.81623699999999999</v>
      </c>
      <c r="W37">
        <v>0.81606699999999999</v>
      </c>
      <c r="X37">
        <v>0.81590099999999999</v>
      </c>
      <c r="Y37">
        <v>0.81574000000000002</v>
      </c>
      <c r="Z37">
        <v>0.81558399999999998</v>
      </c>
      <c r="AA37">
        <v>0.81543100000000002</v>
      </c>
      <c r="AB37">
        <v>0.81528299999999998</v>
      </c>
      <c r="AC37">
        <v>0.81513899999999995</v>
      </c>
      <c r="AD37">
        <v>0.81499900000000003</v>
      </c>
      <c r="AE37" s="16">
        <v>0</v>
      </c>
    </row>
    <row r="38" spans="1:31" x14ac:dyDescent="0.25">
      <c r="A38" t="s">
        <v>187</v>
      </c>
      <c r="B38" t="s">
        <v>1026</v>
      </c>
      <c r="C38" t="s">
        <v>1027</v>
      </c>
      <c r="D38" t="s">
        <v>262</v>
      </c>
      <c r="E38">
        <v>0.84088200000000002</v>
      </c>
      <c r="F38">
        <v>0.84102900000000003</v>
      </c>
      <c r="G38">
        <v>0.84115099999999998</v>
      </c>
      <c r="H38">
        <v>0.84123400000000004</v>
      </c>
      <c r="I38">
        <v>0.84128000000000003</v>
      </c>
      <c r="J38">
        <v>0.84129299999999996</v>
      </c>
      <c r="K38">
        <v>0.84128400000000003</v>
      </c>
      <c r="L38">
        <v>0.84125700000000003</v>
      </c>
      <c r="M38">
        <v>0.84121699999999999</v>
      </c>
      <c r="N38">
        <v>0.84115200000000001</v>
      </c>
      <c r="O38">
        <v>0.84107600000000005</v>
      </c>
      <c r="P38">
        <v>0.84098600000000001</v>
      </c>
      <c r="Q38">
        <v>0.84087199999999995</v>
      </c>
      <c r="R38">
        <v>0.84075</v>
      </c>
      <c r="S38">
        <v>0.84062099999999995</v>
      </c>
      <c r="T38">
        <v>0.84048400000000001</v>
      </c>
      <c r="U38">
        <v>0.84034200000000003</v>
      </c>
      <c r="V38">
        <v>0.84019299999999997</v>
      </c>
      <c r="W38">
        <v>0.84003700000000003</v>
      </c>
      <c r="X38">
        <v>0.83987599999999996</v>
      </c>
      <c r="Y38">
        <v>0.83970900000000004</v>
      </c>
      <c r="Z38">
        <v>0.83954099999999998</v>
      </c>
      <c r="AA38">
        <v>0.839368</v>
      </c>
      <c r="AB38">
        <v>0.83919299999999997</v>
      </c>
      <c r="AC38">
        <v>0.83901599999999998</v>
      </c>
      <c r="AD38">
        <v>0.83883700000000005</v>
      </c>
      <c r="AE38" s="16">
        <v>0</v>
      </c>
    </row>
    <row r="39" spans="1:31" x14ac:dyDescent="0.25">
      <c r="A39" t="s">
        <v>213</v>
      </c>
    </row>
    <row r="40" spans="1:31" x14ac:dyDescent="0.25">
      <c r="A40" t="s">
        <v>147</v>
      </c>
      <c r="B40" t="s">
        <v>1028</v>
      </c>
      <c r="C40" t="s">
        <v>1029</v>
      </c>
      <c r="D40" t="s">
        <v>262</v>
      </c>
      <c r="E40">
        <v>4.2647890000000004</v>
      </c>
      <c r="F40">
        <v>4.2867470000000001</v>
      </c>
      <c r="G40">
        <v>4.3096969999999999</v>
      </c>
      <c r="H40">
        <v>4.3306370000000003</v>
      </c>
      <c r="I40">
        <v>4.3498130000000002</v>
      </c>
      <c r="J40">
        <v>4.370806</v>
      </c>
      <c r="K40">
        <v>4.3903400000000001</v>
      </c>
      <c r="L40">
        <v>4.4086069999999999</v>
      </c>
      <c r="M40">
        <v>4.4257059999999999</v>
      </c>
      <c r="N40">
        <v>4.4416120000000001</v>
      </c>
      <c r="O40">
        <v>4.4564349999999999</v>
      </c>
      <c r="P40">
        <v>4.4702089999999997</v>
      </c>
      <c r="Q40">
        <v>4.4829800000000004</v>
      </c>
      <c r="R40">
        <v>4.494631</v>
      </c>
      <c r="S40">
        <v>4.5052960000000004</v>
      </c>
      <c r="T40">
        <v>4.5150449999999998</v>
      </c>
      <c r="U40">
        <v>4.5237550000000004</v>
      </c>
      <c r="V40">
        <v>4.5317080000000001</v>
      </c>
      <c r="W40">
        <v>4.5389160000000004</v>
      </c>
      <c r="X40">
        <v>4.5454350000000003</v>
      </c>
      <c r="Y40">
        <v>4.5512860000000002</v>
      </c>
      <c r="Z40">
        <v>4.5564140000000002</v>
      </c>
      <c r="AA40">
        <v>4.5610140000000001</v>
      </c>
      <c r="AB40">
        <v>4.5651229999999998</v>
      </c>
      <c r="AC40">
        <v>4.5687129999999998</v>
      </c>
      <c r="AD40">
        <v>4.5718509999999997</v>
      </c>
      <c r="AE40" s="16">
        <v>3.0000000000000001E-3</v>
      </c>
    </row>
    <row r="41" spans="1:31" x14ac:dyDescent="0.25">
      <c r="A41" t="s">
        <v>197</v>
      </c>
      <c r="B41" t="s">
        <v>1030</v>
      </c>
      <c r="C41" t="s">
        <v>1031</v>
      </c>
      <c r="D41" t="s">
        <v>262</v>
      </c>
      <c r="E41">
        <v>1.0030939999999999</v>
      </c>
      <c r="F41">
        <v>1.009228</v>
      </c>
      <c r="G41">
        <v>1.020618</v>
      </c>
      <c r="H41">
        <v>1.031649</v>
      </c>
      <c r="I41">
        <v>1.0424089999999999</v>
      </c>
      <c r="J41">
        <v>1.0529649999999999</v>
      </c>
      <c r="K41">
        <v>1.0632980000000001</v>
      </c>
      <c r="L41">
        <v>1.073342</v>
      </c>
      <c r="M41">
        <v>1.0831729999999999</v>
      </c>
      <c r="N41">
        <v>1.0926439999999999</v>
      </c>
      <c r="O41">
        <v>1.101766</v>
      </c>
      <c r="P41">
        <v>1.110535</v>
      </c>
      <c r="Q41">
        <v>1.1188830000000001</v>
      </c>
      <c r="R41">
        <v>1.1267309999999999</v>
      </c>
      <c r="S41">
        <v>1.1340840000000001</v>
      </c>
      <c r="T41">
        <v>1.14096</v>
      </c>
      <c r="U41">
        <v>1.147324</v>
      </c>
      <c r="V41">
        <v>1.1532560000000001</v>
      </c>
      <c r="W41">
        <v>1.1587780000000001</v>
      </c>
      <c r="X41">
        <v>1.1639219999999999</v>
      </c>
      <c r="Y41">
        <v>1.1687259999999999</v>
      </c>
      <c r="Z41">
        <v>1.1732119999999999</v>
      </c>
      <c r="AA41">
        <v>1.1773709999999999</v>
      </c>
      <c r="AB41">
        <v>1.1812579999999999</v>
      </c>
      <c r="AC41">
        <v>1.1848320000000001</v>
      </c>
      <c r="AD41">
        <v>1.1881630000000001</v>
      </c>
      <c r="AE41" s="16">
        <v>7.0000000000000001E-3</v>
      </c>
    </row>
    <row r="42" spans="1:31" x14ac:dyDescent="0.25">
      <c r="A42" t="s">
        <v>263</v>
      </c>
    </row>
    <row r="43" spans="1:31" x14ac:dyDescent="0.25">
      <c r="A43" t="s">
        <v>147</v>
      </c>
      <c r="B43" t="s">
        <v>1032</v>
      </c>
      <c r="C43" t="s">
        <v>1033</v>
      </c>
      <c r="D43" t="s">
        <v>262</v>
      </c>
      <c r="E43">
        <v>1.0860939999999999</v>
      </c>
      <c r="F43">
        <v>1.0929279999999999</v>
      </c>
      <c r="G43">
        <v>1.0992379999999999</v>
      </c>
      <c r="H43">
        <v>1.10484</v>
      </c>
      <c r="I43">
        <v>1.1098619999999999</v>
      </c>
      <c r="J43">
        <v>1.1154219999999999</v>
      </c>
      <c r="K43">
        <v>1.1210059999999999</v>
      </c>
      <c r="L43">
        <v>1.126871</v>
      </c>
      <c r="M43">
        <v>1.1328210000000001</v>
      </c>
      <c r="N43">
        <v>1.1389549999999999</v>
      </c>
      <c r="O43">
        <v>1.145254</v>
      </c>
      <c r="P43">
        <v>1.151437</v>
      </c>
      <c r="Q43">
        <v>1.157699</v>
      </c>
      <c r="R43">
        <v>1.1639459999999999</v>
      </c>
      <c r="S43">
        <v>1.1700079999999999</v>
      </c>
      <c r="T43">
        <v>1.1761109999999999</v>
      </c>
      <c r="U43">
        <v>1.182083</v>
      </c>
      <c r="V43">
        <v>1.1879249999999999</v>
      </c>
      <c r="W43">
        <v>1.193576</v>
      </c>
      <c r="X43">
        <v>1.199147</v>
      </c>
      <c r="Y43">
        <v>1.2046859999999999</v>
      </c>
      <c r="Z43">
        <v>1.2100569999999999</v>
      </c>
      <c r="AA43">
        <v>1.2154780000000001</v>
      </c>
      <c r="AB43">
        <v>1.220788</v>
      </c>
      <c r="AC43">
        <v>1.2260869999999999</v>
      </c>
      <c r="AD43">
        <v>1.231252</v>
      </c>
      <c r="AE43" s="16">
        <v>5.0000000000000001E-3</v>
      </c>
    </row>
    <row r="44" spans="1:31" x14ac:dyDescent="0.25">
      <c r="A44" t="s">
        <v>197</v>
      </c>
      <c r="B44" t="s">
        <v>1034</v>
      </c>
      <c r="C44" t="s">
        <v>1035</v>
      </c>
      <c r="D44" t="s">
        <v>262</v>
      </c>
      <c r="E44">
        <v>0.87305100000000002</v>
      </c>
      <c r="F44">
        <v>0.87764900000000001</v>
      </c>
      <c r="G44">
        <v>0.88653300000000002</v>
      </c>
      <c r="H44">
        <v>0.89443799999999996</v>
      </c>
      <c r="I44">
        <v>0.90148300000000003</v>
      </c>
      <c r="J44">
        <v>0.90777600000000003</v>
      </c>
      <c r="K44">
        <v>0.91338299999999994</v>
      </c>
      <c r="L44">
        <v>0.91837299999999999</v>
      </c>
      <c r="M44">
        <v>0.92281400000000002</v>
      </c>
      <c r="N44">
        <v>0.92675300000000005</v>
      </c>
      <c r="O44">
        <v>0.93027599999999999</v>
      </c>
      <c r="P44">
        <v>0.93339099999999997</v>
      </c>
      <c r="Q44">
        <v>0.93615300000000001</v>
      </c>
      <c r="R44">
        <v>0.938612</v>
      </c>
      <c r="S44">
        <v>0.94076199999999999</v>
      </c>
      <c r="T44">
        <v>0.94264499999999996</v>
      </c>
      <c r="U44">
        <v>0.94428999999999996</v>
      </c>
      <c r="V44">
        <v>0.94574100000000005</v>
      </c>
      <c r="W44">
        <v>0.94699999999999995</v>
      </c>
      <c r="X44">
        <v>0.94810300000000003</v>
      </c>
      <c r="Y44">
        <v>0.94908099999999995</v>
      </c>
      <c r="Z44">
        <v>0.94993899999999998</v>
      </c>
      <c r="AA44">
        <v>0.95069199999999998</v>
      </c>
      <c r="AB44">
        <v>0.95135199999999998</v>
      </c>
      <c r="AC44">
        <v>0.95193000000000005</v>
      </c>
      <c r="AD44">
        <v>0.95243699999999998</v>
      </c>
      <c r="AE44" s="16">
        <v>3.0000000000000001E-3</v>
      </c>
    </row>
    <row r="45" spans="1:31" x14ac:dyDescent="0.25">
      <c r="A45" t="s">
        <v>187</v>
      </c>
      <c r="B45" t="s">
        <v>1036</v>
      </c>
      <c r="C45" t="s">
        <v>1037</v>
      </c>
      <c r="D45" t="s">
        <v>262</v>
      </c>
      <c r="E45">
        <v>0.81251099999999998</v>
      </c>
      <c r="F45">
        <v>0.813056</v>
      </c>
      <c r="G45">
        <v>0.81356499999999998</v>
      </c>
      <c r="H45">
        <v>0.81404200000000004</v>
      </c>
      <c r="I45">
        <v>0.81448699999999996</v>
      </c>
      <c r="J45">
        <v>0.81490300000000004</v>
      </c>
      <c r="K45">
        <v>0.81529099999999999</v>
      </c>
      <c r="L45">
        <v>0.81565299999999996</v>
      </c>
      <c r="M45">
        <v>0.81599100000000002</v>
      </c>
      <c r="N45">
        <v>0.81630599999999998</v>
      </c>
      <c r="O45">
        <v>0.81659800000000005</v>
      </c>
      <c r="P45">
        <v>0.81686899999999996</v>
      </c>
      <c r="Q45">
        <v>0.81711999999999996</v>
      </c>
      <c r="R45">
        <v>0.81735100000000005</v>
      </c>
      <c r="S45">
        <v>0.81756499999999999</v>
      </c>
      <c r="T45">
        <v>0.81776099999999996</v>
      </c>
      <c r="U45">
        <v>0.81794100000000003</v>
      </c>
      <c r="V45">
        <v>0.81810700000000003</v>
      </c>
      <c r="W45">
        <v>0.81825999999999999</v>
      </c>
      <c r="X45">
        <v>0.81840000000000002</v>
      </c>
      <c r="Y45">
        <v>0.81852899999999995</v>
      </c>
      <c r="Z45">
        <v>0.81864800000000004</v>
      </c>
      <c r="AA45">
        <v>0.81875699999999996</v>
      </c>
      <c r="AB45">
        <v>0.81885799999999997</v>
      </c>
      <c r="AC45">
        <v>0.81894999999999996</v>
      </c>
      <c r="AD45">
        <v>0.81903499999999996</v>
      </c>
      <c r="AE45" s="16">
        <v>0</v>
      </c>
    </row>
    <row r="46" spans="1:31" x14ac:dyDescent="0.25">
      <c r="A46" t="s">
        <v>264</v>
      </c>
    </row>
    <row r="47" spans="1:31" x14ac:dyDescent="0.25">
      <c r="A47" t="s">
        <v>147</v>
      </c>
      <c r="B47" t="s">
        <v>1038</v>
      </c>
      <c r="C47" t="s">
        <v>1039</v>
      </c>
      <c r="D47" t="s">
        <v>265</v>
      </c>
      <c r="E47">
        <v>0.37168299999999999</v>
      </c>
      <c r="F47">
        <v>0.37310500000000002</v>
      </c>
      <c r="G47">
        <v>0.37448900000000002</v>
      </c>
      <c r="H47">
        <v>0.37581999999999999</v>
      </c>
      <c r="I47">
        <v>0.37710100000000002</v>
      </c>
      <c r="J47">
        <v>0.37958999999999998</v>
      </c>
      <c r="K47">
        <v>0.38198599999999999</v>
      </c>
      <c r="L47">
        <v>0.38428400000000001</v>
      </c>
      <c r="M47">
        <v>0.386488</v>
      </c>
      <c r="N47">
        <v>0.38860099999999997</v>
      </c>
      <c r="O47">
        <v>0.390627</v>
      </c>
      <c r="P47">
        <v>0.392567</v>
      </c>
      <c r="Q47">
        <v>0.394424</v>
      </c>
      <c r="R47">
        <v>0.39618700000000001</v>
      </c>
      <c r="S47">
        <v>0.397868</v>
      </c>
      <c r="T47">
        <v>0.39946799999999999</v>
      </c>
      <c r="U47">
        <v>0.40098699999999998</v>
      </c>
      <c r="V47">
        <v>0.40242800000000001</v>
      </c>
      <c r="W47">
        <v>0.40379500000000002</v>
      </c>
      <c r="X47">
        <v>0.40509800000000001</v>
      </c>
      <c r="Y47">
        <v>0.40634199999999998</v>
      </c>
      <c r="Z47">
        <v>0.40752899999999997</v>
      </c>
      <c r="AA47">
        <v>0.408663</v>
      </c>
      <c r="AB47">
        <v>0.40974699999999997</v>
      </c>
      <c r="AC47">
        <v>0.41078399999999998</v>
      </c>
      <c r="AD47">
        <v>0.41177799999999998</v>
      </c>
      <c r="AE47" s="16">
        <v>4.0000000000000001E-3</v>
      </c>
    </row>
    <row r="48" spans="1:31" x14ac:dyDescent="0.25">
      <c r="A48" t="s">
        <v>266</v>
      </c>
    </row>
    <row r="49" spans="1:31" x14ac:dyDescent="0.25">
      <c r="A49" t="s">
        <v>147</v>
      </c>
      <c r="B49" t="s">
        <v>1040</v>
      </c>
      <c r="C49" t="s">
        <v>1041</v>
      </c>
      <c r="D49" t="s">
        <v>262</v>
      </c>
      <c r="E49">
        <v>0.70862199999999997</v>
      </c>
      <c r="F49">
        <v>0.70909699999999998</v>
      </c>
      <c r="G49">
        <v>0.70952999999999999</v>
      </c>
      <c r="H49">
        <v>0.70992100000000002</v>
      </c>
      <c r="I49">
        <v>0.71027600000000002</v>
      </c>
      <c r="J49">
        <v>0.71059700000000003</v>
      </c>
      <c r="K49">
        <v>0.71088899999999999</v>
      </c>
      <c r="L49">
        <v>0.71115499999999998</v>
      </c>
      <c r="M49">
        <v>0.71139699999999995</v>
      </c>
      <c r="N49">
        <v>0.71161600000000003</v>
      </c>
      <c r="O49">
        <v>0.71181499999999998</v>
      </c>
      <c r="P49">
        <v>0.71199599999999996</v>
      </c>
      <c r="Q49">
        <v>0.71216000000000002</v>
      </c>
      <c r="R49">
        <v>0.71230800000000005</v>
      </c>
      <c r="S49">
        <v>0.71244200000000002</v>
      </c>
      <c r="T49">
        <v>0.71256299999999995</v>
      </c>
      <c r="U49">
        <v>0.712673</v>
      </c>
      <c r="V49">
        <v>0.71277199999999996</v>
      </c>
      <c r="W49">
        <v>0.712862</v>
      </c>
      <c r="X49">
        <v>0.71294299999999999</v>
      </c>
      <c r="Y49">
        <v>0.71301599999999998</v>
      </c>
      <c r="Z49">
        <v>0.71308400000000005</v>
      </c>
      <c r="AA49">
        <v>0.713144</v>
      </c>
      <c r="AB49">
        <v>0.71319900000000003</v>
      </c>
      <c r="AC49">
        <v>0.71324900000000002</v>
      </c>
      <c r="AD49">
        <v>0.71329500000000001</v>
      </c>
      <c r="AE49" s="16">
        <v>0</v>
      </c>
    </row>
    <row r="50" spans="1:31" x14ac:dyDescent="0.25">
      <c r="A50" t="s">
        <v>197</v>
      </c>
      <c r="B50" t="s">
        <v>1042</v>
      </c>
      <c r="C50" t="s">
        <v>1043</v>
      </c>
      <c r="D50" t="s">
        <v>262</v>
      </c>
      <c r="E50">
        <v>0.32548700000000003</v>
      </c>
      <c r="F50">
        <v>0.32808300000000001</v>
      </c>
      <c r="G50">
        <v>0.33044299999999999</v>
      </c>
      <c r="H50">
        <v>0.332563</v>
      </c>
      <c r="I50">
        <v>0.33446799999999999</v>
      </c>
      <c r="J50">
        <v>0.33618100000000001</v>
      </c>
      <c r="K50">
        <v>0.33772200000000002</v>
      </c>
      <c r="L50">
        <v>0.33910699999999999</v>
      </c>
      <c r="M50">
        <v>0.34035199999999999</v>
      </c>
      <c r="N50">
        <v>0.34146900000000002</v>
      </c>
      <c r="O50">
        <v>0.34247100000000003</v>
      </c>
      <c r="P50">
        <v>0.34337000000000001</v>
      </c>
      <c r="Q50">
        <v>0.34417300000000001</v>
      </c>
      <c r="R50">
        <v>0.34488999999999997</v>
      </c>
      <c r="S50">
        <v>0.34552699999999997</v>
      </c>
      <c r="T50">
        <v>0.34609600000000001</v>
      </c>
      <c r="U50">
        <v>0.34660099999999999</v>
      </c>
      <c r="V50">
        <v>0.347051</v>
      </c>
      <c r="W50">
        <v>0.34745300000000001</v>
      </c>
      <c r="X50">
        <v>0.34781200000000001</v>
      </c>
      <c r="Y50">
        <v>0.348132</v>
      </c>
      <c r="Z50">
        <v>0.34841800000000001</v>
      </c>
      <c r="AA50">
        <v>0.34867399999999998</v>
      </c>
      <c r="AB50">
        <v>0.34890300000000002</v>
      </c>
      <c r="AC50">
        <v>0.34910799999999997</v>
      </c>
      <c r="AD50">
        <v>0.34929100000000002</v>
      </c>
      <c r="AE50" s="16">
        <v>3.0000000000000001E-3</v>
      </c>
    </row>
    <row r="51" spans="1:31" x14ac:dyDescent="0.25">
      <c r="A51" t="s">
        <v>267</v>
      </c>
    </row>
    <row r="52" spans="1:31" x14ac:dyDescent="0.25">
      <c r="A52" t="s">
        <v>268</v>
      </c>
    </row>
    <row r="53" spans="1:31" x14ac:dyDescent="0.25">
      <c r="A53" t="s">
        <v>147</v>
      </c>
      <c r="B53" t="s">
        <v>1044</v>
      </c>
      <c r="C53" t="s">
        <v>1045</v>
      </c>
      <c r="D53" t="s">
        <v>269</v>
      </c>
      <c r="E53">
        <v>78.271636999999998</v>
      </c>
      <c r="F53">
        <v>80.704407000000003</v>
      </c>
      <c r="G53">
        <v>82.682709000000003</v>
      </c>
      <c r="H53">
        <v>84.229759000000001</v>
      </c>
      <c r="I53">
        <v>85.484015999999997</v>
      </c>
      <c r="J53">
        <v>88.223968999999997</v>
      </c>
      <c r="K53">
        <v>90.848563999999996</v>
      </c>
      <c r="L53">
        <v>93.352585000000005</v>
      </c>
      <c r="M53">
        <v>95.808021999999994</v>
      </c>
      <c r="N53">
        <v>98.273032999999998</v>
      </c>
      <c r="O53">
        <v>100.804047</v>
      </c>
      <c r="P53">
        <v>103.21315800000001</v>
      </c>
      <c r="Q53">
        <v>105.421066</v>
      </c>
      <c r="R53">
        <v>107.432793</v>
      </c>
      <c r="S53">
        <v>109.255386</v>
      </c>
      <c r="T53">
        <v>111.59787</v>
      </c>
      <c r="U53">
        <v>113.729668</v>
      </c>
      <c r="V53">
        <v>115.62436700000001</v>
      </c>
      <c r="W53">
        <v>117.33530399999999</v>
      </c>
      <c r="X53">
        <v>118.884911</v>
      </c>
      <c r="Y53">
        <v>120.289078</v>
      </c>
      <c r="Z53">
        <v>121.55772399999999</v>
      </c>
      <c r="AA53">
        <v>122.71225</v>
      </c>
      <c r="AB53">
        <v>123.77965500000001</v>
      </c>
      <c r="AC53">
        <v>124.767273</v>
      </c>
      <c r="AD53">
        <v>125.68085499999999</v>
      </c>
      <c r="AE53" s="16">
        <v>1.9E-2</v>
      </c>
    </row>
    <row r="54" spans="1:31" x14ac:dyDescent="0.25">
      <c r="A54" t="s">
        <v>270</v>
      </c>
    </row>
    <row r="55" spans="1:31" x14ac:dyDescent="0.25">
      <c r="A55" t="s">
        <v>147</v>
      </c>
      <c r="B55" t="s">
        <v>1046</v>
      </c>
      <c r="C55" t="s">
        <v>1047</v>
      </c>
      <c r="D55" t="s">
        <v>262</v>
      </c>
      <c r="E55">
        <v>3.683748</v>
      </c>
      <c r="F55">
        <v>3.7150569999999998</v>
      </c>
      <c r="G55">
        <v>3.7427199999999998</v>
      </c>
      <c r="H55">
        <v>3.7673489999999998</v>
      </c>
      <c r="I55">
        <v>3.7892610000000002</v>
      </c>
      <c r="J55">
        <v>3.8197049999999999</v>
      </c>
      <c r="K55">
        <v>3.8468360000000001</v>
      </c>
      <c r="L55">
        <v>3.8711229999999999</v>
      </c>
      <c r="M55">
        <v>3.8928539999999998</v>
      </c>
      <c r="N55">
        <v>3.9122710000000001</v>
      </c>
      <c r="O55">
        <v>3.9296340000000001</v>
      </c>
      <c r="P55">
        <v>3.945141</v>
      </c>
      <c r="Q55">
        <v>3.959022</v>
      </c>
      <c r="R55">
        <v>3.9713889999999998</v>
      </c>
      <c r="S55">
        <v>3.9824299999999999</v>
      </c>
      <c r="T55">
        <v>3.9923060000000001</v>
      </c>
      <c r="U55">
        <v>4.0010050000000001</v>
      </c>
      <c r="V55">
        <v>4.0088520000000001</v>
      </c>
      <c r="W55">
        <v>4.0158940000000003</v>
      </c>
      <c r="X55">
        <v>4.0222619999999996</v>
      </c>
      <c r="Y55">
        <v>4.0280120000000004</v>
      </c>
      <c r="Z55">
        <v>4.0332210000000002</v>
      </c>
      <c r="AA55">
        <v>4.0379889999999996</v>
      </c>
      <c r="AB55">
        <v>4.0423280000000004</v>
      </c>
      <c r="AC55">
        <v>4.0463009999999997</v>
      </c>
      <c r="AD55">
        <v>4.0499729999999996</v>
      </c>
      <c r="AE55" s="16">
        <v>4.0000000000000001E-3</v>
      </c>
    </row>
    <row r="56" spans="1:31" x14ac:dyDescent="0.25">
      <c r="A56" t="s">
        <v>234</v>
      </c>
    </row>
    <row r="57" spans="1:31" x14ac:dyDescent="0.25">
      <c r="A57" t="s">
        <v>235</v>
      </c>
    </row>
    <row r="58" spans="1:31" x14ac:dyDescent="0.25">
      <c r="A58" t="s">
        <v>175</v>
      </c>
    </row>
    <row r="59" spans="1:31" x14ac:dyDescent="0.25">
      <c r="A59" t="s">
        <v>271</v>
      </c>
      <c r="B59" t="s">
        <v>1048</v>
      </c>
      <c r="C59" t="s">
        <v>1049</v>
      </c>
      <c r="D59" t="s">
        <v>237</v>
      </c>
      <c r="E59">
        <v>1.4146000000000001E-2</v>
      </c>
      <c r="F59">
        <v>1.4146000000000001E-2</v>
      </c>
      <c r="G59">
        <v>1.4146000000000001E-2</v>
      </c>
      <c r="H59">
        <v>1.4146000000000001E-2</v>
      </c>
      <c r="I59">
        <v>1.4146000000000001E-2</v>
      </c>
      <c r="J59">
        <v>1.4146000000000001E-2</v>
      </c>
      <c r="K59">
        <v>1.4146000000000001E-2</v>
      </c>
      <c r="L59">
        <v>1.4146000000000001E-2</v>
      </c>
      <c r="M59">
        <v>1.4146000000000001E-2</v>
      </c>
      <c r="N59">
        <v>1.4146000000000001E-2</v>
      </c>
      <c r="O59">
        <v>1.4146000000000001E-2</v>
      </c>
      <c r="P59">
        <v>1.4146000000000001E-2</v>
      </c>
      <c r="Q59">
        <v>1.4146000000000001E-2</v>
      </c>
      <c r="R59">
        <v>1.4146000000000001E-2</v>
      </c>
      <c r="S59">
        <v>1.4146000000000001E-2</v>
      </c>
      <c r="T59">
        <v>1.4146000000000001E-2</v>
      </c>
      <c r="U59">
        <v>1.4146000000000001E-2</v>
      </c>
      <c r="V59">
        <v>1.4146000000000001E-2</v>
      </c>
      <c r="W59">
        <v>1.4146000000000001E-2</v>
      </c>
      <c r="X59">
        <v>1.4146000000000001E-2</v>
      </c>
      <c r="Y59">
        <v>1.4146000000000001E-2</v>
      </c>
      <c r="Z59">
        <v>1.4146000000000001E-2</v>
      </c>
      <c r="AA59">
        <v>1.4146000000000001E-2</v>
      </c>
      <c r="AB59">
        <v>1.4146000000000001E-2</v>
      </c>
      <c r="AC59">
        <v>1.4146000000000001E-2</v>
      </c>
      <c r="AD59">
        <v>1.4146000000000001E-2</v>
      </c>
      <c r="AE59" s="16">
        <v>0</v>
      </c>
    </row>
    <row r="60" spans="1:31" x14ac:dyDescent="0.25">
      <c r="A60" t="s">
        <v>197</v>
      </c>
      <c r="B60" t="s">
        <v>1050</v>
      </c>
      <c r="C60" t="s">
        <v>1051</v>
      </c>
      <c r="D60" t="s">
        <v>237</v>
      </c>
      <c r="E60">
        <v>1.508008</v>
      </c>
      <c r="F60">
        <v>1.540969</v>
      </c>
      <c r="G60">
        <v>1.5591250000000001</v>
      </c>
      <c r="H60">
        <v>1.5768690000000001</v>
      </c>
      <c r="I60">
        <v>1.5953949999999999</v>
      </c>
      <c r="J60">
        <v>1.615291</v>
      </c>
      <c r="K60">
        <v>1.6347609999999999</v>
      </c>
      <c r="L60">
        <v>1.6553439999999999</v>
      </c>
      <c r="M60">
        <v>1.676552</v>
      </c>
      <c r="N60">
        <v>1.7000949999999999</v>
      </c>
      <c r="O60">
        <v>1.7220139999999999</v>
      </c>
      <c r="P60">
        <v>1.744812</v>
      </c>
      <c r="Q60">
        <v>1.769997</v>
      </c>
      <c r="R60">
        <v>1.7934589999999999</v>
      </c>
      <c r="S60">
        <v>1.816316</v>
      </c>
      <c r="T60">
        <v>1.838228</v>
      </c>
      <c r="U60">
        <v>1.8584989999999999</v>
      </c>
      <c r="V60">
        <v>1.8810849999999999</v>
      </c>
      <c r="W60">
        <v>1.901162</v>
      </c>
      <c r="X60">
        <v>1.9211780000000001</v>
      </c>
      <c r="Y60">
        <v>1.9400839999999999</v>
      </c>
      <c r="Z60">
        <v>1.959433</v>
      </c>
      <c r="AA60">
        <v>1.979941</v>
      </c>
      <c r="AB60">
        <v>2.0000969999999998</v>
      </c>
      <c r="AC60">
        <v>2.019018</v>
      </c>
      <c r="AD60">
        <v>2.0390600000000001</v>
      </c>
      <c r="AE60" s="16">
        <v>1.2E-2</v>
      </c>
    </row>
    <row r="61" spans="1:31" x14ac:dyDescent="0.25">
      <c r="A61" t="s">
        <v>238</v>
      </c>
      <c r="B61" t="s">
        <v>1052</v>
      </c>
      <c r="C61" t="s">
        <v>1053</v>
      </c>
      <c r="D61" t="s">
        <v>237</v>
      </c>
      <c r="E61">
        <v>33.559604999999998</v>
      </c>
      <c r="F61">
        <v>37.794930000000001</v>
      </c>
      <c r="G61">
        <v>41.405586</v>
      </c>
      <c r="H61">
        <v>43.145611000000002</v>
      </c>
      <c r="I61">
        <v>44.266196999999998</v>
      </c>
      <c r="J61">
        <v>45.534084</v>
      </c>
      <c r="K61">
        <v>46.463577000000001</v>
      </c>
      <c r="L61">
        <v>47.210957000000001</v>
      </c>
      <c r="M61">
        <v>48.048740000000002</v>
      </c>
      <c r="N61">
        <v>49.354030999999999</v>
      </c>
      <c r="O61">
        <v>50.425938000000002</v>
      </c>
      <c r="P61">
        <v>51.324492999999997</v>
      </c>
      <c r="Q61">
        <v>52.927570000000003</v>
      </c>
      <c r="R61">
        <v>54.478225999999999</v>
      </c>
      <c r="S61">
        <v>56.396023</v>
      </c>
      <c r="T61">
        <v>58.020966000000001</v>
      </c>
      <c r="U61">
        <v>58.883471999999998</v>
      </c>
      <c r="V61">
        <v>60.235283000000003</v>
      </c>
      <c r="W61">
        <v>60.950232999999997</v>
      </c>
      <c r="X61">
        <v>61.766342000000002</v>
      </c>
      <c r="Y61">
        <v>62.420555</v>
      </c>
      <c r="Z61">
        <v>63.444836000000002</v>
      </c>
      <c r="AA61">
        <v>64.722854999999996</v>
      </c>
      <c r="AB61">
        <v>66.026054000000002</v>
      </c>
      <c r="AC61">
        <v>66.979820000000004</v>
      </c>
      <c r="AD61">
        <v>68.250771</v>
      </c>
      <c r="AE61" s="16">
        <v>2.9000000000000001E-2</v>
      </c>
    </row>
    <row r="62" spans="1:31" x14ac:dyDescent="0.25">
      <c r="A62" t="s">
        <v>239</v>
      </c>
      <c r="B62" t="s">
        <v>1054</v>
      </c>
      <c r="C62" t="s">
        <v>1055</v>
      </c>
      <c r="D62" t="s">
        <v>237</v>
      </c>
      <c r="E62">
        <v>0.584673</v>
      </c>
      <c r="F62">
        <v>0.58534399999999998</v>
      </c>
      <c r="G62">
        <v>0.58668500000000001</v>
      </c>
      <c r="H62">
        <v>0.58689599999999997</v>
      </c>
      <c r="I62">
        <v>0.58752899999999997</v>
      </c>
      <c r="J62">
        <v>0.58868799999999999</v>
      </c>
      <c r="K62">
        <v>0.58922799999999997</v>
      </c>
      <c r="L62">
        <v>0.59012799999999999</v>
      </c>
      <c r="M62">
        <v>0.59115499999999999</v>
      </c>
      <c r="N62">
        <v>0.59176700000000004</v>
      </c>
      <c r="O62">
        <v>0.59212699999999996</v>
      </c>
      <c r="P62">
        <v>0.59231299999999998</v>
      </c>
      <c r="Q62">
        <v>0.59265000000000001</v>
      </c>
      <c r="R62">
        <v>0.59297200000000005</v>
      </c>
      <c r="S62">
        <v>0.59342799999999996</v>
      </c>
      <c r="T62">
        <v>0.59394899999999995</v>
      </c>
      <c r="U62">
        <v>0.59414400000000001</v>
      </c>
      <c r="V62">
        <v>0.59497299999999997</v>
      </c>
      <c r="W62">
        <v>0.59530099999999997</v>
      </c>
      <c r="X62">
        <v>0.595584</v>
      </c>
      <c r="Y62">
        <v>0.59573399999999999</v>
      </c>
      <c r="Z62">
        <v>0.59596199999999999</v>
      </c>
      <c r="AA62">
        <v>0.596557</v>
      </c>
      <c r="AB62">
        <v>0.59693600000000002</v>
      </c>
      <c r="AC62">
        <v>0.59710099999999999</v>
      </c>
      <c r="AD62">
        <v>0.59729600000000005</v>
      </c>
      <c r="AE62" s="16">
        <v>1E-3</v>
      </c>
    </row>
    <row r="63" spans="1:31" x14ac:dyDescent="0.25">
      <c r="A63" t="s">
        <v>259</v>
      </c>
      <c r="B63" t="s">
        <v>1056</v>
      </c>
      <c r="C63" t="s">
        <v>1057</v>
      </c>
      <c r="D63" t="s">
        <v>237</v>
      </c>
      <c r="E63">
        <v>9.4133999999999995E-2</v>
      </c>
      <c r="F63">
        <v>9.4133999999999995E-2</v>
      </c>
      <c r="G63">
        <v>9.4133999999999995E-2</v>
      </c>
      <c r="H63">
        <v>9.4133999999999995E-2</v>
      </c>
      <c r="I63">
        <v>9.4133999999999995E-2</v>
      </c>
      <c r="J63">
        <v>9.4133999999999995E-2</v>
      </c>
      <c r="K63">
        <v>9.4133999999999995E-2</v>
      </c>
      <c r="L63">
        <v>9.4133999999999995E-2</v>
      </c>
      <c r="M63">
        <v>9.4133999999999995E-2</v>
      </c>
      <c r="N63">
        <v>9.4133999999999995E-2</v>
      </c>
      <c r="O63">
        <v>9.4133999999999995E-2</v>
      </c>
      <c r="P63">
        <v>9.4133999999999995E-2</v>
      </c>
      <c r="Q63">
        <v>9.4133999999999995E-2</v>
      </c>
      <c r="R63">
        <v>9.4133999999999995E-2</v>
      </c>
      <c r="S63">
        <v>9.4133999999999995E-2</v>
      </c>
      <c r="T63">
        <v>9.4133999999999995E-2</v>
      </c>
      <c r="U63">
        <v>9.4133999999999995E-2</v>
      </c>
      <c r="V63">
        <v>9.4133999999999995E-2</v>
      </c>
      <c r="W63">
        <v>9.4133999999999995E-2</v>
      </c>
      <c r="X63">
        <v>9.4133999999999995E-2</v>
      </c>
      <c r="Y63">
        <v>9.4133999999999995E-2</v>
      </c>
      <c r="Z63">
        <v>9.4133999999999995E-2</v>
      </c>
      <c r="AA63">
        <v>9.4133999999999995E-2</v>
      </c>
      <c r="AB63">
        <v>9.4133999999999995E-2</v>
      </c>
      <c r="AC63">
        <v>9.4133999999999995E-2</v>
      </c>
      <c r="AD63">
        <v>9.4133999999999995E-2</v>
      </c>
      <c r="AE63" s="16">
        <v>0</v>
      </c>
    </row>
    <row r="64" spans="1:31" x14ac:dyDescent="0.25">
      <c r="A64" t="s">
        <v>191</v>
      </c>
      <c r="B64" t="s">
        <v>1058</v>
      </c>
      <c r="C64" t="s">
        <v>1059</v>
      </c>
      <c r="D64" t="s">
        <v>237</v>
      </c>
      <c r="E64">
        <v>35.760567000000002</v>
      </c>
      <c r="F64">
        <v>40.029525999999997</v>
      </c>
      <c r="G64">
        <v>43.659675999999997</v>
      </c>
      <c r="H64">
        <v>45.417656000000001</v>
      </c>
      <c r="I64">
        <v>46.557400000000001</v>
      </c>
      <c r="J64">
        <v>47.846344000000002</v>
      </c>
      <c r="K64">
        <v>48.795848999999997</v>
      </c>
      <c r="L64">
        <v>49.564712999999998</v>
      </c>
      <c r="M64">
        <v>50.424728000000002</v>
      </c>
      <c r="N64">
        <v>51.754173000000002</v>
      </c>
      <c r="O64">
        <v>52.848362000000002</v>
      </c>
      <c r="P64">
        <v>53.769897</v>
      </c>
      <c r="Q64">
        <v>55.398499000000001</v>
      </c>
      <c r="R64">
        <v>56.972938999999997</v>
      </c>
      <c r="S64">
        <v>58.914051000000001</v>
      </c>
      <c r="T64">
        <v>60.561424000000002</v>
      </c>
      <c r="U64">
        <v>61.444397000000002</v>
      </c>
      <c r="V64">
        <v>62.819622000000003</v>
      </c>
      <c r="W64">
        <v>63.554977000000001</v>
      </c>
      <c r="X64">
        <v>64.391379999999998</v>
      </c>
      <c r="Y64">
        <v>65.064650999999998</v>
      </c>
      <c r="Z64">
        <v>66.108504999999994</v>
      </c>
      <c r="AA64">
        <v>67.407630999999995</v>
      </c>
      <c r="AB64">
        <v>68.731369000000001</v>
      </c>
      <c r="AC64">
        <v>69.704216000000002</v>
      </c>
      <c r="AD64">
        <v>70.995407</v>
      </c>
      <c r="AE64" s="16">
        <v>2.8000000000000001E-2</v>
      </c>
    </row>
    <row r="65" spans="1:31" x14ac:dyDescent="0.25">
      <c r="A65" t="s">
        <v>174</v>
      </c>
    </row>
    <row r="66" spans="1:31" x14ac:dyDescent="0.25">
      <c r="A66" t="s">
        <v>271</v>
      </c>
      <c r="B66" t="s">
        <v>1060</v>
      </c>
      <c r="C66" t="s">
        <v>1061</v>
      </c>
      <c r="D66" t="s">
        <v>240</v>
      </c>
      <c r="E66">
        <v>5.6016999999999997E-2</v>
      </c>
      <c r="F66">
        <v>5.6016999999999997E-2</v>
      </c>
      <c r="G66">
        <v>5.6016999999999997E-2</v>
      </c>
      <c r="H66">
        <v>5.6016999999999997E-2</v>
      </c>
      <c r="I66">
        <v>5.6016999999999997E-2</v>
      </c>
      <c r="J66">
        <v>5.6016999999999997E-2</v>
      </c>
      <c r="K66">
        <v>5.6016999999999997E-2</v>
      </c>
      <c r="L66">
        <v>5.6016999999999997E-2</v>
      </c>
      <c r="M66">
        <v>5.6016999999999997E-2</v>
      </c>
      <c r="N66">
        <v>5.6016999999999997E-2</v>
      </c>
      <c r="O66">
        <v>5.6016999999999997E-2</v>
      </c>
      <c r="P66">
        <v>5.6016999999999997E-2</v>
      </c>
      <c r="Q66">
        <v>5.6016999999999997E-2</v>
      </c>
      <c r="R66">
        <v>5.6016999999999997E-2</v>
      </c>
      <c r="S66">
        <v>5.6016999999999997E-2</v>
      </c>
      <c r="T66">
        <v>5.6016999999999997E-2</v>
      </c>
      <c r="U66">
        <v>5.6016999999999997E-2</v>
      </c>
      <c r="V66">
        <v>5.6016999999999997E-2</v>
      </c>
      <c r="W66">
        <v>5.6016999999999997E-2</v>
      </c>
      <c r="X66">
        <v>5.6016999999999997E-2</v>
      </c>
      <c r="Y66">
        <v>5.6016999999999997E-2</v>
      </c>
      <c r="Z66">
        <v>5.6016999999999997E-2</v>
      </c>
      <c r="AA66">
        <v>5.6016999999999997E-2</v>
      </c>
      <c r="AB66">
        <v>5.6016999999999997E-2</v>
      </c>
      <c r="AC66">
        <v>5.6016999999999997E-2</v>
      </c>
      <c r="AD66">
        <v>5.6016999999999997E-2</v>
      </c>
      <c r="AE66" s="16">
        <v>0</v>
      </c>
    </row>
    <row r="67" spans="1:31" x14ac:dyDescent="0.25">
      <c r="A67" t="s">
        <v>197</v>
      </c>
      <c r="B67" t="s">
        <v>1062</v>
      </c>
      <c r="C67" t="s">
        <v>1063</v>
      </c>
      <c r="D67" t="s">
        <v>240</v>
      </c>
      <c r="E67">
        <v>8.9935019999999994</v>
      </c>
      <c r="F67">
        <v>9.1773310000000006</v>
      </c>
      <c r="G67">
        <v>9.2872450000000004</v>
      </c>
      <c r="H67">
        <v>9.3947230000000008</v>
      </c>
      <c r="I67">
        <v>9.5059249999999995</v>
      </c>
      <c r="J67">
        <v>9.624269</v>
      </c>
      <c r="K67">
        <v>9.7411519999999996</v>
      </c>
      <c r="L67">
        <v>9.8642959999999995</v>
      </c>
      <c r="M67">
        <v>9.99146</v>
      </c>
      <c r="N67">
        <v>10.130485999999999</v>
      </c>
      <c r="O67">
        <v>10.261998999999999</v>
      </c>
      <c r="P67">
        <v>10.39859</v>
      </c>
      <c r="Q67">
        <v>10.547682</v>
      </c>
      <c r="R67">
        <v>10.688287000000001</v>
      </c>
      <c r="S67">
        <v>10.824840999999999</v>
      </c>
      <c r="T67">
        <v>10.956556000000001</v>
      </c>
      <c r="U67">
        <v>11.079158</v>
      </c>
      <c r="V67">
        <v>11.212235</v>
      </c>
      <c r="W67">
        <v>11.333235</v>
      </c>
      <c r="X67">
        <v>11.453098000000001</v>
      </c>
      <c r="Y67">
        <v>11.567205</v>
      </c>
      <c r="Z67">
        <v>11.683376000000001</v>
      </c>
      <c r="AA67">
        <v>11.805312000000001</v>
      </c>
      <c r="AB67">
        <v>11.925485</v>
      </c>
      <c r="AC67">
        <v>12.039975</v>
      </c>
      <c r="AD67">
        <v>12.159719000000001</v>
      </c>
      <c r="AE67" s="16">
        <v>1.2E-2</v>
      </c>
    </row>
    <row r="68" spans="1:31" x14ac:dyDescent="0.25">
      <c r="A68" t="s">
        <v>238</v>
      </c>
      <c r="B68" t="s">
        <v>1064</v>
      </c>
      <c r="C68" t="s">
        <v>955</v>
      </c>
      <c r="D68" t="s">
        <v>240</v>
      </c>
      <c r="E68">
        <v>46.182063999999997</v>
      </c>
      <c r="F68">
        <v>51.740406</v>
      </c>
      <c r="G68">
        <v>56.461272999999998</v>
      </c>
      <c r="H68">
        <v>58.730679000000002</v>
      </c>
      <c r="I68">
        <v>60.101695999999997</v>
      </c>
      <c r="J68">
        <v>61.663147000000002</v>
      </c>
      <c r="K68">
        <v>62.868873999999998</v>
      </c>
      <c r="L68">
        <v>63.818759999999997</v>
      </c>
      <c r="M68">
        <v>64.888107000000005</v>
      </c>
      <c r="N68">
        <v>66.510222999999996</v>
      </c>
      <c r="O68">
        <v>67.825362999999996</v>
      </c>
      <c r="P68">
        <v>68.932243</v>
      </c>
      <c r="Q68">
        <v>70.873024000000001</v>
      </c>
      <c r="R68">
        <v>72.769088999999994</v>
      </c>
      <c r="S68">
        <v>75.070815999999994</v>
      </c>
      <c r="T68">
        <v>77.056647999999996</v>
      </c>
      <c r="U68">
        <v>78.127480000000006</v>
      </c>
      <c r="V68">
        <v>79.720939999999999</v>
      </c>
      <c r="W68">
        <v>80.581862999999998</v>
      </c>
      <c r="X68">
        <v>81.550713000000002</v>
      </c>
      <c r="Y68">
        <v>82.343757999999994</v>
      </c>
      <c r="Z68">
        <v>83.578864999999993</v>
      </c>
      <c r="AA68">
        <v>85.106026</v>
      </c>
      <c r="AB68">
        <v>86.662193000000002</v>
      </c>
      <c r="AC68">
        <v>87.841269999999994</v>
      </c>
      <c r="AD68">
        <v>89.360298</v>
      </c>
      <c r="AE68" s="16">
        <v>2.7E-2</v>
      </c>
    </row>
    <row r="69" spans="1:31" x14ac:dyDescent="0.25">
      <c r="A69" t="s">
        <v>239</v>
      </c>
      <c r="B69" t="s">
        <v>1065</v>
      </c>
      <c r="C69" t="s">
        <v>957</v>
      </c>
      <c r="D69" t="s">
        <v>240</v>
      </c>
      <c r="E69">
        <v>0.73981799999999998</v>
      </c>
      <c r="F69">
        <v>0.74075299999999999</v>
      </c>
      <c r="G69">
        <v>0.74226499999999995</v>
      </c>
      <c r="H69">
        <v>0.742448</v>
      </c>
      <c r="I69">
        <v>0.74322500000000002</v>
      </c>
      <c r="J69">
        <v>0.74453899999999995</v>
      </c>
      <c r="K69">
        <v>0.74509199999999998</v>
      </c>
      <c r="L69">
        <v>0.74601200000000001</v>
      </c>
      <c r="M69">
        <v>0.74708699999999995</v>
      </c>
      <c r="N69">
        <v>0.74781799999999998</v>
      </c>
      <c r="O69">
        <v>0.74820799999999998</v>
      </c>
      <c r="P69">
        <v>0.74842799999999998</v>
      </c>
      <c r="Q69">
        <v>0.74886399999999997</v>
      </c>
      <c r="R69">
        <v>0.749274</v>
      </c>
      <c r="S69">
        <v>0.74982700000000002</v>
      </c>
      <c r="T69">
        <v>0.75040799999999996</v>
      </c>
      <c r="U69">
        <v>0.75061900000000004</v>
      </c>
      <c r="V69">
        <v>0.75174700000000005</v>
      </c>
      <c r="W69">
        <v>0.75218600000000002</v>
      </c>
      <c r="X69">
        <v>0.75257600000000002</v>
      </c>
      <c r="Y69">
        <v>0.75274600000000003</v>
      </c>
      <c r="Z69">
        <v>0.75300800000000001</v>
      </c>
      <c r="AA69">
        <v>0.75372499999999998</v>
      </c>
      <c r="AB69">
        <v>0.75419800000000004</v>
      </c>
      <c r="AC69">
        <v>0.75438899999999998</v>
      </c>
      <c r="AD69">
        <v>0.75460499999999997</v>
      </c>
      <c r="AE69" s="16">
        <v>1E-3</v>
      </c>
    </row>
    <row r="70" spans="1:31" x14ac:dyDescent="0.25">
      <c r="A70" t="s">
        <v>259</v>
      </c>
      <c r="B70" t="s">
        <v>1066</v>
      </c>
      <c r="C70" t="s">
        <v>1067</v>
      </c>
      <c r="D70" t="s">
        <v>240</v>
      </c>
      <c r="E70">
        <v>0.68520899999999996</v>
      </c>
      <c r="F70">
        <v>0.68520899999999996</v>
      </c>
      <c r="G70">
        <v>0.68520899999999996</v>
      </c>
      <c r="H70">
        <v>0.68520899999999996</v>
      </c>
      <c r="I70">
        <v>0.68520899999999996</v>
      </c>
      <c r="J70">
        <v>0.68520899999999996</v>
      </c>
      <c r="K70">
        <v>0.68520899999999996</v>
      </c>
      <c r="L70">
        <v>0.68520899999999996</v>
      </c>
      <c r="M70">
        <v>0.68520899999999996</v>
      </c>
      <c r="N70">
        <v>0.68520899999999996</v>
      </c>
      <c r="O70">
        <v>0.68520899999999996</v>
      </c>
      <c r="P70">
        <v>0.68520899999999996</v>
      </c>
      <c r="Q70">
        <v>0.68520899999999996</v>
      </c>
      <c r="R70">
        <v>0.68520899999999996</v>
      </c>
      <c r="S70">
        <v>0.68520899999999996</v>
      </c>
      <c r="T70">
        <v>0.68520899999999996</v>
      </c>
      <c r="U70">
        <v>0.68520899999999996</v>
      </c>
      <c r="V70">
        <v>0.68520899999999996</v>
      </c>
      <c r="W70">
        <v>0.68520899999999996</v>
      </c>
      <c r="X70">
        <v>0.68520899999999996</v>
      </c>
      <c r="Y70">
        <v>0.68520899999999996</v>
      </c>
      <c r="Z70">
        <v>0.68520899999999996</v>
      </c>
      <c r="AA70">
        <v>0.68520899999999996</v>
      </c>
      <c r="AB70">
        <v>0.68520899999999996</v>
      </c>
      <c r="AC70">
        <v>0.68520899999999996</v>
      </c>
      <c r="AD70">
        <v>0.68520899999999996</v>
      </c>
      <c r="AE70" s="16">
        <v>0</v>
      </c>
    </row>
    <row r="71" spans="1:31" x14ac:dyDescent="0.25">
      <c r="A71" t="s">
        <v>191</v>
      </c>
      <c r="B71" t="s">
        <v>1068</v>
      </c>
      <c r="C71" t="s">
        <v>959</v>
      </c>
      <c r="D71" t="s">
        <v>240</v>
      </c>
      <c r="E71">
        <v>56.656609000000003</v>
      </c>
      <c r="F71">
        <v>62.399715</v>
      </c>
      <c r="G71">
        <v>67.232010000000002</v>
      </c>
      <c r="H71">
        <v>69.609076999999999</v>
      </c>
      <c r="I71">
        <v>71.092072000000002</v>
      </c>
      <c r="J71">
        <v>72.773178000000001</v>
      </c>
      <c r="K71">
        <v>74.096351999999996</v>
      </c>
      <c r="L71">
        <v>75.170295999999993</v>
      </c>
      <c r="M71">
        <v>76.367881999999994</v>
      </c>
      <c r="N71">
        <v>78.129752999999994</v>
      </c>
      <c r="O71">
        <v>79.576796999999999</v>
      </c>
      <c r="P71">
        <v>80.820487999999997</v>
      </c>
      <c r="Q71">
        <v>82.910797000000002</v>
      </c>
      <c r="R71">
        <v>84.947875999999994</v>
      </c>
      <c r="S71">
        <v>87.386711000000005</v>
      </c>
      <c r="T71">
        <v>89.504845000000003</v>
      </c>
      <c r="U71">
        <v>90.698486000000003</v>
      </c>
      <c r="V71">
        <v>92.426147</v>
      </c>
      <c r="W71">
        <v>93.408516000000006</v>
      </c>
      <c r="X71">
        <v>94.497619999999998</v>
      </c>
      <c r="Y71">
        <v>95.404938000000001</v>
      </c>
      <c r="Z71">
        <v>96.756477000000004</v>
      </c>
      <c r="AA71">
        <v>98.406288000000004</v>
      </c>
      <c r="AB71">
        <v>100.083099</v>
      </c>
      <c r="AC71">
        <v>101.376862</v>
      </c>
      <c r="AD71">
        <v>103.015854</v>
      </c>
      <c r="AE71" s="16">
        <v>2.4E-2</v>
      </c>
    </row>
    <row r="72" spans="1:31" x14ac:dyDescent="0.25">
      <c r="A72" t="s">
        <v>241</v>
      </c>
    </row>
    <row r="73" spans="1:31" x14ac:dyDescent="0.25">
      <c r="A73" t="s">
        <v>242</v>
      </c>
      <c r="B73" t="s">
        <v>1069</v>
      </c>
      <c r="C73" t="s">
        <v>961</v>
      </c>
      <c r="D73" t="s">
        <v>240</v>
      </c>
      <c r="E73">
        <v>9.9073130000000003</v>
      </c>
      <c r="F73">
        <v>10.032590000000001</v>
      </c>
      <c r="G73">
        <v>10.137603</v>
      </c>
      <c r="H73">
        <v>10.239909000000001</v>
      </c>
      <c r="I73">
        <v>10.342177</v>
      </c>
      <c r="J73">
        <v>10.45041</v>
      </c>
      <c r="K73">
        <v>10.557964999999999</v>
      </c>
      <c r="L73">
        <v>10.671132999999999</v>
      </c>
      <c r="M73">
        <v>10.788383</v>
      </c>
      <c r="N73">
        <v>10.908318</v>
      </c>
      <c r="O73">
        <v>11.027957000000001</v>
      </c>
      <c r="P73">
        <v>11.150815</v>
      </c>
      <c r="Q73">
        <v>11.279442</v>
      </c>
      <c r="R73">
        <v>11.405421</v>
      </c>
      <c r="S73">
        <v>11.527183000000001</v>
      </c>
      <c r="T73">
        <v>11.648218999999999</v>
      </c>
      <c r="U73">
        <v>11.762484000000001</v>
      </c>
      <c r="V73">
        <v>11.873991999999999</v>
      </c>
      <c r="W73">
        <v>11.984078999999999</v>
      </c>
      <c r="X73">
        <v>12.091100000000001</v>
      </c>
      <c r="Y73">
        <v>12.196586999999999</v>
      </c>
      <c r="Z73">
        <v>12.302292</v>
      </c>
      <c r="AA73">
        <v>12.409986999999999</v>
      </c>
      <c r="AB73">
        <v>12.51688</v>
      </c>
      <c r="AC73">
        <v>12.62289</v>
      </c>
      <c r="AD73">
        <v>12.729742999999999</v>
      </c>
      <c r="AE73" s="16">
        <v>0.01</v>
      </c>
    </row>
    <row r="74" spans="1:31" x14ac:dyDescent="0.25">
      <c r="A74" t="s">
        <v>243</v>
      </c>
      <c r="B74" t="s">
        <v>1070</v>
      </c>
      <c r="C74" t="s">
        <v>963</v>
      </c>
      <c r="D74" t="s">
        <v>240</v>
      </c>
      <c r="E74">
        <v>46.749298000000003</v>
      </c>
      <c r="F74">
        <v>52.367125999999999</v>
      </c>
      <c r="G74">
        <v>57.094405999999999</v>
      </c>
      <c r="H74">
        <v>59.369166999999997</v>
      </c>
      <c r="I74">
        <v>60.749893</v>
      </c>
      <c r="J74">
        <v>62.322772999999998</v>
      </c>
      <c r="K74">
        <v>63.538379999999997</v>
      </c>
      <c r="L74">
        <v>64.499161000000001</v>
      </c>
      <c r="M74">
        <v>65.579491000000004</v>
      </c>
      <c r="N74">
        <v>67.221442999999994</v>
      </c>
      <c r="O74">
        <v>68.548835999999994</v>
      </c>
      <c r="P74">
        <v>69.669669999999996</v>
      </c>
      <c r="Q74">
        <v>71.631354999999999</v>
      </c>
      <c r="R74">
        <v>73.542450000000002</v>
      </c>
      <c r="S74">
        <v>75.859520000000003</v>
      </c>
      <c r="T74">
        <v>77.856621000000004</v>
      </c>
      <c r="U74">
        <v>78.935989000000006</v>
      </c>
      <c r="V74">
        <v>80.552154999999999</v>
      </c>
      <c r="W74">
        <v>81.424430999999998</v>
      </c>
      <c r="X74">
        <v>82.406516999999994</v>
      </c>
      <c r="Y74">
        <v>83.208350999999993</v>
      </c>
      <c r="Z74">
        <v>84.454184999999995</v>
      </c>
      <c r="AA74">
        <v>85.996300000000005</v>
      </c>
      <c r="AB74">
        <v>87.566222999999994</v>
      </c>
      <c r="AC74">
        <v>88.753967000000003</v>
      </c>
      <c r="AD74">
        <v>90.286102</v>
      </c>
      <c r="AE74" s="16">
        <v>2.7E-2</v>
      </c>
    </row>
    <row r="75" spans="1:31" x14ac:dyDescent="0.25">
      <c r="A75" t="s">
        <v>244</v>
      </c>
    </row>
    <row r="76" spans="1:31" x14ac:dyDescent="0.25">
      <c r="A76" t="s">
        <v>271</v>
      </c>
      <c r="B76" t="s">
        <v>1071</v>
      </c>
      <c r="C76" t="s">
        <v>1072</v>
      </c>
      <c r="D76" t="s">
        <v>245</v>
      </c>
      <c r="E76">
        <v>0.56959499999999996</v>
      </c>
      <c r="F76">
        <v>0.56959499999999996</v>
      </c>
      <c r="G76">
        <v>0.56959499999999996</v>
      </c>
      <c r="H76">
        <v>0.56959499999999996</v>
      </c>
      <c r="I76">
        <v>0.56959499999999996</v>
      </c>
      <c r="J76">
        <v>0.56959499999999996</v>
      </c>
      <c r="K76">
        <v>0.56959499999999996</v>
      </c>
      <c r="L76">
        <v>0.56959499999999996</v>
      </c>
      <c r="M76">
        <v>0.56959499999999996</v>
      </c>
      <c r="N76">
        <v>0.56959499999999996</v>
      </c>
      <c r="O76">
        <v>0.56959499999999996</v>
      </c>
      <c r="P76">
        <v>0.56959499999999996</v>
      </c>
      <c r="Q76">
        <v>0.56959499999999996</v>
      </c>
      <c r="R76">
        <v>0.56959499999999996</v>
      </c>
      <c r="S76">
        <v>0.56959499999999996</v>
      </c>
      <c r="T76">
        <v>0.56959499999999996</v>
      </c>
      <c r="U76">
        <v>0.56959499999999996</v>
      </c>
      <c r="V76">
        <v>0.56959499999999996</v>
      </c>
      <c r="W76">
        <v>0.56959499999999996</v>
      </c>
      <c r="X76">
        <v>0.56959499999999996</v>
      </c>
      <c r="Y76">
        <v>0.56959499999999996</v>
      </c>
      <c r="Z76">
        <v>0.56959499999999996</v>
      </c>
      <c r="AA76">
        <v>0.56959499999999996</v>
      </c>
      <c r="AB76">
        <v>0.56959499999999996</v>
      </c>
      <c r="AC76">
        <v>0.56959499999999996</v>
      </c>
      <c r="AD76">
        <v>0.56959499999999996</v>
      </c>
      <c r="AE76" s="16">
        <v>0</v>
      </c>
    </row>
    <row r="77" spans="1:31" x14ac:dyDescent="0.25">
      <c r="A77" t="s">
        <v>197</v>
      </c>
      <c r="B77" t="s">
        <v>1073</v>
      </c>
      <c r="C77" t="s">
        <v>1074</v>
      </c>
      <c r="D77" t="s">
        <v>245</v>
      </c>
      <c r="E77">
        <v>116.74743700000001</v>
      </c>
      <c r="F77">
        <v>119.03074599999999</v>
      </c>
      <c r="G77">
        <v>120.47425800000001</v>
      </c>
      <c r="H77">
        <v>121.885834</v>
      </c>
      <c r="I77">
        <v>123.33736399999999</v>
      </c>
      <c r="J77">
        <v>124.869339</v>
      </c>
      <c r="K77">
        <v>126.396996</v>
      </c>
      <c r="L77">
        <v>128.00031999999999</v>
      </c>
      <c r="M77">
        <v>129.65884399999999</v>
      </c>
      <c r="N77">
        <v>131.454803</v>
      </c>
      <c r="O77">
        <v>133.171494</v>
      </c>
      <c r="P77">
        <v>134.95263700000001</v>
      </c>
      <c r="Q77">
        <v>136.881439</v>
      </c>
      <c r="R77">
        <v>138.71670499999999</v>
      </c>
      <c r="S77">
        <v>140.49444600000001</v>
      </c>
      <c r="T77">
        <v>142.21549999999999</v>
      </c>
      <c r="U77">
        <v>143.82487499999999</v>
      </c>
      <c r="V77">
        <v>145.54025300000001</v>
      </c>
      <c r="W77">
        <v>147.12602200000001</v>
      </c>
      <c r="X77">
        <v>148.69010900000001</v>
      </c>
      <c r="Y77">
        <v>150.18580600000001</v>
      </c>
      <c r="Z77">
        <v>151.702698</v>
      </c>
      <c r="AA77">
        <v>153.28387499999999</v>
      </c>
      <c r="AB77">
        <v>154.845505</v>
      </c>
      <c r="AC77">
        <v>156.34947199999999</v>
      </c>
      <c r="AD77">
        <v>157.90747099999999</v>
      </c>
      <c r="AE77" s="16">
        <v>1.2E-2</v>
      </c>
    </row>
    <row r="78" spans="1:31" x14ac:dyDescent="0.25">
      <c r="A78" t="s">
        <v>238</v>
      </c>
      <c r="B78" t="s">
        <v>1075</v>
      </c>
      <c r="C78" t="s">
        <v>967</v>
      </c>
      <c r="D78" t="s">
        <v>245</v>
      </c>
      <c r="E78">
        <v>157.57318100000001</v>
      </c>
      <c r="F78">
        <v>176.538239</v>
      </c>
      <c r="G78">
        <v>192.64584400000001</v>
      </c>
      <c r="H78">
        <v>200.38906900000001</v>
      </c>
      <c r="I78">
        <v>205.06698600000001</v>
      </c>
      <c r="J78">
        <v>210.39466899999999</v>
      </c>
      <c r="K78">
        <v>214.50857500000001</v>
      </c>
      <c r="L78">
        <v>217.74960300000001</v>
      </c>
      <c r="M78">
        <v>221.398224</v>
      </c>
      <c r="N78">
        <v>226.93289200000001</v>
      </c>
      <c r="O78">
        <v>231.42012</v>
      </c>
      <c r="P78">
        <v>235.196777</v>
      </c>
      <c r="Q78">
        <v>241.818771</v>
      </c>
      <c r="R78">
        <v>248.288116</v>
      </c>
      <c r="S78">
        <v>256.14160199999998</v>
      </c>
      <c r="T78">
        <v>262.91726699999998</v>
      </c>
      <c r="U78">
        <v>266.57092299999999</v>
      </c>
      <c r="V78">
        <v>272.007812</v>
      </c>
      <c r="W78">
        <v>274.945312</v>
      </c>
      <c r="X78">
        <v>278.25097699999998</v>
      </c>
      <c r="Y78">
        <v>280.95687900000001</v>
      </c>
      <c r="Z78">
        <v>285.17108200000001</v>
      </c>
      <c r="AA78">
        <v>290.38174400000003</v>
      </c>
      <c r="AB78">
        <v>295.69140599999997</v>
      </c>
      <c r="AC78">
        <v>299.71441700000003</v>
      </c>
      <c r="AD78">
        <v>304.89730800000001</v>
      </c>
      <c r="AE78" s="16">
        <v>2.7E-2</v>
      </c>
    </row>
    <row r="79" spans="1:31" x14ac:dyDescent="0.25">
      <c r="A79" t="s">
        <v>239</v>
      </c>
      <c r="B79" t="s">
        <v>1076</v>
      </c>
      <c r="C79" t="s">
        <v>969</v>
      </c>
      <c r="D79" t="s">
        <v>245</v>
      </c>
      <c r="E79">
        <v>2.5242580000000001</v>
      </c>
      <c r="F79">
        <v>2.5274489999999998</v>
      </c>
      <c r="G79">
        <v>2.5326089999999999</v>
      </c>
      <c r="H79">
        <v>2.5332340000000002</v>
      </c>
      <c r="I79">
        <v>2.535882</v>
      </c>
      <c r="J79">
        <v>2.540368</v>
      </c>
      <c r="K79">
        <v>2.5422530000000001</v>
      </c>
      <c r="L79">
        <v>2.5453939999999999</v>
      </c>
      <c r="M79">
        <v>2.5490599999999999</v>
      </c>
      <c r="N79">
        <v>2.5515539999999999</v>
      </c>
      <c r="O79">
        <v>2.5528870000000001</v>
      </c>
      <c r="P79">
        <v>2.553636</v>
      </c>
      <c r="Q79">
        <v>2.5551240000000002</v>
      </c>
      <c r="R79">
        <v>2.556521</v>
      </c>
      <c r="S79">
        <v>2.5584090000000002</v>
      </c>
      <c r="T79">
        <v>2.5603929999999999</v>
      </c>
      <c r="U79">
        <v>2.5611120000000001</v>
      </c>
      <c r="V79">
        <v>2.5649600000000001</v>
      </c>
      <c r="W79">
        <v>2.566459</v>
      </c>
      <c r="X79">
        <v>2.5677889999999999</v>
      </c>
      <c r="Y79">
        <v>2.5683690000000001</v>
      </c>
      <c r="Z79">
        <v>2.5692629999999999</v>
      </c>
      <c r="AA79">
        <v>2.5717110000000001</v>
      </c>
      <c r="AB79">
        <v>2.5733229999999998</v>
      </c>
      <c r="AC79">
        <v>2.5739749999999999</v>
      </c>
      <c r="AD79">
        <v>2.574713</v>
      </c>
      <c r="AE79" s="16">
        <v>1E-3</v>
      </c>
    </row>
    <row r="80" spans="1:31" x14ac:dyDescent="0.25">
      <c r="A80" t="s">
        <v>259</v>
      </c>
      <c r="B80" t="s">
        <v>1077</v>
      </c>
      <c r="C80" t="s">
        <v>1078</v>
      </c>
      <c r="D80" t="s">
        <v>245</v>
      </c>
      <c r="E80">
        <v>12.784876000000001</v>
      </c>
      <c r="F80">
        <v>12.784876000000001</v>
      </c>
      <c r="G80">
        <v>12.784876000000001</v>
      </c>
      <c r="H80">
        <v>12.784876000000001</v>
      </c>
      <c r="I80">
        <v>12.784876000000001</v>
      </c>
      <c r="J80">
        <v>12.784876000000001</v>
      </c>
      <c r="K80">
        <v>12.784876000000001</v>
      </c>
      <c r="L80">
        <v>12.784876000000001</v>
      </c>
      <c r="M80">
        <v>12.784876000000001</v>
      </c>
      <c r="N80">
        <v>12.784876000000001</v>
      </c>
      <c r="O80">
        <v>12.784876000000001</v>
      </c>
      <c r="P80">
        <v>12.784876000000001</v>
      </c>
      <c r="Q80">
        <v>12.784876000000001</v>
      </c>
      <c r="R80">
        <v>12.784876000000001</v>
      </c>
      <c r="S80">
        <v>12.784876000000001</v>
      </c>
      <c r="T80">
        <v>12.784876000000001</v>
      </c>
      <c r="U80">
        <v>12.784876000000001</v>
      </c>
      <c r="V80">
        <v>12.784876000000001</v>
      </c>
      <c r="W80">
        <v>12.784876000000001</v>
      </c>
      <c r="X80">
        <v>12.784876000000001</v>
      </c>
      <c r="Y80">
        <v>12.784876000000001</v>
      </c>
      <c r="Z80">
        <v>12.784876000000001</v>
      </c>
      <c r="AA80">
        <v>12.784876000000001</v>
      </c>
      <c r="AB80">
        <v>12.784876000000001</v>
      </c>
      <c r="AC80">
        <v>12.784876000000001</v>
      </c>
      <c r="AD80">
        <v>12.784876000000001</v>
      </c>
      <c r="AE80" s="16">
        <v>0</v>
      </c>
    </row>
    <row r="81" spans="1:31" x14ac:dyDescent="0.25">
      <c r="A81" t="s">
        <v>191</v>
      </c>
      <c r="B81" t="s">
        <v>1079</v>
      </c>
      <c r="C81" t="s">
        <v>971</v>
      </c>
      <c r="D81" t="s">
        <v>245</v>
      </c>
      <c r="E81">
        <v>290.199341</v>
      </c>
      <c r="F81">
        <v>311.450897</v>
      </c>
      <c r="G81">
        <v>329.00720200000001</v>
      </c>
      <c r="H81">
        <v>338.162598</v>
      </c>
      <c r="I81">
        <v>344.29470800000001</v>
      </c>
      <c r="J81">
        <v>351.15887500000002</v>
      </c>
      <c r="K81">
        <v>356.80230699999998</v>
      </c>
      <c r="L81">
        <v>361.64978000000002</v>
      </c>
      <c r="M81">
        <v>366.96060199999999</v>
      </c>
      <c r="N81">
        <v>374.293701</v>
      </c>
      <c r="O81">
        <v>380.49896200000001</v>
      </c>
      <c r="P81">
        <v>386.057526</v>
      </c>
      <c r="Q81">
        <v>394.609802</v>
      </c>
      <c r="R81">
        <v>402.91580199999999</v>
      </c>
      <c r="S81">
        <v>412.54892000000001</v>
      </c>
      <c r="T81">
        <v>421.04763800000001</v>
      </c>
      <c r="U81">
        <v>426.31140099999999</v>
      </c>
      <c r="V81">
        <v>433.46752900000001</v>
      </c>
      <c r="W81">
        <v>437.992279</v>
      </c>
      <c r="X81">
        <v>442.86334199999999</v>
      </c>
      <c r="Y81">
        <v>447.06552099999999</v>
      </c>
      <c r="Z81">
        <v>452.79751599999997</v>
      </c>
      <c r="AA81">
        <v>459.59182700000002</v>
      </c>
      <c r="AB81">
        <v>466.46472199999999</v>
      </c>
      <c r="AC81">
        <v>471.99234000000001</v>
      </c>
      <c r="AD81">
        <v>478.73397799999998</v>
      </c>
      <c r="AE81" s="16">
        <v>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15FE-7663-4FED-9BC8-C5758E4A9992}">
  <sheetPr>
    <tabColor theme="3"/>
  </sheetPr>
  <dimension ref="A1:AE92"/>
  <sheetViews>
    <sheetView workbookViewId="0"/>
  </sheetViews>
  <sheetFormatPr defaultRowHeight="15" x14ac:dyDescent="0.25"/>
  <sheetData>
    <row r="1" spans="1:31" x14ac:dyDescent="0.25">
      <c r="A1" t="s">
        <v>176</v>
      </c>
    </row>
    <row r="2" spans="1:31" x14ac:dyDescent="0.25">
      <c r="A2" t="s">
        <v>836</v>
      </c>
    </row>
    <row r="3" spans="1:31" x14ac:dyDescent="0.25">
      <c r="A3" t="s">
        <v>837</v>
      </c>
    </row>
    <row r="4" spans="1:31" x14ac:dyDescent="0.25">
      <c r="A4" t="s">
        <v>177</v>
      </c>
    </row>
    <row r="5" spans="1:31" x14ac:dyDescent="0.25">
      <c r="B5" t="s">
        <v>178</v>
      </c>
      <c r="C5" t="s">
        <v>179</v>
      </c>
      <c r="D5" t="s">
        <v>180</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838</v>
      </c>
    </row>
    <row r="6" spans="1:31" x14ac:dyDescent="0.25">
      <c r="A6" t="s">
        <v>2</v>
      </c>
    </row>
    <row r="7" spans="1:31" x14ac:dyDescent="0.25">
      <c r="A7" t="s">
        <v>181</v>
      </c>
    </row>
    <row r="8" spans="1:31" x14ac:dyDescent="0.25">
      <c r="A8" t="s">
        <v>182</v>
      </c>
      <c r="B8" t="s">
        <v>839</v>
      </c>
      <c r="C8" t="s">
        <v>840</v>
      </c>
      <c r="D8" t="s">
        <v>183</v>
      </c>
      <c r="E8">
        <v>17.311983000000001</v>
      </c>
      <c r="F8">
        <v>17.749022</v>
      </c>
      <c r="G8">
        <v>18.189437999999999</v>
      </c>
      <c r="H8">
        <v>18.620296</v>
      </c>
      <c r="I8">
        <v>19.048622000000002</v>
      </c>
      <c r="J8">
        <v>19.472925</v>
      </c>
      <c r="K8">
        <v>19.896325999999998</v>
      </c>
      <c r="L8">
        <v>20.319126000000001</v>
      </c>
      <c r="M8">
        <v>20.735678</v>
      </c>
      <c r="N8">
        <v>21.139624000000001</v>
      </c>
      <c r="O8">
        <v>21.534763000000002</v>
      </c>
      <c r="P8">
        <v>21.918703000000001</v>
      </c>
      <c r="Q8">
        <v>22.287914000000001</v>
      </c>
      <c r="R8">
        <v>22.643485999999999</v>
      </c>
      <c r="S8">
        <v>22.982574</v>
      </c>
      <c r="T8">
        <v>23.308935000000002</v>
      </c>
      <c r="U8">
        <v>23.621449999999999</v>
      </c>
      <c r="V8">
        <v>23.92503</v>
      </c>
      <c r="W8">
        <v>24.216194000000002</v>
      </c>
      <c r="X8">
        <v>24.497820000000001</v>
      </c>
      <c r="Y8">
        <v>24.778502</v>
      </c>
      <c r="Z8">
        <v>25.059135000000001</v>
      </c>
      <c r="AA8">
        <v>25.339226</v>
      </c>
      <c r="AB8">
        <v>25.618915999999999</v>
      </c>
      <c r="AC8">
        <v>25.898472000000002</v>
      </c>
      <c r="AD8">
        <v>26.179151999999998</v>
      </c>
      <c r="AE8" s="16">
        <v>1.7000000000000001E-2</v>
      </c>
    </row>
    <row r="9" spans="1:31" x14ac:dyDescent="0.25">
      <c r="A9" t="s">
        <v>184</v>
      </c>
      <c r="B9" t="s">
        <v>841</v>
      </c>
      <c r="C9" t="s">
        <v>842</v>
      </c>
      <c r="D9" t="s">
        <v>183</v>
      </c>
      <c r="E9">
        <v>27.181431</v>
      </c>
      <c r="F9">
        <v>27.515512000000001</v>
      </c>
      <c r="G9">
        <v>27.865957000000002</v>
      </c>
      <c r="H9">
        <v>28.217012</v>
      </c>
      <c r="I9">
        <v>28.567571999999998</v>
      </c>
      <c r="J9">
        <v>28.915745000000001</v>
      </c>
      <c r="K9">
        <v>29.279917000000001</v>
      </c>
      <c r="L9">
        <v>29.647375</v>
      </c>
      <c r="M9">
        <v>30.010169999999999</v>
      </c>
      <c r="N9">
        <v>30.363132</v>
      </c>
      <c r="O9">
        <v>30.709727999999998</v>
      </c>
      <c r="P9">
        <v>31.049109000000001</v>
      </c>
      <c r="Q9">
        <v>31.363337000000001</v>
      </c>
      <c r="R9">
        <v>31.661715000000001</v>
      </c>
      <c r="S9">
        <v>31.943415000000002</v>
      </c>
      <c r="T9">
        <v>32.213225999999999</v>
      </c>
      <c r="U9">
        <v>32.469130999999997</v>
      </c>
      <c r="V9">
        <v>32.713242000000001</v>
      </c>
      <c r="W9">
        <v>32.952083999999999</v>
      </c>
      <c r="X9">
        <v>33.190829999999998</v>
      </c>
      <c r="Y9">
        <v>33.431499000000002</v>
      </c>
      <c r="Z9">
        <v>33.672843999999998</v>
      </c>
      <c r="AA9">
        <v>33.914619000000002</v>
      </c>
      <c r="AB9">
        <v>34.156719000000002</v>
      </c>
      <c r="AC9">
        <v>34.399776000000003</v>
      </c>
      <c r="AD9">
        <v>34.644348000000001</v>
      </c>
      <c r="AE9" s="16">
        <v>0.01</v>
      </c>
    </row>
    <row r="10" spans="1:31" x14ac:dyDescent="0.25">
      <c r="A10" t="s">
        <v>185</v>
      </c>
      <c r="B10" t="s">
        <v>843</v>
      </c>
      <c r="C10" t="s">
        <v>844</v>
      </c>
      <c r="D10" t="s">
        <v>183</v>
      </c>
      <c r="E10">
        <v>1.3534809999999999</v>
      </c>
      <c r="F10">
        <v>1.362886</v>
      </c>
      <c r="G10">
        <v>1.372539</v>
      </c>
      <c r="H10">
        <v>1.381982</v>
      </c>
      <c r="I10">
        <v>1.3914569999999999</v>
      </c>
      <c r="J10">
        <v>1.401143</v>
      </c>
      <c r="K10">
        <v>1.411546</v>
      </c>
      <c r="L10">
        <v>1.4220060000000001</v>
      </c>
      <c r="M10">
        <v>1.432234</v>
      </c>
      <c r="N10">
        <v>1.442105</v>
      </c>
      <c r="O10">
        <v>1.451719</v>
      </c>
      <c r="P10">
        <v>1.4610829999999999</v>
      </c>
      <c r="Q10">
        <v>1.469427</v>
      </c>
      <c r="R10">
        <v>1.4771780000000001</v>
      </c>
      <c r="S10">
        <v>1.484383</v>
      </c>
      <c r="T10">
        <v>1.491171</v>
      </c>
      <c r="U10">
        <v>1.4974749999999999</v>
      </c>
      <c r="V10">
        <v>1.50339</v>
      </c>
      <c r="W10">
        <v>1.5091540000000001</v>
      </c>
      <c r="X10">
        <v>1.5149699999999999</v>
      </c>
      <c r="Y10">
        <v>1.520823</v>
      </c>
      <c r="Z10">
        <v>1.5266820000000001</v>
      </c>
      <c r="AA10">
        <v>1.532497</v>
      </c>
      <c r="AB10">
        <v>1.5382849999999999</v>
      </c>
      <c r="AC10">
        <v>1.544062</v>
      </c>
      <c r="AD10">
        <v>1.5498529999999999</v>
      </c>
      <c r="AE10" s="16">
        <v>5.0000000000000001E-3</v>
      </c>
    </row>
    <row r="11" spans="1:31" x14ac:dyDescent="0.25">
      <c r="A11" t="s">
        <v>186</v>
      </c>
      <c r="B11" t="s">
        <v>845</v>
      </c>
      <c r="C11" t="s">
        <v>846</v>
      </c>
      <c r="D11" t="s">
        <v>183</v>
      </c>
      <c r="E11">
        <v>65.676497999999995</v>
      </c>
      <c r="F11">
        <v>66.275077999999993</v>
      </c>
      <c r="G11">
        <v>66.880843999999996</v>
      </c>
      <c r="H11">
        <v>67.475455999999994</v>
      </c>
      <c r="I11">
        <v>68.067947000000004</v>
      </c>
      <c r="J11">
        <v>68.658011999999999</v>
      </c>
      <c r="K11">
        <v>69.244476000000006</v>
      </c>
      <c r="L11">
        <v>69.829482999999996</v>
      </c>
      <c r="M11">
        <v>70.404747</v>
      </c>
      <c r="N11">
        <v>70.963165000000004</v>
      </c>
      <c r="O11">
        <v>71.509583000000006</v>
      </c>
      <c r="P11">
        <v>72.040465999999995</v>
      </c>
      <c r="Q11">
        <v>72.550301000000005</v>
      </c>
      <c r="R11">
        <v>73.040488999999994</v>
      </c>
      <c r="S11">
        <v>73.507484000000005</v>
      </c>
      <c r="T11">
        <v>73.955642999999995</v>
      </c>
      <c r="U11">
        <v>74.382568000000006</v>
      </c>
      <c r="V11">
        <v>74.796256999999997</v>
      </c>
      <c r="W11">
        <v>75.194984000000005</v>
      </c>
      <c r="X11">
        <v>75.582877999999994</v>
      </c>
      <c r="Y11">
        <v>75.97184</v>
      </c>
      <c r="Z11">
        <v>76.362976000000003</v>
      </c>
      <c r="AA11">
        <v>76.752701000000002</v>
      </c>
      <c r="AB11">
        <v>77.141457000000003</v>
      </c>
      <c r="AC11">
        <v>77.529769999999999</v>
      </c>
      <c r="AD11">
        <v>77.919685000000001</v>
      </c>
      <c r="AE11" s="16">
        <v>7.0000000000000001E-3</v>
      </c>
    </row>
    <row r="12" spans="1:31" x14ac:dyDescent="0.25">
      <c r="A12" t="s">
        <v>187</v>
      </c>
      <c r="B12" t="s">
        <v>847</v>
      </c>
      <c r="C12" t="s">
        <v>848</v>
      </c>
      <c r="D12" t="s">
        <v>183</v>
      </c>
      <c r="E12">
        <v>4.6737549999999999</v>
      </c>
      <c r="F12">
        <v>4.6422800000000004</v>
      </c>
      <c r="G12">
        <v>4.6102230000000004</v>
      </c>
      <c r="H12">
        <v>4.5781340000000004</v>
      </c>
      <c r="I12">
        <v>4.546576</v>
      </c>
      <c r="J12">
        <v>4.5154690000000004</v>
      </c>
      <c r="K12">
        <v>4.4839739999999999</v>
      </c>
      <c r="L12">
        <v>4.4538039999999999</v>
      </c>
      <c r="M12">
        <v>4.424804</v>
      </c>
      <c r="N12">
        <v>4.3976670000000002</v>
      </c>
      <c r="O12">
        <v>4.372064</v>
      </c>
      <c r="P12">
        <v>4.3475010000000003</v>
      </c>
      <c r="Q12">
        <v>4.3242209999999996</v>
      </c>
      <c r="R12">
        <v>4.3016819999999996</v>
      </c>
      <c r="S12">
        <v>4.2798569999999998</v>
      </c>
      <c r="T12">
        <v>4.2586279999999999</v>
      </c>
      <c r="U12">
        <v>4.237717</v>
      </c>
      <c r="V12">
        <v>4.2175820000000002</v>
      </c>
      <c r="W12">
        <v>4.1980930000000001</v>
      </c>
      <c r="X12">
        <v>4.1792980000000002</v>
      </c>
      <c r="Y12">
        <v>4.1611890000000002</v>
      </c>
      <c r="Z12">
        <v>4.1435909999999998</v>
      </c>
      <c r="AA12">
        <v>4.1251040000000003</v>
      </c>
      <c r="AB12">
        <v>4.1058329999999996</v>
      </c>
      <c r="AC12">
        <v>4.0859059999999996</v>
      </c>
      <c r="AD12">
        <v>4.0656650000000001</v>
      </c>
      <c r="AE12" s="16">
        <v>-6.0000000000000001E-3</v>
      </c>
    </row>
    <row r="13" spans="1:31" x14ac:dyDescent="0.25">
      <c r="A13" t="s">
        <v>149</v>
      </c>
      <c r="B13" t="s">
        <v>849</v>
      </c>
      <c r="C13" t="s">
        <v>850</v>
      </c>
      <c r="D13" t="s">
        <v>183</v>
      </c>
      <c r="E13">
        <v>5.2395709999999998</v>
      </c>
      <c r="F13">
        <v>5.2549010000000003</v>
      </c>
      <c r="G13">
        <v>5.2751890000000001</v>
      </c>
      <c r="H13">
        <v>5.292929</v>
      </c>
      <c r="I13">
        <v>5.3152679999999997</v>
      </c>
      <c r="J13">
        <v>5.332719</v>
      </c>
      <c r="K13">
        <v>5.3451440000000003</v>
      </c>
      <c r="L13">
        <v>5.3563660000000004</v>
      </c>
      <c r="M13">
        <v>5.3660180000000004</v>
      </c>
      <c r="N13">
        <v>5.3747540000000003</v>
      </c>
      <c r="O13">
        <v>5.3829750000000001</v>
      </c>
      <c r="P13">
        <v>5.3903879999999997</v>
      </c>
      <c r="Q13">
        <v>5.3971450000000001</v>
      </c>
      <c r="R13">
        <v>5.402469</v>
      </c>
      <c r="S13">
        <v>5.4060649999999999</v>
      </c>
      <c r="T13">
        <v>5.4090369999999997</v>
      </c>
      <c r="U13">
        <v>5.4112850000000003</v>
      </c>
      <c r="V13">
        <v>5.4132400000000001</v>
      </c>
      <c r="W13">
        <v>5.4150200000000002</v>
      </c>
      <c r="X13">
        <v>5.4168830000000003</v>
      </c>
      <c r="Y13">
        <v>5.4196330000000001</v>
      </c>
      <c r="Z13">
        <v>5.4235189999999998</v>
      </c>
      <c r="AA13">
        <v>5.4257790000000004</v>
      </c>
      <c r="AB13">
        <v>5.426469</v>
      </c>
      <c r="AC13">
        <v>5.4259060000000003</v>
      </c>
      <c r="AD13">
        <v>5.424696</v>
      </c>
      <c r="AE13" s="16">
        <v>1E-3</v>
      </c>
    </row>
    <row r="14" spans="1:31" x14ac:dyDescent="0.25">
      <c r="A14" t="s">
        <v>189</v>
      </c>
      <c r="B14" t="s">
        <v>851</v>
      </c>
      <c r="C14" t="s">
        <v>852</v>
      </c>
      <c r="D14" t="s">
        <v>183</v>
      </c>
      <c r="E14">
        <v>2.2090990000000001</v>
      </c>
      <c r="F14">
        <v>2.206372</v>
      </c>
      <c r="G14">
        <v>2.2047159999999999</v>
      </c>
      <c r="H14">
        <v>2.2026789999999998</v>
      </c>
      <c r="I14">
        <v>2.2002570000000001</v>
      </c>
      <c r="J14">
        <v>2.1964980000000001</v>
      </c>
      <c r="K14">
        <v>2.1924929999999998</v>
      </c>
      <c r="L14">
        <v>2.1884109999999999</v>
      </c>
      <c r="M14">
        <v>2.183818</v>
      </c>
      <c r="N14">
        <v>2.179103</v>
      </c>
      <c r="O14">
        <v>2.1740590000000002</v>
      </c>
      <c r="P14">
        <v>2.1687409999999998</v>
      </c>
      <c r="Q14">
        <v>2.1626880000000002</v>
      </c>
      <c r="R14">
        <v>2.1560899999999998</v>
      </c>
      <c r="S14">
        <v>2.1488040000000002</v>
      </c>
      <c r="T14">
        <v>2.1411419999999999</v>
      </c>
      <c r="U14">
        <v>2.1330819999999999</v>
      </c>
      <c r="V14">
        <v>2.125569</v>
      </c>
      <c r="W14">
        <v>2.1186440000000002</v>
      </c>
      <c r="X14">
        <v>2.112358</v>
      </c>
      <c r="Y14">
        <v>2.1066569999999998</v>
      </c>
      <c r="Z14">
        <v>2.1014249999999999</v>
      </c>
      <c r="AA14">
        <v>2.0966870000000002</v>
      </c>
      <c r="AB14">
        <v>2.0924040000000002</v>
      </c>
      <c r="AC14">
        <v>2.0886610000000001</v>
      </c>
      <c r="AD14">
        <v>2.0855130000000002</v>
      </c>
      <c r="AE14" s="16">
        <v>-2E-3</v>
      </c>
    </row>
    <row r="15" spans="1:31" x14ac:dyDescent="0.25">
      <c r="A15" t="s">
        <v>190</v>
      </c>
      <c r="B15" t="s">
        <v>853</v>
      </c>
      <c r="C15" t="s">
        <v>854</v>
      </c>
      <c r="D15" t="s">
        <v>183</v>
      </c>
      <c r="E15">
        <v>1.313477</v>
      </c>
      <c r="F15">
        <v>1.3238179999999999</v>
      </c>
      <c r="G15">
        <v>1.3355079999999999</v>
      </c>
      <c r="H15">
        <v>1.347146</v>
      </c>
      <c r="I15">
        <v>1.358514</v>
      </c>
      <c r="J15">
        <v>1.368395</v>
      </c>
      <c r="K15">
        <v>1.3780220000000001</v>
      </c>
      <c r="L15">
        <v>1.387662</v>
      </c>
      <c r="M15">
        <v>1.3971420000000001</v>
      </c>
      <c r="N15">
        <v>1.4063639999999999</v>
      </c>
      <c r="O15">
        <v>1.415457</v>
      </c>
      <c r="P15">
        <v>1.424366</v>
      </c>
      <c r="Q15">
        <v>1.432796</v>
      </c>
      <c r="R15">
        <v>1.4408460000000001</v>
      </c>
      <c r="S15">
        <v>1.448364</v>
      </c>
      <c r="T15">
        <v>1.455673</v>
      </c>
      <c r="U15">
        <v>1.462747</v>
      </c>
      <c r="V15">
        <v>1.469619</v>
      </c>
      <c r="W15">
        <v>1.4763219999999999</v>
      </c>
      <c r="X15">
        <v>1.4829699999999999</v>
      </c>
      <c r="Y15">
        <v>1.489655</v>
      </c>
      <c r="Z15">
        <v>1.496316</v>
      </c>
      <c r="AA15">
        <v>1.5029079999999999</v>
      </c>
      <c r="AB15">
        <v>1.509388</v>
      </c>
      <c r="AC15">
        <v>1.5158069999999999</v>
      </c>
      <c r="AD15">
        <v>1.522205</v>
      </c>
      <c r="AE15" s="16">
        <v>6.0000000000000001E-3</v>
      </c>
    </row>
    <row r="16" spans="1:31" x14ac:dyDescent="0.25">
      <c r="A16" t="s">
        <v>191</v>
      </c>
      <c r="B16" t="s">
        <v>855</v>
      </c>
      <c r="C16" t="s">
        <v>856</v>
      </c>
      <c r="D16" t="s">
        <v>183</v>
      </c>
      <c r="E16">
        <v>124.95929</v>
      </c>
      <c r="F16">
        <v>126.329865</v>
      </c>
      <c r="G16">
        <v>127.734421</v>
      </c>
      <c r="H16">
        <v>129.115646</v>
      </c>
      <c r="I16">
        <v>130.49623099999999</v>
      </c>
      <c r="J16">
        <v>131.860916</v>
      </c>
      <c r="K16">
        <v>133.231888</v>
      </c>
      <c r="L16">
        <v>134.60423299999999</v>
      </c>
      <c r="M16">
        <v>135.95462000000001</v>
      </c>
      <c r="N16">
        <v>137.26591500000001</v>
      </c>
      <c r="O16">
        <v>138.550354</v>
      </c>
      <c r="P16">
        <v>139.800354</v>
      </c>
      <c r="Q16">
        <v>140.98782299999999</v>
      </c>
      <c r="R16">
        <v>142.123932</v>
      </c>
      <c r="S16">
        <v>143.200943</v>
      </c>
      <c r="T16">
        <v>144.23345900000001</v>
      </c>
      <c r="U16">
        <v>145.21546900000001</v>
      </c>
      <c r="V16">
        <v>146.16392500000001</v>
      </c>
      <c r="W16">
        <v>147.08049</v>
      </c>
      <c r="X16">
        <v>147.97799699999999</v>
      </c>
      <c r="Y16">
        <v>148.879807</v>
      </c>
      <c r="Z16">
        <v>149.78649899999999</v>
      </c>
      <c r="AA16">
        <v>150.68952899999999</v>
      </c>
      <c r="AB16">
        <v>151.58947800000001</v>
      </c>
      <c r="AC16">
        <v>152.48834199999999</v>
      </c>
      <c r="AD16">
        <v>153.39111299999999</v>
      </c>
      <c r="AE16" s="16">
        <v>8.0000000000000002E-3</v>
      </c>
    </row>
    <row r="17" spans="1:31" x14ac:dyDescent="0.25">
      <c r="A17" t="s">
        <v>192</v>
      </c>
    </row>
    <row r="18" spans="1:31" x14ac:dyDescent="0.25">
      <c r="A18" t="s">
        <v>182</v>
      </c>
      <c r="B18" t="s">
        <v>857</v>
      </c>
      <c r="C18" t="s">
        <v>858</v>
      </c>
      <c r="D18" t="s">
        <v>183</v>
      </c>
      <c r="E18">
        <v>17.311980999999999</v>
      </c>
      <c r="F18">
        <v>17.749023000000001</v>
      </c>
      <c r="G18">
        <v>18.189427999999999</v>
      </c>
      <c r="H18">
        <v>18.620301999999999</v>
      </c>
      <c r="I18">
        <v>19.048615000000002</v>
      </c>
      <c r="J18">
        <v>19.472926999999999</v>
      </c>
      <c r="K18">
        <v>19.896329999999999</v>
      </c>
      <c r="L18">
        <v>20.319123999999999</v>
      </c>
      <c r="M18">
        <v>20.735673999999999</v>
      </c>
      <c r="N18">
        <v>21.139621999999999</v>
      </c>
      <c r="O18">
        <v>21.534761</v>
      </c>
      <c r="P18">
        <v>21.918699</v>
      </c>
      <c r="Q18">
        <v>22.287915999999999</v>
      </c>
      <c r="R18">
        <v>22.643476</v>
      </c>
      <c r="S18">
        <v>22.982578</v>
      </c>
      <c r="T18">
        <v>23.308931000000001</v>
      </c>
      <c r="U18">
        <v>23.621455999999998</v>
      </c>
      <c r="V18">
        <v>23.925042999999999</v>
      </c>
      <c r="W18">
        <v>24.216196</v>
      </c>
      <c r="X18">
        <v>24.497821999999999</v>
      </c>
      <c r="Y18">
        <v>24.778507000000001</v>
      </c>
      <c r="Z18">
        <v>25.059124000000001</v>
      </c>
      <c r="AA18">
        <v>25.339233</v>
      </c>
      <c r="AB18">
        <v>25.618922999999999</v>
      </c>
      <c r="AC18">
        <v>25.898475999999999</v>
      </c>
      <c r="AD18">
        <v>26.179152999999999</v>
      </c>
      <c r="AE18" s="16">
        <v>1.7000000000000001E-2</v>
      </c>
    </row>
    <row r="19" spans="1:31" x14ac:dyDescent="0.25">
      <c r="A19" t="s">
        <v>185</v>
      </c>
      <c r="B19" t="s">
        <v>859</v>
      </c>
      <c r="C19" t="s">
        <v>860</v>
      </c>
      <c r="D19" t="s">
        <v>183</v>
      </c>
      <c r="E19">
        <v>1.3534809999999999</v>
      </c>
      <c r="F19">
        <v>1.362886</v>
      </c>
      <c r="G19">
        <v>1.372539</v>
      </c>
      <c r="H19">
        <v>1.381982</v>
      </c>
      <c r="I19">
        <v>1.3914569999999999</v>
      </c>
      <c r="J19">
        <v>1.401143</v>
      </c>
      <c r="K19">
        <v>1.411546</v>
      </c>
      <c r="L19">
        <v>1.4220060000000001</v>
      </c>
      <c r="M19">
        <v>1.432234</v>
      </c>
      <c r="N19">
        <v>1.442105</v>
      </c>
      <c r="O19">
        <v>1.4517199999999999</v>
      </c>
      <c r="P19">
        <v>1.461082</v>
      </c>
      <c r="Q19">
        <v>1.469427</v>
      </c>
      <c r="R19">
        <v>1.4771780000000001</v>
      </c>
      <c r="S19">
        <v>1.484383</v>
      </c>
      <c r="T19">
        <v>1.4911719999999999</v>
      </c>
      <c r="U19">
        <v>1.4974749999999999</v>
      </c>
      <c r="V19">
        <v>1.5033890000000001</v>
      </c>
      <c r="W19">
        <v>1.509155</v>
      </c>
      <c r="X19">
        <v>1.5149699999999999</v>
      </c>
      <c r="Y19">
        <v>1.520824</v>
      </c>
      <c r="Z19">
        <v>1.5266820000000001</v>
      </c>
      <c r="AA19">
        <v>1.532497</v>
      </c>
      <c r="AB19">
        <v>1.5382849999999999</v>
      </c>
      <c r="AC19">
        <v>1.544062</v>
      </c>
      <c r="AD19">
        <v>1.5498529999999999</v>
      </c>
      <c r="AE19" s="16">
        <v>5.0000000000000001E-3</v>
      </c>
    </row>
    <row r="20" spans="1:31" x14ac:dyDescent="0.25">
      <c r="A20" t="s">
        <v>190</v>
      </c>
      <c r="B20" t="s">
        <v>861</v>
      </c>
      <c r="C20" t="s">
        <v>862</v>
      </c>
      <c r="D20" t="s">
        <v>183</v>
      </c>
      <c r="E20">
        <v>1.3134760000000001</v>
      </c>
      <c r="F20">
        <v>1.3238179999999999</v>
      </c>
      <c r="G20">
        <v>1.3355079999999999</v>
      </c>
      <c r="H20">
        <v>1.347146</v>
      </c>
      <c r="I20">
        <v>1.358514</v>
      </c>
      <c r="J20">
        <v>1.3683959999999999</v>
      </c>
      <c r="K20">
        <v>1.3780220000000001</v>
      </c>
      <c r="L20">
        <v>1.387662</v>
      </c>
      <c r="M20">
        <v>1.3971420000000001</v>
      </c>
      <c r="N20">
        <v>1.4063639999999999</v>
      </c>
      <c r="O20">
        <v>1.415457</v>
      </c>
      <c r="P20">
        <v>1.424366</v>
      </c>
      <c r="Q20">
        <v>1.4327970000000001</v>
      </c>
      <c r="R20">
        <v>1.4408460000000001</v>
      </c>
      <c r="S20">
        <v>1.448364</v>
      </c>
      <c r="T20">
        <v>1.455673</v>
      </c>
      <c r="U20">
        <v>1.4627479999999999</v>
      </c>
      <c r="V20">
        <v>1.469619</v>
      </c>
      <c r="W20">
        <v>1.4763230000000001</v>
      </c>
      <c r="X20">
        <v>1.482969</v>
      </c>
      <c r="Y20">
        <v>1.489655</v>
      </c>
      <c r="Z20">
        <v>1.496316</v>
      </c>
      <c r="AA20">
        <v>1.5029079999999999</v>
      </c>
      <c r="AB20">
        <v>1.509388</v>
      </c>
      <c r="AC20">
        <v>1.5158069999999999</v>
      </c>
      <c r="AD20">
        <v>1.522205</v>
      </c>
      <c r="AE20" s="16">
        <v>6.0000000000000001E-3</v>
      </c>
    </row>
    <row r="21" spans="1:31" x14ac:dyDescent="0.25">
      <c r="A21" t="s">
        <v>193</v>
      </c>
      <c r="B21" t="s">
        <v>863</v>
      </c>
      <c r="C21" t="s">
        <v>864</v>
      </c>
      <c r="D21" t="s">
        <v>183</v>
      </c>
      <c r="E21">
        <v>80.644835999999998</v>
      </c>
      <c r="F21">
        <v>81.803375000000003</v>
      </c>
      <c r="G21">
        <v>82.981055999999995</v>
      </c>
      <c r="H21">
        <v>84.147582999999997</v>
      </c>
      <c r="I21">
        <v>85.314003</v>
      </c>
      <c r="J21">
        <v>86.473327999999995</v>
      </c>
      <c r="K21">
        <v>87.635993999999997</v>
      </c>
      <c r="L21">
        <v>88.798950000000005</v>
      </c>
      <c r="M21">
        <v>89.949646000000001</v>
      </c>
      <c r="N21">
        <v>91.078986999999998</v>
      </c>
      <c r="O21">
        <v>92.193398000000002</v>
      </c>
      <c r="P21">
        <v>93.288848999999999</v>
      </c>
      <c r="Q21">
        <v>94.35051</v>
      </c>
      <c r="R21">
        <v>95.384315000000001</v>
      </c>
      <c r="S21">
        <v>96.386200000000002</v>
      </c>
      <c r="T21">
        <v>97.363770000000002</v>
      </c>
      <c r="U21">
        <v>98.313896</v>
      </c>
      <c r="V21">
        <v>99.24588</v>
      </c>
      <c r="W21">
        <v>100.160545</v>
      </c>
      <c r="X21">
        <v>101.064911</v>
      </c>
      <c r="Y21">
        <v>101.971619</v>
      </c>
      <c r="Z21">
        <v>102.881165</v>
      </c>
      <c r="AA21">
        <v>103.788918</v>
      </c>
      <c r="AB21">
        <v>104.695221</v>
      </c>
      <c r="AC21">
        <v>105.60105900000001</v>
      </c>
      <c r="AD21">
        <v>106.509247</v>
      </c>
      <c r="AE21" s="16">
        <v>1.0999999999999999E-2</v>
      </c>
    </row>
    <row r="22" spans="1:31" x14ac:dyDescent="0.25">
      <c r="A22" t="s">
        <v>194</v>
      </c>
      <c r="B22" t="s">
        <v>865</v>
      </c>
      <c r="C22" t="s">
        <v>866</v>
      </c>
      <c r="D22" t="s">
        <v>183</v>
      </c>
      <c r="E22">
        <v>43.230812</v>
      </c>
      <c r="F22">
        <v>43.332206999999997</v>
      </c>
      <c r="G22">
        <v>43.442599999999999</v>
      </c>
      <c r="H22">
        <v>43.551468</v>
      </c>
      <c r="I22">
        <v>43.660193999999997</v>
      </c>
      <c r="J22">
        <v>43.765265999999997</v>
      </c>
      <c r="K22">
        <v>43.876235999999999</v>
      </c>
      <c r="L22">
        <v>43.988444999999999</v>
      </c>
      <c r="M22">
        <v>44.098244000000001</v>
      </c>
      <c r="N22">
        <v>44.203854</v>
      </c>
      <c r="O22">
        <v>44.306885000000001</v>
      </c>
      <c r="P22">
        <v>44.407001000000001</v>
      </c>
      <c r="Q22">
        <v>44.495967999999998</v>
      </c>
      <c r="R22">
        <v>44.577995000000001</v>
      </c>
      <c r="S22">
        <v>44.652718</v>
      </c>
      <c r="T22">
        <v>44.722828</v>
      </c>
      <c r="U22">
        <v>44.787525000000002</v>
      </c>
      <c r="V22">
        <v>44.848129</v>
      </c>
      <c r="W22">
        <v>44.906857000000002</v>
      </c>
      <c r="X22">
        <v>44.966090999999999</v>
      </c>
      <c r="Y22">
        <v>45.026668999999998</v>
      </c>
      <c r="Z22">
        <v>45.088047000000003</v>
      </c>
      <c r="AA22">
        <v>45.149470999999998</v>
      </c>
      <c r="AB22">
        <v>45.210838000000003</v>
      </c>
      <c r="AC22">
        <v>45.272564000000003</v>
      </c>
      <c r="AD22">
        <v>45.335132999999999</v>
      </c>
      <c r="AE22" s="16">
        <v>2E-3</v>
      </c>
    </row>
    <row r="23" spans="1:31" x14ac:dyDescent="0.25">
      <c r="A23" t="s">
        <v>191</v>
      </c>
      <c r="B23" t="s">
        <v>867</v>
      </c>
      <c r="C23" t="s">
        <v>868</v>
      </c>
      <c r="D23" t="s">
        <v>183</v>
      </c>
      <c r="E23">
        <v>143.85458399999999</v>
      </c>
      <c r="F23">
        <v>145.57131999999999</v>
      </c>
      <c r="G23">
        <v>147.321136</v>
      </c>
      <c r="H23">
        <v>149.04849200000001</v>
      </c>
      <c r="I23">
        <v>150.77278100000001</v>
      </c>
      <c r="J23">
        <v>152.48104900000001</v>
      </c>
      <c r="K23">
        <v>154.19811999999999</v>
      </c>
      <c r="L23">
        <v>155.91618299999999</v>
      </c>
      <c r="M23">
        <v>157.61294599999999</v>
      </c>
      <c r="N23">
        <v>159.27093500000001</v>
      </c>
      <c r="O23">
        <v>160.90222199999999</v>
      </c>
      <c r="P23">
        <v>162.5</v>
      </c>
      <c r="Q23">
        <v>164.036621</v>
      </c>
      <c r="R23">
        <v>165.52380400000001</v>
      </c>
      <c r="S23">
        <v>166.95425399999999</v>
      </c>
      <c r="T23">
        <v>168.342377</v>
      </c>
      <c r="U23">
        <v>169.68310500000001</v>
      </c>
      <c r="V23">
        <v>170.992065</v>
      </c>
      <c r="W23">
        <v>172.26907299999999</v>
      </c>
      <c r="X23">
        <v>173.52676399999999</v>
      </c>
      <c r="Y23">
        <v>174.78727699999999</v>
      </c>
      <c r="Z23">
        <v>176.051331</v>
      </c>
      <c r="AA23">
        <v>177.31303399999999</v>
      </c>
      <c r="AB23">
        <v>178.57266200000001</v>
      </c>
      <c r="AC23">
        <v>179.83197000000001</v>
      </c>
      <c r="AD23">
        <v>181.09558100000001</v>
      </c>
      <c r="AE23" s="16">
        <v>8.9999999999999993E-3</v>
      </c>
    </row>
    <row r="24" spans="1:31" x14ac:dyDescent="0.25">
      <c r="A24" t="s">
        <v>195</v>
      </c>
    </row>
    <row r="25" spans="1:31" x14ac:dyDescent="0.25">
      <c r="A25" t="s">
        <v>196</v>
      </c>
      <c r="B25" t="s">
        <v>869</v>
      </c>
      <c r="C25" t="s">
        <v>870</v>
      </c>
      <c r="D25" t="s">
        <v>183</v>
      </c>
      <c r="E25">
        <v>62.475158999999998</v>
      </c>
      <c r="F25">
        <v>63.120700999999997</v>
      </c>
      <c r="G25">
        <v>63.779792999999998</v>
      </c>
      <c r="H25">
        <v>64.431319999999999</v>
      </c>
      <c r="I25">
        <v>65.353851000000006</v>
      </c>
      <c r="J25">
        <v>66.246184999999997</v>
      </c>
      <c r="K25">
        <v>67.135970999999998</v>
      </c>
      <c r="L25">
        <v>68.015441999999993</v>
      </c>
      <c r="M25">
        <v>68.872505000000004</v>
      </c>
      <c r="N25">
        <v>69.689301</v>
      </c>
      <c r="O25">
        <v>70.473304999999996</v>
      </c>
      <c r="P25">
        <v>71.249404999999996</v>
      </c>
      <c r="Q25">
        <v>71.995590000000007</v>
      </c>
      <c r="R25">
        <v>72.719170000000005</v>
      </c>
      <c r="S25">
        <v>73.415535000000006</v>
      </c>
      <c r="T25">
        <v>74.092467999999997</v>
      </c>
      <c r="U25">
        <v>74.745131999999998</v>
      </c>
      <c r="V25">
        <v>75.379486</v>
      </c>
      <c r="W25">
        <v>75.998474000000002</v>
      </c>
      <c r="X25">
        <v>76.607581999999994</v>
      </c>
      <c r="Y25">
        <v>77.218093999999994</v>
      </c>
      <c r="Z25">
        <v>77.830139000000003</v>
      </c>
      <c r="AA25">
        <v>78.438873000000001</v>
      </c>
      <c r="AB25">
        <v>79.044280999999998</v>
      </c>
      <c r="AC25">
        <v>79.647743000000006</v>
      </c>
      <c r="AD25">
        <v>80.251227999999998</v>
      </c>
      <c r="AE25" s="16">
        <v>0.01</v>
      </c>
    </row>
    <row r="26" spans="1:31" x14ac:dyDescent="0.25">
      <c r="A26" t="s">
        <v>197</v>
      </c>
      <c r="B26" t="s">
        <v>871</v>
      </c>
      <c r="C26" t="s">
        <v>872</v>
      </c>
      <c r="D26" t="s">
        <v>183</v>
      </c>
      <c r="E26">
        <v>65.115172999999999</v>
      </c>
      <c r="F26">
        <v>65.884170999999995</v>
      </c>
      <c r="G26">
        <v>66.651427999999996</v>
      </c>
      <c r="H26">
        <v>67.398285000000001</v>
      </c>
      <c r="I26">
        <v>67.943634000000003</v>
      </c>
      <c r="J26">
        <v>68.493774000000002</v>
      </c>
      <c r="K26">
        <v>69.045731000000004</v>
      </c>
      <c r="L26">
        <v>69.599311999999998</v>
      </c>
      <c r="M26">
        <v>70.142830000000004</v>
      </c>
      <c r="N26">
        <v>70.674828000000005</v>
      </c>
      <c r="O26">
        <v>71.197997999999998</v>
      </c>
      <c r="P26">
        <v>71.701553000000004</v>
      </c>
      <c r="Q26">
        <v>72.178955000000002</v>
      </c>
      <c r="R26">
        <v>72.633232000000007</v>
      </c>
      <c r="S26">
        <v>73.061042999999998</v>
      </c>
      <c r="T26">
        <v>73.467194000000006</v>
      </c>
      <c r="U26">
        <v>73.849609000000001</v>
      </c>
      <c r="V26">
        <v>74.217758000000003</v>
      </c>
      <c r="W26">
        <v>74.569519</v>
      </c>
      <c r="X26">
        <v>74.911040999999997</v>
      </c>
      <c r="Y26">
        <v>75.253555000000006</v>
      </c>
      <c r="Z26">
        <v>75.597663999999995</v>
      </c>
      <c r="AA26">
        <v>75.939887999999996</v>
      </c>
      <c r="AB26">
        <v>76.280815000000004</v>
      </c>
      <c r="AC26">
        <v>76.620627999999996</v>
      </c>
      <c r="AD26">
        <v>76.962226999999999</v>
      </c>
      <c r="AE26" s="16">
        <v>7.0000000000000001E-3</v>
      </c>
    </row>
    <row r="27" spans="1:31" x14ac:dyDescent="0.25">
      <c r="A27" t="s">
        <v>187</v>
      </c>
      <c r="B27" t="s">
        <v>873</v>
      </c>
      <c r="C27" t="s">
        <v>874</v>
      </c>
      <c r="D27" t="s">
        <v>183</v>
      </c>
      <c r="E27">
        <v>2.2249989999999999</v>
      </c>
      <c r="F27">
        <v>2.1372429999999998</v>
      </c>
      <c r="G27">
        <v>2.0548129999999998</v>
      </c>
      <c r="H27">
        <v>1.9790049999999999</v>
      </c>
      <c r="I27">
        <v>1.905996</v>
      </c>
      <c r="J27">
        <v>1.841834</v>
      </c>
      <c r="K27">
        <v>1.785774</v>
      </c>
      <c r="L27">
        <v>1.7382200000000001</v>
      </c>
      <c r="M27">
        <v>1.6991959999999999</v>
      </c>
      <c r="N27">
        <v>1.6690750000000001</v>
      </c>
      <c r="O27">
        <v>1.6480349999999999</v>
      </c>
      <c r="P27">
        <v>1.6257440000000001</v>
      </c>
      <c r="Q27">
        <v>1.6024309999999999</v>
      </c>
      <c r="R27">
        <v>1.578433</v>
      </c>
      <c r="S27">
        <v>1.5539849999999999</v>
      </c>
      <c r="T27">
        <v>1.5293639999999999</v>
      </c>
      <c r="U27">
        <v>1.5047299999999999</v>
      </c>
      <c r="V27">
        <v>1.480259</v>
      </c>
      <c r="W27">
        <v>1.4560999999999999</v>
      </c>
      <c r="X27">
        <v>1.4324030000000001</v>
      </c>
      <c r="Y27">
        <v>1.4092560000000001</v>
      </c>
      <c r="Z27">
        <v>1.386725</v>
      </c>
      <c r="AA27">
        <v>1.3648480000000001</v>
      </c>
      <c r="AB27">
        <v>1.343653</v>
      </c>
      <c r="AC27">
        <v>1.32317</v>
      </c>
      <c r="AD27">
        <v>1.3034319999999999</v>
      </c>
      <c r="AE27" s="16">
        <v>-2.1000000000000001E-2</v>
      </c>
    </row>
    <row r="28" spans="1:31" x14ac:dyDescent="0.25">
      <c r="A28" t="s">
        <v>149</v>
      </c>
      <c r="B28" t="s">
        <v>875</v>
      </c>
      <c r="C28" t="s">
        <v>876</v>
      </c>
      <c r="D28" t="s">
        <v>183</v>
      </c>
      <c r="E28">
        <v>4.1999490000000002</v>
      </c>
      <c r="F28">
        <v>4.2309659999999996</v>
      </c>
      <c r="G28">
        <v>4.2742089999999999</v>
      </c>
      <c r="H28">
        <v>4.316001</v>
      </c>
      <c r="I28">
        <v>4.2940230000000001</v>
      </c>
      <c r="J28">
        <v>4.2723849999999999</v>
      </c>
      <c r="K28">
        <v>4.2498259999999997</v>
      </c>
      <c r="L28">
        <v>4.228853</v>
      </c>
      <c r="M28">
        <v>4.2099399999999996</v>
      </c>
      <c r="N28">
        <v>4.1951309999999999</v>
      </c>
      <c r="O28">
        <v>4.1860609999999996</v>
      </c>
      <c r="P28">
        <v>4.1713630000000004</v>
      </c>
      <c r="Q28">
        <v>4.1514150000000001</v>
      </c>
      <c r="R28">
        <v>4.1265790000000004</v>
      </c>
      <c r="S28">
        <v>4.0969160000000002</v>
      </c>
      <c r="T28">
        <v>4.0640700000000001</v>
      </c>
      <c r="U28">
        <v>4.0289239999999999</v>
      </c>
      <c r="V28">
        <v>3.992864</v>
      </c>
      <c r="W28">
        <v>3.9564889999999999</v>
      </c>
      <c r="X28">
        <v>3.9207900000000002</v>
      </c>
      <c r="Y28">
        <v>3.8863789999999998</v>
      </c>
      <c r="Z28">
        <v>3.8531279999999999</v>
      </c>
      <c r="AA28">
        <v>3.8208299999999999</v>
      </c>
      <c r="AB28">
        <v>3.789447</v>
      </c>
      <c r="AC28">
        <v>3.759233</v>
      </c>
      <c r="AD28">
        <v>3.7305290000000002</v>
      </c>
      <c r="AE28" s="16">
        <v>-5.0000000000000001E-3</v>
      </c>
    </row>
    <row r="29" spans="1:31" x14ac:dyDescent="0.25">
      <c r="A29" t="s">
        <v>198</v>
      </c>
      <c r="B29" t="s">
        <v>877</v>
      </c>
      <c r="C29" t="s">
        <v>878</v>
      </c>
      <c r="D29" t="s">
        <v>183</v>
      </c>
      <c r="E29">
        <v>2.1779500000000001</v>
      </c>
      <c r="F29">
        <v>2.185155</v>
      </c>
      <c r="G29">
        <v>2.197155</v>
      </c>
      <c r="H29">
        <v>2.2086779999999999</v>
      </c>
      <c r="I29">
        <v>2.2111190000000001</v>
      </c>
      <c r="J29">
        <v>2.213908</v>
      </c>
      <c r="K29">
        <v>2.2168079999999999</v>
      </c>
      <c r="L29">
        <v>2.219646</v>
      </c>
      <c r="M29">
        <v>2.2224400000000002</v>
      </c>
      <c r="N29">
        <v>2.2251629999999998</v>
      </c>
      <c r="O29">
        <v>2.2278129999999998</v>
      </c>
      <c r="P29">
        <v>2.2304569999999999</v>
      </c>
      <c r="Q29">
        <v>2.233098</v>
      </c>
      <c r="R29">
        <v>2.235716</v>
      </c>
      <c r="S29">
        <v>2.238299</v>
      </c>
      <c r="T29">
        <v>2.2408290000000002</v>
      </c>
      <c r="U29">
        <v>2.2432910000000001</v>
      </c>
      <c r="V29">
        <v>2.2456640000000001</v>
      </c>
      <c r="W29">
        <v>2.2479269999999998</v>
      </c>
      <c r="X29">
        <v>2.2502469999999999</v>
      </c>
      <c r="Y29">
        <v>2.2526139999999999</v>
      </c>
      <c r="Z29">
        <v>2.2550300000000001</v>
      </c>
      <c r="AA29">
        <v>2.257498</v>
      </c>
      <c r="AB29">
        <v>2.2600120000000001</v>
      </c>
      <c r="AC29">
        <v>2.2625549999999999</v>
      </c>
      <c r="AD29">
        <v>2.2651370000000002</v>
      </c>
      <c r="AE29" s="16">
        <v>2E-3</v>
      </c>
    </row>
    <row r="30" spans="1:31" x14ac:dyDescent="0.25">
      <c r="A30" t="s">
        <v>191</v>
      </c>
      <c r="B30" t="s">
        <v>879</v>
      </c>
      <c r="C30" t="s">
        <v>880</v>
      </c>
      <c r="D30" t="s">
        <v>183</v>
      </c>
      <c r="E30">
        <v>136.19323700000001</v>
      </c>
      <c r="F30">
        <v>137.55822800000001</v>
      </c>
      <c r="G30">
        <v>138.95739699999999</v>
      </c>
      <c r="H30">
        <v>140.333282</v>
      </c>
      <c r="I30">
        <v>141.708618</v>
      </c>
      <c r="J30">
        <v>143.068085</v>
      </c>
      <c r="K30">
        <v>144.434113</v>
      </c>
      <c r="L30">
        <v>145.801468</v>
      </c>
      <c r="M30">
        <v>147.14692700000001</v>
      </c>
      <c r="N30">
        <v>148.45349100000001</v>
      </c>
      <c r="O30">
        <v>149.733215</v>
      </c>
      <c r="P30">
        <v>150.97851600000001</v>
      </c>
      <c r="Q30">
        <v>152.161484</v>
      </c>
      <c r="R30">
        <v>153.29312100000001</v>
      </c>
      <c r="S30">
        <v>154.365768</v>
      </c>
      <c r="T30">
        <v>155.39392100000001</v>
      </c>
      <c r="U30">
        <v>156.371689</v>
      </c>
      <c r="V30">
        <v>157.316025</v>
      </c>
      <c r="W30">
        <v>158.2285</v>
      </c>
      <c r="X30">
        <v>159.12205499999999</v>
      </c>
      <c r="Y30">
        <v>160.01989699999999</v>
      </c>
      <c r="Z30">
        <v>160.922684</v>
      </c>
      <c r="AA30">
        <v>161.82193000000001</v>
      </c>
      <c r="AB30">
        <v>162.71821600000001</v>
      </c>
      <c r="AC30">
        <v>163.613327</v>
      </c>
      <c r="AD30">
        <v>164.51255800000001</v>
      </c>
      <c r="AE30" s="16">
        <v>8.0000000000000002E-3</v>
      </c>
    </row>
    <row r="31" spans="1:31" x14ac:dyDescent="0.25">
      <c r="A31" t="s">
        <v>199</v>
      </c>
    </row>
    <row r="32" spans="1:31" x14ac:dyDescent="0.25">
      <c r="A32" t="s">
        <v>196</v>
      </c>
      <c r="B32" t="s">
        <v>881</v>
      </c>
      <c r="C32" t="s">
        <v>882</v>
      </c>
      <c r="D32" t="s">
        <v>183</v>
      </c>
      <c r="E32">
        <v>101.44486999999999</v>
      </c>
      <c r="F32">
        <v>102.380219</v>
      </c>
      <c r="G32">
        <v>103.33311500000001</v>
      </c>
      <c r="H32">
        <v>104.26102400000001</v>
      </c>
      <c r="I32">
        <v>105.182686</v>
      </c>
      <c r="J32">
        <v>106.088013</v>
      </c>
      <c r="K32">
        <v>106.99603999999999</v>
      </c>
      <c r="L32">
        <v>107.89810199999999</v>
      </c>
      <c r="M32">
        <v>108.775696</v>
      </c>
      <c r="N32">
        <v>109.595596</v>
      </c>
      <c r="O32">
        <v>110.36457799999999</v>
      </c>
      <c r="P32">
        <v>111.068726</v>
      </c>
      <c r="Q32">
        <v>111.67789500000001</v>
      </c>
      <c r="R32">
        <v>112.264961</v>
      </c>
      <c r="S32">
        <v>112.842308</v>
      </c>
      <c r="T32">
        <v>113.424797</v>
      </c>
      <c r="U32">
        <v>114.018433</v>
      </c>
      <c r="V32">
        <v>114.64278400000001</v>
      </c>
      <c r="W32">
        <v>115.23735000000001</v>
      </c>
      <c r="X32">
        <v>115.81296500000001</v>
      </c>
      <c r="Y32">
        <v>116.38593299999999</v>
      </c>
      <c r="Z32">
        <v>116.95549800000001</v>
      </c>
      <c r="AA32">
        <v>117.514168</v>
      </c>
      <c r="AB32">
        <v>118.061089</v>
      </c>
      <c r="AC32">
        <v>118.59641999999999</v>
      </c>
      <c r="AD32">
        <v>119.12215399999999</v>
      </c>
      <c r="AE32" s="16">
        <v>6.0000000000000001E-3</v>
      </c>
    </row>
    <row r="33" spans="1:31" x14ac:dyDescent="0.25">
      <c r="A33" t="s">
        <v>197</v>
      </c>
      <c r="B33" t="s">
        <v>883</v>
      </c>
      <c r="C33" t="s">
        <v>884</v>
      </c>
      <c r="D33" t="s">
        <v>183</v>
      </c>
      <c r="E33">
        <v>54.077556999999999</v>
      </c>
      <c r="F33">
        <v>54.473880999999999</v>
      </c>
      <c r="G33">
        <v>54.882652</v>
      </c>
      <c r="H33">
        <v>55.293208999999997</v>
      </c>
      <c r="I33">
        <v>55.709217000000002</v>
      </c>
      <c r="J33">
        <v>56.129210999999998</v>
      </c>
      <c r="K33">
        <v>56.555218000000004</v>
      </c>
      <c r="L33">
        <v>56.989882999999999</v>
      </c>
      <c r="M33">
        <v>57.42915</v>
      </c>
      <c r="N33">
        <v>57.889847000000003</v>
      </c>
      <c r="O33">
        <v>58.377192999999998</v>
      </c>
      <c r="P33">
        <v>58.898079000000003</v>
      </c>
      <c r="Q33">
        <v>59.454914000000002</v>
      </c>
      <c r="R33">
        <v>59.983089</v>
      </c>
      <c r="S33">
        <v>60.462696000000001</v>
      </c>
      <c r="T33">
        <v>60.892116999999999</v>
      </c>
      <c r="U33">
        <v>61.259189999999997</v>
      </c>
      <c r="V33">
        <v>61.560585000000003</v>
      </c>
      <c r="W33">
        <v>61.861618</v>
      </c>
      <c r="X33">
        <v>62.164096999999998</v>
      </c>
      <c r="Y33">
        <v>62.474186000000003</v>
      </c>
      <c r="Z33">
        <v>62.793368999999998</v>
      </c>
      <c r="AA33">
        <v>63.121020999999999</v>
      </c>
      <c r="AB33">
        <v>63.458534</v>
      </c>
      <c r="AC33">
        <v>63.807617</v>
      </c>
      <c r="AD33">
        <v>64.171135000000007</v>
      </c>
      <c r="AE33" s="16">
        <v>7.0000000000000001E-3</v>
      </c>
    </row>
    <row r="34" spans="1:31" x14ac:dyDescent="0.25">
      <c r="A34" t="s">
        <v>149</v>
      </c>
      <c r="B34" t="s">
        <v>885</v>
      </c>
      <c r="C34" t="s">
        <v>886</v>
      </c>
      <c r="D34" t="s">
        <v>183</v>
      </c>
      <c r="E34">
        <v>6.3130860000000002</v>
      </c>
      <c r="F34">
        <v>6.3374180000000004</v>
      </c>
      <c r="G34">
        <v>6.3660569999999996</v>
      </c>
      <c r="H34">
        <v>6.3947450000000003</v>
      </c>
      <c r="I34">
        <v>6.4238</v>
      </c>
      <c r="J34">
        <v>6.4495940000000003</v>
      </c>
      <c r="K34">
        <v>6.4733359999999998</v>
      </c>
      <c r="L34">
        <v>6.4958270000000002</v>
      </c>
      <c r="M34">
        <v>6.5165069999999998</v>
      </c>
      <c r="N34">
        <v>6.5346590000000004</v>
      </c>
      <c r="O34">
        <v>6.5503739999999997</v>
      </c>
      <c r="P34">
        <v>6.5630930000000003</v>
      </c>
      <c r="Q34">
        <v>6.572578</v>
      </c>
      <c r="R34">
        <v>6.581728</v>
      </c>
      <c r="S34">
        <v>6.5902399999999997</v>
      </c>
      <c r="T34">
        <v>6.5994219999999997</v>
      </c>
      <c r="U34">
        <v>6.6096219999999999</v>
      </c>
      <c r="V34">
        <v>6.6214529999999998</v>
      </c>
      <c r="W34">
        <v>6.6316680000000003</v>
      </c>
      <c r="X34">
        <v>6.6405750000000001</v>
      </c>
      <c r="Y34">
        <v>6.6489390000000004</v>
      </c>
      <c r="Z34">
        <v>6.656644</v>
      </c>
      <c r="AA34">
        <v>6.6634019999999996</v>
      </c>
      <c r="AB34">
        <v>6.6690889999999996</v>
      </c>
      <c r="AC34">
        <v>6.6738559999999998</v>
      </c>
      <c r="AD34">
        <v>6.678013</v>
      </c>
      <c r="AE34" s="16">
        <v>2E-3</v>
      </c>
    </row>
    <row r="35" spans="1:31" x14ac:dyDescent="0.25">
      <c r="A35" t="s">
        <v>191</v>
      </c>
      <c r="B35" t="s">
        <v>887</v>
      </c>
      <c r="C35" t="s">
        <v>888</v>
      </c>
      <c r="D35" t="s">
        <v>183</v>
      </c>
      <c r="E35">
        <v>161.83551</v>
      </c>
      <c r="F35">
        <v>163.19151299999999</v>
      </c>
      <c r="G35">
        <v>164.581818</v>
      </c>
      <c r="H35">
        <v>165.94897499999999</v>
      </c>
      <c r="I35">
        <v>167.31570400000001</v>
      </c>
      <c r="J35">
        <v>168.66682399999999</v>
      </c>
      <c r="K35">
        <v>170.024597</v>
      </c>
      <c r="L35">
        <v>171.38381999999999</v>
      </c>
      <c r="M35">
        <v>172.72135900000001</v>
      </c>
      <c r="N35">
        <v>174.020096</v>
      </c>
      <c r="O35">
        <v>175.292145</v>
      </c>
      <c r="P35">
        <v>176.52989199999999</v>
      </c>
      <c r="Q35">
        <v>177.70538300000001</v>
      </c>
      <c r="R35">
        <v>178.82977299999999</v>
      </c>
      <c r="S35">
        <v>179.89524800000001</v>
      </c>
      <c r="T35">
        <v>180.916336</v>
      </c>
      <c r="U35">
        <v>181.887238</v>
      </c>
      <c r="V35">
        <v>182.82482899999999</v>
      </c>
      <c r="W35">
        <v>183.730637</v>
      </c>
      <c r="X35">
        <v>184.61764500000001</v>
      </c>
      <c r="Y35">
        <v>185.509064</v>
      </c>
      <c r="Z35">
        <v>186.405518</v>
      </c>
      <c r="AA35">
        <v>187.298599</v>
      </c>
      <c r="AB35">
        <v>188.188705</v>
      </c>
      <c r="AC35">
        <v>189.07789600000001</v>
      </c>
      <c r="AD35">
        <v>189.97129799999999</v>
      </c>
      <c r="AE35" s="16">
        <v>6.0000000000000001E-3</v>
      </c>
    </row>
    <row r="36" spans="1:31" x14ac:dyDescent="0.25">
      <c r="A36" t="s">
        <v>200</v>
      </c>
    </row>
    <row r="37" spans="1:31" x14ac:dyDescent="0.25">
      <c r="A37" t="s">
        <v>196</v>
      </c>
      <c r="B37" t="s">
        <v>889</v>
      </c>
      <c r="C37" t="s">
        <v>890</v>
      </c>
      <c r="D37" t="s">
        <v>183</v>
      </c>
      <c r="E37">
        <v>95.144310000000004</v>
      </c>
      <c r="F37">
        <v>97.873146000000006</v>
      </c>
      <c r="G37">
        <v>100.648087</v>
      </c>
      <c r="H37">
        <v>103.42568199999999</v>
      </c>
      <c r="I37">
        <v>106.189522</v>
      </c>
      <c r="J37">
        <v>108.940674</v>
      </c>
      <c r="K37">
        <v>111.672546</v>
      </c>
      <c r="L37">
        <v>114.384888</v>
      </c>
      <c r="M37">
        <v>117.081833</v>
      </c>
      <c r="N37">
        <v>119.745583</v>
      </c>
      <c r="O37">
        <v>122.390137</v>
      </c>
      <c r="P37">
        <v>125.005318</v>
      </c>
      <c r="Q37">
        <v>127.570015</v>
      </c>
      <c r="R37">
        <v>130.09307899999999</v>
      </c>
      <c r="S37">
        <v>132.56723</v>
      </c>
      <c r="T37">
        <v>135.00874300000001</v>
      </c>
      <c r="U37">
        <v>137.42129499999999</v>
      </c>
      <c r="V37">
        <v>139.789841</v>
      </c>
      <c r="W37">
        <v>142.116501</v>
      </c>
      <c r="X37">
        <v>144.413208</v>
      </c>
      <c r="Y37">
        <v>146.704849</v>
      </c>
      <c r="Z37">
        <v>148.99615499999999</v>
      </c>
      <c r="AA37">
        <v>151.27671799999999</v>
      </c>
      <c r="AB37">
        <v>153.54920999999999</v>
      </c>
      <c r="AC37">
        <v>155.817474</v>
      </c>
      <c r="AD37">
        <v>158.084946</v>
      </c>
      <c r="AE37" s="16">
        <v>2.1000000000000001E-2</v>
      </c>
    </row>
    <row r="38" spans="1:31" x14ac:dyDescent="0.25">
      <c r="A38" t="s">
        <v>197</v>
      </c>
      <c r="B38" t="s">
        <v>891</v>
      </c>
      <c r="C38" t="s">
        <v>892</v>
      </c>
      <c r="D38" t="s">
        <v>183</v>
      </c>
      <c r="E38">
        <v>20.463491000000001</v>
      </c>
      <c r="F38">
        <v>20.786949</v>
      </c>
      <c r="G38">
        <v>21.119661000000001</v>
      </c>
      <c r="H38">
        <v>21.460750999999998</v>
      </c>
      <c r="I38">
        <v>21.814619</v>
      </c>
      <c r="J38">
        <v>22.183361000000001</v>
      </c>
      <c r="K38">
        <v>22.569464</v>
      </c>
      <c r="L38">
        <v>22.975387999999999</v>
      </c>
      <c r="M38">
        <v>23.374451000000001</v>
      </c>
      <c r="N38">
        <v>23.767054000000002</v>
      </c>
      <c r="O38">
        <v>24.153271</v>
      </c>
      <c r="P38">
        <v>24.532173</v>
      </c>
      <c r="Q38">
        <v>24.902653000000001</v>
      </c>
      <c r="R38">
        <v>25.263342000000002</v>
      </c>
      <c r="S38">
        <v>25.611775999999999</v>
      </c>
      <c r="T38">
        <v>25.946064</v>
      </c>
      <c r="U38">
        <v>26.263985000000002</v>
      </c>
      <c r="V38">
        <v>26.590997999999999</v>
      </c>
      <c r="W38">
        <v>26.924613999999998</v>
      </c>
      <c r="X38">
        <v>27.264744</v>
      </c>
      <c r="Y38">
        <v>27.613161000000002</v>
      </c>
      <c r="Z38">
        <v>27.969189</v>
      </c>
      <c r="AA38">
        <v>28.330772</v>
      </c>
      <c r="AB38">
        <v>28.696926000000001</v>
      </c>
      <c r="AC38">
        <v>29.066327999999999</v>
      </c>
      <c r="AD38">
        <v>29.43947</v>
      </c>
      <c r="AE38" s="16">
        <v>1.4999999999999999E-2</v>
      </c>
    </row>
    <row r="39" spans="1:31" x14ac:dyDescent="0.25">
      <c r="A39" t="s">
        <v>191</v>
      </c>
      <c r="B39" t="s">
        <v>893</v>
      </c>
      <c r="C39" t="s">
        <v>894</v>
      </c>
      <c r="D39" t="s">
        <v>183</v>
      </c>
      <c r="E39">
        <v>115.607803</v>
      </c>
      <c r="F39">
        <v>118.660095</v>
      </c>
      <c r="G39">
        <v>121.767746</v>
      </c>
      <c r="H39">
        <v>124.88642900000001</v>
      </c>
      <c r="I39">
        <v>128.00413499999999</v>
      </c>
      <c r="J39">
        <v>131.12403900000001</v>
      </c>
      <c r="K39">
        <v>134.24200400000001</v>
      </c>
      <c r="L39">
        <v>137.360275</v>
      </c>
      <c r="M39">
        <v>140.45628400000001</v>
      </c>
      <c r="N39">
        <v>143.51263399999999</v>
      </c>
      <c r="O39">
        <v>146.54341099999999</v>
      </c>
      <c r="P39">
        <v>149.53749099999999</v>
      </c>
      <c r="Q39">
        <v>152.47267199999999</v>
      </c>
      <c r="R39">
        <v>155.356415</v>
      </c>
      <c r="S39">
        <v>158.179001</v>
      </c>
      <c r="T39">
        <v>160.954803</v>
      </c>
      <c r="U39">
        <v>163.685272</v>
      </c>
      <c r="V39">
        <v>166.380844</v>
      </c>
      <c r="W39">
        <v>169.04110700000001</v>
      </c>
      <c r="X39">
        <v>171.67794799999999</v>
      </c>
      <c r="Y39">
        <v>174.31800799999999</v>
      </c>
      <c r="Z39">
        <v>176.96534700000001</v>
      </c>
      <c r="AA39">
        <v>179.607483</v>
      </c>
      <c r="AB39">
        <v>182.24614</v>
      </c>
      <c r="AC39">
        <v>184.883804</v>
      </c>
      <c r="AD39">
        <v>187.52441400000001</v>
      </c>
      <c r="AE39" s="16">
        <v>0.02</v>
      </c>
    </row>
    <row r="40" spans="1:31" x14ac:dyDescent="0.25">
      <c r="A40" t="s">
        <v>201</v>
      </c>
    </row>
    <row r="41" spans="1:31" x14ac:dyDescent="0.25">
      <c r="A41" t="s">
        <v>202</v>
      </c>
      <c r="B41" t="s">
        <v>895</v>
      </c>
      <c r="C41" t="s">
        <v>896</v>
      </c>
      <c r="D41" t="s">
        <v>183</v>
      </c>
      <c r="E41">
        <v>187.50732400000001</v>
      </c>
      <c r="F41">
        <v>189.53199799999999</v>
      </c>
      <c r="G41">
        <v>191.598602</v>
      </c>
      <c r="H41">
        <v>193.630844</v>
      </c>
      <c r="I41">
        <v>195.66355899999999</v>
      </c>
      <c r="J41">
        <v>197.67378199999999</v>
      </c>
      <c r="K41">
        <v>199.67797899999999</v>
      </c>
      <c r="L41">
        <v>201.68270899999999</v>
      </c>
      <c r="M41">
        <v>203.65733299999999</v>
      </c>
      <c r="N41">
        <v>205.57685900000001</v>
      </c>
      <c r="O41">
        <v>207.458237</v>
      </c>
      <c r="P41">
        <v>209.28874200000001</v>
      </c>
      <c r="Q41">
        <v>211.04333500000001</v>
      </c>
      <c r="R41">
        <v>212.728531</v>
      </c>
      <c r="S41">
        <v>214.33122299999999</v>
      </c>
      <c r="T41">
        <v>215.870193</v>
      </c>
      <c r="U41">
        <v>217.33749399999999</v>
      </c>
      <c r="V41">
        <v>218.75924699999999</v>
      </c>
      <c r="W41">
        <v>220.13121000000001</v>
      </c>
      <c r="X41">
        <v>221.46958900000001</v>
      </c>
      <c r="Y41">
        <v>222.813278</v>
      </c>
      <c r="Z41">
        <v>224.16485599999999</v>
      </c>
      <c r="AA41">
        <v>225.51156599999999</v>
      </c>
      <c r="AB41">
        <v>226.854141</v>
      </c>
      <c r="AC41">
        <v>228.19508400000001</v>
      </c>
      <c r="AD41">
        <v>229.54212999999999</v>
      </c>
      <c r="AE41" s="16">
        <v>8.0000000000000002E-3</v>
      </c>
    </row>
    <row r="42" spans="1:31" x14ac:dyDescent="0.25">
      <c r="A42" t="s">
        <v>203</v>
      </c>
      <c r="B42" t="s">
        <v>897</v>
      </c>
      <c r="C42" t="s">
        <v>898</v>
      </c>
      <c r="D42" t="s">
        <v>183</v>
      </c>
      <c r="E42">
        <v>48.868606999999997</v>
      </c>
      <c r="F42">
        <v>49.328505999999997</v>
      </c>
      <c r="G42">
        <v>49.801876</v>
      </c>
      <c r="H42">
        <v>50.268410000000003</v>
      </c>
      <c r="I42">
        <v>50.734222000000003</v>
      </c>
      <c r="J42">
        <v>51.187572000000003</v>
      </c>
      <c r="K42">
        <v>51.631802</v>
      </c>
      <c r="L42">
        <v>52.075958</v>
      </c>
      <c r="M42">
        <v>52.514102999999999</v>
      </c>
      <c r="N42">
        <v>52.940769000000003</v>
      </c>
      <c r="O42">
        <v>53.359661000000003</v>
      </c>
      <c r="P42">
        <v>53.767310999999999</v>
      </c>
      <c r="Q42">
        <v>54.163525</v>
      </c>
      <c r="R42">
        <v>54.546295000000001</v>
      </c>
      <c r="S42">
        <v>54.911200999999998</v>
      </c>
      <c r="T42">
        <v>55.263004000000002</v>
      </c>
      <c r="U42">
        <v>55.600150999999997</v>
      </c>
      <c r="V42">
        <v>55.928660999999998</v>
      </c>
      <c r="W42">
        <v>56.245289</v>
      </c>
      <c r="X42">
        <v>56.55265</v>
      </c>
      <c r="Y42">
        <v>56.861313000000003</v>
      </c>
      <c r="Z42">
        <v>57.172103999999997</v>
      </c>
      <c r="AA42">
        <v>57.481895000000002</v>
      </c>
      <c r="AB42">
        <v>57.790633999999997</v>
      </c>
      <c r="AC42">
        <v>58.099026000000002</v>
      </c>
      <c r="AD42">
        <v>58.408915999999998</v>
      </c>
      <c r="AE42" s="16">
        <v>7.0000000000000001E-3</v>
      </c>
    </row>
    <row r="43" spans="1:31" x14ac:dyDescent="0.25">
      <c r="A43" t="s">
        <v>3</v>
      </c>
    </row>
    <row r="44" spans="1:31" x14ac:dyDescent="0.25">
      <c r="A44" t="s">
        <v>181</v>
      </c>
    </row>
    <row r="45" spans="1:31" x14ac:dyDescent="0.25">
      <c r="A45" t="s">
        <v>204</v>
      </c>
      <c r="B45" t="s">
        <v>899</v>
      </c>
      <c r="C45" t="s">
        <v>900</v>
      </c>
      <c r="D45" t="s">
        <v>205</v>
      </c>
      <c r="E45">
        <v>8.4944120000000005</v>
      </c>
      <c r="F45">
        <v>8.6147109999999998</v>
      </c>
      <c r="G45">
        <v>8.7350209999999997</v>
      </c>
      <c r="H45">
        <v>8.8580020000000008</v>
      </c>
      <c r="I45">
        <v>8.9711669999999994</v>
      </c>
      <c r="J45">
        <v>9.0751109999999997</v>
      </c>
      <c r="K45">
        <v>9.1697790000000001</v>
      </c>
      <c r="L45">
        <v>9.2555589999999999</v>
      </c>
      <c r="M45">
        <v>9.3323830000000001</v>
      </c>
      <c r="N45">
        <v>9.4010339999999992</v>
      </c>
      <c r="O45">
        <v>9.4613560000000003</v>
      </c>
      <c r="P45">
        <v>9.5137499999999999</v>
      </c>
      <c r="Q45">
        <v>9.5584790000000002</v>
      </c>
      <c r="R45">
        <v>9.5954759999999997</v>
      </c>
      <c r="S45">
        <v>9.6249929999999999</v>
      </c>
      <c r="T45">
        <v>9.6481890000000003</v>
      </c>
      <c r="U45">
        <v>9.6625589999999999</v>
      </c>
      <c r="V45">
        <v>9.6671499999999995</v>
      </c>
      <c r="W45">
        <v>9.6721179999999993</v>
      </c>
      <c r="X45">
        <v>9.6772670000000005</v>
      </c>
      <c r="Y45">
        <v>9.6822759999999999</v>
      </c>
      <c r="Z45">
        <v>9.6870829999999994</v>
      </c>
      <c r="AA45">
        <v>9.6917500000000008</v>
      </c>
      <c r="AB45">
        <v>9.6962539999999997</v>
      </c>
      <c r="AC45">
        <v>9.7005169999999996</v>
      </c>
      <c r="AD45">
        <v>9.7045030000000008</v>
      </c>
      <c r="AE45" s="16">
        <v>5.0000000000000001E-3</v>
      </c>
    </row>
    <row r="46" spans="1:31" x14ac:dyDescent="0.25">
      <c r="A46" t="s">
        <v>206</v>
      </c>
      <c r="B46" t="s">
        <v>901</v>
      </c>
      <c r="C46" t="s">
        <v>902</v>
      </c>
      <c r="D46" t="s">
        <v>207</v>
      </c>
      <c r="E46">
        <v>1.3</v>
      </c>
      <c r="F46">
        <v>1.3</v>
      </c>
      <c r="G46">
        <v>1.3</v>
      </c>
      <c r="H46">
        <v>1.3</v>
      </c>
      <c r="I46">
        <v>1.3</v>
      </c>
      <c r="J46">
        <v>1.3</v>
      </c>
      <c r="K46">
        <v>1.3</v>
      </c>
      <c r="L46">
        <v>1.3</v>
      </c>
      <c r="M46">
        <v>1.3</v>
      </c>
      <c r="N46">
        <v>1.3</v>
      </c>
      <c r="O46">
        <v>1.3</v>
      </c>
      <c r="P46">
        <v>1.3</v>
      </c>
      <c r="Q46">
        <v>1.3</v>
      </c>
      <c r="R46">
        <v>1.3</v>
      </c>
      <c r="S46">
        <v>1.3</v>
      </c>
      <c r="T46">
        <v>1.3</v>
      </c>
      <c r="U46">
        <v>1.3</v>
      </c>
      <c r="V46">
        <v>1.3</v>
      </c>
      <c r="W46">
        <v>1.3</v>
      </c>
      <c r="X46">
        <v>1.3</v>
      </c>
      <c r="Y46">
        <v>1.3</v>
      </c>
      <c r="Z46">
        <v>1.3</v>
      </c>
      <c r="AA46">
        <v>1.3</v>
      </c>
      <c r="AB46">
        <v>1.3</v>
      </c>
      <c r="AC46">
        <v>1.3</v>
      </c>
      <c r="AD46">
        <v>1.3</v>
      </c>
      <c r="AE46" s="16">
        <v>0</v>
      </c>
    </row>
    <row r="47" spans="1:31" x14ac:dyDescent="0.25">
      <c r="A47" t="s">
        <v>208</v>
      </c>
      <c r="B47" t="s">
        <v>903</v>
      </c>
      <c r="C47" t="s">
        <v>904</v>
      </c>
      <c r="D47" t="s">
        <v>209</v>
      </c>
      <c r="E47">
        <v>3.2020689999999998</v>
      </c>
      <c r="F47">
        <v>3.2208589999999999</v>
      </c>
      <c r="G47">
        <v>3.2392620000000001</v>
      </c>
      <c r="H47">
        <v>3.2580079999999998</v>
      </c>
      <c r="I47">
        <v>3.2769370000000002</v>
      </c>
      <c r="J47">
        <v>3.295919</v>
      </c>
      <c r="K47">
        <v>3.3151869999999999</v>
      </c>
      <c r="L47">
        <v>3.3336049999999999</v>
      </c>
      <c r="M47">
        <v>3.3511600000000001</v>
      </c>
      <c r="N47">
        <v>3.3678859999999999</v>
      </c>
      <c r="O47">
        <v>3.3837480000000002</v>
      </c>
      <c r="P47">
        <v>3.3987419999999999</v>
      </c>
      <c r="Q47">
        <v>3.4129209999999999</v>
      </c>
      <c r="R47">
        <v>3.426215</v>
      </c>
      <c r="S47">
        <v>3.4386139999999998</v>
      </c>
      <c r="T47">
        <v>3.4501810000000002</v>
      </c>
      <c r="U47">
        <v>3.4606970000000001</v>
      </c>
      <c r="V47">
        <v>3.470215</v>
      </c>
      <c r="W47">
        <v>3.4786480000000002</v>
      </c>
      <c r="X47">
        <v>3.4860410000000002</v>
      </c>
      <c r="Y47">
        <v>3.4922330000000001</v>
      </c>
      <c r="Z47">
        <v>3.4974340000000002</v>
      </c>
      <c r="AA47">
        <v>3.5015890000000001</v>
      </c>
      <c r="AB47">
        <v>3.504642</v>
      </c>
      <c r="AC47">
        <v>3.5068049999999999</v>
      </c>
      <c r="AD47">
        <v>3.5079829999999999</v>
      </c>
      <c r="AE47" s="16">
        <v>4.0000000000000001E-3</v>
      </c>
    </row>
    <row r="48" spans="1:31" x14ac:dyDescent="0.25">
      <c r="A48" t="s">
        <v>210</v>
      </c>
      <c r="B48" t="s">
        <v>905</v>
      </c>
      <c r="C48" t="s">
        <v>906</v>
      </c>
      <c r="D48" t="s">
        <v>211</v>
      </c>
      <c r="E48">
        <v>0.82194900000000004</v>
      </c>
      <c r="F48">
        <v>0.82621500000000003</v>
      </c>
      <c r="G48">
        <v>0.83040000000000003</v>
      </c>
      <c r="H48">
        <v>0.83462000000000003</v>
      </c>
      <c r="I48">
        <v>0.84283799999999998</v>
      </c>
      <c r="J48">
        <v>0.85197800000000001</v>
      </c>
      <c r="K48">
        <v>0.86122500000000002</v>
      </c>
      <c r="L48">
        <v>0.87001300000000004</v>
      </c>
      <c r="M48">
        <v>0.878359</v>
      </c>
      <c r="N48">
        <v>0.88619599999999998</v>
      </c>
      <c r="O48">
        <v>0.89350200000000002</v>
      </c>
      <c r="P48">
        <v>0.90035600000000005</v>
      </c>
      <c r="Q48">
        <v>0.90672799999999998</v>
      </c>
      <c r="R48">
        <v>0.91264500000000004</v>
      </c>
      <c r="S48">
        <v>0.91808599999999996</v>
      </c>
      <c r="T48">
        <v>0.92307399999999995</v>
      </c>
      <c r="U48">
        <v>0.92759199999999997</v>
      </c>
      <c r="V48">
        <v>0.93167500000000003</v>
      </c>
      <c r="W48">
        <v>0.93527899999999997</v>
      </c>
      <c r="X48">
        <v>0.93838100000000002</v>
      </c>
      <c r="Y48">
        <v>0.94093199999999999</v>
      </c>
      <c r="Z48">
        <v>0.94290600000000002</v>
      </c>
      <c r="AA48">
        <v>0.94488700000000003</v>
      </c>
      <c r="AB48">
        <v>0.94683600000000001</v>
      </c>
      <c r="AC48">
        <v>0.94871499999999997</v>
      </c>
      <c r="AD48">
        <v>0.95049099999999997</v>
      </c>
      <c r="AE48" s="16">
        <v>6.0000000000000001E-3</v>
      </c>
    </row>
    <row r="49" spans="1:31" x14ac:dyDescent="0.25">
      <c r="A49" t="s">
        <v>212</v>
      </c>
      <c r="B49" t="s">
        <v>907</v>
      </c>
      <c r="C49" t="s">
        <v>908</v>
      </c>
      <c r="D49" t="s">
        <v>211</v>
      </c>
      <c r="E49">
        <v>0.83211599999999997</v>
      </c>
      <c r="F49">
        <v>0.83264400000000005</v>
      </c>
      <c r="G49">
        <v>0.83314299999999997</v>
      </c>
      <c r="H49">
        <v>0.83362700000000001</v>
      </c>
      <c r="I49">
        <v>0.83410099999999998</v>
      </c>
      <c r="J49">
        <v>0.83458200000000005</v>
      </c>
      <c r="K49">
        <v>0.83506199999999997</v>
      </c>
      <c r="L49">
        <v>0.83552599999999999</v>
      </c>
      <c r="M49">
        <v>0.83596300000000001</v>
      </c>
      <c r="N49">
        <v>0.83637700000000004</v>
      </c>
      <c r="O49">
        <v>0.836758</v>
      </c>
      <c r="P49">
        <v>0.83711599999999997</v>
      </c>
      <c r="Q49">
        <v>0.83744499999999999</v>
      </c>
      <c r="R49">
        <v>0.83774999999999999</v>
      </c>
      <c r="S49">
        <v>0.83803300000000003</v>
      </c>
      <c r="T49">
        <v>0.83829200000000004</v>
      </c>
      <c r="U49">
        <v>0.83852499999999996</v>
      </c>
      <c r="V49">
        <v>0.83873600000000004</v>
      </c>
      <c r="W49">
        <v>0.83892</v>
      </c>
      <c r="X49">
        <v>0.83907699999999996</v>
      </c>
      <c r="Y49">
        <v>0.83919900000000003</v>
      </c>
      <c r="Z49">
        <v>0.83929500000000001</v>
      </c>
      <c r="AA49">
        <v>0.83939799999999998</v>
      </c>
      <c r="AB49">
        <v>0.83950499999999995</v>
      </c>
      <c r="AC49">
        <v>0.83961799999999998</v>
      </c>
      <c r="AD49">
        <v>0.83973600000000004</v>
      </c>
      <c r="AE49" s="16">
        <v>0</v>
      </c>
    </row>
    <row r="50" spans="1:31" x14ac:dyDescent="0.25">
      <c r="A50" t="s">
        <v>213</v>
      </c>
    </row>
    <row r="51" spans="1:31" x14ac:dyDescent="0.25">
      <c r="A51" t="s">
        <v>214</v>
      </c>
      <c r="B51" t="s">
        <v>909</v>
      </c>
      <c r="C51" t="s">
        <v>910</v>
      </c>
      <c r="D51" t="s">
        <v>215</v>
      </c>
      <c r="E51">
        <v>14.394477</v>
      </c>
      <c r="F51">
        <v>14.649236</v>
      </c>
      <c r="G51">
        <v>14.903358000000001</v>
      </c>
      <c r="H51">
        <v>15.162801999999999</v>
      </c>
      <c r="I51">
        <v>15.401135999999999</v>
      </c>
      <c r="J51">
        <v>15.619678</v>
      </c>
      <c r="K51">
        <v>15.818391999999999</v>
      </c>
      <c r="L51">
        <v>15.998156</v>
      </c>
      <c r="M51">
        <v>16.158895000000001</v>
      </c>
      <c r="N51">
        <v>16.302316999999999</v>
      </c>
      <c r="O51">
        <v>16.428106</v>
      </c>
      <c r="P51">
        <v>16.537175999999999</v>
      </c>
      <c r="Q51">
        <v>16.630082999999999</v>
      </c>
      <c r="R51">
        <v>16.706704999999999</v>
      </c>
      <c r="S51">
        <v>16.767574</v>
      </c>
      <c r="T51">
        <v>16.818881999999999</v>
      </c>
      <c r="U51">
        <v>16.851130000000001</v>
      </c>
      <c r="V51">
        <v>16.862507000000001</v>
      </c>
      <c r="W51">
        <v>16.874935000000001</v>
      </c>
      <c r="X51">
        <v>16.887955000000002</v>
      </c>
      <c r="Y51">
        <v>16.900825999999999</v>
      </c>
      <c r="Z51">
        <v>16.913347000000002</v>
      </c>
      <c r="AA51">
        <v>16.925616999999999</v>
      </c>
      <c r="AB51">
        <v>16.937542000000001</v>
      </c>
      <c r="AC51">
        <v>16.948915</v>
      </c>
      <c r="AD51">
        <v>16.959634999999999</v>
      </c>
      <c r="AE51" s="16">
        <v>7.0000000000000001E-3</v>
      </c>
    </row>
    <row r="52" spans="1:31" x14ac:dyDescent="0.25">
      <c r="A52" t="s">
        <v>206</v>
      </c>
      <c r="B52" t="s">
        <v>911</v>
      </c>
      <c r="C52" t="s">
        <v>912</v>
      </c>
      <c r="D52" t="s">
        <v>207</v>
      </c>
      <c r="E52">
        <v>0.62992899999999996</v>
      </c>
      <c r="F52">
        <v>0.63624700000000001</v>
      </c>
      <c r="G52">
        <v>0.64288400000000001</v>
      </c>
      <c r="H52">
        <v>0.64990599999999998</v>
      </c>
      <c r="I52">
        <v>0.65654999999999997</v>
      </c>
      <c r="J52">
        <v>0.66279299999999997</v>
      </c>
      <c r="K52">
        <v>0.668605</v>
      </c>
      <c r="L52">
        <v>0.67397399999999996</v>
      </c>
      <c r="M52">
        <v>0.67886199999999997</v>
      </c>
      <c r="N52">
        <v>0.68328800000000001</v>
      </c>
      <c r="O52">
        <v>0.68722099999999997</v>
      </c>
      <c r="P52">
        <v>0.69066499999999997</v>
      </c>
      <c r="Q52">
        <v>0.69361099999999998</v>
      </c>
      <c r="R52">
        <v>0.69603800000000005</v>
      </c>
      <c r="S52">
        <v>0.69794199999999995</v>
      </c>
      <c r="T52">
        <v>0.69928800000000002</v>
      </c>
      <c r="U52">
        <v>0.7</v>
      </c>
      <c r="V52">
        <v>0.7</v>
      </c>
      <c r="W52">
        <v>0.7</v>
      </c>
      <c r="X52">
        <v>0.7</v>
      </c>
      <c r="Y52">
        <v>0.7</v>
      </c>
      <c r="Z52">
        <v>0.7</v>
      </c>
      <c r="AA52">
        <v>0.7</v>
      </c>
      <c r="AB52">
        <v>0.7</v>
      </c>
      <c r="AC52">
        <v>0.7</v>
      </c>
      <c r="AD52">
        <v>0.7</v>
      </c>
      <c r="AE52" s="16">
        <v>4.0000000000000001E-3</v>
      </c>
    </row>
    <row r="53" spans="1:31" x14ac:dyDescent="0.25">
      <c r="A53" t="s">
        <v>216</v>
      </c>
      <c r="B53" t="s">
        <v>913</v>
      </c>
      <c r="C53" t="s">
        <v>914</v>
      </c>
      <c r="D53" t="s">
        <v>217</v>
      </c>
      <c r="E53">
        <v>14.018055</v>
      </c>
      <c r="F53">
        <v>14.153003</v>
      </c>
      <c r="G53">
        <v>14.285444999999999</v>
      </c>
      <c r="H53">
        <v>14.420227000000001</v>
      </c>
      <c r="I53">
        <v>14.556438</v>
      </c>
      <c r="J53">
        <v>14.693085</v>
      </c>
      <c r="K53">
        <v>14.831795</v>
      </c>
      <c r="L53">
        <v>14.964411999999999</v>
      </c>
      <c r="M53">
        <v>15.090814999999999</v>
      </c>
      <c r="N53">
        <v>15.211212</v>
      </c>
      <c r="O53">
        <v>15.325381</v>
      </c>
      <c r="P53">
        <v>15.433255000000001</v>
      </c>
      <c r="Q53">
        <v>15.535234000000001</v>
      </c>
      <c r="R53">
        <v>15.630803</v>
      </c>
      <c r="S53">
        <v>15.719887</v>
      </c>
      <c r="T53">
        <v>15.802962000000001</v>
      </c>
      <c r="U53">
        <v>15.878443000000001</v>
      </c>
      <c r="V53">
        <v>15.946691</v>
      </c>
      <c r="W53">
        <v>16.007121999999999</v>
      </c>
      <c r="X53">
        <v>16.060036</v>
      </c>
      <c r="Y53">
        <v>16.104306999999999</v>
      </c>
      <c r="Z53">
        <v>16.141459000000001</v>
      </c>
      <c r="AA53">
        <v>16.171091000000001</v>
      </c>
      <c r="AB53">
        <v>16.192817999999999</v>
      </c>
      <c r="AC53">
        <v>16.208144999999998</v>
      </c>
      <c r="AD53">
        <v>16.216425000000001</v>
      </c>
      <c r="AE53" s="16">
        <v>6.0000000000000001E-3</v>
      </c>
    </row>
    <row r="54" spans="1:31" x14ac:dyDescent="0.25">
      <c r="A54" t="s">
        <v>218</v>
      </c>
      <c r="B54" t="s">
        <v>915</v>
      </c>
      <c r="C54" t="s">
        <v>916</v>
      </c>
      <c r="D54" t="s">
        <v>215</v>
      </c>
      <c r="E54">
        <v>13.182221999999999</v>
      </c>
      <c r="F54">
        <v>13.332609</v>
      </c>
      <c r="G54">
        <v>13.483406</v>
      </c>
      <c r="H54">
        <v>13.636544000000001</v>
      </c>
      <c r="I54">
        <v>13.779714999999999</v>
      </c>
      <c r="J54">
        <v>13.925951</v>
      </c>
      <c r="K54">
        <v>14.060987000000001</v>
      </c>
      <c r="L54">
        <v>14.184298999999999</v>
      </c>
      <c r="M54">
        <v>14.295242</v>
      </c>
      <c r="N54">
        <v>14.394966999999999</v>
      </c>
      <c r="O54">
        <v>14.482498</v>
      </c>
      <c r="P54">
        <v>14.557345</v>
      </c>
      <c r="Q54">
        <v>14.620028</v>
      </c>
      <c r="R54">
        <v>14.671937</v>
      </c>
      <c r="S54">
        <v>14.712533000000001</v>
      </c>
      <c r="T54">
        <v>14.742565000000001</v>
      </c>
      <c r="U54">
        <v>14.761471</v>
      </c>
      <c r="V54">
        <v>14.768062</v>
      </c>
      <c r="W54">
        <v>14.774350999999999</v>
      </c>
      <c r="X54">
        <v>14.780355</v>
      </c>
      <c r="Y54">
        <v>14.786111</v>
      </c>
      <c r="Z54">
        <v>14.791622</v>
      </c>
      <c r="AA54">
        <v>14.796846</v>
      </c>
      <c r="AB54">
        <v>14.801774</v>
      </c>
      <c r="AC54">
        <v>14.806412999999999</v>
      </c>
      <c r="AD54">
        <v>14.810778000000001</v>
      </c>
      <c r="AE54" s="16">
        <v>5.0000000000000001E-3</v>
      </c>
    </row>
    <row r="55" spans="1:31" x14ac:dyDescent="0.25">
      <c r="A55" t="s">
        <v>219</v>
      </c>
      <c r="B55" t="s">
        <v>917</v>
      </c>
      <c r="C55" t="s">
        <v>918</v>
      </c>
      <c r="D55" t="s">
        <v>217</v>
      </c>
      <c r="E55">
        <v>11.645765000000001</v>
      </c>
      <c r="F55">
        <v>11.861027</v>
      </c>
      <c r="G55">
        <v>12.310933</v>
      </c>
      <c r="H55">
        <v>12.769360000000001</v>
      </c>
      <c r="I55">
        <v>13.284547</v>
      </c>
      <c r="J55">
        <v>13.782188</v>
      </c>
      <c r="K55">
        <v>14.243883</v>
      </c>
      <c r="L55">
        <v>14.660746</v>
      </c>
      <c r="M55">
        <v>15.032824</v>
      </c>
      <c r="N55">
        <v>15.34953</v>
      </c>
      <c r="O55">
        <v>15.587445000000001</v>
      </c>
      <c r="P55">
        <v>15.743828000000001</v>
      </c>
      <c r="Q55">
        <v>15.817233</v>
      </c>
      <c r="R55">
        <v>15.875088999999999</v>
      </c>
      <c r="S55">
        <v>15.918317</v>
      </c>
      <c r="T55">
        <v>15.94899</v>
      </c>
      <c r="U55">
        <v>15.969602999999999</v>
      </c>
      <c r="V55">
        <v>15.982771</v>
      </c>
      <c r="W55">
        <v>15.990712</v>
      </c>
      <c r="X55">
        <v>15.995247000000001</v>
      </c>
      <c r="Y55">
        <v>15.997692000000001</v>
      </c>
      <c r="Z55">
        <v>15.998946</v>
      </c>
      <c r="AA55">
        <v>15.999542999999999</v>
      </c>
      <c r="AB55">
        <v>15.999808</v>
      </c>
      <c r="AC55">
        <v>15.999928000000001</v>
      </c>
      <c r="AD55">
        <v>15.999976</v>
      </c>
      <c r="AE55" s="16">
        <v>1.2999999999999999E-2</v>
      </c>
    </row>
    <row r="56" spans="1:31" x14ac:dyDescent="0.25">
      <c r="A56" t="s">
        <v>220</v>
      </c>
    </row>
    <row r="57" spans="1:31" x14ac:dyDescent="0.25">
      <c r="A57" t="s">
        <v>221</v>
      </c>
      <c r="B57" t="s">
        <v>919</v>
      </c>
      <c r="C57" t="s">
        <v>920</v>
      </c>
      <c r="D57" t="s">
        <v>222</v>
      </c>
      <c r="E57">
        <v>1.1499429999999999</v>
      </c>
      <c r="F57">
        <v>1.174917</v>
      </c>
      <c r="G57">
        <v>1.19136</v>
      </c>
      <c r="H57">
        <v>1.2090780000000001</v>
      </c>
      <c r="I57">
        <v>1.3223739999999999</v>
      </c>
      <c r="J57">
        <v>1.415462</v>
      </c>
      <c r="K57">
        <v>1.513617</v>
      </c>
      <c r="L57">
        <v>1.607691</v>
      </c>
      <c r="M57">
        <v>1.697708</v>
      </c>
      <c r="N57">
        <v>1.782251</v>
      </c>
      <c r="O57">
        <v>1.8609519999999999</v>
      </c>
      <c r="P57">
        <v>1.933254</v>
      </c>
      <c r="Q57">
        <v>1.9984850000000001</v>
      </c>
      <c r="R57">
        <v>2.0566399999999998</v>
      </c>
      <c r="S57">
        <v>2.107246</v>
      </c>
      <c r="T57">
        <v>2.1504300000000001</v>
      </c>
      <c r="U57">
        <v>2.1858909999999998</v>
      </c>
      <c r="V57">
        <v>2.2133630000000002</v>
      </c>
      <c r="W57">
        <v>2.2330320000000001</v>
      </c>
      <c r="X57">
        <v>2.2516430000000001</v>
      </c>
      <c r="Y57">
        <v>2.2690800000000002</v>
      </c>
      <c r="Z57">
        <v>2.2852920000000001</v>
      </c>
      <c r="AA57">
        <v>2.3002539999999998</v>
      </c>
      <c r="AB57">
        <v>2.3139759999999998</v>
      </c>
      <c r="AC57">
        <v>2.3265150000000001</v>
      </c>
      <c r="AD57">
        <v>2.337879</v>
      </c>
      <c r="AE57" s="16">
        <v>2.9000000000000001E-2</v>
      </c>
    </row>
    <row r="58" spans="1:31" x14ac:dyDescent="0.25">
      <c r="A58" t="s">
        <v>223</v>
      </c>
      <c r="B58" t="s">
        <v>921</v>
      </c>
      <c r="C58" t="s">
        <v>922</v>
      </c>
      <c r="D58" t="s">
        <v>222</v>
      </c>
      <c r="E58">
        <v>0.61341900000000005</v>
      </c>
      <c r="F58">
        <v>0.616896</v>
      </c>
      <c r="G58">
        <v>0.61976299999999995</v>
      </c>
      <c r="H58">
        <v>0.62213300000000005</v>
      </c>
      <c r="I58">
        <v>0.62867700000000004</v>
      </c>
      <c r="J58">
        <v>0.63433700000000004</v>
      </c>
      <c r="K58">
        <v>0.63926899999999998</v>
      </c>
      <c r="L58">
        <v>0.64344900000000005</v>
      </c>
      <c r="M58">
        <v>0.64674299999999996</v>
      </c>
      <c r="N58">
        <v>0.64916600000000002</v>
      </c>
      <c r="O58">
        <v>0.65077700000000005</v>
      </c>
      <c r="P58">
        <v>0.65238700000000005</v>
      </c>
      <c r="Q58">
        <v>0.65396600000000005</v>
      </c>
      <c r="R58">
        <v>0.65549900000000005</v>
      </c>
      <c r="S58">
        <v>0.65696900000000003</v>
      </c>
      <c r="T58">
        <v>0.65836799999999995</v>
      </c>
      <c r="U58">
        <v>0.65968499999999997</v>
      </c>
      <c r="V58">
        <v>0.66091699999999998</v>
      </c>
      <c r="W58">
        <v>0.66205899999999995</v>
      </c>
      <c r="X58">
        <v>0.66310999999999998</v>
      </c>
      <c r="Y58">
        <v>0.66407099999999997</v>
      </c>
      <c r="Z58">
        <v>0.66494200000000003</v>
      </c>
      <c r="AA58">
        <v>0.66572399999999998</v>
      </c>
      <c r="AB58">
        <v>0.66642199999999996</v>
      </c>
      <c r="AC58">
        <v>0.667041</v>
      </c>
      <c r="AD58">
        <v>0.66758600000000001</v>
      </c>
      <c r="AE58" s="16">
        <v>3.0000000000000001E-3</v>
      </c>
    </row>
    <row r="59" spans="1:31" x14ac:dyDescent="0.25">
      <c r="A59" t="s">
        <v>224</v>
      </c>
      <c r="B59" t="s">
        <v>923</v>
      </c>
      <c r="C59" t="s">
        <v>924</v>
      </c>
      <c r="D59" t="s">
        <v>222</v>
      </c>
      <c r="E59">
        <v>0.55984</v>
      </c>
      <c r="F59">
        <v>0.57216900000000004</v>
      </c>
      <c r="G59">
        <v>0.58407900000000001</v>
      </c>
      <c r="H59">
        <v>0.59534100000000001</v>
      </c>
      <c r="I59">
        <v>0.60676600000000003</v>
      </c>
      <c r="J59">
        <v>0.616869</v>
      </c>
      <c r="K59">
        <v>0.62558499999999995</v>
      </c>
      <c r="L59">
        <v>0.63260099999999997</v>
      </c>
      <c r="M59">
        <v>0.63767600000000002</v>
      </c>
      <c r="N59">
        <v>0.64056400000000002</v>
      </c>
      <c r="O59">
        <v>0.64110900000000004</v>
      </c>
      <c r="P59">
        <v>0.64166800000000002</v>
      </c>
      <c r="Q59">
        <v>0.64223300000000005</v>
      </c>
      <c r="R59">
        <v>0.64279900000000001</v>
      </c>
      <c r="S59">
        <v>0.64336300000000002</v>
      </c>
      <c r="T59">
        <v>0.64391799999999999</v>
      </c>
      <c r="U59">
        <v>0.64446199999999998</v>
      </c>
      <c r="V59">
        <v>0.64498999999999995</v>
      </c>
      <c r="W59">
        <v>0.64549999999999996</v>
      </c>
      <c r="X59">
        <v>0.64598800000000001</v>
      </c>
      <c r="Y59">
        <v>0.64645300000000006</v>
      </c>
      <c r="Z59">
        <v>0.64689200000000002</v>
      </c>
      <c r="AA59">
        <v>0.64730399999999999</v>
      </c>
      <c r="AB59">
        <v>0.64768800000000004</v>
      </c>
      <c r="AC59">
        <v>0.64804399999999995</v>
      </c>
      <c r="AD59">
        <v>0.64837199999999995</v>
      </c>
      <c r="AE59" s="16">
        <v>6.0000000000000001E-3</v>
      </c>
    </row>
    <row r="60" spans="1:31" x14ac:dyDescent="0.25">
      <c r="A60" t="s">
        <v>225</v>
      </c>
      <c r="B60" t="s">
        <v>925</v>
      </c>
      <c r="C60" t="s">
        <v>926</v>
      </c>
      <c r="D60" t="s">
        <v>222</v>
      </c>
      <c r="E60">
        <v>0.62192700000000001</v>
      </c>
      <c r="F60">
        <v>0.62515299999999996</v>
      </c>
      <c r="G60">
        <v>0.62743199999999999</v>
      </c>
      <c r="H60">
        <v>0.62917199999999995</v>
      </c>
      <c r="I60">
        <v>0.634517</v>
      </c>
      <c r="J60">
        <v>0.63917000000000002</v>
      </c>
      <c r="K60">
        <v>0.64313299999999995</v>
      </c>
      <c r="L60">
        <v>0.646393</v>
      </c>
      <c r="M60">
        <v>0.64889699999999995</v>
      </c>
      <c r="N60">
        <v>0.65062799999999998</v>
      </c>
      <c r="O60">
        <v>0.651559</v>
      </c>
      <c r="P60">
        <v>0.65250300000000006</v>
      </c>
      <c r="Q60">
        <v>0.65344500000000005</v>
      </c>
      <c r="R60">
        <v>0.65437500000000004</v>
      </c>
      <c r="S60">
        <v>0.65528399999999998</v>
      </c>
      <c r="T60">
        <v>0.65616699999999994</v>
      </c>
      <c r="U60">
        <v>0.65701799999999999</v>
      </c>
      <c r="V60">
        <v>0.657833</v>
      </c>
      <c r="W60">
        <v>0.658609</v>
      </c>
      <c r="X60">
        <v>0.65934099999999995</v>
      </c>
      <c r="Y60">
        <v>0.66002799999999995</v>
      </c>
      <c r="Z60">
        <v>0.66066499999999995</v>
      </c>
      <c r="AA60">
        <v>0.66125100000000003</v>
      </c>
      <c r="AB60">
        <v>0.66178499999999996</v>
      </c>
      <c r="AC60">
        <v>0.662269</v>
      </c>
      <c r="AD60">
        <v>0.66270399999999996</v>
      </c>
      <c r="AE60" s="16">
        <v>3.0000000000000001E-3</v>
      </c>
    </row>
    <row r="61" spans="1:31" x14ac:dyDescent="0.25">
      <c r="A61" t="s">
        <v>226</v>
      </c>
    </row>
    <row r="62" spans="1:31" x14ac:dyDescent="0.25">
      <c r="A62" t="s">
        <v>202</v>
      </c>
      <c r="B62" t="s">
        <v>927</v>
      </c>
      <c r="C62" t="s">
        <v>928</v>
      </c>
      <c r="D62" t="s">
        <v>227</v>
      </c>
      <c r="E62">
        <v>596.52557400000001</v>
      </c>
      <c r="F62">
        <v>587.68524200000002</v>
      </c>
      <c r="G62">
        <v>578.72015399999998</v>
      </c>
      <c r="H62">
        <v>569.70684800000004</v>
      </c>
      <c r="I62">
        <v>561.17810099999997</v>
      </c>
      <c r="J62">
        <v>548.50134300000002</v>
      </c>
      <c r="K62">
        <v>536.26910399999997</v>
      </c>
      <c r="L62">
        <v>524.46575900000005</v>
      </c>
      <c r="M62">
        <v>513.08746299999996</v>
      </c>
      <c r="N62">
        <v>502.114105</v>
      </c>
      <c r="O62">
        <v>491.57818600000002</v>
      </c>
      <c r="P62">
        <v>481.78292800000003</v>
      </c>
      <c r="Q62">
        <v>472.79702800000001</v>
      </c>
      <c r="R62">
        <v>464.65429699999999</v>
      </c>
      <c r="S62">
        <v>457.36560100000003</v>
      </c>
      <c r="T62">
        <v>450.895355</v>
      </c>
      <c r="U62">
        <v>445.244843</v>
      </c>
      <c r="V62">
        <v>440.373627</v>
      </c>
      <c r="W62">
        <v>436.319031</v>
      </c>
      <c r="X62">
        <v>433.03894000000003</v>
      </c>
      <c r="Y62">
        <v>430.56066900000002</v>
      </c>
      <c r="Z62">
        <v>428.90655500000003</v>
      </c>
      <c r="AA62">
        <v>428.04953</v>
      </c>
      <c r="AB62">
        <v>427.28192100000001</v>
      </c>
      <c r="AC62">
        <v>426.60015900000002</v>
      </c>
      <c r="AD62">
        <v>425.988586</v>
      </c>
      <c r="AE62" s="16">
        <v>-1.2999999999999999E-2</v>
      </c>
    </row>
    <row r="63" spans="1:31" x14ac:dyDescent="0.25">
      <c r="A63" t="s">
        <v>203</v>
      </c>
      <c r="B63" t="s">
        <v>929</v>
      </c>
      <c r="C63" t="s">
        <v>930</v>
      </c>
      <c r="D63" t="s">
        <v>227</v>
      </c>
      <c r="E63">
        <v>458.94305400000002</v>
      </c>
      <c r="F63">
        <v>454.38635299999999</v>
      </c>
      <c r="G63">
        <v>449.85458399999999</v>
      </c>
      <c r="H63">
        <v>445.28195199999999</v>
      </c>
      <c r="I63">
        <v>440.63296500000001</v>
      </c>
      <c r="J63">
        <v>433.89245599999998</v>
      </c>
      <c r="K63">
        <v>427.01754799999998</v>
      </c>
      <c r="L63">
        <v>420.04757699999999</v>
      </c>
      <c r="M63">
        <v>413.35656699999998</v>
      </c>
      <c r="N63">
        <v>406.94708300000002</v>
      </c>
      <c r="O63">
        <v>400.83316000000002</v>
      </c>
      <c r="P63">
        <v>395.00173999999998</v>
      </c>
      <c r="Q63">
        <v>389.434753</v>
      </c>
      <c r="R63">
        <v>384.16476399999999</v>
      </c>
      <c r="S63">
        <v>379.21167000000003</v>
      </c>
      <c r="T63">
        <v>374.55355800000001</v>
      </c>
      <c r="U63">
        <v>370.24371300000001</v>
      </c>
      <c r="V63">
        <v>366.24969499999997</v>
      </c>
      <c r="W63">
        <v>362.59118699999999</v>
      </c>
      <c r="X63">
        <v>359.25006100000002</v>
      </c>
      <c r="Y63">
        <v>356.20797700000003</v>
      </c>
      <c r="Z63">
        <v>353.52856400000002</v>
      </c>
      <c r="AA63">
        <v>351.185089</v>
      </c>
      <c r="AB63">
        <v>349.22869900000001</v>
      </c>
      <c r="AC63">
        <v>347.686554</v>
      </c>
      <c r="AD63">
        <v>346.56289700000002</v>
      </c>
      <c r="AE63" s="16">
        <v>-1.0999999999999999E-2</v>
      </c>
    </row>
    <row r="64" spans="1:31" x14ac:dyDescent="0.25">
      <c r="A64" t="s">
        <v>228</v>
      </c>
    </row>
    <row r="65" spans="1:31" x14ac:dyDescent="0.25">
      <c r="A65" t="s">
        <v>229</v>
      </c>
    </row>
    <row r="66" spans="1:31" x14ac:dyDescent="0.25">
      <c r="A66" t="s">
        <v>614</v>
      </c>
      <c r="B66" t="s">
        <v>931</v>
      </c>
      <c r="C66" t="s">
        <v>932</v>
      </c>
      <c r="D66" t="s">
        <v>933</v>
      </c>
      <c r="E66">
        <v>0.95610099999999998</v>
      </c>
      <c r="F66">
        <v>0.95075799999999999</v>
      </c>
      <c r="G66">
        <v>0.945052</v>
      </c>
      <c r="H66">
        <v>0.938998</v>
      </c>
      <c r="I66">
        <v>0.93234499999999998</v>
      </c>
      <c r="J66">
        <v>0.92517199999999999</v>
      </c>
      <c r="K66">
        <v>0.91781599999999997</v>
      </c>
      <c r="L66">
        <v>0.91053700000000004</v>
      </c>
      <c r="M66">
        <v>0.90305000000000002</v>
      </c>
      <c r="N66">
        <v>0.895764</v>
      </c>
      <c r="O66">
        <v>0.88857200000000003</v>
      </c>
      <c r="P66">
        <v>0.88155799999999995</v>
      </c>
      <c r="Q66">
        <v>0.87451100000000004</v>
      </c>
      <c r="R66">
        <v>0.86754500000000001</v>
      </c>
      <c r="S66">
        <v>0.86061299999999996</v>
      </c>
      <c r="T66">
        <v>0.85371600000000003</v>
      </c>
      <c r="U66">
        <v>0.84686600000000001</v>
      </c>
      <c r="V66">
        <v>0.84017699999999995</v>
      </c>
      <c r="W66">
        <v>0.83362000000000003</v>
      </c>
      <c r="X66">
        <v>0.82715000000000005</v>
      </c>
      <c r="Y66">
        <v>0.82064999999999999</v>
      </c>
      <c r="Z66">
        <v>0.81401599999999996</v>
      </c>
      <c r="AA66">
        <v>0.80725599999999997</v>
      </c>
      <c r="AB66">
        <v>0.80045100000000002</v>
      </c>
      <c r="AC66">
        <v>0.79367699999999997</v>
      </c>
      <c r="AD66">
        <v>0.78692600000000001</v>
      </c>
      <c r="AE66" s="16">
        <v>-8.0000000000000002E-3</v>
      </c>
    </row>
    <row r="67" spans="1:31" x14ac:dyDescent="0.25">
      <c r="A67" t="s">
        <v>232</v>
      </c>
      <c r="B67" t="s">
        <v>934</v>
      </c>
      <c r="C67" t="s">
        <v>935</v>
      </c>
      <c r="D67" t="s">
        <v>933</v>
      </c>
      <c r="E67">
        <v>0.78972399999999998</v>
      </c>
      <c r="F67">
        <v>0.86574700000000004</v>
      </c>
      <c r="G67">
        <v>0.901509</v>
      </c>
      <c r="H67">
        <v>0.90080700000000002</v>
      </c>
      <c r="I67">
        <v>0.898675</v>
      </c>
      <c r="J67">
        <v>0.902115</v>
      </c>
      <c r="K67">
        <v>0.90810199999999996</v>
      </c>
      <c r="L67">
        <v>0.90783999999999998</v>
      </c>
      <c r="M67">
        <v>0.90634099999999995</v>
      </c>
      <c r="N67">
        <v>0.90492600000000001</v>
      </c>
      <c r="O67">
        <v>0.90334000000000003</v>
      </c>
      <c r="P67">
        <v>0.90240500000000001</v>
      </c>
      <c r="Q67">
        <v>0.89503299999999997</v>
      </c>
      <c r="R67">
        <v>0.89120200000000005</v>
      </c>
      <c r="S67">
        <v>0.88833899999999999</v>
      </c>
      <c r="T67">
        <v>0.885432</v>
      </c>
      <c r="U67">
        <v>0.88196600000000003</v>
      </c>
      <c r="V67">
        <v>0.87860000000000005</v>
      </c>
      <c r="W67">
        <v>0.87830799999999998</v>
      </c>
      <c r="X67">
        <v>0.87978699999999999</v>
      </c>
      <c r="Y67">
        <v>0.87917299999999998</v>
      </c>
      <c r="Z67">
        <v>0.87790800000000002</v>
      </c>
      <c r="AA67">
        <v>0.87659100000000001</v>
      </c>
      <c r="AB67">
        <v>0.87554500000000002</v>
      </c>
      <c r="AC67">
        <v>0.87458800000000003</v>
      </c>
      <c r="AD67">
        <v>0.87356100000000003</v>
      </c>
      <c r="AE67" s="16">
        <v>4.0000000000000001E-3</v>
      </c>
    </row>
    <row r="68" spans="1:31" x14ac:dyDescent="0.25">
      <c r="A68" t="s">
        <v>233</v>
      </c>
      <c r="B68" t="s">
        <v>936</v>
      </c>
      <c r="C68" t="s">
        <v>937</v>
      </c>
      <c r="D68" t="s">
        <v>933</v>
      </c>
      <c r="E68">
        <v>0.94750000000000001</v>
      </c>
      <c r="F68">
        <v>0.94159000000000004</v>
      </c>
      <c r="G68">
        <v>0.93589100000000003</v>
      </c>
      <c r="H68">
        <v>0.93000899999999997</v>
      </c>
      <c r="I68">
        <v>0.92370200000000002</v>
      </c>
      <c r="J68">
        <v>0.91712000000000005</v>
      </c>
      <c r="K68">
        <v>0.91059199999999996</v>
      </c>
      <c r="L68">
        <v>0.90427199999999996</v>
      </c>
      <c r="M68">
        <v>0.89789600000000003</v>
      </c>
      <c r="N68">
        <v>0.89180700000000002</v>
      </c>
      <c r="O68">
        <v>0.885903</v>
      </c>
      <c r="P68">
        <v>0.88025299999999995</v>
      </c>
      <c r="Q68">
        <v>0.87460199999999999</v>
      </c>
      <c r="R68">
        <v>0.86907800000000002</v>
      </c>
      <c r="S68">
        <v>0.86364300000000005</v>
      </c>
      <c r="T68">
        <v>0.85829299999999997</v>
      </c>
      <c r="U68">
        <v>0.85302800000000001</v>
      </c>
      <c r="V68">
        <v>0.84793600000000002</v>
      </c>
      <c r="W68">
        <v>0.84301000000000004</v>
      </c>
      <c r="X68">
        <v>0.83822600000000003</v>
      </c>
      <c r="Y68">
        <v>0.83348</v>
      </c>
      <c r="Z68">
        <v>0.82868799999999998</v>
      </c>
      <c r="AA68">
        <v>0.82385299999999995</v>
      </c>
      <c r="AB68">
        <v>0.81903999999999999</v>
      </c>
      <c r="AC68">
        <v>0.81430599999999997</v>
      </c>
      <c r="AD68">
        <v>0.80964599999999998</v>
      </c>
      <c r="AE68" s="16">
        <v>-6.0000000000000001E-3</v>
      </c>
    </row>
    <row r="69" spans="1:31" x14ac:dyDescent="0.25">
      <c r="A69" t="s">
        <v>213</v>
      </c>
    </row>
    <row r="70" spans="1:31" x14ac:dyDescent="0.25">
      <c r="A70" t="s">
        <v>614</v>
      </c>
      <c r="B70" t="s">
        <v>938</v>
      </c>
      <c r="C70" t="s">
        <v>939</v>
      </c>
      <c r="D70" t="s">
        <v>933</v>
      </c>
      <c r="E70">
        <v>0.98486499999999999</v>
      </c>
      <c r="F70">
        <v>0.98309800000000003</v>
      </c>
      <c r="G70">
        <v>0.98112999999999995</v>
      </c>
      <c r="H70">
        <v>0.97897699999999999</v>
      </c>
      <c r="I70">
        <v>0.976576</v>
      </c>
      <c r="J70">
        <v>0.97401199999999999</v>
      </c>
      <c r="K70">
        <v>0.971383</v>
      </c>
      <c r="L70">
        <v>0.96880500000000003</v>
      </c>
      <c r="M70">
        <v>0.96619699999999997</v>
      </c>
      <c r="N70">
        <v>0.96365400000000001</v>
      </c>
      <c r="O70">
        <v>0.96111899999999995</v>
      </c>
      <c r="P70">
        <v>0.95863799999999999</v>
      </c>
      <c r="Q70">
        <v>0.95614100000000002</v>
      </c>
      <c r="R70">
        <v>0.95366799999999996</v>
      </c>
      <c r="S70">
        <v>0.95120899999999997</v>
      </c>
      <c r="T70">
        <v>0.94877</v>
      </c>
      <c r="U70">
        <v>0.94634300000000005</v>
      </c>
      <c r="V70">
        <v>0.94396999999999998</v>
      </c>
      <c r="W70">
        <v>0.94163699999999995</v>
      </c>
      <c r="X70">
        <v>0.93933100000000003</v>
      </c>
      <c r="Y70">
        <v>0.93701299999999998</v>
      </c>
      <c r="Z70">
        <v>0.93464700000000001</v>
      </c>
      <c r="AA70">
        <v>0.93223599999999995</v>
      </c>
      <c r="AB70">
        <v>0.92980700000000005</v>
      </c>
      <c r="AC70">
        <v>0.92738900000000002</v>
      </c>
      <c r="AD70">
        <v>0.92498400000000003</v>
      </c>
      <c r="AE70" s="16">
        <v>-3.0000000000000001E-3</v>
      </c>
    </row>
    <row r="71" spans="1:31" x14ac:dyDescent="0.25">
      <c r="A71" t="s">
        <v>232</v>
      </c>
      <c r="B71" t="s">
        <v>940</v>
      </c>
      <c r="C71" t="s">
        <v>941</v>
      </c>
      <c r="D71" t="s">
        <v>933</v>
      </c>
      <c r="E71">
        <v>0.97893300000000005</v>
      </c>
      <c r="F71">
        <v>1.0065269999999999</v>
      </c>
      <c r="G71">
        <v>1.023568</v>
      </c>
      <c r="H71">
        <v>1.0234479999999999</v>
      </c>
      <c r="I71">
        <v>1.0224839999999999</v>
      </c>
      <c r="J71">
        <v>1.022529</v>
      </c>
      <c r="K71">
        <v>1.026335</v>
      </c>
      <c r="L71">
        <v>1.0263979999999999</v>
      </c>
      <c r="M71">
        <v>1.025671</v>
      </c>
      <c r="N71">
        <v>1.025067</v>
      </c>
      <c r="O71">
        <v>1.0245059999999999</v>
      </c>
      <c r="P71">
        <v>1.024467</v>
      </c>
      <c r="Q71">
        <v>1.019954</v>
      </c>
      <c r="R71">
        <v>1.017898</v>
      </c>
      <c r="S71">
        <v>1.0163720000000001</v>
      </c>
      <c r="T71">
        <v>1.015388</v>
      </c>
      <c r="U71">
        <v>1.014135</v>
      </c>
      <c r="V71">
        <v>1.0125500000000001</v>
      </c>
      <c r="W71">
        <v>1.013225</v>
      </c>
      <c r="X71">
        <v>1.0151429999999999</v>
      </c>
      <c r="Y71">
        <v>1.015255</v>
      </c>
      <c r="Z71">
        <v>1.01481</v>
      </c>
      <c r="AA71">
        <v>1.0144740000000001</v>
      </c>
      <c r="AB71">
        <v>1.0141720000000001</v>
      </c>
      <c r="AC71">
        <v>1.014011</v>
      </c>
      <c r="AD71">
        <v>1.0137830000000001</v>
      </c>
      <c r="AE71" s="16">
        <v>1E-3</v>
      </c>
    </row>
    <row r="72" spans="1:31" x14ac:dyDescent="0.25">
      <c r="A72" t="s">
        <v>233</v>
      </c>
      <c r="B72" t="s">
        <v>942</v>
      </c>
      <c r="C72" t="s">
        <v>943</v>
      </c>
      <c r="D72" t="s">
        <v>933</v>
      </c>
      <c r="E72">
        <v>0.98508200000000001</v>
      </c>
      <c r="F72">
        <v>0.98362799999999995</v>
      </c>
      <c r="G72">
        <v>0.98218700000000003</v>
      </c>
      <c r="H72">
        <v>0.98058999999999996</v>
      </c>
      <c r="I72">
        <v>0.97878500000000002</v>
      </c>
      <c r="J72">
        <v>0.976858</v>
      </c>
      <c r="K72">
        <v>0.97494099999999995</v>
      </c>
      <c r="L72">
        <v>0.97310099999999999</v>
      </c>
      <c r="M72">
        <v>0.971248</v>
      </c>
      <c r="N72">
        <v>0.96946200000000005</v>
      </c>
      <c r="O72">
        <v>0.96769499999999997</v>
      </c>
      <c r="P72">
        <v>0.96598799999999996</v>
      </c>
      <c r="Q72">
        <v>0.96423099999999995</v>
      </c>
      <c r="R72">
        <v>0.96248599999999995</v>
      </c>
      <c r="S72">
        <v>0.96074199999999998</v>
      </c>
      <c r="T72">
        <v>0.95901400000000003</v>
      </c>
      <c r="U72">
        <v>0.95728999999999997</v>
      </c>
      <c r="V72">
        <v>0.95560599999999996</v>
      </c>
      <c r="W72">
        <v>0.95396400000000003</v>
      </c>
      <c r="X72">
        <v>0.95236399999999999</v>
      </c>
      <c r="Y72">
        <v>0.95076899999999998</v>
      </c>
      <c r="Z72">
        <v>0.94914799999999999</v>
      </c>
      <c r="AA72">
        <v>0.94750100000000004</v>
      </c>
      <c r="AB72">
        <v>0.94584900000000005</v>
      </c>
      <c r="AC72">
        <v>0.94421900000000003</v>
      </c>
      <c r="AD72">
        <v>0.94261099999999998</v>
      </c>
      <c r="AE72" s="16">
        <v>-2E-3</v>
      </c>
    </row>
    <row r="73" spans="1:31" x14ac:dyDescent="0.25">
      <c r="A73" t="s">
        <v>234</v>
      </c>
    </row>
    <row r="74" spans="1:31" x14ac:dyDescent="0.25">
      <c r="A74" t="s">
        <v>235</v>
      </c>
    </row>
    <row r="75" spans="1:31" x14ac:dyDescent="0.25">
      <c r="A75" t="s">
        <v>175</v>
      </c>
    </row>
    <row r="76" spans="1:31" x14ac:dyDescent="0.25">
      <c r="A76" t="s">
        <v>236</v>
      </c>
      <c r="B76" t="s">
        <v>944</v>
      </c>
      <c r="C76" t="s">
        <v>945</v>
      </c>
      <c r="D76" t="s">
        <v>237</v>
      </c>
      <c r="E76">
        <v>5.0500000000000002E-4</v>
      </c>
      <c r="F76">
        <v>1.1050000000000001E-3</v>
      </c>
      <c r="G76">
        <v>1.689E-3</v>
      </c>
      <c r="H76">
        <v>1.702E-3</v>
      </c>
      <c r="I76">
        <v>1.7149999999999999E-3</v>
      </c>
      <c r="J76">
        <v>2.529E-3</v>
      </c>
      <c r="K76">
        <v>3.6159999999999999E-3</v>
      </c>
      <c r="L76">
        <v>4.7369999999999999E-3</v>
      </c>
      <c r="M76">
        <v>5.6090000000000003E-3</v>
      </c>
      <c r="N76">
        <v>6.7019999999999996E-3</v>
      </c>
      <c r="O76">
        <v>6.7149999999999996E-3</v>
      </c>
      <c r="P76">
        <v>6.7279999999999996E-3</v>
      </c>
      <c r="Q76">
        <v>6.7409999999999996E-3</v>
      </c>
      <c r="R76">
        <v>6.7539999999999996E-3</v>
      </c>
      <c r="S76">
        <v>6.7679999999999997E-3</v>
      </c>
      <c r="T76">
        <v>6.7819999999999998E-3</v>
      </c>
      <c r="U76">
        <v>6.7980000000000002E-3</v>
      </c>
      <c r="V76">
        <v>6.8190000000000004E-3</v>
      </c>
      <c r="W76">
        <v>6.8479999999999999E-3</v>
      </c>
      <c r="X76">
        <v>6.894E-3</v>
      </c>
      <c r="Y76">
        <v>6.973E-3</v>
      </c>
      <c r="Z76">
        <v>7.1110000000000001E-3</v>
      </c>
      <c r="AA76">
        <v>7.2490000000000002E-3</v>
      </c>
      <c r="AB76">
        <v>7.3879999999999996E-3</v>
      </c>
      <c r="AC76">
        <v>7.528E-3</v>
      </c>
      <c r="AD76">
        <v>7.6689999999999996E-3</v>
      </c>
      <c r="AE76" s="16">
        <v>0.115</v>
      </c>
    </row>
    <row r="77" spans="1:31" x14ac:dyDescent="0.25">
      <c r="A77" t="s">
        <v>238</v>
      </c>
      <c r="B77" t="s">
        <v>946</v>
      </c>
      <c r="C77" t="s">
        <v>947</v>
      </c>
      <c r="D77" t="s">
        <v>237</v>
      </c>
      <c r="E77">
        <v>44.365597000000001</v>
      </c>
      <c r="F77">
        <v>47.055515</v>
      </c>
      <c r="G77">
        <v>50.090209999999999</v>
      </c>
      <c r="H77">
        <v>53.229542000000002</v>
      </c>
      <c r="I77">
        <v>56.177745999999999</v>
      </c>
      <c r="J77">
        <v>59.281429000000003</v>
      </c>
      <c r="K77">
        <v>62.644226000000003</v>
      </c>
      <c r="L77">
        <v>66.000397000000007</v>
      </c>
      <c r="M77">
        <v>69.527916000000005</v>
      </c>
      <c r="N77">
        <v>73.271034</v>
      </c>
      <c r="O77">
        <v>77.272437999999994</v>
      </c>
      <c r="P77">
        <v>81.470436000000007</v>
      </c>
      <c r="Q77">
        <v>85.978043</v>
      </c>
      <c r="R77">
        <v>90.700515999999993</v>
      </c>
      <c r="S77">
        <v>95.678627000000006</v>
      </c>
      <c r="T77">
        <v>100.839439</v>
      </c>
      <c r="U77">
        <v>106.218834</v>
      </c>
      <c r="V77">
        <v>111.758263</v>
      </c>
      <c r="W77">
        <v>117.472054</v>
      </c>
      <c r="X77">
        <v>123.40827899999999</v>
      </c>
      <c r="Y77">
        <v>129.49212600000001</v>
      </c>
      <c r="Z77">
        <v>135.76173399999999</v>
      </c>
      <c r="AA77">
        <v>142.22489899999999</v>
      </c>
      <c r="AB77">
        <v>148.97238200000001</v>
      </c>
      <c r="AC77">
        <v>155.84429900000001</v>
      </c>
      <c r="AD77">
        <v>162.963379</v>
      </c>
      <c r="AE77" s="16">
        <v>5.2999999999999999E-2</v>
      </c>
    </row>
    <row r="78" spans="1:31" x14ac:dyDescent="0.25">
      <c r="A78" t="s">
        <v>239</v>
      </c>
      <c r="B78" t="s">
        <v>948</v>
      </c>
      <c r="C78" t="s">
        <v>949</v>
      </c>
      <c r="D78" t="s">
        <v>237</v>
      </c>
      <c r="E78">
        <v>0.16123199999999999</v>
      </c>
      <c r="F78">
        <v>0.16136600000000001</v>
      </c>
      <c r="G78">
        <v>0.16153000000000001</v>
      </c>
      <c r="H78">
        <v>0.161692</v>
      </c>
      <c r="I78">
        <v>0.16195399999999999</v>
      </c>
      <c r="J78">
        <v>0.16241</v>
      </c>
      <c r="K78">
        <v>0.163239</v>
      </c>
      <c r="L78">
        <v>0.16453400000000001</v>
      </c>
      <c r="M78">
        <v>0.16653499999999999</v>
      </c>
      <c r="N78">
        <v>0.169296</v>
      </c>
      <c r="O78">
        <v>0.1726</v>
      </c>
      <c r="P78">
        <v>0.176311</v>
      </c>
      <c r="Q78">
        <v>0.180427</v>
      </c>
      <c r="R78">
        <v>0.184751</v>
      </c>
      <c r="S78">
        <v>0.18918299999999999</v>
      </c>
      <c r="T78">
        <v>0.193883</v>
      </c>
      <c r="U78">
        <v>0.199127</v>
      </c>
      <c r="V78">
        <v>0.20472899999999999</v>
      </c>
      <c r="W78">
        <v>0.21051300000000001</v>
      </c>
      <c r="X78">
        <v>0.21643999999999999</v>
      </c>
      <c r="Y78">
        <v>0.22256200000000001</v>
      </c>
      <c r="Z78">
        <v>0.22922899999999999</v>
      </c>
      <c r="AA78">
        <v>0.236147</v>
      </c>
      <c r="AB78">
        <v>0.24405399999999999</v>
      </c>
      <c r="AC78">
        <v>0.25204900000000002</v>
      </c>
      <c r="AD78">
        <v>0.260129</v>
      </c>
      <c r="AE78" s="16">
        <v>1.9E-2</v>
      </c>
    </row>
    <row r="79" spans="1:31" x14ac:dyDescent="0.25">
      <c r="A79" t="s">
        <v>191</v>
      </c>
      <c r="B79" t="s">
        <v>950</v>
      </c>
      <c r="C79" t="s">
        <v>951</v>
      </c>
      <c r="D79" t="s">
        <v>237</v>
      </c>
      <c r="E79">
        <v>44.527335999999998</v>
      </c>
      <c r="F79">
        <v>47.217987000000001</v>
      </c>
      <c r="G79">
        <v>50.253428999999997</v>
      </c>
      <c r="H79">
        <v>53.392937000000003</v>
      </c>
      <c r="I79">
        <v>56.341414999999998</v>
      </c>
      <c r="J79">
        <v>59.446368999999997</v>
      </c>
      <c r="K79">
        <v>62.811081000000001</v>
      </c>
      <c r="L79">
        <v>66.169669999999996</v>
      </c>
      <c r="M79">
        <v>69.700057999999999</v>
      </c>
      <c r="N79">
        <v>73.447029000000001</v>
      </c>
      <c r="O79">
        <v>77.451751999999999</v>
      </c>
      <c r="P79">
        <v>81.653473000000005</v>
      </c>
      <c r="Q79">
        <v>86.165215000000003</v>
      </c>
      <c r="R79">
        <v>90.892021</v>
      </c>
      <c r="S79">
        <v>95.874579999999995</v>
      </c>
      <c r="T79">
        <v>101.040108</v>
      </c>
      <c r="U79">
        <v>106.42475899999999</v>
      </c>
      <c r="V79">
        <v>111.96981</v>
      </c>
      <c r="W79">
        <v>117.689415</v>
      </c>
      <c r="X79">
        <v>123.631615</v>
      </c>
      <c r="Y79">
        <v>129.721664</v>
      </c>
      <c r="Z79">
        <v>135.99807699999999</v>
      </c>
      <c r="AA79">
        <v>142.46829199999999</v>
      </c>
      <c r="AB79">
        <v>149.223816</v>
      </c>
      <c r="AC79">
        <v>156.10386700000001</v>
      </c>
      <c r="AD79">
        <v>163.23118600000001</v>
      </c>
      <c r="AE79" s="16">
        <v>5.2999999999999999E-2</v>
      </c>
    </row>
    <row r="80" spans="1:31" x14ac:dyDescent="0.25">
      <c r="A80" t="s">
        <v>174</v>
      </c>
    </row>
    <row r="81" spans="1:31" x14ac:dyDescent="0.25">
      <c r="A81" t="s">
        <v>236</v>
      </c>
      <c r="B81" t="s">
        <v>952</v>
      </c>
      <c r="C81" t="s">
        <v>953</v>
      </c>
      <c r="D81" t="s">
        <v>240</v>
      </c>
      <c r="E81">
        <v>2.0019999999999999E-3</v>
      </c>
      <c r="F81">
        <v>4.3750000000000004E-3</v>
      </c>
      <c r="G81">
        <v>6.6880000000000004E-3</v>
      </c>
      <c r="H81">
        <v>6.7390000000000002E-3</v>
      </c>
      <c r="I81">
        <v>6.7910000000000002E-3</v>
      </c>
      <c r="J81">
        <v>1.0015E-2</v>
      </c>
      <c r="K81">
        <v>1.4319E-2</v>
      </c>
      <c r="L81">
        <v>1.8756999999999999E-2</v>
      </c>
      <c r="M81">
        <v>2.2213E-2</v>
      </c>
      <c r="N81">
        <v>2.6542E-2</v>
      </c>
      <c r="O81">
        <v>2.6592999999999999E-2</v>
      </c>
      <c r="P81">
        <v>2.6644000000000001E-2</v>
      </c>
      <c r="Q81">
        <v>2.6696000000000001E-2</v>
      </c>
      <c r="R81">
        <v>2.6747E-2</v>
      </c>
      <c r="S81">
        <v>2.6799E-2</v>
      </c>
      <c r="T81">
        <v>2.6855E-2</v>
      </c>
      <c r="U81">
        <v>2.6918999999999998E-2</v>
      </c>
      <c r="V81">
        <v>2.7001000000000001E-2</v>
      </c>
      <c r="W81">
        <v>2.7116999999999999E-2</v>
      </c>
      <c r="X81">
        <v>2.7300999999999999E-2</v>
      </c>
      <c r="Y81">
        <v>2.7612000000000001E-2</v>
      </c>
      <c r="Z81">
        <v>2.8157999999999999E-2</v>
      </c>
      <c r="AA81">
        <v>2.8707E-2</v>
      </c>
      <c r="AB81">
        <v>2.9257999999999999E-2</v>
      </c>
      <c r="AC81">
        <v>2.9812000000000002E-2</v>
      </c>
      <c r="AD81">
        <v>3.0370999999999999E-2</v>
      </c>
      <c r="AE81" s="16">
        <v>0.115</v>
      </c>
    </row>
    <row r="82" spans="1:31" x14ac:dyDescent="0.25">
      <c r="A82" t="s">
        <v>238</v>
      </c>
      <c r="B82" t="s">
        <v>954</v>
      </c>
      <c r="C82" t="s">
        <v>955</v>
      </c>
      <c r="D82" t="s">
        <v>240</v>
      </c>
      <c r="E82">
        <v>65.763306</v>
      </c>
      <c r="F82">
        <v>69.514885000000007</v>
      </c>
      <c r="G82">
        <v>73.749602999999993</v>
      </c>
      <c r="H82">
        <v>78.117583999999994</v>
      </c>
      <c r="I82">
        <v>82.188416000000004</v>
      </c>
      <c r="J82">
        <v>86.464530999999994</v>
      </c>
      <c r="K82">
        <v>91.093108999999998</v>
      </c>
      <c r="L82">
        <v>95.701415999999995</v>
      </c>
      <c r="M82">
        <v>100.53012099999999</v>
      </c>
      <c r="N82">
        <v>105.647018</v>
      </c>
      <c r="O82">
        <v>111.102661</v>
      </c>
      <c r="P82">
        <v>116.817886</v>
      </c>
      <c r="Q82">
        <v>122.939804</v>
      </c>
      <c r="R82">
        <v>129.34982299999999</v>
      </c>
      <c r="S82">
        <v>136.10320999999999</v>
      </c>
      <c r="T82">
        <v>143.09359699999999</v>
      </c>
      <c r="U82">
        <v>150.360107</v>
      </c>
      <c r="V82">
        <v>157.83047500000001</v>
      </c>
      <c r="W82">
        <v>165.53160099999999</v>
      </c>
      <c r="X82">
        <v>173.53079199999999</v>
      </c>
      <c r="Y82">
        <v>181.71040300000001</v>
      </c>
      <c r="Z82">
        <v>190.129639</v>
      </c>
      <c r="AA82">
        <v>198.79531900000001</v>
      </c>
      <c r="AB82">
        <v>207.82278400000001</v>
      </c>
      <c r="AC82">
        <v>216.99314899999999</v>
      </c>
      <c r="AD82">
        <v>226.49281300000001</v>
      </c>
      <c r="AE82" s="16">
        <v>5.0999999999999997E-2</v>
      </c>
    </row>
    <row r="83" spans="1:31" x14ac:dyDescent="0.25">
      <c r="A83" t="s">
        <v>239</v>
      </c>
      <c r="B83" t="s">
        <v>956</v>
      </c>
      <c r="C83" t="s">
        <v>957</v>
      </c>
      <c r="D83" t="s">
        <v>240</v>
      </c>
      <c r="E83">
        <v>0.17227400000000001</v>
      </c>
      <c r="F83">
        <v>0.172428</v>
      </c>
      <c r="G83">
        <v>0.17261599999999999</v>
      </c>
      <c r="H83">
        <v>0.17280200000000001</v>
      </c>
      <c r="I83">
        <v>0.17310300000000001</v>
      </c>
      <c r="J83">
        <v>0.173625</v>
      </c>
      <c r="K83">
        <v>0.174572</v>
      </c>
      <c r="L83">
        <v>0.17604500000000001</v>
      </c>
      <c r="M83">
        <v>0.17830799999999999</v>
      </c>
      <c r="N83">
        <v>0.18141699999999999</v>
      </c>
      <c r="O83">
        <v>0.18512600000000001</v>
      </c>
      <c r="P83">
        <v>0.18928300000000001</v>
      </c>
      <c r="Q83">
        <v>0.193886</v>
      </c>
      <c r="R83">
        <v>0.198717</v>
      </c>
      <c r="S83">
        <v>0.20366799999999999</v>
      </c>
      <c r="T83">
        <v>0.20891399999999999</v>
      </c>
      <c r="U83">
        <v>0.21476100000000001</v>
      </c>
      <c r="V83">
        <v>0.221002</v>
      </c>
      <c r="W83">
        <v>0.227441</v>
      </c>
      <c r="X83">
        <v>0.23403499999999999</v>
      </c>
      <c r="Y83">
        <v>0.240839</v>
      </c>
      <c r="Z83">
        <v>0.24821199999999999</v>
      </c>
      <c r="AA83">
        <v>0.25586700000000001</v>
      </c>
      <c r="AB83">
        <v>0.26457799999999998</v>
      </c>
      <c r="AC83">
        <v>0.27338699999999999</v>
      </c>
      <c r="AD83">
        <v>0.28228599999999998</v>
      </c>
      <c r="AE83" s="16">
        <v>0.02</v>
      </c>
    </row>
    <row r="84" spans="1:31" x14ac:dyDescent="0.25">
      <c r="A84" t="s">
        <v>191</v>
      </c>
      <c r="B84" t="s">
        <v>958</v>
      </c>
      <c r="C84" t="s">
        <v>959</v>
      </c>
      <c r="D84" t="s">
        <v>240</v>
      </c>
      <c r="E84">
        <v>65.937576000000007</v>
      </c>
      <c r="F84">
        <v>69.691681000000003</v>
      </c>
      <c r="G84">
        <v>73.928909000000004</v>
      </c>
      <c r="H84">
        <v>78.297127000000003</v>
      </c>
      <c r="I84">
        <v>82.368308999999996</v>
      </c>
      <c r="J84">
        <v>86.648169999999993</v>
      </c>
      <c r="K84">
        <v>91.282004999999998</v>
      </c>
      <c r="L84">
        <v>95.896216999999993</v>
      </c>
      <c r="M84">
        <v>100.730644</v>
      </c>
      <c r="N84">
        <v>105.85498</v>
      </c>
      <c r="O84">
        <v>111.314384</v>
      </c>
      <c r="P84">
        <v>117.03381299999999</v>
      </c>
      <c r="Q84">
        <v>123.16038500000001</v>
      </c>
      <c r="R84">
        <v>129.575287</v>
      </c>
      <c r="S84">
        <v>136.33367899999999</v>
      </c>
      <c r="T84">
        <v>143.32936100000001</v>
      </c>
      <c r="U84">
        <v>150.60179099999999</v>
      </c>
      <c r="V84">
        <v>158.07849100000001</v>
      </c>
      <c r="W84">
        <v>165.78616299999999</v>
      </c>
      <c r="X84">
        <v>173.79212999999999</v>
      </c>
      <c r="Y84">
        <v>181.97886700000001</v>
      </c>
      <c r="Z84">
        <v>190.40600599999999</v>
      </c>
      <c r="AA84">
        <v>199.07988</v>
      </c>
      <c r="AB84">
        <v>208.11660800000001</v>
      </c>
      <c r="AC84">
        <v>217.296356</v>
      </c>
      <c r="AD84">
        <v>226.805466</v>
      </c>
      <c r="AE84" s="16">
        <v>5.0999999999999997E-2</v>
      </c>
    </row>
    <row r="85" spans="1:31" x14ac:dyDescent="0.25">
      <c r="A85" t="s">
        <v>241</v>
      </c>
    </row>
    <row r="86" spans="1:31" x14ac:dyDescent="0.25">
      <c r="A86" t="s">
        <v>242</v>
      </c>
      <c r="B86" t="s">
        <v>960</v>
      </c>
      <c r="C86" t="s">
        <v>961</v>
      </c>
      <c r="D86" t="s">
        <v>240</v>
      </c>
      <c r="E86">
        <v>11.678179999999999</v>
      </c>
      <c r="F86">
        <v>12.194283</v>
      </c>
      <c r="G86">
        <v>12.947094999999999</v>
      </c>
      <c r="H86">
        <v>13.733867999999999</v>
      </c>
      <c r="I86">
        <v>14.398315999999999</v>
      </c>
      <c r="J86">
        <v>15.122087000000001</v>
      </c>
      <c r="K86">
        <v>15.963412999999999</v>
      </c>
      <c r="L86">
        <v>16.765619000000001</v>
      </c>
      <c r="M86">
        <v>17.624851</v>
      </c>
      <c r="N86">
        <v>18.541654999999999</v>
      </c>
      <c r="O86">
        <v>19.535112000000002</v>
      </c>
      <c r="P86">
        <v>20.570558999999999</v>
      </c>
      <c r="Q86">
        <v>21.705860000000001</v>
      </c>
      <c r="R86">
        <v>22.895941000000001</v>
      </c>
      <c r="S86">
        <v>24.190172</v>
      </c>
      <c r="T86">
        <v>25.534420000000001</v>
      </c>
      <c r="U86">
        <v>26.944834</v>
      </c>
      <c r="V86">
        <v>28.379297000000001</v>
      </c>
      <c r="W86">
        <v>29.894017999999999</v>
      </c>
      <c r="X86">
        <v>31.475760999999999</v>
      </c>
      <c r="Y86">
        <v>33.075305999999998</v>
      </c>
      <c r="Z86">
        <v>34.696655</v>
      </c>
      <c r="AA86">
        <v>36.351891000000002</v>
      </c>
      <c r="AB86">
        <v>38.104987999999999</v>
      </c>
      <c r="AC86">
        <v>39.860675999999998</v>
      </c>
      <c r="AD86">
        <v>41.713695999999999</v>
      </c>
      <c r="AE86" s="16">
        <v>5.1999999999999998E-2</v>
      </c>
    </row>
    <row r="87" spans="1:31" x14ac:dyDescent="0.25">
      <c r="A87" t="s">
        <v>243</v>
      </c>
      <c r="B87" t="s">
        <v>962</v>
      </c>
      <c r="C87" t="s">
        <v>963</v>
      </c>
      <c r="D87" t="s">
        <v>240</v>
      </c>
      <c r="E87">
        <v>54.259399000000002</v>
      </c>
      <c r="F87">
        <v>57.497405999999998</v>
      </c>
      <c r="G87">
        <v>60.981811999999998</v>
      </c>
      <c r="H87">
        <v>64.563263000000006</v>
      </c>
      <c r="I87">
        <v>67.970000999999996</v>
      </c>
      <c r="J87">
        <v>71.526084999999995</v>
      </c>
      <c r="K87">
        <v>75.318588000000005</v>
      </c>
      <c r="L87">
        <v>79.130600000000001</v>
      </c>
      <c r="M87">
        <v>83.105789000000001</v>
      </c>
      <c r="N87">
        <v>87.313323999999994</v>
      </c>
      <c r="O87">
        <v>91.779266000000007</v>
      </c>
      <c r="P87">
        <v>96.463249000000005</v>
      </c>
      <c r="Q87">
        <v>101.454521</v>
      </c>
      <c r="R87">
        <v>106.67935199999999</v>
      </c>
      <c r="S87">
        <v>112.143501</v>
      </c>
      <c r="T87">
        <v>117.794945</v>
      </c>
      <c r="U87">
        <v>123.656952</v>
      </c>
      <c r="V87">
        <v>129.699173</v>
      </c>
      <c r="W87">
        <v>135.89213599999999</v>
      </c>
      <c r="X87">
        <v>142.31637599999999</v>
      </c>
      <c r="Y87">
        <v>148.903549</v>
      </c>
      <c r="Z87">
        <v>155.709351</v>
      </c>
      <c r="AA87">
        <v>162.727982</v>
      </c>
      <c r="AB87">
        <v>170.01164199999999</v>
      </c>
      <c r="AC87">
        <v>177.43568400000001</v>
      </c>
      <c r="AD87">
        <v>185.09176600000001</v>
      </c>
      <c r="AE87" s="16">
        <v>0.05</v>
      </c>
    </row>
    <row r="88" spans="1:31" x14ac:dyDescent="0.25">
      <c r="A88" t="s">
        <v>244</v>
      </c>
    </row>
    <row r="89" spans="1:31" x14ac:dyDescent="0.25">
      <c r="A89" t="s">
        <v>236</v>
      </c>
      <c r="B89" t="s">
        <v>964</v>
      </c>
      <c r="C89" t="s">
        <v>965</v>
      </c>
      <c r="D89" t="s">
        <v>245</v>
      </c>
      <c r="E89">
        <v>1.5282E-2</v>
      </c>
      <c r="F89">
        <v>3.3397000000000003E-2</v>
      </c>
      <c r="G89">
        <v>5.1050999999999999E-2</v>
      </c>
      <c r="H89">
        <v>5.1443999999999997E-2</v>
      </c>
      <c r="I89">
        <v>5.1837000000000001E-2</v>
      </c>
      <c r="J89">
        <v>7.6448000000000002E-2</v>
      </c>
      <c r="K89">
        <v>0.10929800000000001</v>
      </c>
      <c r="L89">
        <v>0.143174</v>
      </c>
      <c r="M89">
        <v>0.16955899999999999</v>
      </c>
      <c r="N89">
        <v>0.202596</v>
      </c>
      <c r="O89">
        <v>0.202989</v>
      </c>
      <c r="P89">
        <v>0.20338200000000001</v>
      </c>
      <c r="Q89">
        <v>0.20377500000000001</v>
      </c>
      <c r="R89">
        <v>0.20416799999999999</v>
      </c>
      <c r="S89">
        <v>0.204565</v>
      </c>
      <c r="T89">
        <v>0.20499000000000001</v>
      </c>
      <c r="U89">
        <v>0.20548</v>
      </c>
      <c r="V89">
        <v>0.20610700000000001</v>
      </c>
      <c r="W89">
        <v>0.20699300000000001</v>
      </c>
      <c r="X89">
        <v>0.208397</v>
      </c>
      <c r="Y89">
        <v>0.21077099999999999</v>
      </c>
      <c r="Z89">
        <v>0.21493499999999999</v>
      </c>
      <c r="AA89">
        <v>0.21912400000000001</v>
      </c>
      <c r="AB89">
        <v>0.22333</v>
      </c>
      <c r="AC89">
        <v>0.22756399999999999</v>
      </c>
      <c r="AD89">
        <v>0.231824</v>
      </c>
      <c r="AE89" s="16">
        <v>0.115</v>
      </c>
    </row>
    <row r="90" spans="1:31" x14ac:dyDescent="0.25">
      <c r="A90" t="s">
        <v>238</v>
      </c>
      <c r="B90" t="s">
        <v>966</v>
      </c>
      <c r="C90" t="s">
        <v>967</v>
      </c>
      <c r="D90" t="s">
        <v>245</v>
      </c>
      <c r="E90">
        <v>224.38436899999999</v>
      </c>
      <c r="F90">
        <v>237.18476899999999</v>
      </c>
      <c r="G90">
        <v>251.633636</v>
      </c>
      <c r="H90">
        <v>266.53720099999998</v>
      </c>
      <c r="I90">
        <v>280.42687999999998</v>
      </c>
      <c r="J90">
        <v>295.01696800000002</v>
      </c>
      <c r="K90">
        <v>310.80969199999998</v>
      </c>
      <c r="L90">
        <v>326.53320300000001</v>
      </c>
      <c r="M90">
        <v>343.00872800000002</v>
      </c>
      <c r="N90">
        <v>360.46758999999997</v>
      </c>
      <c r="O90">
        <v>379.08227499999998</v>
      </c>
      <c r="P90">
        <v>398.582581</v>
      </c>
      <c r="Q90">
        <v>419.470642</v>
      </c>
      <c r="R90">
        <v>441.34155299999998</v>
      </c>
      <c r="S90">
        <v>464.38412499999998</v>
      </c>
      <c r="T90">
        <v>488.23529100000002</v>
      </c>
      <c r="U90">
        <v>513.02868699999999</v>
      </c>
      <c r="V90">
        <v>538.51745600000004</v>
      </c>
      <c r="W90">
        <v>564.79382299999997</v>
      </c>
      <c r="X90">
        <v>592.08697500000005</v>
      </c>
      <c r="Y90">
        <v>619.99591099999998</v>
      </c>
      <c r="Z90">
        <v>648.72229000000004</v>
      </c>
      <c r="AA90">
        <v>678.28955099999996</v>
      </c>
      <c r="AB90">
        <v>709.09130900000002</v>
      </c>
      <c r="AC90">
        <v>740.38061500000003</v>
      </c>
      <c r="AD90">
        <v>772.79345699999999</v>
      </c>
      <c r="AE90" s="16">
        <v>5.0999999999999997E-2</v>
      </c>
    </row>
    <row r="91" spans="1:31" x14ac:dyDescent="0.25">
      <c r="A91" t="s">
        <v>239</v>
      </c>
      <c r="B91" t="s">
        <v>968</v>
      </c>
      <c r="C91" t="s">
        <v>969</v>
      </c>
      <c r="D91" t="s">
        <v>245</v>
      </c>
      <c r="E91">
        <v>0.58779899999999996</v>
      </c>
      <c r="F91">
        <v>0.58832399999999996</v>
      </c>
      <c r="G91">
        <v>0.58896499999999996</v>
      </c>
      <c r="H91">
        <v>0.58960100000000004</v>
      </c>
      <c r="I91">
        <v>0.59062800000000004</v>
      </c>
      <c r="J91">
        <v>0.59240999999999999</v>
      </c>
      <c r="K91">
        <v>0.59563999999999995</v>
      </c>
      <c r="L91">
        <v>0.60066600000000003</v>
      </c>
      <c r="M91">
        <v>0.60838700000000001</v>
      </c>
      <c r="N91">
        <v>0.61899499999999996</v>
      </c>
      <c r="O91">
        <v>0.63164799999999999</v>
      </c>
      <c r="P91">
        <v>0.64583299999999999</v>
      </c>
      <c r="Q91">
        <v>0.66153799999999996</v>
      </c>
      <c r="R91">
        <v>0.67802200000000001</v>
      </c>
      <c r="S91">
        <v>0.69491499999999995</v>
      </c>
      <c r="T91">
        <v>0.71281300000000003</v>
      </c>
      <c r="U91">
        <v>0.732765</v>
      </c>
      <c r="V91">
        <v>0.75405800000000001</v>
      </c>
      <c r="W91">
        <v>0.77603</v>
      </c>
      <c r="X91">
        <v>0.79852900000000004</v>
      </c>
      <c r="Y91">
        <v>0.821743</v>
      </c>
      <c r="Z91">
        <v>0.84689899999999996</v>
      </c>
      <c r="AA91">
        <v>0.87301700000000004</v>
      </c>
      <c r="AB91">
        <v>0.90273999999999999</v>
      </c>
      <c r="AC91">
        <v>0.93279500000000004</v>
      </c>
      <c r="AD91">
        <v>0.96316100000000004</v>
      </c>
      <c r="AE91" s="16">
        <v>0.02</v>
      </c>
    </row>
    <row r="92" spans="1:31" x14ac:dyDescent="0.25">
      <c r="A92" t="s">
        <v>191</v>
      </c>
      <c r="B92" t="s">
        <v>970</v>
      </c>
      <c r="C92" t="s">
        <v>971</v>
      </c>
      <c r="D92" t="s">
        <v>245</v>
      </c>
      <c r="E92">
        <v>224.98744199999999</v>
      </c>
      <c r="F92">
        <v>237.806488</v>
      </c>
      <c r="G92">
        <v>252.273651</v>
      </c>
      <c r="H92">
        <v>267.17825299999998</v>
      </c>
      <c r="I92">
        <v>281.069366</v>
      </c>
      <c r="J92">
        <v>295.68582199999997</v>
      </c>
      <c r="K92">
        <v>311.51461799999998</v>
      </c>
      <c r="L92">
        <v>327.27706899999998</v>
      </c>
      <c r="M92">
        <v>343.78668199999998</v>
      </c>
      <c r="N92">
        <v>361.28918499999997</v>
      </c>
      <c r="O92">
        <v>379.91693099999998</v>
      </c>
      <c r="P92">
        <v>399.43179300000003</v>
      </c>
      <c r="Q92">
        <v>420.335938</v>
      </c>
      <c r="R92">
        <v>442.223724</v>
      </c>
      <c r="S92">
        <v>465.28359999999998</v>
      </c>
      <c r="T92">
        <v>489.153076</v>
      </c>
      <c r="U92">
        <v>513.96698000000004</v>
      </c>
      <c r="V92">
        <v>539.47760000000005</v>
      </c>
      <c r="W92">
        <v>565.776794</v>
      </c>
      <c r="X92">
        <v>593.09387200000003</v>
      </c>
      <c r="Y92">
        <v>621.02838099999997</v>
      </c>
      <c r="Z92">
        <v>649.78411900000003</v>
      </c>
      <c r="AA92">
        <v>679.38171399999999</v>
      </c>
      <c r="AB92">
        <v>710.21734600000002</v>
      </c>
      <c r="AC92">
        <v>741.54095500000005</v>
      </c>
      <c r="AD92">
        <v>773.98840299999995</v>
      </c>
      <c r="AE92" s="16">
        <v>5.0999999999999997E-2</v>
      </c>
    </row>
  </sheetData>
  <pageMargins left="0.7" right="0.7" top="0.75" bottom="0.75" header="0.3" footer="0.3"/>
</worksheet>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About</vt:lpstr>
      <vt:lpstr>Source Data&gt;</vt:lpstr>
      <vt:lpstr>AEO23_Table_21._Residential</vt:lpstr>
      <vt:lpstr>AEO25_Table_21._Residential</vt:lpstr>
      <vt:lpstr>AEO23_table_22._Comm</vt:lpstr>
      <vt:lpstr>AEO25_Table_22._Commercial</vt:lpstr>
      <vt:lpstr>RECS HC2.1</vt:lpstr>
      <vt:lpstr>Calcs&gt;</vt:lpstr>
      <vt:lpstr>Calculations</vt:lpstr>
      <vt:lpstr>Inflation Reduction Act</vt:lpstr>
      <vt:lpstr>BDESC-urban-residential</vt:lpstr>
      <vt:lpstr>BDESC-rural-residential</vt:lpstr>
      <vt:lpstr>BDESC-commercial</vt:lpstr>
      <vt:lpstr>CiDESCTY-urban-residential</vt:lpstr>
      <vt:lpstr>CiDESCTY-rural-residential</vt:lpstr>
      <vt:lpstr>CiDESCTY-commercial</vt:lpstr>
      <vt:lpstr>CiDESCTY-data-centers</vt:lpstr>
      <vt:lpstr>AEO26_Table_22._Commercial</vt:lpstr>
      <vt:lpstr>AEO26_Table_21._Residential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2016-01-26T19:10:58Z</dcterms:created>
  <dcterms:modified xsi:type="dcterms:W3CDTF">2026-10-23T18:37:42Z</dcterms:modified>
</cp:coreProperties>
</file>