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eganMahajan\Documents\eps-us\InputData\bldgs\CiDESCTY\"/>
    </mc:Choice>
  </mc:AlternateContent>
  <xr:revisionPtr revIDLastSave="0" documentId="13_ncr:1_{9F1F5186-8B76-440D-AA12-E7A5709BB92B}" xr6:coauthVersionLast="47" xr6:coauthVersionMax="47" xr10:uidLastSave="{00000000-0000-0000-0000-000000000000}"/>
  <bookViews>
    <workbookView xWindow="38280" yWindow="-120" windowWidth="29040" windowHeight="17520" tabRatio="905" xr2:uid="{EAFC2935-000E-413A-B5D2-814429F7674A}"/>
  </bookViews>
  <sheets>
    <sheet name="About" sheetId="1" r:id="rId1"/>
    <sheet name="REPEAT dist solar data" sheetId="11" r:id="rId2"/>
    <sheet name="CiDESCTY-urban-residential" sheetId="6" r:id="rId3"/>
    <sheet name="CiDESCTY-rural-residential" sheetId="10" r:id="rId4"/>
    <sheet name="CiDESCTY-commercial" sheetId="7" r:id="rId5"/>
  </sheets>
  <externalReferences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billion_kw_to_MW" localSheetId="1">#REF!</definedName>
    <definedName name="billion_kw_to_MW">About!$B$22</definedName>
    <definedName name="CH4_to_CO2e">'[2]Cross-Page Data'!$C$12</definedName>
    <definedName name="cpi_2010to2012">#REF!</definedName>
    <definedName name="cpi_2013to2012">#REF!</definedName>
    <definedName name="cpi_2014to2012">#REF!</definedName>
    <definedName name="cpi_2016to2012">#REF!</definedName>
    <definedName name="dollars_2020_2012">[4]About!$A$113</definedName>
    <definedName name="dollars_2022_2012">[4]About!$A$111</definedName>
    <definedName name="gigwatt_to_megawatt" localSheetId="1">#REF!</definedName>
    <definedName name="gigwatt_to_megawatt">About!$B$23</definedName>
    <definedName name="gigwatts_to_megawatts">[5]About!$A$31</definedName>
    <definedName name="Google_Sheet_Link_1041556874" localSheetId="1" hidden="1">'REPEAT dist solar data'!gigwatt_to_megawatt</definedName>
    <definedName name="Google_Sheet_Link_1041556874" hidden="1">gigwatt_to_megawatt</definedName>
    <definedName name="Google_Sheet_Link_1113742247" localSheetId="1" hidden="1">'REPEAT dist solar data'!Percent_rural</definedName>
    <definedName name="Google_Sheet_Link_1113742247" hidden="1">Percent_rural</definedName>
    <definedName name="Google_Sheet_Link_27960059" localSheetId="1" hidden="1">'REPEAT dist solar data'!Percent_Urban</definedName>
    <definedName name="Google_Sheet_Link_27960059" hidden="1">Percent_Urban</definedName>
    <definedName name="Google_Sheet_Link_678979968" localSheetId="1" hidden="1">'REPEAT dist solar data'!billion_kw_to_MW</definedName>
    <definedName name="Google_Sheet_Link_678979968" hidden="1">billion_kw_to_MW</definedName>
    <definedName name="N2O_to_CO2e">'[2]Cross-Page Data'!$C$13</definedName>
    <definedName name="Percent_rural" localSheetId="1">#REF!</definedName>
    <definedName name="Percent_rural">About!$A$20</definedName>
    <definedName name="Percent_Urban" localSheetId="1">#REF!</definedName>
    <definedName name="Percent_Urban">About!$A$19</definedName>
    <definedName name="unit_conv">[6]About!$A$123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8" i="10" l="1"/>
  <c r="I8" i="10"/>
  <c r="J8" i="10"/>
  <c r="K8" i="10"/>
  <c r="L8" i="10"/>
  <c r="M8" i="10"/>
  <c r="N8" i="10"/>
  <c r="O8" i="10"/>
  <c r="P8" i="10"/>
  <c r="Q8" i="10"/>
  <c r="R8" i="10"/>
  <c r="S8" i="10"/>
  <c r="T8" i="10"/>
  <c r="U8" i="10"/>
  <c r="V8" i="10"/>
  <c r="W8" i="10"/>
  <c r="X8" i="10"/>
  <c r="Y8" i="10"/>
  <c r="Z8" i="10"/>
  <c r="AA8" i="10"/>
  <c r="AB8" i="10"/>
  <c r="H8" i="6"/>
  <c r="I8" i="6"/>
  <c r="J8" i="6"/>
  <c r="K8" i="6"/>
  <c r="L8" i="6"/>
  <c r="M8" i="6"/>
  <c r="N8" i="6"/>
  <c r="O8" i="6"/>
  <c r="P8" i="6"/>
  <c r="Q8" i="6"/>
  <c r="R8" i="6"/>
  <c r="S8" i="6"/>
  <c r="T8" i="6"/>
  <c r="U8" i="6"/>
  <c r="V8" i="6"/>
  <c r="W8" i="6"/>
  <c r="X8" i="6"/>
  <c r="Y8" i="6"/>
  <c r="Z8" i="6"/>
  <c r="AA8" i="6"/>
  <c r="AB8" i="6"/>
  <c r="J59" i="11"/>
  <c r="I59" i="11"/>
  <c r="AH56" i="11"/>
  <c r="X56" i="11"/>
  <c r="S56" i="11"/>
  <c r="T56" i="11" s="1"/>
  <c r="T59" i="11" s="1"/>
  <c r="Q56" i="11"/>
  <c r="R56" i="11" s="1"/>
  <c r="R59" i="11" s="1"/>
  <c r="P56" i="11"/>
  <c r="N56" i="11"/>
  <c r="N59" i="11" s="1"/>
  <c r="M56" i="11"/>
  <c r="M59" i="11" s="1"/>
  <c r="L56" i="11"/>
  <c r="J56" i="11"/>
  <c r="K56" i="11" s="1"/>
  <c r="I56" i="11"/>
  <c r="H56" i="11"/>
  <c r="AH55" i="11"/>
  <c r="X55" i="11"/>
  <c r="T55" i="11"/>
  <c r="T58" i="11" s="1"/>
  <c r="S55" i="11"/>
  <c r="P55" i="11"/>
  <c r="N55" i="11"/>
  <c r="O55" i="11" s="1"/>
  <c r="L55" i="11"/>
  <c r="M55" i="11" s="1"/>
  <c r="J55" i="11"/>
  <c r="K55" i="11" s="1"/>
  <c r="H55" i="11"/>
  <c r="I55" i="11" s="1"/>
  <c r="P58" i="11" l="1"/>
  <c r="O58" i="11"/>
  <c r="R55" i="11"/>
  <c r="L59" i="11"/>
  <c r="K59" i="11"/>
  <c r="P59" i="11"/>
  <c r="P60" i="11" s="1"/>
  <c r="I58" i="11"/>
  <c r="J58" i="11"/>
  <c r="I60" i="11"/>
  <c r="M58" i="11"/>
  <c r="N58" i="11"/>
  <c r="N60" i="11" s="1"/>
  <c r="M60" i="11"/>
  <c r="T60" i="11"/>
  <c r="K58" i="11"/>
  <c r="L58" i="11"/>
  <c r="J60" i="11"/>
  <c r="O56" i="11"/>
  <c r="O59" i="11" s="1"/>
  <c r="U56" i="11"/>
  <c r="U59" i="11" s="1"/>
  <c r="V56" i="11"/>
  <c r="V59" i="11" s="1"/>
  <c r="W56" i="11"/>
  <c r="Y55" i="11"/>
  <c r="Y58" i="11" s="1"/>
  <c r="Z55" i="11"/>
  <c r="Z58" i="11" s="1"/>
  <c r="Y56" i="11"/>
  <c r="Y59" i="11" s="1"/>
  <c r="Y60" i="11" s="1"/>
  <c r="Q59" i="11"/>
  <c r="Q60" i="11" s="1"/>
  <c r="Q55" i="11"/>
  <c r="Q58" i="11" s="1"/>
  <c r="S59" i="11"/>
  <c r="U55" i="11"/>
  <c r="X59" i="11" l="1"/>
  <c r="W59" i="11"/>
  <c r="U60" i="11"/>
  <c r="AA55" i="11"/>
  <c r="O60" i="11"/>
  <c r="Z56" i="11"/>
  <c r="K60" i="11"/>
  <c r="L60" i="11"/>
  <c r="V55" i="11"/>
  <c r="U58" i="11"/>
  <c r="S58" i="11"/>
  <c r="R58" i="11"/>
  <c r="R60" i="11" s="1"/>
  <c r="S60" i="11"/>
  <c r="AA58" i="11" l="1"/>
  <c r="AB55" i="11"/>
  <c r="V58" i="11"/>
  <c r="V60" i="11" s="1"/>
  <c r="W55" i="11"/>
  <c r="Z59" i="11"/>
  <c r="Z60" i="11" s="1"/>
  <c r="AA56" i="11"/>
  <c r="AB58" i="11" l="1"/>
  <c r="AC55" i="11"/>
  <c r="AA59" i="11"/>
  <c r="AA60" i="11" s="1"/>
  <c r="AB56" i="11"/>
  <c r="W58" i="11"/>
  <c r="W60" i="11" s="1"/>
  <c r="X58" i="11"/>
  <c r="X60" i="11" s="1"/>
  <c r="AB59" i="11" l="1"/>
  <c r="AB60" i="11" s="1"/>
  <c r="AC56" i="11"/>
  <c r="AC58" i="11"/>
  <c r="AD55" i="11"/>
  <c r="AD58" i="11" l="1"/>
  <c r="AE55" i="11"/>
  <c r="AC59" i="11"/>
  <c r="AC60" i="11" s="1"/>
  <c r="AD56" i="11"/>
  <c r="AE58" i="11" l="1"/>
  <c r="AF55" i="11"/>
  <c r="AD59" i="11"/>
  <c r="AD60" i="11" s="1"/>
  <c r="AE56" i="11"/>
  <c r="AF58" i="11" l="1"/>
  <c r="AG55" i="11"/>
  <c r="AE59" i="11"/>
  <c r="AE60" i="11" s="1"/>
  <c r="AF56" i="11"/>
  <c r="AG56" i="11" l="1"/>
  <c r="AF59" i="11"/>
  <c r="AF60" i="11" s="1"/>
  <c r="AG58" i="11"/>
  <c r="AH58" i="11"/>
  <c r="AG59" i="11" l="1"/>
  <c r="AG60" i="11" s="1"/>
  <c r="AH59" i="11"/>
  <c r="AH60" i="11" s="1"/>
</calcChain>
</file>

<file path=xl/sharedStrings.xml><?xml version="1.0" encoding="utf-8"?>
<sst xmlns="http://schemas.openxmlformats.org/spreadsheetml/2006/main" count="370" uniqueCount="131">
  <si>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</si>
  <si>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</si>
  <si>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</si>
  <si>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</si>
  <si>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</si>
  <si>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</si>
  <si>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</si>
  <si>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</si>
  <si>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</si>
  <si>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Sources: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</si>
  <si>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</si>
  <si>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</si>
  <si>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</si>
  <si>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</si>
  <si>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</si>
  <si>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</si>
  <si>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</si>
  <si>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MW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</si>
  <si>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</si>
  <si>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</si>
  <si>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</si>
  <si>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</si>
  <si>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</si>
  <si>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</si>
  <si>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</si>
  <si>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</si>
  <si>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</si>
  <si>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BDESC BAU Distributed Electricity Source Capacity</t>
  </si>
  <si>
    <t>This file can be used to test an alternate distributed solar additions schedule.</t>
  </si>
  <si>
    <t>res v commercial breakdown</t>
  </si>
  <si>
    <t>Energy Information Administration</t>
  </si>
  <si>
    <t>Annual Electric Power Industry Report, Form EIA-861 detailed data files</t>
  </si>
  <si>
    <t>https://www.eia.gov/electricity/data/eia861/</t>
  </si>
  <si>
    <t>Net_metering_2022</t>
  </si>
  <si>
    <t>Urban vs. Rural Residential Households</t>
  </si>
  <si>
    <t>Residential Energy Consumption Survey (RECS)</t>
  </si>
  <si>
    <t>https://www.eia.gov/consumption/residential/data/2015/hc/hc2.1.xlsx</t>
  </si>
  <si>
    <t>Table HC2.1</t>
  </si>
  <si>
    <t>states</t>
  </si>
  <si>
    <t>REPEAT Model</t>
  </si>
  <si>
    <t>Princeton University</t>
  </si>
  <si>
    <t>IRA mid and Frozen Scenarios</t>
  </si>
  <si>
    <t>https://repeatproject.org/results?comparison=benchmark&amp;state=national&amp;page=1&amp;limit=25</t>
  </si>
  <si>
    <t>By default, this is configured to add distributed solar in the NDC scenario,</t>
  </si>
  <si>
    <t>which applies the same rate of distributed solar adoption expected from IRA</t>
  </si>
  <si>
    <t>tax credits (starting in 2030 and running through 2050).</t>
  </si>
  <si>
    <t>REPEAT Data</t>
  </si>
  <si>
    <t>state</t>
  </si>
  <si>
    <t>categories</t>
  </si>
  <si>
    <t>subcategories</t>
  </si>
  <si>
    <t>variables</t>
  </si>
  <si>
    <t>units</t>
  </si>
  <si>
    <t>frozen_pol_2024</t>
  </si>
  <si>
    <t>frozen_pol_2026</t>
  </si>
  <si>
    <t>frozen_pol_2028</t>
  </si>
  <si>
    <t>frozen_pol_2030</t>
  </si>
  <si>
    <t>frozen_pol_2032</t>
  </si>
  <si>
    <t>frozen_pol_2035</t>
  </si>
  <si>
    <t>frozen_pol_2040</t>
  </si>
  <si>
    <t>frozen_pol_2050</t>
  </si>
  <si>
    <t>ira-mid_pol_2024</t>
  </si>
  <si>
    <t>ira-mid_pol_2026</t>
  </si>
  <si>
    <t>ira-mid_pol_2028</t>
  </si>
  <si>
    <t>ira-mid_pol_2030</t>
  </si>
  <si>
    <t>ira-mid_pol_2032</t>
  </si>
  <si>
    <t>ira-mid_pol_2035</t>
  </si>
  <si>
    <t>ira-mid_pol_2040</t>
  </si>
  <si>
    <t>ira-mid_pol_2050</t>
  </si>
  <si>
    <t>Alabama</t>
  </si>
  <si>
    <t>Electricity</t>
  </si>
  <si>
    <t>Capacity by type</t>
  </si>
  <si>
    <t>Capacity - Rooftop Solar</t>
  </si>
  <si>
    <t>GW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</si>
  <si>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</si>
  <si>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</si>
  <si>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</si>
  <si>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</si>
  <si>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</si>
  <si>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</si>
  <si>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</si>
  <si>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</si>
  <si>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</si>
  <si>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</si>
  <si>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</si>
  <si>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</si>
  <si>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</si>
  <si>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</si>
  <si>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</si>
  <si>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</si>
  <si>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</si>
  <si>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</si>
  <si>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</si>
  <si>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</si>
  <si>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</si>
  <si>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</si>
  <si>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</si>
  <si>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</si>
  <si>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</si>
  <si>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</si>
  <si>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</si>
  <si>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</si>
  <si>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</si>
  <si>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</si>
  <si>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</si>
  <si>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</si>
  <si>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</si>
  <si>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</si>
  <si>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</si>
  <si>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</si>
  <si>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</si>
  <si>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</si>
  <si>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</si>
  <si>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</si>
  <si>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</si>
  <si>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</si>
  <si>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</si>
  <si>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</si>
  <si>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</si>
  <si>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</si>
  <si>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</si>
  <si>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US Total</t>
  </si>
  <si>
    <t>No Policy</t>
  </si>
  <si>
    <t>IRA Mid</t>
  </si>
  <si>
    <t>No Policy Growth</t>
  </si>
  <si>
    <t>IRA Mid Growth</t>
  </si>
  <si>
    <t>Policy Induced Growth</t>
  </si>
  <si>
    <t>Urban Rural Split</t>
  </si>
  <si>
    <t>Urban</t>
  </si>
  <si>
    <t>Rural</t>
  </si>
  <si>
    <t>Conversion from billion kilowatthours to megawatthours</t>
  </si>
  <si>
    <t>Conversion from gigawatts to megawatts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</si>
</sst>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%"/>
    <numFmt numFmtId="165" formatCode="_(* #,##0_);_(* \(#,##0\);_(* &quot;-&quot;??_);_(@_)"/>
  </numFmts>
  <fonts count="3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BFBFBF"/>
        <bgColor rgb="FFBFBFBF"/>
      </patternFill>
    </fill>
    <fill>
      <patternFill patternType="solid">
        <fgColor rgb="FFB7B7B7"/>
        <bgColor rgb="FFB7B7B7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4.9989318521683403E-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Protection="0">
      <alignment wrapText="1"/>
    </xf>
    <xf numFmtId="0" fontId="4" fillId="0" borderId="0" applyNumberFormat="0" applyProtection="0">
      <alignment horizontal="left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2" fillId="0" borderId="4" applyNumberFormat="0" applyProtection="0">
      <alignment wrapText="1"/>
    </xf>
    <xf numFmtId="0" fontId="2" fillId="0" borderId="0"/>
    <xf numFmtId="9" fontId="5" fillId="0" borderId="0" applyFont="0" applyFill="0" applyBorder="0" applyAlignment="0" applyProtection="0"/>
    <xf numFmtId="0" fontId="6" fillId="0" borderId="6" applyNumberFormat="0" applyProtection="0">
      <alignment horizontal="left" wrapText="1"/>
    </xf>
    <xf numFmtId="43" fontId="5" fillId="0" borderId="0" applyFont="0" applyFill="0" applyBorder="0" applyAlignment="0" applyProtection="0"/>
    <xf numFmtId="0" fontId="7" fillId="0" borderId="0" applyNumberFormat="0" applyFill="0" applyBorder="0" applyAlignment="0" applyProtection="0"/>
    <xf numFmtId="0" fontId="8" fillId="0" borderId="5" applyNumberFormat="0" applyFill="0" applyAlignment="0" applyProtection="0"/>
    <xf numFmtId="0" fontId="9" fillId="0" borderId="7" applyNumberFormat="0" applyFill="0" applyAlignment="0" applyProtection="0"/>
    <xf numFmtId="0" fontId="10" fillId="0" borderId="8" applyNumberFormat="0" applyFill="0" applyAlignment="0" applyProtection="0"/>
    <xf numFmtId="0" fontId="10" fillId="0" borderId="0" applyNumberFormat="0" applyFill="0" applyBorder="0" applyAlignment="0" applyProtection="0"/>
    <xf numFmtId="0" fontId="11" fillId="2" borderId="0" applyNumberFormat="0" applyBorder="0" applyAlignment="0" applyProtection="0"/>
    <xf numFmtId="0" fontId="12" fillId="3" borderId="0" applyNumberFormat="0" applyBorder="0" applyAlignment="0" applyProtection="0"/>
    <xf numFmtId="0" fontId="13" fillId="5" borderId="9" applyNumberFormat="0" applyAlignment="0" applyProtection="0"/>
    <xf numFmtId="0" fontId="14" fillId="6" borderId="10" applyNumberFormat="0" applyAlignment="0" applyProtection="0"/>
    <xf numFmtId="0" fontId="15" fillId="6" borderId="9" applyNumberFormat="0" applyAlignment="0" applyProtection="0"/>
    <xf numFmtId="0" fontId="16" fillId="0" borderId="11" applyNumberFormat="0" applyFill="0" applyAlignment="0" applyProtection="0"/>
    <xf numFmtId="0" fontId="17" fillId="7" borderId="12" applyNumberFormat="0" applyAlignment="0" applyProtection="0"/>
    <xf numFmtId="0" fontId="18" fillId="0" borderId="0" applyNumberFormat="0" applyFill="0" applyBorder="0" applyAlignment="0" applyProtection="0"/>
    <xf numFmtId="0" fontId="5" fillId="8" borderId="13" applyNumberFormat="0" applyFont="0" applyAlignment="0" applyProtection="0"/>
    <xf numFmtId="0" fontId="19" fillId="0" borderId="0" applyNumberFormat="0" applyFill="0" applyBorder="0" applyAlignment="0" applyProtection="0"/>
    <xf numFmtId="0" fontId="1" fillId="0" borderId="14" applyNumberFormat="0" applyFill="0" applyAlignment="0" applyProtection="0"/>
    <xf numFmtId="0" fontId="20" fillId="9" borderId="0" applyNumberFormat="0" applyBorder="0" applyAlignment="0" applyProtection="0"/>
    <xf numFmtId="0" fontId="5" fillId="10" borderId="0" applyNumberFormat="0" applyBorder="0" applyAlignment="0" applyProtection="0"/>
    <xf numFmtId="0" fontId="5" fillId="11" borderId="0" applyNumberFormat="0" applyBorder="0" applyAlignment="0" applyProtection="0"/>
    <xf numFmtId="0" fontId="20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20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20" fillId="21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20" fillId="25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20" fillId="29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21" fillId="4" borderId="0" applyNumberFormat="0" applyBorder="0" applyAlignment="0" applyProtection="0"/>
    <xf numFmtId="0" fontId="20" fillId="12" borderId="0" applyNumberFormat="0" applyBorder="0" applyAlignment="0" applyProtection="0"/>
    <xf numFmtId="0" fontId="20" fillId="16" borderId="0" applyNumberFormat="0" applyBorder="0" applyAlignment="0" applyProtection="0"/>
    <xf numFmtId="0" fontId="20" fillId="20" borderId="0" applyNumberFormat="0" applyBorder="0" applyAlignment="0" applyProtection="0"/>
    <xf numFmtId="0" fontId="20" fillId="24" borderId="0" applyNumberFormat="0" applyBorder="0" applyAlignment="0" applyProtection="0"/>
    <xf numFmtId="0" fontId="20" fillId="28" borderId="0" applyNumberFormat="0" applyBorder="0" applyAlignment="0" applyProtection="0"/>
    <xf numFmtId="0" fontId="20" fillId="32" borderId="0" applyNumberFormat="0" applyBorder="0" applyAlignment="0" applyProtection="0"/>
    <xf numFmtId="0" fontId="22" fillId="0" borderId="0"/>
    <xf numFmtId="0" fontId="5" fillId="0" borderId="0"/>
    <xf numFmtId="9" fontId="29" fillId="0" borderId="0" applyFont="0" applyFill="0" applyBorder="0" applyAlignment="0" applyProtection="0"/>
    <xf numFmtId="9" fontId="5" fillId="0" borderId="0" applyFont="0" applyFill="0" applyBorder="0" applyAlignment="0" applyProtection="0"/>
  </cellStyleXfs>
  <cellXfs count="30">
    <xf numFmtId="0" fontId="0" fillId="0" borderId="0" xfId="0"/>
    <xf numFmtId="0" fontId="1" fillId="0" borderId="0" xfId="0" applyFont="1"/>
    <xf numFmtId="164" fontId="0" fillId="0" borderId="0" xfId="8" applyNumberFormat="1" applyFont="1"/>
    <xf numFmtId="0" fontId="0" fillId="0" borderId="0" xfId="0" applyAlignment="1">
      <alignment wrapText="1"/>
    </xf>
    <xf numFmtId="3" fontId="0" fillId="0" borderId="0" xfId="0" applyNumberFormat="1"/>
    <xf numFmtId="165" fontId="0" fillId="0" borderId="0" xfId="10" applyNumberFormat="1" applyFont="1"/>
    <xf numFmtId="165" fontId="0" fillId="0" borderId="0" xfId="0" applyNumberFormat="1"/>
    <xf numFmtId="0" fontId="23" fillId="0" borderId="0" xfId="0" applyFont="1"/>
    <xf numFmtId="0" fontId="24" fillId="0" borderId="0" xfId="0" applyFont="1" applyAlignment="1">
      <alignment vertical="center"/>
    </xf>
    <xf numFmtId="0" fontId="26" fillId="33" borderId="0" xfId="0" applyFont="1" applyFill="1"/>
    <xf numFmtId="0" fontId="25" fillId="0" borderId="0" xfId="0" applyFont="1"/>
    <xf numFmtId="0" fontId="25" fillId="0" borderId="0" xfId="0" applyFont="1" applyAlignment="1">
      <alignment horizontal="left"/>
    </xf>
    <xf numFmtId="0" fontId="27" fillId="34" borderId="0" xfId="0" applyFont="1" applyFill="1"/>
    <xf numFmtId="0" fontId="0" fillId="0" borderId="0" xfId="0" applyAlignment="1">
      <alignment horizontal="left"/>
    </xf>
    <xf numFmtId="0" fontId="28" fillId="0" borderId="0" xfId="0" applyFont="1"/>
    <xf numFmtId="0" fontId="1" fillId="35" borderId="0" xfId="53" applyFont="1" applyFill="1"/>
    <xf numFmtId="0" fontId="5" fillId="35" borderId="0" xfId="53" applyFill="1"/>
    <xf numFmtId="0" fontId="5" fillId="0" borderId="0" xfId="53" applyAlignment="1">
      <alignment wrapText="1"/>
    </xf>
    <xf numFmtId="0" fontId="1" fillId="0" borderId="0" xfId="53" applyFont="1" applyAlignment="1">
      <alignment wrapText="1"/>
    </xf>
    <xf numFmtId="0" fontId="5" fillId="0" borderId="0" xfId="53"/>
    <xf numFmtId="9" fontId="5" fillId="0" borderId="0" xfId="54" applyFont="1" applyBorder="1"/>
    <xf numFmtId="0" fontId="1" fillId="36" borderId="0" xfId="53" applyFont="1" applyFill="1"/>
    <xf numFmtId="0" fontId="1" fillId="0" borderId="0" xfId="53" applyFont="1"/>
    <xf numFmtId="0" fontId="5" fillId="37" borderId="0" xfId="53" applyFill="1"/>
    <xf numFmtId="9" fontId="0" fillId="0" borderId="0" xfId="55" applyFont="1" applyFill="1"/>
    <xf numFmtId="0" fontId="0" fillId="0" borderId="0" xfId="55" applyNumberFormat="1" applyFont="1" applyFill="1"/>
    <xf numFmtId="0" fontId="30" fillId="0" borderId="0" xfId="0" applyFont="1"/>
    <xf numFmtId="0" fontId="29" fillId="0" borderId="0" xfId="0" applyFont="1"/>
    <xf numFmtId="164" fontId="29" fillId="0" borderId="0" xfId="0" applyNumberFormat="1" applyFont="1"/>
    <xf numFmtId="0" fontId="29" fillId="0" borderId="0" xfId="0" applyFont="1" applyAlignment="1">
      <alignment wrapText="1"/>
    </xf>
  </cellXfs>
  <cellStyles count="56">
    <cellStyle name="20% - Accent1" xfId="28" builtinId="30" customBuiltin="1"/>
    <cellStyle name="20% - Accent2" xfId="31" builtinId="34" customBuiltin="1"/>
    <cellStyle name="20% - Accent3" xfId="34" builtinId="38" customBuiltin="1"/>
    <cellStyle name="20% - Accent4" xfId="37" builtinId="42" customBuiltin="1"/>
    <cellStyle name="20% - Accent5" xfId="40" builtinId="46" customBuiltin="1"/>
    <cellStyle name="20% - Accent6" xfId="43" builtinId="50" customBuiltin="1"/>
    <cellStyle name="40% - Accent1" xfId="29" builtinId="31" customBuiltin="1"/>
    <cellStyle name="40% - Accent2" xfId="32" builtinId="35" customBuiltin="1"/>
    <cellStyle name="40% - Accent3" xfId="35" builtinId="39" customBuiltin="1"/>
    <cellStyle name="40% - Accent4" xfId="38" builtinId="43" customBuiltin="1"/>
    <cellStyle name="40% - Accent5" xfId="41" builtinId="47" customBuiltin="1"/>
    <cellStyle name="40% - Accent6" xfId="44" builtinId="51" customBuiltin="1"/>
    <cellStyle name="60% - Accent1 2" xfId="46" xr:uid="{C2C72341-02A2-4A97-B448-8BF00C2F4FDA}"/>
    <cellStyle name="60% - Accent2 2" xfId="47" xr:uid="{0AD0C64B-D897-421D-BE7A-6998DB55E58E}"/>
    <cellStyle name="60% - Accent3 2" xfId="48" xr:uid="{52DD3F5A-D1FF-426A-8FAD-806E1C9D59E7}"/>
    <cellStyle name="60% - Accent4 2" xfId="49" xr:uid="{EB04BF8A-B91E-49B8-98A3-8C134AF77B8E}"/>
    <cellStyle name="60% - Accent5 2" xfId="50" xr:uid="{962591F8-F306-4AA9-A952-2AEFF1530B0E}"/>
    <cellStyle name="60% - Accent6 2" xfId="51" xr:uid="{34D9D440-2157-40A6-8DC8-D7F06B43F39F}"/>
    <cellStyle name="Accent1" xfId="27" builtinId="29" customBuiltin="1"/>
    <cellStyle name="Accent2" xfId="30" builtinId="33" customBuiltin="1"/>
    <cellStyle name="Accent3" xfId="33" builtinId="37" customBuiltin="1"/>
    <cellStyle name="Accent4" xfId="36" builtinId="41" customBuiltin="1"/>
    <cellStyle name="Accent5" xfId="39" builtinId="45" customBuiltin="1"/>
    <cellStyle name="Accent6" xfId="42" builtinId="49" customBuiltin="1"/>
    <cellStyle name="Bad" xfId="17" builtinId="27" customBuiltin="1"/>
    <cellStyle name="Body: normal cell" xfId="5" xr:uid="{00000000-0005-0000-0000-000000000000}"/>
    <cellStyle name="Calculation" xfId="20" builtinId="22" customBuiltin="1"/>
    <cellStyle name="Check Cell" xfId="22" builtinId="23" customBuiltin="1"/>
    <cellStyle name="Comma" xfId="10" builtinId="3"/>
    <cellStyle name="Explanatory Text" xfId="25" builtinId="53" customBuiltin="1"/>
    <cellStyle name="Font: Calibri, 9pt regular" xfId="1" xr:uid="{00000000-0005-0000-0000-000001000000}"/>
    <cellStyle name="Footnotes: top row" xfId="6" xr:uid="{00000000-0005-0000-0000-000002000000}"/>
    <cellStyle name="Good" xfId="16" builtinId="26" customBuiltin="1"/>
    <cellStyle name="Header: bottom row" xfId="2" xr:uid="{00000000-0005-0000-0000-000003000000}"/>
    <cellStyle name="Header: top rows" xfId="9" xr:uid="{00000000-0005-0000-0000-000004000000}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Input" xfId="18" builtinId="20" customBuiltin="1"/>
    <cellStyle name="Linked Cell" xfId="21" builtinId="24" customBuiltin="1"/>
    <cellStyle name="Neutral 2" xfId="45" xr:uid="{09445B5B-F6BE-47A3-8B4B-90B358DD6365}"/>
    <cellStyle name="Normal" xfId="0" builtinId="0"/>
    <cellStyle name="Normal 2" xfId="7" xr:uid="{00000000-0005-0000-0000-000006000000}"/>
    <cellStyle name="Normal 3" xfId="52" xr:uid="{6D5BFB4D-1C20-4C02-A8DF-639CF758385B}"/>
    <cellStyle name="Normal 3 2" xfId="53" xr:uid="{4C1E9A2B-E5B0-4261-83E8-F390C3F3DF18}"/>
    <cellStyle name="Note" xfId="24" builtinId="10" customBuiltin="1"/>
    <cellStyle name="Output" xfId="19" builtinId="21" customBuiltin="1"/>
    <cellStyle name="Parent row" xfId="4" xr:uid="{00000000-0005-0000-0000-000007000000}"/>
    <cellStyle name="Percent" xfId="8" builtinId="5"/>
    <cellStyle name="Percent 2" xfId="54" xr:uid="{E7E9704A-4386-42B8-A0D5-7EF3A707C8A4}"/>
    <cellStyle name="Percent 2 2" xfId="55" xr:uid="{E5E866C2-4D2D-4616-ADBB-140C7BB153D0}"/>
    <cellStyle name="Table title" xfId="3" xr:uid="{00000000-0005-0000-0000-000009000000}"/>
    <cellStyle name="Title" xfId="11" builtinId="15" customBuiltin="1"/>
    <cellStyle name="Total" xfId="26" builtinId="25" customBuiltin="1"/>
    <cellStyle name="Warning Text" xfId="23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externalLink" Target="externalLinks/externalLink6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5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eganMahajan\Downloads\Change%20in%20Distribued%20Electricity%20Source%20Capacities%20This%20Year%20(1).xlsx" TargetMode="External"/><Relationship Id="rId1" Type="http://schemas.openxmlformats.org/officeDocument/2006/relationships/externalLinkPath" Target="/Users/MeganMahajan/Downloads/Change%20in%20Distribued%20Electricity%20Source%20Capacities%20This%20Year%20(1)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bbie/Dropbox%20(Energy%20InNovation)/My%20Documents/Policy%20Solutions%20Project/US/Models/eps-1.3.0-us/InputData/indst/BPEiC/BAU%20Process%20Emis%20in%20CO2e_Updated%20Velders%20Meth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ergyinnovation.sharepoint.com/sites/ModelingAnalysis/Shared%20Documents/Calibration%20Resources/US/4.0.5/NDC%20scenario%20modifications.xlsx" TargetMode="External"/><Relationship Id="rId1" Type="http://schemas.openxmlformats.org/officeDocument/2006/relationships/externalLinkPath" Target="https://energyinnovation.sharepoint.com/sites/ModelingAnalysis/Shared%20Documents/Calibration%20Resources/US/4.0.5/NDC%20scenario%20modification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eganMahajan\Documents\eps-us-analysis\InputData\fuels\BFPaT\BAU%20Fuel%20Prices%20and%20Taxes.xlsx" TargetMode="External"/><Relationship Id="rId1" Type="http://schemas.openxmlformats.org/officeDocument/2006/relationships/externalLinkPath" Target="/Users/MeganMahajan/Documents/eps-us-analysis/InputData/fuels/BFPaT/BAU%20Fuel%20Prices%20and%20Taxes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mahajan/Documents/eps-us/InputData/elec/GBSC/PAGBSC.csv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ghan/Documents/eps-us-analysis/InputData/indst/PERAC/Proc%20Emis%20Reductions%20and%20Cos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bout"/>
      <sheetName val="REPEAT DATA"/>
      <sheetName val="States"/>
      <sheetName val="res v com"/>
      <sheetName val="calcs"/>
      <sheetName val="CiDESCTY-urban-residential"/>
      <sheetName val="CiDESCTY-rural-residential"/>
      <sheetName val="CiDESCTY-commercia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Cross-Page Data"/>
      <sheetName val="Non-Energy FF CO2 Emissions"/>
      <sheetName val="Cement CO2 Emissions"/>
      <sheetName val="Iron and Steel"/>
      <sheetName val="Coal Mining"/>
      <sheetName val="Natural Gas Systems"/>
      <sheetName val="Petroleum Systems"/>
      <sheetName val="Chem - HCFC 22 Production"/>
      <sheetName val="Chem - ODS"/>
      <sheetName val="Other - Aluminum"/>
      <sheetName val="Other - Magnesium"/>
      <sheetName val="Other - Semiconductor Mfg"/>
      <sheetName val="Other - Elec Trans and Dist"/>
      <sheetName val="Agriculture - EF &amp; Manure Mgmt"/>
      <sheetName val="Agriculture - Rice Cultivation"/>
      <sheetName val="Agriculture - Soil Mgmt"/>
      <sheetName val="Waste - Landfills"/>
      <sheetName val="Waste - Water Treatment"/>
      <sheetName val="Other Industrial Processes"/>
      <sheetName val="Combined Data"/>
      <sheetName val="BPEiC-CO2"/>
      <sheetName val="BPEiC-CH4"/>
      <sheetName val="BPEiC-N2O"/>
      <sheetName val="BPEiC-F-gases"/>
      <sheetName val="EPA (2017) Table A3.6-1"/>
      <sheetName val="EPA (2017) Table A3.6-7"/>
      <sheetName val="EPA (2017) Table A3.6-10"/>
      <sheetName val="AEO 2017_Table 6"/>
      <sheetName val="AEO 2017_Table 11"/>
      <sheetName val="AEO 2017_Table 13"/>
      <sheetName val="AEO 2017_Table 15"/>
      <sheetName val="AEO 2017_Table 19"/>
      <sheetName val="AEO 2017_Table 20"/>
      <sheetName val="AEO 2017_Table 24"/>
      <sheetName val="AEO 2017_Table 62"/>
      <sheetName val="AEO 2016_Table 6"/>
    </sheetNames>
    <sheetDataSet>
      <sheetData sheetId="0"/>
      <sheetData sheetId="1">
        <row r="12">
          <cell r="C12">
            <v>28</v>
          </cell>
        </row>
        <row r="13">
          <cell r="C13">
            <v>265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>
        <row r="5">
          <cell r="A5" t="str">
            <v>Transport Refrigeration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DC-orig"/>
      <sheetName val="guidance"/>
      <sheetName val="ndc new"/>
      <sheetName val="fopity"/>
      <sheetName val="calcs&gt;"/>
      <sheetName val="REPEAT dist solar data"/>
      <sheetName val="coal retire"/>
      <sheetName val="ces"/>
      <sheetName val="elec tax credits"/>
      <sheetName val="vehicle tax credits"/>
      <sheetName val="building retrofit"/>
      <sheetName val="ZEV std"/>
      <sheetName val="Indst Fuel Switching"/>
      <sheetName val="BAU Data"/>
      <sheetName val="Boilers"/>
      <sheetName val="Nonboiler Low Temp"/>
      <sheetName val="Nonboiler Med Temp"/>
      <sheetName val="Nonboiler High Temp"/>
      <sheetName val="Cooling"/>
      <sheetName val="Machine Drive"/>
      <sheetName val="Other Processes"/>
      <sheetName val="4.1-indst-IES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bout"/>
      <sheetName val="AEO 2023 Table 2"/>
      <sheetName val="AEO 2022 Table 2"/>
      <sheetName val="Gas Futures"/>
      <sheetName val="Henry Hub Historicals"/>
      <sheetName val="NG Sector Price Historicals"/>
      <sheetName val="Historical Monthly Gas Cons"/>
      <sheetName val="NG Calcs"/>
      <sheetName val="AEO 2023 Table 3"/>
      <sheetName val="AEO 2022 Table 3"/>
      <sheetName val="AEO 2023 Table 12"/>
      <sheetName val="AEO 2022 Table 12"/>
      <sheetName val="AEO 2023 Table 57"/>
      <sheetName val="AEO 2022 Table 57"/>
      <sheetName val="AEO Table 57"/>
      <sheetName val="STEO"/>
      <sheetName val="Hard Coal and Lig Multipliers"/>
      <sheetName val="Hydrogen"/>
      <sheetName val="Transp Charging"/>
      <sheetName val="Other Fuels"/>
      <sheetName val="Inflation Reduction Act"/>
      <sheetName val="Tax Percentages"/>
      <sheetName val="Pretax &gt;"/>
      <sheetName val="BFPaT-pretax-electricity"/>
      <sheetName val="BFPaT-pretax-coal"/>
      <sheetName val="BFPaT-pretax-natgas"/>
      <sheetName val="BFPaT-pretax-nuclear"/>
      <sheetName val="BFPaT-pretax-hydro"/>
      <sheetName val="BFPaT-pretax-wind"/>
      <sheetName val="BFPaT-pretax-solar"/>
      <sheetName val="BFPaT-pretax-biomass"/>
      <sheetName val="BFPaT-pretax-petgas"/>
      <sheetName val="BFPaT-pretax-petdies"/>
      <sheetName val="BFPaT-pretax-biogas"/>
      <sheetName val="BFPaT-pretax-biodies"/>
      <sheetName val="BFPaT-pretax-jetkerosene"/>
      <sheetName val="BFPaT-pretax-heat"/>
      <sheetName val="BFPaT-pretax-geothermal"/>
      <sheetName val="BFPaT-pretax-lignite"/>
      <sheetName val="BFPaT-pretax-crude"/>
      <sheetName val="BFPaT-pretax-heavyfueloil"/>
      <sheetName val="BFPaT-pretax-lpgpropbut"/>
      <sheetName val="BFPaT-pretax-msw"/>
      <sheetName val="BFPaT-pretax-hydrogen"/>
      <sheetName val="Summary_pretax"/>
      <sheetName val="Fuel Tax &gt;"/>
      <sheetName val="BFPaT-fueltax-electricity"/>
      <sheetName val="BFPaT-fueltax-coal"/>
      <sheetName val="BFPaT-fueltax-natgas"/>
      <sheetName val="BFPaT-fueltax-nuclear"/>
      <sheetName val="BFPaT-fueltax-hydro"/>
      <sheetName val="BFPaT-fueltax-wind"/>
      <sheetName val="BFPaT-fueltax-solar"/>
      <sheetName val="BFPaT-fueltax-biomass"/>
      <sheetName val="BFPaT-fueltax-petgas"/>
      <sheetName val="BFPaT-fueltax-petdies"/>
      <sheetName val="BFPaT-fueltax-biogas"/>
      <sheetName val="BFPaT-fueltax-biodies"/>
      <sheetName val="BFPaT-fueltax-jetkerosene"/>
      <sheetName val="BFPaT-fueltax-heat"/>
      <sheetName val="BFPaT-fueltax-geothermal"/>
      <sheetName val="BFPaT-fueltax-lignite"/>
      <sheetName val="BFPaT-fueltax-crude"/>
      <sheetName val="BFPaT-fueltax-heavyfueloil"/>
      <sheetName val="BFPaT-fueltax-lpgpropbut"/>
      <sheetName val="BFPaT-fueltax-msw"/>
      <sheetName val="BFPaT-fueltax-hydrogen"/>
      <sheetName val="Summary_tax"/>
    </sheetNames>
    <sheetDataSet>
      <sheetData sheetId="0">
        <row r="113">
          <cell r="A113" t="str">
            <v>The EIA SEDS document reports dollars that are not adjusted for inflation (according to associated technical notes document).  We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15">
          <cell r="N15">
            <v>0.92062879123815489</v>
          </cell>
        </row>
      </sheetData>
      <sheetData sheetId="17"/>
      <sheetData sheetId="18">
        <row r="1">
          <cell r="D1" t="str">
            <v>Hydrogen ($/kg)</v>
          </cell>
        </row>
      </sheetData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2035 Report Deployment"/>
      <sheetName val="2035 Report Data"/>
      <sheetName val="EPS Output"/>
      <sheetName val="AEO Table 9"/>
      <sheetName val="AEO Table 9 (2019)"/>
      <sheetName val="AEO Table 16"/>
      <sheetName val="BGBSC"/>
      <sheetName val="PAGBSC"/>
      <sheetName val="SYGBSC"/>
    </sheetNames>
    <sheetDataSet>
      <sheetData sheetId="0">
        <row r="31">
          <cell r="A31">
            <v>1000</v>
          </cell>
        </row>
      </sheetData>
      <sheetData sheetId="1"/>
      <sheetData sheetId="2" refreshError="1"/>
      <sheetData sheetId="3" refreshError="1"/>
      <sheetData sheetId="4"/>
      <sheetData sheetId="5" refreshError="1"/>
      <sheetData sheetId="6" refreshError="1"/>
      <sheetData sheetId="7"/>
      <sheetData sheetId="8" refreshError="1"/>
      <sheetData sheetId="9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Country Selector"/>
      <sheetName val="Multipliers and Adjustments"/>
      <sheetName val="EPA Data"/>
      <sheetName val="Tech to Policy Mapping"/>
      <sheetName val="SNAP Adjustment"/>
      <sheetName val="Cement Data"/>
      <sheetName val="Data Check"/>
      <sheetName val="PERAC-cement"/>
      <sheetName val="PERAC-ngps-mthncptr"/>
      <sheetName val="PERAC-ngps-mthndstr"/>
      <sheetName val="PERAC-fgassubstitution"/>
      <sheetName val="PERAC-fgasdestruction"/>
      <sheetName val="PERAC-fgasrecovery"/>
      <sheetName val="PERAC-inspctmaintretrofit"/>
      <sheetName val="PERAC-coalmining-mthncptr"/>
      <sheetName val="PERAC-coalmining-mthndstr"/>
      <sheetName val="PERAC-waste-mthncptr"/>
      <sheetName val="PERAC-waste-mthndstr"/>
      <sheetName val="PERAC-cropsrice"/>
      <sheetName val="PERAC-livestock"/>
      <sheetName val="PERAC-MCD"/>
    </sheetNames>
    <sheetDataSet>
      <sheetData sheetId="0">
        <row r="123">
          <cell r="A123">
            <v>1000000000000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4"/>
  <sheetViews>
    <sheetView tabSelected="1" topLeftCell="A10" workbookViewId="0">
      <selection activeCell="A29" sqref="A29:B34"/>
    </sheetView>
  </sheetViews>
  <sheetFormatPr defaultRowHeight="14.5" x14ac:dyDescent="0.35"/>
  <cols>
    <col min="1" max="1" width="17.1796875" customWidth="1"/>
    <col min="2" max="2" width="51" customWidth="1"/>
    <col min="4" max="4" width="14.453125" bestFit="1" customWidth="1"/>
    <col min="5" max="5" width="10.81640625" bestFit="1" customWidth="1"/>
  </cols>
  <sheetData>
    <row r="1" spans="1:2" x14ac:dyDescent="0.35">
      <c r="A1" s="1" t="s">
        <v>27</v>
      </c>
    </row>
    <row r="3" spans="1:2" x14ac:dyDescent="0.35">
      <c r="A3" s="1" t="s">
        <v>9</v>
      </c>
      <c r="B3" s="9" t="s">
        <v>29</v>
      </c>
    </row>
    <row r="4" spans="1:2" x14ac:dyDescent="0.35">
      <c r="B4" s="10" t="s">
        <v>30</v>
      </c>
    </row>
    <row r="5" spans="1:2" x14ac:dyDescent="0.35">
      <c r="B5" s="11">
        <v>2023</v>
      </c>
    </row>
    <row r="6" spans="1:2" x14ac:dyDescent="0.35">
      <c r="B6" s="10" t="s">
        <v>31</v>
      </c>
    </row>
    <row r="7" spans="1:2" x14ac:dyDescent="0.35">
      <c r="B7" s="10" t="s">
        <v>32</v>
      </c>
    </row>
    <row r="8" spans="1:2" x14ac:dyDescent="0.35">
      <c r="B8" s="10" t="s">
        <v>33</v>
      </c>
    </row>
    <row r="9" spans="1:2" x14ac:dyDescent="0.35">
      <c r="B9" s="10"/>
    </row>
    <row r="10" spans="1:2" x14ac:dyDescent="0.35">
      <c r="B10" s="9" t="s">
        <v>34</v>
      </c>
    </row>
    <row r="11" spans="1:2" x14ac:dyDescent="0.35">
      <c r="B11" s="10" t="s">
        <v>30</v>
      </c>
    </row>
    <row r="12" spans="1:2" x14ac:dyDescent="0.35">
      <c r="B12" s="11">
        <v>2018</v>
      </c>
    </row>
    <row r="13" spans="1:2" x14ac:dyDescent="0.35">
      <c r="B13" s="10" t="s">
        <v>35</v>
      </c>
    </row>
    <row r="14" spans="1:2" x14ac:dyDescent="0.35">
      <c r="B14" s="10" t="s">
        <v>36</v>
      </c>
    </row>
    <row r="15" spans="1:2" x14ac:dyDescent="0.35">
      <c r="B15" s="10" t="s">
        <v>37</v>
      </c>
    </row>
    <row r="16" spans="1:2" x14ac:dyDescent="0.35">
      <c r="B16" s="10"/>
    </row>
    <row r="17" spans="1:6" x14ac:dyDescent="0.35">
      <c r="B17" s="12" t="s">
        <v>38</v>
      </c>
    </row>
    <row r="18" spans="1:6" x14ac:dyDescent="0.35">
      <c r="A18" s="1"/>
      <c r="B18" t="s">
        <v>39</v>
      </c>
    </row>
    <row r="19" spans="1:6" x14ac:dyDescent="0.35">
      <c r="A19" s="2"/>
      <c r="B19" s="13" t="s">
        <v>40</v>
      </c>
    </row>
    <row r="20" spans="1:6" x14ac:dyDescent="0.35">
      <c r="A20" s="2"/>
      <c r="B20" s="14" t="s">
        <v>41</v>
      </c>
    </row>
    <row r="21" spans="1:6" x14ac:dyDescent="0.35">
      <c r="B21" t="s">
        <v>42</v>
      </c>
    </row>
    <row r="22" spans="1:6" x14ac:dyDescent="0.35">
      <c r="A22" s="3"/>
      <c r="C22" s="4"/>
      <c r="D22" s="5"/>
      <c r="E22" s="6"/>
    </row>
    <row r="23" spans="1:6" x14ac:dyDescent="0.35">
      <c r="A23" s="1" t="s">
        <v>8</v>
      </c>
      <c r="F23" s="6"/>
    </row>
    <row r="24" spans="1:6" x14ac:dyDescent="0.35">
      <c r="A24" t="s">
        <v>28</v>
      </c>
    </row>
    <row r="25" spans="1:6" x14ac:dyDescent="0.35">
      <c r="A25" t="s">
        <v>43</v>
      </c>
    </row>
    <row r="26" spans="1:6" x14ac:dyDescent="0.35">
      <c r="A26" t="s">
        <v>44</v>
      </c>
    </row>
    <row r="27" spans="1:6" x14ac:dyDescent="0.35">
      <c r="A27" t="s">
        <v>45</v>
      </c>
    </row>
    <row r="29" spans="1:6" x14ac:dyDescent="0.35">
      <c r="A29" s="26" t="s">
        <v>126</v>
      </c>
      <c r="B29" s="27"/>
    </row>
    <row r="30" spans="1:6" x14ac:dyDescent="0.35">
      <c r="A30" s="28">
        <v>0.80118443316412857</v>
      </c>
      <c r="B30" t="s">
        <v>127</v>
      </c>
    </row>
    <row r="31" spans="1:6" x14ac:dyDescent="0.35">
      <c r="A31" s="28">
        <v>0.1988155668358714</v>
      </c>
      <c r="B31" t="s">
        <v>128</v>
      </c>
    </row>
    <row r="32" spans="1:6" x14ac:dyDescent="0.35">
      <c r="A32" s="27"/>
      <c r="B32" s="27"/>
    </row>
    <row r="33" spans="1:2" ht="56.5" x14ac:dyDescent="0.35">
      <c r="A33" s="29" t="s">
        <v>129</v>
      </c>
      <c r="B33">
        <v>1000000</v>
      </c>
    </row>
    <row r="34" spans="1:2" x14ac:dyDescent="0.35">
      <c r="A34" t="s">
        <v>130</v>
      </c>
      <c r="B34">
        <v>1000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4F9B22-CE90-4FE0-93FE-AB7B4D55A19F}">
  <dimension ref="A1:AH60"/>
  <sheetViews>
    <sheetView topLeftCell="A28" workbookViewId="0">
      <selection activeCell="D56" sqref="D56"/>
    </sheetView>
  </sheetViews>
  <sheetFormatPr defaultColWidth="9.81640625" defaultRowHeight="14.5" x14ac:dyDescent="0.35"/>
  <cols>
    <col min="1" max="3" width="9.81640625" style="19"/>
    <col min="4" max="4" width="14.453125" style="19" bestFit="1" customWidth="1"/>
    <col min="5" max="5" width="9.6328125" style="19" bestFit="1" customWidth="1"/>
    <col min="6" max="6" width="14.453125" style="19" bestFit="1" customWidth="1"/>
    <col min="7" max="7" width="21.36328125" style="19" bestFit="1" customWidth="1"/>
    <col min="8" max="16384" width="9.81640625" style="19"/>
  </cols>
  <sheetData>
    <row r="1" spans="1:25" s="16" customFormat="1" x14ac:dyDescent="0.35">
      <c r="A1" s="15" t="s">
        <v>46</v>
      </c>
    </row>
    <row r="2" spans="1:25" s="17" customFormat="1" ht="43.5" x14ac:dyDescent="0.35">
      <c r="D2" s="18" t="s">
        <v>47</v>
      </c>
      <c r="E2" s="18" t="s">
        <v>48</v>
      </c>
      <c r="F2" s="18" t="s">
        <v>49</v>
      </c>
      <c r="G2" s="18" t="s">
        <v>50</v>
      </c>
      <c r="H2" s="18" t="s">
        <v>51</v>
      </c>
      <c r="I2" s="18" t="s">
        <v>52</v>
      </c>
      <c r="J2" s="18" t="s">
        <v>53</v>
      </c>
      <c r="K2" s="18" t="s">
        <v>54</v>
      </c>
      <c r="L2" s="18" t="s">
        <v>55</v>
      </c>
      <c r="M2" s="18" t="s">
        <v>56</v>
      </c>
      <c r="N2" s="18" t="s">
        <v>57</v>
      </c>
      <c r="O2" s="18" t="s">
        <v>58</v>
      </c>
      <c r="P2" s="18" t="s">
        <v>59</v>
      </c>
      <c r="Q2" s="18"/>
      <c r="R2" s="18" t="s">
        <v>60</v>
      </c>
      <c r="S2" s="18" t="s">
        <v>61</v>
      </c>
      <c r="T2" s="18" t="s">
        <v>62</v>
      </c>
      <c r="U2" s="18" t="s">
        <v>63</v>
      </c>
      <c r="V2" s="18" t="s">
        <v>64</v>
      </c>
      <c r="W2" s="18" t="s">
        <v>65</v>
      </c>
      <c r="X2" s="18" t="s">
        <v>66</v>
      </c>
      <c r="Y2" s="18" t="s">
        <v>67</v>
      </c>
    </row>
    <row r="3" spans="1:25" x14ac:dyDescent="0.35">
      <c r="D3" s="19" t="s">
        <v>68</v>
      </c>
      <c r="E3" s="19" t="s">
        <v>69</v>
      </c>
      <c r="F3" s="19" t="s">
        <v>70</v>
      </c>
      <c r="G3" s="19" t="s">
        <v>71</v>
      </c>
      <c r="H3" s="19" t="s">
        <v>72</v>
      </c>
      <c r="I3" s="19">
        <v>4.0000000000000001E-3</v>
      </c>
      <c r="J3" s="19">
        <v>4.0000000000000001E-3</v>
      </c>
      <c r="K3" s="19">
        <v>4.0000000000000001E-3</v>
      </c>
      <c r="L3" s="19">
        <v>4.0000000000000001E-3</v>
      </c>
      <c r="M3" s="19">
        <v>4.0000000000000001E-3</v>
      </c>
      <c r="N3" s="19">
        <v>4.0000000000000001E-3</v>
      </c>
      <c r="O3" s="19">
        <v>4.0000000000000001E-3</v>
      </c>
      <c r="P3" s="19">
        <v>4.0000000000000001E-3</v>
      </c>
      <c r="Q3" s="20"/>
      <c r="R3" s="19">
        <v>1.4E-2</v>
      </c>
      <c r="S3" s="19">
        <v>2.1999999999999999E-2</v>
      </c>
      <c r="T3" s="19">
        <v>3.3000000000000002E-2</v>
      </c>
      <c r="U3" s="19">
        <v>0.05</v>
      </c>
      <c r="V3" s="19">
        <v>6.7000000000000004E-2</v>
      </c>
      <c r="W3" s="19">
        <v>8.3000000000000004E-2</v>
      </c>
      <c r="X3" s="19">
        <v>0.108</v>
      </c>
      <c r="Y3" s="19">
        <v>0.2</v>
      </c>
    </row>
    <row r="4" spans="1:25" x14ac:dyDescent="0.35">
      <c r="D4" s="19" t="s">
        <v>73</v>
      </c>
      <c r="E4" s="19" t="s">
        <v>69</v>
      </c>
      <c r="F4" s="19" t="s">
        <v>70</v>
      </c>
      <c r="G4" s="19" t="s">
        <v>71</v>
      </c>
      <c r="H4" s="19" t="s">
        <v>72</v>
      </c>
      <c r="I4" s="19">
        <v>2.04</v>
      </c>
      <c r="J4" s="19">
        <v>2.04</v>
      </c>
      <c r="K4" s="19">
        <v>2.04</v>
      </c>
      <c r="L4" s="19">
        <v>2.04</v>
      </c>
      <c r="M4" s="19">
        <v>2.04</v>
      </c>
      <c r="N4" s="19">
        <v>2.04</v>
      </c>
      <c r="O4" s="19">
        <v>2.04</v>
      </c>
      <c r="P4" s="19">
        <v>2.04</v>
      </c>
      <c r="Q4" s="20"/>
      <c r="R4" s="19">
        <v>4.1900000000000004</v>
      </c>
      <c r="S4" s="19">
        <v>4.8099999999999996</v>
      </c>
      <c r="T4" s="19">
        <v>5.36</v>
      </c>
      <c r="U4" s="19">
        <v>5.88</v>
      </c>
      <c r="V4" s="19">
        <v>6.37</v>
      </c>
      <c r="W4" s="19">
        <v>6.57</v>
      </c>
      <c r="X4" s="19">
        <v>6.83</v>
      </c>
      <c r="Y4" s="19">
        <v>7.28</v>
      </c>
    </row>
    <row r="5" spans="1:25" x14ac:dyDescent="0.35">
      <c r="D5" s="19" t="s">
        <v>74</v>
      </c>
      <c r="E5" s="19" t="s">
        <v>69</v>
      </c>
      <c r="F5" s="19" t="s">
        <v>70</v>
      </c>
      <c r="G5" s="19" t="s">
        <v>71</v>
      </c>
      <c r="H5" s="19" t="s">
        <v>72</v>
      </c>
      <c r="I5" s="19">
        <v>2.5000000000000001E-2</v>
      </c>
      <c r="J5" s="19">
        <v>2.5000000000000001E-2</v>
      </c>
      <c r="K5" s="19">
        <v>2.5000000000000001E-2</v>
      </c>
      <c r="L5" s="19">
        <v>2.5000000000000001E-2</v>
      </c>
      <c r="M5" s="19">
        <v>2.5999999999999999E-2</v>
      </c>
      <c r="N5" s="19">
        <v>2.5999999999999999E-2</v>
      </c>
      <c r="O5" s="19">
        <v>2.5999999999999999E-2</v>
      </c>
      <c r="P5" s="19">
        <v>2.5999999999999999E-2</v>
      </c>
      <c r="Q5" s="20"/>
      <c r="R5" s="19">
        <v>5.3999999999999999E-2</v>
      </c>
      <c r="S5" s="19">
        <v>7.9000000000000001E-2</v>
      </c>
      <c r="T5" s="19">
        <v>0.113</v>
      </c>
      <c r="U5" s="19">
        <v>0.16900000000000001</v>
      </c>
      <c r="V5" s="19">
        <v>0.214</v>
      </c>
      <c r="W5" s="19">
        <v>0.254</v>
      </c>
      <c r="X5" s="19">
        <v>0.29399999999999998</v>
      </c>
      <c r="Y5" s="19">
        <v>0.373</v>
      </c>
    </row>
    <row r="6" spans="1:25" x14ac:dyDescent="0.35">
      <c r="D6" s="19" t="s">
        <v>75</v>
      </c>
      <c r="E6" s="19" t="s">
        <v>69</v>
      </c>
      <c r="F6" s="19" t="s">
        <v>70</v>
      </c>
      <c r="G6" s="19" t="s">
        <v>71</v>
      </c>
      <c r="H6" s="19" t="s">
        <v>72</v>
      </c>
      <c r="I6" s="19">
        <v>12.5</v>
      </c>
      <c r="J6" s="19">
        <v>12.5</v>
      </c>
      <c r="K6" s="19">
        <v>12.5</v>
      </c>
      <c r="L6" s="19">
        <v>12.5</v>
      </c>
      <c r="M6" s="19">
        <v>12.5</v>
      </c>
      <c r="N6" s="19">
        <v>12.5</v>
      </c>
      <c r="O6" s="19">
        <v>12.5</v>
      </c>
      <c r="P6" s="19">
        <v>12.5</v>
      </c>
      <c r="Q6" s="20"/>
      <c r="R6" s="19">
        <v>28.4</v>
      </c>
      <c r="S6" s="19">
        <v>31.4</v>
      </c>
      <c r="T6" s="19">
        <v>33.299999999999997</v>
      </c>
      <c r="U6" s="19">
        <v>35.1</v>
      </c>
      <c r="V6" s="19">
        <v>36.799999999999997</v>
      </c>
      <c r="W6" s="19">
        <v>37.9</v>
      </c>
      <c r="X6" s="19">
        <v>39.299999999999997</v>
      </c>
      <c r="Y6" s="19">
        <v>43.4</v>
      </c>
    </row>
    <row r="7" spans="1:25" x14ac:dyDescent="0.35">
      <c r="D7" s="19" t="s">
        <v>76</v>
      </c>
      <c r="E7" s="19" t="s">
        <v>69</v>
      </c>
      <c r="F7" s="19" t="s">
        <v>70</v>
      </c>
      <c r="G7" s="19" t="s">
        <v>71</v>
      </c>
      <c r="H7" s="19" t="s">
        <v>72</v>
      </c>
      <c r="I7" s="19">
        <v>0.71899999999999997</v>
      </c>
      <c r="J7" s="19">
        <v>0.71899999999999997</v>
      </c>
      <c r="K7" s="19">
        <v>0.72</v>
      </c>
      <c r="L7" s="19">
        <v>0.72</v>
      </c>
      <c r="M7" s="19">
        <v>0.72099999999999997</v>
      </c>
      <c r="N7" s="19">
        <v>0.72099999999999997</v>
      </c>
      <c r="O7" s="19">
        <v>0.72199999999999998</v>
      </c>
      <c r="P7" s="19">
        <v>0.72299999999999998</v>
      </c>
      <c r="Q7" s="20"/>
      <c r="R7" s="19">
        <v>1.64</v>
      </c>
      <c r="S7" s="19">
        <v>1.93</v>
      </c>
      <c r="T7" s="19">
        <v>2.2000000000000002</v>
      </c>
      <c r="U7" s="19">
        <v>2.54</v>
      </c>
      <c r="V7" s="19">
        <v>2.88</v>
      </c>
      <c r="W7" s="19">
        <v>3.3</v>
      </c>
      <c r="X7" s="19">
        <v>3.86</v>
      </c>
      <c r="Y7" s="19">
        <v>4.5999999999999996</v>
      </c>
    </row>
    <row r="8" spans="1:25" x14ac:dyDescent="0.35">
      <c r="D8" s="19" t="s">
        <v>77</v>
      </c>
      <c r="E8" s="19" t="s">
        <v>69</v>
      </c>
      <c r="F8" s="19" t="s">
        <v>70</v>
      </c>
      <c r="G8" s="19" t="s">
        <v>71</v>
      </c>
      <c r="H8" s="19" t="s">
        <v>72</v>
      </c>
      <c r="I8" s="19">
        <v>0.58099999999999996</v>
      </c>
      <c r="J8" s="19">
        <v>0.58199999999999996</v>
      </c>
      <c r="K8" s="19">
        <v>0.58199999999999996</v>
      </c>
      <c r="L8" s="19">
        <v>0.58199999999999996</v>
      </c>
      <c r="M8" s="19">
        <v>0.58199999999999996</v>
      </c>
      <c r="N8" s="19">
        <v>0.58199999999999996</v>
      </c>
      <c r="O8" s="19">
        <v>0.58199999999999996</v>
      </c>
      <c r="P8" s="19">
        <v>0.58199999999999996</v>
      </c>
      <c r="Q8" s="20"/>
      <c r="R8" s="19">
        <v>1.38</v>
      </c>
      <c r="S8" s="19">
        <v>1.51</v>
      </c>
      <c r="T8" s="19">
        <v>1.58</v>
      </c>
      <c r="U8" s="19">
        <v>1.64</v>
      </c>
      <c r="V8" s="19">
        <v>1.7</v>
      </c>
      <c r="W8" s="19">
        <v>1.75</v>
      </c>
      <c r="X8" s="19">
        <v>1.8</v>
      </c>
      <c r="Y8" s="19">
        <v>1.86</v>
      </c>
    </row>
    <row r="9" spans="1:25" x14ac:dyDescent="0.35">
      <c r="D9" s="19" t="s">
        <v>78</v>
      </c>
      <c r="E9" s="19" t="s">
        <v>69</v>
      </c>
      <c r="F9" s="19" t="s">
        <v>70</v>
      </c>
      <c r="G9" s="19" t="s">
        <v>71</v>
      </c>
      <c r="H9" s="19" t="s">
        <v>72</v>
      </c>
      <c r="I9" s="19">
        <v>0.11</v>
      </c>
      <c r="J9" s="19">
        <v>0.11</v>
      </c>
      <c r="K9" s="19">
        <v>0.11</v>
      </c>
      <c r="L9" s="19">
        <v>0.11</v>
      </c>
      <c r="M9" s="19">
        <v>0.11</v>
      </c>
      <c r="N9" s="19">
        <v>0.11</v>
      </c>
      <c r="O9" s="19">
        <v>0.11</v>
      </c>
      <c r="P9" s="19">
        <v>0.11</v>
      </c>
      <c r="Q9" s="20"/>
      <c r="R9" s="19">
        <v>0.32300000000000001</v>
      </c>
      <c r="S9" s="19">
        <v>0.39</v>
      </c>
      <c r="T9" s="19">
        <v>0.45300000000000001</v>
      </c>
      <c r="U9" s="19">
        <v>0.52400000000000002</v>
      </c>
      <c r="V9" s="19">
        <v>0.58499999999999996</v>
      </c>
      <c r="W9" s="19">
        <v>0.58499999999999996</v>
      </c>
      <c r="X9" s="19">
        <v>0.58499999999999996</v>
      </c>
      <c r="Y9" s="19">
        <v>0.58699999999999997</v>
      </c>
    </row>
    <row r="10" spans="1:25" x14ac:dyDescent="0.35">
      <c r="D10" s="19" t="s">
        <v>79</v>
      </c>
      <c r="E10" s="19" t="s">
        <v>69</v>
      </c>
      <c r="F10" s="19" t="s">
        <v>70</v>
      </c>
      <c r="G10" s="19" t="s">
        <v>71</v>
      </c>
      <c r="H10" s="19" t="s">
        <v>72</v>
      </c>
      <c r="I10" s="19">
        <v>1.08</v>
      </c>
      <c r="J10" s="19">
        <v>1.08</v>
      </c>
      <c r="K10" s="19">
        <v>1.08</v>
      </c>
      <c r="L10" s="19">
        <v>1.08</v>
      </c>
      <c r="M10" s="19">
        <v>1.08</v>
      </c>
      <c r="N10" s="19">
        <v>1.0900000000000001</v>
      </c>
      <c r="O10" s="19">
        <v>1.0900000000000001</v>
      </c>
      <c r="P10" s="19">
        <v>1.1000000000000001</v>
      </c>
      <c r="Q10" s="20"/>
      <c r="R10" s="19">
        <v>3.22</v>
      </c>
      <c r="S10" s="19">
        <v>4.9400000000000004</v>
      </c>
      <c r="T10" s="19">
        <v>7.13</v>
      </c>
      <c r="U10" s="19">
        <v>10.1</v>
      </c>
      <c r="V10" s="19">
        <v>12.8</v>
      </c>
      <c r="W10" s="19">
        <v>13.2</v>
      </c>
      <c r="X10" s="19">
        <v>13.7</v>
      </c>
      <c r="Y10" s="19">
        <v>14.9</v>
      </c>
    </row>
    <row r="11" spans="1:25" x14ac:dyDescent="0.35">
      <c r="D11" s="19" t="s">
        <v>80</v>
      </c>
      <c r="E11" s="19" t="s">
        <v>69</v>
      </c>
      <c r="F11" s="19" t="s">
        <v>70</v>
      </c>
      <c r="G11" s="19" t="s">
        <v>71</v>
      </c>
      <c r="H11" s="19" t="s">
        <v>72</v>
      </c>
      <c r="I11" s="19">
        <v>8.1000000000000003E-2</v>
      </c>
      <c r="J11" s="19">
        <v>8.2000000000000003E-2</v>
      </c>
      <c r="K11" s="19">
        <v>8.2000000000000003E-2</v>
      </c>
      <c r="L11" s="19">
        <v>8.3000000000000004E-2</v>
      </c>
      <c r="M11" s="19">
        <v>8.5000000000000006E-2</v>
      </c>
      <c r="N11" s="19">
        <v>8.5000000000000006E-2</v>
      </c>
      <c r="O11" s="19">
        <v>8.7999999999999995E-2</v>
      </c>
      <c r="P11" s="19">
        <v>9.2999999999999999E-2</v>
      </c>
      <c r="Q11" s="20"/>
      <c r="R11" s="19">
        <v>0.318</v>
      </c>
      <c r="S11" s="19">
        <v>0.50800000000000001</v>
      </c>
      <c r="T11" s="19">
        <v>0.76600000000000001</v>
      </c>
      <c r="U11" s="19">
        <v>1.1599999999999999</v>
      </c>
      <c r="V11" s="19">
        <v>1.56</v>
      </c>
      <c r="W11" s="19">
        <v>1.92</v>
      </c>
      <c r="X11" s="19">
        <v>2.4700000000000002</v>
      </c>
      <c r="Y11" s="19">
        <v>4.5599999999999996</v>
      </c>
    </row>
    <row r="12" spans="1:25" x14ac:dyDescent="0.35">
      <c r="D12" s="19" t="s">
        <v>81</v>
      </c>
      <c r="E12" s="19" t="s">
        <v>69</v>
      </c>
      <c r="F12" s="19" t="s">
        <v>70</v>
      </c>
      <c r="G12" s="19" t="s">
        <v>71</v>
      </c>
      <c r="H12" s="19" t="s">
        <v>72</v>
      </c>
      <c r="I12" s="19">
        <v>3.6999999999999998E-2</v>
      </c>
      <c r="J12" s="19">
        <v>3.6999999999999998E-2</v>
      </c>
      <c r="K12" s="19">
        <v>3.6999999999999998E-2</v>
      </c>
      <c r="L12" s="19">
        <v>3.6999999999999998E-2</v>
      </c>
      <c r="M12" s="19">
        <v>3.6999999999999998E-2</v>
      </c>
      <c r="N12" s="19">
        <v>3.6999999999999998E-2</v>
      </c>
      <c r="O12" s="19">
        <v>3.6999999999999998E-2</v>
      </c>
      <c r="P12" s="19">
        <v>3.6999999999999998E-2</v>
      </c>
      <c r="Q12" s="20"/>
      <c r="R12" s="19">
        <v>8.1000000000000003E-2</v>
      </c>
      <c r="S12" s="19">
        <v>9.2999999999999999E-2</v>
      </c>
      <c r="T12" s="19">
        <v>0.104</v>
      </c>
      <c r="U12" s="19">
        <v>0.11799999999999999</v>
      </c>
      <c r="V12" s="19">
        <v>0.13</v>
      </c>
      <c r="W12" s="19">
        <v>0.13900000000000001</v>
      </c>
      <c r="X12" s="19">
        <v>0.15</v>
      </c>
      <c r="Y12" s="19">
        <v>0.17100000000000001</v>
      </c>
    </row>
    <row r="13" spans="1:25" x14ac:dyDescent="0.35">
      <c r="D13" s="19" t="s">
        <v>82</v>
      </c>
      <c r="E13" s="19" t="s">
        <v>69</v>
      </c>
      <c r="F13" s="19" t="s">
        <v>70</v>
      </c>
      <c r="G13" s="19" t="s">
        <v>71</v>
      </c>
      <c r="H13" s="19" t="s">
        <v>72</v>
      </c>
      <c r="I13" s="19">
        <v>0.67200000000000004</v>
      </c>
      <c r="J13" s="19">
        <v>0.67200000000000004</v>
      </c>
      <c r="K13" s="19">
        <v>0.67300000000000004</v>
      </c>
      <c r="L13" s="19">
        <v>0.67300000000000004</v>
      </c>
      <c r="M13" s="19">
        <v>0.67400000000000004</v>
      </c>
      <c r="N13" s="19">
        <v>0.67400000000000004</v>
      </c>
      <c r="O13" s="19">
        <v>0.67500000000000004</v>
      </c>
      <c r="P13" s="19">
        <v>0.67700000000000005</v>
      </c>
      <c r="Q13" s="20"/>
      <c r="R13" s="19">
        <v>0.98699999999999999</v>
      </c>
      <c r="S13" s="19">
        <v>1.26</v>
      </c>
      <c r="T13" s="19">
        <v>1.66</v>
      </c>
      <c r="U13" s="19">
        <v>2.2599999999999998</v>
      </c>
      <c r="V13" s="19">
        <v>2.77</v>
      </c>
      <c r="W13" s="19">
        <v>3.64</v>
      </c>
      <c r="X13" s="19">
        <v>5.16</v>
      </c>
      <c r="Y13" s="19">
        <v>5.68</v>
      </c>
    </row>
    <row r="14" spans="1:25" x14ac:dyDescent="0.35">
      <c r="D14" s="19" t="s">
        <v>83</v>
      </c>
      <c r="E14" s="19" t="s">
        <v>69</v>
      </c>
      <c r="F14" s="19" t="s">
        <v>70</v>
      </c>
      <c r="G14" s="19" t="s">
        <v>71</v>
      </c>
      <c r="H14" s="19" t="s">
        <v>72</v>
      </c>
      <c r="I14" s="19">
        <v>0.15</v>
      </c>
      <c r="J14" s="19">
        <v>0.15</v>
      </c>
      <c r="K14" s="19">
        <v>0.15</v>
      </c>
      <c r="L14" s="19">
        <v>0.15</v>
      </c>
      <c r="M14" s="19">
        <v>0.15</v>
      </c>
      <c r="N14" s="19">
        <v>0.15</v>
      </c>
      <c r="O14" s="19">
        <v>0.151</v>
      </c>
      <c r="P14" s="19">
        <v>0.152</v>
      </c>
      <c r="Q14" s="20"/>
      <c r="R14" s="19">
        <v>0.30399999999999999</v>
      </c>
      <c r="S14" s="19">
        <v>0.38400000000000001</v>
      </c>
      <c r="T14" s="19">
        <v>0.49299999999999999</v>
      </c>
      <c r="U14" s="19">
        <v>0.67200000000000004</v>
      </c>
      <c r="V14" s="19">
        <v>0.86399999999999999</v>
      </c>
      <c r="W14" s="19">
        <v>1.1399999999999999</v>
      </c>
      <c r="X14" s="19">
        <v>1.63</v>
      </c>
      <c r="Y14" s="19">
        <v>2.3199999999999998</v>
      </c>
    </row>
    <row r="15" spans="1:25" x14ac:dyDescent="0.35">
      <c r="D15" s="19" t="s">
        <v>84</v>
      </c>
      <c r="E15" s="19" t="s">
        <v>69</v>
      </c>
      <c r="F15" s="19" t="s">
        <v>70</v>
      </c>
      <c r="G15" s="19" t="s">
        <v>71</v>
      </c>
      <c r="H15" s="19" t="s">
        <v>72</v>
      </c>
      <c r="I15" s="19">
        <v>0.186</v>
      </c>
      <c r="J15" s="19">
        <v>0.186</v>
      </c>
      <c r="K15" s="19">
        <v>0.186</v>
      </c>
      <c r="L15" s="19">
        <v>0.187</v>
      </c>
      <c r="M15" s="19">
        <v>0.187</v>
      </c>
      <c r="N15" s="19">
        <v>0.188</v>
      </c>
      <c r="O15" s="19">
        <v>0.189</v>
      </c>
      <c r="P15" s="19">
        <v>0.19</v>
      </c>
      <c r="Q15" s="20"/>
      <c r="R15" s="19">
        <v>0.77100000000000002</v>
      </c>
      <c r="S15" s="19">
        <v>0.97299999999999998</v>
      </c>
      <c r="T15" s="19">
        <v>1.19</v>
      </c>
      <c r="U15" s="19">
        <v>1.51</v>
      </c>
      <c r="V15" s="19">
        <v>1.88</v>
      </c>
      <c r="W15" s="19">
        <v>2.3199999999999998</v>
      </c>
      <c r="X15" s="19">
        <v>2.74</v>
      </c>
      <c r="Y15" s="19">
        <v>3.38</v>
      </c>
    </row>
    <row r="16" spans="1:25" x14ac:dyDescent="0.35">
      <c r="D16" s="19" t="s">
        <v>85</v>
      </c>
      <c r="E16" s="19" t="s">
        <v>69</v>
      </c>
      <c r="F16" s="19" t="s">
        <v>70</v>
      </c>
      <c r="G16" s="19" t="s">
        <v>71</v>
      </c>
      <c r="H16" s="19" t="s">
        <v>72</v>
      </c>
      <c r="I16" s="19">
        <v>3.7999999999999999E-2</v>
      </c>
      <c r="J16" s="19">
        <v>3.7999999999999999E-2</v>
      </c>
      <c r="K16" s="19">
        <v>3.7999999999999999E-2</v>
      </c>
      <c r="L16" s="19">
        <v>3.7999999999999999E-2</v>
      </c>
      <c r="M16" s="19">
        <v>3.7999999999999999E-2</v>
      </c>
      <c r="N16" s="19">
        <v>3.7999999999999999E-2</v>
      </c>
      <c r="O16" s="19">
        <v>3.7999999999999999E-2</v>
      </c>
      <c r="P16" s="19">
        <v>3.9E-2</v>
      </c>
      <c r="Q16" s="20"/>
      <c r="R16" s="19">
        <v>8.4000000000000005E-2</v>
      </c>
      <c r="S16" s="19">
        <v>0.1</v>
      </c>
      <c r="T16" s="19">
        <v>0.11799999999999999</v>
      </c>
      <c r="U16" s="19">
        <v>0.154</v>
      </c>
      <c r="V16" s="19">
        <v>0.187</v>
      </c>
      <c r="W16" s="19">
        <v>0.23899999999999999</v>
      </c>
      <c r="X16" s="19">
        <v>0.33800000000000002</v>
      </c>
      <c r="Y16" s="19">
        <v>0.59099999999999997</v>
      </c>
    </row>
    <row r="17" spans="4:25" x14ac:dyDescent="0.35">
      <c r="D17" s="19" t="s">
        <v>86</v>
      </c>
      <c r="E17" s="19" t="s">
        <v>69</v>
      </c>
      <c r="F17" s="19" t="s">
        <v>70</v>
      </c>
      <c r="G17" s="19" t="s">
        <v>71</v>
      </c>
      <c r="H17" s="19" t="s">
        <v>72</v>
      </c>
      <c r="I17" s="19">
        <v>2.5000000000000001E-2</v>
      </c>
      <c r="J17" s="19">
        <v>2.5000000000000001E-2</v>
      </c>
      <c r="K17" s="19">
        <v>2.5999999999999999E-2</v>
      </c>
      <c r="L17" s="19">
        <v>2.5999999999999999E-2</v>
      </c>
      <c r="M17" s="19">
        <v>2.5999999999999999E-2</v>
      </c>
      <c r="N17" s="19">
        <v>2.5999999999999999E-2</v>
      </c>
      <c r="O17" s="19">
        <v>2.7E-2</v>
      </c>
      <c r="P17" s="19">
        <v>2.8000000000000001E-2</v>
      </c>
      <c r="Q17" s="20"/>
      <c r="R17" s="19">
        <v>8.1000000000000003E-2</v>
      </c>
      <c r="S17" s="19">
        <v>0.11</v>
      </c>
      <c r="T17" s="19">
        <v>0.14699999999999999</v>
      </c>
      <c r="U17" s="19">
        <v>0.21099999999999999</v>
      </c>
      <c r="V17" s="19">
        <v>0.28100000000000003</v>
      </c>
      <c r="W17" s="19">
        <v>0.375</v>
      </c>
      <c r="X17" s="19">
        <v>0.51400000000000001</v>
      </c>
      <c r="Y17" s="19">
        <v>0.94099999999999995</v>
      </c>
    </row>
    <row r="18" spans="4:25" x14ac:dyDescent="0.35">
      <c r="D18" s="19" t="s">
        <v>87</v>
      </c>
      <c r="E18" s="19" t="s">
        <v>69</v>
      </c>
      <c r="F18" s="19" t="s">
        <v>70</v>
      </c>
      <c r="G18" s="19" t="s">
        <v>71</v>
      </c>
      <c r="H18" s="19" t="s">
        <v>72</v>
      </c>
      <c r="I18" s="19">
        <v>0.253</v>
      </c>
      <c r="J18" s="19">
        <v>0.253</v>
      </c>
      <c r="K18" s="19">
        <v>0.253</v>
      </c>
      <c r="L18" s="19">
        <v>0.255</v>
      </c>
      <c r="M18" s="19">
        <v>0.25600000000000001</v>
      </c>
      <c r="N18" s="19">
        <v>0.25800000000000001</v>
      </c>
      <c r="O18" s="19">
        <v>0.26</v>
      </c>
      <c r="P18" s="19">
        <v>0.26600000000000001</v>
      </c>
      <c r="Q18" s="20"/>
      <c r="R18" s="19">
        <v>0.55600000000000005</v>
      </c>
      <c r="S18" s="19">
        <v>0.82199999999999995</v>
      </c>
      <c r="T18" s="19">
        <v>1.18</v>
      </c>
      <c r="U18" s="19">
        <v>1.77</v>
      </c>
      <c r="V18" s="19">
        <v>2.23</v>
      </c>
      <c r="W18" s="19">
        <v>2.66</v>
      </c>
      <c r="X18" s="19">
        <v>3.1</v>
      </c>
      <c r="Y18" s="19">
        <v>3.99</v>
      </c>
    </row>
    <row r="19" spans="4:25" x14ac:dyDescent="0.35">
      <c r="D19" s="19" t="s">
        <v>88</v>
      </c>
      <c r="E19" s="19" t="s">
        <v>69</v>
      </c>
      <c r="F19" s="19" t="s">
        <v>70</v>
      </c>
      <c r="G19" s="19" t="s">
        <v>71</v>
      </c>
      <c r="H19" s="19" t="s">
        <v>72</v>
      </c>
      <c r="I19" s="19">
        <v>6.5000000000000002E-2</v>
      </c>
      <c r="J19" s="19">
        <v>6.5000000000000002E-2</v>
      </c>
      <c r="K19" s="19">
        <v>6.5000000000000002E-2</v>
      </c>
      <c r="L19" s="19">
        <v>6.5000000000000002E-2</v>
      </c>
      <c r="M19" s="19">
        <v>6.5000000000000002E-2</v>
      </c>
      <c r="N19" s="19">
        <v>6.5000000000000002E-2</v>
      </c>
      <c r="O19" s="19">
        <v>6.5000000000000002E-2</v>
      </c>
      <c r="P19" s="19">
        <v>6.5000000000000002E-2</v>
      </c>
      <c r="Q19" s="20"/>
      <c r="R19" s="19">
        <v>0.154</v>
      </c>
      <c r="S19" s="19">
        <v>0.16900000000000001</v>
      </c>
      <c r="T19" s="19">
        <v>0.17699999999999999</v>
      </c>
      <c r="U19" s="19">
        <v>0.184</v>
      </c>
      <c r="V19" s="19">
        <v>0.19</v>
      </c>
      <c r="W19" s="19">
        <v>0.19600000000000001</v>
      </c>
      <c r="X19" s="19">
        <v>0.20100000000000001</v>
      </c>
      <c r="Y19" s="19">
        <v>0.20799999999999999</v>
      </c>
    </row>
    <row r="20" spans="4:25" x14ac:dyDescent="0.35">
      <c r="D20" s="19" t="s">
        <v>89</v>
      </c>
      <c r="E20" s="19" t="s">
        <v>69</v>
      </c>
      <c r="F20" s="19" t="s">
        <v>70</v>
      </c>
      <c r="G20" s="19" t="s">
        <v>71</v>
      </c>
      <c r="H20" s="19" t="s">
        <v>72</v>
      </c>
      <c r="I20" s="19">
        <v>0.86399999999999999</v>
      </c>
      <c r="J20" s="19">
        <v>0.86399999999999999</v>
      </c>
      <c r="K20" s="19">
        <v>0.86399999999999999</v>
      </c>
      <c r="L20" s="19">
        <v>0.86499999999999999</v>
      </c>
      <c r="M20" s="19">
        <v>0.86499999999999999</v>
      </c>
      <c r="N20" s="19">
        <v>0.86599999999999999</v>
      </c>
      <c r="O20" s="19">
        <v>0.86599999999999999</v>
      </c>
      <c r="P20" s="19">
        <v>0.86799999999999999</v>
      </c>
      <c r="Q20" s="20"/>
      <c r="R20" s="19">
        <v>2.74</v>
      </c>
      <c r="S20" s="19">
        <v>3.43</v>
      </c>
      <c r="T20" s="19">
        <v>4.21</v>
      </c>
      <c r="U20" s="19">
        <v>5.23</v>
      </c>
      <c r="V20" s="19">
        <v>6.26</v>
      </c>
      <c r="W20" s="19">
        <v>7.07</v>
      </c>
      <c r="X20" s="19">
        <v>8.3800000000000008</v>
      </c>
      <c r="Y20" s="19">
        <v>10.1</v>
      </c>
    </row>
    <row r="21" spans="4:25" x14ac:dyDescent="0.35">
      <c r="D21" s="19" t="s">
        <v>90</v>
      </c>
      <c r="E21" s="19" t="s">
        <v>69</v>
      </c>
      <c r="F21" s="19" t="s">
        <v>70</v>
      </c>
      <c r="G21" s="19" t="s">
        <v>71</v>
      </c>
      <c r="H21" s="19" t="s">
        <v>72</v>
      </c>
      <c r="I21" s="19">
        <v>2.25</v>
      </c>
      <c r="J21" s="19">
        <v>2.25</v>
      </c>
      <c r="K21" s="19">
        <v>2.25</v>
      </c>
      <c r="L21" s="19">
        <v>2.25</v>
      </c>
      <c r="M21" s="19">
        <v>2.25</v>
      </c>
      <c r="N21" s="19">
        <v>2.25</v>
      </c>
      <c r="O21" s="19">
        <v>2.25</v>
      </c>
      <c r="P21" s="19">
        <v>2.25</v>
      </c>
      <c r="Q21" s="20"/>
      <c r="R21" s="19">
        <v>5.32</v>
      </c>
      <c r="S21" s="19">
        <v>5.84</v>
      </c>
      <c r="T21" s="19">
        <v>6.11</v>
      </c>
      <c r="U21" s="19">
        <v>6.35</v>
      </c>
      <c r="V21" s="19">
        <v>6.58</v>
      </c>
      <c r="W21" s="19">
        <v>6.76</v>
      </c>
      <c r="X21" s="19">
        <v>6.94</v>
      </c>
      <c r="Y21" s="19">
        <v>7.2</v>
      </c>
    </row>
    <row r="22" spans="4:25" x14ac:dyDescent="0.35">
      <c r="D22" s="19" t="s">
        <v>91</v>
      </c>
      <c r="E22" s="19" t="s">
        <v>69</v>
      </c>
      <c r="F22" s="19" t="s">
        <v>70</v>
      </c>
      <c r="G22" s="19" t="s">
        <v>71</v>
      </c>
      <c r="H22" s="19" t="s">
        <v>72</v>
      </c>
      <c r="I22" s="19">
        <v>0.18099999999999999</v>
      </c>
      <c r="J22" s="19">
        <v>0.18099999999999999</v>
      </c>
      <c r="K22" s="19">
        <v>0.18099999999999999</v>
      </c>
      <c r="L22" s="19">
        <v>0.182</v>
      </c>
      <c r="M22" s="19">
        <v>0.182</v>
      </c>
      <c r="N22" s="19">
        <v>0.183</v>
      </c>
      <c r="O22" s="19">
        <v>0.183</v>
      </c>
      <c r="P22" s="19">
        <v>0.186</v>
      </c>
      <c r="Q22" s="20"/>
      <c r="R22" s="19">
        <v>0.437</v>
      </c>
      <c r="S22" s="19">
        <v>0.61499999999999999</v>
      </c>
      <c r="T22" s="19">
        <v>0.91200000000000003</v>
      </c>
      <c r="U22" s="19">
        <v>1.48</v>
      </c>
      <c r="V22" s="19">
        <v>2.15</v>
      </c>
      <c r="W22" s="19">
        <v>3.03</v>
      </c>
      <c r="X22" s="19">
        <v>4.04</v>
      </c>
      <c r="Y22" s="19">
        <v>5.33</v>
      </c>
    </row>
    <row r="23" spans="4:25" x14ac:dyDescent="0.35">
      <c r="D23" s="19" t="s">
        <v>92</v>
      </c>
      <c r="E23" s="19" t="s">
        <v>69</v>
      </c>
      <c r="F23" s="19" t="s">
        <v>70</v>
      </c>
      <c r="G23" s="19" t="s">
        <v>71</v>
      </c>
      <c r="H23" s="19" t="s">
        <v>72</v>
      </c>
      <c r="I23" s="19">
        <v>0.128</v>
      </c>
      <c r="J23" s="19">
        <v>0.128</v>
      </c>
      <c r="K23" s="19">
        <v>0.128</v>
      </c>
      <c r="L23" s="19">
        <v>0.129</v>
      </c>
      <c r="M23" s="19">
        <v>0.129</v>
      </c>
      <c r="N23" s="19">
        <v>0.129</v>
      </c>
      <c r="O23" s="19">
        <v>0.13</v>
      </c>
      <c r="P23" s="19">
        <v>0.13100000000000001</v>
      </c>
      <c r="Q23" s="20"/>
      <c r="R23" s="19">
        <v>0.51100000000000001</v>
      </c>
      <c r="S23" s="19">
        <v>0.64700000000000002</v>
      </c>
      <c r="T23" s="19">
        <v>0.79400000000000004</v>
      </c>
      <c r="U23" s="19">
        <v>1.01</v>
      </c>
      <c r="V23" s="19">
        <v>1.27</v>
      </c>
      <c r="W23" s="19">
        <v>1.57</v>
      </c>
      <c r="X23" s="19">
        <v>1.84</v>
      </c>
      <c r="Y23" s="19">
        <v>2.23</v>
      </c>
    </row>
    <row r="24" spans="4:25" x14ac:dyDescent="0.35">
      <c r="D24" s="19" t="s">
        <v>93</v>
      </c>
      <c r="E24" s="19" t="s">
        <v>69</v>
      </c>
      <c r="F24" s="19" t="s">
        <v>70</v>
      </c>
      <c r="G24" s="19" t="s">
        <v>71</v>
      </c>
      <c r="H24" s="19" t="s">
        <v>72</v>
      </c>
      <c r="I24" s="19">
        <v>8.0000000000000002E-3</v>
      </c>
      <c r="J24" s="19">
        <v>8.0000000000000002E-3</v>
      </c>
      <c r="K24" s="19">
        <v>8.0000000000000002E-3</v>
      </c>
      <c r="L24" s="19">
        <v>8.0000000000000002E-3</v>
      </c>
      <c r="M24" s="19">
        <v>8.0000000000000002E-3</v>
      </c>
      <c r="N24" s="19">
        <v>8.0000000000000002E-3</v>
      </c>
      <c r="O24" s="19">
        <v>8.0000000000000002E-3</v>
      </c>
      <c r="P24" s="19">
        <v>8.0000000000000002E-3</v>
      </c>
      <c r="Q24" s="20"/>
      <c r="R24" s="19">
        <v>2.1999999999999999E-2</v>
      </c>
      <c r="S24" s="19">
        <v>3.2000000000000001E-2</v>
      </c>
      <c r="T24" s="19">
        <v>4.5999999999999999E-2</v>
      </c>
      <c r="U24" s="19">
        <v>6.8000000000000005E-2</v>
      </c>
      <c r="V24" s="19">
        <v>0.09</v>
      </c>
      <c r="W24" s="19">
        <v>0.113</v>
      </c>
      <c r="X24" s="19">
        <v>0.14399999999999999</v>
      </c>
      <c r="Y24" s="19">
        <v>0.247</v>
      </c>
    </row>
    <row r="25" spans="4:25" x14ac:dyDescent="0.35">
      <c r="D25" s="19" t="s">
        <v>94</v>
      </c>
      <c r="E25" s="19" t="s">
        <v>69</v>
      </c>
      <c r="F25" s="19" t="s">
        <v>70</v>
      </c>
      <c r="G25" s="19" t="s">
        <v>71</v>
      </c>
      <c r="H25" s="19" t="s">
        <v>72</v>
      </c>
      <c r="I25" s="19">
        <v>0.36699999999999999</v>
      </c>
      <c r="J25" s="19">
        <v>0.36699999999999999</v>
      </c>
      <c r="K25" s="19">
        <v>0.36699999999999999</v>
      </c>
      <c r="L25" s="19">
        <v>0.36799999999999999</v>
      </c>
      <c r="M25" s="19">
        <v>0.36899999999999999</v>
      </c>
      <c r="N25" s="19">
        <v>0.36899999999999999</v>
      </c>
      <c r="O25" s="19">
        <v>0.37</v>
      </c>
      <c r="P25" s="19">
        <v>0.374</v>
      </c>
      <c r="Q25" s="20"/>
      <c r="R25" s="19">
        <v>0.72499999999999998</v>
      </c>
      <c r="S25" s="19">
        <v>0.88500000000000001</v>
      </c>
      <c r="T25" s="19">
        <v>1.0900000000000001</v>
      </c>
      <c r="U25" s="19">
        <v>1.47</v>
      </c>
      <c r="V25" s="19">
        <v>1.85</v>
      </c>
      <c r="W25" s="19">
        <v>2.4300000000000002</v>
      </c>
      <c r="X25" s="19">
        <v>3.46</v>
      </c>
      <c r="Y25" s="19">
        <v>5.35</v>
      </c>
    </row>
    <row r="26" spans="4:25" x14ac:dyDescent="0.35">
      <c r="D26" s="19" t="s">
        <v>95</v>
      </c>
      <c r="E26" s="19" t="s">
        <v>69</v>
      </c>
      <c r="F26" s="19" t="s">
        <v>70</v>
      </c>
      <c r="G26" s="19" t="s">
        <v>71</v>
      </c>
      <c r="H26" s="19" t="s">
        <v>72</v>
      </c>
      <c r="I26" s="19">
        <v>1.4E-2</v>
      </c>
      <c r="J26" s="19">
        <v>1.4E-2</v>
      </c>
      <c r="K26" s="19">
        <v>1.4E-2</v>
      </c>
      <c r="L26" s="19">
        <v>1.4E-2</v>
      </c>
      <c r="M26" s="19">
        <v>1.4E-2</v>
      </c>
      <c r="N26" s="19">
        <v>1.4E-2</v>
      </c>
      <c r="O26" s="19">
        <v>1.4E-2</v>
      </c>
      <c r="P26" s="19">
        <v>1.4E-2</v>
      </c>
      <c r="Q26" s="20"/>
      <c r="R26" s="19">
        <v>4.2999999999999997E-2</v>
      </c>
      <c r="S26" s="19">
        <v>5.2999999999999999E-2</v>
      </c>
      <c r="T26" s="19">
        <v>6.4000000000000001E-2</v>
      </c>
      <c r="U26" s="19">
        <v>0.08</v>
      </c>
      <c r="V26" s="19">
        <v>9.6000000000000002E-2</v>
      </c>
      <c r="W26" s="19">
        <v>0.111</v>
      </c>
      <c r="X26" s="19">
        <v>0.13</v>
      </c>
      <c r="Y26" s="19">
        <v>0.17100000000000001</v>
      </c>
    </row>
    <row r="27" spans="4:25" x14ac:dyDescent="0.35">
      <c r="D27" s="19" t="s">
        <v>96</v>
      </c>
      <c r="E27" s="19" t="s">
        <v>69</v>
      </c>
      <c r="F27" s="19" t="s">
        <v>70</v>
      </c>
      <c r="G27" s="19" t="s">
        <v>71</v>
      </c>
      <c r="H27" s="19" t="s">
        <v>72</v>
      </c>
      <c r="I27" s="19">
        <v>1.0999999999999999E-2</v>
      </c>
      <c r="J27" s="19">
        <v>1.0999999999999999E-2</v>
      </c>
      <c r="K27" s="19">
        <v>1.0999999999999999E-2</v>
      </c>
      <c r="L27" s="19">
        <v>1.0999999999999999E-2</v>
      </c>
      <c r="M27" s="19">
        <v>1.0999999999999999E-2</v>
      </c>
      <c r="N27" s="19">
        <v>1.0999999999999999E-2</v>
      </c>
      <c r="O27" s="19">
        <v>1.0999999999999999E-2</v>
      </c>
      <c r="P27" s="19">
        <v>1.2E-2</v>
      </c>
      <c r="Q27" s="20"/>
      <c r="R27" s="19">
        <v>5.5E-2</v>
      </c>
      <c r="S27" s="19">
        <v>6.7000000000000004E-2</v>
      </c>
      <c r="T27" s="19">
        <v>7.8E-2</v>
      </c>
      <c r="U27" s="19">
        <v>9.5000000000000001E-2</v>
      </c>
      <c r="V27" s="19">
        <v>0.112</v>
      </c>
      <c r="W27" s="19">
        <v>0.13400000000000001</v>
      </c>
      <c r="X27" s="19">
        <v>0.16300000000000001</v>
      </c>
      <c r="Y27" s="19">
        <v>0.23400000000000001</v>
      </c>
    </row>
    <row r="28" spans="4:25" x14ac:dyDescent="0.35">
      <c r="D28" s="19" t="s">
        <v>97</v>
      </c>
      <c r="E28" s="19" t="s">
        <v>69</v>
      </c>
      <c r="F28" s="19" t="s">
        <v>70</v>
      </c>
      <c r="G28" s="19" t="s">
        <v>71</v>
      </c>
      <c r="H28" s="19" t="s">
        <v>72</v>
      </c>
      <c r="I28" s="19">
        <v>0.58899999999999997</v>
      </c>
      <c r="J28" s="19">
        <v>0.58899999999999997</v>
      </c>
      <c r="K28" s="19">
        <v>0.58899999999999997</v>
      </c>
      <c r="L28" s="19">
        <v>0.59</v>
      </c>
      <c r="M28" s="19">
        <v>0.59</v>
      </c>
      <c r="N28" s="19">
        <v>0.59</v>
      </c>
      <c r="O28" s="19">
        <v>0.59</v>
      </c>
      <c r="P28" s="19">
        <v>0.59099999999999997</v>
      </c>
      <c r="Q28" s="20"/>
      <c r="R28" s="19">
        <v>1.3</v>
      </c>
      <c r="S28" s="19">
        <v>1.48</v>
      </c>
      <c r="T28" s="19">
        <v>1.64</v>
      </c>
      <c r="U28" s="19">
        <v>1.84</v>
      </c>
      <c r="V28" s="19">
        <v>1.99</v>
      </c>
      <c r="W28" s="19">
        <v>2.11</v>
      </c>
      <c r="X28" s="19">
        <v>2.2799999999999998</v>
      </c>
      <c r="Y28" s="19">
        <v>2.58</v>
      </c>
    </row>
    <row r="29" spans="4:25" x14ac:dyDescent="0.35">
      <c r="D29" s="19" t="s">
        <v>98</v>
      </c>
      <c r="E29" s="19" t="s">
        <v>69</v>
      </c>
      <c r="F29" s="19" t="s">
        <v>70</v>
      </c>
      <c r="G29" s="19" t="s">
        <v>71</v>
      </c>
      <c r="H29" s="19" t="s">
        <v>72</v>
      </c>
      <c r="I29" s="19">
        <v>0.128</v>
      </c>
      <c r="J29" s="19">
        <v>0.128</v>
      </c>
      <c r="K29" s="19">
        <v>0.128</v>
      </c>
      <c r="L29" s="19">
        <v>0.128</v>
      </c>
      <c r="M29" s="19">
        <v>0.128</v>
      </c>
      <c r="N29" s="19">
        <v>0.128</v>
      </c>
      <c r="O29" s="19">
        <v>0.128</v>
      </c>
      <c r="P29" s="19">
        <v>0.128</v>
      </c>
      <c r="Q29" s="20"/>
      <c r="R29" s="19">
        <v>0.30199999999999999</v>
      </c>
      <c r="S29" s="19">
        <v>0.33200000000000002</v>
      </c>
      <c r="T29" s="19">
        <v>0.34699999999999998</v>
      </c>
      <c r="U29" s="19">
        <v>0.36</v>
      </c>
      <c r="V29" s="19">
        <v>0.374</v>
      </c>
      <c r="W29" s="19">
        <v>0.38400000000000001</v>
      </c>
      <c r="X29" s="19">
        <v>0.39400000000000002</v>
      </c>
      <c r="Y29" s="19">
        <v>0.40899999999999997</v>
      </c>
    </row>
    <row r="30" spans="4:25" x14ac:dyDescent="0.35">
      <c r="D30" s="19" t="s">
        <v>99</v>
      </c>
      <c r="E30" s="19" t="s">
        <v>69</v>
      </c>
      <c r="F30" s="19" t="s">
        <v>70</v>
      </c>
      <c r="G30" s="19" t="s">
        <v>71</v>
      </c>
      <c r="H30" s="19" t="s">
        <v>72</v>
      </c>
      <c r="I30" s="19">
        <v>1.92</v>
      </c>
      <c r="J30" s="19">
        <v>1.92</v>
      </c>
      <c r="K30" s="19">
        <v>1.92</v>
      </c>
      <c r="L30" s="19">
        <v>1.92</v>
      </c>
      <c r="M30" s="19">
        <v>1.92</v>
      </c>
      <c r="N30" s="19">
        <v>1.92</v>
      </c>
      <c r="O30" s="19">
        <v>1.92</v>
      </c>
      <c r="P30" s="19">
        <v>1.92</v>
      </c>
      <c r="Q30" s="20"/>
      <c r="R30" s="19">
        <v>5.66</v>
      </c>
      <c r="S30" s="19">
        <v>6.83</v>
      </c>
      <c r="T30" s="19">
        <v>7.94</v>
      </c>
      <c r="U30" s="19">
        <v>9.17</v>
      </c>
      <c r="V30" s="19">
        <v>10.199999999999999</v>
      </c>
      <c r="W30" s="19">
        <v>10.199999999999999</v>
      </c>
      <c r="X30" s="19">
        <v>10.199999999999999</v>
      </c>
      <c r="Y30" s="19">
        <v>10.3</v>
      </c>
    </row>
    <row r="31" spans="4:25" x14ac:dyDescent="0.35">
      <c r="D31" s="19" t="s">
        <v>100</v>
      </c>
      <c r="E31" s="19" t="s">
        <v>69</v>
      </c>
      <c r="F31" s="19" t="s">
        <v>70</v>
      </c>
      <c r="G31" s="19" t="s">
        <v>71</v>
      </c>
      <c r="H31" s="19" t="s">
        <v>72</v>
      </c>
      <c r="I31" s="19">
        <v>0.23100000000000001</v>
      </c>
      <c r="J31" s="19">
        <v>0.23100000000000001</v>
      </c>
      <c r="K31" s="19">
        <v>0.23100000000000001</v>
      </c>
      <c r="L31" s="19">
        <v>0.23200000000000001</v>
      </c>
      <c r="M31" s="19">
        <v>0.23200000000000001</v>
      </c>
      <c r="N31" s="19">
        <v>0.23200000000000001</v>
      </c>
      <c r="O31" s="19">
        <v>0.23300000000000001</v>
      </c>
      <c r="P31" s="19">
        <v>0.23400000000000001</v>
      </c>
      <c r="Q31" s="20"/>
      <c r="R31" s="19">
        <v>0.498</v>
      </c>
      <c r="S31" s="19">
        <v>0.60899999999999999</v>
      </c>
      <c r="T31" s="19">
        <v>0.73699999999999999</v>
      </c>
      <c r="U31" s="19">
        <v>0.90400000000000003</v>
      </c>
      <c r="V31" s="19">
        <v>1.03</v>
      </c>
      <c r="W31" s="19">
        <v>1.1299999999999999</v>
      </c>
      <c r="X31" s="19">
        <v>1.27</v>
      </c>
      <c r="Y31" s="19">
        <v>1.57</v>
      </c>
    </row>
    <row r="32" spans="4:25" x14ac:dyDescent="0.35">
      <c r="D32" s="19" t="s">
        <v>101</v>
      </c>
      <c r="E32" s="19" t="s">
        <v>69</v>
      </c>
      <c r="F32" s="19" t="s">
        <v>70</v>
      </c>
      <c r="G32" s="19" t="s">
        <v>71</v>
      </c>
      <c r="H32" s="19" t="s">
        <v>72</v>
      </c>
      <c r="I32" s="19">
        <v>2.19</v>
      </c>
      <c r="J32" s="19">
        <v>2.2000000000000002</v>
      </c>
      <c r="K32" s="19">
        <v>2.2000000000000002</v>
      </c>
      <c r="L32" s="19">
        <v>2.2000000000000002</v>
      </c>
      <c r="M32" s="19">
        <v>2.2000000000000002</v>
      </c>
      <c r="N32" s="19">
        <v>2.2000000000000002</v>
      </c>
      <c r="O32" s="19">
        <v>2.2000000000000002</v>
      </c>
      <c r="P32" s="19">
        <v>2.2000000000000002</v>
      </c>
      <c r="Q32" s="20"/>
      <c r="R32" s="19">
        <v>4.7</v>
      </c>
      <c r="S32" s="19">
        <v>5.48</v>
      </c>
      <c r="T32" s="19">
        <v>6.23</v>
      </c>
      <c r="U32" s="19">
        <v>7.1</v>
      </c>
      <c r="V32" s="19">
        <v>7.89</v>
      </c>
      <c r="W32" s="19">
        <v>8.73</v>
      </c>
      <c r="X32" s="19">
        <v>9.6999999999999993</v>
      </c>
      <c r="Y32" s="19">
        <v>10</v>
      </c>
    </row>
    <row r="33" spans="4:25" x14ac:dyDescent="0.35">
      <c r="D33" s="19" t="s">
        <v>102</v>
      </c>
      <c r="E33" s="19" t="s">
        <v>69</v>
      </c>
      <c r="F33" s="19" t="s">
        <v>70</v>
      </c>
      <c r="G33" s="19" t="s">
        <v>71</v>
      </c>
      <c r="H33" s="19" t="s">
        <v>72</v>
      </c>
      <c r="I33" s="19">
        <v>0.28799999999999998</v>
      </c>
      <c r="J33" s="19">
        <v>0.28899999999999998</v>
      </c>
      <c r="K33" s="19">
        <v>0.28899999999999998</v>
      </c>
      <c r="L33" s="19">
        <v>0.28899999999999998</v>
      </c>
      <c r="M33" s="19">
        <v>0.28999999999999998</v>
      </c>
      <c r="N33" s="19">
        <v>0.28999999999999998</v>
      </c>
      <c r="O33" s="19">
        <v>0.29099999999999998</v>
      </c>
      <c r="P33" s="19">
        <v>0.29299999999999998</v>
      </c>
      <c r="Q33" s="20"/>
      <c r="R33" s="19">
        <v>1.1200000000000001</v>
      </c>
      <c r="S33" s="19">
        <v>1.5</v>
      </c>
      <c r="T33" s="19">
        <v>1.95</v>
      </c>
      <c r="U33" s="19">
        <v>2.62</v>
      </c>
      <c r="V33" s="19">
        <v>3.31</v>
      </c>
      <c r="W33" s="19">
        <v>4.1900000000000004</v>
      </c>
      <c r="X33" s="19">
        <v>4.9400000000000004</v>
      </c>
      <c r="Y33" s="19">
        <v>6.51</v>
      </c>
    </row>
    <row r="34" spans="4:25" x14ac:dyDescent="0.35">
      <c r="D34" s="19" t="s">
        <v>103</v>
      </c>
      <c r="E34" s="19" t="s">
        <v>69</v>
      </c>
      <c r="F34" s="19" t="s">
        <v>70</v>
      </c>
      <c r="G34" s="19" t="s">
        <v>71</v>
      </c>
      <c r="H34" s="19" t="s">
        <v>72</v>
      </c>
      <c r="I34" s="19">
        <v>0</v>
      </c>
      <c r="J34" s="19">
        <v>0</v>
      </c>
      <c r="K34" s="19">
        <v>0</v>
      </c>
      <c r="L34" s="19">
        <v>0</v>
      </c>
      <c r="M34" s="19">
        <v>0</v>
      </c>
      <c r="N34" s="19">
        <v>0</v>
      </c>
      <c r="O34" s="19">
        <v>0</v>
      </c>
      <c r="P34" s="19">
        <v>0</v>
      </c>
      <c r="Q34" s="20"/>
      <c r="R34" s="19">
        <v>2E-3</v>
      </c>
      <c r="S34" s="19">
        <v>3.0000000000000001E-3</v>
      </c>
      <c r="T34" s="19">
        <v>3.0000000000000001E-3</v>
      </c>
      <c r="U34" s="19">
        <v>4.0000000000000001E-3</v>
      </c>
      <c r="V34" s="19">
        <v>4.0000000000000001E-3</v>
      </c>
      <c r="W34" s="19">
        <v>5.0000000000000001E-3</v>
      </c>
      <c r="X34" s="19">
        <v>7.0000000000000001E-3</v>
      </c>
      <c r="Y34" s="19">
        <v>8.9999999999999993E-3</v>
      </c>
    </row>
    <row r="35" spans="4:25" x14ac:dyDescent="0.35">
      <c r="D35" s="19" t="s">
        <v>104</v>
      </c>
      <c r="E35" s="19" t="s">
        <v>69</v>
      </c>
      <c r="F35" s="19" t="s">
        <v>70</v>
      </c>
      <c r="G35" s="19" t="s">
        <v>71</v>
      </c>
      <c r="H35" s="19" t="s">
        <v>72</v>
      </c>
      <c r="I35" s="19">
        <v>0.114</v>
      </c>
      <c r="J35" s="19">
        <v>0.114</v>
      </c>
      <c r="K35" s="19">
        <v>0.114</v>
      </c>
      <c r="L35" s="19">
        <v>0.114</v>
      </c>
      <c r="M35" s="19">
        <v>0.115</v>
      </c>
      <c r="N35" s="19">
        <v>0.115</v>
      </c>
      <c r="O35" s="19">
        <v>0.115</v>
      </c>
      <c r="P35" s="19">
        <v>0.11600000000000001</v>
      </c>
      <c r="Q35" s="20"/>
      <c r="R35" s="19">
        <v>0.443</v>
      </c>
      <c r="S35" s="19">
        <v>0.626</v>
      </c>
      <c r="T35" s="19">
        <v>0.85499999999999998</v>
      </c>
      <c r="U35" s="19">
        <v>1.18</v>
      </c>
      <c r="V35" s="19">
        <v>1.56</v>
      </c>
      <c r="W35" s="19">
        <v>2.0099999999999998</v>
      </c>
      <c r="X35" s="19">
        <v>2.86</v>
      </c>
      <c r="Y35" s="19">
        <v>3.54</v>
      </c>
    </row>
    <row r="36" spans="4:25" x14ac:dyDescent="0.35">
      <c r="D36" s="19" t="s">
        <v>105</v>
      </c>
      <c r="E36" s="19" t="s">
        <v>69</v>
      </c>
      <c r="F36" s="19" t="s">
        <v>70</v>
      </c>
      <c r="G36" s="19" t="s">
        <v>71</v>
      </c>
      <c r="H36" s="19" t="s">
        <v>72</v>
      </c>
      <c r="I36" s="19">
        <v>0.01</v>
      </c>
      <c r="J36" s="19">
        <v>0.01</v>
      </c>
      <c r="K36" s="19">
        <v>0.01</v>
      </c>
      <c r="L36" s="19">
        <v>0.01</v>
      </c>
      <c r="M36" s="19">
        <v>0.01</v>
      </c>
      <c r="N36" s="19">
        <v>0.01</v>
      </c>
      <c r="O36" s="19">
        <v>0.01</v>
      </c>
      <c r="P36" s="19">
        <v>1.0999999999999999E-2</v>
      </c>
      <c r="Q36" s="20"/>
      <c r="R36" s="19">
        <v>2.7E-2</v>
      </c>
      <c r="S36" s="19">
        <v>4.1000000000000002E-2</v>
      </c>
      <c r="T36" s="19">
        <v>6.2E-2</v>
      </c>
      <c r="U36" s="19">
        <v>9.5000000000000001E-2</v>
      </c>
      <c r="V36" s="19">
        <v>0.11799999999999999</v>
      </c>
      <c r="W36" s="19">
        <v>0.14000000000000001</v>
      </c>
      <c r="X36" s="19">
        <v>0.17100000000000001</v>
      </c>
      <c r="Y36" s="19">
        <v>0.24199999999999999</v>
      </c>
    </row>
    <row r="37" spans="4:25" x14ac:dyDescent="0.35">
      <c r="D37" s="19" t="s">
        <v>106</v>
      </c>
      <c r="E37" s="19" t="s">
        <v>69</v>
      </c>
      <c r="F37" s="19" t="s">
        <v>70</v>
      </c>
      <c r="G37" s="19" t="s">
        <v>71</v>
      </c>
      <c r="H37" s="19" t="s">
        <v>72</v>
      </c>
      <c r="I37" s="19">
        <v>0.13200000000000001</v>
      </c>
      <c r="J37" s="19">
        <v>0.13200000000000001</v>
      </c>
      <c r="K37" s="19">
        <v>0.13200000000000001</v>
      </c>
      <c r="L37" s="19">
        <v>0.13200000000000001</v>
      </c>
      <c r="M37" s="19">
        <v>0.13200000000000001</v>
      </c>
      <c r="N37" s="19">
        <v>0.13300000000000001</v>
      </c>
      <c r="O37" s="19">
        <v>0.13300000000000001</v>
      </c>
      <c r="P37" s="19">
        <v>0.13300000000000001</v>
      </c>
      <c r="Q37" s="20"/>
      <c r="R37" s="19">
        <v>0.29399999999999998</v>
      </c>
      <c r="S37" s="19">
        <v>0.36</v>
      </c>
      <c r="T37" s="19">
        <v>0.441</v>
      </c>
      <c r="U37" s="19">
        <v>0.55800000000000005</v>
      </c>
      <c r="V37" s="19">
        <v>0.67600000000000005</v>
      </c>
      <c r="W37" s="19">
        <v>0.76100000000000001</v>
      </c>
      <c r="X37" s="19">
        <v>0.86299999999999999</v>
      </c>
      <c r="Y37" s="19">
        <v>1.02</v>
      </c>
    </row>
    <row r="38" spans="4:25" x14ac:dyDescent="0.35">
      <c r="D38" s="19" t="s">
        <v>107</v>
      </c>
      <c r="E38" s="19" t="s">
        <v>69</v>
      </c>
      <c r="F38" s="19" t="s">
        <v>70</v>
      </c>
      <c r="G38" s="19" t="s">
        <v>71</v>
      </c>
      <c r="H38" s="19" t="s">
        <v>72</v>
      </c>
      <c r="I38" s="19">
        <v>0.38300000000000001</v>
      </c>
      <c r="J38" s="19">
        <v>0.38300000000000001</v>
      </c>
      <c r="K38" s="19">
        <v>0.38300000000000001</v>
      </c>
      <c r="L38" s="19">
        <v>0.38400000000000001</v>
      </c>
      <c r="M38" s="19">
        <v>0.38400000000000001</v>
      </c>
      <c r="N38" s="19">
        <v>0.38400000000000001</v>
      </c>
      <c r="O38" s="19">
        <v>0.38400000000000001</v>
      </c>
      <c r="P38" s="19">
        <v>0.38500000000000001</v>
      </c>
      <c r="Q38" s="20"/>
      <c r="R38" s="19">
        <v>1.22</v>
      </c>
      <c r="S38" s="19">
        <v>1.54</v>
      </c>
      <c r="T38" s="19">
        <v>1.9</v>
      </c>
      <c r="U38" s="19">
        <v>2.35</v>
      </c>
      <c r="V38" s="19">
        <v>2.82</v>
      </c>
      <c r="W38" s="19">
        <v>3.19</v>
      </c>
      <c r="X38" s="19">
        <v>3.89</v>
      </c>
      <c r="Y38" s="19">
        <v>4.45</v>
      </c>
    </row>
    <row r="39" spans="4:25" x14ac:dyDescent="0.35">
      <c r="D39" s="19" t="s">
        <v>108</v>
      </c>
      <c r="E39" s="19" t="s">
        <v>69</v>
      </c>
      <c r="F39" s="19" t="s">
        <v>70</v>
      </c>
      <c r="G39" s="19" t="s">
        <v>71</v>
      </c>
      <c r="H39" s="19" t="s">
        <v>72</v>
      </c>
      <c r="I39" s="19">
        <v>0.115</v>
      </c>
      <c r="J39" s="19">
        <v>0.115</v>
      </c>
      <c r="K39" s="19">
        <v>0.115</v>
      </c>
      <c r="L39" s="19">
        <v>0.115</v>
      </c>
      <c r="M39" s="19">
        <v>0.115</v>
      </c>
      <c r="N39" s="19">
        <v>0.115</v>
      </c>
      <c r="O39" s="19">
        <v>0.115</v>
      </c>
      <c r="P39" s="19">
        <v>0.115</v>
      </c>
      <c r="Q39" s="20"/>
      <c r="R39" s="19">
        <v>0.27100000000000002</v>
      </c>
      <c r="S39" s="19">
        <v>0.29799999999999999</v>
      </c>
      <c r="T39" s="19">
        <v>0.311</v>
      </c>
      <c r="U39" s="19">
        <v>0.32400000000000001</v>
      </c>
      <c r="V39" s="19">
        <v>0.33500000000000002</v>
      </c>
      <c r="W39" s="19">
        <v>0.34499999999999997</v>
      </c>
      <c r="X39" s="19">
        <v>0.35399999999999998</v>
      </c>
      <c r="Y39" s="19">
        <v>0.36699999999999999</v>
      </c>
    </row>
    <row r="40" spans="4:25" x14ac:dyDescent="0.35">
      <c r="D40" s="19" t="s">
        <v>109</v>
      </c>
      <c r="E40" s="19" t="s">
        <v>69</v>
      </c>
      <c r="F40" s="19" t="s">
        <v>70</v>
      </c>
      <c r="G40" s="19" t="s">
        <v>71</v>
      </c>
      <c r="H40" s="19" t="s">
        <v>72</v>
      </c>
      <c r="I40" s="19">
        <v>0.34899999999999998</v>
      </c>
      <c r="J40" s="19">
        <v>0.34899999999999998</v>
      </c>
      <c r="K40" s="19">
        <v>0.35</v>
      </c>
      <c r="L40" s="19">
        <v>0.35</v>
      </c>
      <c r="M40" s="19">
        <v>0.35</v>
      </c>
      <c r="N40" s="19">
        <v>0.35099999999999998</v>
      </c>
      <c r="O40" s="19">
        <v>0.35099999999999998</v>
      </c>
      <c r="P40" s="19">
        <v>0.35299999999999998</v>
      </c>
      <c r="Q40" s="20"/>
      <c r="R40" s="19">
        <v>1.39</v>
      </c>
      <c r="S40" s="19">
        <v>1.87</v>
      </c>
      <c r="T40" s="19">
        <v>2.4300000000000002</v>
      </c>
      <c r="U40" s="19">
        <v>3.25</v>
      </c>
      <c r="V40" s="19">
        <v>4.08</v>
      </c>
      <c r="W40" s="19">
        <v>5.16</v>
      </c>
      <c r="X40" s="19">
        <v>5.96</v>
      </c>
      <c r="Y40" s="19">
        <v>7.53</v>
      </c>
    </row>
    <row r="41" spans="4:25" x14ac:dyDescent="0.35">
      <c r="D41" s="19" t="s">
        <v>110</v>
      </c>
      <c r="E41" s="19" t="s">
        <v>69</v>
      </c>
      <c r="F41" s="19" t="s">
        <v>70</v>
      </c>
      <c r="G41" s="19" t="s">
        <v>71</v>
      </c>
      <c r="H41" s="19" t="s">
        <v>72</v>
      </c>
      <c r="I41" s="19">
        <v>1E-3</v>
      </c>
      <c r="J41" s="19">
        <v>1E-3</v>
      </c>
      <c r="K41" s="19">
        <v>1E-3</v>
      </c>
      <c r="L41" s="19">
        <v>1E-3</v>
      </c>
      <c r="M41" s="19">
        <v>1E-3</v>
      </c>
      <c r="N41" s="19">
        <v>1E-3</v>
      </c>
      <c r="O41" s="19">
        <v>1E-3</v>
      </c>
      <c r="P41" s="19">
        <v>1E-3</v>
      </c>
      <c r="Q41" s="20"/>
      <c r="R41" s="19">
        <v>5.0000000000000001E-3</v>
      </c>
      <c r="S41" s="19">
        <v>7.0000000000000001E-3</v>
      </c>
      <c r="T41" s="19">
        <v>8.0000000000000002E-3</v>
      </c>
      <c r="U41" s="19">
        <v>0.01</v>
      </c>
      <c r="V41" s="19">
        <v>1.0999999999999999E-2</v>
      </c>
      <c r="W41" s="19">
        <v>1.4E-2</v>
      </c>
      <c r="X41" s="19">
        <v>1.7000000000000001E-2</v>
      </c>
      <c r="Y41" s="19">
        <v>2.4E-2</v>
      </c>
    </row>
    <row r="42" spans="4:25" x14ac:dyDescent="0.35">
      <c r="D42" s="19" t="s">
        <v>111</v>
      </c>
      <c r="E42" s="19" t="s">
        <v>69</v>
      </c>
      <c r="F42" s="19" t="s">
        <v>70</v>
      </c>
      <c r="G42" s="19" t="s">
        <v>71</v>
      </c>
      <c r="H42" s="19" t="s">
        <v>72</v>
      </c>
      <c r="I42" s="19">
        <v>7.1999999999999995E-2</v>
      </c>
      <c r="J42" s="19">
        <v>7.1999999999999995E-2</v>
      </c>
      <c r="K42" s="19">
        <v>7.1999999999999995E-2</v>
      </c>
      <c r="L42" s="19">
        <v>7.2999999999999995E-2</v>
      </c>
      <c r="M42" s="19">
        <v>7.3999999999999996E-2</v>
      </c>
      <c r="N42" s="19">
        <v>7.4999999999999997E-2</v>
      </c>
      <c r="O42" s="19">
        <v>7.5999999999999998E-2</v>
      </c>
      <c r="P42" s="19">
        <v>7.9000000000000001E-2</v>
      </c>
      <c r="Q42" s="20"/>
      <c r="R42" s="19">
        <v>0.22700000000000001</v>
      </c>
      <c r="S42" s="19">
        <v>0.30499999999999999</v>
      </c>
      <c r="T42" s="19">
        <v>0.40899999999999997</v>
      </c>
      <c r="U42" s="19">
        <v>0.58699999999999997</v>
      </c>
      <c r="V42" s="19">
        <v>0.78400000000000003</v>
      </c>
      <c r="W42" s="19">
        <v>1.05</v>
      </c>
      <c r="X42" s="19">
        <v>1.43</v>
      </c>
      <c r="Y42" s="19">
        <v>2.68</v>
      </c>
    </row>
    <row r="43" spans="4:25" x14ac:dyDescent="0.35">
      <c r="D43" s="19" t="s">
        <v>112</v>
      </c>
      <c r="E43" s="19" t="s">
        <v>69</v>
      </c>
      <c r="F43" s="19" t="s">
        <v>70</v>
      </c>
      <c r="G43" s="19" t="s">
        <v>71</v>
      </c>
      <c r="H43" s="19" t="s">
        <v>72</v>
      </c>
      <c r="I43" s="19">
        <v>1.56</v>
      </c>
      <c r="J43" s="19">
        <v>1.56</v>
      </c>
      <c r="K43" s="19">
        <v>1.56</v>
      </c>
      <c r="L43" s="19">
        <v>1.56</v>
      </c>
      <c r="M43" s="19">
        <v>1.57</v>
      </c>
      <c r="N43" s="19">
        <v>1.57</v>
      </c>
      <c r="O43" s="19">
        <v>1.57</v>
      </c>
      <c r="P43" s="19">
        <v>1.58</v>
      </c>
      <c r="Q43" s="20"/>
      <c r="R43" s="19">
        <v>4.25</v>
      </c>
      <c r="S43" s="19">
        <v>6.21</v>
      </c>
      <c r="T43" s="19">
        <v>8.66</v>
      </c>
      <c r="U43" s="19">
        <v>12.1</v>
      </c>
      <c r="V43" s="19">
        <v>15.7</v>
      </c>
      <c r="W43" s="19">
        <v>17.3</v>
      </c>
      <c r="X43" s="19">
        <v>19.3</v>
      </c>
      <c r="Y43" s="19">
        <v>22.3</v>
      </c>
    </row>
    <row r="44" spans="4:25" x14ac:dyDescent="0.35">
      <c r="D44" s="19" t="s">
        <v>113</v>
      </c>
      <c r="E44" s="19" t="s">
        <v>69</v>
      </c>
      <c r="F44" s="19" t="s">
        <v>70</v>
      </c>
      <c r="G44" s="19" t="s">
        <v>71</v>
      </c>
      <c r="H44" s="19" t="s">
        <v>72</v>
      </c>
      <c r="I44" s="19">
        <v>0.47199999999999998</v>
      </c>
      <c r="J44" s="19">
        <v>0.47199999999999998</v>
      </c>
      <c r="K44" s="19">
        <v>0.47199999999999998</v>
      </c>
      <c r="L44" s="19">
        <v>0.47199999999999998</v>
      </c>
      <c r="M44" s="19">
        <v>0.47299999999999998</v>
      </c>
      <c r="N44" s="19">
        <v>0.47299999999999998</v>
      </c>
      <c r="O44" s="19">
        <v>0.47299999999999998</v>
      </c>
      <c r="P44" s="19">
        <v>0.47399999999999998</v>
      </c>
      <c r="Q44" s="20"/>
      <c r="R44" s="19">
        <v>1.04</v>
      </c>
      <c r="S44" s="19">
        <v>1.19</v>
      </c>
      <c r="T44" s="19">
        <v>1.32</v>
      </c>
      <c r="U44" s="19">
        <v>1.48</v>
      </c>
      <c r="V44" s="19">
        <v>1.59</v>
      </c>
      <c r="W44" s="19">
        <v>1.69</v>
      </c>
      <c r="X44" s="19">
        <v>1.82</v>
      </c>
      <c r="Y44" s="19">
        <v>2.0699999999999998</v>
      </c>
    </row>
    <row r="45" spans="4:25" x14ac:dyDescent="0.35">
      <c r="D45" s="19" t="s">
        <v>114</v>
      </c>
      <c r="E45" s="19" t="s">
        <v>69</v>
      </c>
      <c r="F45" s="19" t="s">
        <v>70</v>
      </c>
      <c r="G45" s="19" t="s">
        <v>71</v>
      </c>
      <c r="H45" s="19" t="s">
        <v>72</v>
      </c>
      <c r="I45" s="19">
        <v>0.154</v>
      </c>
      <c r="J45" s="19">
        <v>0.154</v>
      </c>
      <c r="K45" s="19">
        <v>0.154</v>
      </c>
      <c r="L45" s="19">
        <v>0.154</v>
      </c>
      <c r="M45" s="19">
        <v>0.154</v>
      </c>
      <c r="N45" s="19">
        <v>0.154</v>
      </c>
      <c r="O45" s="19">
        <v>0.154</v>
      </c>
      <c r="P45" s="19">
        <v>0.154</v>
      </c>
      <c r="Q45" s="20"/>
      <c r="R45" s="19">
        <v>0.36299999999999999</v>
      </c>
      <c r="S45" s="19">
        <v>0.39900000000000002</v>
      </c>
      <c r="T45" s="19">
        <v>0.41699999999999998</v>
      </c>
      <c r="U45" s="19">
        <v>0.434</v>
      </c>
      <c r="V45" s="19">
        <v>0.45</v>
      </c>
      <c r="W45" s="19">
        <v>0.46200000000000002</v>
      </c>
      <c r="X45" s="19">
        <v>0.47499999999999998</v>
      </c>
      <c r="Y45" s="19">
        <v>0.49199999999999999</v>
      </c>
    </row>
    <row r="46" spans="4:25" x14ac:dyDescent="0.35">
      <c r="D46" s="19" t="s">
        <v>115</v>
      </c>
      <c r="E46" s="19" t="s">
        <v>69</v>
      </c>
      <c r="F46" s="19" t="s">
        <v>70</v>
      </c>
      <c r="G46" s="19" t="s">
        <v>71</v>
      </c>
      <c r="H46" s="19" t="s">
        <v>72</v>
      </c>
      <c r="I46" s="19">
        <v>0.11700000000000001</v>
      </c>
      <c r="J46" s="19">
        <v>0.11700000000000001</v>
      </c>
      <c r="K46" s="19">
        <v>0.11700000000000001</v>
      </c>
      <c r="L46" s="19">
        <v>0.11700000000000001</v>
      </c>
      <c r="M46" s="19">
        <v>0.11799999999999999</v>
      </c>
      <c r="N46" s="19">
        <v>0.11799999999999999</v>
      </c>
      <c r="O46" s="19">
        <v>0.11799999999999999</v>
      </c>
      <c r="P46" s="19">
        <v>0.11899999999999999</v>
      </c>
      <c r="Q46" s="20"/>
      <c r="R46" s="19">
        <v>0.42199999999999999</v>
      </c>
      <c r="S46" s="19">
        <v>0.54700000000000004</v>
      </c>
      <c r="T46" s="19">
        <v>0.71899999999999997</v>
      </c>
      <c r="U46" s="19">
        <v>0.98299999999999998</v>
      </c>
      <c r="V46" s="19">
        <v>1.26</v>
      </c>
      <c r="W46" s="19">
        <v>1.58</v>
      </c>
      <c r="X46" s="19">
        <v>2.04</v>
      </c>
      <c r="Y46" s="19">
        <v>2.9</v>
      </c>
    </row>
    <row r="47" spans="4:25" x14ac:dyDescent="0.35">
      <c r="D47" s="19" t="s">
        <v>116</v>
      </c>
      <c r="E47" s="19" t="s">
        <v>69</v>
      </c>
      <c r="F47" s="19" t="s">
        <v>70</v>
      </c>
      <c r="G47" s="19" t="s">
        <v>71</v>
      </c>
      <c r="H47" s="19" t="s">
        <v>72</v>
      </c>
      <c r="I47" s="19">
        <v>9.7000000000000003E-2</v>
      </c>
      <c r="J47" s="19">
        <v>9.7000000000000003E-2</v>
      </c>
      <c r="K47" s="19">
        <v>9.7000000000000003E-2</v>
      </c>
      <c r="L47" s="19">
        <v>9.7000000000000003E-2</v>
      </c>
      <c r="M47" s="19">
        <v>9.7000000000000003E-2</v>
      </c>
      <c r="N47" s="19">
        <v>9.7000000000000003E-2</v>
      </c>
      <c r="O47" s="19">
        <v>9.7000000000000003E-2</v>
      </c>
      <c r="P47" s="19">
        <v>9.7000000000000003E-2</v>
      </c>
      <c r="Q47" s="20"/>
      <c r="R47" s="19">
        <v>0.215</v>
      </c>
      <c r="S47" s="19">
        <v>0.26300000000000001</v>
      </c>
      <c r="T47" s="19">
        <v>0.32300000000000001</v>
      </c>
      <c r="U47" s="19">
        <v>0.40899999999999997</v>
      </c>
      <c r="V47" s="19">
        <v>0.495</v>
      </c>
      <c r="W47" s="19">
        <v>0.55700000000000005</v>
      </c>
      <c r="X47" s="19">
        <v>0.63200000000000001</v>
      </c>
      <c r="Y47" s="19">
        <v>0.74399999999999999</v>
      </c>
    </row>
    <row r="48" spans="4:25" x14ac:dyDescent="0.35">
      <c r="D48" s="19" t="s">
        <v>117</v>
      </c>
      <c r="E48" s="19" t="s">
        <v>69</v>
      </c>
      <c r="F48" s="19" t="s">
        <v>70</v>
      </c>
      <c r="G48" s="19" t="s">
        <v>71</v>
      </c>
      <c r="H48" s="19" t="s">
        <v>72</v>
      </c>
      <c r="I48" s="19">
        <v>8.0000000000000002E-3</v>
      </c>
      <c r="J48" s="19">
        <v>8.0000000000000002E-3</v>
      </c>
      <c r="K48" s="19">
        <v>8.0000000000000002E-3</v>
      </c>
      <c r="L48" s="19">
        <v>8.0000000000000002E-3</v>
      </c>
      <c r="M48" s="19">
        <v>8.0000000000000002E-3</v>
      </c>
      <c r="N48" s="19">
        <v>8.0000000000000002E-3</v>
      </c>
      <c r="O48" s="19">
        <v>8.0000000000000002E-3</v>
      </c>
      <c r="P48" s="19">
        <v>8.0000000000000002E-3</v>
      </c>
      <c r="Q48" s="20"/>
      <c r="R48" s="19">
        <v>2.9000000000000001E-2</v>
      </c>
      <c r="S48" s="19">
        <v>4.1000000000000002E-2</v>
      </c>
      <c r="T48" s="19">
        <v>5.6000000000000001E-2</v>
      </c>
      <c r="U48" s="19">
        <v>7.8E-2</v>
      </c>
      <c r="V48" s="19">
        <v>0.10299999999999999</v>
      </c>
      <c r="W48" s="19">
        <v>0.13200000000000001</v>
      </c>
      <c r="X48" s="19">
        <v>0.188</v>
      </c>
      <c r="Y48" s="19">
        <v>0.23300000000000001</v>
      </c>
    </row>
    <row r="49" spans="4:34" x14ac:dyDescent="0.35">
      <c r="D49" s="19" t="s">
        <v>118</v>
      </c>
      <c r="E49" s="19" t="s">
        <v>69</v>
      </c>
      <c r="F49" s="19" t="s">
        <v>70</v>
      </c>
      <c r="G49" s="19" t="s">
        <v>71</v>
      </c>
      <c r="H49" s="19" t="s">
        <v>72</v>
      </c>
      <c r="I49" s="19">
        <v>0.124</v>
      </c>
      <c r="J49" s="19">
        <v>0.124</v>
      </c>
      <c r="K49" s="19">
        <v>0.124</v>
      </c>
      <c r="L49" s="19">
        <v>0.125</v>
      </c>
      <c r="M49" s="19">
        <v>0.125</v>
      </c>
      <c r="N49" s="19">
        <v>0.125</v>
      </c>
      <c r="O49" s="19">
        <v>0.125</v>
      </c>
      <c r="P49" s="19">
        <v>0.126</v>
      </c>
      <c r="Q49" s="20"/>
      <c r="R49" s="19">
        <v>0.46600000000000003</v>
      </c>
      <c r="S49" s="19">
        <v>0.59399999999999997</v>
      </c>
      <c r="T49" s="19">
        <v>0.73499999999999999</v>
      </c>
      <c r="U49" s="19">
        <v>0.94199999999999995</v>
      </c>
      <c r="V49" s="19">
        <v>1.19</v>
      </c>
      <c r="W49" s="19">
        <v>1.47</v>
      </c>
      <c r="X49" s="19">
        <v>1.72</v>
      </c>
      <c r="Y49" s="19">
        <v>2.02</v>
      </c>
    </row>
    <row r="50" spans="4:34" x14ac:dyDescent="0.35">
      <c r="D50" s="19" t="s">
        <v>119</v>
      </c>
      <c r="E50" s="19" t="s">
        <v>69</v>
      </c>
      <c r="F50" s="19" t="s">
        <v>70</v>
      </c>
      <c r="G50" s="19" t="s">
        <v>71</v>
      </c>
      <c r="H50" s="19" t="s">
        <v>72</v>
      </c>
      <c r="I50" s="19">
        <v>7.0000000000000001E-3</v>
      </c>
      <c r="J50" s="19">
        <v>7.0000000000000001E-3</v>
      </c>
      <c r="K50" s="19">
        <v>7.0000000000000001E-3</v>
      </c>
      <c r="L50" s="19">
        <v>7.0000000000000001E-3</v>
      </c>
      <c r="M50" s="19">
        <v>7.0000000000000001E-3</v>
      </c>
      <c r="N50" s="19">
        <v>7.0000000000000001E-3</v>
      </c>
      <c r="O50" s="19">
        <v>7.0000000000000001E-3</v>
      </c>
      <c r="P50" s="19">
        <v>7.0000000000000001E-3</v>
      </c>
      <c r="Q50" s="20"/>
      <c r="R50" s="19">
        <v>1.6E-2</v>
      </c>
      <c r="S50" s="19">
        <v>1.9E-2</v>
      </c>
      <c r="T50" s="19">
        <v>2.1999999999999999E-2</v>
      </c>
      <c r="U50" s="19">
        <v>2.5000000000000001E-2</v>
      </c>
      <c r="V50" s="19">
        <v>2.8000000000000001E-2</v>
      </c>
      <c r="W50" s="19">
        <v>3.1E-2</v>
      </c>
      <c r="X50" s="19">
        <v>3.5999999999999997E-2</v>
      </c>
      <c r="Y50" s="19">
        <v>4.2000000000000003E-2</v>
      </c>
    </row>
    <row r="53" spans="4:34" x14ac:dyDescent="0.35">
      <c r="G53" s="21" t="s">
        <v>120</v>
      </c>
    </row>
    <row r="54" spans="4:34" x14ac:dyDescent="0.35">
      <c r="H54" s="19">
        <v>2024</v>
      </c>
      <c r="I54" s="19">
        <v>2025</v>
      </c>
      <c r="J54" s="19">
        <v>2026</v>
      </c>
      <c r="K54" s="19">
        <v>2027</v>
      </c>
      <c r="L54" s="19">
        <v>2028</v>
      </c>
      <c r="M54" s="19">
        <v>2029</v>
      </c>
      <c r="N54" s="19">
        <v>2030</v>
      </c>
      <c r="O54" s="19">
        <v>2031</v>
      </c>
      <c r="P54" s="19">
        <v>2032</v>
      </c>
      <c r="Q54" s="19">
        <v>2033</v>
      </c>
      <c r="R54" s="19">
        <v>2034</v>
      </c>
      <c r="S54" s="19">
        <v>2035</v>
      </c>
      <c r="T54" s="19">
        <v>2036</v>
      </c>
      <c r="U54" s="19">
        <v>2037</v>
      </c>
      <c r="V54" s="19">
        <v>2038</v>
      </c>
      <c r="W54" s="19">
        <v>2039</v>
      </c>
      <c r="X54" s="19">
        <v>2040</v>
      </c>
      <c r="Y54" s="19">
        <v>2041</v>
      </c>
      <c r="Z54" s="19">
        <v>2042</v>
      </c>
      <c r="AA54" s="19">
        <v>2043</v>
      </c>
      <c r="AB54" s="19">
        <v>2044</v>
      </c>
      <c r="AC54" s="19">
        <v>2045</v>
      </c>
      <c r="AD54" s="19">
        <v>2046</v>
      </c>
      <c r="AE54" s="19">
        <v>2047</v>
      </c>
      <c r="AF54" s="19">
        <v>2048</v>
      </c>
      <c r="AG54" s="19">
        <v>2049</v>
      </c>
      <c r="AH54" s="19">
        <v>2050</v>
      </c>
    </row>
    <row r="55" spans="4:34" x14ac:dyDescent="0.35">
      <c r="G55" s="22" t="s">
        <v>121</v>
      </c>
      <c r="H55" s="19">
        <f>SUM(I$3:I$50)</f>
        <v>31.450000000000003</v>
      </c>
      <c r="I55" s="23">
        <f>AVERAGE(H55,J55)</f>
        <v>31.456500000000005</v>
      </c>
      <c r="J55" s="19">
        <f>SUM(J$3:J$50)</f>
        <v>31.463000000000005</v>
      </c>
      <c r="K55" s="23">
        <f>AVERAGE(J55,L55)</f>
        <v>31.465000000000003</v>
      </c>
      <c r="L55" s="19">
        <f>SUM(K$3:K$50)</f>
        <v>31.467000000000006</v>
      </c>
      <c r="M55" s="23">
        <f>AVERAGE(L55,N55)</f>
        <v>31.473500000000001</v>
      </c>
      <c r="N55" s="19">
        <f>SUM(L$3:L$50)</f>
        <v>31.48</v>
      </c>
      <c r="O55" s="23">
        <f>AVERAGE(N55,P55)</f>
        <v>31.491</v>
      </c>
      <c r="P55" s="19">
        <f>SUM(M$3:M$50)</f>
        <v>31.501999999999999</v>
      </c>
      <c r="Q55" s="23">
        <f>(S55-P55)/2+P55</f>
        <v>31.510999999999996</v>
      </c>
      <c r="R55" s="23">
        <f>(S55-P55)/2+Q55</f>
        <v>31.519999999999992</v>
      </c>
      <c r="S55" s="19">
        <f>SUM(N$3:N$50)</f>
        <v>31.519999999999992</v>
      </c>
      <c r="T55" s="23">
        <f>($X55-$S55)/4+S55</f>
        <v>31.523749999999996</v>
      </c>
      <c r="U55" s="23">
        <f t="shared" ref="U55:W55" si="0">($X55-$S55)/4+T55</f>
        <v>31.5275</v>
      </c>
      <c r="V55" s="23">
        <f t="shared" si="0"/>
        <v>31.531250000000004</v>
      </c>
      <c r="W55" s="23">
        <f t="shared" si="0"/>
        <v>31.535000000000007</v>
      </c>
      <c r="X55" s="19">
        <f>SUM(O$3:O$50)</f>
        <v>31.535000000000004</v>
      </c>
      <c r="Y55" s="23">
        <f>($AH55-$X55)/9+X55</f>
        <v>31.542111111111115</v>
      </c>
      <c r="Z55" s="23">
        <f t="shared" ref="Z55:AG55" si="1">($AH55-$X55)/9+Y55</f>
        <v>31.549222222222227</v>
      </c>
      <c r="AA55" s="23">
        <f t="shared" si="1"/>
        <v>31.556333333333338</v>
      </c>
      <c r="AB55" s="23">
        <f t="shared" si="1"/>
        <v>31.56344444444445</v>
      </c>
      <c r="AC55" s="23">
        <f t="shared" si="1"/>
        <v>31.570555555555561</v>
      </c>
      <c r="AD55" s="23">
        <f t="shared" si="1"/>
        <v>31.577666666666673</v>
      </c>
      <c r="AE55" s="23">
        <f t="shared" si="1"/>
        <v>31.584777777777784</v>
      </c>
      <c r="AF55" s="23">
        <f t="shared" si="1"/>
        <v>31.591888888888896</v>
      </c>
      <c r="AG55" s="23">
        <f t="shared" si="1"/>
        <v>31.599000000000007</v>
      </c>
      <c r="AH55" s="19">
        <f>SUM(P$3:P$50)</f>
        <v>31.599</v>
      </c>
    </row>
    <row r="56" spans="4:34" x14ac:dyDescent="0.35">
      <c r="G56" s="22" t="s">
        <v>122</v>
      </c>
      <c r="H56" s="19">
        <f>SUM(R$3:R$50)</f>
        <v>76.67</v>
      </c>
      <c r="I56" s="23">
        <f>AVERAGE(H56,J56)</f>
        <v>84.141500000000008</v>
      </c>
      <c r="J56" s="19">
        <f>SUM(S$3:S$50)</f>
        <v>91.613</v>
      </c>
      <c r="K56" s="23">
        <f>AVERAGE(J56,L56)</f>
        <v>99.218000000000004</v>
      </c>
      <c r="L56" s="19">
        <f>SUM(T$3:T$50)</f>
        <v>106.82300000000001</v>
      </c>
      <c r="M56" s="23">
        <f>AVERAGE(L56,N56)</f>
        <v>116.72550000000001</v>
      </c>
      <c r="N56" s="19">
        <f>SUM(U$3:U$50)</f>
        <v>126.62800000000003</v>
      </c>
      <c r="O56" s="23">
        <f>AVERAGE(N56,P56)</f>
        <v>136.27100000000002</v>
      </c>
      <c r="P56" s="19">
        <f>SUM(V$3:V$50)</f>
        <v>145.91399999999999</v>
      </c>
      <c r="Q56" s="23">
        <f>(S56-P56)/3+P56</f>
        <v>150.65266666666668</v>
      </c>
      <c r="R56" s="23">
        <f>(S56-P56)/3+Q56</f>
        <v>155.39133333333336</v>
      </c>
      <c r="S56" s="19">
        <f>SUM(W$3:W$50)</f>
        <v>160.13000000000002</v>
      </c>
      <c r="T56" s="23">
        <f>($X56-$S56)/5+S56</f>
        <v>163.78880000000001</v>
      </c>
      <c r="U56" s="23">
        <f t="shared" ref="U56:V56" si="2">($X56-$S56)/5+T56</f>
        <v>167.44759999999999</v>
      </c>
      <c r="V56" s="23">
        <f t="shared" si="2"/>
        <v>171.10639999999998</v>
      </c>
      <c r="W56" s="23">
        <f>($X56-$S56)/5+V56</f>
        <v>174.76519999999996</v>
      </c>
      <c r="X56" s="19">
        <f>SUM(X$3:X$50)</f>
        <v>178.42399999999995</v>
      </c>
      <c r="Y56" s="23">
        <f>($AH56-$X56)/10+X56</f>
        <v>181.37509999999995</v>
      </c>
      <c r="Z56" s="23">
        <f t="shared" ref="Z56:AG56" si="3">($AH56-$X56)/10+Y56</f>
        <v>184.32619999999994</v>
      </c>
      <c r="AA56" s="23">
        <f t="shared" si="3"/>
        <v>187.27729999999994</v>
      </c>
      <c r="AB56" s="23">
        <f t="shared" si="3"/>
        <v>190.22839999999994</v>
      </c>
      <c r="AC56" s="23">
        <f t="shared" si="3"/>
        <v>193.17949999999993</v>
      </c>
      <c r="AD56" s="23">
        <f t="shared" si="3"/>
        <v>196.13059999999993</v>
      </c>
      <c r="AE56" s="23">
        <f t="shared" si="3"/>
        <v>199.08169999999993</v>
      </c>
      <c r="AF56" s="23">
        <f t="shared" si="3"/>
        <v>202.03279999999992</v>
      </c>
      <c r="AG56" s="23">
        <f t="shared" si="3"/>
        <v>204.98389999999992</v>
      </c>
      <c r="AH56" s="19">
        <f>SUM(Y$3:Y$50)</f>
        <v>207.93499999999997</v>
      </c>
    </row>
    <row r="58" spans="4:34" x14ac:dyDescent="0.35">
      <c r="G58" s="22" t="s">
        <v>123</v>
      </c>
      <c r="H58" s="24"/>
      <c r="I58" s="25">
        <f>I55-H55</f>
        <v>6.5000000000026148E-3</v>
      </c>
      <c r="J58" s="25">
        <f t="shared" ref="J58:AH59" si="4">J55-I55</f>
        <v>6.4999999999990621E-3</v>
      </c>
      <c r="K58" s="25">
        <f t="shared" si="4"/>
        <v>1.9999999999988916E-3</v>
      </c>
      <c r="L58" s="25">
        <f t="shared" si="4"/>
        <v>2.0000000000024443E-3</v>
      </c>
      <c r="M58" s="25">
        <f t="shared" si="4"/>
        <v>6.4999999999955094E-3</v>
      </c>
      <c r="N58" s="25">
        <f t="shared" si="4"/>
        <v>6.4999999999990621E-3</v>
      </c>
      <c r="O58" s="25">
        <f t="shared" si="4"/>
        <v>1.0999999999999233E-2</v>
      </c>
      <c r="P58" s="25">
        <f t="shared" si="4"/>
        <v>1.0999999999999233E-2</v>
      </c>
      <c r="Q58" s="25">
        <f t="shared" si="4"/>
        <v>8.9999999999967883E-3</v>
      </c>
      <c r="R58" s="25">
        <f t="shared" si="4"/>
        <v>8.9999999999967883E-3</v>
      </c>
      <c r="S58" s="25">
        <f t="shared" si="4"/>
        <v>0</v>
      </c>
      <c r="T58" s="25">
        <f t="shared" si="4"/>
        <v>3.7500000000036948E-3</v>
      </c>
      <c r="U58" s="25">
        <f t="shared" si="4"/>
        <v>3.7500000000036948E-3</v>
      </c>
      <c r="V58" s="25">
        <f t="shared" si="4"/>
        <v>3.7500000000036948E-3</v>
      </c>
      <c r="W58" s="25">
        <f t="shared" si="4"/>
        <v>3.7500000000036948E-3</v>
      </c>
      <c r="X58" s="25">
        <f t="shared" si="4"/>
        <v>0</v>
      </c>
      <c r="Y58" s="25">
        <f t="shared" si="4"/>
        <v>7.1111111111115122E-3</v>
      </c>
      <c r="Z58" s="25">
        <f t="shared" si="4"/>
        <v>7.1111111111115122E-3</v>
      </c>
      <c r="AA58" s="25">
        <f t="shared" si="4"/>
        <v>7.1111111111115122E-3</v>
      </c>
      <c r="AB58" s="25">
        <f t="shared" si="4"/>
        <v>7.1111111111115122E-3</v>
      </c>
      <c r="AC58" s="25">
        <f t="shared" si="4"/>
        <v>7.1111111111115122E-3</v>
      </c>
      <c r="AD58" s="25">
        <f t="shared" si="4"/>
        <v>7.1111111111115122E-3</v>
      </c>
      <c r="AE58" s="25">
        <f t="shared" si="4"/>
        <v>7.1111111111115122E-3</v>
      </c>
      <c r="AF58" s="25">
        <f t="shared" si="4"/>
        <v>7.1111111111115122E-3</v>
      </c>
      <c r="AG58" s="25">
        <f t="shared" si="4"/>
        <v>7.1111111111115122E-3</v>
      </c>
      <c r="AH58" s="25">
        <f t="shared" si="4"/>
        <v>0</v>
      </c>
    </row>
    <row r="59" spans="4:34" x14ac:dyDescent="0.35">
      <c r="G59" s="22" t="s">
        <v>124</v>
      </c>
      <c r="I59" s="19">
        <f>I56-H56</f>
        <v>7.471500000000006</v>
      </c>
      <c r="J59" s="19">
        <f t="shared" si="4"/>
        <v>7.4714999999999918</v>
      </c>
      <c r="K59" s="19">
        <f t="shared" si="4"/>
        <v>7.605000000000004</v>
      </c>
      <c r="L59" s="19">
        <f t="shared" si="4"/>
        <v>7.605000000000004</v>
      </c>
      <c r="M59" s="19">
        <f t="shared" si="4"/>
        <v>9.9025000000000034</v>
      </c>
      <c r="N59" s="19">
        <f t="shared" si="4"/>
        <v>9.9025000000000176</v>
      </c>
      <c r="O59" s="19">
        <f t="shared" si="4"/>
        <v>9.6429999999999865</v>
      </c>
      <c r="P59" s="19">
        <f t="shared" si="4"/>
        <v>9.6429999999999723</v>
      </c>
      <c r="Q59" s="19">
        <f t="shared" si="4"/>
        <v>4.7386666666666883</v>
      </c>
      <c r="R59" s="19">
        <f t="shared" si="4"/>
        <v>4.7386666666666883</v>
      </c>
      <c r="S59" s="19">
        <f t="shared" si="4"/>
        <v>4.7386666666666599</v>
      </c>
      <c r="T59" s="19">
        <f t="shared" si="4"/>
        <v>3.6587999999999852</v>
      </c>
      <c r="U59" s="19">
        <f t="shared" si="4"/>
        <v>3.6587999999999852</v>
      </c>
      <c r="V59" s="19">
        <f t="shared" si="4"/>
        <v>3.6587999999999852</v>
      </c>
      <c r="W59" s="19">
        <f t="shared" si="4"/>
        <v>3.6587999999999852</v>
      </c>
      <c r="X59" s="19">
        <f t="shared" si="4"/>
        <v>3.6587999999999852</v>
      </c>
      <c r="Y59" s="19">
        <f t="shared" si="4"/>
        <v>2.9510999999999967</v>
      </c>
      <c r="Z59" s="19">
        <f t="shared" si="4"/>
        <v>2.9510999999999967</v>
      </c>
      <c r="AA59" s="19">
        <f t="shared" si="4"/>
        <v>2.9510999999999967</v>
      </c>
      <c r="AB59" s="19">
        <f t="shared" si="4"/>
        <v>2.9510999999999967</v>
      </c>
      <c r="AC59" s="19">
        <f t="shared" si="4"/>
        <v>2.9510999999999967</v>
      </c>
      <c r="AD59" s="19">
        <f t="shared" si="4"/>
        <v>2.9510999999999967</v>
      </c>
      <c r="AE59" s="19">
        <f t="shared" si="4"/>
        <v>2.9510999999999967</v>
      </c>
      <c r="AF59" s="19">
        <f t="shared" si="4"/>
        <v>2.9510999999999967</v>
      </c>
      <c r="AG59" s="19">
        <f t="shared" si="4"/>
        <v>2.9510999999999967</v>
      </c>
      <c r="AH59" s="19">
        <f t="shared" si="4"/>
        <v>2.9511000000000536</v>
      </c>
    </row>
    <row r="60" spans="4:34" x14ac:dyDescent="0.35">
      <c r="G60" s="19" t="s">
        <v>125</v>
      </c>
      <c r="I60" s="19">
        <f>I59-I58</f>
        <v>7.4650000000000034</v>
      </c>
      <c r="J60" s="19">
        <f t="shared" ref="J60:AH60" si="5">J59-J58</f>
        <v>7.4649999999999928</v>
      </c>
      <c r="K60" s="19">
        <f t="shared" si="5"/>
        <v>7.6030000000000051</v>
      </c>
      <c r="L60" s="19">
        <f t="shared" si="5"/>
        <v>7.6030000000000015</v>
      </c>
      <c r="M60" s="19">
        <f t="shared" si="5"/>
        <v>9.8960000000000079</v>
      </c>
      <c r="N60" s="19">
        <f t="shared" si="5"/>
        <v>9.8960000000000186</v>
      </c>
      <c r="O60" s="19">
        <f t="shared" si="5"/>
        <v>9.6319999999999872</v>
      </c>
      <c r="P60" s="19">
        <f t="shared" si="5"/>
        <v>9.631999999999973</v>
      </c>
      <c r="Q60" s="19">
        <f t="shared" si="5"/>
        <v>4.7296666666666916</v>
      </c>
      <c r="R60" s="19">
        <f t="shared" si="5"/>
        <v>4.7296666666666916</v>
      </c>
      <c r="S60" s="19">
        <f t="shared" si="5"/>
        <v>4.7386666666666599</v>
      </c>
      <c r="T60" s="19">
        <f t="shared" si="5"/>
        <v>3.6550499999999815</v>
      </c>
      <c r="U60" s="19">
        <f t="shared" si="5"/>
        <v>3.6550499999999815</v>
      </c>
      <c r="V60" s="19">
        <f t="shared" si="5"/>
        <v>3.6550499999999815</v>
      </c>
      <c r="W60" s="19">
        <f t="shared" si="5"/>
        <v>3.6550499999999815</v>
      </c>
      <c r="X60" s="19">
        <f t="shared" si="5"/>
        <v>3.6587999999999852</v>
      </c>
      <c r="Y60" s="19">
        <f t="shared" si="5"/>
        <v>2.9439888888888852</v>
      </c>
      <c r="Z60" s="19">
        <f t="shared" si="5"/>
        <v>2.9439888888888852</v>
      </c>
      <c r="AA60" s="19">
        <f t="shared" si="5"/>
        <v>2.9439888888888852</v>
      </c>
      <c r="AB60" s="19">
        <f t="shared" si="5"/>
        <v>2.9439888888888852</v>
      </c>
      <c r="AC60" s="19">
        <f t="shared" si="5"/>
        <v>2.9439888888888852</v>
      </c>
      <c r="AD60" s="19">
        <f t="shared" si="5"/>
        <v>2.9439888888888852</v>
      </c>
      <c r="AE60" s="19">
        <f t="shared" si="5"/>
        <v>2.9439888888888852</v>
      </c>
      <c r="AF60" s="19">
        <f t="shared" si="5"/>
        <v>2.9439888888888852</v>
      </c>
      <c r="AG60" s="19">
        <f t="shared" si="5"/>
        <v>2.9439888888888852</v>
      </c>
      <c r="AH60" s="19">
        <f t="shared" si="5"/>
        <v>2.9511000000000536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B25"/>
  <sheetViews>
    <sheetView workbookViewId="0">
      <selection activeCell="B8" sqref="B8:G8"/>
    </sheetView>
  </sheetViews>
  <sheetFormatPr defaultColWidth="8.7265625" defaultRowHeight="14.5" x14ac:dyDescent="0.35"/>
  <cols>
    <col min="1" max="1" width="23.453125" customWidth="1"/>
    <col min="2" max="28" width="9.54296875" bestFit="1" customWidth="1"/>
  </cols>
  <sheetData>
    <row r="1" spans="1:28" x14ac:dyDescent="0.35">
      <c r="A1" t="s">
        <v>17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x14ac:dyDescent="0.35">
      <c r="A2" t="s">
        <v>11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5">
      <c r="A3" t="s">
        <v>18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5">
      <c r="A4" t="s">
        <v>19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5">
      <c r="A5" t="s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5">
      <c r="A6" t="s">
        <v>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5">
      <c r="A7" t="s">
        <v>12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5">
      <c r="A8" t="s">
        <v>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f>'REPEAT dist solar data'!N60*About!$B$34*About!$A$30</f>
        <v>7928.5211505922307</v>
      </c>
      <c r="I8">
        <f>'REPEAT dist solar data'!O60*About!$B$34*About!$A$30</f>
        <v>7717.0084602368761</v>
      </c>
      <c r="J8">
        <f>'REPEAT dist solar data'!P60*About!$B$34*About!$A$30</f>
        <v>7717.0084602368643</v>
      </c>
      <c r="K8">
        <f>'REPEAT dist solar data'!Q60*About!$B$34*About!$A$30</f>
        <v>3789.3353073886269</v>
      </c>
      <c r="L8">
        <f>'REPEAT dist solar data'!R60*About!$B$34*About!$A$30</f>
        <v>3789.3353073886269</v>
      </c>
      <c r="M8">
        <f>'REPEAT dist solar data'!S60*About!$B$34*About!$A$30</f>
        <v>3796.5459672870784</v>
      </c>
      <c r="N8">
        <f>'REPEAT dist solar data'!T60*About!$B$34*About!$A$30</f>
        <v>2928.3691624365333</v>
      </c>
      <c r="O8">
        <f>'REPEAT dist solar data'!U60*About!$B$34*About!$A$30</f>
        <v>2928.3691624365333</v>
      </c>
      <c r="P8">
        <f>'REPEAT dist solar data'!V60*About!$B$34*About!$A$30</f>
        <v>2928.3691624365333</v>
      </c>
      <c r="Q8">
        <f>'REPEAT dist solar data'!W60*About!$B$34*About!$A$30</f>
        <v>2928.3691624365333</v>
      </c>
      <c r="R8">
        <f>'REPEAT dist solar data'!X60*About!$B$34*About!$A$30</f>
        <v>2931.3736040609019</v>
      </c>
      <c r="S8">
        <f>'REPEAT dist solar data'!Y60*About!$B$34*About!$A$30</f>
        <v>2358.6780691859344</v>
      </c>
      <c r="T8">
        <f>'REPEAT dist solar data'!Z60*About!$B$34*About!$A$30</f>
        <v>2358.6780691859344</v>
      </c>
      <c r="U8">
        <f>'REPEAT dist solar data'!AA60*About!$B$34*About!$A$30</f>
        <v>2358.6780691859344</v>
      </c>
      <c r="V8">
        <f>'REPEAT dist solar data'!AB60*About!$B$34*About!$A$30</f>
        <v>2358.6780691859344</v>
      </c>
      <c r="W8">
        <f>'REPEAT dist solar data'!AC60*About!$B$34*About!$A$30</f>
        <v>2358.6780691859344</v>
      </c>
      <c r="X8">
        <f>'REPEAT dist solar data'!AD60*About!$B$34*About!$A$30</f>
        <v>2358.6780691859344</v>
      </c>
      <c r="Y8">
        <f>'REPEAT dist solar data'!AE60*About!$B$34*About!$A$30</f>
        <v>2358.6780691859344</v>
      </c>
      <c r="Z8">
        <f>'REPEAT dist solar data'!AF60*About!$B$34*About!$A$30</f>
        <v>2358.6780691859344</v>
      </c>
      <c r="AA8">
        <f>'REPEAT dist solar data'!AG60*About!$B$34*About!$A$30</f>
        <v>2358.6780691859344</v>
      </c>
      <c r="AB8">
        <f>'REPEAT dist solar data'!AH60*About!$B$34*About!$A$30</f>
        <v>2364.3753807107028</v>
      </c>
    </row>
    <row r="9" spans="1:28" x14ac:dyDescent="0.35">
      <c r="A9" t="s">
        <v>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5">
      <c r="A10" t="s">
        <v>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5">
      <c r="A11" t="s">
        <v>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5">
      <c r="A12" t="s">
        <v>6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5">
      <c r="A13" t="s">
        <v>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5">
      <c r="A14" t="s">
        <v>10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5">
      <c r="A15" t="s">
        <v>13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5">
      <c r="A16" t="s">
        <v>14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5">
      <c r="A17" t="s">
        <v>15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5">
      <c r="A18" t="s">
        <v>16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5">
      <c r="A19" s="7" t="s">
        <v>20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5">
      <c r="A20" s="7" t="s">
        <v>21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5">
      <c r="A21" s="7" t="s">
        <v>22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5">
      <c r="A22" s="7" t="s">
        <v>23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5">
      <c r="A23" s="7" t="s">
        <v>24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5">
      <c r="A24" s="8" t="s">
        <v>25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5">
      <c r="A25" s="8" t="s">
        <v>26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B25"/>
  <sheetViews>
    <sheetView workbookViewId="0">
      <selection activeCell="B8" sqref="B8:G8"/>
    </sheetView>
  </sheetViews>
  <sheetFormatPr defaultColWidth="8.7265625" defaultRowHeight="14.5" x14ac:dyDescent="0.35"/>
  <cols>
    <col min="1" max="1" width="23.453125" customWidth="1"/>
    <col min="2" max="28" width="9.54296875" bestFit="1" customWidth="1"/>
  </cols>
  <sheetData>
    <row r="1" spans="1:28" x14ac:dyDescent="0.35">
      <c r="A1" t="s">
        <v>17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x14ac:dyDescent="0.35">
      <c r="A2" t="s">
        <v>11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5">
      <c r="A3" t="s">
        <v>18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5">
      <c r="A4" t="s">
        <v>19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5">
      <c r="A5" t="s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5">
      <c r="A6" t="s">
        <v>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5">
      <c r="A7" t="s">
        <v>12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5">
      <c r="A8" t="s">
        <v>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f>'REPEAT dist solar data'!N60*About!$B$34*About!$A$31</f>
        <v>1967.478849407787</v>
      </c>
      <c r="I8">
        <f>'REPEAT dist solar data'!O60*About!$B$34*About!$A$31</f>
        <v>1914.9915397631107</v>
      </c>
      <c r="J8">
        <f>'REPEAT dist solar data'!P60*About!$B$34*About!$A$31</f>
        <v>1914.991539763108</v>
      </c>
      <c r="K8">
        <f>'REPEAT dist solar data'!Q60*About!$B$34*About!$A$31</f>
        <v>940.33135927806472</v>
      </c>
      <c r="L8">
        <f>'REPEAT dist solar data'!R60*About!$B$34*About!$A$31</f>
        <v>940.33135927806472</v>
      </c>
      <c r="M8">
        <f>'REPEAT dist solar data'!S60*About!$B$34*About!$A$31</f>
        <v>942.1206993795812</v>
      </c>
      <c r="N8">
        <f>'REPEAT dist solar data'!T60*About!$B$34*About!$A$31</f>
        <v>726.68083756344811</v>
      </c>
      <c r="O8">
        <f>'REPEAT dist solar data'!U60*About!$B$34*About!$A$31</f>
        <v>726.68083756344811</v>
      </c>
      <c r="P8">
        <f>'REPEAT dist solar data'!V60*About!$B$34*About!$A$31</f>
        <v>726.68083756344811</v>
      </c>
      <c r="Q8">
        <f>'REPEAT dist solar data'!W60*About!$B$34*About!$A$31</f>
        <v>726.68083756344811</v>
      </c>
      <c r="R8">
        <f>'REPEAT dist solar data'!X60*About!$B$34*About!$A$31</f>
        <v>727.42639593908336</v>
      </c>
      <c r="S8">
        <f>'REPEAT dist solar data'!Y60*About!$B$34*About!$A$31</f>
        <v>585.31081970295099</v>
      </c>
      <c r="T8">
        <f>'REPEAT dist solar data'!Z60*About!$B$34*About!$A$31</f>
        <v>585.31081970295099</v>
      </c>
      <c r="U8">
        <f>'REPEAT dist solar data'!AA60*About!$B$34*About!$A$31</f>
        <v>585.31081970295099</v>
      </c>
      <c r="V8">
        <f>'REPEAT dist solar data'!AB60*About!$B$34*About!$A$31</f>
        <v>585.31081970295099</v>
      </c>
      <c r="W8">
        <f>'REPEAT dist solar data'!AC60*About!$B$34*About!$A$31</f>
        <v>585.31081970295099</v>
      </c>
      <c r="X8">
        <f>'REPEAT dist solar data'!AD60*About!$B$34*About!$A$31</f>
        <v>585.31081970295099</v>
      </c>
      <c r="Y8">
        <f>'REPEAT dist solar data'!AE60*About!$B$34*About!$A$31</f>
        <v>585.31081970295099</v>
      </c>
      <c r="Z8">
        <f>'REPEAT dist solar data'!AF60*About!$B$34*About!$A$31</f>
        <v>585.31081970295099</v>
      </c>
      <c r="AA8">
        <f>'REPEAT dist solar data'!AG60*About!$B$34*About!$A$31</f>
        <v>585.31081970295099</v>
      </c>
      <c r="AB8">
        <f>'REPEAT dist solar data'!AH60*About!$B$34*About!$A$31</f>
        <v>586.7246192893507</v>
      </c>
    </row>
    <row r="9" spans="1:28" x14ac:dyDescent="0.35">
      <c r="A9" t="s">
        <v>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5">
      <c r="A10" t="s">
        <v>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5">
      <c r="A11" t="s">
        <v>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5">
      <c r="A12" t="s">
        <v>6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5">
      <c r="A13" t="s">
        <v>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5">
      <c r="A14" t="s">
        <v>10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5">
      <c r="A15" t="s">
        <v>13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5">
      <c r="A16" t="s">
        <v>14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5">
      <c r="A17" t="s">
        <v>15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5">
      <c r="A18" t="s">
        <v>16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5">
      <c r="A19" s="7" t="s">
        <v>20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5">
      <c r="A20" s="7" t="s">
        <v>21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5">
      <c r="A21" s="7" t="s">
        <v>22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5">
      <c r="A22" s="7" t="s">
        <v>23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5">
      <c r="A23" s="7" t="s">
        <v>24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5">
      <c r="A24" s="8" t="s">
        <v>25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5">
      <c r="A25" s="8" t="s">
        <v>26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B25"/>
  <sheetViews>
    <sheetView workbookViewId="0">
      <selection activeCell="D2" sqref="B2:D25"/>
    </sheetView>
  </sheetViews>
  <sheetFormatPr defaultColWidth="8.7265625" defaultRowHeight="14.5" x14ac:dyDescent="0.35"/>
  <cols>
    <col min="1" max="1" width="23.453125" customWidth="1"/>
    <col min="2" max="28" width="9.54296875" bestFit="1" customWidth="1"/>
  </cols>
  <sheetData>
    <row r="1" spans="1:28" x14ac:dyDescent="0.35">
      <c r="A1" t="s">
        <v>17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x14ac:dyDescent="0.35">
      <c r="A2" t="s">
        <v>11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5">
      <c r="A3" t="s">
        <v>18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5">
      <c r="A4" t="s">
        <v>19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5">
      <c r="A5" t="s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5">
      <c r="A6" t="s">
        <v>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5">
      <c r="A7" t="s">
        <v>12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5">
      <c r="A8" t="s">
        <v>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5">
      <c r="A9" t="s">
        <v>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5">
      <c r="A10" t="s">
        <v>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5">
      <c r="A11" t="s">
        <v>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5">
      <c r="A12" t="s">
        <v>6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5">
      <c r="A13" t="s">
        <v>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5">
      <c r="A14" t="s">
        <v>10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5">
      <c r="A15" t="s">
        <v>13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5">
      <c r="A16" t="s">
        <v>14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5">
      <c r="A17" t="s">
        <v>15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5">
      <c r="A18" t="s">
        <v>16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5">
      <c r="A19" s="7" t="s">
        <v>20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5">
      <c r="A20" s="7" t="s">
        <v>21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5">
      <c r="A21" s="7" t="s">
        <v>22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5">
      <c r="A22" s="7" t="s">
        <v>23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5">
      <c r="A23" s="7" t="s">
        <v>24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5">
      <c r="A24" s="8" t="s">
        <v>25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5">
      <c r="A25" s="8" t="s">
        <v>26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4</vt:i4>
      </vt:variant>
    </vt:vector>
  </HeadingPairs>
  <TitlesOfParts>
    <vt:vector size="9" baseType="lpstr">
      <vt:lpstr>About</vt:lpstr>
      <vt:lpstr>REPEAT dist solar data</vt:lpstr>
      <vt:lpstr>CiDESCTY-urban-residential</vt:lpstr>
      <vt:lpstr>CiDESCTY-rural-residential</vt:lpstr>
      <vt:lpstr>CiDESCTY-commercial</vt:lpstr>
      <vt:lpstr>billion_kw_to_MW</vt:lpstr>
      <vt:lpstr>gigwatt_to_megawatt</vt:lpstr>
      <vt:lpstr>Percent_rural</vt:lpstr>
      <vt:lpstr>Percent_Urban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Megan Mahajan</cp:lastModifiedBy>
  <dcterms:created xsi:type="dcterms:W3CDTF">2016-01-26T19:10:58Z</dcterms:created>
  <dcterms:modified xsi:type="dcterms:W3CDTF">2026-02-03T17:28:13Z</dcterms:modified>
</cp:coreProperties>
</file>