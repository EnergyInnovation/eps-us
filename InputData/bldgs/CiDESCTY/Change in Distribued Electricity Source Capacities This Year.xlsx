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C:\Users\OliviaAshmoore\Documents\Github Repos\claude-aeo-2026\input data\bldgs\CiDESCTY\"/>
    </mc:Choice>
  </mc:AlternateContent>
  <xr:revisionPtr revIDLastSave="0" documentId="13_ncr:1_{3004A51C-3B5D-4DFE-9E91-BE844A9972D5}" xr6:coauthVersionLast="47" xr6:coauthVersionMax="47" xr10:uidLastSave="{00000000-0000-0000-0000-000000000000}"/>
  <bookViews>
    <workbookView xWindow="-120" yWindow="-120" windowWidth="29040" windowHeight="17520" tabRatio="714" firstSheet="12" activeTab="13" xr2:uid="{78C42925-BD2F-4DDC-9C55-3AA1D702B622}"/>
  </bookViews>
  <sheets>
    <sheet name="About" sheetId="1" r:id="rId1"/>
    <sheet name="Source Data&gt;" sheetId="23" r:id="rId2"/>
    <sheet name="AEO23_Table_21._Residential" sheetId="19" r:id="rId3"/>
    <sheet name="AEO25_Table_21._Residential" sheetId="21" r:id="rId4"/>
    <sheet name="AEO23_table_22._Comm" sheetId="20" r:id="rId5"/>
    <sheet name="AEO25_Table_22._Commercial" sheetId="22" r:id="rId6"/>
    <sheet name="RECS HC2.1" sheetId="8" r:id="rId7"/>
    <sheet name="Calcs&gt;" sheetId="24" r:id="rId8"/>
    <sheet name="Calculations" sheetId="13" r:id="rId9"/>
    <sheet name="Inflation Reduction Act" sheetId="18" r:id="rId10"/>
    <sheet name="BDESC-urban-residential" sheetId="6" r:id="rId11"/>
    <sheet name="BDESC-rural-residential" sheetId="10" r:id="rId12"/>
    <sheet name="BDESC-commercial" sheetId="7" r:id="rId13"/>
    <sheet name="CiDESCTY-urban-residential" sheetId="26" r:id="rId14"/>
    <sheet name="CiDESCTY-rural-residential" sheetId="27" r:id="rId15"/>
    <sheet name="CiDESCTY-commercial" sheetId="28" r:id="rId16"/>
    <sheet name="AEO26_Table_22._Commercial" sheetId="30" r:id="rId17"/>
    <sheet name="AEO26_Table_21._Residential" sheetId="29" r:id="rId18"/>
  </sheets>
  <externalReferences>
    <externalReference r:id="rId19"/>
    <externalReference r:id="rId20"/>
    <externalReference r:id="rId21"/>
    <externalReference r:id="rId22"/>
  </externalReferences>
  <definedNames>
    <definedName name="billion_kw_to_MW">About!$B$30</definedName>
    <definedName name="CH4_to_CO2e">'[1]Cross-Page Data'!$C$12</definedName>
    <definedName name="cpi_2010to2012">#REF!</definedName>
    <definedName name="cpi_2013to2012">#REF!</definedName>
    <definedName name="cpi_2014to2012">#REF!</definedName>
    <definedName name="cpi_2016to2012">#REF!</definedName>
    <definedName name="dollars_2020_2012">[2]About!$A$113</definedName>
    <definedName name="dollars_2022_2012">[2]About!$A$111</definedName>
    <definedName name="gigwatt_to_megawatt">About!$B$31</definedName>
    <definedName name="gigwatts_to_megawatts">[3]About!$A$31</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N2O_to_CO2e">'[1]Cross-Page Data'!$C$13</definedName>
    <definedName name="Percent_rural">About!$A$28</definedName>
    <definedName name="Percent_Urban">About!$A$27</definedName>
    <definedName name="unit_conv">[4]About!$A$123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112" i="13" l="1"/>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AE67" i="13"/>
  <c r="AD67" i="13"/>
  <c r="AC67" i="13"/>
  <c r="AB67" i="13"/>
  <c r="AA67" i="13"/>
  <c r="Z67" i="13"/>
  <c r="Y67" i="13"/>
  <c r="X67" i="13"/>
  <c r="W67" i="13"/>
  <c r="V67" i="13"/>
  <c r="U67" i="13"/>
  <c r="T67" i="13"/>
  <c r="S67" i="13"/>
  <c r="R67" i="13"/>
  <c r="Q67" i="13"/>
  <c r="P67" i="13"/>
  <c r="O67" i="13"/>
  <c r="N67" i="13"/>
  <c r="M67" i="13"/>
  <c r="L67" i="13"/>
  <c r="K67" i="13"/>
  <c r="J67" i="13"/>
  <c r="I67" i="13"/>
  <c r="H67" i="13"/>
  <c r="G67" i="13"/>
  <c r="F67" i="13"/>
  <c r="AE66" i="13"/>
  <c r="AD66" i="13"/>
  <c r="AC66" i="13"/>
  <c r="AB66" i="13"/>
  <c r="AA66" i="13"/>
  <c r="Z66" i="13"/>
  <c r="Y66" i="13"/>
  <c r="X66" i="13"/>
  <c r="W66" i="13"/>
  <c r="V66" i="13"/>
  <c r="U66" i="13"/>
  <c r="T66" i="13"/>
  <c r="S66" i="13"/>
  <c r="R66" i="13"/>
  <c r="Q66" i="13"/>
  <c r="P66" i="13"/>
  <c r="O66" i="13"/>
  <c r="N66" i="13"/>
  <c r="M66" i="13"/>
  <c r="L66" i="13"/>
  <c r="K66" i="13"/>
  <c r="J66" i="13"/>
  <c r="I66" i="13"/>
  <c r="H66" i="13"/>
  <c r="G66" i="13"/>
  <c r="F66" i="13"/>
  <c r="AE63" i="13"/>
  <c r="AD63" i="13"/>
  <c r="AC63" i="13"/>
  <c r="AB63" i="13"/>
  <c r="AA63" i="13"/>
  <c r="Z63" i="13"/>
  <c r="Y63" i="13"/>
  <c r="X63" i="13"/>
  <c r="W63" i="13"/>
  <c r="V63" i="13"/>
  <c r="U63" i="13"/>
  <c r="T63" i="13"/>
  <c r="S63" i="13"/>
  <c r="R63" i="13"/>
  <c r="Q63" i="13"/>
  <c r="P63" i="13"/>
  <c r="O63" i="13"/>
  <c r="N63" i="13"/>
  <c r="M63" i="13"/>
  <c r="L63" i="13"/>
  <c r="K63" i="13"/>
  <c r="J63" i="13"/>
  <c r="I63" i="13"/>
  <c r="H63" i="13"/>
  <c r="G63" i="13"/>
  <c r="F63" i="13"/>
  <c r="AE48" i="13"/>
  <c r="AD48" i="13"/>
  <c r="AC48" i="13"/>
  <c r="AB48" i="13"/>
  <c r="AA48" i="13"/>
  <c r="Z48" i="13"/>
  <c r="Y48" i="13"/>
  <c r="X48" i="13"/>
  <c r="W48" i="13"/>
  <c r="V48" i="13"/>
  <c r="U48" i="13"/>
  <c r="T48" i="13"/>
  <c r="S48" i="13"/>
  <c r="R48" i="13"/>
  <c r="Q48" i="13"/>
  <c r="P48" i="13"/>
  <c r="O48" i="13"/>
  <c r="N48" i="13"/>
  <c r="M48" i="13"/>
  <c r="L48" i="13"/>
  <c r="K48" i="13"/>
  <c r="J48" i="13"/>
  <c r="I48" i="13"/>
  <c r="H48" i="13"/>
  <c r="G48" i="13"/>
  <c r="F48" i="13"/>
  <c r="AE47" i="13"/>
  <c r="AD47" i="13"/>
  <c r="AC47" i="13"/>
  <c r="AB47" i="13"/>
  <c r="AA47" i="13"/>
  <c r="Z47" i="13"/>
  <c r="Y47" i="13"/>
  <c r="X47" i="13"/>
  <c r="W47" i="13"/>
  <c r="V47" i="13"/>
  <c r="U47" i="13"/>
  <c r="T47" i="13"/>
  <c r="S47" i="13"/>
  <c r="R47" i="13"/>
  <c r="Q47" i="13"/>
  <c r="P47" i="13"/>
  <c r="O47" i="13"/>
  <c r="N47" i="13"/>
  <c r="M47" i="13"/>
  <c r="L47" i="13"/>
  <c r="K47" i="13"/>
  <c r="J47" i="13"/>
  <c r="I47" i="13"/>
  <c r="H47" i="13"/>
  <c r="G47" i="13"/>
  <c r="F47" i="13"/>
  <c r="AE44" i="13"/>
  <c r="AD44" i="13"/>
  <c r="AC44" i="13"/>
  <c r="AB44" i="13"/>
  <c r="AA44" i="13"/>
  <c r="Z44" i="13"/>
  <c r="Y44" i="13"/>
  <c r="X44" i="13"/>
  <c r="W44" i="13"/>
  <c r="V44" i="13"/>
  <c r="U44" i="13"/>
  <c r="T44" i="13"/>
  <c r="S44" i="13"/>
  <c r="R44" i="13"/>
  <c r="Q44" i="13"/>
  <c r="P44" i="13"/>
  <c r="O44" i="13"/>
  <c r="N44" i="13"/>
  <c r="M44" i="13"/>
  <c r="L44" i="13"/>
  <c r="K44" i="13"/>
  <c r="J44" i="13"/>
  <c r="I44" i="13"/>
  <c r="H44" i="13"/>
  <c r="G44" i="13"/>
  <c r="F44" i="13"/>
  <c r="AE29" i="13"/>
  <c r="AD29" i="13"/>
  <c r="AC29" i="13"/>
  <c r="AB29" i="13"/>
  <c r="AA29" i="13"/>
  <c r="Z29" i="13"/>
  <c r="Y29" i="13"/>
  <c r="X29" i="13"/>
  <c r="W29" i="13"/>
  <c r="V29" i="13"/>
  <c r="U29" i="13"/>
  <c r="T29" i="13"/>
  <c r="S29" i="13"/>
  <c r="R29" i="13"/>
  <c r="Q29" i="13"/>
  <c r="P29" i="13"/>
  <c r="O29" i="13"/>
  <c r="N29" i="13"/>
  <c r="M29" i="13"/>
  <c r="L29" i="13"/>
  <c r="K29" i="13"/>
  <c r="J29" i="13"/>
  <c r="I29" i="13"/>
  <c r="H29" i="13"/>
  <c r="G29" i="13"/>
  <c r="F29" i="13"/>
  <c r="AE28" i="13"/>
  <c r="AD28" i="13"/>
  <c r="AC28" i="13"/>
  <c r="AB28" i="13"/>
  <c r="AA28" i="13"/>
  <c r="Z28" i="13"/>
  <c r="Y28" i="13"/>
  <c r="X28" i="13"/>
  <c r="W28" i="13"/>
  <c r="V28" i="13"/>
  <c r="U28" i="13"/>
  <c r="T28" i="13"/>
  <c r="S28" i="13"/>
  <c r="R28" i="13"/>
  <c r="Q28" i="13"/>
  <c r="P28" i="13"/>
  <c r="O28" i="13"/>
  <c r="N28" i="13"/>
  <c r="M28" i="13"/>
  <c r="L28" i="13"/>
  <c r="K28" i="13"/>
  <c r="J28" i="13"/>
  <c r="I28" i="13"/>
  <c r="H28" i="13"/>
  <c r="G28" i="13"/>
  <c r="F28" i="13"/>
  <c r="AE25" i="13"/>
  <c r="AD25" i="13"/>
  <c r="AC25" i="13"/>
  <c r="AB25" i="13"/>
  <c r="AA25" i="13"/>
  <c r="Z25" i="13"/>
  <c r="Y25" i="13"/>
  <c r="X25" i="13"/>
  <c r="W25" i="13"/>
  <c r="V25" i="13"/>
  <c r="U25" i="13"/>
  <c r="T25" i="13"/>
  <c r="S25" i="13"/>
  <c r="R25" i="13"/>
  <c r="Q25" i="13"/>
  <c r="P25" i="13"/>
  <c r="O25" i="13"/>
  <c r="N25" i="13"/>
  <c r="M25" i="13"/>
  <c r="L25" i="13"/>
  <c r="K25" i="13"/>
  <c r="J25" i="13"/>
  <c r="I25" i="13"/>
  <c r="H25" i="13"/>
  <c r="G25" i="13"/>
  <c r="F25" i="13"/>
  <c r="AE10" i="13"/>
  <c r="AD10" i="13"/>
  <c r="AC10" i="13"/>
  <c r="AB10" i="13"/>
  <c r="AA10" i="13"/>
  <c r="Z10" i="13"/>
  <c r="Y10" i="13"/>
  <c r="X10" i="13"/>
  <c r="W10" i="13"/>
  <c r="V10" i="13"/>
  <c r="U10" i="13"/>
  <c r="T10" i="13"/>
  <c r="S10" i="13"/>
  <c r="R10" i="13"/>
  <c r="Q10" i="13"/>
  <c r="P10" i="13"/>
  <c r="O10" i="13"/>
  <c r="N10" i="13"/>
  <c r="M10" i="13"/>
  <c r="L10" i="13"/>
  <c r="K10" i="13"/>
  <c r="J10" i="13"/>
  <c r="I10" i="13"/>
  <c r="H10" i="13"/>
  <c r="G10" i="13"/>
  <c r="F10" i="13"/>
  <c r="AE9" i="13"/>
  <c r="AD9" i="13"/>
  <c r="AC9" i="13"/>
  <c r="AB9" i="13"/>
  <c r="AA9" i="13"/>
  <c r="Z9" i="13"/>
  <c r="Y9" i="13"/>
  <c r="X9" i="13"/>
  <c r="W9" i="13"/>
  <c r="V9" i="13"/>
  <c r="U9" i="13"/>
  <c r="T9" i="13"/>
  <c r="S9" i="13"/>
  <c r="R9" i="13"/>
  <c r="Q9" i="13"/>
  <c r="P9" i="13"/>
  <c r="O9" i="13"/>
  <c r="N9" i="13"/>
  <c r="M9" i="13"/>
  <c r="L9" i="13"/>
  <c r="K9" i="13"/>
  <c r="J9" i="13"/>
  <c r="I9" i="13"/>
  <c r="H9" i="13"/>
  <c r="G9" i="13"/>
  <c r="F9" i="13"/>
  <c r="AE6" i="13"/>
  <c r="AD6" i="13"/>
  <c r="AC6" i="13"/>
  <c r="AB6" i="13"/>
  <c r="AA6" i="13"/>
  <c r="Z6" i="13"/>
  <c r="Y6" i="13"/>
  <c r="X6" i="13"/>
  <c r="W6" i="13"/>
  <c r="V6" i="13"/>
  <c r="U6" i="13"/>
  <c r="T6" i="13"/>
  <c r="S6" i="13"/>
  <c r="R6" i="13"/>
  <c r="Q6" i="13"/>
  <c r="P6" i="13"/>
  <c r="O6" i="13"/>
  <c r="N6" i="13"/>
  <c r="M6" i="13"/>
  <c r="L6" i="13"/>
  <c r="K6" i="13"/>
  <c r="J6" i="13"/>
  <c r="I6" i="13"/>
  <c r="H6" i="13"/>
  <c r="G6" i="13"/>
  <c r="F6" i="13"/>
  <c r="G8" i="27"/>
  <c r="F8" i="27"/>
  <c r="E8" i="27"/>
  <c r="D8" i="27"/>
  <c r="C8" i="27"/>
  <c r="G8" i="26"/>
  <c r="F8" i="26"/>
  <c r="E8" i="26"/>
  <c r="D8" i="26"/>
  <c r="C8" i="26"/>
  <c r="D58" i="18"/>
  <c r="B58" i="18" l="1"/>
  <c r="B4" i="6"/>
  <c r="B4" i="10"/>
  <c r="B5" i="10"/>
  <c r="B6" i="10"/>
  <c r="B9" i="10"/>
  <c r="B10" i="10"/>
  <c r="B11" i="10"/>
  <c r="B12" i="10"/>
  <c r="B13" i="10"/>
  <c r="B14" i="10"/>
  <c r="B15" i="10"/>
  <c r="B16" i="10"/>
  <c r="B17" i="10"/>
  <c r="B18" i="10"/>
  <c r="D92" i="13" l="1"/>
  <c r="D88" i="13"/>
  <c r="D87" i="13"/>
  <c r="D84" i="13"/>
  <c r="E92" i="13"/>
  <c r="E88" i="13"/>
  <c r="E87" i="13"/>
  <c r="E84" i="13"/>
  <c r="B57" i="18" l="1"/>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C58" i="18" l="1"/>
  <c r="E58" i="18" l="1"/>
  <c r="U7" i="7"/>
  <c r="M7" i="7"/>
  <c r="B8" i="7"/>
  <c r="Q8" i="7"/>
  <c r="Z8" i="7"/>
  <c r="H8" i="7"/>
  <c r="E8" i="7"/>
  <c r="W7" i="7"/>
  <c r="V7" i="7"/>
  <c r="R12" i="7"/>
  <c r="J12" i="7"/>
  <c r="F8" i="7"/>
  <c r="G8" i="7"/>
  <c r="L8" i="7"/>
  <c r="C8" i="7"/>
  <c r="C12" i="7"/>
  <c r="J7" i="7"/>
  <c r="Q12" i="7"/>
  <c r="K7" i="7"/>
  <c r="R8" i="7"/>
  <c r="V12" i="7"/>
  <c r="T7" i="7"/>
  <c r="AA7" i="7"/>
  <c r="AB7" i="7"/>
  <c r="AB12" i="7"/>
  <c r="L7" i="7"/>
  <c r="J8" i="7"/>
  <c r="W12" i="7"/>
  <c r="P8" i="7"/>
  <c r="K8" i="7"/>
  <c r="M12" i="7"/>
  <c r="Y7" i="7"/>
  <c r="Y12" i="7"/>
  <c r="O7" i="7"/>
  <c r="O12" i="7"/>
  <c r="R7" i="7"/>
  <c r="Z7" i="7"/>
  <c r="Z12" i="7"/>
  <c r="P7" i="7"/>
  <c r="P12" i="7"/>
  <c r="M8" i="7"/>
  <c r="T12" i="7"/>
  <c r="AA12" i="7"/>
  <c r="Q7" i="7"/>
  <c r="Y8" i="7"/>
  <c r="O8" i="7"/>
  <c r="U12" i="7"/>
  <c r="AB8" i="7"/>
  <c r="AA8" i="7"/>
  <c r="K12" i="7"/>
  <c r="B12" i="7"/>
  <c r="L12" i="7"/>
  <c r="E12" i="7"/>
  <c r="G12" i="7"/>
  <c r="H12" i="7"/>
  <c r="F12" i="7"/>
  <c r="U8" i="7"/>
  <c r="T8" i="7"/>
  <c r="V8" i="7"/>
  <c r="W8" i="7"/>
  <c r="C7" i="7"/>
  <c r="E7" i="7"/>
  <c r="F7" i="7"/>
  <c r="G7" i="7"/>
  <c r="H7" i="7"/>
  <c r="B7" i="7"/>
  <c r="D7" i="7"/>
  <c r="N12" i="7"/>
  <c r="X8" i="7"/>
  <c r="B2" i="7"/>
  <c r="C2" i="7"/>
  <c r="D2" i="7"/>
  <c r="E2" i="7"/>
  <c r="F2" i="7"/>
  <c r="G2" i="7"/>
  <c r="H2" i="7"/>
  <c r="I2" i="7"/>
  <c r="J2" i="7"/>
  <c r="K2" i="7"/>
  <c r="L2" i="7"/>
  <c r="M2" i="7"/>
  <c r="N2" i="7"/>
  <c r="O2" i="7"/>
  <c r="P2" i="7"/>
  <c r="Q2" i="7"/>
  <c r="R2" i="7"/>
  <c r="S2" i="7"/>
  <c r="T2" i="7"/>
  <c r="U2" i="7"/>
  <c r="V2" i="7"/>
  <c r="W2" i="7"/>
  <c r="X2" i="7"/>
  <c r="Y2" i="7"/>
  <c r="Z2" i="7"/>
  <c r="AA2" i="7"/>
  <c r="AB2" i="7"/>
  <c r="AC2" i="7"/>
  <c r="D4" i="7"/>
  <c r="I4" i="7"/>
  <c r="N4" i="7"/>
  <c r="S4" i="7"/>
  <c r="X4" i="7"/>
  <c r="AC4" i="7"/>
  <c r="B5" i="7"/>
  <c r="C5" i="7"/>
  <c r="D5" i="7"/>
  <c r="E5" i="7"/>
  <c r="F5" i="7"/>
  <c r="G5" i="7"/>
  <c r="H5" i="7"/>
  <c r="I5" i="7"/>
  <c r="J5" i="7"/>
  <c r="K5" i="7"/>
  <c r="L5" i="7"/>
  <c r="M5" i="7"/>
  <c r="N5" i="7"/>
  <c r="O5" i="7"/>
  <c r="P5" i="7"/>
  <c r="Q5" i="7"/>
  <c r="R5" i="7"/>
  <c r="S5" i="7"/>
  <c r="T5" i="7"/>
  <c r="U5" i="7"/>
  <c r="V5" i="7"/>
  <c r="W5" i="7"/>
  <c r="X5" i="7"/>
  <c r="Y5" i="7"/>
  <c r="Z5" i="7"/>
  <c r="AA5" i="7"/>
  <c r="AB5" i="7"/>
  <c r="AC5" i="7"/>
  <c r="B6" i="7"/>
  <c r="C6" i="7"/>
  <c r="D6" i="7"/>
  <c r="E6" i="7"/>
  <c r="F6" i="7"/>
  <c r="G6" i="7"/>
  <c r="H6" i="7"/>
  <c r="I6" i="7"/>
  <c r="J6" i="7"/>
  <c r="K6" i="7"/>
  <c r="L6" i="7"/>
  <c r="M6" i="7"/>
  <c r="N6" i="7"/>
  <c r="O6" i="7"/>
  <c r="P6" i="7"/>
  <c r="Q6" i="7"/>
  <c r="R6" i="7"/>
  <c r="S6" i="7"/>
  <c r="T6" i="7"/>
  <c r="U6" i="7"/>
  <c r="V6" i="7"/>
  <c r="W6" i="7"/>
  <c r="X6" i="7"/>
  <c r="Y6" i="7"/>
  <c r="Z6" i="7"/>
  <c r="AA6" i="7"/>
  <c r="AB6" i="7"/>
  <c r="AC6" i="7"/>
  <c r="I7" i="7"/>
  <c r="N7" i="7"/>
  <c r="S7" i="7"/>
  <c r="X7" i="7"/>
  <c r="D8" i="7"/>
  <c r="I8" i="7"/>
  <c r="N8" i="7"/>
  <c r="S8" i="7"/>
  <c r="B9" i="7"/>
  <c r="C9" i="7"/>
  <c r="D9" i="7"/>
  <c r="E9" i="7"/>
  <c r="F9" i="7"/>
  <c r="G9" i="7"/>
  <c r="H9" i="7"/>
  <c r="I9" i="7"/>
  <c r="J9" i="7"/>
  <c r="K9" i="7"/>
  <c r="L9" i="7"/>
  <c r="M9" i="7"/>
  <c r="N9" i="7"/>
  <c r="O9" i="7"/>
  <c r="P9" i="7"/>
  <c r="Q9" i="7"/>
  <c r="R9" i="7"/>
  <c r="S9" i="7"/>
  <c r="T9" i="7"/>
  <c r="U9" i="7"/>
  <c r="V9" i="7"/>
  <c r="W9" i="7"/>
  <c r="X9" i="7"/>
  <c r="Y9" i="7"/>
  <c r="Z9" i="7"/>
  <c r="AA9" i="7"/>
  <c r="AB9" i="7"/>
  <c r="AC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D12" i="7"/>
  <c r="I12" i="7"/>
  <c r="S12" i="7"/>
  <c r="X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C7" i="7"/>
  <c r="AC8" i="7"/>
  <c r="AC12" i="7"/>
  <c r="F58" i="18" l="1"/>
  <c r="B30" i="1"/>
  <c r="E108" i="13" l="1"/>
  <c r="E112" i="13"/>
  <c r="D112" i="13"/>
  <c r="D108" i="13"/>
  <c r="E107" i="13"/>
  <c r="D107" i="13"/>
  <c r="E104" i="13"/>
  <c r="D104" i="13"/>
  <c r="G58" i="18"/>
  <c r="A28" i="1"/>
  <c r="A27" i="1"/>
  <c r="D59" i="18" l="1"/>
  <c r="B59" i="18"/>
  <c r="F59" i="18"/>
  <c r="Y8" i="6"/>
  <c r="Q8" i="6"/>
  <c r="I8" i="6"/>
  <c r="AC7" i="6"/>
  <c r="U7" i="6"/>
  <c r="M7" i="6"/>
  <c r="E7" i="6"/>
  <c r="Y4" i="6"/>
  <c r="Q4" i="6"/>
  <c r="I4" i="6"/>
  <c r="AC8" i="6"/>
  <c r="Y7" i="6"/>
  <c r="AC4" i="6"/>
  <c r="X8" i="6"/>
  <c r="P8" i="6"/>
  <c r="H8" i="6"/>
  <c r="AB7" i="6"/>
  <c r="T7" i="6"/>
  <c r="L7" i="6"/>
  <c r="D7" i="6"/>
  <c r="X4" i="6"/>
  <c r="P4" i="6"/>
  <c r="H4" i="6"/>
  <c r="E6" i="13"/>
  <c r="AA121" i="13"/>
  <c r="U8" i="6"/>
  <c r="I7" i="6"/>
  <c r="E4" i="6"/>
  <c r="W8" i="6"/>
  <c r="O8" i="6"/>
  <c r="G8" i="6"/>
  <c r="AA7" i="6"/>
  <c r="S7" i="6"/>
  <c r="K7" i="6"/>
  <c r="E47" i="13"/>
  <c r="C7" i="6" s="1"/>
  <c r="W4" i="6"/>
  <c r="O4" i="6"/>
  <c r="G4" i="6"/>
  <c r="D10" i="13"/>
  <c r="M8" i="6"/>
  <c r="Q7" i="6"/>
  <c r="M4" i="6"/>
  <c r="E10" i="13"/>
  <c r="J59" i="18"/>
  <c r="J64" i="18" s="1"/>
  <c r="V8" i="6"/>
  <c r="N8" i="6"/>
  <c r="F8" i="6"/>
  <c r="Z7" i="6"/>
  <c r="R7" i="6"/>
  <c r="J7" i="6"/>
  <c r="D47" i="13"/>
  <c r="B7" i="6" s="1"/>
  <c r="V4" i="6"/>
  <c r="N4" i="6"/>
  <c r="F4" i="6"/>
  <c r="D9" i="13"/>
  <c r="E9" i="13"/>
  <c r="E8" i="6"/>
  <c r="U4" i="6"/>
  <c r="AB8" i="6"/>
  <c r="T8" i="6"/>
  <c r="L8" i="6"/>
  <c r="X7" i="6"/>
  <c r="P7" i="6"/>
  <c r="H7" i="6"/>
  <c r="AB4" i="6"/>
  <c r="T4" i="6"/>
  <c r="L4" i="6"/>
  <c r="D4" i="6"/>
  <c r="I59" i="18"/>
  <c r="R8" i="6"/>
  <c r="D48" i="13"/>
  <c r="N7" i="6"/>
  <c r="Z4" i="6"/>
  <c r="AA8" i="6"/>
  <c r="S8" i="6"/>
  <c r="K8" i="6"/>
  <c r="E48" i="13"/>
  <c r="W7" i="6"/>
  <c r="O7" i="6"/>
  <c r="G7" i="6"/>
  <c r="AA4" i="6"/>
  <c r="S4" i="6"/>
  <c r="K4" i="6"/>
  <c r="E44" i="13"/>
  <c r="C4" i="6" s="1"/>
  <c r="Z8" i="6"/>
  <c r="J8" i="6"/>
  <c r="V7" i="6"/>
  <c r="F7" i="6"/>
  <c r="R4" i="6"/>
  <c r="J4" i="6"/>
  <c r="V8" i="10"/>
  <c r="N8" i="10"/>
  <c r="F8" i="10"/>
  <c r="Z7" i="10"/>
  <c r="R7" i="10"/>
  <c r="J7" i="10"/>
  <c r="D66" i="13"/>
  <c r="B7" i="10" s="1"/>
  <c r="N4" i="10"/>
  <c r="E29" i="13"/>
  <c r="E25" i="13"/>
  <c r="J8" i="10"/>
  <c r="F7" i="10"/>
  <c r="E28" i="13"/>
  <c r="AC8" i="10"/>
  <c r="U8" i="10"/>
  <c r="M8" i="10"/>
  <c r="E8" i="10"/>
  <c r="I7" i="10"/>
  <c r="AC4" i="10"/>
  <c r="U4" i="10"/>
  <c r="M4" i="10"/>
  <c r="D29" i="13"/>
  <c r="D67" i="13"/>
  <c r="Z4" i="10"/>
  <c r="AB8" i="10"/>
  <c r="T8" i="10"/>
  <c r="L8" i="10"/>
  <c r="P7" i="10"/>
  <c r="H7" i="10"/>
  <c r="AB4" i="10"/>
  <c r="T4" i="10"/>
  <c r="D4" i="10"/>
  <c r="R8" i="10"/>
  <c r="N7" i="10"/>
  <c r="J4" i="10"/>
  <c r="AA8" i="10"/>
  <c r="S8" i="10"/>
  <c r="K8" i="10"/>
  <c r="E67" i="13"/>
  <c r="W7" i="10"/>
  <c r="O7" i="10"/>
  <c r="G7" i="10"/>
  <c r="AA4" i="10"/>
  <c r="S4" i="10"/>
  <c r="K4" i="10"/>
  <c r="E63" i="13"/>
  <c r="C4" i="10" s="1"/>
  <c r="Z8" i="10"/>
  <c r="V7" i="10"/>
  <c r="R4" i="10"/>
  <c r="Y8" i="10"/>
  <c r="Q8" i="10"/>
  <c r="I8" i="10"/>
  <c r="AC7" i="10"/>
  <c r="U7" i="10"/>
  <c r="M7" i="10"/>
  <c r="E7" i="10"/>
  <c r="Y4" i="10"/>
  <c r="Q4" i="10"/>
  <c r="D28" i="13"/>
  <c r="O8" i="10"/>
  <c r="AA7" i="10"/>
  <c r="K7" i="10"/>
  <c r="W4" i="10"/>
  <c r="G4" i="10"/>
  <c r="X8" i="10"/>
  <c r="P8" i="10"/>
  <c r="H8" i="10"/>
  <c r="AB7" i="10"/>
  <c r="L7" i="10"/>
  <c r="D7" i="10"/>
  <c r="X4" i="10"/>
  <c r="P4" i="10"/>
  <c r="H4" i="10"/>
  <c r="W8" i="10"/>
  <c r="G8" i="10"/>
  <c r="S7" i="10"/>
  <c r="E66" i="13"/>
  <c r="C7" i="10" s="1"/>
  <c r="O4" i="10"/>
  <c r="B60" i="18"/>
  <c r="C60" i="18"/>
  <c r="D60" i="18"/>
  <c r="D65" i="18" s="1"/>
  <c r="E60" i="18"/>
  <c r="E65" i="18" s="1"/>
  <c r="C59" i="18"/>
  <c r="E59" i="18"/>
  <c r="E64" i="18" s="1"/>
  <c r="F60" i="18"/>
  <c r="F65" i="18" s="1"/>
  <c r="G59" i="18"/>
  <c r="G64" i="18" s="1"/>
  <c r="G60" i="18"/>
  <c r="G65" i="18" s="1"/>
  <c r="H58" i="18"/>
  <c r="J121" i="13"/>
  <c r="AB121" i="13"/>
  <c r="E4" i="10"/>
  <c r="T7" i="10"/>
  <c r="F4" i="10"/>
  <c r="V4" i="10"/>
  <c r="I4" i="10"/>
  <c r="X7" i="10"/>
  <c r="Q7" i="10"/>
  <c r="Y7" i="10"/>
  <c r="L4" i="10"/>
  <c r="C65" i="18" l="1"/>
  <c r="Z121" i="13"/>
  <c r="F64" i="18"/>
  <c r="C64" i="18"/>
  <c r="D64" i="18"/>
  <c r="D121" i="13"/>
  <c r="P121" i="13"/>
  <c r="D8" i="6"/>
  <c r="B8" i="10"/>
  <c r="B8" i="6"/>
  <c r="C8" i="6"/>
  <c r="Y121" i="13"/>
  <c r="I121" i="13"/>
  <c r="G61" i="18" s="1"/>
  <c r="R121" i="13"/>
  <c r="Q121" i="13"/>
  <c r="D8" i="10"/>
  <c r="C8" i="10"/>
  <c r="X121" i="13"/>
  <c r="K121" i="13"/>
  <c r="T121" i="13"/>
  <c r="L121" i="13"/>
  <c r="S121" i="13"/>
  <c r="W121" i="13"/>
  <c r="H121" i="13"/>
  <c r="O121" i="13"/>
  <c r="AC121" i="13"/>
  <c r="G121" i="13"/>
  <c r="E61" i="18" s="1"/>
  <c r="U121" i="13"/>
  <c r="M121" i="13"/>
  <c r="B61" i="18"/>
  <c r="AD121" i="13"/>
  <c r="E121" i="13"/>
  <c r="C61" i="18" s="1"/>
  <c r="V121" i="13"/>
  <c r="N121" i="13"/>
  <c r="AE121" i="13"/>
  <c r="F121" i="13"/>
  <c r="D62" i="18" s="1"/>
  <c r="B62" i="18"/>
  <c r="H59" i="18"/>
  <c r="H64" i="18" s="1"/>
  <c r="H60" i="18"/>
  <c r="H65" i="18" s="1"/>
  <c r="I58" i="18"/>
  <c r="T4" i="7"/>
  <c r="H4" i="7"/>
  <c r="AA4" i="7"/>
  <c r="G4" i="7"/>
  <c r="P4" i="7"/>
  <c r="F4" i="7"/>
  <c r="M4" i="7"/>
  <c r="Q4" i="7"/>
  <c r="L4" i="7"/>
  <c r="W4" i="7"/>
  <c r="K4" i="7"/>
  <c r="V4" i="7"/>
  <c r="J4" i="7"/>
  <c r="U4" i="7"/>
  <c r="R4" i="7"/>
  <c r="O4" i="7"/>
  <c r="Y4" i="7"/>
  <c r="Z4" i="7"/>
  <c r="AB4" i="7"/>
  <c r="E4" i="7"/>
  <c r="C4" i="7"/>
  <c r="B4" i="7"/>
  <c r="I64" i="18" l="1"/>
  <c r="G62" i="18"/>
  <c r="E62" i="18"/>
  <c r="D61" i="18"/>
  <c r="C62" i="18"/>
  <c r="F62" i="18"/>
  <c r="F61" i="18"/>
  <c r="I60" i="18"/>
  <c r="I65" i="18" s="1"/>
  <c r="J58" i="18"/>
  <c r="H62" i="18"/>
  <c r="H61" i="18"/>
  <c r="J60" i="18" l="1"/>
  <c r="J65" i="18" s="1"/>
  <c r="K58" i="18"/>
  <c r="I61" i="18"/>
  <c r="I62" i="18"/>
  <c r="K60" i="18" l="1"/>
  <c r="K65" i="18" s="1"/>
  <c r="K59" i="18"/>
  <c r="K64" i="18" s="1"/>
  <c r="L58" i="18"/>
  <c r="J61" i="18"/>
  <c r="J62" i="18"/>
  <c r="L59" i="18" l="1"/>
  <c r="L64" i="18" s="1"/>
  <c r="L60" i="18"/>
  <c r="L65" i="18" s="1"/>
  <c r="M58" i="18"/>
  <c r="K61" i="18"/>
  <c r="K62" i="18"/>
  <c r="L61" i="18" l="1"/>
  <c r="M59" i="18"/>
  <c r="M64" i="18" s="1"/>
  <c r="M60" i="18"/>
  <c r="M65" i="18" s="1"/>
  <c r="N58" i="18"/>
  <c r="L62" i="18"/>
  <c r="N59" i="18" l="1"/>
  <c r="N64" i="18" s="1"/>
  <c r="N60" i="18"/>
  <c r="N65" i="18" s="1"/>
  <c r="O58" i="18"/>
  <c r="M62" i="18"/>
  <c r="M61" i="18"/>
  <c r="O59" i="18" l="1"/>
  <c r="O64" i="18" s="1"/>
  <c r="O60" i="18"/>
  <c r="O65" i="18" s="1"/>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<sst xmlns="http://schemas.openxmlformats.org/spreadsheetml/2006/main" count="2615" uniqueCount="1080">
  <si>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</si>
  <si>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</si>
  <si>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</si>
  <si>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</si>
  <si>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</si>
  <si>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</si>
  <si>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</si>
  <si>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</si>
  <si>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</si>
  <si>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</si>
  <si>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</si>
  <si>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</si>
  <si>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</si>
  <si>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</si>
  <si>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</si>
  <si>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</si>
  <si>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</si>
  <si>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</si>
  <si>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</si>
  <si>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</si>
  <si>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</si>
  <si>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</si>
  <si>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</si>
  <si>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</si>
  <si>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</si>
  <si>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</si>
  <si>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</si>
  <si>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</si>
  <si>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</si>
  <si>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</si>
  <si>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</si>
  <si>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</si>
  <si>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</si>
  <si>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</si>
  <si>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</si>
  <si>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</si>
  <si>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</si>
  <si>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</si>
  <si>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</si>
  <si>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</si>
  <si>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</si>
  <si>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</si>
  <si>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</si>
  <si>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</si>
  <si>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</si>
  <si>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</si>
  <si>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</si>
  <si>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</si>
  <si>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</si>
  <si>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</si>
  <si>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</si>
  <si>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</si>
  <si>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</si>
  <si>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</si>
  <si>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</si>
  <si>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</si>
  <si>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</si>
  <si>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</si>
  <si>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</si>
  <si>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</si>
  <si>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</si>
  <si>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</si>
  <si>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</si>
  <si>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</si>
  <si>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</si>
  <si>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</si>
  <si>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</si>
  <si>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</si>
  <si>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</si>
  <si>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</si>
  <si>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</si>
  <si>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</si>
  <si>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</si>
  <si>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</si>
  <si>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</si>
  <si>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</si>
  <si>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</si>
  <si>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</si>
  <si>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</si>
  <si>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</si>
  <si>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</si>
  <si>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</si>
  <si>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</si>
  <si>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</si>
  <si>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</si>
  <si>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</si>
  <si>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</si>
  <si>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</si>
  <si>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</si>
  <si>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</si>
  <si>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</si>
  <si>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</si>
  <si>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</si>
  <si>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</si>
  <si>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</si>
  <si>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</si>
  <si>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</si>
  <si>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</si>
  <si>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</si>
  <si>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</si>
  <si>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</si>
  <si>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</si>
  <si>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</si>
  <si>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</si>
  <si>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</si>
  <si>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</si>
  <si>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</si>
  <si>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</si>
  <si>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</si>
  <si>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</si>
  <si>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</si>
  <si>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</si>
  <si>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</si>
  <si>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</si>
  <si>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</si>
  <si>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</si>
  <si>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</si>
  <si>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</si>
  <si>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</si>
  <si>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</si>
  <si>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</si>
  <si>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</si>
  <si>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</si>
  <si>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</si>
  <si>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</si>
  <si>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</si>
  <si>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</si>
  <si>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</si>
  <si>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</si>
  <si>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</si>
  <si>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</si>
  <si>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</si>
  <si>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</si>
  <si>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</si>
  <si>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</si>
  <si>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</si>
  <si>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</si>
  <si>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</si>
  <si>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</si>
  <si>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</si>
  <si>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</si>
  <si>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</si>
  <si>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</si>
  <si>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</si>
  <si>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</si>
  <si>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</si>
  <si>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</si>
  <si>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</si>
  <si>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</si>
  <si>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</si>
  <si>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</si>
  <si>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</si>
  <si>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</si>
  <si>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</si>
  <si>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</si>
  <si>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</si>
  <si>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</si>
  <si>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</si>
  <si>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</si>
  <si>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</si>
  <si>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</si>
  <si>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</si>
  <si>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</si>
  <si>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</si>
  <si>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</si>
  <si>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</si>
  <si>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</si>
  <si>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</si>
  <si>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</si>
  <si>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</si>
  <si>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</si>
  <si>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</si>
  <si>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</si>
  <si>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</si>
  <si>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</si>
  <si>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</si>
  <si>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Table 21.  Residential Sector Equipment Stock and Efficiency, and Distributed Generation</t>
  </si>
  <si>
    <t>Source: U.S. Energy Information Administration</t>
  </si>
  <si>
    <t>full name</t>
  </si>
  <si>
    <t>api key</t>
  </si>
  <si>
    <t>units</t>
  </si>
  <si>
    <t>Main Space Heaters</t>
  </si>
  <si>
    <t>Electric Heat Pumps</t>
  </si>
  <si>
    <t>millions</t>
  </si>
  <si>
    <t>Electric Other</t>
  </si>
  <si>
    <t>Natural Gas Heat Pumps</t>
  </si>
  <si>
    <t>Natural Gas Other</t>
  </si>
  <si>
    <t>Distillate Fuel Oil</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</si>
  <si>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</si>
  <si>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</si>
  <si>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</si>
  <si>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</si>
  <si>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</si>
  <si>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</si>
  <si>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</si>
  <si>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</si>
  <si>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</si>
  <si>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</si>
  <si>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</si>
  <si>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</si>
  <si>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</si>
  <si>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</si>
  <si>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</si>
  <si>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</si>
  <si>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</si>
  <si>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</si>
  <si>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</si>
  <si>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</si>
  <si>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</si>
  <si>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</si>
  <si>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</si>
  <si>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</si>
  <si>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</si>
  <si>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</si>
  <si>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</si>
  <si>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</si>
  <si>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</si>
  <si>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</si>
  <si>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</si>
  <si>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</si>
  <si>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</si>
  <si>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</si>
  <si>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</si>
  <si>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</si>
  <si>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</si>
  <si>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</si>
  <si>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</si>
  <si>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</si>
  <si>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</si>
  <si>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</si>
  <si>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Pre-2015 Homes</t>
  </si>
  <si>
    <t>2015=1.00</t>
  </si>
  <si>
    <t>New Construction</t>
  </si>
  <si>
    <t>All Homes</t>
  </si>
  <si>
    <t>Distributed Generation and</t>
  </si>
  <si>
    <t>Combined Heat and Power</t>
  </si>
  <si>
    <t>Natural Gas Fuel Cells</t>
  </si>
  <si>
    <t>GW</t>
  </si>
  <si>
    <t>Solar Photovoltaic</t>
  </si>
  <si>
    <t>Wind</t>
  </si>
  <si>
    <t>billion kWh</t>
  </si>
  <si>
    <t>Disposition</t>
  </si>
  <si>
    <t>Sales to the Grid</t>
  </si>
  <si>
    <t>Generation for Own Use</t>
  </si>
  <si>
    <t>Energy Input (trillion Btu)</t>
  </si>
  <si>
    <t>trillion Btu</t>
  </si>
  <si>
    <t>Table 22.  Commercial Sector Energy Consumption, Floorspace, Equipment Efficiency, and Distributed Generation</t>
  </si>
  <si>
    <t>Energy Consumption (quadrillion Btu)</t>
  </si>
  <si>
    <t>Assembly</t>
  </si>
  <si>
    <t>quads</t>
  </si>
  <si>
    <t>Education</t>
  </si>
  <si>
    <t>Food Sales</t>
  </si>
  <si>
    <t>Food Service</t>
  </si>
  <si>
    <t>Health Care</t>
  </si>
  <si>
    <t>Lodging</t>
  </si>
  <si>
    <t>Office - Large</t>
  </si>
  <si>
    <t>Office - Small</t>
  </si>
  <si>
    <t>Mercantile/Service</t>
  </si>
  <si>
    <t>Warehouse</t>
  </si>
  <si>
    <t>Other</t>
  </si>
  <si>
    <t>(billion square feet)</t>
  </si>
  <si>
    <t>billion sq ft</t>
  </si>
  <si>
    <t>Btu Out/Btu In</t>
  </si>
  <si>
    <t>Water Heating</t>
  </si>
  <si>
    <t>Ventilation (cubic feet per minute per Btu)</t>
  </si>
  <si>
    <t>cu ft/minute/Btu</t>
  </si>
  <si>
    <t>Cooking</t>
  </si>
  <si>
    <t>Lighting Efficacy</t>
  </si>
  <si>
    <t>(efficacy in lumens per watt)</t>
  </si>
  <si>
    <t>lumens/watt</t>
  </si>
  <si>
    <t>Refrigeration</t>
  </si>
  <si>
    <t>Petroleum</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</si>
  <si>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</si>
  <si>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</si>
  <si>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</si>
  <si>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</si>
  <si>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</si>
  <si>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</si>
  <si>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</si>
  <si>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</si>
  <si>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</si>
  <si>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</si>
  <si>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</si>
  <si>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</si>
  <si>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</si>
  <si>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</si>
  <si>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</si>
  <si>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</si>
  <si>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</si>
  <si>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</si>
  <si>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</si>
  <si>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</si>
  <si>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</si>
  <si>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</si>
  <si>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</si>
  <si>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</si>
  <si>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</si>
  <si>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</si>
  <si>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</si>
  <si>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</si>
  <si>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</si>
  <si>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- 2021-2050</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</si>
  <si>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</si>
  <si>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</si>
  <si>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</si>
  <si>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</si>
  <si>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</si>
  <si>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</si>
  <si>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</si>
  <si>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</si>
  <si>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</si>
  <si>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</si>
  <si>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</si>
  <si>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</si>
  <si>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</si>
  <si>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</si>
  <si>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</si>
  <si>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</si>
  <si>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</si>
  <si>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</si>
  <si>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</si>
  <si>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</si>
  <si>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</si>
  <si>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</si>
  <si>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</si>
  <si>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</si>
  <si>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</si>
  <si>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</si>
  <si>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</si>
  <si>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</si>
  <si>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</si>
  <si>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</si>
  <si>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</si>
  <si>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</si>
  <si>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</si>
  <si>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</si>
  <si>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</si>
  <si>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</si>
  <si>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</si>
  <si>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</si>
  <si>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</si>
  <si>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</si>
  <si>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</si>
  <si>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</si>
  <si>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</si>
  <si>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</si>
  <si>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</si>
  <si>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</si>
  <si>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</si>
  <si>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</si>
  <si>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</si>
  <si>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</si>
  <si>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</si>
  <si>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</si>
  <si>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</si>
  <si>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</si>
  <si>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</si>
  <si>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</si>
  <si>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</si>
  <si>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</si>
  <si>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</si>
  <si>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</si>
  <si>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</si>
  <si>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</si>
  <si>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</si>
  <si>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</si>
  <si>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</si>
  <si>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</si>
  <si>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</si>
  <si>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</si>
  <si>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</si>
  <si>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</si>
  <si>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</si>
  <si>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</si>
  <si>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</si>
  <si>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</si>
  <si>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</si>
  <si>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</si>
  <si>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</si>
  <si>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</si>
  <si>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</si>
  <si>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</si>
  <si>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</si>
  <si>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</si>
  <si>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</si>
  <si>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</si>
  <si>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</si>
  <si>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</si>
  <si>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</si>
  <si>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</si>
  <si>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</si>
  <si>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</si>
  <si>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</si>
  <si>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</si>
  <si>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</si>
  <si>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</si>
  <si>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</si>
  <si>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</si>
  <si>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</si>
  <si>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</si>
  <si>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</si>
  <si>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</si>
  <si>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</si>
  <si>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</si>
  <si>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</si>
  <si>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</si>
  <si>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</si>
  <si>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</si>
  <si>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</si>
  <si>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</si>
  <si>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</si>
  <si>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</si>
  <si>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</si>
  <si>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</si>
  <si>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</si>
  <si>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</si>
  <si>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</si>
  <si>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</si>
  <si>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</si>
  <si>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</si>
  <si>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</si>
  <si>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</si>
  <si>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</si>
  <si>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</si>
  <si>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</si>
  <si>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</si>
  <si>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</si>
  <si>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</si>
  <si>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</si>
  <si>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</si>
  <si>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</si>
  <si>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</si>
  <si>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</si>
  <si>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</si>
  <si>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</si>
  <si>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</si>
  <si>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</si>
  <si>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</si>
  <si>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</si>
  <si>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</si>
  <si>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</si>
  <si>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</si>
  <si>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</si>
  <si>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</si>
  <si>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</si>
  <si>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</si>
  <si>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</si>
  <si>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</si>
  <si>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</si>
  <si>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</si>
  <si>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</si>
  <si>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</si>
  <si>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</si>
  <si>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</si>
  <si>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</si>
  <si>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</si>
  <si>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</si>
  <si>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</si>
  <si>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</si>
  <si>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</si>
  <si>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</si>
  <si>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</si>
  <si>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</si>
  <si>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</si>
  <si>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</si>
  <si>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</si>
  <si>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</si>
  <si>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</si>
  <si>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</si>
  <si>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</si>
  <si>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</si>
  <si>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</si>
  <si>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</si>
  <si>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</si>
  <si>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</si>
  <si>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</si>
  <si>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</si>
  <si>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</si>
  <si>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</si>
  <si>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</si>
  <si>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</si>
  <si>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</si>
  <si>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</si>
  <si>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</si>
  <si>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</si>
  <si>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</si>
  <si>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</si>
  <si>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</si>
  <si>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</si>
  <si>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</si>
  <si>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</si>
  <si>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</si>
  <si>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</si>
  <si>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</si>
  <si>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</si>
  <si>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</si>
  <si>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</si>
  <si>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</si>
  <si>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</si>
  <si>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</si>
  <si>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</si>
  <si>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</si>
  <si>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</si>
  <si>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</si>
  <si>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</si>
  <si>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</si>
  <si>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</si>
  <si>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</si>
  <si>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</si>
  <si>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</si>
  <si>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</si>
  <si>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</si>
  <si>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</si>
  <si>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</si>
  <si>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</si>
  <si>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</si>
  <si>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</si>
  <si>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</si>
  <si>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</si>
  <si>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</si>
  <si>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</si>
  <si>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</si>
  <si>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</si>
  <si>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</si>
  <si>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</si>
  <si>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</si>
  <si>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</si>
  <si>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</si>
  <si>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</si>
  <si>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</si>
  <si>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</si>
  <si>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</si>
  <si>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</si>
  <si>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</si>
  <si>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</si>
  <si>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</si>
  <si>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</si>
  <si>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</si>
  <si>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</si>
  <si>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</si>
  <si>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</si>
  <si>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</si>
  <si>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</si>
  <si>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</si>
  <si>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</si>
  <si>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</si>
  <si>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</si>
  <si>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</si>
  <si>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</si>
  <si>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</si>
  <si>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</si>
  <si>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</si>
  <si>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</si>
  <si>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</si>
  <si>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</si>
  <si>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</si>
  <si>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</si>
  <si>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</si>
  <si>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</si>
  <si>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</si>
  <si>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</si>
  <si>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</si>
  <si>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</si>
  <si>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</si>
  <si>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</si>
  <si>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</si>
  <si>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</si>
  <si>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</si>
  <si>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</si>
  <si>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</si>
  <si>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</si>
  <si>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</si>
  <si>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</si>
  <si>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</si>
  <si>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</si>
  <si>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</si>
  <si>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</si>
  <si>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</si>
  <si>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</si>
  <si>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</si>
  <si>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AEO.2025.HIGHZTC.CNSM_NA_COMM_CHP_TOT_NA_NA_TRLBTU.A</t>
  </si>
  <si>
    <t>Residential: Combined Heat and Power: Energy Input: Total: High Zero-Carbon Technology Cost</t>
  </si>
  <si>
    <t>AEO.2025.HIGHZTC.CNSM_NA_COMM_CHP_WND_NA_NA_TRLBTU.A</t>
  </si>
  <si>
    <t>Residential: Combined Heat and Power: Energy Input: Wind: High Zero-Carbon Technology Cost</t>
  </si>
  <si>
    <t>AEO.2025.HIGHZTC.CNSM_NA_COMM_CHP_SLR_PHTVL_NA_TRLBTU.A</t>
  </si>
  <si>
    <t>Residential: Combined Heat and Power: Energy Input: Solar Photovoltaic: High Zero-Carbon Technology Cost</t>
  </si>
  <si>
    <t>AEO.2025.HIGHZTC.CNSM_NA_COMM_CHP_FCL_NA_NA_TRLBTU.A</t>
  </si>
  <si>
    <t>Residential: Combined Heat and Power: Energy Input: Fuel Cells: High Zero-Carbon Technology Cost</t>
  </si>
  <si>
    <t>AEO.2025.HIGHZTC.GEN_NA_COMM_CHP_GFO_NA_NA_MILLKWH.A</t>
  </si>
  <si>
    <t>Residential: Combined Heat and Power: Net Generation: Generation for Own Use: High Zero-Carbon Technology Cost</t>
  </si>
  <si>
    <t>AEO.2025.HIGHZTC.GEN_NA_COMM_CHP_STG_NA_NA_MILLKWH.A</t>
  </si>
  <si>
    <t>Residential: Combined Heat and Power: Net Generation: Sales to the Grid: High Zero-Carbon Technology Cost</t>
  </si>
  <si>
    <t>AEO.2025.HIGHZTC.GEN_NA_COMM_CHP_TOT_NA_NA_MILLKWH.A</t>
  </si>
  <si>
    <t>Residential: Combined Heat and Power: Net Generation: Total: High Zero-Carbon Technology Cost</t>
  </si>
  <si>
    <t>AEO.2025.HIGHZTC.GEN_NA_COMM_CHP_WND_NA_NA_MILLKWH.A</t>
  </si>
  <si>
    <t>Residential: Combined Heat and Power: Net Generation: Wind: High Zero-Carbon Technology Cost</t>
  </si>
  <si>
    <t>AEO.2025.HIGHZTC.GEN_NA_COMM_CHP_SLR_PHTVL_NA_MILLKWH.A</t>
  </si>
  <si>
    <t>Residential: Combined Heat and Power: Net Generation: Solar Photovoltaic: High Zero-Carbon Technology Cost</t>
  </si>
  <si>
    <t>AEO.2025.HIGHZTC.GEN_NA_COMM_CHP_FCL_NA_NA_MILLKWH.A</t>
  </si>
  <si>
    <t>Residential: Combined Heat and Power: Net Generation: Fuel Cells: High Zero-Carbon Technology Cost</t>
  </si>
  <si>
    <t>AEO.2025.HIGHZTC.CAP_NA_RESD_CHP_TOT_NA_NA_MW.A</t>
  </si>
  <si>
    <t>Residential: Combined Heat and Power: Generating Capacity: Total: High Zero-Carbon Technology Cost</t>
  </si>
  <si>
    <t>AEO.2025.HIGHZTC.CAP_NA_RESD_CHP_WND_NA_NA_MW.A</t>
  </si>
  <si>
    <t>Residential: Combined Heat and Power: Generating Capacity: Wind: High Zero-Carbon Technology Cost</t>
  </si>
  <si>
    <t>AEO.2025.HIGHZTC.CAP_NA_RESD_CHP_SLR_PHTVL_NA_MW.A</t>
  </si>
  <si>
    <t>Residential: Combined Heat and Power: Generating Capacity: Solar Photovoltaic: High Zero-Carbon Technology Cost</t>
  </si>
  <si>
    <t>AEO.2025.HIGHZTC.CAP_NA_COMM_CHP_FCL_NA_NA_MW.A</t>
  </si>
  <si>
    <t>Residential: Combined Heat and Power: Generating Capacity: Fuel Cells: High Zero-Carbon Technology Cost</t>
  </si>
  <si>
    <t>AEO.2025.HIGHZTC.EFI_BSE_RESD_SPC_AHM_NA_NA_Y15EQ1.A</t>
  </si>
  <si>
    <t>Residential Equipment: Building Shell Efficiency Index: Space Cooling: All Homes: High Zero-Carbon Technology Cost</t>
  </si>
  <si>
    <t>AEO.2025.HIGHZTC.EFI_BSE_RESD_SPC_NCO_NA_NA_Y15EQ1.A</t>
  </si>
  <si>
    <t>Residential Equipment: Building Shell Efficiency Index: Space Cooling: New Construction: High Zero-Carbon Technology Cost</t>
  </si>
  <si>
    <t>AEO.2025.HIGHZTC.EFI_BSE_RESD_SPC_OLD_NA_NA_Y15EQ1.A</t>
  </si>
  <si>
    <t>Residential Equipment: Building Shell Efficiency Index: Space Cooling: Pre-2015 Homes: High Zero-Carbon Technology Cost</t>
  </si>
  <si>
    <t>Pre-2020 Homes</t>
  </si>
  <si>
    <t>AEO.2025.HIGHZTC.EFI_BSE_RESD_SPH_AHM_NA_NA_Y15EQ1.A</t>
  </si>
  <si>
    <t>Residential Equipment: Building Shell Efficiency Index: Space Heating: All Homes: High Zero-Carbon Technology Cost</t>
  </si>
  <si>
    <t>AEO.2025.HIGHZTC.EFI_BSE_RESD_SPH_NCO_NA_NA_Y15EQ1.A</t>
  </si>
  <si>
    <t>Residential Equipment: Building Shell Efficiency Index: Space Heating: New Construction: High Zero-Carbon Technology Cost</t>
  </si>
  <si>
    <t>AEO.2025.HIGHZTC.EFI_BSE_RESD_SPH_OLD_NA_NA_Y15EQ1.A</t>
  </si>
  <si>
    <t>Residential Equipment: Building Shell Efficiency Index: Space Heating: Pre-2015 Homes: High Zero-Carbon Technology Cost</t>
  </si>
  <si>
    <t>AEO.2025.HIGHZTC.EFI_STK_RESD_OTAR_FRZ_NA_NA_KWH.A</t>
  </si>
  <si>
    <t>Residential Equipment: Stock Average Efficiency: Other Appliances: Freezers: High Zero-Carbon Technology Cost</t>
  </si>
  <si>
    <t>AEO.2025.HIGHZTC.EFI_STK_RESD_OTAR_RFG_NA_NA_KWH.A</t>
  </si>
  <si>
    <t>Residential Equipment: Stock Average Efficiency: Other Appliances: Refrigerators: High Zero-Carbon Technology Cost</t>
  </si>
  <si>
    <t>AEO.2025.HIGHZTC.EFI_STK_RESD_WHT_PROP_NA_NA_EF.A</t>
  </si>
  <si>
    <t>Residential Equipment: Stock Average Efficiency: Water Heaters: Propane: High Zero-Carbon Technology Cost</t>
  </si>
  <si>
    <t>AEO.2025.HIGHZTC.EFI_STK_RESD_WHT_DFO_NA_NA_EF.A</t>
  </si>
  <si>
    <t>Residential Equipment: Stock Average Efficiency: Water Heaters: Distillate Fuel Oil: High Zero-Carbon Technology Cost</t>
  </si>
  <si>
    <t>AEO.2025.HIGHZTC.EFI_STK_RESD_WHT_NG_NA_NA_EF.A</t>
  </si>
  <si>
    <t>Residential Equipment: Stock Average Efficiency: Water Heaters: Natural Gas: High Zero-Carbon Technology Cost</t>
  </si>
  <si>
    <t>AEO.2025.HIGHZTC.EFI_STK_RESD_WHT_ELE_NA_NA_EF.A</t>
  </si>
  <si>
    <t>Residential Equipment: Stock Average Efficiency: Water Heaters: Electric: High Zero-Carbon Technology Cost</t>
  </si>
  <si>
    <t>AEO.2025.HIGHZTC.EFI_STK_RESD_SPC_RAC_NA_NA_EER.A</t>
  </si>
  <si>
    <t>Residential Equipment: Stock Average Efficiency: Space Cooling: Room Air Conditioners: High Zero-Carbon Technology Cost</t>
  </si>
  <si>
    <t>AEO.2025.HIGHZTC.EFI_STK_RESD_SPC_CAC_NA_NA_SEER.A</t>
  </si>
  <si>
    <t>Residential Equipment: Stock Average Efficiency: Space Cooling: Central Air Conditioners: High Zero-Carbon Technology Cost</t>
  </si>
  <si>
    <t>AEO.2025.HIGHZTC.EFI_STK_RESD_SPC_GEHP_NA_NA_EER.A</t>
  </si>
  <si>
    <t>Residential Equipment: Stock Average Efficiency: Space Cooling: Geothermal Heat Pumps: High Zero-Carbon Technology Cost</t>
  </si>
  <si>
    <t>AEO.2025.HIGHZTC.EFI_STK_RESD_SPC_NHU_NA_NA_GCOP.A</t>
  </si>
  <si>
    <t>Residential Equipment: Stock Average Efficiency: Space Cooling: Natural Gas Heat Pumps: High Zero-Carbon Technology Cost</t>
  </si>
  <si>
    <t>AEO.2025.HIGHZTC.EFI_STK_RESD_SPC_EHP_NA_NA_SEER.A</t>
  </si>
  <si>
    <t>Residential Equipment: Stock Average Efficiency: Space Cooling: Electric Heat Pumps: High Zero-Carbon Technology Cost</t>
  </si>
  <si>
    <t>AEO.2025.HIGHZTC.EFI_STK_RESD_SPHR_DFR_NA_NA_AFUE.A</t>
  </si>
  <si>
    <t>Residential Equipment: Stock Average Efficiency: Main Space Heaters: Distillate Furnace: High Zero-Carbon Technology Cost</t>
  </si>
  <si>
    <t>AEO.2025.HIGHZTC.EFI_STK_RESD_SPHR_NFR_NA_NA_AFUE.A</t>
  </si>
  <si>
    <t>Residential Equipment: Stock Average Efficiency: Main Space Heaters: Natural Gas Furnace: High Zero-Carbon Technology Cost</t>
  </si>
  <si>
    <t>AEO.2025.HIGHZTC.EFI_STK_RESD_SPHR_GEHP_NA_NA_COP.A</t>
  </si>
  <si>
    <t>Residential Equipment: Stock Average Efficiency: Main Space Heaters: Geothermal Heat Pumps: High Zero-Carbon Technology Cost</t>
  </si>
  <si>
    <t>AEO.2025.HIGHZTC.EFI_STK_RESD_SPHR_NHU_NA_NA_GCOP.A</t>
  </si>
  <si>
    <t>Residential Equipment: Stock Average Efficiency: Main Space Heaters: Natural Gas Heat Pumps: High Zero-Carbon Technology Cost</t>
  </si>
  <si>
    <t>AEO.2025.HIGHZTC.EFI_STK_RESD_SPHR_EHP_NA_NA_HSPF.A</t>
  </si>
  <si>
    <t>Residential Equipment: Stock Average Efficiency: Main Space Heaters: Electric Heat Pumps: High Zero-Carbon Technology Cost</t>
  </si>
  <si>
    <t>AEO.2025.HIGHZTC.EQNR_STK_RESD_OTAR_FRZ_NA_NA_MILL.A</t>
  </si>
  <si>
    <t>Residential Equipment: Equipment Stock: Other Appliances: Freezers: High Zero-Carbon Technology Cost</t>
  </si>
  <si>
    <t>AEO.2025.HIGHZTC.EQNR_STK_RESD_OTAR_RFG_NA_NA_MILL.A</t>
  </si>
  <si>
    <t>Residential Equipment: Equipment Stock: Other Appliances: Refrigerators: High Zero-Carbon Technology Cost</t>
  </si>
  <si>
    <t>AEO.2025.HIGHZTC.EQNR_STK_RESD_CDR_TOT_NA_NA_MILL.A</t>
  </si>
  <si>
    <t>Residential Equipment: Equipment Stock: Clothes Dryers: Total: High Zero-Carbon Technology Cost</t>
  </si>
  <si>
    <t>AEO.2025.HIGHZTC.EQNR_STK_RESD_CDR_NG_NA_NA_MILL.A</t>
  </si>
  <si>
    <t>Residential Equipment: Equipment Stock: Clothes Dryers: Natural Gas: High Zero-Carbon Technology Cost</t>
  </si>
  <si>
    <t>AEO.2025.HIGHZTC.EQNR_STK_RESD_CDR_ELE_NA_NA_MILL.A</t>
  </si>
  <si>
    <t>Residential Equipment: Equipment Stock: Clothes Dryers: Electric: High Zero-Carbon Technology Cost</t>
  </si>
  <si>
    <t>AEO.2025.HIGHZTC.EQNR_STK_RESD_CER_TOT_NA_NA_MILL.A</t>
  </si>
  <si>
    <t>Residential Equipment: Equipment Stock: Cooking Equipment: Total: High Zero-Carbon Technology Cost</t>
  </si>
  <si>
    <t>AEO.2025.HIGHZTC.EQNR_STK_RESD_CER_PROP_NA_NA_MILL.A</t>
  </si>
  <si>
    <t>Residential Equipment: Equipment Stock: Cooking Equipment: Propane: High Zero-Carbon Technology Cost</t>
  </si>
  <si>
    <t>AEO.2025.HIGHZTC.EQNR_STK_RESD_CER_NG_NA_NA_MILL.A</t>
  </si>
  <si>
    <t>Residential Equipment: Equipment Stock: Cooking Equipment: Natural Gas: High Zero-Carbon Technology Cost</t>
  </si>
  <si>
    <t>AEO.2025.HIGHZTC.EQNR_STK_RESD_CER_ELE_NA_NA_MILL.A</t>
  </si>
  <si>
    <t>Residential Equipment: Equipment Stock: Cooking Equipment: Electric: High Zero-Carbon Technology Cost</t>
  </si>
  <si>
    <t>AEO.2025.HIGHZTC.EQNR_STK_RESD_WHT_TOT_NA_NA_MILL.A</t>
  </si>
  <si>
    <t>Residential Equipment: Equipment Stock: Water Heaters: Total: High Zero-Carbon Technology Cost</t>
  </si>
  <si>
    <t>AEO.2025.HIGHZTC.EQNR_STK_RESD_WHT_SLR_THERM_NA_MILL.A</t>
  </si>
  <si>
    <t>Residential Equipment: Equipment Stock: Water Heaters: Solar Thermal: High Zero-Carbon Technology Cost</t>
  </si>
  <si>
    <t>AEO.2025.HIGHZTC.EQNR_STK_RESD_WHT_PROP_NA_NA_MILL.A</t>
  </si>
  <si>
    <t>Residential Equipment: Equipment Stock: Water Heaters: Propane: High Zero-Carbon Technology Cost</t>
  </si>
  <si>
    <t>AEO.2025.HIGHZTC.EQNR_STK_RESD_WHT_DFO_NA_NA_MILL.A</t>
  </si>
  <si>
    <t>Residential Equipment: Equipment Stock: Water Heaters: Distillate Fuel Oil: High Zero-Carbon Technology Cost</t>
  </si>
  <si>
    <t>AEO.2025.HIGHZTC.EQNR_STK_RESD_WHT_NG_NA_NA_MILL.A</t>
  </si>
  <si>
    <t>Residential Equipment: Equipment Stock: Water Heaters: Natural Gas: High Zero-Carbon Technology Cost</t>
  </si>
  <si>
    <t>AEO.2025.HIGHZTC.EQNR_STK_RESD_WHT_ELE_NA_NA_MILL.A</t>
  </si>
  <si>
    <t>Residential Equipment: Equipment Stock: Water Heaters: Electric: High Zero-Carbon Technology Cost</t>
  </si>
  <si>
    <t>AEO.2025.HIGHZTC.EQNR_STK_RESD_SPC_TOT_NA_NA_MILL.A</t>
  </si>
  <si>
    <t>Residential Equipment: Equipment Stock: Space Cooling: Total: High Zero-Carbon Technology Cost</t>
  </si>
  <si>
    <t>AEO.2025.HIGHZTC.EQNR_STK_RESD_SPC_RAC_NA_NA_MILL.A</t>
  </si>
  <si>
    <t>Residential Equipment: Equipment Stock: Space Cooling: Room Air Conditioners: High Zero-Carbon Technology Cost</t>
  </si>
  <si>
    <t>AEO.2025.HIGHZTC.EQNR_STK_RESD_SPC_CAC_NA_NA_MILL.A</t>
  </si>
  <si>
    <t>Residential Equipment: Equipment Stock: Space Cooling: Central Air Conditioners: High Zero-Carbon Technology Cost</t>
  </si>
  <si>
    <t>AEO.2025.HIGHZTC.EQNR_STK_RESD_SPC_GEHP_NA_NA_MILL.A</t>
  </si>
  <si>
    <t>Residential Equipment: Equipment Stock: Space Cooling: Geothermal Heat Pumps: High Zero-Carbon Technology Cost</t>
  </si>
  <si>
    <t>AEO.2025.HIGHZTC.EQNR_STK_RESD_SPC_NHU_NA_NA_MILL.A</t>
  </si>
  <si>
    <t>Residential Equipment: Equipment Stock: Space Cooling: Natural Gas Heat Pumps: High Zero-Carbon Technology Cost</t>
  </si>
  <si>
    <t>AEO.2025.HIGHZTC.EQNR_STK_RESD_SPC_EHP_NA_NA_MILL.A</t>
  </si>
  <si>
    <t>Residential Equipment: Equipment Stock: Space Cooling: Electric Heat Pumps: High Zero-Carbon Technology Cost</t>
  </si>
  <si>
    <t>AEO.2025.HIGHZTC.EQNR_STK_RESD_MSHR_TOT_NA_NA_MILL.A</t>
  </si>
  <si>
    <t>Residential Equipment: Equipment Stock: Main Space Heaters: Total: High Zero-Carbon Technology Cost</t>
  </si>
  <si>
    <t>AEO.2025.HIGHZTC.EQNR_STK_RESD_MSHR_GEHP_NA_NA_MILL.A</t>
  </si>
  <si>
    <t>Residential Equipment: Equipment Stock: Main Space Heaters: Geothermal Heat Pumps: High Zero-Carbon Technology Cost</t>
  </si>
  <si>
    <t>AEO.2025.HIGHZTC.EQNR_STK_RESD_MSHR_WDS_NA_NA_MILL.A</t>
  </si>
  <si>
    <t>Residential Equipment: Equipment Stock: Main Space Heaters: Wood Stoves: High Zero-Carbon Technology Cost</t>
  </si>
  <si>
    <t>AEO.2025.HIGHZTC.EQNR_STK_RESD_MSHR_KRS_NA_NA_MILL.A</t>
  </si>
  <si>
    <t>Residential Equipment: Equipment Stock: Main Space Heaters: Kerosene: High Zero-Carbon Technology Cost</t>
  </si>
  <si>
    <t>AEO.2025.HIGHZTC.EQNR_STK_RESD_MSHR_PROP_NA_NA_MILL.A</t>
  </si>
  <si>
    <t>Residential Equipment: Equipment Stock: Main Space Heaters: Propane: High Zero-Carbon Technology Cost</t>
  </si>
  <si>
    <t>AEO.2025.HIGHZTC.EQNR_STK_RESD_MSHR_DFO_NA_NA_MILL.A</t>
  </si>
  <si>
    <t>Residential Equipment: Equipment Stock: Main Space Heaters: Distillate Fuel Oil: High Zero-Carbon Technology Cost</t>
  </si>
  <si>
    <t>AEO.2025.HIGHZTC.EQNR_STK_RESD_MSHR_NGO_NA_NA_MILL.A</t>
  </si>
  <si>
    <t>Residential Equipment: Equipment Stock: Main Space Heaters: Natural Gas Other: High Zero-Carbon Technology Cost</t>
  </si>
  <si>
    <t>AEO.2025.HIGHZTC.EQNR_STK_RESD_MSHR_NHU_NA_NA_MILL.A</t>
  </si>
  <si>
    <t>Residential Equipment: Equipment Stock: Main Space Heaters: Natural Gas Heat Pumps: High Zero-Carbon Technology Cost</t>
  </si>
  <si>
    <t>AEO.2025.HIGHZTC.EQNR_STK_RESD_MSHR_ELO_NA_NA_MILL.A</t>
  </si>
  <si>
    <t>Residential Equipment: Equipment Stock: Main Space Heaters: Electric Other: High Zero-Carbon Technology Cost</t>
  </si>
  <si>
    <t>AEO.2025.HIGHZTC.EQNR_STK_RESD_MSHR_EHP_NA_NA_MILL.A</t>
  </si>
  <si>
    <t>Residential Equipment: Equipment Stock: Main Space Heaters: Electric Heat Pumps: High Zero-Carbon Technology Cost</t>
  </si>
  <si>
    <t>Growth (2024-2050)</t>
  </si>
  <si>
    <t>Tue Dec 02 2025 13:21:44 GMT-0800 (Pacific Standard Time)</t>
  </si>
  <si>
    <t>https://www.eia.gov/outlooks/aeo/data/browser/#/?id=30-AEO2025&amp;cases=highZTC&amp;sourcekey=0</t>
  </si>
  <si>
    <t>Commercial: Combined Heat and Power: Energy Input: Total: High Zero-Carbon Technology Cost</t>
  </si>
  <si>
    <t>AEO.2025.HIGHZTC.CNSM_NA_COMM_CHP_OTH_NA_NA_TRLBTU.A</t>
  </si>
  <si>
    <t>Commercial: Combined Heat and Power: Energy Input: Other: High Zero-Carbon Technology Cost</t>
  </si>
  <si>
    <t>Commercial: Combined Heat and Power: Energy Input: Wind: High Zero-Carbon Technology Cost</t>
  </si>
  <si>
    <t>Commercial: Combined Heat and Power: Energy Input: Solar Photovoltaic: High Zero-Carbon Technology Cost</t>
  </si>
  <si>
    <t>AEO.2025.HIGHZTC.CNSM_NA_COMM_CHP_NG_NA_NA_TRLBTU.A</t>
  </si>
  <si>
    <t>Commercial: Combined Heat and Power: Energy Input: Natural Gas: High Zero-Carbon Technology Cost</t>
  </si>
  <si>
    <t>AEO.2025.HIGHZTC.CNSM_NA_COMM_CHP_PET_NA_NA_TRLBTU.A</t>
  </si>
  <si>
    <t>Commercial: Combined Heat and Power: Energy Input: Petroleum: High Zero-Carbon Technology Cost</t>
  </si>
  <si>
    <t>Commercial: Combined Heat and Power: Net Generation: Generation for Own Use: High Zero-Carbon Technology Cost</t>
  </si>
  <si>
    <t>Commercial: Combined Heat and Power: Net Generation: Sales to the Grid: High Zero-Carbon Technology Cost</t>
  </si>
  <si>
    <t>Commercial: Combined Heat and Power: Net Generation: Total: High Zero-Carbon Technology Cost</t>
  </si>
  <si>
    <t>AEO.2025.HIGHZTC.GEN_NA_COMM_CHP_OTH_NA_NA_MILLKWH.A</t>
  </si>
  <si>
    <t>Commercial: Combined Heat and Power: Net Generation: Other: High Zero-Carbon Technology Cost</t>
  </si>
  <si>
    <t>Commercial: Combined Heat and Power: Net Generation: Wind: High Zero-Carbon Technology Cost</t>
  </si>
  <si>
    <t>Commercial: Combined Heat and Power: Net Generation: Solar Photovoltaic: High Zero-Carbon Technology Cost</t>
  </si>
  <si>
    <t>AEO.2025.HIGHZTC.GEN_NA_COMM_CHP_NG_NA_NA_MILLKWH.A</t>
  </si>
  <si>
    <t>Commercial: Combined Heat and Power: Net Generation: Natural Gas: High Zero-Carbon Technology Cost</t>
  </si>
  <si>
    <t>AEO.2025.HIGHZTC.GEN_NA_COMM_CHP_PET_NA_NA_MILLKWH.A</t>
  </si>
  <si>
    <t>Commercial: Combined Heat and Power: Net Generation: Petroleum: High Zero-Carbon Technology Cost</t>
  </si>
  <si>
    <t>AEO.2025.HIGHZTC.CAP_NA_COMM_CHP_TOT_NA_NA_MW.A</t>
  </si>
  <si>
    <t>Commercial: Combined Heat and Power: Generating Capacity: Total: High Zero-Carbon Technology Cost</t>
  </si>
  <si>
    <t>AEO.2025.HIGHZTC.CAP_NA_COMM_CHP_OTH_NA_NA_MW.A</t>
  </si>
  <si>
    <t>Commercial: Combined Heat and Power: Generating Capacity: Other: High Zero-Carbon Technology Cost</t>
  </si>
  <si>
    <t>AEO.2025.HIGHZTC.CAP_NA_COMM_CHP_WND_NA_NA_MW.A</t>
  </si>
  <si>
    <t>Commercial: Combined Heat and Power: Generating Capacity: Wind: High Zero-Carbon Technology Cost</t>
  </si>
  <si>
    <t>AEO.2025.HIGHZTC.CAP_NA_COMM_CHP_SLR_PHTVL_NA_MW.A</t>
  </si>
  <si>
    <t>Commercial: Combined Heat and Power: Generating Capacity: Solar Photovoltaic: High Zero-Carbon Technology Cost</t>
  </si>
  <si>
    <t>AEO.2025.HIGHZTC.CAP_NA_COMM_CHP_NG_NA_NA_MW.A</t>
  </si>
  <si>
    <t>Commercial: Combined Heat and Power: Generating Capacity: Natural Gas: High Zero-Carbon Technology Cost</t>
  </si>
  <si>
    <t>AEO.2025.HIGHZTC.CAP_NA_COMM_CHP_PET_NA_NA_MW.A</t>
  </si>
  <si>
    <t>Commercial: Combined Heat and Power: Generating Capacity: Petroleum: High Zero-Carbon Technology Cost</t>
  </si>
  <si>
    <t>AEO.2025.HIGHZTC.EFF_STKE_COMM_REFR_ELC_NA_NA_BTUOTPBTUIN.A</t>
  </si>
  <si>
    <t>Commercial: Stock Average Efficiency: Refrigeration: Electricity: High Zero-Carbon Technology Cost</t>
  </si>
  <si>
    <t>AEO.2025.HIGHZTC.EFF_STKE_COMM_LGHTNG_ELC_NA_NA_LMNPWATT.A</t>
  </si>
  <si>
    <t>Commercial: Stock Average Efficiency: Lighting Efficacy: Electricity: High Zero-Carbon Technology Cost</t>
  </si>
  <si>
    <t>AEO.2025.HIGHZTC.EFF_STKE_COMM_CGR_NG_NA_NA_BTUOTPBTUIN.A</t>
  </si>
  <si>
    <t>Commercial: Stock Average Efficiency: Cooking: Natural Gas: High Zero-Carbon Technology Cost</t>
  </si>
  <si>
    <t>AEO.2025.HIGHZTC.EFF_STKE_COMM_CGR_ELC_NA_NA_BTUOTPBTUIN.A</t>
  </si>
  <si>
    <t>Commercial: Stock Average Efficiency: Cooking: Electricity: High Zero-Carbon Technology Cost</t>
  </si>
  <si>
    <t>AEO.2025.HIGHZTC.EFF_STKE_COMM_VNTC_ELC_NA_NA_CUFTPMINPBTU.A</t>
  </si>
  <si>
    <t>Commercial: Stock Average Efficiency: Ventilation: Electricity: High Zero-Carbon Technology Cost</t>
  </si>
  <si>
    <t>AEO.2025.HIGHZTC.EFF_STKE_COMM_WTHT_DFO_NA_NA_BTUOTPBTUIN.A</t>
  </si>
  <si>
    <t>Commercial: Stock Average Efficiency: Water Heating: Distillate Fuel Oil: High Zero-Carbon Technology Cost</t>
  </si>
  <si>
    <t>AEO.2025.HIGHZTC.EFF_STKE_COMM_WTHT_NG_NA_NA_BTUOTPBTUIN.A</t>
  </si>
  <si>
    <t>Commercial: Stock Average Efficiency: Water Heating: Natural Gas: High Zero-Carbon Technology Cost</t>
  </si>
  <si>
    <t>AEO.2025.HIGHZTC.EFF_STKE_COMM_WTHT_ELC_NA_NA_BTUOTPBTUIN.A</t>
  </si>
  <si>
    <t>Commercial: Stock Average Efficiency: Water Heating: Electricity: High Zero-Carbon Technology Cost</t>
  </si>
  <si>
    <t>AEO.2025.HIGHZTC.EFF_STKE_COMM_SPC_NG_NA_NA_BTUOTPBTUIN.A</t>
  </si>
  <si>
    <t>Commercial: Stock Average Efficiency: Space Cooling: Natural Gas: High Zero-Carbon Technology Cost</t>
  </si>
  <si>
    <t>AEO.2025.HIGHZTC.EFF_STKE_COMM_SPC_ELC_NA_NA_BTUOTPBTUIN.A</t>
  </si>
  <si>
    <t>Commercial: Stock Average Efficiency: Space Cooling: Electricity: High Zero-Carbon Technology Cost</t>
  </si>
  <si>
    <t>AEO.2025.HIGHZTC.EFF_STKE_COMM_SPH_DFO_NA_NA_BTUOTPBTUIN.A</t>
  </si>
  <si>
    <t>Commercial: Stock Average Efficiency: Space Heating: Distillate Fuel Oil: High Zero-Carbon Technology Cost</t>
  </si>
  <si>
    <t>AEO.2025.HIGHZTC.EFF_STKE_COMM_SPH_NG_NA_NA_BTUOTPBTUIN.A</t>
  </si>
  <si>
    <t>Commercial: Stock Average Efficiency: Space Heating: Natural Gas: High Zero-Carbon Technology Cost</t>
  </si>
  <si>
    <t>AEO.2025.HIGHZTC.EFF_STKE_COMM_SPH_ELC_NA_NA_BTUOTPBTUIN.A</t>
  </si>
  <si>
    <t>Commercial: Stock Average Efficiency: Space Heating: Electricity: High Zero-Carbon Technology Cost</t>
  </si>
  <si>
    <t>AEO.2025.HIGHZTC.KEI_FLR_COMM_NA_NA_NA_NA_BLNSQFT.A</t>
  </si>
  <si>
    <t>Commercial: Floorspace: Total: High Zero-Carbon Technology Cost</t>
  </si>
  <si>
    <t>AEO.2025.HIGHZTC.KEI_FLR_COMM_OTHU_NA_NA_NA_BLNSQFT.A</t>
  </si>
  <si>
    <t>Commercial: Floorspace: Other: High Zero-Carbon Technology Cost</t>
  </si>
  <si>
    <t>AEO.2025.HIGHZTC.KEI_FLR_COMM_WHRC_NA_NA_NA_BLNSQFT.A</t>
  </si>
  <si>
    <t>Commercial: Floorspace: Warehouse: High Zero-Carbon Technology Cost</t>
  </si>
  <si>
    <t>AEO.2025.HIGHZTC.KEI_FLR_COMM_MCSC_NA_NA_NA_BLNSQFT.A</t>
  </si>
  <si>
    <t>Commercial: Floorspace: Mercantile/Service: High Zero-Carbon Technology Cost</t>
  </si>
  <si>
    <t>AEO.2025.HIGHZTC.KEI_FLR_COMM_OFSC_NA_NA_NA_BLNSQFT.A</t>
  </si>
  <si>
    <t>Commercial: Floorspace: Office - Small: High Zero-Carbon Technology Cost</t>
  </si>
  <si>
    <t>AEO.2025.HIGHZTC.KEI_FLR_COMM_OFLC_NA_NA_NA_BLNSQFT.A</t>
  </si>
  <si>
    <t>Commercial: Floorspace: Office - Large: High Zero-Carbon Technology Cost</t>
  </si>
  <si>
    <t>AEO.2025.HIGHZTC.KEI_FLR_COMM_LGC_NA_NA_NA_BLNSQFT.A</t>
  </si>
  <si>
    <t>Commercial: Floorspace: Lodging: High Zero-Carbon Technology Cost</t>
  </si>
  <si>
    <t>AEO.2025.HIGHZTC.KEI_FLR_COMM_HLC_NA_NA_NA_BLNSQFT.A</t>
  </si>
  <si>
    <t>Commercial: Floorspace: Health Care: High Zero-Carbon Technology Cost</t>
  </si>
  <si>
    <t>AEO.2025.HIGHZTC.KEI_FLR_COMM_FSC_NA_NA_NA_BLNSQFT.A</t>
  </si>
  <si>
    <t>Commercial: Floorspace: Food Service: High Zero-Carbon Technology Cost</t>
  </si>
  <si>
    <t>AEO.2025.HIGHZTC.KEI_FLR_COMM_FDSA_NA_NA_NA_BLNSQFT.A</t>
  </si>
  <si>
    <t>Commercial: Floorspace: Food Sales: High Zero-Carbon Technology Cost</t>
  </si>
  <si>
    <t>AEO.2025.HIGHZTC.KEI_FLR_COMM_EDD_NA_NA_NA_BLNSQFT.A</t>
  </si>
  <si>
    <t>Commercial: Floorspace: Education: High Zero-Carbon Technology Cost</t>
  </si>
  <si>
    <t>AEO.2025.HIGHZTC.KEI_FLR_COMM_ASB_NA_NA_NA_BLNSQFT.A</t>
  </si>
  <si>
    <t>Commercial: Floorspace: Assembly: High Zero-Carbon Technology Cost</t>
  </si>
  <si>
    <t>AEO.2025.HIGHZTC.CNSM_NA_COMM_NA_GROSENUS_NA_NA_QBTU.A</t>
  </si>
  <si>
    <t>Commercial: Gross End-use: Total: High Zero-Carbon Technology Cost</t>
  </si>
  <si>
    <t>AEO.2025.HIGHZTC.CNSM_NA_COMM_OTHU_GROSENUS_NA_NA_QBTU.A</t>
  </si>
  <si>
    <t>Commercial: Gross End-use: Other: High Zero-Carbon Technology Cost</t>
  </si>
  <si>
    <t>AEO.2025.HIGHZTC.CNSM_NA_COMM_WHRC_GROSENUS_NA_NA_QBTU.A</t>
  </si>
  <si>
    <t>Commercial: Gross End-use: Warehouse: High Zero-Carbon Technology Cost</t>
  </si>
  <si>
    <t>AEO.2025.HIGHZTC.CNSM_NA_COMM_MCSC_GROSENUS_NA_NA_QBTU.A</t>
  </si>
  <si>
    <t>Commercial: Gross End-use: Mercantile/Service: High Zero-Carbon Technology Cost</t>
  </si>
  <si>
    <t>AEO.2025.HIGHZTC.CNSM_NA_COMM_OFSC_GROSENUS_NA_NA_QBTU.A</t>
  </si>
  <si>
    <t>Commercial: Gross End-use: Office - Small: High Zero-Carbon Technology Cost</t>
  </si>
  <si>
    <t>AEO.2025.HIGHZTC.CNSM_NA_COMM_OFLC_GROSENUS_NA_NA_QBTU.A</t>
  </si>
  <si>
    <t>Commercial: Gross End-use: Office - Large: High Zero-Carbon Technology Cost</t>
  </si>
  <si>
    <t>AEO.2025.HIGHZTC.CNSM_NA_COMM_LGC_GROSENUS_NA_NA_QBTU.A</t>
  </si>
  <si>
    <t>Commercial: Gross End-use: Lodging: High Zero-Carbon Technology Cost</t>
  </si>
  <si>
    <t>AEO.2025.HIGHZTC.CNSM_NA_COMM_HLC_GROSENUS_NA_NA_QBTU.A</t>
  </si>
  <si>
    <t>Commercial: Gross End-use: Health Care: High Zero-Carbon Technology Cost</t>
  </si>
  <si>
    <t>AEO.2025.HIGHZTC.CNSM_NA_COMM_FSC_GROSENUS_NA_NA_QBTU.A</t>
  </si>
  <si>
    <t>Commercial: Gross End-use: Food Service: High Zero-Carbon Technology Cost</t>
  </si>
  <si>
    <t>AEO.2025.HIGHZTC.CNSM_NA_COMM_FDSA_GROSENUS_NA_NA_QBTU.A</t>
  </si>
  <si>
    <t>Commercial: Gross End-use: Food Sales: High Zero-Carbon Technology Cost</t>
  </si>
  <si>
    <t>AEO.2025.HIGHZTC.CNSM_NA_COMM_EDD_GROSENUS_NA_NA_QBTU.A</t>
  </si>
  <si>
    <t>Commercial: Gross End-use: Education: High Zero-Carbon Technology Cost</t>
  </si>
  <si>
    <t>AEO.2025.HIGHZTC.CNSM_NA_COMM_ASB_GROSENUS_NA_NA_QBTU.A</t>
  </si>
  <si>
    <t>Commercial: Gross End-use: Assembly: High Zero-Carbon Technology Cost</t>
  </si>
  <si>
    <t>Tue Dec 02 2025 13:21:51 GMT-0800 (Pacific Standard Time)</t>
  </si>
  <si>
    <t>https://www.eia.gov/outlooks/aeo/data/browser/#/?id=32-AEO2025&amp;cases=highZTC&amp;sourcekey=0</t>
  </si>
  <si>
    <t>AEO CODES</t>
  </si>
  <si>
    <t>2023, 2025</t>
  </si>
  <si>
    <t>Annual Energy Outlook 2025</t>
  </si>
  <si>
    <t>Annual Energy Outlook 2023</t>
  </si>
  <si>
    <t>https://www.eia.gov/outlooks/aeo/tables_side_xls.php</t>
  </si>
  <si>
    <t>Scenario: High zero-carbon technology cost</t>
  </si>
  <si>
    <t>CiDESCTY Change in Distributed Electricity Source Capacities This Year</t>
  </si>
  <si>
    <t>This file can be used to test an alternate distributed solar additions schedule.</t>
  </si>
  <si>
    <t>We use it to incorporate additional distributed solar capacity associated with the</t>
  </si>
  <si>
    <t xml:space="preserve">Solar for All campaign of the Inflation Reduction Act. </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</si>
  <si>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</si>
  <si>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</si>
  <si>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</si>
  <si>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</si>
  <si>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</si>
  <si>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Residential Equipment: Equipment Stock: Main Space Heaters: Electric Other: Alternative Electricity and Transportation</t>
  </si>
  <si>
    <t>AEO.2026.ELECTRNP.EQNR_STK_RESD_MSHR_ELO_NA_NA_MILL.A</t>
  </si>
  <si>
    <t>Residential Equipment: Equipment Stock: Main Space Heaters: Natural Gas Heat Pumps: Alternative Electricity and Transportation</t>
  </si>
  <si>
    <t>AEO.2026.ELECTRNP.EQNR_STK_RESD_MSHR_NHU_NA_NA_MILL.A</t>
  </si>
  <si>
    <t>Residential Equipment: Equipment Stock: Main Space Heaters: Natural Gas Other: Alternative Electricity and Transportation</t>
  </si>
  <si>
    <t>AEO.2026.ELECTRNP.EQNR_STK_RESD_MSHR_NGO_NA_NA_MILL.A</t>
  </si>
  <si>
    <t>Residential Equipment: Equipment Stock: Main Space Heaters: Distillate Fuel Oil: Alternative Electricity and Transportation</t>
  </si>
  <si>
    <t>AEO.2026.ELECTRNP.EQNR_STK_RESD_MSHR_DFO_NA_NA_MILL.A</t>
  </si>
  <si>
    <t>Residential Equipment: Equipment Stock: Main Space Heaters: Propane: Alternative Electricity and Transportation</t>
  </si>
  <si>
    <t>AEO.2026.ELECTRNP.EQNR_STK_RESD_MSHR_PROP_NA_NA_MILL.A</t>
  </si>
  <si>
    <t>Residential Equipment: Equipment Stock: Main Space Heaters: Wood Stoves: Alternative Electricity and Transportation</t>
  </si>
  <si>
    <t>AEO.2026.ELECTRNP.EQNR_STK_RESD_MSHR_WDS_NA_NA_MILL.A</t>
  </si>
  <si>
    <t>Residential Equipment: Equipment Stock: Main Space Heaters: Geothermal Heat Pumps: Alternative Electricity and Transportation</t>
  </si>
  <si>
    <t>AEO.2026.ELECTRNP.EQNR_STK_RESD_MSHR_GEHP_NA_NA_MILL.A</t>
  </si>
  <si>
    <t>Residential Equipment: Equipment Stock: Main Space Heaters: Total: Alternative Electricity and Transportation</t>
  </si>
  <si>
    <t>AEO.2026.ELECTRNP.EQNR_STK_RESD_MSHR_TOT_NA_NA_MILL.A</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</si>
  <si>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</si>
  <si>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</si>
  <si>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</si>
  <si>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</si>
  <si>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</si>
  <si>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</si>
  <si>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</si>
  <si>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</si>
  <si>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Residential Equipment: Equipment Stock: Space Cooling: Room Air Conditioners: Alternative Electricity and Transportation</t>
  </si>
  <si>
    <t>AEO.2026.ELECTRNP.EQNR_STK_RESD_SPC_RAC_NA_NA_MILL.A</t>
  </si>
  <si>
    <t>Residential Equipment: Equipment Stock: Space Cooling: Total: Alternative Electricity and Transportation</t>
  </si>
  <si>
    <t>AEO.2026.ELECTRNP.EQNR_STK_RESD_SPC_TOT_NA_NA_MILL.A</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</si>
  <si>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</si>
  <si>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</si>
  <si>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</si>
  <si>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</si>
  <si>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</si>
  <si>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</si>
  <si>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Residential Equipment: Equipment Stock: Water Heaters: Propane: Alternative Electricity and Transportation</t>
  </si>
  <si>
    <t>AEO.2026.ELECTRNP.EQNR_STK_RESD_WHT_PROP_NA_NA_MILL.A</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</si>
  <si>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</si>
  <si>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</si>
  <si>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</si>
  <si>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</si>
  <si>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</si>
  <si>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</si>
  <si>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</si>
  <si>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</si>
  <si>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</si>
  <si>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</si>
  <si>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</si>
  <si>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</si>
  <si>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</si>
  <si>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</si>
  <si>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Residential Equipment: Equipment Stock: Clothes Dryers: Natural Gas: Alternative Electricity and Transportation</t>
  </si>
  <si>
    <t>AEO.2026.ELECTRNP.EQNR_STK_RESD_CDR_NG_NA_NA_MILL.A</t>
  </si>
  <si>
    <t>Residential Equipment: Equipment Stock: Clothes Dryers: Total: Alternative Electricity and Transportation</t>
  </si>
  <si>
    <t>AEO.2026.ELECTRNP.EQNR_STK_RESD_CDR_TOT_NA_NA_MILL.A</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</si>
  <si>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</si>
  <si>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</si>
  <si>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</si>
  <si>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</si>
  <si>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</si>
  <si>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</si>
  <si>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</si>
  <si>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</si>
  <si>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Residential Equipment: Stock Average Efficiency: Main Space Heaters: Geothermal Heat Pumps: Alternative Electricity and Transportation</t>
  </si>
  <si>
    <t>AEO.2026.ELECTRNP.EFI_STK_RESD_SPHR_GEHP_NA_NA_COP.A</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</si>
  <si>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</si>
  <si>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</si>
  <si>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</si>
  <si>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</si>
  <si>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</si>
  <si>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</si>
  <si>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</si>
  <si>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</si>
  <si>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</si>
  <si>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</si>
  <si>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</si>
  <si>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</si>
  <si>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</si>
  <si>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</si>
  <si>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Residential Equipment: Stock Average Efficiency: Water Heaters: Electric: Alternative Electricity and Transportation</t>
  </si>
  <si>
    <t>AEO.2026.ELECTRNP.EFI_STK_RESD_WHT_ELE_NA_NA_EF.A</t>
  </si>
  <si>
    <t>Residential Equipment: Stock Average Efficiency: Water Heaters: Natural Gas: Alternative Electricity and Transportation</t>
  </si>
  <si>
    <t>AEO.2026.ELECTRNP.EFI_STK_RESD_WHT_NG_NA_NA_EF.A</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</si>
  <si>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</si>
  <si>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</si>
  <si>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</si>
  <si>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</si>
  <si>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</si>
  <si>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</si>
  <si>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Residential Equipment: Stock Average Efficiency: Other Appliances: Freezers: Alternative Electricity and Transportation</t>
  </si>
  <si>
    <t>AEO.2026.ELECTRNP.EFI_STK_RESD_OTAR_FRZ_NA_NA_KWH.A</t>
  </si>
  <si>
    <t>Residential Equipment: Building Shell Efficiency Index: Space Heating: Pre-2020 Homes: Alternative Electricity and Transportation</t>
  </si>
  <si>
    <t>AEO.2026.ELECTRNP.EFI_BSE_RESD_SPH_OLD_NA_NA_Y15EQ1.A</t>
  </si>
  <si>
    <t>2020=1.00</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</si>
  <si>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</si>
  <si>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</si>
  <si>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</si>
  <si>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</si>
  <si>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</si>
  <si>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</si>
  <si>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</si>
  <si>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</si>
  <si>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</si>
  <si>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</si>
  <si>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Residential: Combined Heat and Power: Generating Capacity: Fuel Cells: Alternative Electricity and Transportation</t>
  </si>
  <si>
    <t>AEO.2026.ELECTRNP.CAP_NA_COMM_CHP_FCL_NA_NA_MW.A</t>
  </si>
  <si>
    <t>Residential: Combined Heat and Power: Generating Capacity: Solar Photovoltaic: Alternative Electricity and Transportation</t>
  </si>
  <si>
    <t>AEO.2026.ELECTRNP.CAP_NA_RESD_CHP_SLR_PHTVL_NA_MW.A</t>
  </si>
  <si>
    <t>Residential: Combined Heat and Power: Generating Capacity: Wind: Alternative Electricity and Transportation</t>
  </si>
  <si>
    <t>AEO.2026.ELECTRNP.CAP_NA_RESD_CHP_WND_NA_NA_MW.A</t>
  </si>
  <si>
    <t>Residential: Combined Heat and Power: Generating Capacity: Total: Alternative Electricity and Transportation</t>
  </si>
  <si>
    <t>AEO.2026.ELECTRNP.CAP_NA_RESD_CHP_TOT_NA_NA_MW.A</t>
  </si>
  <si>
    <t>Residential: Combined Heat and Power: Net Generation: Fuel Cells: Alternative Electricity and Transportation</t>
  </si>
  <si>
    <t>AEO.2026.ELECTRNP.GEN_NA_COMM_CHP_FCL_NA_NA_MILLKWH.A</t>
  </si>
  <si>
    <t>Residential: Combined Heat and Power: Net Generation: Solar Photovoltaic: Alternative Electricity and Transportation</t>
  </si>
  <si>
    <t>AEO.2026.ELECTRNP.GEN_NA_COMM_CHP_SLR_PHTVL_NA_MILLKWH.A</t>
  </si>
  <si>
    <t>Residential: Combined Heat and Power: Net Generation: Wind: Alternative Electricity and Transportation</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</si>
  <si>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</si>
  <si>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</si>
  <si>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</si>
  <si>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</si>
  <si>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</si>
  <si>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Residential: Combined Heat and Power: Net Generation: Generation for Own Use: Alternative Electricity and Transportation</t>
  </si>
  <si>
    <t>AEO.2026.ELECTRNP.GEN_NA_COMM_CHP_GFO_NA_NA_MILLKWH.A</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</si>
  <si>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</si>
  <si>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</si>
  <si>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</si>
  <si>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</si>
  <si>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</si>
  <si>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</si>
  <si>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</si>
  <si>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</si>
  <si>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</si>
  <si>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</si>
  <si>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</si>
  <si>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</si>
  <si>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</si>
  <si>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</si>
  <si>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</si>
  <si>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</si>
  <si>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</si>
  <si>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</si>
  <si>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</si>
  <si>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</si>
  <si>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</si>
  <si>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</si>
  <si>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</si>
  <si>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</si>
  <si>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</si>
  <si>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</si>
  <si>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</si>
  <si>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</si>
  <si>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Commercial: Gross End-use: Warehouse: Alternative Electricity and Transportation</t>
  </si>
  <si>
    <t>AEO.2026.ELECTRNP.CNSM_NA_COMM_WHRC_GROSENUS_NA_NA_QBTU.A</t>
  </si>
  <si>
    <t>Commercial: Gross End-use: Other: Alternative Electricity and Transportation</t>
  </si>
  <si>
    <t>AEO.2026.ELECTRNP.CNSM_NA_COMM_OTHU_GROSENUS_NA_NA_QBTU.A</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</si>
  <si>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</si>
  <si>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</si>
  <si>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</si>
  <si>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</si>
  <si>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</si>
  <si>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</si>
  <si>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</si>
  <si>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</si>
  <si>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</si>
  <si>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</si>
  <si>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</si>
  <si>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</si>
  <si>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</si>
  <si>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</si>
  <si>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</si>
  <si>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</si>
  <si>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</si>
  <si>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</si>
  <si>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</si>
  <si>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</si>
  <si>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</si>
  <si>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</si>
  <si>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</si>
  <si>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</si>
  <si>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</si>
  <si>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</si>
  <si>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</si>
  <si>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</si>
  <si>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</si>
  <si>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</si>
  <si>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</si>
  <si>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</si>
  <si>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</si>
  <si>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</si>
  <si>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</si>
  <si>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</si>
  <si>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</si>
  <si>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</si>
  <si>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</si>
  <si>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</si>
  <si>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</si>
  <si>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</si>
  <si>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</si>
  <si>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</si>
  <si>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</si>
  <si>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</si>
  <si>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</si>
  <si>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</si>
  <si>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</si>
  <si>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</si>
  <si>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</si>
  <si>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</si>
  <si>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Commercial: Combined Heat and Power: Generating Capacity: Petroleum: Alternative Electricity and Transportation</t>
  </si>
  <si>
    <t>AEO.2026.ELECTRNP.CAP_NA_COMM_CHP_PET_NA_NA_MW.A</t>
  </si>
  <si>
    <t>Commercial: Combined Heat and Power: Generating Capacity: Natural Gas: Alternative Electricity and Transportation</t>
  </si>
  <si>
    <t>AEO.2026.ELECTRNP.CAP_NA_COMM_CHP_NG_NA_NA_MW.A</t>
  </si>
  <si>
    <t>Commercial: Combined Heat and Power: Generating Capacity: Solar Photovoltaic: Alternative Electricity and Transportation</t>
  </si>
  <si>
    <t>AEO.2026.ELECTRNP.CAP_NA_COMM_CHP_SLR_PHTVL_NA_MW.A</t>
  </si>
  <si>
    <t>Commercial: Combined Heat and Power: Generating Capacity: Wind: Alternative Electricity and Transportation</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</si>
  <si>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</si>
  <si>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</si>
  <si>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</si>
  <si>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</si>
  <si>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</si>
  <si>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Commercial: Combined Heat and Power: Net Generation: Petroleum: Alternative Electricity and Transportation</t>
  </si>
  <si>
    <t>AEO.2026.ELECTRNP.GEN_NA_COMM_CHP_PET_NA_NA_MILLKWH.A</t>
  </si>
  <si>
    <t>Commercial: Combined Heat and Power: Net Generation: Natural Gas: Alternative Electricity and Transportation</t>
  </si>
  <si>
    <t>AEO.2026.ELECTRNP.GEN_NA_COMM_CHP_NG_NA_NA_MILLKWH.A</t>
  </si>
  <si>
    <t>Commercial: Combined Heat and Power: Net Generation: Solar Photovoltaic: Alternative Electricity and Transportation</t>
  </si>
  <si>
    <t>Commercial: Combined Heat and Power: Net Generation: Wind: Alternative Electricity and Transportation</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</si>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</sst>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_(* #,##0_);_(* \(#,##0\);_(* &quot;-&quot;??_);_(@_)"/>
    <numFmt numFmtId="168" formatCode="0.000"/>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5" fillId="0" borderId="0" applyFont="0" applyFill="0" applyBorder="0" applyAlignment="0" applyProtection="0"/>
    <xf numFmtId="0" fontId="8" fillId="0" borderId="7" applyNumberFormat="0" applyProtection="0">
      <alignment horizontal="left" wrapText="1"/>
    </xf>
    <xf numFmtId="43" fontId="5" fillId="0" borderId="0" applyFont="0" applyFill="0" applyBorder="0" applyAlignment="0" applyProtection="0"/>
    <xf numFmtId="0" fontId="13" fillId="0" borderId="0" applyNumberFormat="0" applyFill="0" applyBorder="0" applyAlignment="0" applyProtection="0"/>
    <xf numFmtId="0" fontId="14" fillId="0" borderId="5" applyNumberFormat="0" applyFill="0" applyAlignment="0" applyProtection="0"/>
    <xf numFmtId="0" fontId="15" fillId="0" borderId="9" applyNumberFormat="0" applyFill="0" applyAlignment="0" applyProtection="0"/>
    <xf numFmtId="0" fontId="16" fillId="0" borderId="10" applyNumberFormat="0" applyFill="0" applyAlignment="0" applyProtection="0"/>
    <xf numFmtId="0" fontId="16" fillId="0" borderId="0" applyNumberFormat="0" applyFill="0" applyBorder="0" applyAlignment="0" applyProtection="0"/>
    <xf numFmtId="0" fontId="17" fillId="3" borderId="0" applyNumberFormat="0" applyBorder="0" applyAlignment="0" applyProtection="0"/>
    <xf numFmtId="0" fontId="18" fillId="4" borderId="0" applyNumberFormat="0" applyBorder="0" applyAlignment="0" applyProtection="0"/>
    <xf numFmtId="0" fontId="19" fillId="6" borderId="11" applyNumberFormat="0" applyAlignment="0" applyProtection="0"/>
    <xf numFmtId="0" fontId="20" fillId="7" borderId="12" applyNumberFormat="0" applyAlignment="0" applyProtection="0"/>
    <xf numFmtId="0" fontId="21" fillId="7" borderId="11" applyNumberFormat="0" applyAlignment="0" applyProtection="0"/>
    <xf numFmtId="0" fontId="22" fillId="0" borderId="13" applyNumberFormat="0" applyFill="0" applyAlignment="0" applyProtection="0"/>
    <xf numFmtId="0" fontId="23" fillId="8" borderId="14" applyNumberFormat="0" applyAlignment="0" applyProtection="0"/>
    <xf numFmtId="0" fontId="24" fillId="0" borderId="0" applyNumberFormat="0" applyFill="0" applyBorder="0" applyAlignment="0" applyProtection="0"/>
    <xf numFmtId="0" fontId="5" fillId="9" borderId="15" applyNumberFormat="0" applyFont="0" applyAlignment="0" applyProtection="0"/>
    <xf numFmtId="0" fontId="25" fillId="0" borderId="0" applyNumberFormat="0" applyFill="0" applyBorder="0" applyAlignment="0" applyProtection="0"/>
    <xf numFmtId="0" fontId="1" fillId="0" borderId="16" applyNumberFormat="0" applyFill="0" applyAlignment="0" applyProtection="0"/>
    <xf numFmtId="0" fontId="26"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6"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6"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6"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6"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6"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7" fillId="5" borderId="0" applyNumberFormat="0" applyBorder="0" applyAlignment="0" applyProtection="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9" fillId="0" borderId="0" applyNumberFormat="0" applyFill="0" applyBorder="0" applyAlignment="0" applyProtection="0"/>
    <xf numFmtId="0" fontId="32" fillId="0" borderId="0"/>
  </cellStyleXfs>
  <cellXfs count="70">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5" fontId="11" fillId="0" borderId="3" xfId="5" applyNumberFormat="1" applyFont="1" applyAlignment="1">
      <alignment horizontal="right" wrapText="1"/>
    </xf>
    <xf numFmtId="0" fontId="0" fillId="0" borderId="0" xfId="0" applyAlignment="1">
      <alignment horizontal="left" indent="1"/>
    </xf>
    <xf numFmtId="0" fontId="11"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8" fillId="0" borderId="0" xfId="0" applyFont="1"/>
    <xf numFmtId="0" fontId="1" fillId="35" borderId="0" xfId="0" applyFont="1" applyFill="1"/>
    <xf numFmtId="10" fontId="0" fillId="0" borderId="0" xfId="0" applyNumberFormat="1"/>
    <xf numFmtId="0" fontId="4" fillId="0" borderId="0" xfId="3" applyAlignment="1">
      <alignment horizontal="left" wrapText="1"/>
    </xf>
    <xf numFmtId="0" fontId="29" fillId="0" borderId="0" xfId="52"/>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11"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11" fillId="0" borderId="3" xfId="5" applyNumberFormat="1" applyFont="1" applyAlignment="1">
      <alignment horizontal="right" wrapText="1"/>
    </xf>
    <xf numFmtId="0" fontId="11" fillId="0" borderId="3" xfId="5" applyFont="1" applyAlignment="1">
      <alignment horizontal="left" wrapText="1" indent="1"/>
    </xf>
    <xf numFmtId="0" fontId="11" fillId="0" borderId="3" xfId="5" applyFont="1" applyAlignment="1">
      <alignment horizontal="left" wrapText="1" indent="2"/>
    </xf>
    <xf numFmtId="0" fontId="11" fillId="0" borderId="3" xfId="5" applyFont="1" applyAlignment="1">
      <alignment horizontal="left" wrapText="1"/>
    </xf>
    <xf numFmtId="0" fontId="11" fillId="0" borderId="3" xfId="5" quotePrefix="1" applyFont="1">
      <alignment wrapText="1"/>
    </xf>
    <xf numFmtId="0" fontId="11" fillId="0" borderId="3" xfId="5" applyFont="1" applyAlignment="1">
      <alignment horizontal="right" wrapText="1"/>
    </xf>
    <xf numFmtId="0" fontId="7" fillId="0" borderId="2" xfId="4" applyFont="1" applyAlignment="1">
      <alignment horizontal="left" wrapText="1" indent="1"/>
    </xf>
    <xf numFmtId="0" fontId="33" fillId="36" borderId="0" xfId="53" applyFont="1" applyFill="1"/>
    <xf numFmtId="0" fontId="34" fillId="36" borderId="0" xfId="53" applyFont="1" applyFill="1" applyAlignment="1">
      <alignment horizontal="right"/>
    </xf>
    <xf numFmtId="0" fontId="32" fillId="0" borderId="0" xfId="53"/>
    <xf numFmtId="0" fontId="11" fillId="0" borderId="0" xfId="53" applyFont="1"/>
    <xf numFmtId="0" fontId="7" fillId="0" borderId="0" xfId="53" applyFont="1"/>
    <xf numFmtId="10" fontId="11" fillId="0" borderId="0" xfId="53" applyNumberFormat="1" applyFont="1"/>
    <xf numFmtId="0" fontId="33" fillId="0" borderId="0" xfId="53" applyFont="1" applyAlignment="1">
      <alignment horizontal="right"/>
    </xf>
    <xf numFmtId="0" fontId="34" fillId="0" borderId="0" xfId="53" applyFont="1" applyAlignment="1">
      <alignment horizontal="left"/>
    </xf>
    <xf numFmtId="0" fontId="11" fillId="0" borderId="0" xfId="53" applyFont="1" applyAlignment="1">
      <alignment wrapText="1"/>
    </xf>
    <xf numFmtId="1" fontId="32" fillId="0" borderId="0" xfId="53" applyNumberFormat="1"/>
    <xf numFmtId="9" fontId="0" fillId="0" borderId="0" xfId="8" applyFont="1"/>
    <xf numFmtId="0" fontId="1" fillId="37" borderId="0" xfId="0" applyFont="1" applyFill="1"/>
    <xf numFmtId="0" fontId="0" fillId="37" borderId="0" xfId="0" applyFill="1"/>
    <xf numFmtId="0" fontId="0" fillId="37" borderId="0" xfId="0" applyFill="1" applyAlignment="1">
      <alignment wrapText="1"/>
    </xf>
    <xf numFmtId="0" fontId="32" fillId="37" borderId="0" xfId="53" applyFill="1"/>
    <xf numFmtId="0" fontId="0" fillId="34" borderId="0" xfId="0" applyFill="1"/>
    <xf numFmtId="10" fontId="1" fillId="0" borderId="0" xfId="0" applyNumberFormat="1" applyFont="1"/>
    <xf numFmtId="0" fontId="0" fillId="39" borderId="0" xfId="0" applyFill="1"/>
    <xf numFmtId="0" fontId="1" fillId="39" borderId="0" xfId="0" applyFont="1" applyFill="1"/>
    <xf numFmtId="0" fontId="37" fillId="40" borderId="0" xfId="0" applyFont="1" applyFill="1"/>
    <xf numFmtId="0" fontId="23" fillId="40" borderId="0" xfId="0" applyFont="1" applyFill="1"/>
    <xf numFmtId="0" fontId="26" fillId="40" borderId="0" xfId="0" applyFont="1" applyFill="1"/>
    <xf numFmtId="0" fontId="0" fillId="38" borderId="0" xfId="0" applyFill="1"/>
    <xf numFmtId="0" fontId="35" fillId="0" borderId="0" xfId="0" applyFont="1"/>
    <xf numFmtId="0" fontId="36" fillId="0" borderId="0" xfId="0" applyFont="1" applyAlignment="1">
      <alignment vertical="center"/>
    </xf>
    <xf numFmtId="1" fontId="0" fillId="38" borderId="0" xfId="0" applyNumberFormat="1" applyFill="1"/>
    <xf numFmtId="1" fontId="0" fillId="0" borderId="0" xfId="0" applyNumberFormat="1"/>
    <xf numFmtId="168" fontId="0" fillId="0" borderId="0" xfId="0" applyNumberFormat="1"/>
    <xf numFmtId="0" fontId="30" fillId="0" borderId="0" xfId="3" applyFont="1" applyAlignment="1">
      <alignment horizontal="left" wrapText="1"/>
    </xf>
    <xf numFmtId="0" fontId="0" fillId="0" borderId="0" xfId="0" applyAlignment="1">
      <alignment wrapText="1"/>
    </xf>
    <xf numFmtId="3" fontId="7" fillId="0" borderId="6" xfId="0" applyNumberFormat="1" applyFont="1" applyBorder="1" applyAlignment="1">
      <alignment horizontal="left" wrapText="1"/>
    </xf>
    <xf numFmtId="0" fontId="0" fillId="0" borderId="6" xfId="0" applyBorder="1" applyAlignment="1">
      <alignment horizontal="left"/>
    </xf>
    <xf numFmtId="3" fontId="7" fillId="0" borderId="17" xfId="9" applyNumberFormat="1" applyFont="1" applyBorder="1">
      <alignment horizontal="left" wrapText="1"/>
    </xf>
    <xf numFmtId="0" fontId="2" fillId="0" borderId="4" xfId="6">
      <alignment wrapText="1"/>
    </xf>
    <xf numFmtId="0" fontId="6" fillId="0" borderId="0" xfId="0" applyFont="1" applyAlignment="1">
      <alignment horizontal="left" wrapText="1"/>
    </xf>
    <xf numFmtId="0" fontId="0" fillId="0" borderId="0" xfId="0" applyNumberFormat="1"/>
    <xf numFmtId="0" fontId="35" fillId="0" borderId="0" xfId="0" applyNumberFormat="1" applyFont="1"/>
    <xf numFmtId="0" fontId="36" fillId="0" borderId="0" xfId="0" applyNumberFormat="1" applyFont="1" applyAlignment="1">
      <alignment vertical="center"/>
    </xf>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Calculations!$D$83:$AE$83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71D7-4E19-9922-229D0A46A185}"/>
            </c:ext>
          </c:extLst>
        </c:ser>
        <c:ser>
          <c:idx val="1"/>
          <c:order val="1"/>
          <c:tx>
            <c:strRef>
              <c:f>Calculations!$C$84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Calculations!$D$84:$AE$84</c:f>
              <c:numCache>
                <c:formatCode>General</c:formatCode>
                <c:ptCount val="28"/>
                <c:pt idx="0">
                  <c:v>1394.019</c:v>
                </c:pt>
                <c:pt idx="1">
                  <c:v>1468.7250000000001</c:v>
                </c:pt>
                <c:pt idx="2">
                  <c:v>1508.008</c:v>
                </c:pt>
                <c:pt idx="3">
                  <c:v>1540.9690000000001</c:v>
                </c:pt>
                <c:pt idx="4">
                  <c:v>1559.125</c:v>
                </c:pt>
                <c:pt idx="5">
                  <c:v>1576.8690000000001</c:v>
                </c:pt>
                <c:pt idx="6">
                  <c:v>1595.395</c:v>
                </c:pt>
                <c:pt idx="7">
                  <c:v>1615.2909999999999</c:v>
                </c:pt>
                <c:pt idx="8">
                  <c:v>1634.761</c:v>
                </c:pt>
                <c:pt idx="9">
                  <c:v>1655.3439999999998</c:v>
                </c:pt>
                <c:pt idx="10">
                  <c:v>1676.5520000000001</c:v>
                </c:pt>
                <c:pt idx="11">
                  <c:v>1700.0949999999998</c:v>
                </c:pt>
                <c:pt idx="12">
                  <c:v>1722.0139999999999</c:v>
                </c:pt>
                <c:pt idx="13">
                  <c:v>1744.8120000000001</c:v>
                </c:pt>
                <c:pt idx="14">
                  <c:v>1769.9970000000001</c:v>
                </c:pt>
                <c:pt idx="15">
                  <c:v>1793.4589999999998</c:v>
                </c:pt>
                <c:pt idx="16">
                  <c:v>1816.316</c:v>
                </c:pt>
                <c:pt idx="17">
                  <c:v>1838.2280000000001</c:v>
                </c:pt>
                <c:pt idx="18">
                  <c:v>1858.4989999999998</c:v>
                </c:pt>
                <c:pt idx="19">
                  <c:v>1881.0849999999998</c:v>
                </c:pt>
                <c:pt idx="20">
                  <c:v>1901.162</c:v>
                </c:pt>
                <c:pt idx="21">
                  <c:v>1921.1780000000001</c:v>
                </c:pt>
                <c:pt idx="22">
                  <c:v>1940.0839999999998</c:v>
                </c:pt>
                <c:pt idx="23">
                  <c:v>1959.433</c:v>
                </c:pt>
                <c:pt idx="24">
                  <c:v>1979.941</c:v>
                </c:pt>
                <c:pt idx="25">
                  <c:v>2000.0969999999998</c:v>
                </c:pt>
                <c:pt idx="26">
                  <c:v>2019.018</c:v>
                </c:pt>
                <c:pt idx="27">
                  <c:v>2039.0600000000002</c:v>
                </c:pt>
              </c:numCache>
            </c:numRef>
          </c:yVal>
          <c:smooth val="1"/>
          <c:extLst>
            <c:ext xmlns:c16="http://schemas.microsoft.com/office/drawing/2014/chart" uri="{C3380CC4-5D6E-409C-BE32-E72D297353CC}">
              <c16:uniqueId val="{00000001-71D7-4E19-9922-229D0A46A185}"/>
            </c:ext>
          </c:extLst>
        </c:ser>
        <c:ser>
          <c:idx val="2"/>
          <c:order val="2"/>
          <c:tx>
            <c:strRef>
              <c:f>Calculations!$C$85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Calculations!$D$85:$AE$85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71D7-4E19-9922-229D0A46A185}"/>
            </c:ext>
          </c:extLst>
        </c:ser>
        <c:ser>
          <c:idx val="3"/>
          <c:order val="3"/>
          <c:tx>
            <c:strRef>
              <c:f>Calculations!$C$86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Calculations!$D$86:$AE$86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71D7-4E19-9922-229D0A46A185}"/>
            </c:ext>
          </c:extLst>
        </c:ser>
        <c:ser>
          <c:idx val="4"/>
          <c:order val="4"/>
          <c:tx>
            <c:strRef>
              <c:f>Calculations!$C$87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Calculations!$D$87:$AE$87</c:f>
              <c:numCache>
                <c:formatCode>General</c:formatCode>
                <c:ptCount val="28"/>
                <c:pt idx="0">
                  <c:v>559.73700000000008</c:v>
                </c:pt>
                <c:pt idx="1">
                  <c:v>585.6400000000001</c:v>
                </c:pt>
                <c:pt idx="2">
                  <c:v>584.673</c:v>
                </c:pt>
                <c:pt idx="3">
                  <c:v>585.34399999999994</c:v>
                </c:pt>
                <c:pt idx="4">
                  <c:v>586.68500000000006</c:v>
                </c:pt>
                <c:pt idx="5">
                  <c:v>586.89599999999996</c:v>
                </c:pt>
                <c:pt idx="6">
                  <c:v>587.529</c:v>
                </c:pt>
                <c:pt idx="7">
                  <c:v>588.68799999999999</c:v>
                </c:pt>
                <c:pt idx="8">
                  <c:v>589.22799999999995</c:v>
                </c:pt>
                <c:pt idx="9">
                  <c:v>590.12799999999993</c:v>
                </c:pt>
                <c:pt idx="10">
                  <c:v>591.15499999999997</c:v>
                </c:pt>
                <c:pt idx="11">
                  <c:v>591.76700000000005</c:v>
                </c:pt>
                <c:pt idx="12">
                  <c:v>592.12699999999995</c:v>
                </c:pt>
                <c:pt idx="13">
                  <c:v>592.31299999999999</c:v>
                </c:pt>
                <c:pt idx="14">
                  <c:v>592.65</c:v>
                </c:pt>
                <c:pt idx="15">
                  <c:v>592.97200000000009</c:v>
                </c:pt>
                <c:pt idx="16">
                  <c:v>593.428</c:v>
                </c:pt>
                <c:pt idx="17">
                  <c:v>593.94899999999996</c:v>
                </c:pt>
                <c:pt idx="18">
                  <c:v>594.14400000000001</c:v>
                </c:pt>
                <c:pt idx="19">
                  <c:v>594.97299999999996</c:v>
                </c:pt>
                <c:pt idx="20">
                  <c:v>595.30099999999993</c:v>
                </c:pt>
                <c:pt idx="21">
                  <c:v>595.58399999999995</c:v>
                </c:pt>
                <c:pt idx="22">
                  <c:v>595.73400000000004</c:v>
                </c:pt>
                <c:pt idx="23">
                  <c:v>595.96199999999999</c:v>
                </c:pt>
                <c:pt idx="24">
                  <c:v>596.55700000000002</c:v>
                </c:pt>
                <c:pt idx="25">
                  <c:v>596.93600000000004</c:v>
                </c:pt>
                <c:pt idx="26">
                  <c:v>597.101</c:v>
                </c:pt>
                <c:pt idx="27">
                  <c:v>597.29600000000005</c:v>
                </c:pt>
              </c:numCache>
            </c:numRef>
          </c:yVal>
          <c:smooth val="1"/>
          <c:extLst>
            <c:ext xmlns:c16="http://schemas.microsoft.com/office/drawing/2014/chart" uri="{C3380CC4-5D6E-409C-BE32-E72D297353CC}">
              <c16:uniqueId val="{00000004-71D7-4E19-9922-229D0A46A185}"/>
            </c:ext>
          </c:extLst>
        </c:ser>
        <c:ser>
          <c:idx val="5"/>
          <c:order val="5"/>
          <c:tx>
            <c:strRef>
              <c:f>Calculations!$C$88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Calculations!$D$88:$AE$88</c:f>
              <c:numCache>
                <c:formatCode>General</c:formatCode>
                <c:ptCount val="28"/>
                <c:pt idx="0">
                  <c:v>26815.535</c:v>
                </c:pt>
                <c:pt idx="1">
                  <c:v>29403.9</c:v>
                </c:pt>
                <c:pt idx="2">
                  <c:v>33559.604999999996</c:v>
                </c:pt>
                <c:pt idx="3">
                  <c:v>37794.93</c:v>
                </c:pt>
                <c:pt idx="4">
                  <c:v>41405.586000000003</c:v>
                </c:pt>
                <c:pt idx="5">
                  <c:v>43145.611000000004</c:v>
                </c:pt>
                <c:pt idx="6">
                  <c:v>44266.197</c:v>
                </c:pt>
                <c:pt idx="7">
                  <c:v>45534.084000000003</c:v>
                </c:pt>
                <c:pt idx="8">
                  <c:v>46463.576999999997</c:v>
                </c:pt>
                <c:pt idx="9">
                  <c:v>47210.957000000002</c:v>
                </c:pt>
                <c:pt idx="10">
                  <c:v>48048.740000000005</c:v>
                </c:pt>
                <c:pt idx="11">
                  <c:v>49354.031000000003</c:v>
                </c:pt>
                <c:pt idx="12">
                  <c:v>50425.938000000002</c:v>
                </c:pt>
                <c:pt idx="13">
                  <c:v>51324.492999999995</c:v>
                </c:pt>
                <c:pt idx="14">
                  <c:v>52927.57</c:v>
                </c:pt>
                <c:pt idx="15">
                  <c:v>54478.226000000002</c:v>
                </c:pt>
                <c:pt idx="16">
                  <c:v>56396.023000000001</c:v>
                </c:pt>
                <c:pt idx="17">
                  <c:v>58020.966</c:v>
                </c:pt>
                <c:pt idx="18">
                  <c:v>58883.471999999994</c:v>
                </c:pt>
                <c:pt idx="19">
                  <c:v>60235.283000000003</c:v>
                </c:pt>
                <c:pt idx="20">
                  <c:v>60950.233</c:v>
                </c:pt>
                <c:pt idx="21">
                  <c:v>61766.342000000004</c:v>
                </c:pt>
                <c:pt idx="22">
                  <c:v>62420.555</c:v>
                </c:pt>
                <c:pt idx="23">
                  <c:v>63444.836000000003</c:v>
                </c:pt>
                <c:pt idx="24">
                  <c:v>64722.854999999996</c:v>
                </c:pt>
                <c:pt idx="25">
                  <c:v>66026.054000000004</c:v>
                </c:pt>
                <c:pt idx="26">
                  <c:v>66979.820000000007</c:v>
                </c:pt>
                <c:pt idx="27">
                  <c:v>68250.770999999993</c:v>
                </c:pt>
              </c:numCache>
            </c:numRef>
          </c:yVal>
          <c:smooth val="1"/>
          <c:extLst>
            <c:ext xmlns:c16="http://schemas.microsoft.com/office/drawing/2014/chart" uri="{C3380CC4-5D6E-409C-BE32-E72D297353CC}">
              <c16:uniqueId val="{00000005-71D7-4E19-9922-229D0A46A185}"/>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Calculations!$D$89:$AE$89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71D7-4E19-9922-229D0A46A185}"/>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Calculations!$D$90:$AE$90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71D7-4E19-9922-229D0A46A185}"/>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Calculations!$D$91:$AE$91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71D7-4E19-9922-229D0A46A185}"/>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Calculations!$D$92:$AE$92</c:f>
              <c:numCache>
                <c:formatCode>General</c:formatCode>
                <c:ptCount val="28"/>
                <c:pt idx="0">
                  <c:v>13.979999999999999</c:v>
                </c:pt>
                <c:pt idx="1">
                  <c:v>20.507000000000001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pt idx="27">
                  <c:v>14.146000000000001</c:v>
                </c:pt>
              </c:numCache>
            </c:numRef>
          </c:yVal>
          <c:smooth val="1"/>
          <c:extLst>
            <c:ext xmlns:c16="http://schemas.microsoft.com/office/drawing/2014/chart" uri="{C3380CC4-5D6E-409C-BE32-E72D297353CC}">
              <c16:uniqueId val="{00000009-71D7-4E19-9922-229D0A46A185}"/>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Calculations!$D$93:$AE$93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71D7-4E19-9922-229D0A46A185}"/>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Calculations!$D$94:$AE$94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71D7-4E19-9922-229D0A46A185}"/>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Calculations!$D$95:$AE$95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71D7-4E19-9922-229D0A46A185}"/>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Calculations!$D$96:$AE$96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71D7-4E19-9922-229D0A46A18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Calculations!$D$97:$AE$97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71D7-4E19-9922-229D0A46A18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Calculations!$D$98:$AE$98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71D7-4E19-9922-229D0A46A18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Calculations!$D$103:$AE$103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8F50-4054-BBF1-3D51325C4C26}"/>
            </c:ext>
          </c:extLst>
        </c:ser>
        <c:ser>
          <c:idx val="1"/>
          <c:order val="1"/>
          <c:tx>
            <c:strRef>
              <c:f>Calculations!$C$104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Calculations!$D$104:$AE$104</c:f>
              <c:numCache>
                <c:formatCode>General</c:formatCode>
                <c:ptCount val="28"/>
                <c:pt idx="0">
                  <c:v>9723283</c:v>
                </c:pt>
                <c:pt idx="1">
                  <c:v>8774793</c:v>
                </c:pt>
                <c:pt idx="2">
                  <c:v>8993502</c:v>
                </c:pt>
                <c:pt idx="3">
                  <c:v>9177331</c:v>
                </c:pt>
                <c:pt idx="4">
                  <c:v>9287245</c:v>
                </c:pt>
                <c:pt idx="5">
                  <c:v>9394723</c:v>
                </c:pt>
                <c:pt idx="6">
                  <c:v>9505925</c:v>
                </c:pt>
                <c:pt idx="7">
                  <c:v>9624269</c:v>
                </c:pt>
                <c:pt idx="8">
                  <c:v>9741152</c:v>
                </c:pt>
                <c:pt idx="9">
                  <c:v>9864296</c:v>
                </c:pt>
                <c:pt idx="10">
                  <c:v>9991460</c:v>
                </c:pt>
                <c:pt idx="11">
                  <c:v>10130486</c:v>
                </c:pt>
                <c:pt idx="12">
                  <c:v>10261999</c:v>
                </c:pt>
                <c:pt idx="13">
                  <c:v>10398590</c:v>
                </c:pt>
                <c:pt idx="14">
                  <c:v>10547682</c:v>
                </c:pt>
                <c:pt idx="15">
                  <c:v>10688287</c:v>
                </c:pt>
                <c:pt idx="16">
                  <c:v>10824841</c:v>
                </c:pt>
                <c:pt idx="17">
                  <c:v>10956556</c:v>
                </c:pt>
                <c:pt idx="18">
                  <c:v>11079158</c:v>
                </c:pt>
                <c:pt idx="19">
                  <c:v>11212235</c:v>
                </c:pt>
                <c:pt idx="20">
                  <c:v>11333235</c:v>
                </c:pt>
                <c:pt idx="21">
                  <c:v>11453098</c:v>
                </c:pt>
                <c:pt idx="22">
                  <c:v>11567205</c:v>
                </c:pt>
                <c:pt idx="23">
                  <c:v>11683376</c:v>
                </c:pt>
                <c:pt idx="24">
                  <c:v>11805312</c:v>
                </c:pt>
                <c:pt idx="25">
                  <c:v>11925485</c:v>
                </c:pt>
                <c:pt idx="26">
                  <c:v>12039975</c:v>
                </c:pt>
                <c:pt idx="27">
                  <c:v>12159719</c:v>
                </c:pt>
              </c:numCache>
            </c:numRef>
          </c:yVal>
          <c:smooth val="1"/>
          <c:extLst>
            <c:ext xmlns:c16="http://schemas.microsoft.com/office/drawing/2014/chart" uri="{C3380CC4-5D6E-409C-BE32-E72D297353CC}">
              <c16:uniqueId val="{00000001-8F50-4054-BBF1-3D51325C4C26}"/>
            </c:ext>
          </c:extLst>
        </c:ser>
        <c:ser>
          <c:idx val="2"/>
          <c:order val="2"/>
          <c:tx>
            <c:strRef>
              <c:f>Calculations!$C$105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Calculations!$D$105:$AE$105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8F50-4054-BBF1-3D51325C4C26}"/>
            </c:ext>
          </c:extLst>
        </c:ser>
        <c:ser>
          <c:idx val="3"/>
          <c:order val="3"/>
          <c:tx>
            <c:strRef>
              <c:f>Calculations!$C$106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Calculations!$D$106:$AE$106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8F50-4054-BBF1-3D51325C4C26}"/>
            </c:ext>
          </c:extLst>
        </c:ser>
        <c:ser>
          <c:idx val="4"/>
          <c:order val="4"/>
          <c:tx>
            <c:strRef>
              <c:f>Calculations!$C$107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Calculations!$D$107:$AE$107</c:f>
              <c:numCache>
                <c:formatCode>General</c:formatCode>
                <c:ptCount val="28"/>
                <c:pt idx="0">
                  <c:v>763439</c:v>
                </c:pt>
                <c:pt idx="1">
                  <c:v>741164</c:v>
                </c:pt>
                <c:pt idx="2">
                  <c:v>739818</c:v>
                </c:pt>
                <c:pt idx="3">
                  <c:v>740753</c:v>
                </c:pt>
                <c:pt idx="4">
                  <c:v>742265</c:v>
                </c:pt>
                <c:pt idx="5">
                  <c:v>742448</c:v>
                </c:pt>
                <c:pt idx="6">
                  <c:v>743225</c:v>
                </c:pt>
                <c:pt idx="7">
                  <c:v>744539</c:v>
                </c:pt>
                <c:pt idx="8">
                  <c:v>745092</c:v>
                </c:pt>
                <c:pt idx="9">
                  <c:v>746012</c:v>
                </c:pt>
                <c:pt idx="10">
                  <c:v>747087</c:v>
                </c:pt>
                <c:pt idx="11">
                  <c:v>747818</c:v>
                </c:pt>
                <c:pt idx="12">
                  <c:v>748208</c:v>
                </c:pt>
                <c:pt idx="13">
                  <c:v>748428</c:v>
                </c:pt>
                <c:pt idx="14">
                  <c:v>748864</c:v>
                </c:pt>
                <c:pt idx="15">
                  <c:v>749274</c:v>
                </c:pt>
                <c:pt idx="16">
                  <c:v>749827</c:v>
                </c:pt>
                <c:pt idx="17">
                  <c:v>750408</c:v>
                </c:pt>
                <c:pt idx="18">
                  <c:v>750619</c:v>
                </c:pt>
                <c:pt idx="19">
                  <c:v>751747</c:v>
                </c:pt>
                <c:pt idx="20">
                  <c:v>752186</c:v>
                </c:pt>
                <c:pt idx="21">
                  <c:v>752576</c:v>
                </c:pt>
                <c:pt idx="22">
                  <c:v>752746</c:v>
                </c:pt>
                <c:pt idx="23">
                  <c:v>753008</c:v>
                </c:pt>
                <c:pt idx="24">
                  <c:v>753725</c:v>
                </c:pt>
                <c:pt idx="25">
                  <c:v>754198</c:v>
                </c:pt>
                <c:pt idx="26">
                  <c:v>754389</c:v>
                </c:pt>
                <c:pt idx="27">
                  <c:v>754605</c:v>
                </c:pt>
              </c:numCache>
            </c:numRef>
          </c:yVal>
          <c:smooth val="1"/>
          <c:extLst>
            <c:ext xmlns:c16="http://schemas.microsoft.com/office/drawing/2014/chart" uri="{C3380CC4-5D6E-409C-BE32-E72D297353CC}">
              <c16:uniqueId val="{00000004-8F50-4054-BBF1-3D51325C4C26}"/>
            </c:ext>
          </c:extLst>
        </c:ser>
        <c:ser>
          <c:idx val="5"/>
          <c:order val="5"/>
          <c:tx>
            <c:strRef>
              <c:f>Calculations!$C$108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Calculations!$D$108:$AE$108</c:f>
              <c:numCache>
                <c:formatCode>General</c:formatCode>
                <c:ptCount val="28"/>
                <c:pt idx="0">
                  <c:v>37878464</c:v>
                </c:pt>
                <c:pt idx="1">
                  <c:v>40940166</c:v>
                </c:pt>
                <c:pt idx="2">
                  <c:v>46182064</c:v>
                </c:pt>
                <c:pt idx="3">
                  <c:v>51740406</c:v>
                </c:pt>
                <c:pt idx="4">
                  <c:v>56461273</c:v>
                </c:pt>
                <c:pt idx="5">
                  <c:v>58730679</c:v>
                </c:pt>
                <c:pt idx="6">
                  <c:v>60101696</c:v>
                </c:pt>
                <c:pt idx="7">
                  <c:v>61663147</c:v>
                </c:pt>
                <c:pt idx="8">
                  <c:v>62868874</c:v>
                </c:pt>
                <c:pt idx="9">
                  <c:v>63818760</c:v>
                </c:pt>
                <c:pt idx="10">
                  <c:v>64888107.000000007</c:v>
                </c:pt>
                <c:pt idx="11">
                  <c:v>66510223</c:v>
                </c:pt>
                <c:pt idx="12">
                  <c:v>67825363</c:v>
                </c:pt>
                <c:pt idx="13">
                  <c:v>68932243</c:v>
                </c:pt>
                <c:pt idx="14">
                  <c:v>70873024</c:v>
                </c:pt>
                <c:pt idx="15">
                  <c:v>72769089</c:v>
                </c:pt>
                <c:pt idx="16">
                  <c:v>75070816</c:v>
                </c:pt>
                <c:pt idx="17">
                  <c:v>77056648</c:v>
                </c:pt>
                <c:pt idx="18">
                  <c:v>78127480</c:v>
                </c:pt>
                <c:pt idx="19">
                  <c:v>79720940</c:v>
                </c:pt>
                <c:pt idx="20">
                  <c:v>80581863</c:v>
                </c:pt>
                <c:pt idx="21">
                  <c:v>81550713</c:v>
                </c:pt>
                <c:pt idx="22">
                  <c:v>82343758</c:v>
                </c:pt>
                <c:pt idx="23">
                  <c:v>83578865</c:v>
                </c:pt>
                <c:pt idx="24">
                  <c:v>85106026</c:v>
                </c:pt>
                <c:pt idx="25">
                  <c:v>86662193</c:v>
                </c:pt>
                <c:pt idx="26">
                  <c:v>87841270</c:v>
                </c:pt>
                <c:pt idx="27">
                  <c:v>89360298</c:v>
                </c:pt>
              </c:numCache>
            </c:numRef>
          </c:yVal>
          <c:smooth val="1"/>
          <c:extLst>
            <c:ext xmlns:c16="http://schemas.microsoft.com/office/drawing/2014/chart" uri="{C3380CC4-5D6E-409C-BE32-E72D297353CC}">
              <c16:uniqueId val="{00000005-8F50-4054-BBF1-3D51325C4C26}"/>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Calculations!$D$109:$AE$109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8F50-4054-BBF1-3D51325C4C26}"/>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Calculations!$D$110:$AE$110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8F50-4054-BBF1-3D51325C4C26}"/>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Calculations!$D$111:$AE$111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8F50-4054-BBF1-3D51325C4C26}"/>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Calculations!$D$112:$AE$112</c:f>
              <c:numCache>
                <c:formatCode>General</c:formatCode>
                <c:ptCount val="28"/>
                <c:pt idx="0">
                  <c:v>97511</c:v>
                </c:pt>
                <c:pt idx="1">
                  <c:v>81209</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pt idx="27">
                  <c:v>56017</c:v>
                </c:pt>
              </c:numCache>
            </c:numRef>
          </c:yVal>
          <c:smooth val="1"/>
          <c:extLst>
            <c:ext xmlns:c16="http://schemas.microsoft.com/office/drawing/2014/chart" uri="{C3380CC4-5D6E-409C-BE32-E72D297353CC}">
              <c16:uniqueId val="{00000009-8F50-4054-BBF1-3D51325C4C26}"/>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Calculations!$D$113:$AE$113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8F50-4054-BBF1-3D51325C4C26}"/>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Calculations!$D$114:$AE$114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8F50-4054-BBF1-3D51325C4C26}"/>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Calculations!$D$115:$AE$115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8F50-4054-BBF1-3D51325C4C26}"/>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Calculations!$D$116:$AE$116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8F50-4054-BBF1-3D51325C4C26}"/>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Calculations!$D$117:$AE$117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8F50-4054-BBF1-3D51325C4C26}"/>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Calculations!$D$118:$AE$118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8F50-4054-BBF1-3D51325C4C26}"/>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12</xdr:col>
      <xdr:colOff>559593</xdr:colOff>
      <xdr:row>156</xdr:row>
      <xdr:rowOff>178594</xdr:rowOff>
    </xdr:to>
    <xdr:graphicFrame macro="">
      <xdr:nvGraphicFramePr>
        <xdr:cNvPr id="8" name="Chart 7">
          <a:extLst>
            <a:ext uri="{FF2B5EF4-FFF2-40B4-BE49-F238E27FC236}">
              <a16:creationId xmlns:a16="http://schemas.microsoft.com/office/drawing/2014/main" id="{953A1912-C4D2-033E-C8F5-89B957AB7E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122</xdr:row>
      <xdr:rowOff>0</xdr:rowOff>
    </xdr:from>
    <xdr:to>
      <xdr:col>26</xdr:col>
      <xdr:colOff>77392</xdr:colOff>
      <xdr:row>157</xdr:row>
      <xdr:rowOff>20242</xdr:rowOff>
    </xdr:to>
    <xdr:graphicFrame macro="">
      <xdr:nvGraphicFramePr>
        <xdr:cNvPr id="9" name="Chart 8">
          <a:extLst>
            <a:ext uri="{FF2B5EF4-FFF2-40B4-BE49-F238E27FC236}">
              <a16:creationId xmlns:a16="http://schemas.microsoft.com/office/drawing/2014/main" id="{40C15155-1199-42EC-9E28-32C58CB25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eganMahajan/Documents/eps-us-analysis/InputData/fuels/BFPaT/BAU%20Fuel%20Prices%20and%20Taxes.xlsx" TargetMode="External"/><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mahajan/Documents/eps-us/InputData/elec/GBSC/PAGBSC.csv" TargetMode="External"/><Relationship Id="rId1" Type="http://schemas.openxmlformats.org/officeDocument/2006/relationships/externalLinkPath" Target="/Users/mmahajan/Documents/eps-us/InputData/elec/GBSC/PAGBSC.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han/Documents/eps-us-analysis/InputData/indst/PERAC/Proc%20Emis%20Reductions%20and%20Costs.xlsx" TargetMode="External"/><Relationship Id="rId1" Type="http://schemas.openxmlformats.org/officeDocument/2006/relationships/externalLinkPath" Target="/Users/Meghan/Documents/eps-us-analysis/InputData/indst/PERAC/Proc%20Emis%20Reductions%20and%20Cos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Hydrogen"/>
      <sheetName val="Transp Charging"/>
      <sheetName val="Other Fuels"/>
      <sheetName val="Inflation Reduction Act"/>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3">
          <cell r="A113" t="str">
            <v>The EIA SEDS document reports dollars that are not adjusted for inflation (according to associated technical notes document).  We</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sheetData>
      <sheetData sheetId="17"/>
      <sheetData sheetId="18">
        <row r="1">
          <cell r="D1" t="str">
            <v>Hydrogen ($/kg)</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workbookViewId="0">
      <selection activeCell="A24" sqref="A24"/>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832</v>
      </c>
    </row>
    <row r="3" spans="1:2" x14ac:dyDescent="0.25">
      <c r="A3" s="1" t="s">
        <v>53</v>
      </c>
      <c r="B3" s="3" t="s">
        <v>301</v>
      </c>
    </row>
    <row r="4" spans="1:2" x14ac:dyDescent="0.25">
      <c r="B4" t="s">
        <v>0</v>
      </c>
    </row>
    <row r="5" spans="1:2" x14ac:dyDescent="0.25">
      <c r="B5" s="2" t="s">
        <v>827</v>
      </c>
    </row>
    <row r="6" spans="1:2" x14ac:dyDescent="0.25">
      <c r="B6" t="s">
        <v>829</v>
      </c>
    </row>
    <row r="7" spans="1:2" x14ac:dyDescent="0.25">
      <c r="B7" t="s">
        <v>828</v>
      </c>
    </row>
    <row r="8" spans="1:2" x14ac:dyDescent="0.25">
      <c r="B8" t="s">
        <v>831</v>
      </c>
    </row>
    <row r="9" spans="1:2" x14ac:dyDescent="0.25">
      <c r="B9" t="s">
        <v>830</v>
      </c>
    </row>
    <row r="10" spans="1:2" x14ac:dyDescent="0.25">
      <c r="B10" t="s">
        <v>163</v>
      </c>
    </row>
    <row r="12" spans="1:2" x14ac:dyDescent="0.25">
      <c r="B12" s="3" t="s">
        <v>54</v>
      </c>
    </row>
    <row r="13" spans="1:2" x14ac:dyDescent="0.25">
      <c r="B13" t="s">
        <v>0</v>
      </c>
    </row>
    <row r="14" spans="1:2" x14ac:dyDescent="0.25">
      <c r="B14" s="2">
        <v>2020</v>
      </c>
    </row>
    <row r="15" spans="1:2" x14ac:dyDescent="0.25">
      <c r="B15" t="s">
        <v>55</v>
      </c>
    </row>
    <row r="16" spans="1:2" x14ac:dyDescent="0.25">
      <c r="B16" s="18" t="s">
        <v>273</v>
      </c>
    </row>
    <row r="17" spans="1:6" x14ac:dyDescent="0.25">
      <c r="B17" s="18" t="s">
        <v>272</v>
      </c>
    </row>
    <row r="18" spans="1:6" x14ac:dyDescent="0.25">
      <c r="B18" t="s">
        <v>56</v>
      </c>
    </row>
    <row r="20" spans="1:6" x14ac:dyDescent="0.25">
      <c r="A20" s="1" t="s">
        <v>16</v>
      </c>
    </row>
    <row r="21" spans="1:6" x14ac:dyDescent="0.25">
      <c r="A21" t="s">
        <v>833</v>
      </c>
    </row>
    <row r="22" spans="1:6" x14ac:dyDescent="0.25">
      <c r="A22" t="s">
        <v>834</v>
      </c>
    </row>
    <row r="23" spans="1:6" x14ac:dyDescent="0.25">
      <c r="A23" t="s">
        <v>835</v>
      </c>
    </row>
    <row r="26" spans="1:6" x14ac:dyDescent="0.25">
      <c r="A26" s="1" t="s">
        <v>157</v>
      </c>
    </row>
    <row r="27" spans="1:6" x14ac:dyDescent="0.25">
      <c r="A27" s="8">
        <f>'RECS HC2.1'!B24/SUM('RECS HC2.1'!B24,'RECS HC2.1'!B27)</f>
        <v>0.81308184246741677</v>
      </c>
      <c r="B27" t="s">
        <v>32</v>
      </c>
    </row>
    <row r="28" spans="1:6" x14ac:dyDescent="0.25">
      <c r="A28" s="8">
        <f>'RECS HC2.1'!B27/SUM('RECS HC2.1'!B24,'RECS HC2.1'!B27)</f>
        <v>0.18691815753258317</v>
      </c>
      <c r="B28" t="s">
        <v>33</v>
      </c>
    </row>
    <row r="30" spans="1:6" ht="30" x14ac:dyDescent="0.25">
      <c r="A30" s="10" t="s">
        <v>165</v>
      </c>
      <c r="B30">
        <f>10^6</f>
        <v>1000000</v>
      </c>
      <c r="C30" s="11"/>
      <c r="D30" s="12"/>
      <c r="E30" s="13"/>
    </row>
    <row r="31" spans="1:6" x14ac:dyDescent="0.25">
      <c r="A31" t="s">
        <v>173</v>
      </c>
      <c r="B31">
        <v>1000</v>
      </c>
      <c r="F31" s="13"/>
    </row>
  </sheetData>
  <hyperlinks>
    <hyperlink ref="B17" r:id="rId1" xr:uid="{4AF0AB73-D0E4-4FE5-BBEA-528CC825570E}"/>
    <hyperlink ref="B16"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6866-C9AD-4580-915B-E06E722741A3}">
  <sheetPr>
    <tabColor theme="0" tint="-0.34998626667073579"/>
  </sheetPr>
  <dimension ref="A1"/>
  <sheetViews>
    <sheetView workbookViewId="0">
      <selection activeCell="H42" sqref="H4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workbookViewId="0">
      <selection activeCell="H42" sqref="H42"/>
    </sheetView>
  </sheetViews>
  <sheetFormatPr defaultRowHeight="15" x14ac:dyDescent="0.25"/>
  <cols>
    <col min="1" max="1" width="27.42578125" customWidth="1"/>
    <col min="2" max="2" width="102" bestFit="1" customWidth="1"/>
  </cols>
  <sheetData>
    <row r="1" spans="1:35" x14ac:dyDescent="0.25">
      <c r="A1" t="s">
        <v>176</v>
      </c>
    </row>
    <row r="2" spans="1:35" x14ac:dyDescent="0.25">
      <c r="A2" t="s">
        <v>344</v>
      </c>
    </row>
    <row r="3" spans="1:35" x14ac:dyDescent="0.25">
      <c r="A3" t="s">
        <v>345</v>
      </c>
    </row>
    <row r="4" spans="1:35" x14ac:dyDescent="0.25">
      <c r="A4" t="s">
        <v>177</v>
      </c>
    </row>
    <row r="5" spans="1:35" x14ac:dyDescent="0.25">
      <c r="B5" t="s">
        <v>178</v>
      </c>
      <c r="C5" t="s">
        <v>179</v>
      </c>
      <c r="D5" t="s">
        <v>180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346</v>
      </c>
    </row>
    <row r="6" spans="1:35" x14ac:dyDescent="0.25">
      <c r="A6" t="s">
        <v>2</v>
      </c>
    </row>
    <row r="7" spans="1:35" x14ac:dyDescent="0.25">
      <c r="A7" t="s">
        <v>181</v>
      </c>
    </row>
    <row r="8" spans="1:35" x14ac:dyDescent="0.25">
      <c r="A8" t="s">
        <v>182</v>
      </c>
      <c r="B8" t="s">
        <v>347</v>
      </c>
      <c r="C8" t="s">
        <v>348</v>
      </c>
      <c r="D8" t="s">
        <v>183</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16">
        <v>1.4999999999999999E-2</v>
      </c>
    </row>
    <row r="9" spans="1:35" x14ac:dyDescent="0.25">
      <c r="A9" t="s">
        <v>184</v>
      </c>
      <c r="B9" t="s">
        <v>349</v>
      </c>
      <c r="C9" t="s">
        <v>350</v>
      </c>
      <c r="D9" t="s">
        <v>183</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16">
        <v>5.0000000000000001E-3</v>
      </c>
    </row>
    <row r="10" spans="1:35" x14ac:dyDescent="0.25">
      <c r="A10" t="s">
        <v>185</v>
      </c>
      <c r="B10" t="s">
        <v>351</v>
      </c>
      <c r="C10" t="s">
        <v>352</v>
      </c>
      <c r="D10" t="s">
        <v>183</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16">
        <v>-1E-3</v>
      </c>
    </row>
    <row r="11" spans="1:35" x14ac:dyDescent="0.25">
      <c r="A11" t="s">
        <v>186</v>
      </c>
      <c r="B11" t="s">
        <v>353</v>
      </c>
      <c r="C11" t="s">
        <v>354</v>
      </c>
      <c r="D11" t="s">
        <v>183</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16">
        <v>0.01</v>
      </c>
    </row>
    <row r="12" spans="1:35" x14ac:dyDescent="0.25">
      <c r="A12" t="s">
        <v>187</v>
      </c>
      <c r="B12" t="s">
        <v>355</v>
      </c>
      <c r="C12" t="s">
        <v>356</v>
      </c>
      <c r="D12" t="s">
        <v>183</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16">
        <v>-7.0000000000000001E-3</v>
      </c>
    </row>
    <row r="13" spans="1:35" x14ac:dyDescent="0.25">
      <c r="A13" t="s">
        <v>149</v>
      </c>
      <c r="B13" t="s">
        <v>357</v>
      </c>
      <c r="C13" t="s">
        <v>358</v>
      </c>
      <c r="D13" t="s">
        <v>183</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16">
        <v>-1E-3</v>
      </c>
    </row>
    <row r="14" spans="1:35" x14ac:dyDescent="0.25">
      <c r="A14" t="s">
        <v>188</v>
      </c>
      <c r="B14" t="s">
        <v>359</v>
      </c>
      <c r="C14" t="s">
        <v>360</v>
      </c>
      <c r="D14" t="s">
        <v>183</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16">
        <v>0.104</v>
      </c>
    </row>
    <row r="15" spans="1:35" x14ac:dyDescent="0.25">
      <c r="A15" t="s">
        <v>189</v>
      </c>
      <c r="B15" t="s">
        <v>361</v>
      </c>
      <c r="C15" t="s">
        <v>362</v>
      </c>
      <c r="D15" t="s">
        <v>183</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16">
        <v>-8.0000000000000002E-3</v>
      </c>
    </row>
    <row r="16" spans="1:35" x14ac:dyDescent="0.25">
      <c r="A16" t="s">
        <v>190</v>
      </c>
      <c r="B16" t="s">
        <v>363</v>
      </c>
      <c r="C16" t="s">
        <v>364</v>
      </c>
      <c r="D16" t="s">
        <v>183</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16">
        <v>4.1000000000000002E-2</v>
      </c>
    </row>
    <row r="17" spans="1:35" x14ac:dyDescent="0.25">
      <c r="A17" t="s">
        <v>191</v>
      </c>
      <c r="B17" t="s">
        <v>365</v>
      </c>
      <c r="C17" t="s">
        <v>366</v>
      </c>
      <c r="D17" t="s">
        <v>183</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16">
        <v>8.0000000000000002E-3</v>
      </c>
    </row>
    <row r="18" spans="1:35" x14ac:dyDescent="0.25">
      <c r="A18" t="s">
        <v>192</v>
      </c>
    </row>
    <row r="19" spans="1:35" x14ac:dyDescent="0.25">
      <c r="A19" t="s">
        <v>182</v>
      </c>
      <c r="B19" t="s">
        <v>367</v>
      </c>
      <c r="C19" t="s">
        <v>368</v>
      </c>
      <c r="D19" t="s">
        <v>183</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16">
        <v>1.4999999999999999E-2</v>
      </c>
    </row>
    <row r="20" spans="1:35" x14ac:dyDescent="0.25">
      <c r="A20" t="s">
        <v>185</v>
      </c>
      <c r="B20" t="s">
        <v>369</v>
      </c>
      <c r="C20" t="s">
        <v>370</v>
      </c>
      <c r="D20" t="s">
        <v>183</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16">
        <v>-1E-3</v>
      </c>
    </row>
    <row r="21" spans="1:35" x14ac:dyDescent="0.25">
      <c r="A21" t="s">
        <v>190</v>
      </c>
      <c r="B21" t="s">
        <v>371</v>
      </c>
      <c r="C21" t="s">
        <v>372</v>
      </c>
      <c r="D21" t="s">
        <v>183</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16">
        <v>4.1000000000000002E-2</v>
      </c>
    </row>
    <row r="22" spans="1:35" x14ac:dyDescent="0.25">
      <c r="A22" t="s">
        <v>193</v>
      </c>
      <c r="B22" t="s">
        <v>373</v>
      </c>
      <c r="C22" t="s">
        <v>374</v>
      </c>
      <c r="D22" t="s">
        <v>183</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16">
        <v>1.7999999999999999E-2</v>
      </c>
    </row>
    <row r="23" spans="1:35" x14ac:dyDescent="0.25">
      <c r="A23" t="s">
        <v>194</v>
      </c>
      <c r="B23" t="s">
        <v>375</v>
      </c>
      <c r="C23" t="s">
        <v>376</v>
      </c>
      <c r="D23" t="s">
        <v>183</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16">
        <v>0</v>
      </c>
    </row>
    <row r="24" spans="1:35" x14ac:dyDescent="0.25">
      <c r="A24" t="s">
        <v>191</v>
      </c>
      <c r="B24" t="s">
        <v>377</v>
      </c>
      <c r="C24" t="s">
        <v>378</v>
      </c>
      <c r="D24" t="s">
        <v>183</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16">
        <v>1.0999999999999999E-2</v>
      </c>
    </row>
    <row r="25" spans="1:35" x14ac:dyDescent="0.25">
      <c r="A25" t="s">
        <v>195</v>
      </c>
    </row>
    <row r="26" spans="1:35" x14ac:dyDescent="0.25">
      <c r="A26" t="s">
        <v>196</v>
      </c>
      <c r="B26" t="s">
        <v>379</v>
      </c>
      <c r="C26" t="s">
        <v>380</v>
      </c>
      <c r="D26" t="s">
        <v>183</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16">
        <v>6.0000000000000001E-3</v>
      </c>
    </row>
    <row r="27" spans="1:35" x14ac:dyDescent="0.25">
      <c r="A27" t="s">
        <v>197</v>
      </c>
      <c r="B27" t="s">
        <v>381</v>
      </c>
      <c r="C27" t="s">
        <v>382</v>
      </c>
      <c r="D27" t="s">
        <v>183</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16">
        <v>8.9999999999999993E-3</v>
      </c>
    </row>
    <row r="28" spans="1:35" x14ac:dyDescent="0.25">
      <c r="A28" t="s">
        <v>187</v>
      </c>
      <c r="B28" t="s">
        <v>383</v>
      </c>
      <c r="C28" t="s">
        <v>384</v>
      </c>
      <c r="D28" t="s">
        <v>183</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16">
        <v>-1.4E-2</v>
      </c>
    </row>
    <row r="29" spans="1:35" x14ac:dyDescent="0.25">
      <c r="A29" t="s">
        <v>149</v>
      </c>
      <c r="B29" t="s">
        <v>385</v>
      </c>
      <c r="C29" t="s">
        <v>386</v>
      </c>
      <c r="D29" t="s">
        <v>183</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16">
        <v>-1.2999999999999999E-2</v>
      </c>
    </row>
    <row r="30" spans="1:35" x14ac:dyDescent="0.25">
      <c r="A30" t="s">
        <v>198</v>
      </c>
      <c r="B30" t="s">
        <v>387</v>
      </c>
      <c r="C30" t="s">
        <v>388</v>
      </c>
      <c r="D30" t="s">
        <v>183</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16">
        <v>3.4000000000000002E-2</v>
      </c>
    </row>
    <row r="31" spans="1:35" x14ac:dyDescent="0.25">
      <c r="A31" t="s">
        <v>191</v>
      </c>
      <c r="B31" t="s">
        <v>389</v>
      </c>
      <c r="C31" t="s">
        <v>390</v>
      </c>
      <c r="D31" t="s">
        <v>183</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16">
        <v>8.0000000000000002E-3</v>
      </c>
    </row>
    <row r="32" spans="1:35" x14ac:dyDescent="0.25">
      <c r="A32" t="s">
        <v>199</v>
      </c>
    </row>
    <row r="33" spans="1:35" x14ac:dyDescent="0.25">
      <c r="A33" t="s">
        <v>196</v>
      </c>
      <c r="B33" t="s">
        <v>391</v>
      </c>
      <c r="C33" t="s">
        <v>392</v>
      </c>
      <c r="D33" t="s">
        <v>183</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16">
        <v>5.0000000000000001E-3</v>
      </c>
    </row>
    <row r="34" spans="1:35" x14ac:dyDescent="0.25">
      <c r="A34" t="s">
        <v>197</v>
      </c>
      <c r="B34" t="s">
        <v>393</v>
      </c>
      <c r="C34" t="s">
        <v>394</v>
      </c>
      <c r="D34" t="s">
        <v>183</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16">
        <v>0.01</v>
      </c>
    </row>
    <row r="35" spans="1:35" x14ac:dyDescent="0.25">
      <c r="A35" t="s">
        <v>149</v>
      </c>
      <c r="B35" t="s">
        <v>395</v>
      </c>
      <c r="C35" t="s">
        <v>396</v>
      </c>
      <c r="D35" t="s">
        <v>183</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16">
        <v>-4.0000000000000001E-3</v>
      </c>
    </row>
    <row r="36" spans="1:35" x14ac:dyDescent="0.25">
      <c r="A36" t="s">
        <v>191</v>
      </c>
      <c r="B36" t="s">
        <v>397</v>
      </c>
      <c r="C36" t="s">
        <v>398</v>
      </c>
      <c r="D36" t="s">
        <v>183</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16">
        <v>6.0000000000000001E-3</v>
      </c>
    </row>
    <row r="37" spans="1:35" x14ac:dyDescent="0.25">
      <c r="A37" t="s">
        <v>200</v>
      </c>
    </row>
    <row r="38" spans="1:35" x14ac:dyDescent="0.25">
      <c r="A38" t="s">
        <v>196</v>
      </c>
      <c r="B38" t="s">
        <v>399</v>
      </c>
      <c r="C38" t="s">
        <v>400</v>
      </c>
      <c r="D38" t="s">
        <v>183</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16">
        <v>1.4999999999999999E-2</v>
      </c>
    </row>
    <row r="39" spans="1:35" x14ac:dyDescent="0.25">
      <c r="A39" t="s">
        <v>197</v>
      </c>
      <c r="B39" t="s">
        <v>401</v>
      </c>
      <c r="C39" t="s">
        <v>402</v>
      </c>
      <c r="D39" t="s">
        <v>183</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16">
        <v>1.4999999999999999E-2</v>
      </c>
    </row>
    <row r="40" spans="1:35" x14ac:dyDescent="0.25">
      <c r="A40" t="s">
        <v>191</v>
      </c>
      <c r="B40" t="s">
        <v>403</v>
      </c>
      <c r="C40" t="s">
        <v>404</v>
      </c>
      <c r="D40" t="s">
        <v>183</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16">
        <v>1.4999999999999999E-2</v>
      </c>
    </row>
    <row r="41" spans="1:35" x14ac:dyDescent="0.25">
      <c r="A41" t="s">
        <v>201</v>
      </c>
    </row>
    <row r="42" spans="1:35" x14ac:dyDescent="0.25">
      <c r="A42" t="s">
        <v>202</v>
      </c>
      <c r="B42" t="s">
        <v>405</v>
      </c>
      <c r="C42" t="s">
        <v>406</v>
      </c>
      <c r="D42" t="s">
        <v>183</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16">
        <v>8.0000000000000002E-3</v>
      </c>
    </row>
    <row r="43" spans="1:35" x14ac:dyDescent="0.25">
      <c r="A43" t="s">
        <v>203</v>
      </c>
      <c r="B43" t="s">
        <v>407</v>
      </c>
      <c r="C43" t="s">
        <v>408</v>
      </c>
      <c r="D43" t="s">
        <v>183</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16">
        <v>7.0000000000000001E-3</v>
      </c>
    </row>
    <row r="44" spans="1:35" x14ac:dyDescent="0.25">
      <c r="A44" t="s">
        <v>3</v>
      </c>
    </row>
    <row r="45" spans="1:35" x14ac:dyDescent="0.25">
      <c r="A45" t="s">
        <v>181</v>
      </c>
    </row>
    <row r="46" spans="1:35" x14ac:dyDescent="0.25">
      <c r="A46" t="s">
        <v>204</v>
      </c>
      <c r="B46" t="s">
        <v>409</v>
      </c>
      <c r="C46" t="s">
        <v>410</v>
      </c>
      <c r="D46" t="s">
        <v>205</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16">
        <v>4.0000000000000001E-3</v>
      </c>
    </row>
    <row r="47" spans="1:35" x14ac:dyDescent="0.25">
      <c r="A47" t="s">
        <v>206</v>
      </c>
      <c r="B47" t="s">
        <v>411</v>
      </c>
      <c r="C47" t="s">
        <v>412</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16">
        <v>0</v>
      </c>
    </row>
    <row r="48" spans="1:35" x14ac:dyDescent="0.25">
      <c r="A48" t="s">
        <v>208</v>
      </c>
      <c r="B48" t="s">
        <v>413</v>
      </c>
      <c r="C48" t="s">
        <v>414</v>
      </c>
      <c r="D48" t="s">
        <v>209</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16">
        <v>2E-3</v>
      </c>
    </row>
    <row r="49" spans="1:35" x14ac:dyDescent="0.25">
      <c r="A49" t="s">
        <v>210</v>
      </c>
      <c r="B49" t="s">
        <v>415</v>
      </c>
      <c r="C49" t="s">
        <v>416</v>
      </c>
      <c r="D49" t="s">
        <v>211</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16">
        <v>2E-3</v>
      </c>
    </row>
    <row r="50" spans="1:35" x14ac:dyDescent="0.25">
      <c r="A50" t="s">
        <v>212</v>
      </c>
      <c r="B50" t="s">
        <v>417</v>
      </c>
      <c r="C50" t="s">
        <v>418</v>
      </c>
      <c r="D50" t="s">
        <v>211</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16">
        <v>1E-3</v>
      </c>
    </row>
    <row r="51" spans="1:35" x14ac:dyDescent="0.25">
      <c r="A51" t="s">
        <v>213</v>
      </c>
    </row>
    <row r="52" spans="1:35" x14ac:dyDescent="0.25">
      <c r="A52" t="s">
        <v>214</v>
      </c>
      <c r="B52" t="s">
        <v>419</v>
      </c>
      <c r="C52" t="s">
        <v>420</v>
      </c>
      <c r="D52" t="s">
        <v>215</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16">
        <v>5.0000000000000001E-3</v>
      </c>
    </row>
    <row r="53" spans="1:35" x14ac:dyDescent="0.25">
      <c r="A53" t="s">
        <v>206</v>
      </c>
      <c r="B53" t="s">
        <v>421</v>
      </c>
      <c r="C53" t="s">
        <v>422</v>
      </c>
      <c r="D53" t="s">
        <v>207</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16">
        <v>4.0000000000000001E-3</v>
      </c>
    </row>
    <row r="54" spans="1:35" x14ac:dyDescent="0.25">
      <c r="A54" t="s">
        <v>216</v>
      </c>
      <c r="B54" t="s">
        <v>423</v>
      </c>
      <c r="C54" t="s">
        <v>424</v>
      </c>
      <c r="D54" t="s">
        <v>217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16">
        <v>2E-3</v>
      </c>
    </row>
    <row r="55" spans="1:35" x14ac:dyDescent="0.25">
      <c r="A55" t="s">
        <v>218</v>
      </c>
      <c r="B55" t="s">
        <v>425</v>
      </c>
      <c r="C55" t="s">
        <v>426</v>
      </c>
      <c r="D55" t="s">
        <v>215</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16">
        <v>5.0000000000000001E-3</v>
      </c>
    </row>
    <row r="56" spans="1:35" x14ac:dyDescent="0.25">
      <c r="A56" t="s">
        <v>219</v>
      </c>
      <c r="B56" t="s">
        <v>427</v>
      </c>
      <c r="C56" t="s">
        <v>428</v>
      </c>
      <c r="D56" t="s">
        <v>217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16">
        <v>3.0000000000000001E-3</v>
      </c>
    </row>
    <row r="57" spans="1:35" x14ac:dyDescent="0.25">
      <c r="A57" t="s">
        <v>220</v>
      </c>
    </row>
    <row r="58" spans="1:35" x14ac:dyDescent="0.25">
      <c r="A58" t="s">
        <v>221</v>
      </c>
      <c r="B58" t="s">
        <v>429</v>
      </c>
      <c r="C58" t="s">
        <v>430</v>
      </c>
      <c r="D58" t="s">
        <v>222</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16">
        <v>2E-3</v>
      </c>
    </row>
    <row r="59" spans="1:35" x14ac:dyDescent="0.25">
      <c r="A59" t="s">
        <v>223</v>
      </c>
      <c r="B59" t="s">
        <v>431</v>
      </c>
      <c r="C59" t="s">
        <v>432</v>
      </c>
      <c r="D59" t="s">
        <v>222</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16">
        <v>0</v>
      </c>
    </row>
    <row r="60" spans="1:35" x14ac:dyDescent="0.25">
      <c r="A60" t="s">
        <v>224</v>
      </c>
      <c r="B60" t="s">
        <v>433</v>
      </c>
      <c r="C60" t="s">
        <v>434</v>
      </c>
      <c r="D60" t="s">
        <v>222</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16">
        <v>3.0000000000000001E-3</v>
      </c>
    </row>
    <row r="61" spans="1:35" x14ac:dyDescent="0.25">
      <c r="A61" t="s">
        <v>225</v>
      </c>
      <c r="B61" t="s">
        <v>435</v>
      </c>
      <c r="C61" t="s">
        <v>436</v>
      </c>
      <c r="D61" t="s">
        <v>222</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16">
        <v>1E-3</v>
      </c>
    </row>
    <row r="62" spans="1:35" x14ac:dyDescent="0.25">
      <c r="A62" t="s">
        <v>226</v>
      </c>
    </row>
    <row r="63" spans="1:35" x14ac:dyDescent="0.25">
      <c r="A63" t="s">
        <v>202</v>
      </c>
      <c r="B63" t="s">
        <v>437</v>
      </c>
      <c r="C63" t="s">
        <v>438</v>
      </c>
      <c r="D63" t="s">
        <v>227</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16">
        <v>-6.0000000000000001E-3</v>
      </c>
    </row>
    <row r="64" spans="1:35" x14ac:dyDescent="0.25">
      <c r="A64" t="s">
        <v>203</v>
      </c>
      <c r="B64" t="s">
        <v>439</v>
      </c>
      <c r="C64" t="s">
        <v>440</v>
      </c>
      <c r="D64" t="s">
        <v>227</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16">
        <v>-6.0000000000000001E-3</v>
      </c>
    </row>
    <row r="65" spans="1:35" x14ac:dyDescent="0.25">
      <c r="A65" t="s">
        <v>228</v>
      </c>
    </row>
    <row r="66" spans="1:35" x14ac:dyDescent="0.25">
      <c r="A66" t="s">
        <v>229</v>
      </c>
    </row>
    <row r="67" spans="1:35" x14ac:dyDescent="0.25">
      <c r="A67" t="s">
        <v>230</v>
      </c>
      <c r="B67" t="s">
        <v>441</v>
      </c>
      <c r="C67" t="s">
        <v>442</v>
      </c>
      <c r="D67" t="s">
        <v>231</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16">
        <v>-8.0000000000000002E-3</v>
      </c>
    </row>
    <row r="68" spans="1:35" x14ac:dyDescent="0.25">
      <c r="A68" t="s">
        <v>232</v>
      </c>
      <c r="B68" t="s">
        <v>443</v>
      </c>
      <c r="C68" t="s">
        <v>444</v>
      </c>
      <c r="D68" t="s">
        <v>231</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16">
        <v>2E-3</v>
      </c>
    </row>
    <row r="69" spans="1:35" x14ac:dyDescent="0.25">
      <c r="A69" t="s">
        <v>233</v>
      </c>
      <c r="B69" t="s">
        <v>445</v>
      </c>
      <c r="C69" t="s">
        <v>446</v>
      </c>
      <c r="D69" t="s">
        <v>231</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16">
        <v>-6.0000000000000001E-3</v>
      </c>
    </row>
    <row r="70" spans="1:35" x14ac:dyDescent="0.25">
      <c r="A70" t="s">
        <v>213</v>
      </c>
    </row>
    <row r="71" spans="1:35" x14ac:dyDescent="0.25">
      <c r="A71" t="s">
        <v>230</v>
      </c>
      <c r="B71" t="s">
        <v>447</v>
      </c>
      <c r="C71" t="s">
        <v>448</v>
      </c>
      <c r="D71" t="s">
        <v>231</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16">
        <v>-3.0000000000000001E-3</v>
      </c>
    </row>
    <row r="72" spans="1:35" x14ac:dyDescent="0.25">
      <c r="A72" t="s">
        <v>232</v>
      </c>
      <c r="B72" t="s">
        <v>449</v>
      </c>
      <c r="C72" t="s">
        <v>450</v>
      </c>
      <c r="D72" t="s">
        <v>231</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16">
        <v>1E-3</v>
      </c>
    </row>
    <row r="73" spans="1:35" x14ac:dyDescent="0.25">
      <c r="A73" t="s">
        <v>233</v>
      </c>
      <c r="B73" t="s">
        <v>451</v>
      </c>
      <c r="C73" t="s">
        <v>452</v>
      </c>
      <c r="D73" t="s">
        <v>231</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16">
        <v>-2E-3</v>
      </c>
    </row>
    <row r="74" spans="1:35" x14ac:dyDescent="0.25">
      <c r="A74" t="s">
        <v>234</v>
      </c>
    </row>
    <row r="75" spans="1:35" x14ac:dyDescent="0.25">
      <c r="A75" t="s">
        <v>235</v>
      </c>
    </row>
    <row r="76" spans="1:35" x14ac:dyDescent="0.25">
      <c r="A76" t="s">
        <v>175</v>
      </c>
    </row>
    <row r="77" spans="1:35" x14ac:dyDescent="0.25">
      <c r="A77" t="s">
        <v>236</v>
      </c>
      <c r="B77" t="s">
        <v>453</v>
      </c>
      <c r="C77" t="s">
        <v>454</v>
      </c>
      <c r="D77" t="s">
        <v>237</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25">
      <c r="A78" t="s">
        <v>238</v>
      </c>
      <c r="B78" t="s">
        <v>455</v>
      </c>
      <c r="C78" t="s">
        <v>456</v>
      </c>
      <c r="D78" t="s">
        <v>237</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16">
        <v>6.5000000000000002E-2</v>
      </c>
    </row>
    <row r="79" spans="1:35" x14ac:dyDescent="0.25">
      <c r="A79" t="s">
        <v>239</v>
      </c>
      <c r="B79" t="s">
        <v>457</v>
      </c>
      <c r="C79" t="s">
        <v>458</v>
      </c>
      <c r="D79" t="s">
        <v>237</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16">
        <v>2.8000000000000001E-2</v>
      </c>
    </row>
    <row r="80" spans="1:35" x14ac:dyDescent="0.25">
      <c r="A80" t="s">
        <v>191</v>
      </c>
      <c r="B80" t="s">
        <v>459</v>
      </c>
      <c r="C80" t="s">
        <v>460</v>
      </c>
      <c r="D80" t="s">
        <v>237</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16">
        <v>6.5000000000000002E-2</v>
      </c>
    </row>
    <row r="81" spans="1:35" s="49" customFormat="1" x14ac:dyDescent="0.25">
      <c r="A81" s="49" t="s">
        <v>174</v>
      </c>
    </row>
    <row r="82" spans="1:35" x14ac:dyDescent="0.25">
      <c r="A82" t="s">
        <v>236</v>
      </c>
      <c r="B82" t="s">
        <v>461</v>
      </c>
      <c r="C82" t="s">
        <v>462</v>
      </c>
      <c r="D82" t="s">
        <v>240</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25">
      <c r="A83" t="s">
        <v>238</v>
      </c>
      <c r="B83" t="s">
        <v>463</v>
      </c>
      <c r="C83" t="s">
        <v>464</v>
      </c>
      <c r="D83" t="s">
        <v>240</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16">
        <v>6.6000000000000003E-2</v>
      </c>
    </row>
    <row r="84" spans="1:35" s="1" customFormat="1" x14ac:dyDescent="0.25">
      <c r="A84" s="1" t="s">
        <v>239</v>
      </c>
      <c r="B84" s="1" t="s">
        <v>465</v>
      </c>
      <c r="C84" s="1" t="s">
        <v>466</v>
      </c>
      <c r="D84" s="1" t="s">
        <v>240</v>
      </c>
      <c r="F84" s="1">
        <v>6.9006999999999999E-2</v>
      </c>
      <c r="G84" s="1">
        <v>7.4813000000000004E-2</v>
      </c>
      <c r="H84" s="1">
        <v>8.1044000000000005E-2</v>
      </c>
      <c r="I84" s="1">
        <v>8.7524000000000005E-2</v>
      </c>
      <c r="J84" s="1">
        <v>9.4131000000000006E-2</v>
      </c>
      <c r="K84" s="1">
        <v>0.100814</v>
      </c>
      <c r="L84" s="1">
        <v>0.10752100000000001</v>
      </c>
      <c r="M84" s="1">
        <v>0.114228</v>
      </c>
      <c r="N84" s="1">
        <v>0.120911</v>
      </c>
      <c r="O84" s="1">
        <v>0.12756999999999999</v>
      </c>
      <c r="P84" s="1">
        <v>0.134214</v>
      </c>
      <c r="Q84" s="1">
        <v>0.14060900000000001</v>
      </c>
      <c r="R84" s="1">
        <v>0.14061199999999999</v>
      </c>
      <c r="S84" s="1">
        <v>0.14061899999999999</v>
      </c>
      <c r="T84" s="1">
        <v>0.14063100000000001</v>
      </c>
      <c r="U84" s="1">
        <v>0.140654</v>
      </c>
      <c r="V84" s="1">
        <v>0.14069799999999999</v>
      </c>
      <c r="W84" s="1">
        <v>0.14077799999999999</v>
      </c>
      <c r="X84" s="1">
        <v>0.14092499999999999</v>
      </c>
      <c r="Y84" s="1">
        <v>0.14119499999999999</v>
      </c>
      <c r="Z84" s="1">
        <v>0.14146500000000001</v>
      </c>
      <c r="AA84" s="1">
        <v>0.141736</v>
      </c>
      <c r="AB84" s="1">
        <v>0.14200699999999999</v>
      </c>
      <c r="AC84" s="1">
        <v>0.14227999999999999</v>
      </c>
      <c r="AD84" s="1">
        <v>0.14255399999999999</v>
      </c>
      <c r="AE84" s="1">
        <v>0.14282900000000001</v>
      </c>
      <c r="AF84" s="1">
        <v>0.14310400000000001</v>
      </c>
      <c r="AG84" s="1">
        <v>0.14337900000000001</v>
      </c>
      <c r="AH84" s="1">
        <v>0.143655</v>
      </c>
      <c r="AI84" s="48">
        <v>2.7E-2</v>
      </c>
    </row>
    <row r="85" spans="1:35" x14ac:dyDescent="0.25">
      <c r="A85" t="s">
        <v>191</v>
      </c>
      <c r="B85" t="s">
        <v>467</v>
      </c>
      <c r="C85" t="s">
        <v>468</v>
      </c>
      <c r="D85" t="s">
        <v>240</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16">
        <v>6.6000000000000003E-2</v>
      </c>
    </row>
    <row r="86" spans="1:35" x14ac:dyDescent="0.25">
      <c r="A86" t="s">
        <v>241</v>
      </c>
    </row>
    <row r="87" spans="1:35" x14ac:dyDescent="0.25">
      <c r="A87" t="s">
        <v>242</v>
      </c>
      <c r="B87" t="s">
        <v>469</v>
      </c>
      <c r="C87" t="s">
        <v>470</v>
      </c>
      <c r="D87" t="s">
        <v>240</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16">
        <v>7.6999999999999999E-2</v>
      </c>
    </row>
    <row r="88" spans="1:35" x14ac:dyDescent="0.25">
      <c r="A88" t="s">
        <v>243</v>
      </c>
      <c r="B88" t="s">
        <v>471</v>
      </c>
      <c r="C88" t="s">
        <v>472</v>
      </c>
      <c r="D88" t="s">
        <v>240</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16">
        <v>6.4000000000000001E-2</v>
      </c>
    </row>
    <row r="89" spans="1:35" x14ac:dyDescent="0.25">
      <c r="A89" t="s">
        <v>244</v>
      </c>
    </row>
    <row r="90" spans="1:35" x14ac:dyDescent="0.25">
      <c r="A90" t="s">
        <v>236</v>
      </c>
      <c r="B90" t="s">
        <v>473</v>
      </c>
      <c r="C90" t="s">
        <v>474</v>
      </c>
      <c r="D90" t="s">
        <v>245</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25">
      <c r="A91" t="s">
        <v>238</v>
      </c>
      <c r="B91" t="s">
        <v>475</v>
      </c>
      <c r="C91" t="s">
        <v>476</v>
      </c>
      <c r="D91" t="s">
        <v>245</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16">
        <v>6.5000000000000002E-2</v>
      </c>
    </row>
    <row r="92" spans="1:35" x14ac:dyDescent="0.25">
      <c r="A92" t="s">
        <v>239</v>
      </c>
      <c r="B92" t="s">
        <v>477</v>
      </c>
      <c r="C92" t="s">
        <v>478</v>
      </c>
      <c r="D92" t="s">
        <v>245</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16">
        <v>2.7E-2</v>
      </c>
    </row>
    <row r="93" spans="1:35" x14ac:dyDescent="0.25">
      <c r="A93" t="s">
        <v>191</v>
      </c>
      <c r="B93" t="s">
        <v>479</v>
      </c>
      <c r="C93" t="s">
        <v>480</v>
      </c>
      <c r="D93" t="s">
        <v>245</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16">
        <v>6.5000000000000002E-2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54BB1-F435-4277-98CC-C79FDF16BDAB}">
  <dimension ref="A1:AG93"/>
  <sheetViews>
    <sheetView topLeftCell="A55" zoomScale="90" zoomScaleNormal="90" workbookViewId="0">
      <selection activeCell="H42" sqref="H42"/>
    </sheetView>
  </sheetViews>
  <sheetFormatPr defaultRowHeight="15" x14ac:dyDescent="0.25"/>
  <cols>
    <col min="1" max="1" width="27.42578125" customWidth="1"/>
    <col min="2" max="2" width="42.5703125" customWidth="1"/>
    <col min="3" max="3" width="34.5703125" customWidth="1"/>
  </cols>
  <sheetData>
    <row r="1" spans="1:33" x14ac:dyDescent="0.25">
      <c r="A1" t="s">
        <v>176</v>
      </c>
    </row>
    <row r="2" spans="1:33" x14ac:dyDescent="0.25">
      <c r="A2" t="s">
        <v>717</v>
      </c>
    </row>
    <row r="3" spans="1:33" x14ac:dyDescent="0.25">
      <c r="A3" t="s">
        <v>716</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715</v>
      </c>
    </row>
    <row r="6" spans="1:33" x14ac:dyDescent="0.25">
      <c r="A6" t="s">
        <v>2</v>
      </c>
    </row>
    <row r="7" spans="1:33" x14ac:dyDescent="0.25">
      <c r="A7" t="s">
        <v>181</v>
      </c>
    </row>
    <row r="8" spans="1:33" x14ac:dyDescent="0.25">
      <c r="A8" t="s">
        <v>182</v>
      </c>
      <c r="B8" t="s">
        <v>714</v>
      </c>
      <c r="C8" t="s">
        <v>713</v>
      </c>
      <c r="D8" t="s">
        <v>183</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184</v>
      </c>
      <c r="B9" t="s">
        <v>712</v>
      </c>
      <c r="C9" t="s">
        <v>711</v>
      </c>
      <c r="D9" t="s">
        <v>183</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185</v>
      </c>
      <c r="B10" t="s">
        <v>710</v>
      </c>
      <c r="C10" t="s">
        <v>709</v>
      </c>
      <c r="D10" t="s">
        <v>183</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186</v>
      </c>
      <c r="B11" t="s">
        <v>708</v>
      </c>
      <c r="C11" t="s">
        <v>707</v>
      </c>
      <c r="D11" t="s">
        <v>183</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187</v>
      </c>
      <c r="B12" t="s">
        <v>706</v>
      </c>
      <c r="C12" t="s">
        <v>705</v>
      </c>
      <c r="D12" t="s">
        <v>183</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149</v>
      </c>
      <c r="B13" t="s">
        <v>704</v>
      </c>
      <c r="C13" t="s">
        <v>703</v>
      </c>
      <c r="D13" t="s">
        <v>183</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188</v>
      </c>
      <c r="B14" t="s">
        <v>702</v>
      </c>
      <c r="C14" t="s">
        <v>701</v>
      </c>
      <c r="D14" t="s">
        <v>183</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189</v>
      </c>
      <c r="B15" t="s">
        <v>700</v>
      </c>
      <c r="C15" t="s">
        <v>699</v>
      </c>
      <c r="D15" t="s">
        <v>183</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190</v>
      </c>
      <c r="B16" t="s">
        <v>698</v>
      </c>
      <c r="C16" t="s">
        <v>697</v>
      </c>
      <c r="D16" t="s">
        <v>183</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191</v>
      </c>
      <c r="B17" t="s">
        <v>696</v>
      </c>
      <c r="C17" t="s">
        <v>695</v>
      </c>
      <c r="D17" t="s">
        <v>183</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192</v>
      </c>
    </row>
    <row r="19" spans="1:33" x14ac:dyDescent="0.25">
      <c r="A19" t="s">
        <v>182</v>
      </c>
      <c r="B19" t="s">
        <v>694</v>
      </c>
      <c r="C19" t="s">
        <v>693</v>
      </c>
      <c r="D19" t="s">
        <v>183</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185</v>
      </c>
      <c r="B20" t="s">
        <v>692</v>
      </c>
      <c r="C20" t="s">
        <v>691</v>
      </c>
      <c r="D20" t="s">
        <v>183</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190</v>
      </c>
      <c r="B21" t="s">
        <v>690</v>
      </c>
      <c r="C21" t="s">
        <v>689</v>
      </c>
      <c r="D21" t="s">
        <v>183</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193</v>
      </c>
      <c r="B22" t="s">
        <v>688</v>
      </c>
      <c r="C22" t="s">
        <v>687</v>
      </c>
      <c r="D22" t="s">
        <v>183</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194</v>
      </c>
      <c r="B23" t="s">
        <v>686</v>
      </c>
      <c r="C23" t="s">
        <v>685</v>
      </c>
      <c r="D23" t="s">
        <v>183</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191</v>
      </c>
      <c r="B24" t="s">
        <v>684</v>
      </c>
      <c r="C24" t="s">
        <v>683</v>
      </c>
      <c r="D24" t="s">
        <v>183</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195</v>
      </c>
    </row>
    <row r="26" spans="1:33" x14ac:dyDescent="0.25">
      <c r="A26" t="s">
        <v>196</v>
      </c>
      <c r="B26" t="s">
        <v>682</v>
      </c>
      <c r="C26" t="s">
        <v>681</v>
      </c>
      <c r="D26" t="s">
        <v>183</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197</v>
      </c>
      <c r="B27" t="s">
        <v>680</v>
      </c>
      <c r="C27" t="s">
        <v>679</v>
      </c>
      <c r="D27" t="s">
        <v>183</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187</v>
      </c>
      <c r="B28" t="s">
        <v>678</v>
      </c>
      <c r="C28" t="s">
        <v>677</v>
      </c>
      <c r="D28" t="s">
        <v>183</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149</v>
      </c>
      <c r="B29" t="s">
        <v>676</v>
      </c>
      <c r="C29" t="s">
        <v>675</v>
      </c>
      <c r="D29" t="s">
        <v>183</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198</v>
      </c>
      <c r="B30" t="s">
        <v>674</v>
      </c>
      <c r="C30" t="s">
        <v>673</v>
      </c>
      <c r="D30" t="s">
        <v>183</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191</v>
      </c>
      <c r="B31" t="s">
        <v>672</v>
      </c>
      <c r="C31" t="s">
        <v>671</v>
      </c>
      <c r="D31" t="s">
        <v>183</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199</v>
      </c>
    </row>
    <row r="33" spans="1:33" x14ac:dyDescent="0.25">
      <c r="A33" t="s">
        <v>196</v>
      </c>
      <c r="B33" t="s">
        <v>670</v>
      </c>
      <c r="C33" t="s">
        <v>669</v>
      </c>
      <c r="D33" t="s">
        <v>183</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197</v>
      </c>
      <c r="B34" t="s">
        <v>668</v>
      </c>
      <c r="C34" t="s">
        <v>667</v>
      </c>
      <c r="D34" t="s">
        <v>183</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149</v>
      </c>
      <c r="B35" t="s">
        <v>666</v>
      </c>
      <c r="C35" t="s">
        <v>665</v>
      </c>
      <c r="D35" t="s">
        <v>183</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191</v>
      </c>
      <c r="B36" t="s">
        <v>664</v>
      </c>
      <c r="C36" t="s">
        <v>663</v>
      </c>
      <c r="D36" t="s">
        <v>183</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200</v>
      </c>
    </row>
    <row r="38" spans="1:33" x14ac:dyDescent="0.25">
      <c r="A38" t="s">
        <v>196</v>
      </c>
      <c r="B38" t="s">
        <v>662</v>
      </c>
      <c r="C38" t="s">
        <v>661</v>
      </c>
      <c r="D38" t="s">
        <v>183</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197</v>
      </c>
      <c r="B39" t="s">
        <v>660</v>
      </c>
      <c r="C39" t="s">
        <v>659</v>
      </c>
      <c r="D39" t="s">
        <v>183</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191</v>
      </c>
      <c r="B40" t="s">
        <v>658</v>
      </c>
      <c r="C40" t="s">
        <v>657</v>
      </c>
      <c r="D40" t="s">
        <v>183</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201</v>
      </c>
    </row>
    <row r="42" spans="1:33" x14ac:dyDescent="0.25">
      <c r="A42" t="s">
        <v>202</v>
      </c>
      <c r="B42" t="s">
        <v>656</v>
      </c>
      <c r="C42" t="s">
        <v>655</v>
      </c>
      <c r="D42" t="s">
        <v>183</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203</v>
      </c>
      <c r="B43" t="s">
        <v>654</v>
      </c>
      <c r="C43" t="s">
        <v>653</v>
      </c>
      <c r="D43" t="s">
        <v>183</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3</v>
      </c>
    </row>
    <row r="45" spans="1:33" x14ac:dyDescent="0.25">
      <c r="A45" t="s">
        <v>181</v>
      </c>
    </row>
    <row r="46" spans="1:33" x14ac:dyDescent="0.25">
      <c r="A46" t="s">
        <v>204</v>
      </c>
      <c r="B46" t="s">
        <v>652</v>
      </c>
      <c r="C46" t="s">
        <v>651</v>
      </c>
      <c r="D46" t="s">
        <v>205</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206</v>
      </c>
      <c r="B47" t="s">
        <v>650</v>
      </c>
      <c r="C47" t="s">
        <v>649</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208</v>
      </c>
      <c r="B48" t="s">
        <v>648</v>
      </c>
      <c r="C48" t="s">
        <v>647</v>
      </c>
      <c r="D48" t="s">
        <v>209</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210</v>
      </c>
      <c r="B49" t="s">
        <v>646</v>
      </c>
      <c r="C49" t="s">
        <v>645</v>
      </c>
      <c r="D49" t="s">
        <v>211</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212</v>
      </c>
      <c r="B50" t="s">
        <v>644</v>
      </c>
      <c r="C50" t="s">
        <v>643</v>
      </c>
      <c r="D50" t="s">
        <v>211</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213</v>
      </c>
    </row>
    <row r="52" spans="1:33" x14ac:dyDescent="0.25">
      <c r="A52" t="s">
        <v>214</v>
      </c>
      <c r="B52" t="s">
        <v>642</v>
      </c>
      <c r="C52" t="s">
        <v>641</v>
      </c>
      <c r="D52" t="s">
        <v>215</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206</v>
      </c>
      <c r="B53" t="s">
        <v>640</v>
      </c>
      <c r="C53" t="s">
        <v>639</v>
      </c>
      <c r="D53" t="s">
        <v>207</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216</v>
      </c>
      <c r="B54" t="s">
        <v>638</v>
      </c>
      <c r="C54" t="s">
        <v>637</v>
      </c>
      <c r="D54" t="s">
        <v>217</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218</v>
      </c>
      <c r="B55" t="s">
        <v>636</v>
      </c>
      <c r="C55" t="s">
        <v>635</v>
      </c>
      <c r="D55" t="s">
        <v>215</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219</v>
      </c>
      <c r="B56" t="s">
        <v>634</v>
      </c>
      <c r="C56" t="s">
        <v>633</v>
      </c>
      <c r="D56" t="s">
        <v>217</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220</v>
      </c>
    </row>
    <row r="58" spans="1:33" x14ac:dyDescent="0.25">
      <c r="A58" t="s">
        <v>221</v>
      </c>
      <c r="B58" t="s">
        <v>632</v>
      </c>
      <c r="C58" t="s">
        <v>631</v>
      </c>
      <c r="D58" t="s">
        <v>222</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223</v>
      </c>
      <c r="B59" t="s">
        <v>630</v>
      </c>
      <c r="C59" t="s">
        <v>629</v>
      </c>
      <c r="D59" t="s">
        <v>222</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224</v>
      </c>
      <c r="B60" t="s">
        <v>628</v>
      </c>
      <c r="C60" t="s">
        <v>627</v>
      </c>
      <c r="D60" t="s">
        <v>222</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225</v>
      </c>
      <c r="B61" t="s">
        <v>626</v>
      </c>
      <c r="C61" t="s">
        <v>625</v>
      </c>
      <c r="D61" t="s">
        <v>222</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226</v>
      </c>
    </row>
    <row r="63" spans="1:33" x14ac:dyDescent="0.25">
      <c r="A63" t="s">
        <v>202</v>
      </c>
      <c r="B63" t="s">
        <v>624</v>
      </c>
      <c r="C63" t="s">
        <v>623</v>
      </c>
      <c r="D63" t="s">
        <v>227</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203</v>
      </c>
      <c r="B64" t="s">
        <v>622</v>
      </c>
      <c r="C64" t="s">
        <v>621</v>
      </c>
      <c r="D64" t="s">
        <v>227</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228</v>
      </c>
    </row>
    <row r="66" spans="1:33" x14ac:dyDescent="0.25">
      <c r="A66" t="s">
        <v>229</v>
      </c>
    </row>
    <row r="67" spans="1:33" x14ac:dyDescent="0.25">
      <c r="A67" t="s">
        <v>614</v>
      </c>
      <c r="B67" t="s">
        <v>620</v>
      </c>
      <c r="C67" t="s">
        <v>619</v>
      </c>
      <c r="D67" t="s">
        <v>231</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232</v>
      </c>
      <c r="B68" t="s">
        <v>618</v>
      </c>
      <c r="C68" t="s">
        <v>617</v>
      </c>
      <c r="D68" t="s">
        <v>231</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233</v>
      </c>
      <c r="B69" t="s">
        <v>616</v>
      </c>
      <c r="C69" t="s">
        <v>615</v>
      </c>
      <c r="D69" t="s">
        <v>231</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213</v>
      </c>
    </row>
    <row r="71" spans="1:33" x14ac:dyDescent="0.25">
      <c r="A71" t="s">
        <v>614</v>
      </c>
      <c r="B71" t="s">
        <v>613</v>
      </c>
      <c r="C71" t="s">
        <v>612</v>
      </c>
      <c r="D71" t="s">
        <v>231</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232</v>
      </c>
      <c r="B72" t="s">
        <v>611</v>
      </c>
      <c r="C72" t="s">
        <v>610</v>
      </c>
      <c r="D72" t="s">
        <v>231</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233</v>
      </c>
      <c r="B73" t="s">
        <v>609</v>
      </c>
      <c r="C73" t="s">
        <v>608</v>
      </c>
      <c r="D73" t="s">
        <v>231</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234</v>
      </c>
    </row>
    <row r="75" spans="1:33" x14ac:dyDescent="0.25">
      <c r="A75" t="s">
        <v>235</v>
      </c>
    </row>
    <row r="76" spans="1:33" s="49" customFormat="1" x14ac:dyDescent="0.25">
      <c r="A76" s="49" t="s">
        <v>175</v>
      </c>
    </row>
    <row r="77" spans="1:33" x14ac:dyDescent="0.25">
      <c r="A77" t="s">
        <v>236</v>
      </c>
      <c r="B77" t="s">
        <v>607</v>
      </c>
      <c r="C77" t="s">
        <v>606</v>
      </c>
      <c r="D77" t="s">
        <v>237</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238</v>
      </c>
      <c r="B78" t="s">
        <v>605</v>
      </c>
      <c r="C78" t="s">
        <v>604</v>
      </c>
      <c r="D78" t="s">
        <v>237</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239</v>
      </c>
      <c r="B79" t="s">
        <v>603</v>
      </c>
      <c r="C79" t="s">
        <v>602</v>
      </c>
      <c r="D79" t="s">
        <v>237</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191</v>
      </c>
      <c r="B80" t="s">
        <v>601</v>
      </c>
      <c r="C80" t="s">
        <v>600</v>
      </c>
      <c r="D80" t="s">
        <v>237</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9" customFormat="1" x14ac:dyDescent="0.25">
      <c r="A81" s="49" t="s">
        <v>174</v>
      </c>
    </row>
    <row r="82" spans="1:33" x14ac:dyDescent="0.25">
      <c r="A82" t="s">
        <v>236</v>
      </c>
      <c r="B82" t="s">
        <v>599</v>
      </c>
      <c r="C82" t="s">
        <v>598</v>
      </c>
      <c r="D82" t="s">
        <v>240</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238</v>
      </c>
      <c r="B83" t="s">
        <v>597</v>
      </c>
      <c r="C83" t="s">
        <v>596</v>
      </c>
      <c r="D83" t="s">
        <v>240</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239</v>
      </c>
      <c r="B84" s="1" t="s">
        <v>595</v>
      </c>
      <c r="C84" s="1" t="s">
        <v>594</v>
      </c>
      <c r="D84" s="1" t="s">
        <v>240</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8">
        <v>7.5999999999999998E-2</v>
      </c>
    </row>
    <row r="85" spans="1:33" x14ac:dyDescent="0.25">
      <c r="A85" t="s">
        <v>191</v>
      </c>
      <c r="B85" t="s">
        <v>593</v>
      </c>
      <c r="C85" t="s">
        <v>592</v>
      </c>
      <c r="D85" t="s">
        <v>240</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241</v>
      </c>
    </row>
    <row r="87" spans="1:33" x14ac:dyDescent="0.25">
      <c r="A87" t="s">
        <v>242</v>
      </c>
      <c r="B87" t="s">
        <v>591</v>
      </c>
      <c r="C87" t="s">
        <v>590</v>
      </c>
      <c r="D87" t="s">
        <v>240</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243</v>
      </c>
      <c r="B88" t="s">
        <v>589</v>
      </c>
      <c r="C88" t="s">
        <v>588</v>
      </c>
      <c r="D88" t="s">
        <v>240</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244</v>
      </c>
    </row>
    <row r="90" spans="1:33" x14ac:dyDescent="0.25">
      <c r="A90" t="s">
        <v>236</v>
      </c>
      <c r="B90" t="s">
        <v>587</v>
      </c>
      <c r="C90" t="s">
        <v>586</v>
      </c>
      <c r="D90" t="s">
        <v>245</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238</v>
      </c>
      <c r="B91" t="s">
        <v>585</v>
      </c>
      <c r="C91" t="s">
        <v>584</v>
      </c>
      <c r="D91" t="s">
        <v>245</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239</v>
      </c>
      <c r="B92" t="s">
        <v>583</v>
      </c>
      <c r="C92" t="s">
        <v>582</v>
      </c>
      <c r="D92" t="s">
        <v>245</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191</v>
      </c>
      <c r="B93" t="s">
        <v>581</v>
      </c>
      <c r="C93" t="s">
        <v>580</v>
      </c>
      <c r="D93" t="s">
        <v>245</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9" workbookViewId="0">
      <selection activeCell="H42" sqref="H42"/>
    </sheetView>
  </sheetViews>
  <sheetFormatPr defaultRowHeight="15" x14ac:dyDescent="0.25"/>
  <cols>
    <col min="1" max="1" width="25.7109375" customWidth="1"/>
    <col min="7" max="7" width="9.140625" style="1"/>
  </cols>
  <sheetData>
    <row r="1" spans="1:35" x14ac:dyDescent="0.25">
      <c r="A1" t="s">
        <v>246</v>
      </c>
    </row>
    <row r="2" spans="1:35" x14ac:dyDescent="0.25">
      <c r="A2" t="s">
        <v>481</v>
      </c>
    </row>
    <row r="3" spans="1:35" x14ac:dyDescent="0.25">
      <c r="A3" t="s">
        <v>482</v>
      </c>
    </row>
    <row r="4" spans="1:35" x14ac:dyDescent="0.25">
      <c r="A4" t="s">
        <v>177</v>
      </c>
    </row>
    <row r="5" spans="1:35" x14ac:dyDescent="0.25">
      <c r="B5" t="s">
        <v>178</v>
      </c>
      <c r="C5" t="s">
        <v>179</v>
      </c>
      <c r="D5" t="s">
        <v>180</v>
      </c>
      <c r="E5">
        <v>2021</v>
      </c>
      <c r="F5">
        <v>2022</v>
      </c>
      <c r="G5" s="1">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346</v>
      </c>
    </row>
    <row r="6" spans="1:35" x14ac:dyDescent="0.25">
      <c r="A6" t="s">
        <v>5</v>
      </c>
    </row>
    <row r="7" spans="1:35" x14ac:dyDescent="0.25">
      <c r="A7" t="s">
        <v>247</v>
      </c>
    </row>
    <row r="8" spans="1:35" x14ac:dyDescent="0.25">
      <c r="A8" t="s">
        <v>248</v>
      </c>
      <c r="B8" t="s">
        <v>483</v>
      </c>
      <c r="C8" t="s">
        <v>484</v>
      </c>
      <c r="D8" t="s">
        <v>249</v>
      </c>
      <c r="F8">
        <v>0.645733</v>
      </c>
      <c r="G8" s="1">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16">
        <v>-4.0000000000000001E-3</v>
      </c>
    </row>
    <row r="9" spans="1:35" x14ac:dyDescent="0.25">
      <c r="A9" t="s">
        <v>250</v>
      </c>
      <c r="B9" t="s">
        <v>485</v>
      </c>
      <c r="C9" t="s">
        <v>484</v>
      </c>
      <c r="D9" t="s">
        <v>249</v>
      </c>
      <c r="F9">
        <v>1.0231920000000001</v>
      </c>
      <c r="G9" s="1">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16">
        <v>2E-3</v>
      </c>
    </row>
    <row r="10" spans="1:35" x14ac:dyDescent="0.25">
      <c r="A10" t="s">
        <v>251</v>
      </c>
      <c r="B10" t="s">
        <v>486</v>
      </c>
      <c r="C10" t="s">
        <v>484</v>
      </c>
      <c r="D10" t="s">
        <v>249</v>
      </c>
      <c r="F10">
        <v>0.376753</v>
      </c>
      <c r="G10" s="1">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16">
        <v>1E-3</v>
      </c>
    </row>
    <row r="11" spans="1:35" x14ac:dyDescent="0.25">
      <c r="A11" t="s">
        <v>252</v>
      </c>
      <c r="B11" t="s">
        <v>487</v>
      </c>
      <c r="C11" t="s">
        <v>484</v>
      </c>
      <c r="D11" t="s">
        <v>249</v>
      </c>
      <c r="F11">
        <v>0.55955699999999997</v>
      </c>
      <c r="G11" s="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16">
        <v>2E-3</v>
      </c>
    </row>
    <row r="12" spans="1:35" x14ac:dyDescent="0.25">
      <c r="A12" t="s">
        <v>253</v>
      </c>
      <c r="B12" t="s">
        <v>488</v>
      </c>
      <c r="C12" t="s">
        <v>484</v>
      </c>
      <c r="D12" t="s">
        <v>249</v>
      </c>
      <c r="F12">
        <v>0.53744599999999998</v>
      </c>
      <c r="G12" s="1">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16">
        <v>5.0000000000000001E-3</v>
      </c>
    </row>
    <row r="13" spans="1:35" x14ac:dyDescent="0.25">
      <c r="A13" t="s">
        <v>254</v>
      </c>
      <c r="B13" t="s">
        <v>489</v>
      </c>
      <c r="C13" t="s">
        <v>484</v>
      </c>
      <c r="D13" t="s">
        <v>249</v>
      </c>
      <c r="F13">
        <v>0.59619900000000003</v>
      </c>
      <c r="G13" s="1">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16">
        <v>6.0000000000000001E-3</v>
      </c>
    </row>
    <row r="14" spans="1:35" x14ac:dyDescent="0.25">
      <c r="A14" t="s">
        <v>255</v>
      </c>
      <c r="B14" t="s">
        <v>490</v>
      </c>
      <c r="C14" t="s">
        <v>484</v>
      </c>
      <c r="D14" t="s">
        <v>249</v>
      </c>
      <c r="F14">
        <v>0.90617099999999995</v>
      </c>
      <c r="G14" s="1">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16">
        <v>5.0000000000000001E-3</v>
      </c>
    </row>
    <row r="15" spans="1:35" x14ac:dyDescent="0.25">
      <c r="A15" t="s">
        <v>256</v>
      </c>
      <c r="B15" t="s">
        <v>491</v>
      </c>
      <c r="C15" t="s">
        <v>484</v>
      </c>
      <c r="D15" t="s">
        <v>249</v>
      </c>
      <c r="F15">
        <v>0.62007699999999999</v>
      </c>
      <c r="G15" s="1">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16">
        <v>0</v>
      </c>
    </row>
    <row r="16" spans="1:35" x14ac:dyDescent="0.25">
      <c r="A16" t="s">
        <v>257</v>
      </c>
      <c r="B16" t="s">
        <v>492</v>
      </c>
      <c r="C16" t="s">
        <v>484</v>
      </c>
      <c r="D16" t="s">
        <v>249</v>
      </c>
      <c r="F16">
        <v>1.411627</v>
      </c>
      <c r="G16" s="1">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16">
        <v>-1E-3</v>
      </c>
    </row>
    <row r="17" spans="1:35" x14ac:dyDescent="0.25">
      <c r="A17" t="s">
        <v>258</v>
      </c>
      <c r="B17" t="s">
        <v>493</v>
      </c>
      <c r="C17" t="s">
        <v>484</v>
      </c>
      <c r="D17" t="s">
        <v>249</v>
      </c>
      <c r="F17">
        <v>0.45086399999999999</v>
      </c>
      <c r="G17" s="1">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16">
        <v>0.01</v>
      </c>
    </row>
    <row r="18" spans="1:35" x14ac:dyDescent="0.25">
      <c r="A18" t="s">
        <v>259</v>
      </c>
      <c r="B18" t="s">
        <v>494</v>
      </c>
      <c r="C18" t="s">
        <v>484</v>
      </c>
      <c r="D18" t="s">
        <v>249</v>
      </c>
      <c r="F18">
        <v>0.40379300000000001</v>
      </c>
      <c r="G18" s="1">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16">
        <v>4.0000000000000001E-3</v>
      </c>
    </row>
    <row r="19" spans="1:35" x14ac:dyDescent="0.25">
      <c r="A19" t="s">
        <v>191</v>
      </c>
      <c r="B19" t="s">
        <v>495</v>
      </c>
      <c r="C19" t="s">
        <v>484</v>
      </c>
      <c r="D19" t="s">
        <v>249</v>
      </c>
      <c r="F19">
        <v>7.5314129999999997</v>
      </c>
      <c r="G19" s="1">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16">
        <v>2E-3</v>
      </c>
    </row>
    <row r="20" spans="1:35" x14ac:dyDescent="0.25">
      <c r="A20" t="s">
        <v>6</v>
      </c>
    </row>
    <row r="21" spans="1:35" x14ac:dyDescent="0.25">
      <c r="A21" t="s">
        <v>260</v>
      </c>
    </row>
    <row r="22" spans="1:35" x14ac:dyDescent="0.25">
      <c r="A22" t="s">
        <v>248</v>
      </c>
      <c r="B22" t="s">
        <v>496</v>
      </c>
      <c r="C22" t="s">
        <v>497</v>
      </c>
      <c r="D22" t="s">
        <v>261</v>
      </c>
      <c r="F22">
        <v>10.400917</v>
      </c>
      <c r="G22" s="1">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16">
        <v>5.0000000000000001E-3</v>
      </c>
    </row>
    <row r="23" spans="1:35" x14ac:dyDescent="0.25">
      <c r="A23" t="s">
        <v>250</v>
      </c>
      <c r="B23" t="s">
        <v>498</v>
      </c>
      <c r="C23" t="s">
        <v>499</v>
      </c>
      <c r="D23" t="s">
        <v>261</v>
      </c>
      <c r="F23">
        <v>13.515454</v>
      </c>
      <c r="G23" s="1">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16">
        <v>8.9999999999999993E-3</v>
      </c>
    </row>
    <row r="24" spans="1:35" x14ac:dyDescent="0.25">
      <c r="A24" t="s">
        <v>251</v>
      </c>
      <c r="B24" t="s">
        <v>500</v>
      </c>
      <c r="C24" t="s">
        <v>501</v>
      </c>
      <c r="D24" t="s">
        <v>261</v>
      </c>
      <c r="F24">
        <v>1.2914620000000001</v>
      </c>
      <c r="G24" s="1">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16">
        <v>6.0000000000000001E-3</v>
      </c>
    </row>
    <row r="25" spans="1:35" x14ac:dyDescent="0.25">
      <c r="A25" t="s">
        <v>252</v>
      </c>
      <c r="B25" t="s">
        <v>502</v>
      </c>
      <c r="C25" t="s">
        <v>503</v>
      </c>
      <c r="D25" t="s">
        <v>261</v>
      </c>
      <c r="F25">
        <v>1.8883460000000001</v>
      </c>
      <c r="G25" s="1">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16">
        <v>6.0000000000000001E-3</v>
      </c>
    </row>
    <row r="26" spans="1:35" x14ac:dyDescent="0.25">
      <c r="A26" t="s">
        <v>253</v>
      </c>
      <c r="B26" t="s">
        <v>504</v>
      </c>
      <c r="C26" t="s">
        <v>505</v>
      </c>
      <c r="D26" t="s">
        <v>261</v>
      </c>
      <c r="F26">
        <v>2.7018550000000001</v>
      </c>
      <c r="G26" s="1">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16">
        <v>1.2E-2</v>
      </c>
    </row>
    <row r="27" spans="1:35" x14ac:dyDescent="0.25">
      <c r="A27" t="s">
        <v>254</v>
      </c>
      <c r="B27" t="s">
        <v>506</v>
      </c>
      <c r="C27" t="s">
        <v>507</v>
      </c>
      <c r="D27" t="s">
        <v>261</v>
      </c>
      <c r="F27">
        <v>6.6874169999999999</v>
      </c>
      <c r="G27" s="1">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16">
        <v>1.2E-2</v>
      </c>
    </row>
    <row r="28" spans="1:35" x14ac:dyDescent="0.25">
      <c r="A28" t="s">
        <v>255</v>
      </c>
      <c r="B28" t="s">
        <v>508</v>
      </c>
      <c r="C28" t="s">
        <v>509</v>
      </c>
      <c r="D28" t="s">
        <v>261</v>
      </c>
      <c r="F28">
        <v>9.6037389999999991</v>
      </c>
      <c r="G28" s="1">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16">
        <v>6.0000000000000001E-3</v>
      </c>
    </row>
    <row r="29" spans="1:35" x14ac:dyDescent="0.25">
      <c r="A29" t="s">
        <v>256</v>
      </c>
      <c r="B29" t="s">
        <v>510</v>
      </c>
      <c r="C29" t="s">
        <v>511</v>
      </c>
      <c r="D29" t="s">
        <v>261</v>
      </c>
      <c r="F29">
        <v>9.1346969999999992</v>
      </c>
      <c r="G29" s="1">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16">
        <v>7.0000000000000001E-3</v>
      </c>
    </row>
    <row r="30" spans="1:35" x14ac:dyDescent="0.25">
      <c r="A30" t="s">
        <v>257</v>
      </c>
      <c r="B30" t="s">
        <v>512</v>
      </c>
      <c r="C30" t="s">
        <v>513</v>
      </c>
      <c r="D30" t="s">
        <v>261</v>
      </c>
      <c r="F30">
        <v>17.156851</v>
      </c>
      <c r="G30" s="1">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16">
        <v>7.0000000000000001E-3</v>
      </c>
    </row>
    <row r="31" spans="1:35" x14ac:dyDescent="0.25">
      <c r="A31" t="s">
        <v>258</v>
      </c>
      <c r="B31" t="s">
        <v>514</v>
      </c>
      <c r="C31" t="s">
        <v>515</v>
      </c>
      <c r="D31" t="s">
        <v>261</v>
      </c>
      <c r="F31">
        <v>15.59821</v>
      </c>
      <c r="G31" s="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16">
        <v>1.4999999999999999E-2</v>
      </c>
    </row>
    <row r="32" spans="1:35" x14ac:dyDescent="0.25">
      <c r="A32" t="s">
        <v>259</v>
      </c>
      <c r="B32" t="s">
        <v>516</v>
      </c>
      <c r="C32" t="s">
        <v>517</v>
      </c>
      <c r="D32" t="s">
        <v>261</v>
      </c>
      <c r="F32">
        <v>7.492591</v>
      </c>
      <c r="G32" s="1">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16">
        <v>1.0999999999999999E-2</v>
      </c>
    </row>
    <row r="33" spans="1:35" x14ac:dyDescent="0.25">
      <c r="A33" t="s">
        <v>191</v>
      </c>
      <c r="B33" t="s">
        <v>518</v>
      </c>
      <c r="C33" t="s">
        <v>519</v>
      </c>
      <c r="D33" t="s">
        <v>261</v>
      </c>
      <c r="F33">
        <v>95.471541999999999</v>
      </c>
      <c r="G33" s="1">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16">
        <v>8.9999999999999993E-3</v>
      </c>
    </row>
    <row r="34" spans="1:35" x14ac:dyDescent="0.25">
      <c r="A34" t="s">
        <v>3</v>
      </c>
    </row>
    <row r="35" spans="1:35" x14ac:dyDescent="0.25">
      <c r="A35" t="s">
        <v>229</v>
      </c>
    </row>
    <row r="36" spans="1:35" x14ac:dyDescent="0.25">
      <c r="A36" t="s">
        <v>147</v>
      </c>
      <c r="B36" t="s">
        <v>520</v>
      </c>
      <c r="C36" t="s">
        <v>521</v>
      </c>
      <c r="D36" t="s">
        <v>262</v>
      </c>
      <c r="F36">
        <v>1.600274</v>
      </c>
      <c r="G36" s="1">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16">
        <v>-4.0000000000000001E-3</v>
      </c>
    </row>
    <row r="37" spans="1:35" x14ac:dyDescent="0.25">
      <c r="A37" t="s">
        <v>197</v>
      </c>
      <c r="B37" t="s">
        <v>522</v>
      </c>
      <c r="C37" t="s">
        <v>523</v>
      </c>
      <c r="D37" t="s">
        <v>262</v>
      </c>
      <c r="F37">
        <v>0.79032500000000006</v>
      </c>
      <c r="G37" s="1">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16">
        <v>0</v>
      </c>
    </row>
    <row r="38" spans="1:35" x14ac:dyDescent="0.25">
      <c r="A38" t="s">
        <v>187</v>
      </c>
      <c r="B38" t="s">
        <v>524</v>
      </c>
      <c r="C38" t="s">
        <v>525</v>
      </c>
      <c r="D38" t="s">
        <v>262</v>
      </c>
      <c r="F38">
        <v>0.81107499999999999</v>
      </c>
      <c r="G38" s="1">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16">
        <v>1E-3</v>
      </c>
    </row>
    <row r="39" spans="1:35" x14ac:dyDescent="0.25">
      <c r="A39" t="s">
        <v>213</v>
      </c>
    </row>
    <row r="40" spans="1:35" x14ac:dyDescent="0.25">
      <c r="A40" t="s">
        <v>147</v>
      </c>
      <c r="B40" t="s">
        <v>526</v>
      </c>
      <c r="C40" t="s">
        <v>527</v>
      </c>
      <c r="D40" t="s">
        <v>262</v>
      </c>
      <c r="F40">
        <v>3.6319370000000002</v>
      </c>
      <c r="G40" s="1">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16">
        <v>6.0000000000000001E-3</v>
      </c>
    </row>
    <row r="41" spans="1:35" x14ac:dyDescent="0.25">
      <c r="A41" t="s">
        <v>197</v>
      </c>
      <c r="B41" t="s">
        <v>528</v>
      </c>
      <c r="C41" t="s">
        <v>529</v>
      </c>
      <c r="D41" t="s">
        <v>262</v>
      </c>
      <c r="F41">
        <v>0.79191</v>
      </c>
      <c r="G41" s="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16">
        <v>8.9999999999999993E-3</v>
      </c>
    </row>
    <row r="42" spans="1:35" x14ac:dyDescent="0.25">
      <c r="A42" t="s">
        <v>263</v>
      </c>
    </row>
    <row r="43" spans="1:35" x14ac:dyDescent="0.25">
      <c r="A43" t="s">
        <v>147</v>
      </c>
      <c r="B43" t="s">
        <v>530</v>
      </c>
      <c r="C43" t="s">
        <v>531</v>
      </c>
      <c r="D43" t="s">
        <v>262</v>
      </c>
      <c r="F43">
        <v>1.1589700000000001</v>
      </c>
      <c r="G43" s="1">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16">
        <v>7.0000000000000001E-3</v>
      </c>
    </row>
    <row r="44" spans="1:35" x14ac:dyDescent="0.25">
      <c r="A44" t="s">
        <v>197</v>
      </c>
      <c r="B44" t="s">
        <v>532</v>
      </c>
      <c r="C44" t="s">
        <v>533</v>
      </c>
      <c r="D44" t="s">
        <v>262</v>
      </c>
      <c r="F44">
        <v>0.89523200000000003</v>
      </c>
      <c r="G44" s="1">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16">
        <v>2E-3</v>
      </c>
    </row>
    <row r="45" spans="1:35" x14ac:dyDescent="0.25">
      <c r="A45" t="s">
        <v>187</v>
      </c>
      <c r="B45" t="s">
        <v>534</v>
      </c>
      <c r="C45" t="s">
        <v>535</v>
      </c>
      <c r="D45" t="s">
        <v>262</v>
      </c>
      <c r="F45">
        <v>0.80796599999999996</v>
      </c>
      <c r="G45" s="1">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16">
        <v>0</v>
      </c>
    </row>
    <row r="46" spans="1:35" x14ac:dyDescent="0.25">
      <c r="A46" t="s">
        <v>264</v>
      </c>
    </row>
    <row r="47" spans="1:35" x14ac:dyDescent="0.25">
      <c r="A47" t="s">
        <v>147</v>
      </c>
      <c r="B47" t="s">
        <v>536</v>
      </c>
      <c r="C47" t="s">
        <v>537</v>
      </c>
      <c r="D47" t="s">
        <v>265</v>
      </c>
      <c r="F47">
        <v>0.33524300000000001</v>
      </c>
      <c r="G47" s="1">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16">
        <v>2E-3</v>
      </c>
    </row>
    <row r="48" spans="1:35" x14ac:dyDescent="0.25">
      <c r="A48" t="s">
        <v>266</v>
      </c>
    </row>
    <row r="49" spans="1:35" x14ac:dyDescent="0.25">
      <c r="A49" t="s">
        <v>147</v>
      </c>
      <c r="B49" t="s">
        <v>538</v>
      </c>
      <c r="C49" t="s">
        <v>539</v>
      </c>
      <c r="D49" t="s">
        <v>262</v>
      </c>
      <c r="F49">
        <v>0.69347899999999996</v>
      </c>
      <c r="G49" s="1">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16">
        <v>0</v>
      </c>
    </row>
    <row r="50" spans="1:35" x14ac:dyDescent="0.25">
      <c r="A50" t="s">
        <v>197</v>
      </c>
      <c r="B50" t="s">
        <v>540</v>
      </c>
      <c r="C50" t="s">
        <v>541</v>
      </c>
      <c r="D50" t="s">
        <v>262</v>
      </c>
      <c r="F50">
        <v>0.31666699999999998</v>
      </c>
      <c r="G50" s="1">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16">
        <v>0</v>
      </c>
    </row>
    <row r="51" spans="1:35" x14ac:dyDescent="0.25">
      <c r="A51" t="s">
        <v>267</v>
      </c>
    </row>
    <row r="52" spans="1:35" x14ac:dyDescent="0.25">
      <c r="A52" t="s">
        <v>268</v>
      </c>
    </row>
    <row r="53" spans="1:35" x14ac:dyDescent="0.25">
      <c r="A53" t="s">
        <v>147</v>
      </c>
      <c r="B53" t="s">
        <v>542</v>
      </c>
      <c r="C53" t="s">
        <v>543</v>
      </c>
      <c r="D53" t="s">
        <v>269</v>
      </c>
      <c r="F53">
        <v>75.352576999999997</v>
      </c>
      <c r="G53" s="1">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16">
        <v>1.2E-2</v>
      </c>
    </row>
    <row r="54" spans="1:35" x14ac:dyDescent="0.25">
      <c r="A54" t="s">
        <v>270</v>
      </c>
    </row>
    <row r="55" spans="1:35" x14ac:dyDescent="0.25">
      <c r="A55" t="s">
        <v>147</v>
      </c>
      <c r="B55" t="s">
        <v>544</v>
      </c>
      <c r="C55" t="s">
        <v>545</v>
      </c>
      <c r="D55" t="s">
        <v>262</v>
      </c>
      <c r="F55">
        <v>3.0188060000000001</v>
      </c>
      <c r="G55" s="1">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16">
        <v>3.0000000000000001E-3</v>
      </c>
    </row>
    <row r="56" spans="1:35" x14ac:dyDescent="0.25">
      <c r="A56" t="s">
        <v>234</v>
      </c>
    </row>
    <row r="57" spans="1:35" x14ac:dyDescent="0.25">
      <c r="A57" t="s">
        <v>235</v>
      </c>
    </row>
    <row r="58" spans="1:35" x14ac:dyDescent="0.25">
      <c r="A58" s="1" t="s">
        <v>175</v>
      </c>
    </row>
    <row r="59" spans="1:35" x14ac:dyDescent="0.25">
      <c r="A59" t="s">
        <v>271</v>
      </c>
      <c r="B59" t="s">
        <v>546</v>
      </c>
      <c r="C59" t="s">
        <v>547</v>
      </c>
      <c r="D59" t="s">
        <v>237</v>
      </c>
      <c r="F59">
        <v>1.3979999999999999E-2</v>
      </c>
      <c r="G59" s="1">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16">
        <v>0</v>
      </c>
    </row>
    <row r="60" spans="1:35" x14ac:dyDescent="0.25">
      <c r="A60" t="s">
        <v>197</v>
      </c>
      <c r="B60" t="s">
        <v>548</v>
      </c>
      <c r="C60" t="s">
        <v>549</v>
      </c>
      <c r="D60" t="s">
        <v>237</v>
      </c>
      <c r="F60">
        <v>1.368147</v>
      </c>
      <c r="G60" s="1">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16">
        <v>1.0999999999999999E-2</v>
      </c>
    </row>
    <row r="61" spans="1:35" x14ac:dyDescent="0.25">
      <c r="A61" t="s">
        <v>238</v>
      </c>
      <c r="B61" t="s">
        <v>550</v>
      </c>
      <c r="C61" t="s">
        <v>551</v>
      </c>
      <c r="D61" t="s">
        <v>237</v>
      </c>
      <c r="F61">
        <v>22.491291</v>
      </c>
      <c r="G61" s="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16">
        <v>4.3999999999999997E-2</v>
      </c>
    </row>
    <row r="62" spans="1:35" x14ac:dyDescent="0.25">
      <c r="A62" t="s">
        <v>239</v>
      </c>
      <c r="B62" t="s">
        <v>552</v>
      </c>
      <c r="C62" t="s">
        <v>553</v>
      </c>
      <c r="D62" t="s">
        <v>237</v>
      </c>
      <c r="F62">
        <v>0.55488099999999996</v>
      </c>
      <c r="G62" s="1">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16">
        <v>1E-3</v>
      </c>
    </row>
    <row r="63" spans="1:35" x14ac:dyDescent="0.25">
      <c r="A63" t="s">
        <v>259</v>
      </c>
      <c r="B63" t="s">
        <v>554</v>
      </c>
      <c r="C63" t="s">
        <v>555</v>
      </c>
      <c r="D63" t="s">
        <v>237</v>
      </c>
      <c r="F63">
        <v>0.11776300000000001</v>
      </c>
      <c r="G63" s="1">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16">
        <v>0</v>
      </c>
    </row>
    <row r="64" spans="1:35" x14ac:dyDescent="0.25">
      <c r="A64" t="s">
        <v>191</v>
      </c>
      <c r="B64" t="s">
        <v>556</v>
      </c>
      <c r="C64" t="s">
        <v>557</v>
      </c>
      <c r="D64" t="s">
        <v>237</v>
      </c>
      <c r="F64">
        <v>24.546064000000001</v>
      </c>
      <c r="G64" s="1">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16">
        <v>4.2000000000000003E-2</v>
      </c>
    </row>
    <row r="65" spans="1:35" x14ac:dyDescent="0.25">
      <c r="A65" s="1" t="s">
        <v>174</v>
      </c>
    </row>
    <row r="66" spans="1:35" x14ac:dyDescent="0.25">
      <c r="A66" t="s">
        <v>271</v>
      </c>
      <c r="B66" t="s">
        <v>558</v>
      </c>
      <c r="C66" t="s">
        <v>559</v>
      </c>
      <c r="D66" t="s">
        <v>240</v>
      </c>
      <c r="F66">
        <v>9.7511E-2</v>
      </c>
      <c r="G66" s="1">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16">
        <v>0</v>
      </c>
    </row>
    <row r="67" spans="1:35" x14ac:dyDescent="0.25">
      <c r="A67" t="s">
        <v>197</v>
      </c>
      <c r="B67" t="s">
        <v>560</v>
      </c>
      <c r="C67" t="s">
        <v>561</v>
      </c>
      <c r="D67" t="s">
        <v>240</v>
      </c>
      <c r="F67">
        <v>9.5428239999999995</v>
      </c>
      <c r="G67" s="1">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16">
        <v>1.0999999999999999E-2</v>
      </c>
    </row>
    <row r="68" spans="1:35" x14ac:dyDescent="0.25">
      <c r="A68" t="s">
        <v>238</v>
      </c>
      <c r="B68" t="s">
        <v>562</v>
      </c>
      <c r="C68" t="s">
        <v>464</v>
      </c>
      <c r="D68" t="s">
        <v>240</v>
      </c>
      <c r="F68">
        <v>31.884121</v>
      </c>
      <c r="G68" s="1">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16">
        <v>4.2000000000000003E-2</v>
      </c>
    </row>
    <row r="69" spans="1:35" x14ac:dyDescent="0.25">
      <c r="A69" t="s">
        <v>239</v>
      </c>
      <c r="B69" t="s">
        <v>563</v>
      </c>
      <c r="C69" t="s">
        <v>466</v>
      </c>
      <c r="D69" t="s">
        <v>240</v>
      </c>
      <c r="F69">
        <v>0.75530799999999998</v>
      </c>
      <c r="G69" s="1">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16">
        <v>1E-3</v>
      </c>
    </row>
    <row r="70" spans="1:35" x14ac:dyDescent="0.25">
      <c r="A70" t="s">
        <v>259</v>
      </c>
      <c r="B70" t="s">
        <v>564</v>
      </c>
      <c r="C70" t="s">
        <v>565</v>
      </c>
      <c r="D70" t="s">
        <v>240</v>
      </c>
      <c r="F70">
        <v>0.86204999999999998</v>
      </c>
      <c r="G70" s="1">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16">
        <v>0</v>
      </c>
    </row>
    <row r="71" spans="1:35" x14ac:dyDescent="0.25">
      <c r="A71" t="s">
        <v>191</v>
      </c>
      <c r="B71" t="s">
        <v>566</v>
      </c>
      <c r="C71" t="s">
        <v>468</v>
      </c>
      <c r="D71" t="s">
        <v>240</v>
      </c>
      <c r="F71">
        <v>43.141810999999997</v>
      </c>
      <c r="G71" s="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16">
        <v>3.5999999999999997E-2</v>
      </c>
    </row>
    <row r="72" spans="1:35" x14ac:dyDescent="0.25">
      <c r="A72" t="s">
        <v>241</v>
      </c>
    </row>
    <row r="73" spans="1:35" x14ac:dyDescent="0.25">
      <c r="A73" t="s">
        <v>242</v>
      </c>
      <c r="B73" t="s">
        <v>567</v>
      </c>
      <c r="C73" t="s">
        <v>470</v>
      </c>
      <c r="D73" t="s">
        <v>240</v>
      </c>
      <c r="F73">
        <v>7.7965220000000004</v>
      </c>
      <c r="G73" s="1">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16">
        <v>1.0999999999999999E-2</v>
      </c>
    </row>
    <row r="74" spans="1:35" x14ac:dyDescent="0.25">
      <c r="A74" t="s">
        <v>243</v>
      </c>
      <c r="B74" t="s">
        <v>568</v>
      </c>
      <c r="C74" t="s">
        <v>472</v>
      </c>
      <c r="D74" t="s">
        <v>240</v>
      </c>
      <c r="F74">
        <v>35.345286999999999</v>
      </c>
      <c r="G74" s="1">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16">
        <v>0.04</v>
      </c>
    </row>
    <row r="75" spans="1:35" x14ac:dyDescent="0.25">
      <c r="A75" t="s">
        <v>244</v>
      </c>
    </row>
    <row r="76" spans="1:35" x14ac:dyDescent="0.25">
      <c r="A76" t="s">
        <v>271</v>
      </c>
      <c r="B76" t="s">
        <v>569</v>
      </c>
      <c r="C76" t="s">
        <v>570</v>
      </c>
      <c r="D76" t="s">
        <v>245</v>
      </c>
      <c r="F76">
        <v>1.0165280000000001</v>
      </c>
      <c r="G76" s="1">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16">
        <v>0</v>
      </c>
    </row>
    <row r="77" spans="1:35" x14ac:dyDescent="0.25">
      <c r="A77" t="s">
        <v>197</v>
      </c>
      <c r="B77" t="s">
        <v>571</v>
      </c>
      <c r="C77" t="s">
        <v>572</v>
      </c>
      <c r="D77" t="s">
        <v>245</v>
      </c>
      <c r="F77">
        <v>102.695099</v>
      </c>
      <c r="G77" s="1">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16">
        <v>1.0999999999999999E-2</v>
      </c>
    </row>
    <row r="78" spans="1:35" x14ac:dyDescent="0.25">
      <c r="A78" t="s">
        <v>238</v>
      </c>
      <c r="B78" t="s">
        <v>573</v>
      </c>
      <c r="C78" t="s">
        <v>476</v>
      </c>
      <c r="D78" t="s">
        <v>245</v>
      </c>
      <c r="F78">
        <v>261.81536899999998</v>
      </c>
      <c r="G78" s="1">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16">
        <v>4.2000000000000003E-2</v>
      </c>
    </row>
    <row r="79" spans="1:35" x14ac:dyDescent="0.25">
      <c r="A79" t="s">
        <v>239</v>
      </c>
      <c r="B79" t="s">
        <v>574</v>
      </c>
      <c r="C79" t="s">
        <v>478</v>
      </c>
      <c r="D79" t="s">
        <v>245</v>
      </c>
      <c r="F79">
        <v>6.7917750000000003</v>
      </c>
      <c r="G79" s="1">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16">
        <v>0</v>
      </c>
    </row>
    <row r="80" spans="1:35" x14ac:dyDescent="0.25">
      <c r="A80" t="s">
        <v>259</v>
      </c>
      <c r="B80" t="s">
        <v>575</v>
      </c>
      <c r="C80" t="s">
        <v>576</v>
      </c>
      <c r="D80" t="s">
        <v>245</v>
      </c>
      <c r="F80">
        <v>16.760142999999999</v>
      </c>
      <c r="G80" s="1">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16">
        <v>0</v>
      </c>
    </row>
    <row r="81" spans="1:35" x14ac:dyDescent="0.25">
      <c r="A81" t="s">
        <v>191</v>
      </c>
      <c r="B81" t="s">
        <v>577</v>
      </c>
      <c r="C81" t="s">
        <v>480</v>
      </c>
      <c r="D81" t="s">
        <v>245</v>
      </c>
      <c r="F81">
        <v>389.07888800000001</v>
      </c>
      <c r="G81" s="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16">
        <v>3.4000000000000002E-2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D7AE-769E-4749-8258-C6193598C5A3}">
  <dimension ref="A1:AG81"/>
  <sheetViews>
    <sheetView topLeftCell="A49" workbookViewId="0">
      <selection activeCell="H42" sqref="H42"/>
    </sheetView>
  </sheetViews>
  <sheetFormatPr defaultRowHeight="15" x14ac:dyDescent="0.25"/>
  <cols>
    <col min="1" max="1" width="37.42578125" customWidth="1"/>
    <col min="2" max="2" width="107.7109375" bestFit="1" customWidth="1"/>
  </cols>
  <sheetData>
    <row r="1" spans="1:33" x14ac:dyDescent="0.25">
      <c r="A1" t="s">
        <v>246</v>
      </c>
    </row>
    <row r="2" spans="1:33" x14ac:dyDescent="0.25">
      <c r="A2" t="s">
        <v>825</v>
      </c>
    </row>
    <row r="3" spans="1:33" x14ac:dyDescent="0.25">
      <c r="A3" t="s">
        <v>824</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715</v>
      </c>
    </row>
    <row r="6" spans="1:33" x14ac:dyDescent="0.25">
      <c r="A6" t="s">
        <v>5</v>
      </c>
    </row>
    <row r="7" spans="1:33" x14ac:dyDescent="0.25">
      <c r="A7" t="s">
        <v>247</v>
      </c>
    </row>
    <row r="8" spans="1:33" x14ac:dyDescent="0.25">
      <c r="A8" t="s">
        <v>248</v>
      </c>
      <c r="B8" t="s">
        <v>823</v>
      </c>
      <c r="C8" t="s">
        <v>822</v>
      </c>
      <c r="D8" t="s">
        <v>249</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250</v>
      </c>
      <c r="B9" t="s">
        <v>821</v>
      </c>
      <c r="C9" t="s">
        <v>820</v>
      </c>
      <c r="D9" t="s">
        <v>249</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251</v>
      </c>
      <c r="B10" t="s">
        <v>819</v>
      </c>
      <c r="C10" t="s">
        <v>818</v>
      </c>
      <c r="D10" t="s">
        <v>249</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252</v>
      </c>
      <c r="B11" t="s">
        <v>817</v>
      </c>
      <c r="C11" t="s">
        <v>816</v>
      </c>
      <c r="D11" t="s">
        <v>249</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253</v>
      </c>
      <c r="B12" t="s">
        <v>815</v>
      </c>
      <c r="C12" t="s">
        <v>814</v>
      </c>
      <c r="D12" t="s">
        <v>249</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254</v>
      </c>
      <c r="B13" t="s">
        <v>813</v>
      </c>
      <c r="C13" t="s">
        <v>812</v>
      </c>
      <c r="D13" t="s">
        <v>249</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255</v>
      </c>
      <c r="B14" t="s">
        <v>811</v>
      </c>
      <c r="C14" t="s">
        <v>810</v>
      </c>
      <c r="D14" t="s">
        <v>249</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256</v>
      </c>
      <c r="B15" t="s">
        <v>809</v>
      </c>
      <c r="C15" t="s">
        <v>808</v>
      </c>
      <c r="D15" t="s">
        <v>249</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257</v>
      </c>
      <c r="B16" t="s">
        <v>807</v>
      </c>
      <c r="C16" t="s">
        <v>806</v>
      </c>
      <c r="D16" t="s">
        <v>249</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258</v>
      </c>
      <c r="B17" t="s">
        <v>805</v>
      </c>
      <c r="C17" t="s">
        <v>804</v>
      </c>
      <c r="D17" t="s">
        <v>249</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259</v>
      </c>
      <c r="B18" t="s">
        <v>803</v>
      </c>
      <c r="C18" t="s">
        <v>802</v>
      </c>
      <c r="D18" t="s">
        <v>249</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191</v>
      </c>
      <c r="B19" t="s">
        <v>801</v>
      </c>
      <c r="C19" t="s">
        <v>800</v>
      </c>
      <c r="D19" t="s">
        <v>249</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6</v>
      </c>
    </row>
    <row r="21" spans="1:33" x14ac:dyDescent="0.25">
      <c r="A21" t="s">
        <v>260</v>
      </c>
    </row>
    <row r="22" spans="1:33" x14ac:dyDescent="0.25">
      <c r="A22" t="s">
        <v>248</v>
      </c>
      <c r="B22" t="s">
        <v>799</v>
      </c>
      <c r="C22" t="s">
        <v>798</v>
      </c>
      <c r="D22" t="s">
        <v>261</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250</v>
      </c>
      <c r="B23" t="s">
        <v>797</v>
      </c>
      <c r="C23" t="s">
        <v>796</v>
      </c>
      <c r="D23" t="s">
        <v>261</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251</v>
      </c>
      <c r="B24" t="s">
        <v>795</v>
      </c>
      <c r="C24" t="s">
        <v>794</v>
      </c>
      <c r="D24" t="s">
        <v>261</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252</v>
      </c>
      <c r="B25" t="s">
        <v>793</v>
      </c>
      <c r="C25" t="s">
        <v>792</v>
      </c>
      <c r="D25" t="s">
        <v>261</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253</v>
      </c>
      <c r="B26" t="s">
        <v>791</v>
      </c>
      <c r="C26" t="s">
        <v>790</v>
      </c>
      <c r="D26" t="s">
        <v>261</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254</v>
      </c>
      <c r="B27" t="s">
        <v>789</v>
      </c>
      <c r="C27" t="s">
        <v>788</v>
      </c>
      <c r="D27" t="s">
        <v>261</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255</v>
      </c>
      <c r="B28" t="s">
        <v>787</v>
      </c>
      <c r="C28" t="s">
        <v>786</v>
      </c>
      <c r="D28" t="s">
        <v>261</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256</v>
      </c>
      <c r="B29" t="s">
        <v>785</v>
      </c>
      <c r="C29" t="s">
        <v>784</v>
      </c>
      <c r="D29" t="s">
        <v>261</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257</v>
      </c>
      <c r="B30" t="s">
        <v>783</v>
      </c>
      <c r="C30" t="s">
        <v>782</v>
      </c>
      <c r="D30" t="s">
        <v>261</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258</v>
      </c>
      <c r="B31" t="s">
        <v>781</v>
      </c>
      <c r="C31" t="s">
        <v>780</v>
      </c>
      <c r="D31" t="s">
        <v>261</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259</v>
      </c>
      <c r="B32" t="s">
        <v>779</v>
      </c>
      <c r="C32" t="s">
        <v>778</v>
      </c>
      <c r="D32" t="s">
        <v>261</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191</v>
      </c>
      <c r="B33" t="s">
        <v>777</v>
      </c>
      <c r="C33" t="s">
        <v>776</v>
      </c>
      <c r="D33" t="s">
        <v>261</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3</v>
      </c>
    </row>
    <row r="35" spans="1:33" x14ac:dyDescent="0.25">
      <c r="A35" t="s">
        <v>229</v>
      </c>
    </row>
    <row r="36" spans="1:33" x14ac:dyDescent="0.25">
      <c r="A36" t="s">
        <v>147</v>
      </c>
      <c r="B36" t="s">
        <v>775</v>
      </c>
      <c r="C36" t="s">
        <v>774</v>
      </c>
      <c r="D36" t="s">
        <v>262</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197</v>
      </c>
      <c r="B37" t="s">
        <v>773</v>
      </c>
      <c r="C37" t="s">
        <v>772</v>
      </c>
      <c r="D37" t="s">
        <v>262</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187</v>
      </c>
      <c r="B38" t="s">
        <v>771</v>
      </c>
      <c r="C38" t="s">
        <v>770</v>
      </c>
      <c r="D38" t="s">
        <v>262</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213</v>
      </c>
    </row>
    <row r="40" spans="1:33" x14ac:dyDescent="0.25">
      <c r="A40" t="s">
        <v>147</v>
      </c>
      <c r="B40" t="s">
        <v>769</v>
      </c>
      <c r="C40" t="s">
        <v>768</v>
      </c>
      <c r="D40" t="s">
        <v>262</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197</v>
      </c>
      <c r="B41" t="s">
        <v>767</v>
      </c>
      <c r="C41" t="s">
        <v>766</v>
      </c>
      <c r="D41" t="s">
        <v>262</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263</v>
      </c>
    </row>
    <row r="43" spans="1:33" x14ac:dyDescent="0.25">
      <c r="A43" t="s">
        <v>147</v>
      </c>
      <c r="B43" t="s">
        <v>765</v>
      </c>
      <c r="C43" t="s">
        <v>764</v>
      </c>
      <c r="D43" t="s">
        <v>262</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197</v>
      </c>
      <c r="B44" t="s">
        <v>763</v>
      </c>
      <c r="C44" t="s">
        <v>762</v>
      </c>
      <c r="D44" t="s">
        <v>262</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187</v>
      </c>
      <c r="B45" t="s">
        <v>761</v>
      </c>
      <c r="C45" t="s">
        <v>760</v>
      </c>
      <c r="D45" t="s">
        <v>262</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264</v>
      </c>
    </row>
    <row r="47" spans="1:33" x14ac:dyDescent="0.25">
      <c r="A47" t="s">
        <v>147</v>
      </c>
      <c r="B47" t="s">
        <v>759</v>
      </c>
      <c r="C47" t="s">
        <v>758</v>
      </c>
      <c r="D47" t="s">
        <v>265</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266</v>
      </c>
    </row>
    <row r="49" spans="1:33" x14ac:dyDescent="0.25">
      <c r="A49" t="s">
        <v>147</v>
      </c>
      <c r="B49" t="s">
        <v>757</v>
      </c>
      <c r="C49" t="s">
        <v>756</v>
      </c>
      <c r="D49" t="s">
        <v>262</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197</v>
      </c>
      <c r="B50" t="s">
        <v>755</v>
      </c>
      <c r="C50" t="s">
        <v>754</v>
      </c>
      <c r="D50" t="s">
        <v>262</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267</v>
      </c>
    </row>
    <row r="52" spans="1:33" x14ac:dyDescent="0.25">
      <c r="A52" t="s">
        <v>268</v>
      </c>
    </row>
    <row r="53" spans="1:33" x14ac:dyDescent="0.25">
      <c r="A53" t="s">
        <v>147</v>
      </c>
      <c r="B53" t="s">
        <v>753</v>
      </c>
      <c r="C53" t="s">
        <v>752</v>
      </c>
      <c r="D53" t="s">
        <v>269</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270</v>
      </c>
    </row>
    <row r="55" spans="1:33" x14ac:dyDescent="0.25">
      <c r="A55" t="s">
        <v>147</v>
      </c>
      <c r="B55" t="s">
        <v>751</v>
      </c>
      <c r="C55" t="s">
        <v>750</v>
      </c>
      <c r="D55" t="s">
        <v>262</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234</v>
      </c>
    </row>
    <row r="57" spans="1:33" x14ac:dyDescent="0.25">
      <c r="A57" t="s">
        <v>235</v>
      </c>
    </row>
    <row r="58" spans="1:33" x14ac:dyDescent="0.25">
      <c r="A58" t="s">
        <v>175</v>
      </c>
    </row>
    <row r="59" spans="1:33" x14ac:dyDescent="0.25">
      <c r="A59" t="s">
        <v>271</v>
      </c>
      <c r="B59" t="s">
        <v>749</v>
      </c>
      <c r="C59" t="s">
        <v>748</v>
      </c>
      <c r="D59" t="s">
        <v>237</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197</v>
      </c>
      <c r="B60" t="s">
        <v>747</v>
      </c>
      <c r="C60" t="s">
        <v>746</v>
      </c>
      <c r="D60" t="s">
        <v>237</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238</v>
      </c>
      <c r="B61" t="s">
        <v>745</v>
      </c>
      <c r="C61" t="s">
        <v>744</v>
      </c>
      <c r="D61" t="s">
        <v>237</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239</v>
      </c>
      <c r="B62" t="s">
        <v>743</v>
      </c>
      <c r="C62" t="s">
        <v>742</v>
      </c>
      <c r="D62" t="s">
        <v>237</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259</v>
      </c>
      <c r="B63" t="s">
        <v>741</v>
      </c>
      <c r="C63" t="s">
        <v>740</v>
      </c>
      <c r="D63" t="s">
        <v>237</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191</v>
      </c>
      <c r="B64" t="s">
        <v>739</v>
      </c>
      <c r="C64" t="s">
        <v>738</v>
      </c>
      <c r="D64" t="s">
        <v>237</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174</v>
      </c>
    </row>
    <row r="66" spans="1:33" x14ac:dyDescent="0.25">
      <c r="A66" t="s">
        <v>271</v>
      </c>
      <c r="B66" t="s">
        <v>737</v>
      </c>
      <c r="C66" t="s">
        <v>736</v>
      </c>
      <c r="D66" t="s">
        <v>240</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197</v>
      </c>
      <c r="B67" t="s">
        <v>735</v>
      </c>
      <c r="C67" t="s">
        <v>734</v>
      </c>
      <c r="D67" t="s">
        <v>240</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238</v>
      </c>
      <c r="B68" t="s">
        <v>733</v>
      </c>
      <c r="C68" t="s">
        <v>596</v>
      </c>
      <c r="D68" t="s">
        <v>240</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239</v>
      </c>
      <c r="B69" t="s">
        <v>732</v>
      </c>
      <c r="C69" t="s">
        <v>594</v>
      </c>
      <c r="D69" t="s">
        <v>240</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259</v>
      </c>
      <c r="B70" t="s">
        <v>731</v>
      </c>
      <c r="C70" t="s">
        <v>730</v>
      </c>
      <c r="D70" t="s">
        <v>240</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191</v>
      </c>
      <c r="B71" t="s">
        <v>729</v>
      </c>
      <c r="C71" t="s">
        <v>592</v>
      </c>
      <c r="D71" t="s">
        <v>240</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241</v>
      </c>
    </row>
    <row r="73" spans="1:33" x14ac:dyDescent="0.25">
      <c r="A73" t="s">
        <v>242</v>
      </c>
      <c r="B73" t="s">
        <v>728</v>
      </c>
      <c r="C73" t="s">
        <v>590</v>
      </c>
      <c r="D73" t="s">
        <v>240</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243</v>
      </c>
      <c r="B74" t="s">
        <v>727</v>
      </c>
      <c r="C74" t="s">
        <v>588</v>
      </c>
      <c r="D74" t="s">
        <v>240</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244</v>
      </c>
    </row>
    <row r="76" spans="1:33" x14ac:dyDescent="0.25">
      <c r="A76" t="s">
        <v>271</v>
      </c>
      <c r="B76" t="s">
        <v>726</v>
      </c>
      <c r="C76" t="s">
        <v>725</v>
      </c>
      <c r="D76" t="s">
        <v>245</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197</v>
      </c>
      <c r="B77" t="s">
        <v>724</v>
      </c>
      <c r="C77" t="s">
        <v>723</v>
      </c>
      <c r="D77" t="s">
        <v>245</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238</v>
      </c>
      <c r="B78" t="s">
        <v>722</v>
      </c>
      <c r="C78" t="s">
        <v>584</v>
      </c>
      <c r="D78" t="s">
        <v>245</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239</v>
      </c>
      <c r="B79" t="s">
        <v>721</v>
      </c>
      <c r="C79" t="s">
        <v>582</v>
      </c>
      <c r="D79" t="s">
        <v>245</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259</v>
      </c>
      <c r="B80" t="s">
        <v>720</v>
      </c>
      <c r="C80" t="s">
        <v>719</v>
      </c>
      <c r="D80" t="s">
        <v>245</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191</v>
      </c>
      <c r="B81" t="s">
        <v>718</v>
      </c>
      <c r="C81" t="s">
        <v>580</v>
      </c>
      <c r="D81" t="s">
        <v>245</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activeCell="H42" sqref="H42"/>
    </sheetView>
  </sheetViews>
  <sheetFormatPr defaultRowHeight="15" x14ac:dyDescent="0.25"/>
  <cols>
    <col min="1" max="1" width="28.7109375" customWidth="1"/>
    <col min="2" max="7" width="11.7109375" customWidth="1"/>
  </cols>
  <sheetData>
    <row r="1" spans="1:7" x14ac:dyDescent="0.25">
      <c r="A1" s="66" t="s">
        <v>274</v>
      </c>
      <c r="B1" s="66"/>
    </row>
    <row r="2" spans="1:7" ht="24" customHeight="1" x14ac:dyDescent="0.25">
      <c r="A2" s="60" t="s">
        <v>275</v>
      </c>
      <c r="B2" s="61"/>
      <c r="C2" s="61"/>
      <c r="D2" s="61"/>
      <c r="E2" s="61"/>
      <c r="F2" s="61"/>
      <c r="G2" s="61"/>
    </row>
    <row r="3" spans="1:7" ht="24" customHeight="1" thickBot="1" x14ac:dyDescent="0.3">
      <c r="A3" s="17"/>
      <c r="B3" s="62" t="s">
        <v>61</v>
      </c>
      <c r="C3" s="62"/>
      <c r="D3" s="62"/>
      <c r="E3" s="62"/>
      <c r="F3" s="62"/>
      <c r="G3" s="63"/>
    </row>
    <row r="4" spans="1:7" ht="23.25" customHeight="1" thickTop="1" x14ac:dyDescent="0.25">
      <c r="A4" s="17"/>
      <c r="B4" s="19"/>
      <c r="C4" s="64" t="s">
        <v>62</v>
      </c>
      <c r="D4" s="64"/>
      <c r="E4" s="64"/>
      <c r="F4" s="64"/>
      <c r="G4" s="64"/>
    </row>
    <row r="5" spans="1:7" ht="46.5" customHeight="1" thickBot="1" x14ac:dyDescent="0.3">
      <c r="A5" s="20"/>
      <c r="B5" s="4" t="s">
        <v>276</v>
      </c>
      <c r="C5" s="4" t="s">
        <v>63</v>
      </c>
      <c r="D5" s="4" t="s">
        <v>64</v>
      </c>
      <c r="E5" s="4" t="s">
        <v>277</v>
      </c>
      <c r="F5" s="4" t="s">
        <v>278</v>
      </c>
      <c r="G5" s="4" t="s">
        <v>65</v>
      </c>
    </row>
    <row r="6" spans="1:7" ht="24" customHeight="1" thickTop="1" x14ac:dyDescent="0.25">
      <c r="A6" s="21" t="s">
        <v>66</v>
      </c>
      <c r="B6" s="22">
        <v>123.53</v>
      </c>
      <c r="C6" s="22">
        <v>77.069999999999993</v>
      </c>
      <c r="D6" s="22">
        <v>7.45</v>
      </c>
      <c r="E6" s="22">
        <v>9.34</v>
      </c>
      <c r="F6" s="22">
        <v>22.84</v>
      </c>
      <c r="G6" s="22">
        <v>6.83</v>
      </c>
    </row>
    <row r="7" spans="1:7" ht="24" customHeight="1" x14ac:dyDescent="0.25">
      <c r="A7" s="23" t="s">
        <v>67</v>
      </c>
      <c r="B7" s="24" t="s">
        <v>1</v>
      </c>
      <c r="C7" s="24" t="s">
        <v>1</v>
      </c>
      <c r="D7" s="24" t="s">
        <v>1</v>
      </c>
      <c r="E7" s="24" t="s">
        <v>1</v>
      </c>
      <c r="F7" s="24" t="s">
        <v>1</v>
      </c>
      <c r="G7" s="24" t="s">
        <v>1</v>
      </c>
    </row>
    <row r="8" spans="1:7" ht="15" customHeight="1" x14ac:dyDescent="0.25">
      <c r="A8" s="7" t="s">
        <v>17</v>
      </c>
      <c r="B8" s="25">
        <v>21.92</v>
      </c>
      <c r="C8" s="25">
        <v>11.23</v>
      </c>
      <c r="D8" s="25">
        <v>1.95</v>
      </c>
      <c r="E8" s="25">
        <v>3.15</v>
      </c>
      <c r="F8" s="25">
        <v>5.0999999999999996</v>
      </c>
      <c r="G8" s="25">
        <v>0.5</v>
      </c>
    </row>
    <row r="9" spans="1:7" x14ac:dyDescent="0.25">
      <c r="A9" s="26" t="s">
        <v>18</v>
      </c>
      <c r="B9" s="25">
        <v>5.88</v>
      </c>
      <c r="C9" s="25">
        <v>3.34</v>
      </c>
      <c r="D9" s="25">
        <v>0.3</v>
      </c>
      <c r="E9" s="25">
        <v>0.99</v>
      </c>
      <c r="F9" s="25">
        <v>1.1000000000000001</v>
      </c>
      <c r="G9" s="25">
        <v>0.14000000000000001</v>
      </c>
    </row>
    <row r="10" spans="1:7" x14ac:dyDescent="0.25">
      <c r="A10" s="26" t="s">
        <v>19</v>
      </c>
      <c r="B10" s="25">
        <v>16.04</v>
      </c>
      <c r="C10" s="25">
        <v>7.89</v>
      </c>
      <c r="D10" s="25">
        <v>1.65</v>
      </c>
      <c r="E10" s="25">
        <v>2.15</v>
      </c>
      <c r="F10" s="25">
        <v>3.99</v>
      </c>
      <c r="G10" s="25">
        <v>0.36</v>
      </c>
    </row>
    <row r="11" spans="1:7" x14ac:dyDescent="0.25">
      <c r="A11" s="7" t="s">
        <v>20</v>
      </c>
      <c r="B11" s="25">
        <v>27.04</v>
      </c>
      <c r="C11" s="25">
        <v>18.579999999999998</v>
      </c>
      <c r="D11" s="25">
        <v>1.33</v>
      </c>
      <c r="E11" s="25">
        <v>1.95</v>
      </c>
      <c r="F11" s="25">
        <v>4.2</v>
      </c>
      <c r="G11" s="25">
        <v>0.97</v>
      </c>
    </row>
    <row r="12" spans="1:7" x14ac:dyDescent="0.25">
      <c r="A12" s="26" t="s">
        <v>21</v>
      </c>
      <c r="B12" s="25">
        <v>18.55</v>
      </c>
      <c r="C12" s="25">
        <v>12.59</v>
      </c>
      <c r="D12" s="25">
        <v>0.91</v>
      </c>
      <c r="E12" s="25">
        <v>1.49</v>
      </c>
      <c r="F12" s="25">
        <v>2.94</v>
      </c>
      <c r="G12" s="25">
        <v>0.63</v>
      </c>
    </row>
    <row r="13" spans="1:7" ht="15" customHeight="1" x14ac:dyDescent="0.25">
      <c r="A13" s="26" t="s">
        <v>22</v>
      </c>
      <c r="B13" s="25">
        <v>8.5</v>
      </c>
      <c r="C13" s="25">
        <v>5.99</v>
      </c>
      <c r="D13" s="25">
        <v>0.43</v>
      </c>
      <c r="E13" s="25">
        <v>0.47</v>
      </c>
      <c r="F13" s="25">
        <v>1.26</v>
      </c>
      <c r="G13" s="25">
        <v>0.35</v>
      </c>
    </row>
    <row r="14" spans="1:7" x14ac:dyDescent="0.25">
      <c r="A14" s="7" t="s">
        <v>23</v>
      </c>
      <c r="B14" s="25">
        <v>46.84</v>
      </c>
      <c r="C14" s="25">
        <v>30.29</v>
      </c>
      <c r="D14" s="25">
        <v>2.48</v>
      </c>
      <c r="E14" s="25">
        <v>2.36</v>
      </c>
      <c r="F14" s="25">
        <v>7.83</v>
      </c>
      <c r="G14" s="25">
        <v>3.89</v>
      </c>
    </row>
    <row r="15" spans="1:7" x14ac:dyDescent="0.25">
      <c r="A15" s="26" t="s">
        <v>24</v>
      </c>
      <c r="B15" s="25">
        <v>24.84</v>
      </c>
      <c r="C15" s="25">
        <v>15.25</v>
      </c>
      <c r="D15" s="25">
        <v>1.92</v>
      </c>
      <c r="E15" s="25">
        <v>1.17</v>
      </c>
      <c r="F15" s="25">
        <v>4.51</v>
      </c>
      <c r="G15" s="25">
        <v>2</v>
      </c>
    </row>
    <row r="16" spans="1:7" x14ac:dyDescent="0.25">
      <c r="A16" s="26" t="s">
        <v>25</v>
      </c>
      <c r="B16" s="25">
        <v>7.38</v>
      </c>
      <c r="C16" s="25">
        <v>5.17</v>
      </c>
      <c r="D16" s="25">
        <v>0.19</v>
      </c>
      <c r="E16" s="25">
        <v>0.41</v>
      </c>
      <c r="F16" s="25">
        <v>0.84</v>
      </c>
      <c r="G16" s="25">
        <v>0.77</v>
      </c>
    </row>
    <row r="17" spans="1:7" ht="15" customHeight="1" x14ac:dyDescent="0.25">
      <c r="A17" s="26" t="s">
        <v>26</v>
      </c>
      <c r="B17" s="25">
        <v>14.62</v>
      </c>
      <c r="C17" s="25">
        <v>9.8699999999999992</v>
      </c>
      <c r="D17" s="25">
        <v>0.36</v>
      </c>
      <c r="E17" s="25">
        <v>0.78</v>
      </c>
      <c r="F17" s="25">
        <v>2.48</v>
      </c>
      <c r="G17" s="25">
        <v>1.1200000000000001</v>
      </c>
    </row>
    <row r="18" spans="1:7" x14ac:dyDescent="0.25">
      <c r="A18" s="7" t="s">
        <v>27</v>
      </c>
      <c r="B18" s="25">
        <v>27.72</v>
      </c>
      <c r="C18" s="25">
        <v>16.97</v>
      </c>
      <c r="D18" s="25">
        <v>1.69</v>
      </c>
      <c r="E18" s="25">
        <v>1.89</v>
      </c>
      <c r="F18" s="25">
        <v>5.7</v>
      </c>
      <c r="G18" s="25">
        <v>1.47</v>
      </c>
    </row>
    <row r="19" spans="1:7" x14ac:dyDescent="0.25">
      <c r="A19" s="26" t="s">
        <v>28</v>
      </c>
      <c r="B19" s="25">
        <v>9.2200000000000006</v>
      </c>
      <c r="C19" s="25">
        <v>6.06</v>
      </c>
      <c r="D19" s="25">
        <v>0.5</v>
      </c>
      <c r="E19" s="25">
        <v>0.52</v>
      </c>
      <c r="F19" s="25">
        <v>1.47</v>
      </c>
      <c r="G19" s="25">
        <v>0.67</v>
      </c>
    </row>
    <row r="20" spans="1:7" x14ac:dyDescent="0.25">
      <c r="A20" s="27" t="s">
        <v>29</v>
      </c>
      <c r="B20" s="25">
        <v>4.62</v>
      </c>
      <c r="C20" s="25">
        <v>3.1</v>
      </c>
      <c r="D20" s="25">
        <v>0.28999999999999998</v>
      </c>
      <c r="E20" s="25">
        <v>0.26</v>
      </c>
      <c r="F20" s="25">
        <v>0.73</v>
      </c>
      <c r="G20" s="25">
        <v>0.24</v>
      </c>
    </row>
    <row r="21" spans="1:7" x14ac:dyDescent="0.25">
      <c r="A21" s="27" t="s">
        <v>30</v>
      </c>
      <c r="B21" s="25">
        <v>4.5999999999999996</v>
      </c>
      <c r="C21" s="25">
        <v>2.96</v>
      </c>
      <c r="D21" s="25">
        <v>0.21</v>
      </c>
      <c r="E21" s="25">
        <v>0.26</v>
      </c>
      <c r="F21" s="25">
        <v>0.74</v>
      </c>
      <c r="G21" s="25">
        <v>0.43</v>
      </c>
    </row>
    <row r="22" spans="1:7" x14ac:dyDescent="0.25">
      <c r="A22" s="26" t="s">
        <v>31</v>
      </c>
      <c r="B22" s="25">
        <v>18.510000000000002</v>
      </c>
      <c r="C22" s="25">
        <v>10.91</v>
      </c>
      <c r="D22" s="25">
        <v>1.19</v>
      </c>
      <c r="E22" s="25">
        <v>1.36</v>
      </c>
      <c r="F22" s="25">
        <v>4.24</v>
      </c>
      <c r="G22" s="25">
        <v>0.8</v>
      </c>
    </row>
    <row r="23" spans="1:7" ht="24" customHeight="1" x14ac:dyDescent="0.25">
      <c r="A23" s="23" t="s">
        <v>279</v>
      </c>
      <c r="B23" s="24" t="s">
        <v>1</v>
      </c>
      <c r="C23" s="24" t="s">
        <v>1</v>
      </c>
      <c r="D23" s="24" t="s">
        <v>1</v>
      </c>
      <c r="E23" s="24" t="s">
        <v>1</v>
      </c>
      <c r="F23" s="24" t="s">
        <v>1</v>
      </c>
      <c r="G23" s="24" t="s">
        <v>1</v>
      </c>
    </row>
    <row r="24" spans="1:7" x14ac:dyDescent="0.25">
      <c r="A24" s="7" t="s">
        <v>32</v>
      </c>
      <c r="B24" s="25">
        <v>100.44</v>
      </c>
      <c r="C24" s="25">
        <v>58.8</v>
      </c>
      <c r="D24" s="25">
        <v>7.04</v>
      </c>
      <c r="E24" s="25">
        <v>9.02</v>
      </c>
      <c r="F24" s="25">
        <v>22.27</v>
      </c>
      <c r="G24" s="25">
        <v>3.31</v>
      </c>
    </row>
    <row r="25" spans="1:7" s="6" customFormat="1" x14ac:dyDescent="0.25">
      <c r="A25" s="26" t="s">
        <v>68</v>
      </c>
      <c r="B25" s="25">
        <v>89.24</v>
      </c>
      <c r="C25" s="25">
        <v>50.99</v>
      </c>
      <c r="D25" s="25">
        <v>6.57</v>
      </c>
      <c r="E25" s="25">
        <v>7.95</v>
      </c>
      <c r="F25" s="25">
        <v>21.2</v>
      </c>
      <c r="G25" s="25">
        <v>2.5299999999999998</v>
      </c>
    </row>
    <row r="26" spans="1:7" s="6" customFormat="1" x14ac:dyDescent="0.25">
      <c r="A26" s="26" t="s">
        <v>69</v>
      </c>
      <c r="B26" s="25">
        <v>11.2</v>
      </c>
      <c r="C26" s="25">
        <v>7.82</v>
      </c>
      <c r="D26" s="25">
        <v>0.47</v>
      </c>
      <c r="E26" s="25">
        <v>1.07</v>
      </c>
      <c r="F26" s="25">
        <v>1.07</v>
      </c>
      <c r="G26" s="25">
        <v>0.77</v>
      </c>
    </row>
    <row r="27" spans="1:7" x14ac:dyDescent="0.25">
      <c r="A27" s="7" t="s">
        <v>33</v>
      </c>
      <c r="B27" s="25">
        <v>23.09</v>
      </c>
      <c r="C27" s="25">
        <v>18.27</v>
      </c>
      <c r="D27" s="25">
        <v>0.41</v>
      </c>
      <c r="E27" s="25">
        <v>0.32</v>
      </c>
      <c r="F27" s="25">
        <v>0.56999999999999995</v>
      </c>
      <c r="G27" s="25">
        <v>3.52</v>
      </c>
    </row>
    <row r="28" spans="1:7" ht="33.950000000000003" customHeight="1" x14ac:dyDescent="0.25">
      <c r="A28" s="23" t="s">
        <v>280</v>
      </c>
      <c r="B28" s="24" t="s">
        <v>1</v>
      </c>
      <c r="C28" s="24" t="s">
        <v>1</v>
      </c>
      <c r="D28" s="24" t="s">
        <v>1</v>
      </c>
      <c r="E28" s="24" t="s">
        <v>1</v>
      </c>
      <c r="F28" s="24" t="s">
        <v>1</v>
      </c>
      <c r="G28" s="24" t="s">
        <v>1</v>
      </c>
    </row>
    <row r="29" spans="1:7" x14ac:dyDescent="0.25">
      <c r="A29" s="7" t="s">
        <v>70</v>
      </c>
      <c r="B29" s="25">
        <v>42.5</v>
      </c>
      <c r="C29" s="25">
        <v>28.04</v>
      </c>
      <c r="D29" s="25">
        <v>2.4300000000000002</v>
      </c>
      <c r="E29" s="25">
        <v>3.78</v>
      </c>
      <c r="F29" s="25">
        <v>6.74</v>
      </c>
      <c r="G29" s="25">
        <v>1.52</v>
      </c>
    </row>
    <row r="30" spans="1:7" x14ac:dyDescent="0.25">
      <c r="A30" s="7" t="s">
        <v>71</v>
      </c>
      <c r="B30" s="25">
        <v>36.79</v>
      </c>
      <c r="C30" s="25">
        <v>21.89</v>
      </c>
      <c r="D30" s="25">
        <v>2.8</v>
      </c>
      <c r="E30" s="25">
        <v>2.72</v>
      </c>
      <c r="F30" s="25">
        <v>7.03</v>
      </c>
      <c r="G30" s="25">
        <v>2.35</v>
      </c>
    </row>
    <row r="31" spans="1:7" x14ac:dyDescent="0.25">
      <c r="A31" s="7" t="s">
        <v>72</v>
      </c>
      <c r="B31" s="25">
        <v>15.06</v>
      </c>
      <c r="C31" s="25">
        <v>9.07</v>
      </c>
      <c r="D31" s="25">
        <v>0.9</v>
      </c>
      <c r="E31" s="25">
        <v>1.1200000000000001</v>
      </c>
      <c r="F31" s="25">
        <v>3.12</v>
      </c>
      <c r="G31" s="25">
        <v>0.83</v>
      </c>
    </row>
    <row r="32" spans="1:7" ht="24" customHeight="1" x14ac:dyDescent="0.25">
      <c r="A32" s="7" t="s">
        <v>73</v>
      </c>
      <c r="B32" s="25">
        <v>22.31</v>
      </c>
      <c r="C32" s="25">
        <v>13.98</v>
      </c>
      <c r="D32" s="25">
        <v>0.92</v>
      </c>
      <c r="E32" s="25">
        <v>1.25</v>
      </c>
      <c r="F32" s="25">
        <v>4.37</v>
      </c>
      <c r="G32" s="25">
        <v>1.8</v>
      </c>
    </row>
    <row r="33" spans="1:7" x14ac:dyDescent="0.25">
      <c r="A33" s="7" t="s">
        <v>34</v>
      </c>
      <c r="B33" s="25">
        <v>6.87</v>
      </c>
      <c r="C33" s="25">
        <v>4.09</v>
      </c>
      <c r="D33" s="25">
        <v>0.4</v>
      </c>
      <c r="E33" s="25">
        <v>0.48</v>
      </c>
      <c r="F33" s="25">
        <v>1.57</v>
      </c>
      <c r="G33" s="25">
        <v>0.34</v>
      </c>
    </row>
    <row r="34" spans="1:7" x14ac:dyDescent="0.25">
      <c r="A34" s="23" t="s">
        <v>74</v>
      </c>
      <c r="B34" s="24" t="s">
        <v>1</v>
      </c>
      <c r="C34" s="24" t="s">
        <v>1</v>
      </c>
      <c r="D34" s="24" t="s">
        <v>1</v>
      </c>
      <c r="E34" s="24" t="s">
        <v>1</v>
      </c>
      <c r="F34" s="24" t="s">
        <v>1</v>
      </c>
      <c r="G34" s="24" t="s">
        <v>1</v>
      </c>
    </row>
    <row r="35" spans="1:7" x14ac:dyDescent="0.25">
      <c r="A35" s="7" t="s">
        <v>75</v>
      </c>
      <c r="B35" s="25">
        <v>20.260000000000002</v>
      </c>
      <c r="C35" s="25">
        <v>13.58</v>
      </c>
      <c r="D35" s="25">
        <v>1.1399999999999999</v>
      </c>
      <c r="E35" s="25">
        <v>2.36</v>
      </c>
      <c r="F35" s="25">
        <v>3.08</v>
      </c>
      <c r="G35" s="25">
        <v>0.09</v>
      </c>
    </row>
    <row r="36" spans="1:7" x14ac:dyDescent="0.25">
      <c r="A36" s="7" t="s">
        <v>36</v>
      </c>
      <c r="B36" s="25">
        <v>12.48</v>
      </c>
      <c r="C36" s="25">
        <v>9.9</v>
      </c>
      <c r="D36" s="25">
        <v>0.4</v>
      </c>
      <c r="E36" s="25">
        <v>0.77</v>
      </c>
      <c r="F36" s="25">
        <v>1.25</v>
      </c>
      <c r="G36" s="25">
        <v>0.16</v>
      </c>
    </row>
    <row r="37" spans="1:7" x14ac:dyDescent="0.25">
      <c r="A37" s="7" t="s">
        <v>37</v>
      </c>
      <c r="B37" s="25">
        <v>12.76</v>
      </c>
      <c r="C37" s="25">
        <v>8.23</v>
      </c>
      <c r="D37" s="25">
        <v>0.63</v>
      </c>
      <c r="E37" s="25">
        <v>1.1200000000000001</v>
      </c>
      <c r="F37" s="25">
        <v>2.41</v>
      </c>
      <c r="G37" s="25">
        <v>0.37</v>
      </c>
    </row>
    <row r="38" spans="1:7" ht="24" customHeight="1" x14ac:dyDescent="0.25">
      <c r="A38" s="7" t="s">
        <v>38</v>
      </c>
      <c r="B38" s="25">
        <v>18.34</v>
      </c>
      <c r="C38" s="25">
        <v>10.46</v>
      </c>
      <c r="D38" s="25">
        <v>0.97</v>
      </c>
      <c r="E38" s="25">
        <v>1.56</v>
      </c>
      <c r="F38" s="25">
        <v>4.01</v>
      </c>
      <c r="G38" s="25">
        <v>1.34</v>
      </c>
    </row>
    <row r="39" spans="1:7" x14ac:dyDescent="0.25">
      <c r="A39" s="7" t="s">
        <v>39</v>
      </c>
      <c r="B39" s="25">
        <v>16.3</v>
      </c>
      <c r="C39" s="25">
        <v>8.67</v>
      </c>
      <c r="D39" s="25">
        <v>1.26</v>
      </c>
      <c r="E39" s="25">
        <v>1.43</v>
      </c>
      <c r="F39" s="25">
        <v>3.6</v>
      </c>
      <c r="G39" s="25">
        <v>1.33</v>
      </c>
    </row>
    <row r="40" spans="1:7" x14ac:dyDescent="0.25">
      <c r="A40" s="7" t="s">
        <v>40</v>
      </c>
      <c r="B40" s="25">
        <v>17.16</v>
      </c>
      <c r="C40" s="25">
        <v>10.65</v>
      </c>
      <c r="D40" s="25">
        <v>1.08</v>
      </c>
      <c r="E40" s="25">
        <v>0.95</v>
      </c>
      <c r="F40" s="25">
        <v>2.5499999999999998</v>
      </c>
      <c r="G40" s="25">
        <v>1.92</v>
      </c>
    </row>
    <row r="41" spans="1:7" x14ac:dyDescent="0.25">
      <c r="A41" s="7" t="s">
        <v>41</v>
      </c>
      <c r="B41" s="25">
        <v>16.16</v>
      </c>
      <c r="C41" s="25">
        <v>9.98</v>
      </c>
      <c r="D41" s="25">
        <v>1.31</v>
      </c>
      <c r="E41" s="25">
        <v>0.72</v>
      </c>
      <c r="F41" s="25">
        <v>3.17</v>
      </c>
      <c r="G41" s="25">
        <v>0.98</v>
      </c>
    </row>
    <row r="42" spans="1:7" x14ac:dyDescent="0.25">
      <c r="A42" s="7" t="s">
        <v>76</v>
      </c>
      <c r="B42" s="25">
        <v>5.53</v>
      </c>
      <c r="C42" s="25">
        <v>3.05</v>
      </c>
      <c r="D42" s="25">
        <v>0.37</v>
      </c>
      <c r="E42" s="25">
        <v>0.26</v>
      </c>
      <c r="F42" s="25">
        <v>1.52</v>
      </c>
      <c r="G42" s="25">
        <v>0.32</v>
      </c>
    </row>
    <row r="43" spans="1:7" x14ac:dyDescent="0.25">
      <c r="A43" s="7" t="s">
        <v>281</v>
      </c>
      <c r="B43" s="25">
        <v>4.5599999999999996</v>
      </c>
      <c r="C43" s="25">
        <v>2.5299999999999998</v>
      </c>
      <c r="D43" s="25">
        <v>0.28999999999999998</v>
      </c>
      <c r="E43" s="25">
        <v>0.18</v>
      </c>
      <c r="F43" s="25">
        <v>1.26</v>
      </c>
      <c r="G43" s="25">
        <v>0.31</v>
      </c>
    </row>
    <row r="44" spans="1:7" x14ac:dyDescent="0.25">
      <c r="A44" s="23" t="s">
        <v>77</v>
      </c>
      <c r="B44" s="24" t="s">
        <v>1</v>
      </c>
      <c r="C44" s="24" t="s">
        <v>1</v>
      </c>
      <c r="D44" s="24" t="s">
        <v>1</v>
      </c>
      <c r="E44" s="24" t="s">
        <v>1</v>
      </c>
      <c r="F44" s="24" t="s">
        <v>1</v>
      </c>
      <c r="G44" s="24" t="s">
        <v>1</v>
      </c>
    </row>
    <row r="45" spans="1:7" x14ac:dyDescent="0.25">
      <c r="A45" s="7" t="s">
        <v>282</v>
      </c>
      <c r="B45" s="25">
        <v>47.15</v>
      </c>
      <c r="C45" s="25">
        <v>44.59</v>
      </c>
      <c r="D45" s="25">
        <v>2.57</v>
      </c>
      <c r="E45" s="25" t="s">
        <v>42</v>
      </c>
      <c r="F45" s="25" t="s">
        <v>42</v>
      </c>
      <c r="G45" s="25" t="s">
        <v>42</v>
      </c>
    </row>
    <row r="46" spans="1:7" x14ac:dyDescent="0.25">
      <c r="A46" s="7" t="s">
        <v>283</v>
      </c>
      <c r="B46" s="25">
        <v>32.47</v>
      </c>
      <c r="C46" s="25">
        <v>28.53</v>
      </c>
      <c r="D46" s="25">
        <v>3.94</v>
      </c>
      <c r="E46" s="25" t="s">
        <v>42</v>
      </c>
      <c r="F46" s="25" t="s">
        <v>42</v>
      </c>
      <c r="G46" s="25" t="s">
        <v>42</v>
      </c>
    </row>
    <row r="47" spans="1:7" ht="24" customHeight="1" x14ac:dyDescent="0.25">
      <c r="A47" s="7" t="s">
        <v>284</v>
      </c>
      <c r="B47" s="25">
        <v>2.61</v>
      </c>
      <c r="C47" s="25">
        <v>1.76</v>
      </c>
      <c r="D47" s="25">
        <v>0.85</v>
      </c>
      <c r="E47" s="25" t="s">
        <v>42</v>
      </c>
      <c r="F47" s="25" t="s">
        <v>42</v>
      </c>
      <c r="G47" s="25" t="s">
        <v>42</v>
      </c>
    </row>
    <row r="48" spans="1:7" x14ac:dyDescent="0.25">
      <c r="A48" s="7" t="s">
        <v>285</v>
      </c>
      <c r="B48" s="25">
        <v>2.2799999999999998</v>
      </c>
      <c r="C48" s="25">
        <v>2.19</v>
      </c>
      <c r="D48" s="25">
        <v>0.09</v>
      </c>
      <c r="E48" s="25" t="s">
        <v>42</v>
      </c>
      <c r="F48" s="25" t="s">
        <v>42</v>
      </c>
      <c r="G48" s="25" t="s">
        <v>42</v>
      </c>
    </row>
    <row r="49" spans="1:7" ht="26.25" x14ac:dyDescent="0.25">
      <c r="A49" s="7" t="s">
        <v>78</v>
      </c>
      <c r="B49" s="25">
        <v>39.01</v>
      </c>
      <c r="C49" s="25" t="s">
        <v>42</v>
      </c>
      <c r="D49" s="25" t="s">
        <v>42</v>
      </c>
      <c r="E49" s="25">
        <v>9.34</v>
      </c>
      <c r="F49" s="25">
        <v>22.84</v>
      </c>
      <c r="G49" s="25">
        <v>6.83</v>
      </c>
    </row>
    <row r="50" spans="1:7" x14ac:dyDescent="0.25">
      <c r="A50" s="23" t="s">
        <v>79</v>
      </c>
      <c r="B50" s="24" t="s">
        <v>1</v>
      </c>
      <c r="C50" s="24" t="s">
        <v>1</v>
      </c>
      <c r="D50" s="24" t="s">
        <v>1</v>
      </c>
      <c r="E50" s="24" t="s">
        <v>1</v>
      </c>
      <c r="F50" s="24" t="s">
        <v>1</v>
      </c>
      <c r="G50" s="24" t="s">
        <v>1</v>
      </c>
    </row>
    <row r="51" spans="1:7" ht="26.25" x14ac:dyDescent="0.25">
      <c r="A51" s="7" t="s">
        <v>286</v>
      </c>
      <c r="B51" s="25">
        <v>45.44</v>
      </c>
      <c r="C51" s="25">
        <v>31.14</v>
      </c>
      <c r="D51" s="25">
        <v>2.83</v>
      </c>
      <c r="E51" s="25">
        <v>2.23</v>
      </c>
      <c r="F51" s="25">
        <v>3.79</v>
      </c>
      <c r="G51" s="25">
        <v>5.45</v>
      </c>
    </row>
    <row r="52" spans="1:7" x14ac:dyDescent="0.25">
      <c r="A52" s="7" t="s">
        <v>43</v>
      </c>
      <c r="B52" s="25">
        <v>33.369999999999997</v>
      </c>
      <c r="C52" s="25">
        <v>17.52</v>
      </c>
      <c r="D52" s="25">
        <v>2.0099999999999998</v>
      </c>
      <c r="E52" s="25">
        <v>3.79</v>
      </c>
      <c r="F52" s="25">
        <v>9.8000000000000007</v>
      </c>
      <c r="G52" s="25">
        <v>0.24</v>
      </c>
    </row>
    <row r="53" spans="1:7" ht="24" customHeight="1" x14ac:dyDescent="0.25">
      <c r="A53" s="7" t="s">
        <v>44</v>
      </c>
      <c r="B53" s="25">
        <v>18.8</v>
      </c>
      <c r="C53" s="25">
        <v>12.63</v>
      </c>
      <c r="D53" s="25">
        <v>0.92</v>
      </c>
      <c r="E53" s="25">
        <v>1.55</v>
      </c>
      <c r="F53" s="25">
        <v>2.86</v>
      </c>
      <c r="G53" s="25">
        <v>0.84</v>
      </c>
    </row>
    <row r="54" spans="1:7" ht="15" customHeight="1" x14ac:dyDescent="0.25">
      <c r="A54" s="7" t="s">
        <v>45</v>
      </c>
      <c r="B54" s="25">
        <v>15.65</v>
      </c>
      <c r="C54" s="25">
        <v>10.54</v>
      </c>
      <c r="D54" s="25">
        <v>1.07</v>
      </c>
      <c r="E54" s="25">
        <v>0.89</v>
      </c>
      <c r="F54" s="25">
        <v>3.08</v>
      </c>
      <c r="G54" s="25">
        <v>0.08</v>
      </c>
    </row>
    <row r="55" spans="1:7" x14ac:dyDescent="0.25">
      <c r="A55" s="7" t="s">
        <v>287</v>
      </c>
      <c r="B55" s="25">
        <v>6.42</v>
      </c>
      <c r="C55" s="25">
        <v>2.89</v>
      </c>
      <c r="D55" s="25">
        <v>0.41</v>
      </c>
      <c r="E55" s="25">
        <v>0.5</v>
      </c>
      <c r="F55" s="25">
        <v>2.56</v>
      </c>
      <c r="G55" s="25" t="s">
        <v>35</v>
      </c>
    </row>
    <row r="56" spans="1:7" x14ac:dyDescent="0.25">
      <c r="A56" s="7" t="s">
        <v>288</v>
      </c>
      <c r="B56" s="25">
        <v>1.89</v>
      </c>
      <c r="C56" s="25">
        <v>1.1599999999999999</v>
      </c>
      <c r="D56" s="25">
        <v>0.11</v>
      </c>
      <c r="E56" s="25">
        <v>0.21</v>
      </c>
      <c r="F56" s="25">
        <v>0.3</v>
      </c>
      <c r="G56" s="25">
        <v>0.11</v>
      </c>
    </row>
    <row r="57" spans="1:7" x14ac:dyDescent="0.25">
      <c r="A57" s="7" t="s">
        <v>46</v>
      </c>
      <c r="B57" s="25">
        <v>1.46</v>
      </c>
      <c r="C57" s="25">
        <v>0.94</v>
      </c>
      <c r="D57" s="25">
        <v>0.08</v>
      </c>
      <c r="E57" s="25">
        <v>0.14000000000000001</v>
      </c>
      <c r="F57" s="25">
        <v>0.31</v>
      </c>
      <c r="G57" s="25" t="s">
        <v>42</v>
      </c>
    </row>
    <row r="58" spans="1:7" x14ac:dyDescent="0.25">
      <c r="A58" s="7" t="s">
        <v>80</v>
      </c>
      <c r="B58" s="25">
        <v>0.5</v>
      </c>
      <c r="C58" s="25">
        <v>0.26</v>
      </c>
      <c r="D58" s="25" t="s">
        <v>35</v>
      </c>
      <c r="E58" s="25" t="s">
        <v>35</v>
      </c>
      <c r="F58" s="25">
        <v>0.14000000000000001</v>
      </c>
      <c r="G58" s="25" t="s">
        <v>35</v>
      </c>
    </row>
    <row r="59" spans="1:7" x14ac:dyDescent="0.25">
      <c r="A59" s="23" t="s">
        <v>81</v>
      </c>
      <c r="B59" s="24" t="s">
        <v>1</v>
      </c>
      <c r="C59" s="24" t="s">
        <v>1</v>
      </c>
      <c r="D59" s="24" t="s">
        <v>1</v>
      </c>
      <c r="E59" s="24" t="s">
        <v>1</v>
      </c>
      <c r="F59" s="24" t="s">
        <v>1</v>
      </c>
      <c r="G59" s="24" t="s">
        <v>1</v>
      </c>
    </row>
    <row r="60" spans="1:7" x14ac:dyDescent="0.25">
      <c r="A60" s="7" t="s">
        <v>82</v>
      </c>
      <c r="B60" s="25">
        <v>76.03</v>
      </c>
      <c r="C60" s="25">
        <v>61.56</v>
      </c>
      <c r="D60" s="25">
        <v>5.49</v>
      </c>
      <c r="E60" s="25">
        <v>5.89</v>
      </c>
      <c r="F60" s="25" t="s">
        <v>42</v>
      </c>
      <c r="G60" s="25">
        <v>3.09</v>
      </c>
    </row>
    <row r="61" spans="1:7" x14ac:dyDescent="0.25">
      <c r="A61" s="7" t="s">
        <v>47</v>
      </c>
      <c r="B61" s="25">
        <v>9.69</v>
      </c>
      <c r="C61" s="25">
        <v>5.87</v>
      </c>
      <c r="D61" s="25">
        <v>0.28000000000000003</v>
      </c>
      <c r="E61" s="25">
        <v>0.46</v>
      </c>
      <c r="F61" s="25" t="s">
        <v>42</v>
      </c>
      <c r="G61" s="25">
        <v>3.08</v>
      </c>
    </row>
    <row r="62" spans="1:7" ht="24" customHeight="1" x14ac:dyDescent="0.25">
      <c r="A62" s="7" t="s">
        <v>83</v>
      </c>
      <c r="B62" s="25">
        <v>5.19</v>
      </c>
      <c r="C62" s="25">
        <v>3.06</v>
      </c>
      <c r="D62" s="25">
        <v>0.55000000000000004</v>
      </c>
      <c r="E62" s="25">
        <v>1.23</v>
      </c>
      <c r="F62" s="25" t="s">
        <v>42</v>
      </c>
      <c r="G62" s="25">
        <v>0.35</v>
      </c>
    </row>
    <row r="63" spans="1:7" x14ac:dyDescent="0.25">
      <c r="A63" s="7" t="s">
        <v>84</v>
      </c>
      <c r="B63" s="25">
        <v>4.8899999999999997</v>
      </c>
      <c r="C63" s="25">
        <v>3.6</v>
      </c>
      <c r="D63" s="25">
        <v>0.59</v>
      </c>
      <c r="E63" s="25">
        <v>0.66</v>
      </c>
      <c r="F63" s="25" t="s">
        <v>42</v>
      </c>
      <c r="G63" s="25" t="s">
        <v>35</v>
      </c>
    </row>
    <row r="64" spans="1:7" x14ac:dyDescent="0.25">
      <c r="A64" s="7" t="s">
        <v>85</v>
      </c>
      <c r="B64" s="25">
        <v>2.14</v>
      </c>
      <c r="C64" s="25">
        <v>1.58</v>
      </c>
      <c r="D64" s="25">
        <v>0.11</v>
      </c>
      <c r="E64" s="25">
        <v>0.43</v>
      </c>
      <c r="F64" s="25" t="s">
        <v>42</v>
      </c>
      <c r="G64" s="25" t="s">
        <v>35</v>
      </c>
    </row>
    <row r="65" spans="1:7" x14ac:dyDescent="0.25">
      <c r="A65" s="7" t="s">
        <v>86</v>
      </c>
      <c r="B65" s="25">
        <v>1.49</v>
      </c>
      <c r="C65" s="25">
        <v>0.73</v>
      </c>
      <c r="D65" s="25">
        <v>0.18</v>
      </c>
      <c r="E65" s="25">
        <v>0.51</v>
      </c>
      <c r="F65" s="25" t="s">
        <v>42</v>
      </c>
      <c r="G65" s="25">
        <v>0.08</v>
      </c>
    </row>
    <row r="66" spans="1:7" x14ac:dyDescent="0.25">
      <c r="A66" s="7" t="s">
        <v>80</v>
      </c>
      <c r="B66" s="25">
        <v>1.26</v>
      </c>
      <c r="C66" s="25">
        <v>0.67</v>
      </c>
      <c r="D66" s="25">
        <v>0.27</v>
      </c>
      <c r="E66" s="25">
        <v>0.15</v>
      </c>
      <c r="F66" s="25" t="s">
        <v>42</v>
      </c>
      <c r="G66" s="25">
        <v>0.18</v>
      </c>
    </row>
    <row r="67" spans="1:7" ht="26.25" x14ac:dyDescent="0.25">
      <c r="A67" s="7" t="s">
        <v>87</v>
      </c>
      <c r="B67" s="25">
        <v>22.84</v>
      </c>
      <c r="C67" s="25" t="s">
        <v>42</v>
      </c>
      <c r="D67" s="25" t="s">
        <v>42</v>
      </c>
      <c r="E67" s="25" t="s">
        <v>42</v>
      </c>
      <c r="F67" s="25">
        <v>22.84</v>
      </c>
      <c r="G67" s="25" t="s">
        <v>42</v>
      </c>
    </row>
    <row r="68" spans="1:7" ht="26.25" x14ac:dyDescent="0.25">
      <c r="A68" s="23" t="s">
        <v>88</v>
      </c>
      <c r="B68" s="24" t="s">
        <v>1</v>
      </c>
      <c r="C68" s="24" t="s">
        <v>1</v>
      </c>
      <c r="D68" s="24" t="s">
        <v>1</v>
      </c>
      <c r="E68" s="24" t="s">
        <v>1</v>
      </c>
      <c r="F68" s="24" t="s">
        <v>1</v>
      </c>
      <c r="G68" s="24" t="s">
        <v>1</v>
      </c>
    </row>
    <row r="69" spans="1:7" x14ac:dyDescent="0.25">
      <c r="A69" s="28" t="s">
        <v>49</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89</v>
      </c>
      <c r="B76" s="25">
        <v>19.899999999999999</v>
      </c>
      <c r="C76" s="25">
        <v>18.73</v>
      </c>
      <c r="D76" s="25">
        <v>0.51</v>
      </c>
      <c r="E76" s="25">
        <v>0.25</v>
      </c>
      <c r="F76" s="25">
        <v>0.11</v>
      </c>
      <c r="G76" s="25">
        <v>0.3</v>
      </c>
    </row>
    <row r="77" spans="1:7" x14ac:dyDescent="0.25">
      <c r="A77" s="23" t="s">
        <v>90</v>
      </c>
      <c r="B77" s="25" t="s">
        <v>1</v>
      </c>
      <c r="C77" s="25" t="s">
        <v>1</v>
      </c>
      <c r="D77" s="25" t="s">
        <v>1</v>
      </c>
      <c r="E77" s="25" t="s">
        <v>1</v>
      </c>
      <c r="F77" s="25" t="s">
        <v>1</v>
      </c>
      <c r="G77" s="25" t="s">
        <v>1</v>
      </c>
    </row>
    <row r="78" spans="1:7" x14ac:dyDescent="0.25">
      <c r="A78" s="28">
        <v>0</v>
      </c>
      <c r="B78" s="25">
        <v>1.82</v>
      </c>
      <c r="C78" s="25">
        <v>0.1</v>
      </c>
      <c r="D78" s="25" t="s">
        <v>35</v>
      </c>
      <c r="E78" s="25">
        <v>0.32</v>
      </c>
      <c r="F78" s="25">
        <v>1.36</v>
      </c>
      <c r="G78" s="25" t="s">
        <v>35</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91</v>
      </c>
      <c r="B83" s="25">
        <v>6.16</v>
      </c>
      <c r="C83" s="25">
        <v>5.69</v>
      </c>
      <c r="D83" s="25">
        <v>0.21</v>
      </c>
      <c r="E83" s="25">
        <v>0.13</v>
      </c>
      <c r="F83" s="25" t="s">
        <v>35</v>
      </c>
      <c r="G83" s="25">
        <v>7.0000000000000007E-2</v>
      </c>
    </row>
    <row r="84" spans="1:7" ht="26.25" x14ac:dyDescent="0.25">
      <c r="A84" s="23" t="s">
        <v>92</v>
      </c>
      <c r="B84" s="24" t="s">
        <v>1</v>
      </c>
      <c r="C84" s="24" t="s">
        <v>1</v>
      </c>
      <c r="D84" s="24" t="s">
        <v>1</v>
      </c>
      <c r="E84" s="24" t="s">
        <v>1</v>
      </c>
      <c r="F84" s="24" t="s">
        <v>1</v>
      </c>
      <c r="G84" s="24" t="s">
        <v>1</v>
      </c>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91</v>
      </c>
      <c r="B89" s="25">
        <v>27.64</v>
      </c>
      <c r="C89" s="25">
        <v>24.75</v>
      </c>
      <c r="D89" s="25">
        <v>1.1100000000000001</v>
      </c>
      <c r="E89" s="25">
        <v>0.51</v>
      </c>
      <c r="F89" s="25">
        <v>0.47</v>
      </c>
      <c r="G89" s="25">
        <v>0.79</v>
      </c>
    </row>
    <row r="90" spans="1:7" x14ac:dyDescent="0.25">
      <c r="A90" s="23" t="s">
        <v>93</v>
      </c>
      <c r="B90" s="24" t="s">
        <v>1</v>
      </c>
      <c r="C90" s="24" t="s">
        <v>1</v>
      </c>
      <c r="D90" s="24" t="s">
        <v>1</v>
      </c>
      <c r="E90" s="24" t="s">
        <v>1</v>
      </c>
      <c r="F90" s="24" t="s">
        <v>1</v>
      </c>
      <c r="G90" s="24" t="s">
        <v>1</v>
      </c>
    </row>
    <row r="91" spans="1:7" x14ac:dyDescent="0.25">
      <c r="A91" s="28">
        <v>0</v>
      </c>
      <c r="B91" s="25">
        <v>0.15</v>
      </c>
      <c r="C91" s="25">
        <v>7.0000000000000007E-2</v>
      </c>
      <c r="D91" s="25" t="s">
        <v>35</v>
      </c>
      <c r="E91" s="25" t="s">
        <v>35</v>
      </c>
      <c r="F91" s="25" t="s">
        <v>35</v>
      </c>
      <c r="G91" s="25" t="s">
        <v>35</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94</v>
      </c>
      <c r="B94" s="25">
        <v>16.21</v>
      </c>
      <c r="C94" s="25">
        <v>14.89</v>
      </c>
      <c r="D94" s="25">
        <v>0.72</v>
      </c>
      <c r="E94" s="25">
        <v>0.23</v>
      </c>
      <c r="F94" s="25">
        <v>0.15</v>
      </c>
      <c r="G94" s="25">
        <v>0.22</v>
      </c>
    </row>
    <row r="95" spans="1:7" x14ac:dyDescent="0.25">
      <c r="A95" s="23" t="s">
        <v>95</v>
      </c>
      <c r="B95" s="24" t="s">
        <v>1</v>
      </c>
      <c r="C95" s="24" t="s">
        <v>1</v>
      </c>
      <c r="D95" s="24" t="s">
        <v>1</v>
      </c>
      <c r="E95" s="24" t="s">
        <v>1</v>
      </c>
      <c r="F95" s="24" t="s">
        <v>1</v>
      </c>
      <c r="G95" s="24" t="s">
        <v>1</v>
      </c>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96</v>
      </c>
      <c r="B98" s="25">
        <v>2.91</v>
      </c>
      <c r="C98" s="25">
        <v>2.39</v>
      </c>
      <c r="D98" s="25">
        <v>0.18</v>
      </c>
      <c r="E98" s="25">
        <v>0.11</v>
      </c>
      <c r="F98" s="25">
        <v>0.13</v>
      </c>
      <c r="G98" s="25">
        <v>0.1</v>
      </c>
    </row>
    <row r="99" spans="1:7" x14ac:dyDescent="0.25">
      <c r="A99" s="23" t="s">
        <v>48</v>
      </c>
      <c r="B99" s="24" t="s">
        <v>1</v>
      </c>
      <c r="C99" s="24" t="s">
        <v>1</v>
      </c>
      <c r="D99" s="24" t="s">
        <v>1</v>
      </c>
      <c r="E99" s="24" t="s">
        <v>1</v>
      </c>
      <c r="F99" s="24" t="s">
        <v>1</v>
      </c>
      <c r="G99" s="24" t="s">
        <v>1</v>
      </c>
    </row>
    <row r="100" spans="1:7" x14ac:dyDescent="0.25">
      <c r="A100" s="7" t="s">
        <v>50</v>
      </c>
      <c r="B100" s="25">
        <v>36.83</v>
      </c>
      <c r="C100" s="25">
        <v>33.86</v>
      </c>
      <c r="D100" s="25">
        <v>2.98</v>
      </c>
      <c r="E100" s="25" t="s">
        <v>42</v>
      </c>
      <c r="F100" s="25" t="s">
        <v>42</v>
      </c>
      <c r="G100" s="25" t="s">
        <v>42</v>
      </c>
    </row>
    <row r="101" spans="1:7" x14ac:dyDescent="0.25">
      <c r="A101" s="26" t="s">
        <v>97</v>
      </c>
      <c r="B101" s="25">
        <v>21.71</v>
      </c>
      <c r="C101" s="25">
        <v>19.850000000000001</v>
      </c>
      <c r="D101" s="25">
        <v>1.87</v>
      </c>
      <c r="E101" s="25" t="s">
        <v>42</v>
      </c>
      <c r="F101" s="25" t="s">
        <v>42</v>
      </c>
      <c r="G101" s="25" t="s">
        <v>42</v>
      </c>
    </row>
    <row r="102" spans="1:7" ht="24" customHeight="1" x14ac:dyDescent="0.25">
      <c r="A102" s="26" t="s">
        <v>98</v>
      </c>
      <c r="B102" s="25">
        <v>15.12</v>
      </c>
      <c r="C102" s="25">
        <v>14.01</v>
      </c>
      <c r="D102" s="25">
        <v>1.1100000000000001</v>
      </c>
      <c r="E102" s="25" t="s">
        <v>42</v>
      </c>
      <c r="F102" s="25" t="s">
        <v>42</v>
      </c>
      <c r="G102" s="25" t="s">
        <v>42</v>
      </c>
    </row>
    <row r="103" spans="1:7" x14ac:dyDescent="0.25">
      <c r="A103" s="28" t="s">
        <v>51</v>
      </c>
      <c r="B103" s="25">
        <v>47.68</v>
      </c>
      <c r="C103" s="25">
        <v>43.21</v>
      </c>
      <c r="D103" s="25">
        <v>4.47</v>
      </c>
      <c r="E103" s="25" t="s">
        <v>42</v>
      </c>
      <c r="F103" s="25" t="s">
        <v>42</v>
      </c>
      <c r="G103" s="25" t="s">
        <v>42</v>
      </c>
    </row>
    <row r="104" spans="1:7" ht="26.25" x14ac:dyDescent="0.25">
      <c r="A104" s="28" t="s">
        <v>78</v>
      </c>
      <c r="B104" s="25">
        <v>39.01</v>
      </c>
      <c r="C104" s="25" t="s">
        <v>42</v>
      </c>
      <c r="D104" s="25" t="s">
        <v>42</v>
      </c>
      <c r="E104" s="25">
        <v>9.34</v>
      </c>
      <c r="F104" s="25">
        <v>22.84</v>
      </c>
      <c r="G104" s="25">
        <v>6.83</v>
      </c>
    </row>
    <row r="105" spans="1:7" x14ac:dyDescent="0.25">
      <c r="A105" s="23" t="s">
        <v>99</v>
      </c>
      <c r="B105" s="24" t="s">
        <v>1</v>
      </c>
      <c r="C105" s="24" t="s">
        <v>1</v>
      </c>
      <c r="D105" s="24" t="s">
        <v>1</v>
      </c>
      <c r="E105" s="24" t="s">
        <v>1</v>
      </c>
      <c r="F105" s="24" t="s">
        <v>1</v>
      </c>
      <c r="G105" s="24" t="s">
        <v>1</v>
      </c>
    </row>
    <row r="106" spans="1:7" x14ac:dyDescent="0.25">
      <c r="A106" s="7" t="s">
        <v>50</v>
      </c>
      <c r="B106" s="25">
        <v>56.5</v>
      </c>
      <c r="C106" s="25">
        <v>52.99</v>
      </c>
      <c r="D106" s="25">
        <v>3.52</v>
      </c>
      <c r="E106" s="25" t="s">
        <v>42</v>
      </c>
      <c r="F106" s="25" t="s">
        <v>42</v>
      </c>
      <c r="G106" s="25" t="s">
        <v>42</v>
      </c>
    </row>
    <row r="107" spans="1:7" x14ac:dyDescent="0.25">
      <c r="A107" s="26" t="s">
        <v>100</v>
      </c>
      <c r="B107" s="25">
        <v>7.68</v>
      </c>
      <c r="C107" s="25">
        <v>7.1</v>
      </c>
      <c r="D107" s="25">
        <v>0.56999999999999995</v>
      </c>
      <c r="E107" s="25" t="s">
        <v>42</v>
      </c>
      <c r="F107" s="25" t="s">
        <v>42</v>
      </c>
      <c r="G107" s="25" t="s">
        <v>42</v>
      </c>
    </row>
    <row r="108" spans="1:7" ht="24" customHeight="1" x14ac:dyDescent="0.25">
      <c r="A108" s="26" t="s">
        <v>101</v>
      </c>
      <c r="B108" s="25">
        <v>48.83</v>
      </c>
      <c r="C108" s="25">
        <v>45.88</v>
      </c>
      <c r="D108" s="25">
        <v>2.94</v>
      </c>
      <c r="E108" s="25" t="s">
        <v>42</v>
      </c>
      <c r="F108" s="25" t="s">
        <v>42</v>
      </c>
      <c r="G108" s="25" t="s">
        <v>42</v>
      </c>
    </row>
    <row r="109" spans="1:7" x14ac:dyDescent="0.25">
      <c r="A109" s="7" t="s">
        <v>51</v>
      </c>
      <c r="B109" s="25">
        <v>28.01</v>
      </c>
      <c r="C109" s="25">
        <v>24.08</v>
      </c>
      <c r="D109" s="25">
        <v>3.94</v>
      </c>
      <c r="E109" s="25" t="s">
        <v>42</v>
      </c>
      <c r="F109" s="25" t="s">
        <v>42</v>
      </c>
      <c r="G109" s="25" t="s">
        <v>42</v>
      </c>
    </row>
    <row r="110" spans="1:7" ht="26.25" x14ac:dyDescent="0.25">
      <c r="A110" s="28" t="s">
        <v>78</v>
      </c>
      <c r="B110" s="25">
        <v>39.01</v>
      </c>
      <c r="C110" s="25" t="s">
        <v>42</v>
      </c>
      <c r="D110" s="25" t="s">
        <v>42</v>
      </c>
      <c r="E110" s="25">
        <v>9.34</v>
      </c>
      <c r="F110" s="25">
        <v>22.84</v>
      </c>
      <c r="G110" s="25">
        <v>6.83</v>
      </c>
    </row>
    <row r="111" spans="1:7" x14ac:dyDescent="0.25">
      <c r="A111" s="23" t="s">
        <v>102</v>
      </c>
      <c r="B111" s="24" t="s">
        <v>1</v>
      </c>
      <c r="C111" s="24" t="s">
        <v>1</v>
      </c>
      <c r="D111" s="24" t="s">
        <v>1</v>
      </c>
      <c r="E111" s="24" t="s">
        <v>1</v>
      </c>
      <c r="F111" s="24" t="s">
        <v>1</v>
      </c>
      <c r="G111" s="24" t="s">
        <v>1</v>
      </c>
    </row>
    <row r="112" spans="1:7" x14ac:dyDescent="0.25">
      <c r="A112" s="7" t="s">
        <v>50</v>
      </c>
      <c r="B112" s="25">
        <v>51.79</v>
      </c>
      <c r="C112" s="25">
        <v>48.19</v>
      </c>
      <c r="D112" s="25">
        <v>3.6</v>
      </c>
      <c r="E112" s="25" t="s">
        <v>42</v>
      </c>
      <c r="F112" s="25" t="s">
        <v>42</v>
      </c>
      <c r="G112" s="25" t="s">
        <v>42</v>
      </c>
    </row>
    <row r="113" spans="1:7" x14ac:dyDescent="0.25">
      <c r="A113" s="26" t="s">
        <v>103</v>
      </c>
      <c r="B113" s="25">
        <v>11.27</v>
      </c>
      <c r="C113" s="25">
        <v>9.64</v>
      </c>
      <c r="D113" s="25">
        <v>1.64</v>
      </c>
      <c r="E113" s="25" t="s">
        <v>42</v>
      </c>
      <c r="F113" s="25" t="s">
        <v>42</v>
      </c>
      <c r="G113" s="25" t="s">
        <v>42</v>
      </c>
    </row>
    <row r="114" spans="1:7" ht="24" customHeight="1" x14ac:dyDescent="0.25">
      <c r="A114" s="26" t="s">
        <v>104</v>
      </c>
      <c r="B114" s="25">
        <v>34.18</v>
      </c>
      <c r="C114" s="25">
        <v>32.270000000000003</v>
      </c>
      <c r="D114" s="25">
        <v>1.91</v>
      </c>
      <c r="E114" s="25" t="s">
        <v>42</v>
      </c>
      <c r="F114" s="25" t="s">
        <v>42</v>
      </c>
      <c r="G114" s="25" t="s">
        <v>42</v>
      </c>
    </row>
    <row r="115" spans="1:7" ht="24" customHeight="1" x14ac:dyDescent="0.25">
      <c r="A115" s="26" t="s">
        <v>105</v>
      </c>
      <c r="B115" s="25">
        <v>6.34</v>
      </c>
      <c r="C115" s="25">
        <v>6.28</v>
      </c>
      <c r="D115" s="25">
        <v>0.06</v>
      </c>
      <c r="E115" s="25" t="s">
        <v>42</v>
      </c>
      <c r="F115" s="25" t="s">
        <v>42</v>
      </c>
      <c r="G115" s="25" t="s">
        <v>42</v>
      </c>
    </row>
    <row r="116" spans="1:7" x14ac:dyDescent="0.25">
      <c r="A116" s="7" t="s">
        <v>51</v>
      </c>
      <c r="B116" s="25">
        <v>32.72</v>
      </c>
      <c r="C116" s="25">
        <v>28.88</v>
      </c>
      <c r="D116" s="25">
        <v>3.85</v>
      </c>
      <c r="E116" s="25" t="s">
        <v>42</v>
      </c>
      <c r="F116" s="25" t="s">
        <v>42</v>
      </c>
      <c r="G116" s="25" t="s">
        <v>42</v>
      </c>
    </row>
    <row r="117" spans="1:7" ht="26.25" x14ac:dyDescent="0.25">
      <c r="A117" s="28" t="s">
        <v>78</v>
      </c>
      <c r="B117" s="25">
        <v>39.01</v>
      </c>
      <c r="C117" s="25" t="s">
        <v>42</v>
      </c>
      <c r="D117" s="25" t="s">
        <v>42</v>
      </c>
      <c r="E117" s="25">
        <v>9.34</v>
      </c>
      <c r="F117" s="25">
        <v>22.84</v>
      </c>
      <c r="G117" s="25">
        <v>6.83</v>
      </c>
    </row>
    <row r="118" spans="1:7" x14ac:dyDescent="0.25">
      <c r="A118" s="23" t="s">
        <v>106</v>
      </c>
      <c r="B118" s="24" t="s">
        <v>1</v>
      </c>
      <c r="C118" s="24" t="s">
        <v>1</v>
      </c>
      <c r="D118" s="24" t="s">
        <v>1</v>
      </c>
      <c r="E118" s="24" t="s">
        <v>1</v>
      </c>
      <c r="F118" s="24" t="s">
        <v>1</v>
      </c>
      <c r="G118" s="24" t="s">
        <v>1</v>
      </c>
    </row>
    <row r="119" spans="1:7" x14ac:dyDescent="0.25">
      <c r="A119" s="7" t="s">
        <v>107</v>
      </c>
      <c r="B119" s="25">
        <v>34.340000000000003</v>
      </c>
      <c r="C119" s="25">
        <v>24.33</v>
      </c>
      <c r="D119" s="25">
        <v>1.8</v>
      </c>
      <c r="E119" s="25">
        <v>1.59</v>
      </c>
      <c r="F119" s="25">
        <v>5.22</v>
      </c>
      <c r="G119" s="25">
        <v>1.39</v>
      </c>
    </row>
    <row r="120" spans="1:7" x14ac:dyDescent="0.25">
      <c r="A120" s="7" t="s">
        <v>108</v>
      </c>
      <c r="B120" s="25">
        <v>64.27</v>
      </c>
      <c r="C120" s="25">
        <v>40.369999999999997</v>
      </c>
      <c r="D120" s="25">
        <v>3.98</v>
      </c>
      <c r="E120" s="25">
        <v>4.41</v>
      </c>
      <c r="F120" s="25">
        <v>12.22</v>
      </c>
      <c r="G120" s="25">
        <v>3.28</v>
      </c>
    </row>
    <row r="121" spans="1:7" ht="24" customHeight="1" x14ac:dyDescent="0.25">
      <c r="A121" s="7" t="s">
        <v>109</v>
      </c>
      <c r="B121" s="25">
        <v>21.29</v>
      </c>
      <c r="C121" s="25">
        <v>11.11</v>
      </c>
      <c r="D121" s="25">
        <v>1.45</v>
      </c>
      <c r="E121" s="25">
        <v>2.7</v>
      </c>
      <c r="F121" s="25">
        <v>4.1500000000000004</v>
      </c>
      <c r="G121" s="25">
        <v>1.87</v>
      </c>
    </row>
    <row r="122" spans="1:7" x14ac:dyDescent="0.25">
      <c r="A122" s="7" t="s">
        <v>289</v>
      </c>
      <c r="B122" s="25">
        <v>3.63</v>
      </c>
      <c r="C122" s="25">
        <v>1.25</v>
      </c>
      <c r="D122" s="25">
        <v>0.21</v>
      </c>
      <c r="E122" s="25">
        <v>0.64</v>
      </c>
      <c r="F122" s="25">
        <v>1.24</v>
      </c>
      <c r="G122" s="25">
        <v>0.28999999999999998</v>
      </c>
    </row>
    <row r="123" spans="1:7" ht="26.25" x14ac:dyDescent="0.25">
      <c r="A123" s="23" t="s">
        <v>110</v>
      </c>
      <c r="B123" s="24" t="s">
        <v>1</v>
      </c>
      <c r="C123" s="24" t="s">
        <v>1</v>
      </c>
      <c r="D123" s="24" t="s">
        <v>1</v>
      </c>
      <c r="E123" s="24" t="s">
        <v>1</v>
      </c>
      <c r="F123" s="24" t="s">
        <v>1</v>
      </c>
      <c r="G123" s="24" t="s">
        <v>1</v>
      </c>
    </row>
    <row r="124" spans="1:7" x14ac:dyDescent="0.25">
      <c r="A124" s="7" t="s">
        <v>52</v>
      </c>
      <c r="B124" s="25">
        <v>55.37</v>
      </c>
      <c r="C124" s="25">
        <v>37.020000000000003</v>
      </c>
      <c r="D124" s="25">
        <v>2.91</v>
      </c>
      <c r="E124" s="25">
        <v>2.9</v>
      </c>
      <c r="F124" s="25">
        <v>10.130000000000001</v>
      </c>
      <c r="G124" s="25">
        <v>2.41</v>
      </c>
    </row>
    <row r="125" spans="1:7" x14ac:dyDescent="0.25">
      <c r="A125" s="7" t="s">
        <v>111</v>
      </c>
      <c r="B125" s="25">
        <v>52.63</v>
      </c>
      <c r="C125" s="25">
        <v>32.53</v>
      </c>
      <c r="D125" s="25">
        <v>3.35</v>
      </c>
      <c r="E125" s="25">
        <v>4.22</v>
      </c>
      <c r="F125" s="25">
        <v>9.35</v>
      </c>
      <c r="G125" s="25">
        <v>3.19</v>
      </c>
    </row>
    <row r="126" spans="1:7" s="6" customFormat="1" ht="24" customHeight="1" x14ac:dyDescent="0.25">
      <c r="A126" s="7" t="s">
        <v>112</v>
      </c>
      <c r="B126" s="25">
        <v>10.39</v>
      </c>
      <c r="C126" s="25">
        <v>5.3</v>
      </c>
      <c r="D126" s="25">
        <v>0.76</v>
      </c>
      <c r="E126" s="25">
        <v>1.43</v>
      </c>
      <c r="F126" s="25">
        <v>2.15</v>
      </c>
      <c r="G126" s="25">
        <v>0.75</v>
      </c>
    </row>
    <row r="127" spans="1:7" s="6" customFormat="1" x14ac:dyDescent="0.25">
      <c r="A127" s="7" t="s">
        <v>113</v>
      </c>
      <c r="B127" s="25">
        <v>5.14</v>
      </c>
      <c r="C127" s="25">
        <v>2.2200000000000002</v>
      </c>
      <c r="D127" s="25">
        <v>0.44</v>
      </c>
      <c r="E127" s="25">
        <v>0.8</v>
      </c>
      <c r="F127" s="25">
        <v>1.2</v>
      </c>
      <c r="G127" s="25">
        <v>0.48</v>
      </c>
    </row>
    <row r="128" spans="1:7" s="6" customFormat="1" x14ac:dyDescent="0.25">
      <c r="A128" s="23" t="s">
        <v>290</v>
      </c>
      <c r="B128" s="24" t="s">
        <v>1</v>
      </c>
      <c r="C128" s="24" t="s">
        <v>1</v>
      </c>
      <c r="D128" s="24" t="s">
        <v>1</v>
      </c>
      <c r="E128" s="24" t="s">
        <v>1</v>
      </c>
      <c r="F128" s="24" t="s">
        <v>1</v>
      </c>
      <c r="G128" s="24" t="s">
        <v>1</v>
      </c>
    </row>
    <row r="129" spans="1:7" x14ac:dyDescent="0.25">
      <c r="A129" s="7" t="s">
        <v>50</v>
      </c>
      <c r="B129" s="25">
        <v>55.18</v>
      </c>
      <c r="C129" s="25">
        <v>39.22</v>
      </c>
      <c r="D129" s="25">
        <v>3.72</v>
      </c>
      <c r="E129" s="25">
        <v>3.49</v>
      </c>
      <c r="F129" s="25">
        <v>8.75</v>
      </c>
      <c r="G129" s="25" t="s">
        <v>42</v>
      </c>
    </row>
    <row r="130" spans="1:7" x14ac:dyDescent="0.25">
      <c r="A130" s="7" t="s">
        <v>51</v>
      </c>
      <c r="B130" s="25">
        <v>61.52</v>
      </c>
      <c r="C130" s="25">
        <v>37.85</v>
      </c>
      <c r="D130" s="25">
        <v>3.73</v>
      </c>
      <c r="E130" s="25">
        <v>5.85</v>
      </c>
      <c r="F130" s="25">
        <v>14.08</v>
      </c>
      <c r="G130" s="25" t="s">
        <v>42</v>
      </c>
    </row>
    <row r="131" spans="1:7" ht="24" customHeight="1" x14ac:dyDescent="0.25">
      <c r="A131" s="28" t="s">
        <v>114</v>
      </c>
      <c r="B131" s="25">
        <v>6.83</v>
      </c>
      <c r="C131" s="25" t="s">
        <v>42</v>
      </c>
      <c r="D131" s="25" t="s">
        <v>42</v>
      </c>
      <c r="E131" s="25" t="s">
        <v>42</v>
      </c>
      <c r="F131" s="25" t="s">
        <v>42</v>
      </c>
      <c r="G131" s="25">
        <v>6.83</v>
      </c>
    </row>
    <row r="132" spans="1:7" x14ac:dyDescent="0.25">
      <c r="A132" s="23" t="s">
        <v>115</v>
      </c>
      <c r="B132" s="24" t="s">
        <v>1</v>
      </c>
      <c r="C132" s="24" t="s">
        <v>1</v>
      </c>
      <c r="D132" s="24" t="s">
        <v>1</v>
      </c>
      <c r="E132" s="24" t="s">
        <v>1</v>
      </c>
      <c r="F132" s="24" t="s">
        <v>1</v>
      </c>
      <c r="G132" s="24" t="s">
        <v>1</v>
      </c>
    </row>
    <row r="133" spans="1:7" x14ac:dyDescent="0.25">
      <c r="A133" s="7" t="s">
        <v>116</v>
      </c>
      <c r="B133" s="25">
        <v>6.95</v>
      </c>
      <c r="C133" s="25">
        <v>0.1</v>
      </c>
      <c r="D133" s="25">
        <v>0.22</v>
      </c>
      <c r="E133" s="25">
        <v>0.77</v>
      </c>
      <c r="F133" s="25">
        <v>5.85</v>
      </c>
      <c r="G133" s="25" t="s">
        <v>35</v>
      </c>
    </row>
    <row r="134" spans="1:7" x14ac:dyDescent="0.25">
      <c r="A134" s="7" t="s">
        <v>117</v>
      </c>
      <c r="B134" s="25">
        <v>18.149999999999999</v>
      </c>
      <c r="C134" s="25">
        <v>1.72</v>
      </c>
      <c r="D134" s="25">
        <v>1.79</v>
      </c>
      <c r="E134" s="25">
        <v>3.81</v>
      </c>
      <c r="F134" s="25">
        <v>10.54</v>
      </c>
      <c r="G134" s="25">
        <v>0.28999999999999998</v>
      </c>
    </row>
    <row r="135" spans="1:7" ht="24" customHeight="1" x14ac:dyDescent="0.25">
      <c r="A135" s="7" t="s">
        <v>118</v>
      </c>
      <c r="B135" s="25">
        <v>29.35</v>
      </c>
      <c r="C135" s="25">
        <v>16.16</v>
      </c>
      <c r="D135" s="25">
        <v>2.6</v>
      </c>
      <c r="E135" s="25">
        <v>2.86</v>
      </c>
      <c r="F135" s="25">
        <v>5.09</v>
      </c>
      <c r="G135" s="25">
        <v>2.66</v>
      </c>
    </row>
    <row r="136" spans="1:7" x14ac:dyDescent="0.25">
      <c r="A136" s="29" t="s">
        <v>119</v>
      </c>
      <c r="B136" s="25">
        <v>38.42</v>
      </c>
      <c r="C136" s="25">
        <v>30.76</v>
      </c>
      <c r="D136" s="25">
        <v>1.97</v>
      </c>
      <c r="E136" s="25">
        <v>1.42</v>
      </c>
      <c r="F136" s="25">
        <v>1.04</v>
      </c>
      <c r="G136" s="25">
        <v>3.23</v>
      </c>
    </row>
    <row r="137" spans="1:7" x14ac:dyDescent="0.25">
      <c r="A137" s="29" t="s">
        <v>120</v>
      </c>
      <c r="B137" s="25">
        <v>13.61</v>
      </c>
      <c r="C137" s="25">
        <v>12.28</v>
      </c>
      <c r="D137" s="25">
        <v>0.43</v>
      </c>
      <c r="E137" s="25">
        <v>0.25</v>
      </c>
      <c r="F137" s="25">
        <v>0.14000000000000001</v>
      </c>
      <c r="G137" s="25">
        <v>0.51</v>
      </c>
    </row>
    <row r="138" spans="1:7" x14ac:dyDescent="0.25">
      <c r="A138" s="29" t="s">
        <v>121</v>
      </c>
      <c r="B138" s="25">
        <v>12.43</v>
      </c>
      <c r="C138" s="25">
        <v>11.7</v>
      </c>
      <c r="D138" s="25">
        <v>0.35</v>
      </c>
      <c r="E138" s="25">
        <v>0.14000000000000001</v>
      </c>
      <c r="F138" s="25" t="s">
        <v>35</v>
      </c>
      <c r="G138" s="25">
        <v>0.13</v>
      </c>
    </row>
    <row r="139" spans="1:7" x14ac:dyDescent="0.25">
      <c r="A139" s="29" t="s">
        <v>122</v>
      </c>
      <c r="B139" s="25">
        <v>4.62</v>
      </c>
      <c r="C139" s="25">
        <v>4.3499999999999996</v>
      </c>
      <c r="D139" s="25">
        <v>0.1</v>
      </c>
      <c r="E139" s="25">
        <v>0.09</v>
      </c>
      <c r="F139" s="25" t="s">
        <v>35</v>
      </c>
      <c r="G139" s="25" t="s">
        <v>35</v>
      </c>
    </row>
    <row r="140" spans="1:7" x14ac:dyDescent="0.25">
      <c r="A140" s="23" t="s">
        <v>123</v>
      </c>
      <c r="B140" s="24" t="s">
        <v>1</v>
      </c>
      <c r="C140" s="24" t="s">
        <v>1</v>
      </c>
      <c r="D140" s="24" t="s">
        <v>1</v>
      </c>
      <c r="E140" s="24" t="s">
        <v>1</v>
      </c>
      <c r="F140" s="24" t="s">
        <v>1</v>
      </c>
      <c r="G140" s="24" t="s">
        <v>1</v>
      </c>
    </row>
    <row r="141" spans="1:7" x14ac:dyDescent="0.25">
      <c r="A141" s="7" t="s">
        <v>124</v>
      </c>
      <c r="B141" s="25">
        <v>43.51</v>
      </c>
      <c r="C141" s="25">
        <v>21.45</v>
      </c>
      <c r="D141" s="25">
        <v>2.81</v>
      </c>
      <c r="E141" s="25">
        <v>4.9400000000000004</v>
      </c>
      <c r="F141" s="25">
        <v>10.84</v>
      </c>
      <c r="G141" s="25">
        <v>3.46</v>
      </c>
    </row>
    <row r="142" spans="1:7" x14ac:dyDescent="0.25">
      <c r="A142" s="7" t="s">
        <v>125</v>
      </c>
      <c r="B142" s="25">
        <v>77.95</v>
      </c>
      <c r="C142" s="25">
        <v>54.09</v>
      </c>
      <c r="D142" s="25">
        <v>4.5199999999999996</v>
      </c>
      <c r="E142" s="25">
        <v>4.33</v>
      </c>
      <c r="F142" s="25">
        <v>11.72</v>
      </c>
      <c r="G142" s="25">
        <v>3.29</v>
      </c>
    </row>
    <row r="143" spans="1:7" ht="24" customHeight="1" x14ac:dyDescent="0.25">
      <c r="A143" s="7" t="s">
        <v>126</v>
      </c>
      <c r="B143" s="25">
        <v>2.0699999999999998</v>
      </c>
      <c r="C143" s="25">
        <v>1.53</v>
      </c>
      <c r="D143" s="25">
        <v>0.12</v>
      </c>
      <c r="E143" s="25">
        <v>7.0000000000000007E-2</v>
      </c>
      <c r="F143" s="25">
        <v>0.27</v>
      </c>
      <c r="G143" s="25" t="s">
        <v>35</v>
      </c>
    </row>
    <row r="144" spans="1:7" x14ac:dyDescent="0.25">
      <c r="A144" s="23" t="s">
        <v>127</v>
      </c>
      <c r="B144" s="24" t="s">
        <v>1</v>
      </c>
      <c r="C144" s="24" t="s">
        <v>1</v>
      </c>
      <c r="D144" s="24" t="s">
        <v>1</v>
      </c>
      <c r="E144" s="24" t="s">
        <v>1</v>
      </c>
      <c r="F144" s="24" t="s">
        <v>1</v>
      </c>
      <c r="G144" s="24" t="s">
        <v>1</v>
      </c>
    </row>
    <row r="145" spans="1:7" x14ac:dyDescent="0.25">
      <c r="A145" s="7" t="s">
        <v>128</v>
      </c>
      <c r="B145" s="25">
        <v>47.4</v>
      </c>
      <c r="C145" s="25">
        <v>23.3</v>
      </c>
      <c r="D145" s="25">
        <v>2.89</v>
      </c>
      <c r="E145" s="25">
        <v>4.2300000000000004</v>
      </c>
      <c r="F145" s="25">
        <v>13.02</v>
      </c>
      <c r="G145" s="25">
        <v>3.94</v>
      </c>
    </row>
    <row r="146" spans="1:7" x14ac:dyDescent="0.25">
      <c r="A146" s="7" t="s">
        <v>44</v>
      </c>
      <c r="B146" s="25">
        <v>40.31</v>
      </c>
      <c r="C146" s="25">
        <v>27.87</v>
      </c>
      <c r="D146" s="25">
        <v>2.2599999999999998</v>
      </c>
      <c r="E146" s="25">
        <v>3.23</v>
      </c>
      <c r="F146" s="25">
        <v>5.52</v>
      </c>
      <c r="G146" s="25">
        <v>1.43</v>
      </c>
    </row>
    <row r="147" spans="1:7" ht="24" customHeight="1" x14ac:dyDescent="0.25">
      <c r="A147" s="7" t="s">
        <v>129</v>
      </c>
      <c r="B147" s="25">
        <v>31.85</v>
      </c>
      <c r="C147" s="25">
        <v>23.39</v>
      </c>
      <c r="D147" s="25">
        <v>1.95</v>
      </c>
      <c r="E147" s="25">
        <v>1.54</v>
      </c>
      <c r="F147" s="25">
        <v>3.66</v>
      </c>
      <c r="G147" s="25">
        <v>1.3</v>
      </c>
    </row>
    <row r="148" spans="1:7" x14ac:dyDescent="0.25">
      <c r="A148" s="29" t="s">
        <v>130</v>
      </c>
      <c r="B148" s="25">
        <v>1.72</v>
      </c>
      <c r="C148" s="25">
        <v>0.94</v>
      </c>
      <c r="D148" s="25">
        <v>0.15</v>
      </c>
      <c r="E148" s="25">
        <v>0.19</v>
      </c>
      <c r="F148" s="25">
        <v>0.34</v>
      </c>
      <c r="G148" s="25">
        <v>0.1</v>
      </c>
    </row>
    <row r="149" spans="1:7" x14ac:dyDescent="0.25">
      <c r="A149" s="29" t="s">
        <v>131</v>
      </c>
      <c r="B149" s="25">
        <v>2.25</v>
      </c>
      <c r="C149" s="25">
        <v>1.56</v>
      </c>
      <c r="D149" s="25">
        <v>0.19</v>
      </c>
      <c r="E149" s="25">
        <v>0.15</v>
      </c>
      <c r="F149" s="25">
        <v>0.3</v>
      </c>
      <c r="G149" s="25" t="s">
        <v>35</v>
      </c>
    </row>
    <row r="150" spans="1:7" ht="26.25" x14ac:dyDescent="0.25">
      <c r="A150" s="23" t="s">
        <v>291</v>
      </c>
      <c r="B150" s="24" t="s">
        <v>1</v>
      </c>
      <c r="C150" s="24" t="s">
        <v>1</v>
      </c>
      <c r="D150" s="24" t="s">
        <v>1</v>
      </c>
      <c r="E150" s="24" t="s">
        <v>1</v>
      </c>
      <c r="F150" s="24" t="s">
        <v>1</v>
      </c>
      <c r="G150" s="24" t="s">
        <v>1</v>
      </c>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94</v>
      </c>
      <c r="B154" s="25">
        <v>8.16</v>
      </c>
      <c r="C154" s="25">
        <v>6.75</v>
      </c>
      <c r="D154" s="25">
        <v>0.38</v>
      </c>
      <c r="E154" s="25">
        <v>0.2</v>
      </c>
      <c r="F154" s="25">
        <v>0.64</v>
      </c>
      <c r="G154" s="25">
        <v>0.19</v>
      </c>
    </row>
    <row r="155" spans="1:7" x14ac:dyDescent="0.25">
      <c r="A155" s="23" t="s">
        <v>133</v>
      </c>
      <c r="B155" s="24" t="s">
        <v>1</v>
      </c>
      <c r="C155" s="24" t="s">
        <v>1</v>
      </c>
      <c r="D155" s="24" t="s">
        <v>1</v>
      </c>
      <c r="E155" s="24" t="s">
        <v>1</v>
      </c>
      <c r="F155" s="24" t="s">
        <v>1</v>
      </c>
      <c r="G155" s="24" t="s">
        <v>1</v>
      </c>
    </row>
    <row r="156" spans="1:7" x14ac:dyDescent="0.25">
      <c r="A156" s="7" t="s">
        <v>50</v>
      </c>
      <c r="B156" s="25">
        <v>34.299999999999997</v>
      </c>
      <c r="C156" s="25">
        <v>25.3</v>
      </c>
      <c r="D156" s="25">
        <v>1.83</v>
      </c>
      <c r="E156" s="25">
        <v>1.97</v>
      </c>
      <c r="F156" s="25">
        <v>3.38</v>
      </c>
      <c r="G156" s="25">
        <v>1.82</v>
      </c>
    </row>
    <row r="157" spans="1:7" x14ac:dyDescent="0.25">
      <c r="A157" s="7" t="s">
        <v>51</v>
      </c>
      <c r="B157" s="25">
        <v>36.81</v>
      </c>
      <c r="C157" s="25">
        <v>22.8</v>
      </c>
      <c r="D157" s="25">
        <v>2.2000000000000002</v>
      </c>
      <c r="E157" s="25">
        <v>2.74</v>
      </c>
      <c r="F157" s="25">
        <v>6.71</v>
      </c>
      <c r="G157" s="25">
        <v>2.35</v>
      </c>
    </row>
    <row r="158" spans="1:7" ht="24" customHeight="1" x14ac:dyDescent="0.25">
      <c r="A158" s="7" t="s">
        <v>132</v>
      </c>
      <c r="B158" s="25">
        <v>52.42</v>
      </c>
      <c r="C158" s="25">
        <v>28.96</v>
      </c>
      <c r="D158" s="25">
        <v>3.43</v>
      </c>
      <c r="E158" s="25">
        <v>4.62</v>
      </c>
      <c r="F158" s="25">
        <v>12.74</v>
      </c>
      <c r="G158" s="25">
        <v>2.66</v>
      </c>
    </row>
    <row r="159" spans="1:7" ht="26.25" x14ac:dyDescent="0.25">
      <c r="A159" s="23" t="s">
        <v>134</v>
      </c>
      <c r="B159" s="24" t="s">
        <v>1</v>
      </c>
      <c r="C159" s="24" t="s">
        <v>1</v>
      </c>
      <c r="D159" s="24" t="s">
        <v>1</v>
      </c>
      <c r="E159" s="24" t="s">
        <v>1</v>
      </c>
      <c r="F159" s="24" t="s">
        <v>1</v>
      </c>
      <c r="G159" s="24" t="s">
        <v>1</v>
      </c>
    </row>
    <row r="160" spans="1:7" x14ac:dyDescent="0.25">
      <c r="A160" s="7" t="s">
        <v>50</v>
      </c>
      <c r="B160" s="25">
        <v>67.83</v>
      </c>
      <c r="C160" s="25">
        <v>58.09</v>
      </c>
      <c r="D160" s="25">
        <v>4.22</v>
      </c>
      <c r="E160" s="25">
        <v>2.11</v>
      </c>
      <c r="F160" s="25" t="s">
        <v>42</v>
      </c>
      <c r="G160" s="25">
        <v>3.41</v>
      </c>
    </row>
    <row r="161" spans="1:7" x14ac:dyDescent="0.25">
      <c r="A161" s="7" t="s">
        <v>51</v>
      </c>
      <c r="B161" s="25">
        <v>32.869999999999997</v>
      </c>
      <c r="C161" s="25">
        <v>18.97</v>
      </c>
      <c r="D161" s="25">
        <v>3.24</v>
      </c>
      <c r="E161" s="25">
        <v>7.23</v>
      </c>
      <c r="F161" s="25" t="s">
        <v>42</v>
      </c>
      <c r="G161" s="25">
        <v>3.42</v>
      </c>
    </row>
    <row r="162" spans="1:7" ht="24" customHeight="1" x14ac:dyDescent="0.25">
      <c r="A162" s="7" t="s">
        <v>87</v>
      </c>
      <c r="B162" s="25">
        <v>22.84</v>
      </c>
      <c r="C162" s="25" t="s">
        <v>42</v>
      </c>
      <c r="D162" s="25" t="s">
        <v>42</v>
      </c>
      <c r="E162" s="25" t="s">
        <v>42</v>
      </c>
      <c r="F162" s="25">
        <v>22.84</v>
      </c>
      <c r="G162" s="25" t="s">
        <v>42</v>
      </c>
    </row>
    <row r="163" spans="1:7" ht="26.25" x14ac:dyDescent="0.25">
      <c r="A163" s="23" t="s">
        <v>292</v>
      </c>
      <c r="B163" s="30" t="s">
        <v>1</v>
      </c>
      <c r="C163" s="30" t="s">
        <v>1</v>
      </c>
      <c r="D163" s="30" t="s">
        <v>1</v>
      </c>
      <c r="E163" s="30" t="s">
        <v>1</v>
      </c>
      <c r="F163" s="30" t="s">
        <v>1</v>
      </c>
      <c r="G163" s="30" t="s">
        <v>1</v>
      </c>
    </row>
    <row r="164" spans="1:7" x14ac:dyDescent="0.25">
      <c r="A164" s="7" t="s">
        <v>50</v>
      </c>
      <c r="B164" s="30">
        <v>1.82</v>
      </c>
      <c r="C164" s="30">
        <v>1.46</v>
      </c>
      <c r="D164" s="30">
        <v>0.11</v>
      </c>
      <c r="E164" s="30" t="s">
        <v>35</v>
      </c>
      <c r="F164" s="30">
        <v>0.17</v>
      </c>
      <c r="G164" s="30" t="s">
        <v>35</v>
      </c>
    </row>
    <row r="165" spans="1:7" x14ac:dyDescent="0.25">
      <c r="A165" s="26" t="s">
        <v>293</v>
      </c>
      <c r="B165" s="30">
        <v>1.39</v>
      </c>
      <c r="C165" s="30">
        <v>1.22</v>
      </c>
      <c r="D165" s="30">
        <v>0.09</v>
      </c>
      <c r="E165" s="30" t="s">
        <v>35</v>
      </c>
      <c r="F165" s="30" t="s">
        <v>35</v>
      </c>
      <c r="G165" s="30" t="s">
        <v>35</v>
      </c>
    </row>
    <row r="166" spans="1:7" ht="33.75" customHeight="1" x14ac:dyDescent="0.25">
      <c r="A166" s="7" t="s">
        <v>51</v>
      </c>
      <c r="B166" s="30">
        <v>121.71</v>
      </c>
      <c r="C166" s="30">
        <v>75.61</v>
      </c>
      <c r="D166" s="30">
        <v>7.34</v>
      </c>
      <c r="E166" s="30">
        <v>9.2899999999999991</v>
      </c>
      <c r="F166" s="30">
        <v>22.67</v>
      </c>
      <c r="G166" s="30">
        <v>6.79</v>
      </c>
    </row>
    <row r="167" spans="1:7" ht="26.25" x14ac:dyDescent="0.25">
      <c r="A167" s="23" t="s">
        <v>135</v>
      </c>
      <c r="B167" s="23" t="s">
        <v>1</v>
      </c>
      <c r="C167" s="23" t="s">
        <v>1</v>
      </c>
      <c r="D167" s="23" t="s">
        <v>1</v>
      </c>
      <c r="E167" s="23" t="s">
        <v>1</v>
      </c>
      <c r="F167" s="23" t="s">
        <v>1</v>
      </c>
      <c r="G167" s="23" t="s">
        <v>1</v>
      </c>
    </row>
    <row r="168" spans="1:7" x14ac:dyDescent="0.25">
      <c r="A168" s="7" t="s">
        <v>50</v>
      </c>
      <c r="B168" s="25">
        <v>84.52</v>
      </c>
      <c r="C168" s="25">
        <v>54.13</v>
      </c>
      <c r="D168" s="25">
        <v>5.63</v>
      </c>
      <c r="E168" s="25">
        <v>6.95</v>
      </c>
      <c r="F168" s="25">
        <v>14.94</v>
      </c>
      <c r="G168" s="25">
        <v>2.87</v>
      </c>
    </row>
    <row r="169" spans="1:7" x14ac:dyDescent="0.25">
      <c r="A169" s="26" t="s">
        <v>294</v>
      </c>
      <c r="B169" s="25">
        <v>69.489999999999995</v>
      </c>
      <c r="C169" s="25">
        <v>47.14</v>
      </c>
      <c r="D169" s="25">
        <v>4.9000000000000004</v>
      </c>
      <c r="E169" s="25">
        <v>5.27</v>
      </c>
      <c r="F169" s="25">
        <v>10.3</v>
      </c>
      <c r="G169" s="25">
        <v>1.89</v>
      </c>
    </row>
    <row r="170" spans="1:7" ht="33.75" customHeight="1" x14ac:dyDescent="0.25">
      <c r="A170" s="26" t="s">
        <v>295</v>
      </c>
      <c r="B170" s="25">
        <v>15.03</v>
      </c>
      <c r="C170" s="25">
        <v>6.99</v>
      </c>
      <c r="D170" s="25">
        <v>0.74</v>
      </c>
      <c r="E170" s="25">
        <v>1.68</v>
      </c>
      <c r="F170" s="25">
        <v>4.6399999999999997</v>
      </c>
      <c r="G170" s="25">
        <v>0.98</v>
      </c>
    </row>
    <row r="171" spans="1:7" x14ac:dyDescent="0.25">
      <c r="A171" s="7" t="s">
        <v>51</v>
      </c>
      <c r="B171" s="25">
        <v>39.01</v>
      </c>
      <c r="C171" s="25">
        <v>22.93</v>
      </c>
      <c r="D171" s="25">
        <v>1.82</v>
      </c>
      <c r="E171" s="25">
        <v>2.4</v>
      </c>
      <c r="F171" s="25">
        <v>7.9</v>
      </c>
      <c r="G171" s="25">
        <v>3.96</v>
      </c>
    </row>
    <row r="172" spans="1:7" x14ac:dyDescent="0.25">
      <c r="A172" s="23" t="s">
        <v>136</v>
      </c>
      <c r="B172" s="24" t="s">
        <v>1</v>
      </c>
      <c r="C172" s="24" t="s">
        <v>1</v>
      </c>
      <c r="D172" s="24" t="s">
        <v>1</v>
      </c>
      <c r="E172" s="24" t="s">
        <v>1</v>
      </c>
      <c r="F172" s="24" t="s">
        <v>1</v>
      </c>
      <c r="G172" s="24" t="s">
        <v>1</v>
      </c>
    </row>
    <row r="173" spans="1:7" x14ac:dyDescent="0.25">
      <c r="A173" s="7" t="s">
        <v>50</v>
      </c>
      <c r="B173" s="25">
        <v>3.37</v>
      </c>
      <c r="C173" s="25">
        <v>3.16</v>
      </c>
      <c r="D173" s="25">
        <v>0.11</v>
      </c>
      <c r="E173" s="25" t="s">
        <v>42</v>
      </c>
      <c r="F173" s="25" t="s">
        <v>42</v>
      </c>
      <c r="G173" s="25">
        <v>0.1</v>
      </c>
    </row>
    <row r="174" spans="1:7" x14ac:dyDescent="0.25">
      <c r="A174" s="7" t="s">
        <v>51</v>
      </c>
      <c r="B174" s="25">
        <v>87.98</v>
      </c>
      <c r="C174" s="25">
        <v>73.91</v>
      </c>
      <c r="D174" s="25">
        <v>7.34</v>
      </c>
      <c r="E174" s="25" t="s">
        <v>42</v>
      </c>
      <c r="F174" s="25" t="s">
        <v>42</v>
      </c>
      <c r="G174" s="25">
        <v>6.73</v>
      </c>
    </row>
    <row r="175" spans="1:7" ht="24" customHeight="1" x14ac:dyDescent="0.25">
      <c r="A175" s="7" t="s">
        <v>137</v>
      </c>
      <c r="B175" s="25">
        <v>32.18</v>
      </c>
      <c r="C175" s="25" t="s">
        <v>42</v>
      </c>
      <c r="D175" s="25" t="s">
        <v>42</v>
      </c>
      <c r="E175" s="25">
        <v>9.34</v>
      </c>
      <c r="F175" s="25">
        <v>22.84</v>
      </c>
      <c r="G175" s="25" t="s">
        <v>42</v>
      </c>
    </row>
    <row r="176" spans="1:7" ht="26.25" x14ac:dyDescent="0.25">
      <c r="A176" s="23" t="s">
        <v>296</v>
      </c>
      <c r="B176" s="24" t="s">
        <v>1</v>
      </c>
      <c r="C176" s="24" t="s">
        <v>1</v>
      </c>
      <c r="D176" s="24" t="s">
        <v>1</v>
      </c>
      <c r="E176" s="24" t="s">
        <v>1</v>
      </c>
      <c r="F176" s="24" t="s">
        <v>1</v>
      </c>
      <c r="G176" s="24" t="s">
        <v>1</v>
      </c>
    </row>
    <row r="177" spans="1:7" x14ac:dyDescent="0.25">
      <c r="A177" s="7" t="s">
        <v>50</v>
      </c>
      <c r="B177" s="25">
        <v>22.72</v>
      </c>
      <c r="C177" s="25">
        <v>15.11</v>
      </c>
      <c r="D177" s="25">
        <v>1.05</v>
      </c>
      <c r="E177" s="25">
        <v>1.42</v>
      </c>
      <c r="F177" s="25">
        <v>3.64</v>
      </c>
      <c r="G177" s="25">
        <v>1.5</v>
      </c>
    </row>
    <row r="178" spans="1:7" ht="26.25" x14ac:dyDescent="0.25">
      <c r="A178" s="26" t="s">
        <v>297</v>
      </c>
      <c r="B178" s="25">
        <v>19</v>
      </c>
      <c r="C178" s="25">
        <v>13.08</v>
      </c>
      <c r="D178" s="25">
        <v>0.83</v>
      </c>
      <c r="E178" s="25">
        <v>1.08</v>
      </c>
      <c r="F178" s="25">
        <v>2.68</v>
      </c>
      <c r="G178" s="25">
        <v>1.32</v>
      </c>
    </row>
    <row r="179" spans="1:7" ht="24" customHeight="1" x14ac:dyDescent="0.25">
      <c r="A179" s="26" t="s">
        <v>298</v>
      </c>
      <c r="B179" s="25">
        <v>0.25</v>
      </c>
      <c r="C179" s="25">
        <v>0.15</v>
      </c>
      <c r="D179" s="25" t="s">
        <v>35</v>
      </c>
      <c r="E179" s="25" t="s">
        <v>35</v>
      </c>
      <c r="F179" s="25" t="s">
        <v>35</v>
      </c>
      <c r="G179" s="25" t="s">
        <v>35</v>
      </c>
    </row>
    <row r="180" spans="1:7" ht="26.25" x14ac:dyDescent="0.25">
      <c r="A180" s="26" t="s">
        <v>299</v>
      </c>
      <c r="B180" s="25">
        <v>3.08</v>
      </c>
      <c r="C180" s="25">
        <v>1.71</v>
      </c>
      <c r="D180" s="25">
        <v>0.18</v>
      </c>
      <c r="E180" s="25">
        <v>0.28999999999999998</v>
      </c>
      <c r="F180" s="25">
        <v>0.76</v>
      </c>
      <c r="G180" s="25">
        <v>0.14000000000000001</v>
      </c>
    </row>
    <row r="181" spans="1:7" x14ac:dyDescent="0.25">
      <c r="A181" s="26" t="s">
        <v>259</v>
      </c>
      <c r="B181" s="25">
        <v>0.39</v>
      </c>
      <c r="C181" s="25">
        <v>0.16</v>
      </c>
      <c r="D181" s="25" t="s">
        <v>35</v>
      </c>
      <c r="E181" s="25" t="s">
        <v>35</v>
      </c>
      <c r="F181" s="25">
        <v>0.18</v>
      </c>
      <c r="G181" s="25" t="s">
        <v>35</v>
      </c>
    </row>
    <row r="182" spans="1:7" x14ac:dyDescent="0.25">
      <c r="A182" s="7" t="s">
        <v>51</v>
      </c>
      <c r="B182" s="25">
        <v>100.81</v>
      </c>
      <c r="C182" s="25">
        <v>61.96</v>
      </c>
      <c r="D182" s="25">
        <v>6.4</v>
      </c>
      <c r="E182" s="25">
        <v>7.92</v>
      </c>
      <c r="F182" s="25">
        <v>19.190000000000001</v>
      </c>
      <c r="G182" s="25">
        <v>5.33</v>
      </c>
    </row>
    <row r="183" spans="1:7" ht="24" customHeight="1" x14ac:dyDescent="0.25">
      <c r="A183" s="23" t="s">
        <v>138</v>
      </c>
      <c r="B183" s="24" t="s">
        <v>1</v>
      </c>
      <c r="C183" s="24" t="s">
        <v>1</v>
      </c>
      <c r="D183" s="24" t="s">
        <v>1</v>
      </c>
      <c r="E183" s="24" t="s">
        <v>1</v>
      </c>
      <c r="F183" s="24" t="s">
        <v>1</v>
      </c>
      <c r="G183" s="24" t="s">
        <v>1</v>
      </c>
    </row>
    <row r="184" spans="1:7" x14ac:dyDescent="0.25">
      <c r="A184" s="7" t="s">
        <v>50</v>
      </c>
      <c r="B184" s="25">
        <v>17.66</v>
      </c>
      <c r="C184" s="25">
        <v>13.93</v>
      </c>
      <c r="D184" s="25">
        <v>0.34</v>
      </c>
      <c r="E184" s="25">
        <v>0.22</v>
      </c>
      <c r="F184" s="25">
        <v>2.15</v>
      </c>
      <c r="G184" s="25">
        <v>1.02</v>
      </c>
    </row>
    <row r="185" spans="1:7" x14ac:dyDescent="0.25">
      <c r="A185" s="7" t="s">
        <v>51</v>
      </c>
      <c r="B185" s="25">
        <v>105.87</v>
      </c>
      <c r="C185" s="25">
        <v>63.14</v>
      </c>
      <c r="D185" s="25">
        <v>7.11</v>
      </c>
      <c r="E185" s="25">
        <v>9.1199999999999992</v>
      </c>
      <c r="F185" s="25">
        <v>20.69</v>
      </c>
      <c r="G185" s="25">
        <v>5.82</v>
      </c>
    </row>
    <row r="186" spans="1:7" x14ac:dyDescent="0.25">
      <c r="A186" s="23" t="s">
        <v>139</v>
      </c>
      <c r="B186" s="24" t="s">
        <v>1</v>
      </c>
      <c r="C186" s="24" t="s">
        <v>1</v>
      </c>
      <c r="D186" s="24" t="s">
        <v>1</v>
      </c>
      <c r="E186" s="24" t="s">
        <v>1</v>
      </c>
      <c r="F186" s="24" t="s">
        <v>1</v>
      </c>
      <c r="G186" s="24" t="s">
        <v>1</v>
      </c>
    </row>
    <row r="187" spans="1:7" ht="24" customHeight="1" x14ac:dyDescent="0.25">
      <c r="A187" s="28" t="s">
        <v>50</v>
      </c>
      <c r="B187" s="25">
        <v>8.52</v>
      </c>
      <c r="C187" s="25">
        <v>8.09</v>
      </c>
      <c r="D187" s="25">
        <v>0.2</v>
      </c>
      <c r="E187" s="25" t="s">
        <v>42</v>
      </c>
      <c r="F187" s="25" t="s">
        <v>42</v>
      </c>
      <c r="G187" s="25">
        <v>0.23</v>
      </c>
    </row>
    <row r="188" spans="1:7" x14ac:dyDescent="0.25">
      <c r="A188" s="7" t="s">
        <v>51</v>
      </c>
      <c r="B188" s="25">
        <v>82.83</v>
      </c>
      <c r="C188" s="25">
        <v>68.98</v>
      </c>
      <c r="D188" s="25">
        <v>7.25</v>
      </c>
      <c r="E188" s="25" t="s">
        <v>42</v>
      </c>
      <c r="F188" s="25" t="s">
        <v>42</v>
      </c>
      <c r="G188" s="25">
        <v>6.6</v>
      </c>
    </row>
    <row r="189" spans="1:7" x14ac:dyDescent="0.25">
      <c r="A189" s="7" t="s">
        <v>137</v>
      </c>
      <c r="B189" s="25">
        <v>32.18</v>
      </c>
      <c r="C189" s="25" t="s">
        <v>42</v>
      </c>
      <c r="D189" s="25" t="s">
        <v>42</v>
      </c>
      <c r="E189" s="25">
        <v>9.34</v>
      </c>
      <c r="F189" s="25">
        <v>22.84</v>
      </c>
      <c r="G189" s="25" t="s">
        <v>42</v>
      </c>
    </row>
    <row r="190" spans="1:7" x14ac:dyDescent="0.25">
      <c r="A190" s="31" t="s">
        <v>140</v>
      </c>
      <c r="B190" s="24" t="s">
        <v>1</v>
      </c>
      <c r="C190" s="24" t="s">
        <v>1</v>
      </c>
      <c r="D190" s="24" t="s">
        <v>1</v>
      </c>
      <c r="E190" s="24" t="s">
        <v>1</v>
      </c>
      <c r="F190" s="24" t="s">
        <v>1</v>
      </c>
      <c r="G190" s="24" t="s">
        <v>1</v>
      </c>
    </row>
    <row r="191" spans="1:7" x14ac:dyDescent="0.25">
      <c r="A191" s="26" t="s">
        <v>141</v>
      </c>
      <c r="B191" s="25">
        <v>1.9</v>
      </c>
      <c r="C191" s="25">
        <v>1.77</v>
      </c>
      <c r="D191" s="25">
        <v>0.06</v>
      </c>
      <c r="E191" s="25" t="s">
        <v>42</v>
      </c>
      <c r="F191" s="25" t="s">
        <v>42</v>
      </c>
      <c r="G191" s="25" t="s">
        <v>35</v>
      </c>
    </row>
    <row r="192" spans="1:7" x14ac:dyDescent="0.25">
      <c r="A192" s="26" t="s">
        <v>142</v>
      </c>
      <c r="B192" s="25">
        <v>5.08</v>
      </c>
      <c r="C192" s="25">
        <v>4.84</v>
      </c>
      <c r="D192" s="25">
        <v>0.1</v>
      </c>
      <c r="E192" s="25" t="s">
        <v>42</v>
      </c>
      <c r="F192" s="25" t="s">
        <v>42</v>
      </c>
      <c r="G192" s="25">
        <v>0.14000000000000001</v>
      </c>
    </row>
    <row r="193" spans="1:7" ht="24" customHeight="1" x14ac:dyDescent="0.25">
      <c r="A193" s="26" t="s">
        <v>143</v>
      </c>
      <c r="B193" s="25">
        <v>1.54</v>
      </c>
      <c r="C193" s="25">
        <v>1.48</v>
      </c>
      <c r="D193" s="25" t="s">
        <v>35</v>
      </c>
      <c r="E193" s="25" t="s">
        <v>42</v>
      </c>
      <c r="F193" s="25" t="s">
        <v>42</v>
      </c>
      <c r="G193" s="25" t="s">
        <v>35</v>
      </c>
    </row>
    <row r="194" spans="1:7" x14ac:dyDescent="0.25">
      <c r="A194" s="26" t="s">
        <v>144</v>
      </c>
      <c r="B194" s="25">
        <v>82.83</v>
      </c>
      <c r="C194" s="25">
        <v>68.98</v>
      </c>
      <c r="D194" s="25">
        <v>7.25</v>
      </c>
      <c r="E194" s="25" t="s">
        <v>42</v>
      </c>
      <c r="F194" s="25" t="s">
        <v>42</v>
      </c>
      <c r="G194" s="25">
        <v>6.6</v>
      </c>
    </row>
    <row r="195" spans="1:7" x14ac:dyDescent="0.25">
      <c r="A195" s="26" t="s">
        <v>137</v>
      </c>
      <c r="B195" s="25">
        <v>32.18</v>
      </c>
      <c r="C195" s="25" t="s">
        <v>42</v>
      </c>
      <c r="D195" s="25" t="s">
        <v>42</v>
      </c>
      <c r="E195" s="25">
        <v>9.34</v>
      </c>
      <c r="F195" s="25">
        <v>22.84</v>
      </c>
      <c r="G195" s="25" t="s">
        <v>42</v>
      </c>
    </row>
    <row r="196" spans="1:7" x14ac:dyDescent="0.25">
      <c r="A196" s="31" t="s">
        <v>145</v>
      </c>
      <c r="B196" s="24" t="s">
        <v>1</v>
      </c>
      <c r="C196" s="24" t="s">
        <v>1</v>
      </c>
      <c r="D196" s="24" t="s">
        <v>1</v>
      </c>
      <c r="E196" s="24" t="s">
        <v>1</v>
      </c>
      <c r="F196" s="24" t="s">
        <v>1</v>
      </c>
      <c r="G196" s="24" t="s">
        <v>1</v>
      </c>
    </row>
    <row r="197" spans="1:7" x14ac:dyDescent="0.25">
      <c r="A197" s="26" t="s">
        <v>146</v>
      </c>
      <c r="B197" s="25">
        <v>2.89</v>
      </c>
      <c r="C197" s="25">
        <v>2.82</v>
      </c>
      <c r="D197" s="25">
        <v>0.05</v>
      </c>
      <c r="E197" s="25" t="s">
        <v>42</v>
      </c>
      <c r="F197" s="25" t="s">
        <v>42</v>
      </c>
      <c r="G197" s="25" t="s">
        <v>35</v>
      </c>
    </row>
    <row r="198" spans="1:7" x14ac:dyDescent="0.25">
      <c r="A198" s="27" t="s">
        <v>147</v>
      </c>
      <c r="B198" s="25">
        <v>0.85</v>
      </c>
      <c r="C198" s="25">
        <v>0.82</v>
      </c>
      <c r="D198" s="25" t="s">
        <v>35</v>
      </c>
      <c r="E198" s="25" t="s">
        <v>42</v>
      </c>
      <c r="F198" s="25" t="s">
        <v>42</v>
      </c>
      <c r="G198" s="25" t="s">
        <v>35</v>
      </c>
    </row>
    <row r="199" spans="1:7" x14ac:dyDescent="0.25">
      <c r="A199" s="27" t="s">
        <v>148</v>
      </c>
      <c r="B199" s="25">
        <v>1.32</v>
      </c>
      <c r="C199" s="25">
        <v>1.3</v>
      </c>
      <c r="D199" s="25" t="s">
        <v>35</v>
      </c>
      <c r="E199" s="25" t="s">
        <v>42</v>
      </c>
      <c r="F199" s="25" t="s">
        <v>42</v>
      </c>
      <c r="G199" s="25" t="s">
        <v>35</v>
      </c>
    </row>
    <row r="200" spans="1:7" x14ac:dyDescent="0.25">
      <c r="A200" s="27" t="s">
        <v>149</v>
      </c>
      <c r="B200" s="25">
        <v>0.28999999999999998</v>
      </c>
      <c r="C200" s="25">
        <v>0.28000000000000003</v>
      </c>
      <c r="D200" s="25" t="s">
        <v>35</v>
      </c>
      <c r="E200" s="25" t="s">
        <v>42</v>
      </c>
      <c r="F200" s="25" t="s">
        <v>42</v>
      </c>
      <c r="G200" s="25" t="s">
        <v>42</v>
      </c>
    </row>
    <row r="201" spans="1:7" x14ac:dyDescent="0.25">
      <c r="A201" s="27" t="s">
        <v>150</v>
      </c>
      <c r="B201" s="25">
        <v>0.42</v>
      </c>
      <c r="C201" s="25">
        <v>0.42</v>
      </c>
      <c r="D201" s="25" t="s">
        <v>35</v>
      </c>
      <c r="E201" s="25" t="s">
        <v>42</v>
      </c>
      <c r="F201" s="25" t="s">
        <v>42</v>
      </c>
      <c r="G201" s="25" t="s">
        <v>42</v>
      </c>
    </row>
    <row r="202" spans="1:7" x14ac:dyDescent="0.25">
      <c r="A202" s="26" t="s">
        <v>151</v>
      </c>
      <c r="B202" s="25">
        <v>5.63</v>
      </c>
      <c r="C202" s="25">
        <v>5.27</v>
      </c>
      <c r="D202" s="25">
        <v>0.15</v>
      </c>
      <c r="E202" s="25" t="s">
        <v>42</v>
      </c>
      <c r="F202" s="25" t="s">
        <v>42</v>
      </c>
      <c r="G202" s="25">
        <v>0.22</v>
      </c>
    </row>
    <row r="203" spans="1:7" ht="24" customHeight="1" x14ac:dyDescent="0.25">
      <c r="A203" s="26" t="s">
        <v>144</v>
      </c>
      <c r="B203" s="25">
        <v>82.83</v>
      </c>
      <c r="C203" s="25">
        <v>68.98</v>
      </c>
      <c r="D203" s="25">
        <v>7.25</v>
      </c>
      <c r="E203" s="25" t="s">
        <v>42</v>
      </c>
      <c r="F203" s="25" t="s">
        <v>42</v>
      </c>
      <c r="G203" s="25">
        <v>6.6</v>
      </c>
    </row>
    <row r="204" spans="1:7" s="6" customFormat="1" x14ac:dyDescent="0.25">
      <c r="A204" s="26" t="s">
        <v>137</v>
      </c>
      <c r="B204" s="25">
        <v>32.18</v>
      </c>
      <c r="C204" s="25" t="s">
        <v>42</v>
      </c>
      <c r="D204" s="25" t="s">
        <v>42</v>
      </c>
      <c r="E204" s="25">
        <v>9.34</v>
      </c>
      <c r="F204" s="25">
        <v>22.84</v>
      </c>
      <c r="G204" s="25" t="s">
        <v>42</v>
      </c>
    </row>
    <row r="205" spans="1:7" s="6" customFormat="1" x14ac:dyDescent="0.25">
      <c r="A205" s="23" t="s">
        <v>152</v>
      </c>
      <c r="B205" s="24" t="s">
        <v>1</v>
      </c>
      <c r="C205" s="24" t="s">
        <v>1</v>
      </c>
      <c r="D205" s="24" t="s">
        <v>1</v>
      </c>
      <c r="E205" s="24" t="s">
        <v>1</v>
      </c>
      <c r="F205" s="24" t="s">
        <v>1</v>
      </c>
      <c r="G205" s="24" t="s">
        <v>1</v>
      </c>
    </row>
    <row r="206" spans="1:7" s="6" customFormat="1" ht="24" customHeight="1" x14ac:dyDescent="0.25">
      <c r="A206" s="7" t="s">
        <v>50</v>
      </c>
      <c r="B206" s="25">
        <v>8.84</v>
      </c>
      <c r="C206" s="25">
        <v>7.33</v>
      </c>
      <c r="D206" s="25">
        <v>0.28000000000000003</v>
      </c>
      <c r="E206" s="25">
        <v>0.22</v>
      </c>
      <c r="F206" s="25">
        <v>0.73</v>
      </c>
      <c r="G206" s="25">
        <v>0.28999999999999998</v>
      </c>
    </row>
    <row r="207" spans="1:7" s="6" customFormat="1" x14ac:dyDescent="0.25">
      <c r="A207" s="7" t="s">
        <v>51</v>
      </c>
      <c r="B207" s="25">
        <v>114.69</v>
      </c>
      <c r="C207" s="25">
        <v>69.739999999999995</v>
      </c>
      <c r="D207" s="25">
        <v>7.18</v>
      </c>
      <c r="E207" s="25">
        <v>9.1199999999999992</v>
      </c>
      <c r="F207" s="25">
        <v>22.11</v>
      </c>
      <c r="G207" s="25">
        <v>6.55</v>
      </c>
    </row>
    <row r="208" spans="1:7" s="6" customFormat="1" x14ac:dyDescent="0.25">
      <c r="A208" s="31" t="s">
        <v>153</v>
      </c>
      <c r="B208" s="24" t="s">
        <v>1</v>
      </c>
      <c r="C208" s="24" t="s">
        <v>1</v>
      </c>
      <c r="D208" s="24" t="s">
        <v>1</v>
      </c>
      <c r="E208" s="24" t="s">
        <v>1</v>
      </c>
      <c r="F208" s="24" t="s">
        <v>1</v>
      </c>
      <c r="G208" s="24" t="s">
        <v>1</v>
      </c>
    </row>
    <row r="209" spans="1:7" s="6" customFormat="1" x14ac:dyDescent="0.25">
      <c r="A209" s="26" t="s">
        <v>141</v>
      </c>
      <c r="B209" s="25">
        <v>4.22</v>
      </c>
      <c r="C209" s="25">
        <v>3.3</v>
      </c>
      <c r="D209" s="25">
        <v>0.17</v>
      </c>
      <c r="E209" s="25">
        <v>0.14000000000000001</v>
      </c>
      <c r="F209" s="25">
        <v>0.44</v>
      </c>
      <c r="G209" s="25">
        <v>0.16</v>
      </c>
    </row>
    <row r="210" spans="1:7" s="6" customFormat="1" x14ac:dyDescent="0.25">
      <c r="A210" s="26" t="s">
        <v>142</v>
      </c>
      <c r="B210" s="25">
        <v>1.27</v>
      </c>
      <c r="C210" s="25">
        <v>1.1299999999999999</v>
      </c>
      <c r="D210" s="25" t="s">
        <v>35</v>
      </c>
      <c r="E210" s="25" t="s">
        <v>35</v>
      </c>
      <c r="F210" s="25" t="s">
        <v>35</v>
      </c>
      <c r="G210" s="25" t="s">
        <v>35</v>
      </c>
    </row>
    <row r="211" spans="1:7" ht="24" customHeight="1" x14ac:dyDescent="0.25">
      <c r="A211" s="26" t="s">
        <v>143</v>
      </c>
      <c r="B211" s="25">
        <v>3.35</v>
      </c>
      <c r="C211" s="25">
        <v>2.9</v>
      </c>
      <c r="D211" s="25">
        <v>0.08</v>
      </c>
      <c r="E211" s="25" t="s">
        <v>35</v>
      </c>
      <c r="F211" s="25">
        <v>0.21</v>
      </c>
      <c r="G211" s="25">
        <v>0.1</v>
      </c>
    </row>
    <row r="212" spans="1:7" x14ac:dyDescent="0.25">
      <c r="A212" s="26" t="s">
        <v>154</v>
      </c>
      <c r="B212" s="25">
        <v>114.69</v>
      </c>
      <c r="C212" s="25">
        <v>69.739999999999995</v>
      </c>
      <c r="D212" s="25">
        <v>7.18</v>
      </c>
      <c r="E212" s="25">
        <v>9.1199999999999992</v>
      </c>
      <c r="F212" s="25">
        <v>22.11</v>
      </c>
      <c r="G212" s="25">
        <v>6.55</v>
      </c>
    </row>
    <row r="213" spans="1:7" x14ac:dyDescent="0.25">
      <c r="A213" s="31" t="s">
        <v>155</v>
      </c>
      <c r="B213" s="24" t="s">
        <v>1</v>
      </c>
      <c r="C213" s="24" t="s">
        <v>1</v>
      </c>
      <c r="D213" s="24" t="s">
        <v>1</v>
      </c>
      <c r="E213" s="24" t="s">
        <v>1</v>
      </c>
      <c r="F213" s="24" t="s">
        <v>1</v>
      </c>
      <c r="G213" s="24" t="s">
        <v>1</v>
      </c>
    </row>
    <row r="214" spans="1:7" x14ac:dyDescent="0.25">
      <c r="A214" s="26" t="s">
        <v>147</v>
      </c>
      <c r="B214" s="25">
        <v>4.41</v>
      </c>
      <c r="C214" s="25">
        <v>3.8</v>
      </c>
      <c r="D214" s="25">
        <v>0.1</v>
      </c>
      <c r="E214" s="25" t="s">
        <v>35</v>
      </c>
      <c r="F214" s="25">
        <v>0.24</v>
      </c>
      <c r="G214" s="25">
        <v>0.17</v>
      </c>
    </row>
    <row r="215" spans="1:7" x14ac:dyDescent="0.25">
      <c r="A215" s="26" t="s">
        <v>148</v>
      </c>
      <c r="B215" s="25">
        <v>1.47</v>
      </c>
      <c r="C215" s="25">
        <v>1.23</v>
      </c>
      <c r="D215" s="25">
        <v>0.04</v>
      </c>
      <c r="E215" s="25" t="s">
        <v>35</v>
      </c>
      <c r="F215" s="25">
        <v>0.11</v>
      </c>
      <c r="G215" s="25" t="s">
        <v>35</v>
      </c>
    </row>
    <row r="216" spans="1:7" x14ac:dyDescent="0.25">
      <c r="A216" s="26" t="s">
        <v>150</v>
      </c>
      <c r="B216" s="25">
        <v>0.36</v>
      </c>
      <c r="C216" s="25">
        <v>0.32</v>
      </c>
      <c r="D216" s="25" t="s">
        <v>35</v>
      </c>
      <c r="E216" s="25" t="s">
        <v>42</v>
      </c>
      <c r="F216" s="25" t="s">
        <v>35</v>
      </c>
      <c r="G216" s="25" t="s">
        <v>42</v>
      </c>
    </row>
    <row r="217" spans="1:7" ht="43.5" customHeight="1" x14ac:dyDescent="0.25">
      <c r="A217" s="26" t="s">
        <v>156</v>
      </c>
      <c r="B217" s="25">
        <v>2.6</v>
      </c>
      <c r="C217" s="25">
        <v>1.98</v>
      </c>
      <c r="D217" s="25">
        <v>0.12</v>
      </c>
      <c r="E217" s="25" t="s">
        <v>35</v>
      </c>
      <c r="F217" s="25">
        <v>0.34</v>
      </c>
      <c r="G217" s="25">
        <v>0.09</v>
      </c>
    </row>
    <row r="218" spans="1:7" x14ac:dyDescent="0.25">
      <c r="A218" s="26" t="s">
        <v>154</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75" thickBot="1" x14ac:dyDescent="0.3">
      <c r="A220" s="26"/>
      <c r="B220" s="25"/>
      <c r="C220" s="25"/>
      <c r="D220" s="25"/>
      <c r="E220" s="25"/>
      <c r="F220" s="25"/>
      <c r="G220" s="25"/>
    </row>
    <row r="221" spans="1:7" s="6" customFormat="1" ht="206.25" customHeight="1" x14ac:dyDescent="0.25">
      <c r="A221" s="65" t="s">
        <v>300</v>
      </c>
      <c r="B221" s="65"/>
      <c r="C221" s="65"/>
      <c r="D221" s="65"/>
      <c r="E221" s="65"/>
      <c r="F221" s="65"/>
      <c r="G221" s="65"/>
    </row>
    <row r="222" spans="1:7" s="6"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6D3B-6C4B-4CA4-88A5-52F78BF14182}">
  <sheetPr>
    <tabColor theme="9"/>
  </sheetPr>
  <dimension ref="A1"/>
  <sheetViews>
    <sheetView workbookViewId="0">
      <selection activeCell="H42" sqref="H42"/>
    </sheetView>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AR121"/>
  <sheetViews>
    <sheetView topLeftCell="A27" zoomScale="70" zoomScaleNormal="70" workbookViewId="0">
      <selection activeCell="H42" sqref="H42"/>
    </sheetView>
  </sheetViews>
  <sheetFormatPr defaultRowHeight="15" x14ac:dyDescent="0.25"/>
  <cols>
    <col min="1" max="1" width="9.85546875" customWidth="1"/>
    <col min="2" max="2" width="60.5703125" customWidth="1"/>
    <col min="3" max="3" width="34.7109375" customWidth="1"/>
    <col min="4" max="4" width="11.5703125" customWidth="1"/>
    <col min="5" max="5" width="10.42578125" customWidth="1"/>
    <col min="6" max="6" width="12" customWidth="1"/>
    <col min="7" max="7" width="9.5703125" bestFit="1" customWidth="1"/>
    <col min="8" max="9" width="9.7109375" bestFit="1" customWidth="1"/>
    <col min="10" max="11" width="9.5703125" bestFit="1" customWidth="1"/>
    <col min="12" max="12" width="9.7109375" bestFit="1" customWidth="1"/>
    <col min="13" max="14" width="9.28515625" bestFit="1" customWidth="1"/>
    <col min="15" max="15" width="13" customWidth="1"/>
    <col min="16" max="16" width="14.140625" customWidth="1"/>
    <col min="17" max="17" width="9.28515625" bestFit="1" customWidth="1"/>
    <col min="18" max="18" width="9.7109375" bestFit="1" customWidth="1"/>
    <col min="19" max="19" width="9.28515625" bestFit="1" customWidth="1"/>
    <col min="20" max="20" width="12.140625" customWidth="1"/>
    <col min="21" max="21" width="13.5703125" customWidth="1"/>
    <col min="22" max="25" width="9.28515625" bestFit="1" customWidth="1"/>
    <col min="26" max="30" width="12" bestFit="1" customWidth="1"/>
    <col min="31" max="31" width="13" customWidth="1"/>
    <col min="45" max="45" width="11.28515625" customWidth="1"/>
    <col min="46" max="46" width="12" customWidth="1"/>
    <col min="47" max="47" width="11" customWidth="1"/>
    <col min="48" max="48" width="9.5703125" bestFit="1" customWidth="1"/>
    <col min="49" max="50" width="9.42578125" bestFit="1" customWidth="1"/>
    <col min="51" max="52" width="9.5703125" bestFit="1" customWidth="1"/>
  </cols>
  <sheetData>
    <row r="1" spans="1:44" ht="18.75" x14ac:dyDescent="0.3">
      <c r="A1" s="51" t="s">
        <v>171</v>
      </c>
      <c r="B1" s="52" t="s">
        <v>826</v>
      </c>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row>
    <row r="2" spans="1:44" x14ac:dyDescent="0.25">
      <c r="A2" s="49"/>
      <c r="B2" s="49"/>
      <c r="C2" s="50" t="s">
        <v>174</v>
      </c>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row>
    <row r="3" spans="1:44" x14ac:dyDescent="0.25">
      <c r="C3" s="1" t="s">
        <v>164</v>
      </c>
    </row>
    <row r="4" spans="1:44" x14ac:dyDescent="0.25">
      <c r="C4" s="1" t="s">
        <v>162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44" x14ac:dyDescent="0.25">
      <c r="C5" t="s">
        <v>58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44" x14ac:dyDescent="0.25">
      <c r="A6" t="s">
        <v>952</v>
      </c>
      <c r="B6" t="s">
        <v>599</v>
      </c>
      <c r="C6" t="s">
        <v>7</v>
      </c>
      <c r="D6" s="47">
        <v>0</v>
      </c>
      <c r="E6">
        <f>INDEX(AEO25_Table_21._Residential!$F$82:$AG$93,MATCH($B6,AEO25_Table_21._Residential!$B$82:$B$93,0),MATCH(E$4,AEO25_Table_21._Residential!$F$5:$AG$5,0))*About!$A$27*About!$B$30</f>
        <v>5555.7882295798581</v>
      </c>
      <c r="F6">
        <f>INDEX(AEO26_Table_21._Residential!$E$6:$AD$92,MATCH($A6,AEO26_Table_21._Residential!$B$6:$B$92,0),MATCH(F$4,AEO26_Table_21._Residential!$E$5:$AD$5,0))*About!$A$27*About!$B$30</f>
        <v>1627.7898486197685</v>
      </c>
      <c r="G6">
        <f>INDEX(AEO26_Table_21._Residential!$E$6:$AD$92,MATCH($A6,AEO26_Table_21._Residential!$B$6:$B$92,0),MATCH(G$4,AEO26_Table_21._Residential!$E$5:$AD$5,0))*About!$A$27*About!$B$30</f>
        <v>3557.2330607949489</v>
      </c>
      <c r="H6">
        <f>INDEX(AEO26_Table_21._Residential!$E$6:$AD$92,MATCH($A6,AEO26_Table_21._Residential!$B$6:$B$92,0),MATCH(H$4,AEO26_Table_21._Residential!$E$5:$AD$5,0))*About!$A$27*About!$B$30</f>
        <v>5437.8913624220841</v>
      </c>
      <c r="I6">
        <f>INDEX(AEO26_Table_21._Residential!$E$6:$AD$92,MATCH($A6,AEO26_Table_21._Residential!$B$6:$B$92,0),MATCH(I$4,AEO26_Table_21._Residential!$E$5:$AD$5,0))*About!$A$27*About!$B$30</f>
        <v>5479.358536387922</v>
      </c>
      <c r="J6">
        <f>INDEX(AEO26_Table_21._Residential!$E$6:$AD$92,MATCH($A6,AEO26_Table_21._Residential!$B$6:$B$92,0),MATCH(J$4,AEO26_Table_21._Residential!$E$5:$AD$5,0))*About!$A$27*About!$B$30</f>
        <v>5521.6387921962278</v>
      </c>
      <c r="K6">
        <f>INDEX(AEO26_Table_21._Residential!$E$6:$AD$92,MATCH($A6,AEO26_Table_21._Residential!$B$6:$B$92,0),MATCH(K$4,AEO26_Table_21._Residential!$E$5:$AD$5,0))*About!$A$27*About!$B$30</f>
        <v>8143.014652311178</v>
      </c>
      <c r="L6">
        <f>INDEX(AEO26_Table_21._Residential!$E$6:$AD$92,MATCH($A6,AEO26_Table_21._Residential!$B$6:$B$92,0),MATCH(L$4,AEO26_Table_21._Residential!$E$5:$AD$5,0))*About!$A$27*About!$B$30</f>
        <v>11642.518902290942</v>
      </c>
      <c r="M6">
        <f>INDEX(AEO26_Table_21._Residential!$E$6:$AD$92,MATCH($A6,AEO26_Table_21._Residential!$B$6:$B$92,0),MATCH(M$4,AEO26_Table_21._Residential!$E$5:$AD$5,0))*About!$A$27*About!$B$30</f>
        <v>15250.976119161336</v>
      </c>
      <c r="N6">
        <f>INDEX(AEO26_Table_21._Residential!$E$6:$AD$92,MATCH($A6,AEO26_Table_21._Residential!$B$6:$B$92,0),MATCH(N$4,AEO26_Table_21._Residential!$E$5:$AD$5,0))*About!$A$27*About!$B$30</f>
        <v>18060.986966728731</v>
      </c>
      <c r="O6">
        <f>INDEX(AEO26_Table_21._Residential!$E$6:$AD$92,MATCH($A6,AEO26_Table_21._Residential!$B$6:$B$92,0),MATCH(O$4,AEO26_Table_21._Residential!$E$5:$AD$5,0))*About!$A$27*About!$B$30</f>
        <v>21580.818262770175</v>
      </c>
      <c r="P6">
        <f>INDEX(AEO26_Table_21._Residential!$E$6:$AD$92,MATCH($A6,AEO26_Table_21._Residential!$B$6:$B$92,0),MATCH(P$4,AEO26_Table_21._Residential!$E$5:$AD$5,0))*About!$A$27*About!$B$30</f>
        <v>21622.285436736012</v>
      </c>
      <c r="Q6">
        <f>INDEX(AEO26_Table_21._Residential!$E$6:$AD$92,MATCH($A6,AEO26_Table_21._Residential!$B$6:$B$92,0),MATCH(Q$4,AEO26_Table_21._Residential!$E$5:$AD$5,0))*About!$A$27*About!$B$30</f>
        <v>21663.752610701853</v>
      </c>
      <c r="R6">
        <f>INDEX(AEO26_Table_21._Residential!$E$6:$AD$92,MATCH($A6,AEO26_Table_21._Residential!$B$6:$B$92,0),MATCH(R$4,AEO26_Table_21._Residential!$E$5:$AD$5,0))*About!$A$27*About!$B$30</f>
        <v>21706.032866510159</v>
      </c>
      <c r="S6">
        <f>INDEX(AEO26_Table_21._Residential!$E$6:$AD$92,MATCH($A6,AEO26_Table_21._Residential!$B$6:$B$92,0),MATCH(S$4,AEO26_Table_21._Residential!$E$5:$AD$5,0))*About!$A$27*About!$B$30</f>
        <v>21747.500040475996</v>
      </c>
      <c r="T6">
        <f>INDEX(AEO26_Table_21._Residential!$E$6:$AD$92,MATCH($A6,AEO26_Table_21._Residential!$B$6:$B$92,0),MATCH(T$4,AEO26_Table_21._Residential!$E$5:$AD$5,0))*About!$A$27*About!$B$30</f>
        <v>21789.780296284302</v>
      </c>
      <c r="U6">
        <f>INDEX(AEO26_Table_21._Residential!$E$6:$AD$92,MATCH($A6,AEO26_Table_21._Residential!$B$6:$B$92,0),MATCH(U$4,AEO26_Table_21._Residential!$E$5:$AD$5,0))*About!$A$27*About!$B$30</f>
        <v>21835.312879462479</v>
      </c>
      <c r="V6">
        <f>INDEX(AEO26_Table_21._Residential!$E$6:$AD$92,MATCH($A6,AEO26_Table_21._Residential!$B$6:$B$92,0),MATCH(V$4,AEO26_Table_21._Residential!$E$5:$AD$5,0))*About!$A$27*About!$B$30</f>
        <v>21887.350117380389</v>
      </c>
      <c r="W6">
        <f>INDEX(AEO26_Table_21._Residential!$E$6:$AD$92,MATCH($A6,AEO26_Table_21._Residential!$B$6:$B$92,0),MATCH(W$4,AEO26_Table_21._Residential!$E$5:$AD$5,0))*About!$A$27*About!$B$30</f>
        <v>21954.022828462723</v>
      </c>
      <c r="X6">
        <f>INDEX(AEO26_Table_21._Residential!$E$6:$AD$92,MATCH($A6,AEO26_Table_21._Residential!$B$6:$B$92,0),MATCH(X$4,AEO26_Table_21._Residential!$E$5:$AD$5,0))*About!$A$27*About!$B$30</f>
        <v>22048.340322188938</v>
      </c>
      <c r="Y6">
        <f>INDEX(AEO26_Table_21._Residential!$E$6:$AD$92,MATCH($A6,AEO26_Table_21._Residential!$B$6:$B$92,0),MATCH(Y$4,AEO26_Table_21._Residential!$E$5:$AD$5,0))*About!$A$27*About!$B$30</f>
        <v>22197.947381202943</v>
      </c>
      <c r="Z6">
        <f>INDEX(AEO26_Table_21._Residential!$E$6:$AD$92,MATCH($A6,AEO26_Table_21._Residential!$B$6:$B$92,0),MATCH(Z$4,AEO26_Table_21._Residential!$E$5:$AD$5,0))*About!$A$27*About!$B$30</f>
        <v>22450.815834210316</v>
      </c>
      <c r="AA6">
        <f>INDEX(AEO26_Table_21._Residential!$E$6:$AD$92,MATCH($A6,AEO26_Table_21._Residential!$B$6:$B$92,0),MATCH(AA$4,AEO26_Table_21._Residential!$E$5:$AD$5,0))*About!$A$27*About!$B$30</f>
        <v>22894.75852019752</v>
      </c>
      <c r="AB6">
        <f>INDEX(AEO26_Table_21._Residential!$E$6:$AD$92,MATCH($A6,AEO26_Table_21._Residential!$B$6:$B$92,0),MATCH(AB$4,AEO26_Table_21._Residential!$E$5:$AD$5,0))*About!$A$27*About!$B$30</f>
        <v>23341.140451712134</v>
      </c>
      <c r="AC6">
        <f>INDEX(AEO26_Table_21._Residential!$E$6:$AD$92,MATCH($A6,AEO26_Table_21._Residential!$B$6:$B$92,0),MATCH(AC$4,AEO26_Table_21._Residential!$E$5:$AD$5,0))*About!$A$27*About!$B$30</f>
        <v>23789.148546911678</v>
      </c>
      <c r="AD6">
        <f>INDEX(AEO26_Table_21._Residential!$E$6:$AD$92,MATCH($A6,AEO26_Table_21._Residential!$B$6:$B$92,0),MATCH(AD$4,AEO26_Table_21._Residential!$E$5:$AD$5,0))*About!$A$27*About!$B$30</f>
        <v>24239.595887638628</v>
      </c>
      <c r="AE6">
        <f>INDEX(AEO26_Table_21._Residential!$E$6:$AD$92,MATCH($A6,AEO26_Table_21._Residential!$B$6:$B$92,0),MATCH(AE$4,AEO26_Table_21._Residential!$E$5:$AD$5,0))*About!$A$27*About!$B$30</f>
        <v>24694.108637577912</v>
      </c>
    </row>
    <row r="7" spans="1:44" x14ac:dyDescent="0.25">
      <c r="C7" t="s">
        <v>8</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44" x14ac:dyDescent="0.25">
      <c r="C8" t="s">
        <v>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44" x14ac:dyDescent="0.25">
      <c r="A9" t="s">
        <v>956</v>
      </c>
      <c r="B9" t="s">
        <v>595</v>
      </c>
      <c r="C9" t="s">
        <v>59</v>
      </c>
      <c r="D9" s="47">
        <f>AEO23_Table_21._Residential!$G$84*About!$A$27*About!$B$30</f>
        <v>60829.091880514854</v>
      </c>
      <c r="E9">
        <f>INDEX(AEO25_Table_21._Residential!$F$82:$AG$93,MATCH($B9,AEO25_Table_21._Residential!$B$82:$B$93,0),MATCH(E$4,AEO25_Table_21._Residential!$F$5:$AG$5,0))*About!$A$27*About!$B$30</f>
        <v>300368.69424431311</v>
      </c>
      <c r="F9">
        <f>INDEX(AEO26_Table_21._Residential!$E$6:$AD$92,MATCH($A9,AEO26_Table_21._Residential!$B$6:$B$92,0),MATCH(F$4,AEO26_Table_21._Residential!$E$5:$AD$5,0))*About!$A$27*About!$B$30</f>
        <v>140072.86132923176</v>
      </c>
      <c r="G9">
        <f>INDEX(AEO26_Table_21._Residential!$E$6:$AD$92,MATCH($A9,AEO26_Table_21._Residential!$B$6:$B$92,0),MATCH(G$4,AEO26_Table_21._Residential!$E$5:$AD$5,0))*About!$A$27*About!$B$30</f>
        <v>140198.07593297173</v>
      </c>
      <c r="H9">
        <f>INDEX(AEO26_Table_21._Residential!$E$6:$AD$92,MATCH($A9,AEO26_Table_21._Residential!$B$6:$B$92,0),MATCH(H$4,AEO26_Table_21._Residential!$E$5:$AD$5,0))*About!$A$27*About!$B$30</f>
        <v>140350.9353193556</v>
      </c>
      <c r="I9">
        <f>INDEX(AEO26_Table_21._Residential!$E$6:$AD$92,MATCH($A9,AEO26_Table_21._Residential!$B$6:$B$92,0),MATCH(I$4,AEO26_Table_21._Residential!$E$5:$AD$5,0))*About!$A$27*About!$B$30</f>
        <v>140502.16854205454</v>
      </c>
      <c r="J9">
        <f>INDEX(AEO26_Table_21._Residential!$E$6:$AD$92,MATCH($A9,AEO26_Table_21._Residential!$B$6:$B$92,0),MATCH(J$4,AEO26_Table_21._Residential!$E$5:$AD$5,0))*About!$A$27*About!$B$30</f>
        <v>140746.90617663725</v>
      </c>
      <c r="K9">
        <f>INDEX(AEO26_Table_21._Residential!$E$6:$AD$92,MATCH($A9,AEO26_Table_21._Residential!$B$6:$B$92,0),MATCH(K$4,AEO26_Table_21._Residential!$E$5:$AD$5,0))*About!$A$27*About!$B$30</f>
        <v>141171.33489840524</v>
      </c>
      <c r="L9">
        <f>INDEX(AEO26_Table_21._Residential!$E$6:$AD$92,MATCH($A9,AEO26_Table_21._Residential!$B$6:$B$92,0),MATCH(L$4,AEO26_Table_21._Residential!$E$5:$AD$5,0))*About!$A$27*About!$B$30</f>
        <v>141941.32340322188</v>
      </c>
      <c r="M9">
        <f>INDEX(AEO26_Table_21._Residential!$E$6:$AD$92,MATCH($A9,AEO26_Table_21._Residential!$B$6:$B$92,0),MATCH(M$4,AEO26_Table_21._Residential!$E$5:$AD$5,0))*About!$A$27*About!$B$30</f>
        <v>143138.99295717638</v>
      </c>
      <c r="N9">
        <f>INDEX(AEO26_Table_21._Residential!$E$6:$AD$92,MATCH($A9,AEO26_Table_21._Residential!$B$6:$B$92,0),MATCH(N$4,AEO26_Table_21._Residential!$E$5:$AD$5,0))*About!$A$27*About!$B$30</f>
        <v>144978.99716668014</v>
      </c>
      <c r="O9">
        <f>INDEX(AEO26_Table_21._Residential!$E$6:$AD$92,MATCH($A9,AEO26_Table_21._Residential!$B$6:$B$92,0),MATCH(O$4,AEO26_Table_21._Residential!$E$5:$AD$5,0))*About!$A$27*About!$B$30</f>
        <v>147506.86861491136</v>
      </c>
      <c r="P9">
        <f>INDEX(AEO26_Table_21._Residential!$E$6:$AD$92,MATCH($A9,AEO26_Table_21._Residential!$B$6:$B$92,0),MATCH(P$4,AEO26_Table_21._Residential!$E$5:$AD$5,0))*About!$A$27*About!$B$30</f>
        <v>150522.589168623</v>
      </c>
      <c r="Q9">
        <f>INDEX(AEO26_Table_21._Residential!$E$6:$AD$92,MATCH($A9,AEO26_Table_21._Residential!$B$6:$B$92,0),MATCH(Q$4,AEO26_Table_21._Residential!$E$5:$AD$5,0))*About!$A$27*About!$B$30</f>
        <v>153902.57038776006</v>
      </c>
      <c r="R9">
        <f>INDEX(AEO26_Table_21._Residential!$E$6:$AD$92,MATCH($A9,AEO26_Table_21._Residential!$B$6:$B$92,0),MATCH(R$4,AEO26_Table_21._Residential!$E$5:$AD$5,0))*About!$A$27*About!$B$30</f>
        <v>157645.18610863757</v>
      </c>
      <c r="S9">
        <f>INDEX(AEO26_Table_21._Residential!$E$6:$AD$92,MATCH($A9,AEO26_Table_21._Residential!$B$6:$B$92,0),MATCH(S$4,AEO26_Table_21._Residential!$E$5:$AD$5,0))*About!$A$27*About!$B$30</f>
        <v>161573.18448959765</v>
      </c>
      <c r="T9">
        <f>INDEX(AEO26_Table_21._Residential!$E$6:$AD$92,MATCH($A9,AEO26_Table_21._Residential!$B$6:$B$92,0),MATCH(T$4,AEO26_Table_21._Residential!$E$5:$AD$5,0))*About!$A$27*About!$B$30</f>
        <v>165598.75269165382</v>
      </c>
      <c r="U9">
        <f>INDEX(AEO26_Table_21._Residential!$E$6:$AD$92,MATCH($A9,AEO26_Table_21._Residential!$B$6:$B$92,0),MATCH(U$4,AEO26_Table_21._Residential!$E$5:$AD$5,0))*About!$A$27*About!$B$30</f>
        <v>169864.18003723791</v>
      </c>
      <c r="V9">
        <f>INDEX(AEO26_Table_21._Residential!$E$6:$AD$92,MATCH($A9,AEO26_Table_21._Residential!$B$6:$B$92,0),MATCH(V$4,AEO26_Table_21._Residential!$E$5:$AD$5,0))*About!$A$27*About!$B$30</f>
        <v>174618.26957014488</v>
      </c>
      <c r="W9">
        <f>INDEX(AEO26_Table_21._Residential!$E$6:$AD$92,MATCH($A9,AEO26_Table_21._Residential!$B$6:$B$92,0),MATCH(W$4,AEO26_Table_21._Residential!$E$5:$AD$5,0))*About!$A$27*About!$B$30</f>
        <v>179692.71334898405</v>
      </c>
      <c r="X9">
        <f>INDEX(AEO26_Table_21._Residential!$E$6:$AD$92,MATCH($A9,AEO26_Table_21._Residential!$B$6:$B$92,0),MATCH(X$4,AEO26_Table_21._Residential!$E$5:$AD$5,0))*About!$A$27*About!$B$30</f>
        <v>184928.14733263175</v>
      </c>
      <c r="Y9">
        <f>INDEX(AEO26_Table_21._Residential!$E$6:$AD$92,MATCH($A9,AEO26_Table_21._Residential!$B$6:$B$92,0),MATCH(Y$4,AEO26_Table_21._Residential!$E$5:$AD$5,0))*About!$A$27*About!$B$30</f>
        <v>190289.60900186186</v>
      </c>
      <c r="Z9">
        <f>INDEX(AEO26_Table_21._Residential!$E$6:$AD$92,MATCH($A9,AEO26_Table_21._Residential!$B$6:$B$92,0),MATCH(Z$4,AEO26_Table_21._Residential!$E$5:$AD$5,0))*About!$A$27*About!$B$30</f>
        <v>195821.81785801018</v>
      </c>
      <c r="AA9">
        <f>INDEX(AEO26_Table_21._Residential!$E$6:$AD$92,MATCH($A9,AEO26_Table_21._Residential!$B$6:$B$92,0),MATCH(AA$4,AEO26_Table_21._Residential!$E$5:$AD$5,0))*About!$A$27*About!$B$30</f>
        <v>201816.67028252245</v>
      </c>
      <c r="AB9">
        <f>INDEX(AEO26_Table_21._Residential!$E$6:$AD$92,MATCH($A9,AEO26_Table_21._Residential!$B$6:$B$92,0),MATCH(AB$4,AEO26_Table_21._Residential!$E$5:$AD$5,0))*About!$A$27*About!$B$30</f>
        <v>208040.81178661055</v>
      </c>
      <c r="AC9">
        <f>INDEX(AEO26_Table_21._Residential!$E$6:$AD$92,MATCH($A9,AEO26_Table_21._Residential!$B$6:$B$92,0),MATCH(AC$4,AEO26_Table_21._Residential!$E$5:$AD$5,0))*About!$A$27*About!$B$30</f>
        <v>215123.56771634417</v>
      </c>
      <c r="AD9">
        <f>INDEX(AEO26_Table_21._Residential!$E$6:$AD$92,MATCH($A9,AEO26_Table_21._Residential!$B$6:$B$92,0),MATCH(AD$4,AEO26_Table_21._Residential!$E$5:$AD$5,0))*About!$A$27*About!$B$30</f>
        <v>222286.00566663966</v>
      </c>
      <c r="AE9">
        <f>INDEX(AEO26_Table_21._Residential!$E$6:$AD$92,MATCH($A9,AEO26_Table_21._Residential!$B$6:$B$92,0),MATCH(AE$4,AEO26_Table_21._Residential!$E$5:$AD$5,0))*About!$A$27*About!$B$30</f>
        <v>229521.62098275719</v>
      </c>
    </row>
    <row r="10" spans="1:44" x14ac:dyDescent="0.25">
      <c r="A10" t="s">
        <v>954</v>
      </c>
      <c r="B10" t="s">
        <v>597</v>
      </c>
      <c r="C10" t="s">
        <v>10</v>
      </c>
      <c r="D10" s="47">
        <f>AEO23_Table_21._Residential!$G$83*About!$A$27*About!$B$30</f>
        <v>35064945.58504007</v>
      </c>
      <c r="E10">
        <f>INDEX(AEO25_Table_21._Residential!$F$82:$AG$93,MATCH($B10,AEO25_Table_21._Residential!$B$82:$B$93,0),MATCH(E$4,AEO25_Table_21._Residential!$F$5:$AG$5,0))*About!$A$27*About!$B$30</f>
        <v>50978364.686796732</v>
      </c>
      <c r="F10">
        <f>INDEX(AEO26_Table_21._Residential!$E$6:$AD$92,MATCH($A10,AEO26_Table_21._Residential!$B$6:$B$92,0),MATCH(F$4,AEO26_Table_21._Residential!$E$5:$AD$5,0))*About!$A$27*About!$B$30</f>
        <v>53470950.009228528</v>
      </c>
      <c r="G10">
        <f>INDEX(AEO26_Table_21._Residential!$E$6:$AD$92,MATCH($A10,AEO26_Table_21._Residential!$B$6:$B$92,0),MATCH(G$4,AEO26_Table_21._Residential!$E$5:$AD$5,0))*About!$A$27*About!$B$30</f>
        <v>56521290.774710603</v>
      </c>
      <c r="H10">
        <f>INDEX(AEO26_Table_21._Residential!$E$6:$AD$92,MATCH($A10,AEO26_Table_21._Residential!$B$6:$B$92,0),MATCH(H$4,AEO26_Table_21._Residential!$E$5:$AD$5,0))*About!$A$27*About!$B$30</f>
        <v>59964463.088480517</v>
      </c>
      <c r="I10">
        <f>INDEX(AEO26_Table_21._Residential!$E$6:$AD$92,MATCH($A10,AEO26_Table_21._Residential!$B$6:$B$92,0),MATCH(I$4,AEO26_Table_21._Residential!$E$5:$AD$5,0))*About!$A$27*About!$B$30</f>
        <v>63515989.127823189</v>
      </c>
      <c r="J10">
        <f>INDEX(AEO26_Table_21._Residential!$E$6:$AD$92,MATCH($A10,AEO26_Table_21._Residential!$B$6:$B$92,0),MATCH(J$4,AEO26_Table_21._Residential!$E$5:$AD$5,0))*About!$A$27*About!$B$30</f>
        <v>66825908.71075853</v>
      </c>
      <c r="K10">
        <f>INDEX(AEO26_Table_21._Residential!$E$6:$AD$92,MATCH($A10,AEO26_Table_21._Residential!$B$6:$B$92,0),MATCH(K$4,AEO26_Table_21._Residential!$E$5:$AD$5,0))*About!$A$27*About!$B$30</f>
        <v>70302740.173561066</v>
      </c>
      <c r="L10">
        <f>INDEX(AEO26_Table_21._Residential!$E$6:$AD$92,MATCH($A10,AEO26_Table_21._Residential!$B$6:$B$92,0),MATCH(L$4,AEO26_Table_21._Residential!$E$5:$AD$5,0))*About!$A$27*About!$B$30</f>
        <v>74066152.901805222</v>
      </c>
      <c r="M10">
        <f>INDEX(AEO26_Table_21._Residential!$E$6:$AD$92,MATCH($A10,AEO26_Table_21._Residential!$B$6:$B$92,0),MATCH(M$4,AEO26_Table_21._Residential!$E$5:$AD$5,0))*About!$A$27*About!$B$30</f>
        <v>77813083.648020715</v>
      </c>
      <c r="N10">
        <f>INDEX(AEO26_Table_21._Residential!$E$6:$AD$92,MATCH($A10,AEO26_Table_21._Residential!$B$6:$B$92,0),MATCH(N$4,AEO26_Table_21._Residential!$E$5:$AD$5,0))*About!$A$27*About!$B$30</f>
        <v>81739216.006152347</v>
      </c>
      <c r="O10">
        <f>INDEX(AEO26_Table_21._Residential!$E$6:$AD$92,MATCH($A10,AEO26_Table_21._Residential!$B$6:$B$92,0),MATCH(O$4,AEO26_Table_21._Residential!$E$5:$AD$5,0))*About!$A$27*About!$B$30</f>
        <v>85899672.046628341</v>
      </c>
      <c r="P10">
        <f>INDEX(AEO26_Table_21._Residential!$E$6:$AD$92,MATCH($A10,AEO26_Table_21._Residential!$B$6:$B$92,0),MATCH(P$4,AEO26_Table_21._Residential!$E$5:$AD$5,0))*About!$A$27*About!$B$30</f>
        <v>90335556.308912814</v>
      </c>
      <c r="Q10">
        <f>INDEX(AEO26_Table_21._Residential!$E$6:$AD$92,MATCH($A10,AEO26_Table_21._Residential!$B$6:$B$92,0),MATCH(Q$4,AEO26_Table_21._Residential!$E$5:$AD$5,0))*About!$A$27*About!$B$30</f>
        <v>94982501.982028648</v>
      </c>
      <c r="R10">
        <f>INDEX(AEO26_Table_21._Residential!$E$6:$AD$92,MATCH($A10,AEO26_Table_21._Residential!$B$6:$B$92,0),MATCH(R$4,AEO26_Table_21._Residential!$E$5:$AD$5,0))*About!$A$27*About!$B$30</f>
        <v>99960122.34890309</v>
      </c>
      <c r="S10">
        <f>INDEX(AEO26_Table_21._Residential!$E$6:$AD$92,MATCH($A10,AEO26_Table_21._Residential!$B$6:$B$92,0),MATCH(S$4,AEO26_Table_21._Residential!$E$5:$AD$5,0))*About!$A$27*About!$B$30</f>
        <v>105171992.40767422</v>
      </c>
      <c r="T10">
        <f>INDEX(AEO26_Table_21._Residential!$E$6:$AD$92,MATCH($A10,AEO26_Table_21._Residential!$B$6:$B$92,0),MATCH(T$4,AEO26_Table_21._Residential!$E$5:$AD$5,0))*About!$A$27*About!$B$30</f>
        <v>110663048.75252973</v>
      </c>
      <c r="U10">
        <f>INDEX(AEO26_Table_21._Residential!$E$6:$AD$92,MATCH($A10,AEO26_Table_21._Residential!$B$6:$B$92,0),MATCH(U$4,AEO26_Table_21._Residential!$E$5:$AD$5,0))*About!$A$27*About!$B$30</f>
        <v>116346805.49405001</v>
      </c>
      <c r="V10">
        <f>INDEX(AEO26_Table_21._Residential!$E$6:$AD$92,MATCH($A10,AEO26_Table_21._Residential!$B$6:$B$92,0),MATCH(V$4,AEO26_Table_21._Residential!$E$5:$AD$5,0))*About!$A$27*About!$B$30</f>
        <v>122255072.83315793</v>
      </c>
      <c r="W10">
        <f>INDEX(AEO26_Table_21._Residential!$E$6:$AD$92,MATCH($A10,AEO26_Table_21._Residential!$B$6:$B$92,0),MATCH(W$4,AEO26_Table_21._Residential!$E$5:$AD$5,0))*About!$A$27*About!$B$30</f>
        <v>128329093.41050757</v>
      </c>
      <c r="X10">
        <f>INDEX(AEO26_Table_21._Residential!$E$6:$AD$92,MATCH($A10,AEO26_Table_21._Residential!$B$6:$B$92,0),MATCH(X$4,AEO26_Table_21._Residential!$E$5:$AD$5,0))*About!$A$27*About!$B$30</f>
        <v>134590739.12766129</v>
      </c>
      <c r="Y10">
        <f>INDEX(AEO26_Table_21._Residential!$E$6:$AD$92,MATCH($A10,AEO26_Table_21._Residential!$B$6:$B$92,0),MATCH(Y$4,AEO26_Table_21._Residential!$E$5:$AD$5,0))*About!$A$27*About!$B$30</f>
        <v>141094736.08419007</v>
      </c>
      <c r="Z10">
        <f>INDEX(AEO26_Table_21._Residential!$E$6:$AD$92,MATCH($A10,AEO26_Table_21._Residential!$B$6:$B$92,0),MATCH(Z$4,AEO26_Table_21._Residential!$E$5:$AD$5,0))*About!$A$27*About!$B$30</f>
        <v>147745429.26673684</v>
      </c>
      <c r="AA10">
        <f>INDEX(AEO26_Table_21._Residential!$E$6:$AD$92,MATCH($A10,AEO26_Table_21._Residential!$B$6:$B$92,0),MATCH(AA$4,AEO26_Table_21._Residential!$E$5:$AD$5,0))*About!$A$27*About!$B$30</f>
        <v>154590957.18578482</v>
      </c>
      <c r="AB10">
        <f>INDEX(AEO26_Table_21._Residential!$E$6:$AD$92,MATCH($A10,AEO26_Table_21._Residential!$B$6:$B$92,0),MATCH(AB$4,AEO26_Table_21._Residential!$E$5:$AD$5,0))*About!$A$27*About!$B$30</f>
        <v>161636864.24641788</v>
      </c>
      <c r="AC10">
        <f>INDEX(AEO26_Table_21._Residential!$E$6:$AD$92,MATCH($A10,AEO26_Table_21._Residential!$B$6:$B$92,0),MATCH(AC$4,AEO26_Table_21._Residential!$E$5:$AD$5,0))*About!$A$27*About!$B$30</f>
        <v>168976932.12142801</v>
      </c>
      <c r="AD10">
        <f>INDEX(AEO26_Table_21._Residential!$E$6:$AD$92,MATCH($A10,AEO26_Table_21._Residential!$B$6:$B$92,0),MATCH(AD$4,AEO26_Table_21._Residential!$E$5:$AD$5,0))*About!$A$27*About!$B$30</f>
        <v>176433189.3917267</v>
      </c>
      <c r="AE10">
        <f>INDEX(AEO26_Table_21._Residential!$E$6:$AD$92,MATCH($A10,AEO26_Table_21._Residential!$B$6:$B$92,0),MATCH(AE$4,AEO26_Table_21._Residential!$E$5:$AD$5,0))*About!$A$27*About!$B$30</f>
        <v>184157193.69966808</v>
      </c>
    </row>
    <row r="11" spans="1:44" x14ac:dyDescent="0.25">
      <c r="C11" t="s">
        <v>11</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44" x14ac:dyDescent="0.25">
      <c r="C12" t="s">
        <v>12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44" x14ac:dyDescent="0.25">
      <c r="C13" t="s">
        <v>13</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44" x14ac:dyDescent="0.25">
      <c r="C14" t="s">
        <v>14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44" x14ac:dyDescent="0.25">
      <c r="C15" t="s">
        <v>15</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44" x14ac:dyDescent="0.25">
      <c r="C16" t="s">
        <v>57</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C17" t="s">
        <v>60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C18" t="s">
        <v>158</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C19" t="s">
        <v>159</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C20" t="s">
        <v>160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2" spans="1:31" x14ac:dyDescent="0.25">
      <c r="C22" s="1" t="s">
        <v>166</v>
      </c>
    </row>
    <row r="23" spans="1:31" x14ac:dyDescent="0.25">
      <c r="C23" s="1" t="s">
        <v>162</v>
      </c>
      <c r="D23">
        <v>2023</v>
      </c>
      <c r="E23">
        <v>2024</v>
      </c>
      <c r="F23">
        <v>2025</v>
      </c>
      <c r="G23">
        <v>2026</v>
      </c>
      <c r="H23">
        <v>2027</v>
      </c>
      <c r="I23">
        <v>2028</v>
      </c>
      <c r="J23">
        <v>2029</v>
      </c>
      <c r="K23">
        <v>2030</v>
      </c>
      <c r="L23">
        <v>2031</v>
      </c>
      <c r="M23">
        <v>2032</v>
      </c>
      <c r="N23">
        <v>2033</v>
      </c>
      <c r="O23">
        <v>2034</v>
      </c>
      <c r="P23">
        <v>2035</v>
      </c>
      <c r="Q23">
        <v>2036</v>
      </c>
      <c r="R23">
        <v>2037</v>
      </c>
      <c r="S23">
        <v>2038</v>
      </c>
      <c r="T23">
        <v>2039</v>
      </c>
      <c r="U23">
        <v>2040</v>
      </c>
      <c r="V23">
        <v>2041</v>
      </c>
      <c r="W23">
        <v>2042</v>
      </c>
      <c r="X23">
        <v>2043</v>
      </c>
      <c r="Y23">
        <v>2044</v>
      </c>
      <c r="Z23">
        <v>2045</v>
      </c>
      <c r="AA23">
        <v>2046</v>
      </c>
      <c r="AB23">
        <v>2047</v>
      </c>
      <c r="AC23">
        <v>2048</v>
      </c>
      <c r="AD23">
        <v>2049</v>
      </c>
      <c r="AE23">
        <v>2050</v>
      </c>
    </row>
    <row r="24" spans="1:31" x14ac:dyDescent="0.25">
      <c r="C24" t="s">
        <v>58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t="s">
        <v>952</v>
      </c>
      <c r="B25" t="s">
        <v>599</v>
      </c>
      <c r="C25" t="s">
        <v>7</v>
      </c>
      <c r="D25" s="47">
        <v>0</v>
      </c>
      <c r="E25">
        <f>INDEX(AEO25_Table_21._Residential!$F$82:$AG$93,MATCH($B25,AEO25_Table_21._Residential!$B$82:$B$93,0),MATCH(E$4,AEO25_Table_21._Residential!$F$5:$AG$5,0))*About!$A$28*About!$B$30</f>
        <v>1277.2117704201407</v>
      </c>
      <c r="F25">
        <f>INDEX(AEO26_Table_21._Residential!$E$6:$AD$92,MATCH($A25,AEO26_Table_21._Residential!$B$6:$B$92,0),MATCH(F$4,AEO26_Table_21._Residential!$E$5:$AD$5,0))*About!$A$28*About!$B$30</f>
        <v>374.21015138023148</v>
      </c>
      <c r="G25">
        <f>INDEX(AEO26_Table_21._Residential!$E$6:$AD$92,MATCH($A25,AEO26_Table_21._Residential!$B$6:$B$92,0),MATCH(G$4,AEO26_Table_21._Residential!$E$5:$AD$5,0))*About!$A$28*About!$B$30</f>
        <v>817.76693920505147</v>
      </c>
      <c r="H25">
        <f>INDEX(AEO26_Table_21._Residential!$E$6:$AD$92,MATCH($A25,AEO26_Table_21._Residential!$B$6:$B$92,0),MATCH(H$4,AEO26_Table_21._Residential!$E$5:$AD$5,0))*About!$A$28*About!$B$30</f>
        <v>1250.1086375779162</v>
      </c>
      <c r="I25">
        <f>INDEX(AEO26_Table_21._Residential!$E$6:$AD$92,MATCH($A25,AEO26_Table_21._Residential!$B$6:$B$92,0),MATCH(I$4,AEO26_Table_21._Residential!$E$5:$AD$5,0))*About!$A$28*About!$B$30</f>
        <v>1259.641463612078</v>
      </c>
      <c r="J25">
        <f>INDEX(AEO26_Table_21._Residential!$E$6:$AD$92,MATCH($A25,AEO26_Table_21._Residential!$B$6:$B$92,0),MATCH(J$4,AEO26_Table_21._Residential!$E$5:$AD$5,0))*About!$A$28*About!$B$30</f>
        <v>1269.3612078037722</v>
      </c>
      <c r="K25">
        <f>INDEX(AEO26_Table_21._Residential!$E$6:$AD$92,MATCH($A25,AEO26_Table_21._Residential!$B$6:$B$92,0),MATCH(K$4,AEO26_Table_21._Residential!$E$5:$AD$5,0))*About!$A$28*About!$B$30</f>
        <v>1871.9853476888204</v>
      </c>
      <c r="L25">
        <f>INDEX(AEO26_Table_21._Residential!$E$6:$AD$92,MATCH($A25,AEO26_Table_21._Residential!$B$6:$B$92,0),MATCH(L$4,AEO26_Table_21._Residential!$E$5:$AD$5,0))*About!$A$28*About!$B$30</f>
        <v>2676.4810977090583</v>
      </c>
      <c r="M25">
        <f>INDEX(AEO26_Table_21._Residential!$E$6:$AD$92,MATCH($A25,AEO26_Table_21._Residential!$B$6:$B$92,0),MATCH(M$4,AEO26_Table_21._Residential!$E$5:$AD$5,0))*About!$A$28*About!$B$30</f>
        <v>3506.0238808386625</v>
      </c>
      <c r="N25">
        <f>INDEX(AEO26_Table_21._Residential!$E$6:$AD$92,MATCH($A25,AEO26_Table_21._Residential!$B$6:$B$92,0),MATCH(N$4,AEO26_Table_21._Residential!$E$5:$AD$5,0))*About!$A$28*About!$B$30</f>
        <v>4152.0130332712697</v>
      </c>
      <c r="O25">
        <f>INDEX(AEO26_Table_21._Residential!$E$6:$AD$92,MATCH($A25,AEO26_Table_21._Residential!$B$6:$B$92,0),MATCH(O$4,AEO26_Table_21._Residential!$E$5:$AD$5,0))*About!$A$28*About!$B$30</f>
        <v>4961.1817372298228</v>
      </c>
      <c r="P25">
        <f>INDEX(AEO26_Table_21._Residential!$E$6:$AD$92,MATCH($A25,AEO26_Table_21._Residential!$B$6:$B$92,0),MATCH(P$4,AEO26_Table_21._Residential!$E$5:$AD$5,0))*About!$A$28*About!$B$30</f>
        <v>4970.714563263984</v>
      </c>
      <c r="Q25">
        <f>INDEX(AEO26_Table_21._Residential!$E$6:$AD$92,MATCH($A25,AEO26_Table_21._Residential!$B$6:$B$92,0),MATCH(Q$4,AEO26_Table_21._Residential!$E$5:$AD$5,0))*About!$A$28*About!$B$30</f>
        <v>4980.2473892981461</v>
      </c>
      <c r="R25">
        <f>INDEX(AEO26_Table_21._Residential!$E$6:$AD$92,MATCH($A25,AEO26_Table_21._Residential!$B$6:$B$92,0),MATCH(R$4,AEO26_Table_21._Residential!$E$5:$AD$5,0))*About!$A$28*About!$B$30</f>
        <v>4989.9671334898403</v>
      </c>
      <c r="S25">
        <f>INDEX(AEO26_Table_21._Residential!$E$6:$AD$92,MATCH($A25,AEO26_Table_21._Residential!$B$6:$B$92,0),MATCH(S$4,AEO26_Table_21._Residential!$E$5:$AD$5,0))*About!$A$28*About!$B$30</f>
        <v>4999.4999595240024</v>
      </c>
      <c r="T25">
        <f>INDEX(AEO26_Table_21._Residential!$E$6:$AD$92,MATCH($A25,AEO26_Table_21._Residential!$B$6:$B$92,0),MATCH(T$4,AEO26_Table_21._Residential!$E$5:$AD$5,0))*About!$A$28*About!$B$30</f>
        <v>5009.2197037156966</v>
      </c>
      <c r="U25">
        <f>INDEX(AEO26_Table_21._Residential!$E$6:$AD$92,MATCH($A25,AEO26_Table_21._Residential!$B$6:$B$92,0),MATCH(U$4,AEO26_Table_21._Residential!$E$5:$AD$5,0))*About!$A$28*About!$B$30</f>
        <v>5019.687120537521</v>
      </c>
      <c r="V25">
        <f>INDEX(AEO26_Table_21._Residential!$E$6:$AD$92,MATCH($A25,AEO26_Table_21._Residential!$B$6:$B$92,0),MATCH(V$4,AEO26_Table_21._Residential!$E$5:$AD$5,0))*About!$A$28*About!$B$30</f>
        <v>5031.6498826196057</v>
      </c>
      <c r="W25">
        <f>INDEX(AEO26_Table_21._Residential!$E$6:$AD$92,MATCH($A25,AEO26_Table_21._Residential!$B$6:$B$92,0),MATCH(W$4,AEO26_Table_21._Residential!$E$5:$AD$5,0))*About!$A$28*About!$B$30</f>
        <v>5046.977171537279</v>
      </c>
      <c r="X25">
        <f>INDEX(AEO26_Table_21._Residential!$E$6:$AD$92,MATCH($A25,AEO26_Table_21._Residential!$B$6:$B$92,0),MATCH(X$4,AEO26_Table_21._Residential!$E$5:$AD$5,0))*About!$A$28*About!$B$30</f>
        <v>5068.6596778110579</v>
      </c>
      <c r="Y25">
        <f>INDEX(AEO26_Table_21._Residential!$E$6:$AD$92,MATCH($A25,AEO26_Table_21._Residential!$B$6:$B$92,0),MATCH(Y$4,AEO26_Table_21._Residential!$E$5:$AD$5,0))*About!$A$28*About!$B$30</f>
        <v>5103.0526187970527</v>
      </c>
      <c r="Z25">
        <f>INDEX(AEO26_Table_21._Residential!$E$6:$AD$92,MATCH($A25,AEO26_Table_21._Residential!$B$6:$B$92,0),MATCH(Z$4,AEO26_Table_21._Residential!$E$5:$AD$5,0))*About!$A$28*About!$B$30</f>
        <v>5161.1841657896866</v>
      </c>
      <c r="AA25">
        <f>INDEX(AEO26_Table_21._Residential!$E$6:$AD$92,MATCH($A25,AEO26_Table_21._Residential!$B$6:$B$92,0),MATCH(AA$4,AEO26_Table_21._Residential!$E$5:$AD$5,0))*About!$A$28*About!$B$30</f>
        <v>5263.2414798024765</v>
      </c>
      <c r="AB25">
        <f>INDEX(AEO26_Table_21._Residential!$E$6:$AD$92,MATCH($A25,AEO26_Table_21._Residential!$B$6:$B$92,0),MATCH(AB$4,AEO26_Table_21._Residential!$E$5:$AD$5,0))*About!$A$28*About!$B$30</f>
        <v>5365.8595482878654</v>
      </c>
      <c r="AC25">
        <f>INDEX(AEO26_Table_21._Residential!$E$6:$AD$92,MATCH($A25,AEO26_Table_21._Residential!$B$6:$B$92,0),MATCH(AC$4,AEO26_Table_21._Residential!$E$5:$AD$5,0))*About!$A$28*About!$B$30</f>
        <v>5468.8514530883176</v>
      </c>
      <c r="AD25">
        <f>INDEX(AEO26_Table_21._Residential!$E$6:$AD$92,MATCH($A25,AEO26_Table_21._Residential!$B$6:$B$92,0),MATCH(AD$4,AEO26_Table_21._Residential!$E$5:$AD$5,0))*About!$A$28*About!$B$30</f>
        <v>5572.4041123613697</v>
      </c>
      <c r="AE25">
        <f>INDEX(AEO26_Table_21._Residential!$E$6:$AD$92,MATCH($A25,AEO26_Table_21._Residential!$B$6:$B$92,0),MATCH(AE$4,AEO26_Table_21._Residential!$E$5:$AD$5,0))*About!$A$28*About!$B$30</f>
        <v>5676.8913624220831</v>
      </c>
    </row>
    <row r="26" spans="1:31" x14ac:dyDescent="0.25">
      <c r="C26" t="s">
        <v>8</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1:31" x14ac:dyDescent="0.25">
      <c r="C27" t="s">
        <v>9</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1:31" x14ac:dyDescent="0.25">
      <c r="A28" t="s">
        <v>956</v>
      </c>
      <c r="B28" t="s">
        <v>595</v>
      </c>
      <c r="C28" t="s">
        <v>59</v>
      </c>
      <c r="D28" s="47">
        <f>AEO23_Table_21._Residential!$G$84*About!$A$28*About!$B$30</f>
        <v>13983.908119485146</v>
      </c>
      <c r="E28">
        <f>INDEX(AEO25_Table_21._Residential!$F$82:$AG$93,MATCH($B28,AEO25_Table_21._Residential!$B$82:$B$93,0),MATCH(E$4,AEO25_Table_21._Residential!$F$5:$AG$5,0))*About!$A$28*About!$B$30</f>
        <v>69051.305755686888</v>
      </c>
      <c r="F28">
        <f>INDEX(AEO26_Table_21._Residential!$E$6:$AD$92,MATCH($A28,AEO26_Table_21._Residential!$B$6:$B$92,0),MATCH(F$4,AEO26_Table_21._Residential!$E$5:$AD$5,0))*About!$A$28*About!$B$30</f>
        <v>32201.138670768236</v>
      </c>
      <c r="G28">
        <f>INDEX(AEO26_Table_21._Residential!$E$6:$AD$92,MATCH($A28,AEO26_Table_21._Residential!$B$6:$B$92,0),MATCH(G$4,AEO26_Table_21._Residential!$E$5:$AD$5,0))*About!$A$28*About!$B$30</f>
        <v>32229.924067028252</v>
      </c>
      <c r="H28">
        <f>INDEX(AEO26_Table_21._Residential!$E$6:$AD$92,MATCH($A28,AEO26_Table_21._Residential!$B$6:$B$92,0),MATCH(H$4,AEO26_Table_21._Residential!$E$5:$AD$5,0))*About!$A$28*About!$B$30</f>
        <v>32265.064680644376</v>
      </c>
      <c r="I28">
        <f>INDEX(AEO26_Table_21._Residential!$E$6:$AD$92,MATCH($A28,AEO26_Table_21._Residential!$B$6:$B$92,0),MATCH(I$4,AEO26_Table_21._Residential!$E$5:$AD$5,0))*About!$A$28*About!$B$30</f>
        <v>32299.831457945438</v>
      </c>
      <c r="J28">
        <f>INDEX(AEO26_Table_21._Residential!$E$6:$AD$92,MATCH($A28,AEO26_Table_21._Residential!$B$6:$B$92,0),MATCH(J$4,AEO26_Table_21._Residential!$E$5:$AD$5,0))*About!$A$28*About!$B$30</f>
        <v>32356.093823362749</v>
      </c>
      <c r="K28">
        <f>INDEX(AEO26_Table_21._Residential!$E$6:$AD$92,MATCH($A28,AEO26_Table_21._Residential!$B$6:$B$92,0),MATCH(K$4,AEO26_Table_21._Residential!$E$5:$AD$5,0))*About!$A$28*About!$B$30</f>
        <v>32453.665101594754</v>
      </c>
      <c r="L28">
        <f>INDEX(AEO26_Table_21._Residential!$E$6:$AD$92,MATCH($A28,AEO26_Table_21._Residential!$B$6:$B$92,0),MATCH(L$4,AEO26_Table_21._Residential!$E$5:$AD$5,0))*About!$A$28*About!$B$30</f>
        <v>32630.67659677811</v>
      </c>
      <c r="M28">
        <f>INDEX(AEO26_Table_21._Residential!$E$6:$AD$92,MATCH($A28,AEO26_Table_21._Residential!$B$6:$B$92,0),MATCH(M$4,AEO26_Table_21._Residential!$E$5:$AD$5,0))*About!$A$28*About!$B$30</f>
        <v>32906.007042823607</v>
      </c>
      <c r="N28">
        <f>INDEX(AEO26_Table_21._Residential!$E$6:$AD$92,MATCH($A28,AEO26_Table_21._Residential!$B$6:$B$92,0),MATCH(N$4,AEO26_Table_21._Residential!$E$5:$AD$5,0))*About!$A$28*About!$B$30</f>
        <v>33329.002833319842</v>
      </c>
      <c r="O28">
        <f>INDEX(AEO26_Table_21._Residential!$E$6:$AD$92,MATCH($A28,AEO26_Table_21._Residential!$B$6:$B$92,0),MATCH(O$4,AEO26_Table_21._Residential!$E$5:$AD$5,0))*About!$A$28*About!$B$30</f>
        <v>33910.131385088636</v>
      </c>
      <c r="P28">
        <f>INDEX(AEO26_Table_21._Residential!$E$6:$AD$92,MATCH($A28,AEO26_Table_21._Residential!$B$6:$B$92,0),MATCH(P$4,AEO26_Table_21._Residential!$E$5:$AD$5,0))*About!$A$28*About!$B$30</f>
        <v>34603.410831376998</v>
      </c>
      <c r="Q28">
        <f>INDEX(AEO26_Table_21._Residential!$E$6:$AD$92,MATCH($A28,AEO26_Table_21._Residential!$B$6:$B$92,0),MATCH(Q$4,AEO26_Table_21._Residential!$E$5:$AD$5,0))*About!$A$28*About!$B$30</f>
        <v>35380.429612239946</v>
      </c>
      <c r="R28">
        <f>INDEX(AEO26_Table_21._Residential!$E$6:$AD$92,MATCH($A28,AEO26_Table_21._Residential!$B$6:$B$92,0),MATCH(R$4,AEO26_Table_21._Residential!$E$5:$AD$5,0))*About!$A$28*About!$B$30</f>
        <v>36240.813891362428</v>
      </c>
      <c r="S28">
        <f>INDEX(AEO26_Table_21._Residential!$E$6:$AD$92,MATCH($A28,AEO26_Table_21._Residential!$B$6:$B$92,0),MATCH(S$4,AEO26_Table_21._Residential!$E$5:$AD$5,0))*About!$A$28*About!$B$30</f>
        <v>37143.815510402332</v>
      </c>
      <c r="T28">
        <f>INDEX(AEO26_Table_21._Residential!$E$6:$AD$92,MATCH($A28,AEO26_Table_21._Residential!$B$6:$B$92,0),MATCH(T$4,AEO26_Table_21._Residential!$E$5:$AD$5,0))*About!$A$28*About!$B$30</f>
        <v>38069.247308346145</v>
      </c>
      <c r="U28">
        <f>INDEX(AEO26_Table_21._Residential!$E$6:$AD$92,MATCH($A28,AEO26_Table_21._Residential!$B$6:$B$92,0),MATCH(U$4,AEO26_Table_21._Residential!$E$5:$AD$5,0))*About!$A$28*About!$B$30</f>
        <v>39049.819962762078</v>
      </c>
      <c r="V28">
        <f>INDEX(AEO26_Table_21._Residential!$E$6:$AD$92,MATCH($A28,AEO26_Table_21._Residential!$B$6:$B$92,0),MATCH(V$4,AEO26_Table_21._Residential!$E$5:$AD$5,0))*About!$A$28*About!$B$30</f>
        <v>40142.730429855095</v>
      </c>
      <c r="W28">
        <f>INDEX(AEO26_Table_21._Residential!$E$6:$AD$92,MATCH($A28,AEO26_Table_21._Residential!$B$6:$B$92,0),MATCH(W$4,AEO26_Table_21._Residential!$E$5:$AD$5,0))*About!$A$28*About!$B$30</f>
        <v>41309.286651015951</v>
      </c>
      <c r="X28">
        <f>INDEX(AEO26_Table_21._Residential!$E$6:$AD$92,MATCH($A28,AEO26_Table_21._Residential!$B$6:$B$92,0),MATCH(X$4,AEO26_Table_21._Residential!$E$5:$AD$5,0))*About!$A$28*About!$B$30</f>
        <v>42512.85266736825</v>
      </c>
      <c r="Y28">
        <f>INDEX(AEO26_Table_21._Residential!$E$6:$AD$92,MATCH($A28,AEO26_Table_21._Residential!$B$6:$B$92,0),MATCH(Y$4,AEO26_Table_21._Residential!$E$5:$AD$5,0))*About!$A$28*About!$B$30</f>
        <v>43745.3909981381</v>
      </c>
      <c r="Z28">
        <f>INDEX(AEO26_Table_21._Residential!$E$6:$AD$92,MATCH($A28,AEO26_Table_21._Residential!$B$6:$B$92,0),MATCH(Z$4,AEO26_Table_21._Residential!$E$5:$AD$5,0))*About!$A$28*About!$B$30</f>
        <v>45017.182141989797</v>
      </c>
      <c r="AA28">
        <f>INDEX(AEO26_Table_21._Residential!$E$6:$AD$92,MATCH($A28,AEO26_Table_21._Residential!$B$6:$B$92,0),MATCH(AA$4,AEO26_Table_21._Residential!$E$5:$AD$5,0))*About!$A$28*About!$B$30</f>
        <v>46395.329717477536</v>
      </c>
      <c r="AB28">
        <f>INDEX(AEO26_Table_21._Residential!$E$6:$AD$92,MATCH($A28,AEO26_Table_21._Residential!$B$6:$B$92,0),MATCH(AB$4,AEO26_Table_21._Residential!$E$5:$AD$5,0))*About!$A$28*About!$B$30</f>
        <v>47826.188213389454</v>
      </c>
      <c r="AC28">
        <f>INDEX(AEO26_Table_21._Residential!$E$6:$AD$92,MATCH($A28,AEO26_Table_21._Residential!$B$6:$B$92,0),MATCH(AC$4,AEO26_Table_21._Residential!$E$5:$AD$5,0))*About!$A$28*About!$B$30</f>
        <v>49454.432283655784</v>
      </c>
      <c r="AD28">
        <f>INDEX(AEO26_Table_21._Residential!$E$6:$AD$92,MATCH($A28,AEO26_Table_21._Residential!$B$6:$B$92,0),MATCH(AD$4,AEO26_Table_21._Residential!$E$5:$AD$5,0))*About!$A$28*About!$B$30</f>
        <v>51100.994333360315</v>
      </c>
      <c r="AE28">
        <f>INDEX(AEO26_Table_21._Residential!$E$6:$AD$92,MATCH($A28,AEO26_Table_21._Residential!$B$6:$B$92,0),MATCH(AE$4,AEO26_Table_21._Residential!$E$5:$AD$5,0))*About!$A$28*About!$B$30</f>
        <v>52764.379017242769</v>
      </c>
    </row>
    <row r="29" spans="1:31" x14ac:dyDescent="0.25">
      <c r="A29" t="s">
        <v>954</v>
      </c>
      <c r="B29" t="s">
        <v>597</v>
      </c>
      <c r="C29" t="s">
        <v>10</v>
      </c>
      <c r="D29" s="47">
        <f>AEO23_Table_21._Residential!$G$83*About!$A$28*About!$B$30</f>
        <v>8061027.414959929</v>
      </c>
      <c r="E29">
        <f>INDEX(AEO25_Table_21._Residential!$F$82:$AG$93,MATCH($B29,AEO25_Table_21._Residential!$B$82:$B$93,0),MATCH(E$4,AEO25_Table_21._Residential!$F$5:$AG$5,0))*About!$A$28*About!$B$30</f>
        <v>11719339.313203271</v>
      </c>
      <c r="F29">
        <f>INDEX(AEO26_Table_21._Residential!$E$6:$AD$92,MATCH($A29,AEO26_Table_21._Residential!$B$6:$B$92,0),MATCH(F$4,AEO26_Table_21._Residential!$E$5:$AD$5,0))*About!$A$28*About!$B$30</f>
        <v>12292355.990771472</v>
      </c>
      <c r="G29">
        <f>INDEX(AEO26_Table_21._Residential!$E$6:$AD$92,MATCH($A29,AEO26_Table_21._Residential!$B$6:$B$92,0),MATCH(G$4,AEO26_Table_21._Residential!$E$5:$AD$5,0))*About!$A$28*About!$B$30</f>
        <v>12993594.225289404</v>
      </c>
      <c r="H29">
        <f>INDEX(AEO26_Table_21._Residential!$E$6:$AD$92,MATCH($A29,AEO26_Table_21._Residential!$B$6:$B$92,0),MATCH(H$4,AEO26_Table_21._Residential!$E$5:$AD$5,0))*About!$A$28*About!$B$30</f>
        <v>13785139.911519468</v>
      </c>
      <c r="I29">
        <f>INDEX(AEO26_Table_21._Residential!$E$6:$AD$92,MATCH($A29,AEO26_Table_21._Residential!$B$6:$B$92,0),MATCH(I$4,AEO26_Table_21._Residential!$E$5:$AD$5,0))*About!$A$28*About!$B$30</f>
        <v>14601594.872176796</v>
      </c>
      <c r="J29">
        <f>INDEX(AEO26_Table_21._Residential!$E$6:$AD$92,MATCH($A29,AEO26_Table_21._Residential!$B$6:$B$92,0),MATCH(J$4,AEO26_Table_21._Residential!$E$5:$AD$5,0))*About!$A$28*About!$B$30</f>
        <v>15362507.28924148</v>
      </c>
      <c r="K29">
        <f>INDEX(AEO26_Table_21._Residential!$E$6:$AD$92,MATCH($A29,AEO26_Table_21._Residential!$B$6:$B$92,0),MATCH(K$4,AEO26_Table_21._Residential!$E$5:$AD$5,0))*About!$A$28*About!$B$30</f>
        <v>16161790.826438921</v>
      </c>
      <c r="L29">
        <f>INDEX(AEO26_Table_21._Residential!$E$6:$AD$92,MATCH($A29,AEO26_Table_21._Residential!$B$6:$B$92,0),MATCH(L$4,AEO26_Table_21._Residential!$E$5:$AD$5,0))*About!$A$28*About!$B$30</f>
        <v>17026956.098194771</v>
      </c>
      <c r="M29">
        <f>INDEX(AEO26_Table_21._Residential!$E$6:$AD$92,MATCH($A29,AEO26_Table_21._Residential!$B$6:$B$92,0),MATCH(M$4,AEO26_Table_21._Residential!$E$5:$AD$5,0))*About!$A$28*About!$B$30</f>
        <v>17888332.351979274</v>
      </c>
      <c r="N29">
        <f>INDEX(AEO26_Table_21._Residential!$E$6:$AD$92,MATCH($A29,AEO26_Table_21._Residential!$B$6:$B$92,0),MATCH(N$4,AEO26_Table_21._Residential!$E$5:$AD$5,0))*About!$A$28*About!$B$30</f>
        <v>18790904.993847646</v>
      </c>
      <c r="O29">
        <f>INDEX(AEO26_Table_21._Residential!$E$6:$AD$92,MATCH($A29,AEO26_Table_21._Residential!$B$6:$B$92,0),MATCH(O$4,AEO26_Table_21._Residential!$E$5:$AD$5,0))*About!$A$28*About!$B$30</f>
        <v>19747345.953371648</v>
      </c>
      <c r="P29">
        <f>INDEX(AEO26_Table_21._Residential!$E$6:$AD$92,MATCH($A29,AEO26_Table_21._Residential!$B$6:$B$92,0),MATCH(P$4,AEO26_Table_21._Residential!$E$5:$AD$5,0))*About!$A$28*About!$B$30</f>
        <v>20767104.691087183</v>
      </c>
      <c r="Q29">
        <f>INDEX(AEO26_Table_21._Residential!$E$6:$AD$92,MATCH($A29,AEO26_Table_21._Residential!$B$6:$B$92,0),MATCH(Q$4,AEO26_Table_21._Residential!$E$5:$AD$5,0))*About!$A$28*About!$B$30</f>
        <v>21835384.017971344</v>
      </c>
      <c r="R29">
        <f>INDEX(AEO26_Table_21._Residential!$E$6:$AD$92,MATCH($A29,AEO26_Table_21._Residential!$B$6:$B$92,0),MATCH(R$4,AEO26_Table_21._Residential!$E$5:$AD$5,0))*About!$A$28*About!$B$30</f>
        <v>22979681.651096895</v>
      </c>
      <c r="S29">
        <f>INDEX(AEO26_Table_21._Residential!$E$6:$AD$92,MATCH($A29,AEO26_Table_21._Residential!$B$6:$B$92,0),MATCH(S$4,AEO26_Table_21._Residential!$E$5:$AD$5,0))*About!$A$28*About!$B$30</f>
        <v>24177830.592325747</v>
      </c>
      <c r="T29">
        <f>INDEX(AEO26_Table_21._Residential!$E$6:$AD$92,MATCH($A29,AEO26_Table_21._Residential!$B$6:$B$92,0),MATCH(T$4,AEO26_Table_21._Residential!$E$5:$AD$5,0))*About!$A$28*About!$B$30</f>
        <v>25440161.247470248</v>
      </c>
      <c r="U29">
        <f>INDEX(AEO26_Table_21._Residential!$E$6:$AD$92,MATCH($A29,AEO26_Table_21._Residential!$B$6:$B$92,0),MATCH(U$4,AEO26_Table_21._Residential!$E$5:$AD$5,0))*About!$A$28*About!$B$30</f>
        <v>26746791.505949967</v>
      </c>
      <c r="V29">
        <f>INDEX(AEO26_Table_21._Residential!$E$6:$AD$92,MATCH($A29,AEO26_Table_21._Residential!$B$6:$B$92,0),MATCH(V$4,AEO26_Table_21._Residential!$E$5:$AD$5,0))*About!$A$28*About!$B$30</f>
        <v>28105034.166842062</v>
      </c>
      <c r="W29">
        <f>INDEX(AEO26_Table_21._Residential!$E$6:$AD$92,MATCH($A29,AEO26_Table_21._Residential!$B$6:$B$92,0),MATCH(W$4,AEO26_Table_21._Residential!$E$5:$AD$5,0))*About!$A$28*About!$B$30</f>
        <v>29501381.589492433</v>
      </c>
      <c r="X29">
        <f>INDEX(AEO26_Table_21._Residential!$E$6:$AD$92,MATCH($A29,AEO26_Table_21._Residential!$B$6:$B$92,0),MATCH(X$4,AEO26_Table_21._Residential!$E$5:$AD$5,0))*About!$A$28*About!$B$30</f>
        <v>30940861.872338701</v>
      </c>
      <c r="Y29">
        <f>INDEX(AEO26_Table_21._Residential!$E$6:$AD$92,MATCH($A29,AEO26_Table_21._Residential!$B$6:$B$92,0),MATCH(Y$4,AEO26_Table_21._Residential!$E$5:$AD$5,0))*About!$A$28*About!$B$30</f>
        <v>32436055.915809922</v>
      </c>
      <c r="Z29">
        <f>INDEX(AEO26_Table_21._Residential!$E$6:$AD$92,MATCH($A29,AEO26_Table_21._Residential!$B$6:$B$92,0),MATCH(Z$4,AEO26_Table_21._Residential!$E$5:$AD$5,0))*About!$A$28*About!$B$30</f>
        <v>33964973.73326318</v>
      </c>
      <c r="AA29">
        <f>INDEX(AEO26_Table_21._Residential!$E$6:$AD$92,MATCH($A29,AEO26_Table_21._Residential!$B$6:$B$92,0),MATCH(AA$4,AEO26_Table_21._Residential!$E$5:$AD$5,0))*About!$A$28*About!$B$30</f>
        <v>35538681.814215168</v>
      </c>
      <c r="AB29">
        <f>INDEX(AEO26_Table_21._Residential!$E$6:$AD$92,MATCH($A29,AEO26_Table_21._Residential!$B$6:$B$92,0),MATCH(AB$4,AEO26_Table_21._Residential!$E$5:$AD$5,0))*About!$A$28*About!$B$30</f>
        <v>37158454.753582127</v>
      </c>
      <c r="AC29">
        <f>INDEX(AEO26_Table_21._Residential!$E$6:$AD$92,MATCH($A29,AEO26_Table_21._Residential!$B$6:$B$92,0),MATCH(AC$4,AEO26_Table_21._Residential!$E$5:$AD$5,0))*About!$A$28*About!$B$30</f>
        <v>38845851.87857201</v>
      </c>
      <c r="AD29">
        <f>INDEX(AEO26_Table_21._Residential!$E$6:$AD$92,MATCH($A29,AEO26_Table_21._Residential!$B$6:$B$92,0),MATCH(AD$4,AEO26_Table_21._Residential!$E$5:$AD$5,0))*About!$A$28*About!$B$30</f>
        <v>40559959.60827329</v>
      </c>
      <c r="AE29">
        <f>INDEX(AEO26_Table_21._Residential!$E$6:$AD$92,MATCH($A29,AEO26_Table_21._Residential!$B$6:$B$92,0),MATCH(AE$4,AEO26_Table_21._Residential!$E$5:$AD$5,0))*About!$A$28*About!$B$30</f>
        <v>42335619.300331905</v>
      </c>
    </row>
    <row r="30" spans="1:31" x14ac:dyDescent="0.25">
      <c r="C30" t="s">
        <v>11</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1:31" x14ac:dyDescent="0.25">
      <c r="C31" t="s">
        <v>12</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1:31" x14ac:dyDescent="0.25">
      <c r="C32" t="s">
        <v>13</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1:44" x14ac:dyDescent="0.25">
      <c r="C33" t="s">
        <v>14</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1:44" x14ac:dyDescent="0.25">
      <c r="C34" t="s">
        <v>15</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1:44" x14ac:dyDescent="0.25">
      <c r="C35" t="s">
        <v>57</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1:44" x14ac:dyDescent="0.25">
      <c r="C36" t="s">
        <v>60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1:44" x14ac:dyDescent="0.25">
      <c r="C37" t="s">
        <v>158</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1:44" x14ac:dyDescent="0.25">
      <c r="C38" t="s">
        <v>159</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1:44" x14ac:dyDescent="0.25">
      <c r="C39" t="s">
        <v>160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row>
    <row r="40" spans="1:44" x14ac:dyDescent="0.25">
      <c r="A40" s="49"/>
      <c r="B40" s="49"/>
      <c r="C40" s="50" t="s">
        <v>175</v>
      </c>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spans="1:44" x14ac:dyDescent="0.25">
      <c r="C41" s="1" t="s">
        <v>168</v>
      </c>
    </row>
    <row r="42" spans="1:44" x14ac:dyDescent="0.25">
      <c r="C42" s="1" t="s">
        <v>161</v>
      </c>
      <c r="D42">
        <v>2023</v>
      </c>
      <c r="E42">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44" x14ac:dyDescent="0.25">
      <c r="C43" t="s">
        <v>58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row>
    <row r="44" spans="1:44" x14ac:dyDescent="0.25">
      <c r="A44" t="s">
        <v>944</v>
      </c>
      <c r="B44" t="s">
        <v>607</v>
      </c>
      <c r="C44" t="s">
        <v>7</v>
      </c>
      <c r="D44" s="47">
        <v>0</v>
      </c>
      <c r="E44">
        <f>INDEX(AEO25_Table_21._Residential!$F$77:$AG$80,MATCH($B44,AEO25_Table_21._Residential!$B$77:$B$80,0),MATCH(E$42,AEO25_Table_21._Residential!$F$5:$AG$5,0))*About!$A$27*About!$B$31</f>
        <v>1.4025661782562939</v>
      </c>
      <c r="F44">
        <f>INDEX(AEO26_Table_21._Residential!$E$6:$AD$92,MATCH($A44,AEO26_Table_21._Residential!$B$6:$B$92,0),MATCH(F$42,AEO26_Table_21._Residential!$E$5:$AD$5,0))*About!$A$27*About!$B$31</f>
        <v>0.41060633044604544</v>
      </c>
      <c r="G44">
        <f>INDEX(AEO26_Table_21._Residential!$E$6:$AD$92,MATCH($A44,AEO26_Table_21._Residential!$B$6:$B$92,0),MATCH(G$42,AEO26_Table_21._Residential!$E$5:$AD$5,0))*About!$A$27*About!$B$31</f>
        <v>0.89845543592649557</v>
      </c>
      <c r="H44">
        <f>INDEX(AEO26_Table_21._Residential!$E$6:$AD$92,MATCH($A44,AEO26_Table_21._Residential!$B$6:$B$92,0),MATCH(H$42,AEO26_Table_21._Residential!$E$5:$AD$5,0))*About!$A$27*About!$B$31</f>
        <v>1.3732952319274669</v>
      </c>
      <c r="I44">
        <f>INDEX(AEO26_Table_21._Residential!$E$6:$AD$92,MATCH($A44,AEO26_Table_21._Residential!$B$6:$B$92,0),MATCH(I$42,AEO26_Table_21._Residential!$E$5:$AD$5,0))*About!$A$27*About!$B$31</f>
        <v>1.3838652958795432</v>
      </c>
      <c r="J44">
        <f>INDEX(AEO26_Table_21._Residential!$E$6:$AD$92,MATCH($A44,AEO26_Table_21._Residential!$B$6:$B$92,0),MATCH(J$42,AEO26_Table_21._Residential!$E$5:$AD$5,0))*About!$A$27*About!$B$31</f>
        <v>1.3944353598316197</v>
      </c>
      <c r="K44">
        <f>INDEX(AEO26_Table_21._Residential!$E$6:$AD$92,MATCH($A44,AEO26_Table_21._Residential!$B$6:$B$92,0),MATCH(K$42,AEO26_Table_21._Residential!$E$5:$AD$5,0))*About!$A$27*About!$B$31</f>
        <v>2.0562839796000971</v>
      </c>
      <c r="L44">
        <f>INDEX(AEO26_Table_21._Residential!$E$6:$AD$92,MATCH($A44,AEO26_Table_21._Residential!$B$6:$B$92,0),MATCH(L$42,AEO26_Table_21._Residential!$E$5:$AD$5,0))*About!$A$27*About!$B$31</f>
        <v>2.9401039423621791</v>
      </c>
      <c r="M44">
        <f>INDEX(AEO26_Table_21._Residential!$E$6:$AD$92,MATCH($A44,AEO26_Table_21._Residential!$B$6:$B$92,0),MATCH(M$42,AEO26_Table_21._Residential!$E$5:$AD$5,0))*About!$A$27*About!$B$31</f>
        <v>3.8515686877681534</v>
      </c>
      <c r="N44">
        <f>INDEX(AEO26_Table_21._Residential!$E$6:$AD$92,MATCH($A44,AEO26_Table_21._Residential!$B$6:$B$92,0),MATCH(N$42,AEO26_Table_21._Residential!$E$5:$AD$5,0))*About!$A$27*About!$B$31</f>
        <v>4.5605760543997409</v>
      </c>
      <c r="O44">
        <f>INDEX(AEO26_Table_21._Residential!$E$6:$AD$92,MATCH($A44,AEO26_Table_21._Residential!$B$6:$B$92,0),MATCH(O$42,AEO26_Table_21._Residential!$E$5:$AD$5,0))*About!$A$27*About!$B$31</f>
        <v>5.449274508216627</v>
      </c>
      <c r="P44">
        <f>INDEX(AEO26_Table_21._Residential!$E$6:$AD$92,MATCH($A44,AEO26_Table_21._Residential!$B$6:$B$92,0),MATCH(P$42,AEO26_Table_21._Residential!$E$5:$AD$5,0))*About!$A$27*About!$B$31</f>
        <v>5.459844572168703</v>
      </c>
      <c r="Q44">
        <f>INDEX(AEO26_Table_21._Residential!$E$6:$AD$92,MATCH($A44,AEO26_Table_21._Residential!$B$6:$B$92,0),MATCH(Q$42,AEO26_Table_21._Residential!$E$5:$AD$5,0))*About!$A$27*About!$B$31</f>
        <v>5.4704146361207799</v>
      </c>
      <c r="R44">
        <f>INDEX(AEO26_Table_21._Residential!$E$6:$AD$92,MATCH($A44,AEO26_Table_21._Residential!$B$6:$B$92,0),MATCH(R$42,AEO26_Table_21._Residential!$E$5:$AD$5,0))*About!$A$27*About!$B$31</f>
        <v>5.480984700072856</v>
      </c>
      <c r="S44">
        <f>INDEX(AEO26_Table_21._Residential!$E$6:$AD$92,MATCH($A44,AEO26_Table_21._Residential!$B$6:$B$92,0),MATCH(S$42,AEO26_Table_21._Residential!$E$5:$AD$5,0))*About!$A$27*About!$B$31</f>
        <v>5.4915547640249329</v>
      </c>
      <c r="T44">
        <f>INDEX(AEO26_Table_21._Residential!$E$6:$AD$92,MATCH($A44,AEO26_Table_21._Residential!$B$6:$B$92,0),MATCH(T$42,AEO26_Table_21._Residential!$E$5:$AD$5,0))*About!$A$27*About!$B$31</f>
        <v>5.5029379098194759</v>
      </c>
      <c r="U44">
        <f>INDEX(AEO26_Table_21._Residential!$E$6:$AD$92,MATCH($A44,AEO26_Table_21._Residential!$B$6:$B$92,0),MATCH(U$42,AEO26_Table_21._Residential!$E$5:$AD$5,0))*About!$A$27*About!$B$31</f>
        <v>5.5143210556140208</v>
      </c>
      <c r="V44">
        <f>INDEX(AEO26_Table_21._Residential!$E$6:$AD$92,MATCH($A44,AEO26_Table_21._Residential!$B$6:$B$92,0),MATCH(V$42,AEO26_Table_21._Residential!$E$5:$AD$5,0))*About!$A$27*About!$B$31</f>
        <v>5.5273303650934995</v>
      </c>
      <c r="W44">
        <f>INDEX(AEO26_Table_21._Residential!$E$6:$AD$92,MATCH($A44,AEO26_Table_21._Residential!$B$6:$B$92,0),MATCH(W$42,AEO26_Table_21._Residential!$E$5:$AD$5,0))*About!$A$27*About!$B$31</f>
        <v>5.5444050837853149</v>
      </c>
      <c r="X44">
        <f>INDEX(AEO26_Table_21._Residential!$E$6:$AD$92,MATCH($A44,AEO26_Table_21._Residential!$B$6:$B$92,0),MATCH(X$42,AEO26_Table_21._Residential!$E$5:$AD$5,0))*About!$A$27*About!$B$31</f>
        <v>5.5679844572168697</v>
      </c>
      <c r="Y44">
        <f>INDEX(AEO26_Table_21._Residential!$E$6:$AD$92,MATCH($A44,AEO26_Table_21._Residential!$B$6:$B$92,0),MATCH(Y$42,AEO26_Table_21._Residential!$E$5:$AD$5,0))*About!$A$27*About!$B$31</f>
        <v>5.6053862219703712</v>
      </c>
      <c r="Z44">
        <f>INDEX(AEO26_Table_21._Residential!$E$6:$AD$92,MATCH($A44,AEO26_Table_21._Residential!$B$6:$B$92,0),MATCH(Z$42,AEO26_Table_21._Residential!$E$5:$AD$5,0))*About!$A$27*About!$B$31</f>
        <v>5.6696196875252971</v>
      </c>
      <c r="AA44">
        <f>INDEX(AEO26_Table_21._Residential!$E$6:$AD$92,MATCH($A44,AEO26_Table_21._Residential!$B$6:$B$92,0),MATCH(AA$42,AEO26_Table_21._Residential!$E$5:$AD$5,0))*About!$A$27*About!$B$31</f>
        <v>5.7818249817858005</v>
      </c>
      <c r="AB44">
        <f>INDEX(AEO26_Table_21._Residential!$E$6:$AD$92,MATCH($A44,AEO26_Table_21._Residential!$B$6:$B$92,0),MATCH(AB$42,AEO26_Table_21._Residential!$E$5:$AD$5,0))*About!$A$27*About!$B$31</f>
        <v>5.8940302760463048</v>
      </c>
      <c r="AC44">
        <f>INDEX(AEO26_Table_21._Residential!$E$6:$AD$92,MATCH($A44,AEO26_Table_21._Residential!$B$6:$B$92,0),MATCH(AC$42,AEO26_Table_21._Residential!$E$5:$AD$5,0))*About!$A$27*About!$B$31</f>
        <v>6.0070486521492752</v>
      </c>
      <c r="AD44">
        <f>INDEX(AEO26_Table_21._Residential!$E$6:$AD$92,MATCH($A44,AEO26_Table_21._Residential!$B$6:$B$92,0),MATCH(AD$42,AEO26_Table_21._Residential!$E$5:$AD$5,0))*About!$A$27*About!$B$31</f>
        <v>6.1208801100947134</v>
      </c>
      <c r="AE44">
        <f>INDEX(AEO26_Table_21._Residential!$E$6:$AD$92,MATCH($A44,AEO26_Table_21._Residential!$B$6:$B$92,0),MATCH(AE$42,AEO26_Table_21._Residential!$E$5:$AD$5,0))*About!$A$27*About!$B$31</f>
        <v>6.2355246498826196</v>
      </c>
    </row>
    <row r="45" spans="1:44" x14ac:dyDescent="0.25">
      <c r="C45" t="s">
        <v>8</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44" x14ac:dyDescent="0.25">
      <c r="C46" t="s">
        <v>9</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44" x14ac:dyDescent="0.25">
      <c r="A47" t="s">
        <v>948</v>
      </c>
      <c r="B47" t="s">
        <v>603</v>
      </c>
      <c r="C47" t="s">
        <v>59</v>
      </c>
      <c r="D47" s="47">
        <f>AEO23_Table_21._Residential!$F$79*About!$A$27*About!$B$31</f>
        <v>51.58841674087266</v>
      </c>
      <c r="E47">
        <f>INDEX(AEO25_Table_21._Residential!$F$77:$AG$80,MATCH($B47,AEO25_Table_21._Residential!$B$77:$B$80,0),MATCH(E$42,AEO25_Table_21._Residential!$F$5:$AG$5,0))*About!$A$27*About!$B$31</f>
        <v>250.57474912976602</v>
      </c>
      <c r="F47">
        <f>INDEX(AEO26_Table_21._Residential!$E$6:$AD$92,MATCH($A47,AEO26_Table_21._Residential!$B$6:$B$92,0),MATCH(F$42,AEO26_Table_21._Residential!$E$5:$AD$5,0))*About!$A$27*About!$B$31</f>
        <v>131.09481162470655</v>
      </c>
      <c r="G47">
        <f>INDEX(AEO26_Table_21._Residential!$E$6:$AD$92,MATCH($A47,AEO26_Table_21._Residential!$B$6:$B$92,0),MATCH(G$42,AEO26_Table_21._Residential!$E$5:$AD$5,0))*About!$A$27*About!$B$31</f>
        <v>131.20376459159718</v>
      </c>
      <c r="H47">
        <f>INDEX(AEO26_Table_21._Residential!$E$6:$AD$92,MATCH($A47,AEO26_Table_21._Residential!$B$6:$B$92,0),MATCH(H$42,AEO26_Table_21._Residential!$E$5:$AD$5,0))*About!$A$27*About!$B$31</f>
        <v>131.33711001376184</v>
      </c>
      <c r="I47">
        <f>INDEX(AEO26_Table_21._Residential!$E$6:$AD$92,MATCH($A47,AEO26_Table_21._Residential!$B$6:$B$92,0),MATCH(I$42,AEO26_Table_21._Residential!$E$5:$AD$5,0))*About!$A$27*About!$B$31</f>
        <v>131.46882927224155</v>
      </c>
      <c r="J47">
        <f>INDEX(AEO26_Table_21._Residential!$E$6:$AD$92,MATCH($A47,AEO26_Table_21._Residential!$B$6:$B$92,0),MATCH(J$42,AEO26_Table_21._Residential!$E$5:$AD$5,0))*About!$A$27*About!$B$31</f>
        <v>131.68185671496801</v>
      </c>
      <c r="K47">
        <f>INDEX(AEO26_Table_21._Residential!$E$6:$AD$92,MATCH($A47,AEO26_Table_21._Residential!$B$6:$B$92,0),MATCH(K$42,AEO26_Table_21._Residential!$E$5:$AD$5,0))*About!$A$27*About!$B$31</f>
        <v>132.05262203513317</v>
      </c>
      <c r="L47">
        <f>INDEX(AEO26_Table_21._Residential!$E$6:$AD$92,MATCH($A47,AEO26_Table_21._Residential!$B$6:$B$92,0),MATCH(L$42,AEO26_Table_21._Residential!$E$5:$AD$5,0))*About!$A$27*About!$B$31</f>
        <v>132.72666688253864</v>
      </c>
      <c r="M47">
        <f>INDEX(AEO26_Table_21._Residential!$E$6:$AD$92,MATCH($A47,AEO26_Table_21._Residential!$B$6:$B$92,0),MATCH(M$42,AEO26_Table_21._Residential!$E$5:$AD$5,0))*About!$A$27*About!$B$31</f>
        <v>133.77960786853396</v>
      </c>
      <c r="N47">
        <f>INDEX(AEO26_Table_21._Residential!$E$6:$AD$92,MATCH($A47,AEO26_Table_21._Residential!$B$6:$B$92,0),MATCH(N$42,AEO26_Table_21._Residential!$E$5:$AD$5,0))*About!$A$27*About!$B$31</f>
        <v>135.40658463531125</v>
      </c>
      <c r="O47">
        <f>INDEX(AEO26_Table_21._Residential!$E$6:$AD$92,MATCH($A47,AEO26_Table_21._Residential!$B$6:$B$92,0),MATCH(O$42,AEO26_Table_21._Residential!$E$5:$AD$5,0))*About!$A$27*About!$B$31</f>
        <v>137.65150360236379</v>
      </c>
      <c r="P47">
        <f>INDEX(AEO26_Table_21._Residential!$E$6:$AD$92,MATCH($A47,AEO26_Table_21._Residential!$B$6:$B$92,0),MATCH(P$42,AEO26_Table_21._Residential!$E$5:$AD$5,0))*About!$A$27*About!$B$31</f>
        <v>140.33792600987613</v>
      </c>
      <c r="Q47">
        <f>INDEX(AEO26_Table_21._Residential!$E$6:$AD$92,MATCH($A47,AEO26_Table_21._Residential!$B$6:$B$92,0),MATCH(Q$42,AEO26_Table_21._Residential!$E$5:$AD$5,0))*About!$A$27*About!$B$31</f>
        <v>143.35527272727273</v>
      </c>
      <c r="R47">
        <f>INDEX(AEO26_Table_21._Residential!$E$6:$AD$92,MATCH($A47,AEO26_Table_21._Residential!$B$6:$B$92,0),MATCH(R$42,AEO26_Table_21._Residential!$E$5:$AD$5,0))*About!$A$27*About!$B$31</f>
        <v>146.70191759086862</v>
      </c>
      <c r="S47">
        <f>INDEX(AEO26_Table_21._Residential!$E$6:$AD$92,MATCH($A47,AEO26_Table_21._Residential!$B$6:$B$92,0),MATCH(S$42,AEO26_Table_21._Residential!$E$5:$AD$5,0))*About!$A$27*About!$B$31</f>
        <v>150.2176834776977</v>
      </c>
      <c r="T47">
        <f>INDEX(AEO26_Table_21._Residential!$E$6:$AD$92,MATCH($A47,AEO26_Table_21._Residential!$B$6:$B$92,0),MATCH(T$42,AEO26_Table_21._Residential!$E$5:$AD$5,0))*About!$A$27*About!$B$31</f>
        <v>153.8212622035133</v>
      </c>
      <c r="U47">
        <f>INDEX(AEO26_Table_21._Residential!$E$6:$AD$92,MATCH($A47,AEO26_Table_21._Residential!$B$6:$B$92,0),MATCH(U$42,AEO26_Table_21._Residential!$E$5:$AD$5,0))*About!$A$27*About!$B$31</f>
        <v>157.64274686311018</v>
      </c>
      <c r="V47">
        <f>INDEX(AEO26_Table_21._Residential!$E$6:$AD$92,MATCH($A47,AEO26_Table_21._Residential!$B$6:$B$92,0),MATCH(V$42,AEO26_Table_21._Residential!$E$5:$AD$5,0))*About!$A$27*About!$B$31</f>
        <v>161.90654804500929</v>
      </c>
      <c r="W47">
        <f>INDEX(AEO26_Table_21._Residential!$E$6:$AD$92,MATCH($A47,AEO26_Table_21._Residential!$B$6:$B$92,0),MATCH(W$42,AEO26_Table_21._Residential!$E$5:$AD$5,0))*About!$A$27*About!$B$31</f>
        <v>166.46143252651177</v>
      </c>
      <c r="X47">
        <f>INDEX(AEO26_Table_21._Residential!$E$6:$AD$92,MATCH($A47,AEO26_Table_21._Residential!$B$6:$B$92,0),MATCH(X$42,AEO26_Table_21._Residential!$E$5:$AD$5,0))*About!$A$27*About!$B$31</f>
        <v>171.16429790334331</v>
      </c>
      <c r="Y47">
        <f>INDEX(AEO26_Table_21._Residential!$E$6:$AD$92,MATCH($A47,AEO26_Table_21._Residential!$B$6:$B$92,0),MATCH(Y$42,AEO26_Table_21._Residential!$E$5:$AD$5,0))*About!$A$27*About!$B$31</f>
        <v>175.98343398364767</v>
      </c>
      <c r="Z47">
        <f>INDEX(AEO26_Table_21._Residential!$E$6:$AD$92,MATCH($A47,AEO26_Table_21._Residential!$B$6:$B$92,0),MATCH(Z$42,AEO26_Table_21._Residential!$E$5:$AD$5,0))*About!$A$27*About!$B$31</f>
        <v>180.96112102323323</v>
      </c>
      <c r="AA47">
        <f>INDEX(AEO26_Table_21._Residential!$E$6:$AD$92,MATCH($A47,AEO26_Table_21._Residential!$B$6:$B$92,0),MATCH(AA$42,AEO26_Table_21._Residential!$E$5:$AD$5,0))*About!$A$27*About!$B$31</f>
        <v>186.38193766696349</v>
      </c>
      <c r="AB47">
        <f>INDEX(AEO26_Table_21._Residential!$E$6:$AD$92,MATCH($A47,AEO26_Table_21._Residential!$B$6:$B$92,0),MATCH(AB$42,AEO26_Table_21._Residential!$E$5:$AD$5,0))*About!$A$27*About!$B$31</f>
        <v>192.00683785315306</v>
      </c>
      <c r="AC47">
        <f>INDEX(AEO26_Table_21._Residential!$E$6:$AD$92,MATCH($A47,AEO26_Table_21._Residential!$B$6:$B$92,0),MATCH(AC$42,AEO26_Table_21._Residential!$E$5:$AD$5,0))*About!$A$27*About!$B$31</f>
        <v>198.43587598154292</v>
      </c>
      <c r="AD47">
        <f>INDEX(AEO26_Table_21._Residential!$E$6:$AD$92,MATCH($A47,AEO26_Table_21._Residential!$B$6:$B$92,0),MATCH(AD$42,AEO26_Table_21._Residential!$E$5:$AD$5,0))*About!$A$27*About!$B$31</f>
        <v>204.93646531206994</v>
      </c>
      <c r="AE47">
        <f>INDEX(AEO26_Table_21._Residential!$E$6:$AD$92,MATCH($A47,AEO26_Table_21._Residential!$B$6:$B$92,0),MATCH(AE$42,AEO26_Table_21._Residential!$E$5:$AD$5,0))*About!$A$27*About!$B$31</f>
        <v>211.50616659920667</v>
      </c>
    </row>
    <row r="48" spans="1:44" x14ac:dyDescent="0.25">
      <c r="A48" t="s">
        <v>946</v>
      </c>
      <c r="B48" t="s">
        <v>605</v>
      </c>
      <c r="C48" t="s">
        <v>10</v>
      </c>
      <c r="D48" s="47">
        <f>AEO23_Table_21._Residential!$F$78*About!$A$27*About!$B$31</f>
        <v>21092.010533797456</v>
      </c>
      <c r="E48">
        <f>INDEX(AEO25_Table_21._Residential!$F$77:$AG$80,MATCH($B48,AEO25_Table_21._Residential!$B$77:$B$80,0),MATCH(E$42,AEO25_Table_21._Residential!$F$5:$AG$5,0))*About!$A$27*About!$B$31</f>
        <v>33586.644085485314</v>
      </c>
      <c r="F48">
        <f>INDEX(AEO26_Table_21._Residential!$E$6:$AD$92,MATCH($A48,AEO26_Table_21._Residential!$B$6:$B$92,0),MATCH(F$42,AEO26_Table_21._Residential!$E$5:$AD$5,0))*About!$A$27*About!$B$31</f>
        <v>36072.861350926898</v>
      </c>
      <c r="G48">
        <f>INDEX(AEO26_Table_21._Residential!$E$6:$AD$92,MATCH($A48,AEO26_Table_21._Residential!$B$6:$B$92,0),MATCH(G$42,AEO26_Table_21._Residential!$E$5:$AD$5,0))*About!$A$27*About!$B$31</f>
        <v>38259.984834453164</v>
      </c>
      <c r="H48">
        <f>INDEX(AEO26_Table_21._Residential!$E$6:$AD$92,MATCH($A48,AEO26_Table_21._Residential!$B$6:$B$92,0),MATCH(H$42,AEO26_Table_21._Residential!$E$5:$AD$5,0))*About!$A$27*About!$B$31</f>
        <v>40727.440236379822</v>
      </c>
      <c r="I48">
        <f>INDEX(AEO26_Table_21._Residential!$E$6:$AD$92,MATCH($A48,AEO26_Table_21._Residential!$B$6:$B$92,0),MATCH(I$42,AEO26_Table_21._Residential!$E$5:$AD$5,0))*About!$A$27*About!$B$31</f>
        <v>43279.974083056746</v>
      </c>
      <c r="J48">
        <f>INDEX(AEO26_Table_21._Residential!$E$6:$AD$92,MATCH($A48,AEO26_Table_21._Residential!$B$6:$B$92,0),MATCH(J$42,AEO26_Table_21._Residential!$E$5:$AD$5,0))*About!$A$27*About!$B$31</f>
        <v>45677.105223346553</v>
      </c>
      <c r="K48">
        <f>INDEX(AEO26_Table_21._Residential!$E$6:$AD$92,MATCH($A48,AEO26_Table_21._Residential!$B$6:$B$92,0),MATCH(K$42,AEO26_Table_21._Residential!$E$5:$AD$5,0))*About!$A$27*About!$B$31</f>
        <v>48200.653515421349</v>
      </c>
      <c r="L48">
        <f>INDEX(AEO26_Table_21._Residential!$E$6:$AD$92,MATCH($A48,AEO26_Table_21._Residential!$B$6:$B$92,0),MATCH(L$42,AEO26_Table_21._Residential!$E$5:$AD$5,0))*About!$A$27*About!$B$31</f>
        <v>50934.882696025255</v>
      </c>
      <c r="M48">
        <f>INDEX(AEO26_Table_21._Residential!$E$6:$AD$92,MATCH($A48,AEO26_Table_21._Residential!$B$6:$B$92,0),MATCH(M$42,AEO26_Table_21._Residential!$E$5:$AD$5,0))*About!$A$27*About!$B$31</f>
        <v>53663.724396340971</v>
      </c>
      <c r="N48">
        <f>INDEX(AEO26_Table_21._Residential!$E$6:$AD$92,MATCH($A48,AEO26_Table_21._Residential!$B$6:$B$92,0),MATCH(N$42,AEO26_Table_21._Residential!$E$5:$AD$5,0))*About!$A$27*About!$B$31</f>
        <v>56531.886044199789</v>
      </c>
      <c r="O48">
        <f>INDEX(AEO26_Table_21._Residential!$E$6:$AD$92,MATCH($A48,AEO26_Table_21._Residential!$B$6:$B$92,0),MATCH(O$42,AEO26_Table_21._Residential!$E$5:$AD$5,0))*About!$A$27*About!$B$31</f>
        <v>59575.347324212737</v>
      </c>
      <c r="P48">
        <f>INDEX(AEO26_Table_21._Residential!$E$6:$AD$92,MATCH($A48,AEO26_Table_21._Residential!$B$6:$B$92,0),MATCH(P$42,AEO26_Table_21._Residential!$E$5:$AD$5,0))*About!$A$27*About!$B$31</f>
        <v>62828.816260989224</v>
      </c>
      <c r="Q48">
        <f>INDEX(AEO26_Table_21._Residential!$E$6:$AD$92,MATCH($A48,AEO26_Table_21._Residential!$B$6:$B$92,0),MATCH(Q$42,AEO26_Table_21._Residential!$E$5:$AD$5,0))*About!$A$27*About!$B$31</f>
        <v>66242.132209503761</v>
      </c>
      <c r="R48">
        <f>INDEX(AEO26_Table_21._Residential!$E$6:$AD$92,MATCH($A48,AEO26_Table_21._Residential!$B$6:$B$92,0),MATCH(R$42,AEO26_Table_21._Residential!$E$5:$AD$5,0))*About!$A$27*About!$B$31</f>
        <v>69907.185614182774</v>
      </c>
      <c r="S48">
        <f>INDEX(AEO26_Table_21._Residential!$E$6:$AD$92,MATCH($A48,AEO26_Table_21._Residential!$B$6:$B$92,0),MATCH(S$42,AEO26_Table_21._Residential!$E$5:$AD$5,0))*About!$A$27*About!$B$31</f>
        <v>73746.942662025409</v>
      </c>
      <c r="T48">
        <f>INDEX(AEO26_Table_21._Residential!$E$6:$AD$92,MATCH($A48,AEO26_Table_21._Residential!$B$6:$B$92,0),MATCH(T$42,AEO26_Table_21._Residential!$E$5:$AD$5,0))*About!$A$27*About!$B$31</f>
        <v>77794.55432591273</v>
      </c>
      <c r="U48">
        <f>INDEX(AEO26_Table_21._Residential!$E$6:$AD$92,MATCH($A48,AEO26_Table_21._Residential!$B$6:$B$92,0),MATCH(U$42,AEO26_Table_21._Residential!$E$5:$AD$5,0))*About!$A$27*About!$B$31</f>
        <v>81990.716855500679</v>
      </c>
      <c r="V48">
        <f>INDEX(AEO26_Table_21._Residential!$E$6:$AD$92,MATCH($A48,AEO26_Table_21._Residential!$B$6:$B$92,0),MATCH(V$42,AEO26_Table_21._Residential!$E$5:$AD$5,0))*About!$A$27*About!$B$31</f>
        <v>86364.605253460701</v>
      </c>
      <c r="W48">
        <f>INDEX(AEO26_Table_21._Residential!$E$6:$AD$92,MATCH($A48,AEO26_Table_21._Residential!$B$6:$B$92,0),MATCH(W$42,AEO26_Table_21._Residential!$E$5:$AD$5,0))*About!$A$27*About!$B$31</f>
        <v>90868.614390998133</v>
      </c>
      <c r="X48">
        <f>INDEX(AEO26_Table_21._Residential!$E$6:$AD$92,MATCH($A48,AEO26_Table_21._Residential!$B$6:$B$92,0),MATCH(X$42,AEO26_Table_21._Residential!$E$5:$AD$5,0))*About!$A$27*About!$B$31</f>
        <v>95514.394104751875</v>
      </c>
      <c r="Y48">
        <f>INDEX(AEO26_Table_21._Residential!$E$6:$AD$92,MATCH($A48,AEO26_Table_21._Residential!$B$6:$B$92,0),MATCH(Y$42,AEO26_Table_21._Residential!$E$5:$AD$5,0))*About!$A$27*About!$B$31</f>
        <v>100341.03086505302</v>
      </c>
      <c r="Z48">
        <f>INDEX(AEO26_Table_21._Residential!$E$6:$AD$92,MATCH($A48,AEO26_Table_21._Residential!$B$6:$B$92,0),MATCH(Z$42,AEO26_Table_21._Residential!$E$5:$AD$5,0))*About!$A$27*About!$B$31</f>
        <v>105287.69639310289</v>
      </c>
      <c r="AA48">
        <f>INDEX(AEO26_Table_21._Residential!$E$6:$AD$92,MATCH($A48,AEO26_Table_21._Residential!$B$6:$B$92,0),MATCH(AA$42,AEO26_Table_21._Residential!$E$5:$AD$5,0))*About!$A$27*About!$B$31</f>
        <v>110385.40081729133</v>
      </c>
      <c r="AB48">
        <f>INDEX(AEO26_Table_21._Residential!$E$6:$AD$92,MATCH($A48,AEO26_Table_21._Residential!$B$6:$B$92,0),MATCH(AB$42,AEO26_Table_21._Residential!$E$5:$AD$5,0))*About!$A$27*About!$B$31</f>
        <v>115640.48292366226</v>
      </c>
      <c r="AC48">
        <f>INDEX(AEO26_Table_21._Residential!$E$6:$AD$92,MATCH($A48,AEO26_Table_21._Residential!$B$6:$B$92,0),MATCH(AC$42,AEO26_Table_21._Residential!$E$5:$AD$5,0))*About!$A$27*About!$B$31</f>
        <v>121126.73883331985</v>
      </c>
      <c r="AD48">
        <f>INDEX(AEO26_Table_21._Residential!$E$6:$AD$92,MATCH($A48,AEO26_Table_21._Residential!$B$6:$B$92,0),MATCH(AD$42,AEO26_Table_21._Residential!$E$5:$AD$5,0))*About!$A$27*About!$B$31</f>
        <v>126714.16976896301</v>
      </c>
      <c r="AE48">
        <f>INDEX(AEO26_Table_21._Residential!$E$6:$AD$92,MATCH($A48,AEO26_Table_21._Residential!$B$6:$B$92,0),MATCH(AE$42,AEO26_Table_21._Residential!$E$5:$AD$5,0))*About!$A$27*About!$B$31</f>
        <v>132502.56445203593</v>
      </c>
    </row>
    <row r="49" spans="1:31" x14ac:dyDescent="0.25">
      <c r="C49" t="s">
        <v>11</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25">
      <c r="C50" t="s">
        <v>12</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row>
    <row r="51" spans="1:31" x14ac:dyDescent="0.25">
      <c r="C51" t="s">
        <v>13</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25">
      <c r="C52" t="s">
        <v>14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25">
      <c r="C53" t="s">
        <v>15</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25">
      <c r="C54" t="s">
        <v>57</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1:31" x14ac:dyDescent="0.25">
      <c r="C55" t="s">
        <v>60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1:31" x14ac:dyDescent="0.25">
      <c r="C56" t="s">
        <v>158</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25">
      <c r="C57" t="s">
        <v>159</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25">
      <c r="C58" t="s">
        <v>160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60" spans="1:31" x14ac:dyDescent="0.25">
      <c r="B60" s="1" t="s">
        <v>169</v>
      </c>
    </row>
    <row r="61" spans="1:31" x14ac:dyDescent="0.25">
      <c r="C61" s="1" t="s">
        <v>161</v>
      </c>
      <c r="D61">
        <v>2023</v>
      </c>
      <c r="E61">
        <v>2024</v>
      </c>
      <c r="F61">
        <v>2025</v>
      </c>
      <c r="G61">
        <v>2026</v>
      </c>
      <c r="H61">
        <v>2027</v>
      </c>
      <c r="I61">
        <v>2028</v>
      </c>
      <c r="J61">
        <v>2029</v>
      </c>
      <c r="K61">
        <v>2030</v>
      </c>
      <c r="L61">
        <v>2031</v>
      </c>
      <c r="M61">
        <v>2032</v>
      </c>
      <c r="N61">
        <v>2033</v>
      </c>
      <c r="O61">
        <v>2034</v>
      </c>
      <c r="P61">
        <v>2035</v>
      </c>
      <c r="Q61">
        <v>2036</v>
      </c>
      <c r="R61">
        <v>2037</v>
      </c>
      <c r="S61">
        <v>2038</v>
      </c>
      <c r="T61">
        <v>2039</v>
      </c>
      <c r="U61">
        <v>2040</v>
      </c>
      <c r="V61">
        <v>2041</v>
      </c>
      <c r="W61">
        <v>2042</v>
      </c>
      <c r="X61">
        <v>2043</v>
      </c>
      <c r="Y61">
        <v>2044</v>
      </c>
      <c r="Z61">
        <v>2045</v>
      </c>
      <c r="AA61">
        <v>2046</v>
      </c>
      <c r="AB61">
        <v>2047</v>
      </c>
      <c r="AC61">
        <v>2048</v>
      </c>
      <c r="AD61">
        <v>2049</v>
      </c>
      <c r="AE61">
        <v>2050</v>
      </c>
    </row>
    <row r="62" spans="1:31" x14ac:dyDescent="0.25">
      <c r="C62" t="s">
        <v>58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row>
    <row r="63" spans="1:31" x14ac:dyDescent="0.25">
      <c r="A63" t="s">
        <v>944</v>
      </c>
      <c r="B63" t="s">
        <v>607</v>
      </c>
      <c r="C63" t="s">
        <v>7</v>
      </c>
      <c r="D63" s="47">
        <v>0</v>
      </c>
      <c r="E63">
        <f>INDEX(AEO25_Table_21._Residential!$F$77:$AG$80,MATCH($B63,AEO25_Table_21._Residential!$B$77:$B$80,0),MATCH(E$42,AEO25_Table_21._Residential!$F$5:$AG$5,0))*About!$A$28*About!$B$31</f>
        <v>0.32243382174370594</v>
      </c>
      <c r="F63">
        <f>INDEX(AEO26_Table_21._Residential!$E$6:$AD$92,MATCH($A63,AEO26_Table_21._Residential!$B$6:$B$92,0),MATCH(F$42,AEO26_Table_21._Residential!$E$5:$AD$5,0))*About!$A$28*About!$B$31</f>
        <v>9.4393669553954507E-2</v>
      </c>
      <c r="G63">
        <f>INDEX(AEO26_Table_21._Residential!$E$6:$AD$92,MATCH($A63,AEO26_Table_21._Residential!$B$6:$B$92,0),MATCH(G$42,AEO26_Table_21._Residential!$E$5:$AD$5,0))*About!$A$28*About!$B$31</f>
        <v>0.20654456407350441</v>
      </c>
      <c r="H63">
        <f>INDEX(AEO26_Table_21._Residential!$E$6:$AD$92,MATCH($A63,AEO26_Table_21._Residential!$B$6:$B$92,0),MATCH(H$42,AEO26_Table_21._Residential!$E$5:$AD$5,0))*About!$A$28*About!$B$31</f>
        <v>0.31570476807253295</v>
      </c>
      <c r="I63">
        <f>INDEX(AEO26_Table_21._Residential!$E$6:$AD$92,MATCH($A63,AEO26_Table_21._Residential!$B$6:$B$92,0),MATCH(I$42,AEO26_Table_21._Residential!$E$5:$AD$5,0))*About!$A$28*About!$B$31</f>
        <v>0.31813470412045658</v>
      </c>
      <c r="J63">
        <f>INDEX(AEO26_Table_21._Residential!$E$6:$AD$92,MATCH($A63,AEO26_Table_21._Residential!$B$6:$B$92,0),MATCH(J$42,AEO26_Table_21._Residential!$E$5:$AD$5,0))*About!$A$28*About!$B$31</f>
        <v>0.32056464016838015</v>
      </c>
      <c r="K63">
        <f>INDEX(AEO26_Table_21._Residential!$E$6:$AD$92,MATCH($A63,AEO26_Table_21._Residential!$B$6:$B$92,0),MATCH(K$42,AEO26_Table_21._Residential!$E$5:$AD$5,0))*About!$A$28*About!$B$31</f>
        <v>0.47271602039990285</v>
      </c>
      <c r="L63">
        <f>INDEX(AEO26_Table_21._Residential!$E$6:$AD$92,MATCH($A63,AEO26_Table_21._Residential!$B$6:$B$92,0),MATCH(L$42,AEO26_Table_21._Residential!$E$5:$AD$5,0))*About!$A$28*About!$B$31</f>
        <v>0.67589605763782079</v>
      </c>
      <c r="M63">
        <f>INDEX(AEO26_Table_21._Residential!$E$6:$AD$92,MATCH($A63,AEO26_Table_21._Residential!$B$6:$B$92,0),MATCH(M$42,AEO26_Table_21._Residential!$E$5:$AD$5,0))*About!$A$28*About!$B$31</f>
        <v>0.88543131223184646</v>
      </c>
      <c r="N63">
        <f>INDEX(AEO26_Table_21._Residential!$E$6:$AD$92,MATCH($A63,AEO26_Table_21._Residential!$B$6:$B$92,0),MATCH(N$42,AEO26_Table_21._Residential!$E$5:$AD$5,0))*About!$A$28*About!$B$31</f>
        <v>1.0484239456002591</v>
      </c>
      <c r="O63">
        <f>INDEX(AEO26_Table_21._Residential!$E$6:$AD$92,MATCH($A63,AEO26_Table_21._Residential!$B$6:$B$92,0),MATCH(O$42,AEO26_Table_21._Residential!$E$5:$AD$5,0))*About!$A$28*About!$B$31</f>
        <v>1.2527254917833723</v>
      </c>
      <c r="P63">
        <f>INDEX(AEO26_Table_21._Residential!$E$6:$AD$92,MATCH($A63,AEO26_Table_21._Residential!$B$6:$B$92,0),MATCH(P$42,AEO26_Table_21._Residential!$E$5:$AD$5,0))*About!$A$28*About!$B$31</f>
        <v>1.255155427831296</v>
      </c>
      <c r="Q63">
        <f>INDEX(AEO26_Table_21._Residential!$E$6:$AD$92,MATCH($A63,AEO26_Table_21._Residential!$B$6:$B$92,0),MATCH(Q$42,AEO26_Table_21._Residential!$E$5:$AD$5,0))*About!$A$28*About!$B$31</f>
        <v>1.2575853638792196</v>
      </c>
      <c r="R63">
        <f>INDEX(AEO26_Table_21._Residential!$E$6:$AD$92,MATCH($A63,AEO26_Table_21._Residential!$B$6:$B$92,0),MATCH(R$42,AEO26_Table_21._Residential!$E$5:$AD$5,0))*About!$A$28*About!$B$31</f>
        <v>1.2600152999271432</v>
      </c>
      <c r="S63">
        <f>INDEX(AEO26_Table_21._Residential!$E$6:$AD$92,MATCH($A63,AEO26_Table_21._Residential!$B$6:$B$92,0),MATCH(S$42,AEO26_Table_21._Residential!$E$5:$AD$5,0))*About!$A$28*About!$B$31</f>
        <v>1.2624452359750666</v>
      </c>
      <c r="T63">
        <f>INDEX(AEO26_Table_21._Residential!$E$6:$AD$92,MATCH($A63,AEO26_Table_21._Residential!$B$6:$B$92,0),MATCH(T$42,AEO26_Table_21._Residential!$E$5:$AD$5,0))*About!$A$28*About!$B$31</f>
        <v>1.265062090180523</v>
      </c>
      <c r="U63">
        <f>INDEX(AEO26_Table_21._Residential!$E$6:$AD$92,MATCH($A63,AEO26_Table_21._Residential!$B$6:$B$92,0),MATCH(U$42,AEO26_Table_21._Residential!$E$5:$AD$5,0))*About!$A$28*About!$B$31</f>
        <v>1.2676789443859791</v>
      </c>
      <c r="V63">
        <f>INDEX(AEO26_Table_21._Residential!$E$6:$AD$92,MATCH($A63,AEO26_Table_21._Residential!$B$6:$B$92,0),MATCH(V$42,AEO26_Table_21._Residential!$E$5:$AD$5,0))*About!$A$28*About!$B$31</f>
        <v>1.2706696349065005</v>
      </c>
      <c r="W63">
        <f>INDEX(AEO26_Table_21._Residential!$E$6:$AD$92,MATCH($A63,AEO26_Table_21._Residential!$B$6:$B$92,0),MATCH(W$42,AEO26_Table_21._Residential!$E$5:$AD$5,0))*About!$A$28*About!$B$31</f>
        <v>1.2745949162146848</v>
      </c>
      <c r="X63">
        <f>INDEX(AEO26_Table_21._Residential!$E$6:$AD$92,MATCH($A63,AEO26_Table_21._Residential!$B$6:$B$92,0),MATCH(X$42,AEO26_Table_21._Residential!$E$5:$AD$5,0))*About!$A$28*About!$B$31</f>
        <v>1.2800155427831297</v>
      </c>
      <c r="Y63">
        <f>INDEX(AEO26_Table_21._Residential!$E$6:$AD$92,MATCH($A63,AEO26_Table_21._Residential!$B$6:$B$92,0),MATCH(Y$42,AEO26_Table_21._Residential!$E$5:$AD$5,0))*About!$A$28*About!$B$31</f>
        <v>1.2886137780296285</v>
      </c>
      <c r="Z63">
        <f>INDEX(AEO26_Table_21._Residential!$E$6:$AD$92,MATCH($A63,AEO26_Table_21._Residential!$B$6:$B$92,0),MATCH(Z$42,AEO26_Table_21._Residential!$E$5:$AD$5,0))*About!$A$28*About!$B$31</f>
        <v>1.3033803124747023</v>
      </c>
      <c r="AA63">
        <f>INDEX(AEO26_Table_21._Residential!$E$6:$AD$92,MATCH($A63,AEO26_Table_21._Residential!$B$6:$B$92,0),MATCH(AA$42,AEO26_Table_21._Residential!$E$5:$AD$5,0))*About!$A$28*About!$B$31</f>
        <v>1.329175018214199</v>
      </c>
      <c r="AB63">
        <f>INDEX(AEO26_Table_21._Residential!$E$6:$AD$92,MATCH($A63,AEO26_Table_21._Residential!$B$6:$B$92,0),MATCH(AB$42,AEO26_Table_21._Residential!$E$5:$AD$5,0))*About!$A$28*About!$B$31</f>
        <v>1.3549697239536955</v>
      </c>
      <c r="AC63">
        <f>INDEX(AEO26_Table_21._Residential!$E$6:$AD$92,MATCH($A63,AEO26_Table_21._Residential!$B$6:$B$92,0),MATCH(AC$42,AEO26_Table_21._Residential!$E$5:$AD$5,0))*About!$A$28*About!$B$31</f>
        <v>1.3809513478507245</v>
      </c>
      <c r="AD63">
        <f>INDEX(AEO26_Table_21._Residential!$E$6:$AD$92,MATCH($A63,AEO26_Table_21._Residential!$B$6:$B$92,0),MATCH(AD$42,AEO26_Table_21._Residential!$E$5:$AD$5,0))*About!$A$28*About!$B$31</f>
        <v>1.4071198899052861</v>
      </c>
      <c r="AE63">
        <f>INDEX(AEO26_Table_21._Residential!$E$6:$AD$92,MATCH($A63,AEO26_Table_21._Residential!$B$6:$B$92,0),MATCH(AE$42,AEO26_Table_21._Residential!$E$5:$AD$5,0))*About!$A$28*About!$B$31</f>
        <v>1.4334753501173803</v>
      </c>
    </row>
    <row r="64" spans="1:31" x14ac:dyDescent="0.25">
      <c r="C64" t="s">
        <v>8</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44" x14ac:dyDescent="0.25">
      <c r="C65" t="s">
        <v>9</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44" x14ac:dyDescent="0.25">
      <c r="A66" t="s">
        <v>948</v>
      </c>
      <c r="B66" t="s">
        <v>603</v>
      </c>
      <c r="C66" t="s">
        <v>59</v>
      </c>
      <c r="D66" s="47">
        <f>AEO23_Table_21._Residential!$F$79*About!$A$28*About!$B$31</f>
        <v>11.859583259127337</v>
      </c>
      <c r="E66">
        <f>INDEX(AEO25_Table_21._Residential!$F$77:$AG$80,MATCH($B66,AEO25_Table_21._Residential!$B$77:$B$80,0),MATCH(E$42,AEO25_Table_21._Residential!$F$5:$AG$5,0))*About!$A$28*About!$B$31</f>
        <v>57.60425087023394</v>
      </c>
      <c r="F66">
        <f>INDEX(AEO26_Table_21._Residential!$E$6:$AD$92,MATCH($A66,AEO26_Table_21._Residential!$B$6:$B$92,0),MATCH(F$42,AEO26_Table_21._Residential!$E$5:$AD$5,0))*About!$A$28*About!$B$31</f>
        <v>30.137188375293448</v>
      </c>
      <c r="G66">
        <f>INDEX(AEO26_Table_21._Residential!$E$6:$AD$92,MATCH($A66,AEO26_Table_21._Residential!$B$6:$B$92,0),MATCH(G$42,AEO26_Table_21._Residential!$E$5:$AD$5,0))*About!$A$28*About!$B$31</f>
        <v>30.162235408402818</v>
      </c>
      <c r="H66">
        <f>INDEX(AEO26_Table_21._Residential!$E$6:$AD$92,MATCH($A66,AEO26_Table_21._Residential!$B$6:$B$92,0),MATCH(H$42,AEO26_Table_21._Residential!$E$5:$AD$5,0))*About!$A$28*About!$B$31</f>
        <v>30.192889986238161</v>
      </c>
      <c r="I66">
        <f>INDEX(AEO26_Table_21._Residential!$E$6:$AD$92,MATCH($A66,AEO26_Table_21._Residential!$B$6:$B$92,0),MATCH(I$42,AEO26_Table_21._Residential!$E$5:$AD$5,0))*About!$A$28*About!$B$31</f>
        <v>30.223170727758436</v>
      </c>
      <c r="J66">
        <f>INDEX(AEO26_Table_21._Residential!$E$6:$AD$92,MATCH($A66,AEO26_Table_21._Residential!$B$6:$B$92,0),MATCH(J$42,AEO26_Table_21._Residential!$E$5:$AD$5,0))*About!$A$28*About!$B$31</f>
        <v>30.272143285031973</v>
      </c>
      <c r="K66">
        <f>INDEX(AEO26_Table_21._Residential!$E$6:$AD$92,MATCH($A66,AEO26_Table_21._Residential!$B$6:$B$92,0),MATCH(K$42,AEO26_Table_21._Residential!$E$5:$AD$5,0))*About!$A$28*About!$B$31</f>
        <v>30.357377964866835</v>
      </c>
      <c r="L66">
        <f>INDEX(AEO26_Table_21._Residential!$E$6:$AD$92,MATCH($A66,AEO26_Table_21._Residential!$B$6:$B$92,0),MATCH(L$42,AEO26_Table_21._Residential!$E$5:$AD$5,0))*About!$A$28*About!$B$31</f>
        <v>30.512333117461345</v>
      </c>
      <c r="M66">
        <f>INDEX(AEO26_Table_21._Residential!$E$6:$AD$92,MATCH($A66,AEO26_Table_21._Residential!$B$6:$B$92,0),MATCH(M$42,AEO26_Table_21._Residential!$E$5:$AD$5,0))*About!$A$28*About!$B$31</f>
        <v>30.754392131466041</v>
      </c>
      <c r="N66">
        <f>INDEX(AEO26_Table_21._Residential!$E$6:$AD$92,MATCH($A66,AEO26_Table_21._Residential!$B$6:$B$92,0),MATCH(N$42,AEO26_Table_21._Residential!$E$5:$AD$5,0))*About!$A$28*About!$B$31</f>
        <v>31.128415364688738</v>
      </c>
      <c r="O66">
        <f>INDEX(AEO26_Table_21._Residential!$E$6:$AD$92,MATCH($A66,AEO26_Table_21._Residential!$B$6:$B$92,0),MATCH(O$42,AEO26_Table_21._Residential!$E$5:$AD$5,0))*About!$A$28*About!$B$31</f>
        <v>31.644496397636203</v>
      </c>
      <c r="P66">
        <f>INDEX(AEO26_Table_21._Residential!$E$6:$AD$92,MATCH($A66,AEO26_Table_21._Residential!$B$6:$B$92,0),MATCH(P$42,AEO26_Table_21._Residential!$E$5:$AD$5,0))*About!$A$28*About!$B$31</f>
        <v>32.262073990123852</v>
      </c>
      <c r="Q66">
        <f>INDEX(AEO26_Table_21._Residential!$E$6:$AD$92,MATCH($A66,AEO26_Table_21._Residential!$B$6:$B$92,0),MATCH(Q$42,AEO26_Table_21._Residential!$E$5:$AD$5,0))*About!$A$28*About!$B$31</f>
        <v>32.955727272727266</v>
      </c>
      <c r="R66">
        <f>INDEX(AEO26_Table_21._Residential!$E$6:$AD$92,MATCH($A66,AEO26_Table_21._Residential!$B$6:$B$92,0),MATCH(R$42,AEO26_Table_21._Residential!$E$5:$AD$5,0))*About!$A$28*About!$B$31</f>
        <v>33.725082409131382</v>
      </c>
      <c r="S66">
        <f>INDEX(AEO26_Table_21._Residential!$E$6:$AD$92,MATCH($A66,AEO26_Table_21._Residential!$B$6:$B$92,0),MATCH(S$42,AEO26_Table_21._Residential!$E$5:$AD$5,0))*About!$A$28*About!$B$31</f>
        <v>34.533316522302272</v>
      </c>
      <c r="T66">
        <f>INDEX(AEO26_Table_21._Residential!$E$6:$AD$92,MATCH($A66,AEO26_Table_21._Residential!$B$6:$B$92,0),MATCH(T$42,AEO26_Table_21._Residential!$E$5:$AD$5,0))*About!$A$28*About!$B$31</f>
        <v>35.361737796486679</v>
      </c>
      <c r="U66">
        <f>INDEX(AEO26_Table_21._Residential!$E$6:$AD$92,MATCH($A66,AEO26_Table_21._Residential!$B$6:$B$92,0),MATCH(U$42,AEO26_Table_21._Residential!$E$5:$AD$5,0))*About!$A$28*About!$B$31</f>
        <v>36.240253136889827</v>
      </c>
      <c r="V66">
        <f>INDEX(AEO26_Table_21._Residential!$E$6:$AD$92,MATCH($A66,AEO26_Table_21._Residential!$B$6:$B$92,0),MATCH(V$42,AEO26_Table_21._Residential!$E$5:$AD$5,0))*About!$A$28*About!$B$31</f>
        <v>37.220451954990693</v>
      </c>
      <c r="W66">
        <f>INDEX(AEO26_Table_21._Residential!$E$6:$AD$92,MATCH($A66,AEO26_Table_21._Residential!$B$6:$B$92,0),MATCH(W$42,AEO26_Table_21._Residential!$E$5:$AD$5,0))*About!$A$28*About!$B$31</f>
        <v>38.267567473488214</v>
      </c>
      <c r="X66">
        <f>INDEX(AEO26_Table_21._Residential!$E$6:$AD$92,MATCH($A66,AEO26_Table_21._Residential!$B$6:$B$92,0),MATCH(X$42,AEO26_Table_21._Residential!$E$5:$AD$5,0))*About!$A$28*About!$B$31</f>
        <v>39.34870209665668</v>
      </c>
      <c r="Y66">
        <f>INDEX(AEO26_Table_21._Residential!$E$6:$AD$92,MATCH($A66,AEO26_Table_21._Residential!$B$6:$B$92,0),MATCH(Y$42,AEO26_Table_21._Residential!$E$5:$AD$5,0))*About!$A$28*About!$B$31</f>
        <v>40.456566016352298</v>
      </c>
      <c r="Z66">
        <f>INDEX(AEO26_Table_21._Residential!$E$6:$AD$92,MATCH($A66,AEO26_Table_21._Residential!$B$6:$B$92,0),MATCH(Z$42,AEO26_Table_21._Residential!$E$5:$AD$5,0))*About!$A$28*About!$B$31</f>
        <v>41.600878976766779</v>
      </c>
      <c r="AA66">
        <f>INDEX(AEO26_Table_21._Residential!$E$6:$AD$92,MATCH($A66,AEO26_Table_21._Residential!$B$6:$B$92,0),MATCH(AA$42,AEO26_Table_21._Residential!$E$5:$AD$5,0))*About!$A$28*About!$B$31</f>
        <v>42.847062333036504</v>
      </c>
      <c r="AB66">
        <f>INDEX(AEO26_Table_21._Residential!$E$6:$AD$92,MATCH($A66,AEO26_Table_21._Residential!$B$6:$B$92,0),MATCH(AB$42,AEO26_Table_21._Residential!$E$5:$AD$5,0))*About!$A$28*About!$B$31</f>
        <v>44.140162146846919</v>
      </c>
      <c r="AC66">
        <f>INDEX(AEO26_Table_21._Residential!$E$6:$AD$92,MATCH($A66,AEO26_Table_21._Residential!$B$6:$B$92,0),MATCH(AC$42,AEO26_Table_21._Residential!$E$5:$AD$5,0))*About!$A$28*About!$B$31</f>
        <v>45.618124018457053</v>
      </c>
      <c r="AD66">
        <f>INDEX(AEO26_Table_21._Residential!$E$6:$AD$92,MATCH($A66,AEO26_Table_21._Residential!$B$6:$B$92,0),MATCH(AD$42,AEO26_Table_21._Residential!$E$5:$AD$5,0))*About!$A$28*About!$B$31</f>
        <v>47.112534687930058</v>
      </c>
      <c r="AE66">
        <f>INDEX(AEO26_Table_21._Residential!$E$6:$AD$92,MATCH($A66,AEO26_Table_21._Residential!$B$6:$B$92,0),MATCH(AE$42,AEO26_Table_21._Residential!$E$5:$AD$5,0))*About!$A$28*About!$B$31</f>
        <v>48.622833400793326</v>
      </c>
    </row>
    <row r="67" spans="1:44" x14ac:dyDescent="0.25">
      <c r="A67" t="s">
        <v>946</v>
      </c>
      <c r="B67" t="s">
        <v>605</v>
      </c>
      <c r="C67" t="s">
        <v>10</v>
      </c>
      <c r="D67" s="47">
        <f>AEO23_Table_21._Residential!$F$78*About!$A$28*About!$B$31</f>
        <v>4848.8104662025416</v>
      </c>
      <c r="E67">
        <f>INDEX(AEO25_Table_21._Residential!$F$77:$AG$80,MATCH($B67,AEO25_Table_21._Residential!$B$77:$B$80,0),MATCH(E$42,AEO25_Table_21._Residential!$F$5:$AG$5,0))*About!$A$28*About!$B$31</f>
        <v>7721.182914514693</v>
      </c>
      <c r="F67">
        <f>INDEX(AEO26_Table_21._Residential!$E$6:$AD$92,MATCH($A67,AEO26_Table_21._Residential!$B$6:$B$92,0),MATCH(F$42,AEO26_Table_21._Residential!$E$5:$AD$5,0))*About!$A$28*About!$B$31</f>
        <v>8292.7356490730999</v>
      </c>
      <c r="G67">
        <f>INDEX(AEO26_Table_21._Residential!$E$6:$AD$92,MATCH($A67,AEO26_Table_21._Residential!$B$6:$B$92,0),MATCH(G$42,AEO26_Table_21._Residential!$E$5:$AD$5,0))*About!$A$28*About!$B$31</f>
        <v>8795.5301655468302</v>
      </c>
      <c r="H67">
        <f>INDEX(AEO26_Table_21._Residential!$E$6:$AD$92,MATCH($A67,AEO26_Table_21._Residential!$B$6:$B$92,0),MATCH(H$42,AEO26_Table_21._Residential!$E$5:$AD$5,0))*About!$A$28*About!$B$31</f>
        <v>9362.7697636201738</v>
      </c>
      <c r="I67">
        <f>INDEX(AEO26_Table_21._Residential!$E$6:$AD$92,MATCH($A67,AEO26_Table_21._Residential!$B$6:$B$92,0),MATCH(I$42,AEO26_Table_21._Residential!$E$5:$AD$5,0))*About!$A$28*About!$B$31</f>
        <v>9949.5679169432515</v>
      </c>
      <c r="J67">
        <f>INDEX(AEO26_Table_21._Residential!$E$6:$AD$92,MATCH($A67,AEO26_Table_21._Residential!$B$6:$B$92,0),MATCH(J$42,AEO26_Table_21._Residential!$E$5:$AD$5,0))*About!$A$28*About!$B$31</f>
        <v>10500.640776653445</v>
      </c>
      <c r="K67">
        <f>INDEX(AEO26_Table_21._Residential!$E$6:$AD$92,MATCH($A67,AEO26_Table_21._Residential!$B$6:$B$92,0),MATCH(K$42,AEO26_Table_21._Residential!$E$5:$AD$5,0))*About!$A$28*About!$B$31</f>
        <v>11080.775484578644</v>
      </c>
      <c r="L67">
        <f>INDEX(AEO26_Table_21._Residential!$E$6:$AD$92,MATCH($A67,AEO26_Table_21._Residential!$B$6:$B$92,0),MATCH(L$42,AEO26_Table_21._Residential!$E$5:$AD$5,0))*About!$A$28*About!$B$31</f>
        <v>11709.343303974743</v>
      </c>
      <c r="M67">
        <f>INDEX(AEO26_Table_21._Residential!$E$6:$AD$92,MATCH($A67,AEO26_Table_21._Residential!$B$6:$B$92,0),MATCH(M$42,AEO26_Table_21._Residential!$E$5:$AD$5,0))*About!$A$28*About!$B$31</f>
        <v>12336.67260365903</v>
      </c>
      <c r="N67">
        <f>INDEX(AEO26_Table_21._Residential!$E$6:$AD$92,MATCH($A67,AEO26_Table_21._Residential!$B$6:$B$92,0),MATCH(N$42,AEO26_Table_21._Residential!$E$5:$AD$5,0))*About!$A$28*About!$B$31</f>
        <v>12996.02995580021</v>
      </c>
      <c r="O67">
        <f>INDEX(AEO26_Table_21._Residential!$E$6:$AD$92,MATCH($A67,AEO26_Table_21._Residential!$B$6:$B$92,0),MATCH(O$42,AEO26_Table_21._Residential!$E$5:$AD$5,0))*About!$A$28*About!$B$31</f>
        <v>13695.686675787258</v>
      </c>
      <c r="P67">
        <f>INDEX(AEO26_Table_21._Residential!$E$6:$AD$92,MATCH($A67,AEO26_Table_21._Residential!$B$6:$B$92,0),MATCH(P$42,AEO26_Table_21._Residential!$E$5:$AD$5,0))*About!$A$28*About!$B$31</f>
        <v>14443.621739010765</v>
      </c>
      <c r="Q67">
        <f>INDEX(AEO26_Table_21._Residential!$E$6:$AD$92,MATCH($A67,AEO26_Table_21._Residential!$B$6:$B$92,0),MATCH(Q$42,AEO26_Table_21._Residential!$E$5:$AD$5,0))*About!$A$28*About!$B$31</f>
        <v>15228.303790496237</v>
      </c>
      <c r="R67">
        <f>INDEX(AEO26_Table_21._Residential!$E$6:$AD$92,MATCH($A67,AEO26_Table_21._Residential!$B$6:$B$92,0),MATCH(R$42,AEO26_Table_21._Residential!$E$5:$AD$5,0))*About!$A$28*About!$B$31</f>
        <v>16070.857385817209</v>
      </c>
      <c r="S67">
        <f>INDEX(AEO26_Table_21._Residential!$E$6:$AD$92,MATCH($A67,AEO26_Table_21._Residential!$B$6:$B$92,0),MATCH(S$42,AEO26_Table_21._Residential!$E$5:$AD$5,0))*About!$A$28*About!$B$31</f>
        <v>16953.57333797458</v>
      </c>
      <c r="T67">
        <f>INDEX(AEO26_Table_21._Residential!$E$6:$AD$92,MATCH($A67,AEO26_Table_21._Residential!$B$6:$B$92,0),MATCH(T$42,AEO26_Table_21._Residential!$E$5:$AD$5,0))*About!$A$28*About!$B$31</f>
        <v>17884.072674087267</v>
      </c>
      <c r="U67">
        <f>INDEX(AEO26_Table_21._Residential!$E$6:$AD$92,MATCH($A67,AEO26_Table_21._Residential!$B$6:$B$92,0),MATCH(U$42,AEO26_Table_21._Residential!$E$5:$AD$5,0))*About!$A$28*About!$B$31</f>
        <v>18848.722144499312</v>
      </c>
      <c r="V67">
        <f>INDEX(AEO26_Table_21._Residential!$E$6:$AD$92,MATCH($A67,AEO26_Table_21._Residential!$B$6:$B$92,0),MATCH(V$42,AEO26_Table_21._Residential!$E$5:$AD$5,0))*About!$A$28*About!$B$31</f>
        <v>19854.228746539302</v>
      </c>
      <c r="W67">
        <f>INDEX(AEO26_Table_21._Residential!$E$6:$AD$92,MATCH($A67,AEO26_Table_21._Residential!$B$6:$B$92,0),MATCH(W$42,AEO26_Table_21._Residential!$E$5:$AD$5,0))*About!$A$28*About!$B$31</f>
        <v>20889.648609001859</v>
      </c>
      <c r="X67">
        <f>INDEX(AEO26_Table_21._Residential!$E$6:$AD$92,MATCH($A67,AEO26_Table_21._Residential!$B$6:$B$92,0),MATCH(X$42,AEO26_Table_21._Residential!$E$5:$AD$5,0))*About!$A$28*About!$B$31</f>
        <v>21957.659895248118</v>
      </c>
      <c r="Y67">
        <f>INDEX(AEO26_Table_21._Residential!$E$6:$AD$92,MATCH($A67,AEO26_Table_21._Residential!$B$6:$B$92,0),MATCH(Y$42,AEO26_Table_21._Residential!$E$5:$AD$5,0))*About!$A$28*About!$B$31</f>
        <v>23067.248134946974</v>
      </c>
      <c r="Z67">
        <f>INDEX(AEO26_Table_21._Residential!$E$6:$AD$92,MATCH($A67,AEO26_Table_21._Residential!$B$6:$B$92,0),MATCH(Z$42,AEO26_Table_21._Residential!$E$5:$AD$5,0))*About!$A$28*About!$B$31</f>
        <v>24204.429606897113</v>
      </c>
      <c r="AA67">
        <f>INDEX(AEO26_Table_21._Residential!$E$6:$AD$92,MATCH($A67,AEO26_Table_21._Residential!$B$6:$B$92,0),MATCH(AA$42,AEO26_Table_21._Residential!$E$5:$AD$5,0))*About!$A$28*About!$B$31</f>
        <v>25376.333182708651</v>
      </c>
      <c r="AB67">
        <f>INDEX(AEO26_Table_21._Residential!$E$6:$AD$92,MATCH($A67,AEO26_Table_21._Residential!$B$6:$B$92,0),MATCH(AB$42,AEO26_Table_21._Residential!$E$5:$AD$5,0))*About!$A$28*About!$B$31</f>
        <v>26584.416076337729</v>
      </c>
      <c r="AC67">
        <f>INDEX(AEO26_Table_21._Residential!$E$6:$AD$92,MATCH($A67,AEO26_Table_21._Residential!$B$6:$B$92,0),MATCH(AC$42,AEO26_Table_21._Residential!$E$5:$AD$5,0))*About!$A$28*About!$B$31</f>
        <v>27845.643166680158</v>
      </c>
      <c r="AD67">
        <f>INDEX(AEO26_Table_21._Residential!$E$6:$AD$92,MATCH($A67,AEO26_Table_21._Residential!$B$6:$B$92,0),MATCH(AD$42,AEO26_Table_21._Residential!$E$5:$AD$5,0))*About!$A$28*About!$B$31</f>
        <v>29130.129231036997</v>
      </c>
      <c r="AE67">
        <f>INDEX(AEO26_Table_21._Residential!$E$6:$AD$92,MATCH($A67,AEO26_Table_21._Residential!$B$6:$B$92,0),MATCH(AE$42,AEO26_Table_21._Residential!$E$5:$AD$5,0))*About!$A$28*About!$B$31</f>
        <v>30460.814547964055</v>
      </c>
    </row>
    <row r="68" spans="1:44" x14ac:dyDescent="0.25">
      <c r="C68" t="s">
        <v>11</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44" x14ac:dyDescent="0.25">
      <c r="C69" t="s">
        <v>12</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44" x14ac:dyDescent="0.25">
      <c r="C70" t="s">
        <v>13</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44" x14ac:dyDescent="0.25">
      <c r="C71" t="s">
        <v>14</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44" x14ac:dyDescent="0.25">
      <c r="C72" t="s">
        <v>15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44" x14ac:dyDescent="0.25">
      <c r="C73" t="s">
        <v>57</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44" x14ac:dyDescent="0.25">
      <c r="C74" t="s">
        <v>60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44" x14ac:dyDescent="0.25">
      <c r="C75" t="s">
        <v>158</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44" x14ac:dyDescent="0.25">
      <c r="C76" t="s">
        <v>159</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44" x14ac:dyDescent="0.25">
      <c r="C77" t="s">
        <v>160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44"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row>
    <row r="79" spans="1:44" ht="18.75" x14ac:dyDescent="0.3">
      <c r="A79" s="51" t="s">
        <v>172</v>
      </c>
      <c r="B79" s="52"/>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spans="1:44" ht="18.75" x14ac:dyDescent="0.3">
      <c r="A80" s="14"/>
      <c r="B80" s="15" t="s">
        <v>175</v>
      </c>
    </row>
    <row r="81" spans="1:31" x14ac:dyDescent="0.25">
      <c r="B81" s="1" t="s">
        <v>170</v>
      </c>
      <c r="C81" s="1" t="s">
        <v>161</v>
      </c>
    </row>
    <row r="82" spans="1:31" s="1" customFormat="1" x14ac:dyDescent="0.25">
      <c r="D82" s="1">
        <v>2023</v>
      </c>
      <c r="E82" s="1">
        <v>2024</v>
      </c>
      <c r="F82" s="1">
        <v>2025</v>
      </c>
      <c r="G82" s="1">
        <v>2026</v>
      </c>
      <c r="H82" s="1">
        <v>2027</v>
      </c>
      <c r="I82" s="1">
        <v>2028</v>
      </c>
      <c r="J82" s="1">
        <v>2029</v>
      </c>
      <c r="K82" s="1">
        <v>2030</v>
      </c>
      <c r="L82" s="1">
        <v>2031</v>
      </c>
      <c r="M82" s="1">
        <v>2032</v>
      </c>
      <c r="N82" s="1">
        <v>2033</v>
      </c>
      <c r="O82" s="1">
        <v>2034</v>
      </c>
      <c r="P82" s="1">
        <v>2035</v>
      </c>
      <c r="Q82" s="1">
        <v>2036</v>
      </c>
      <c r="R82" s="1">
        <v>2037</v>
      </c>
      <c r="S82" s="1">
        <v>2038</v>
      </c>
      <c r="T82" s="1">
        <v>2039</v>
      </c>
      <c r="U82" s="1">
        <v>2040</v>
      </c>
      <c r="V82" s="1">
        <v>2041</v>
      </c>
      <c r="W82" s="1">
        <v>2042</v>
      </c>
      <c r="X82" s="1">
        <v>2043</v>
      </c>
      <c r="Y82" s="1">
        <v>2044</v>
      </c>
      <c r="Z82" s="1">
        <v>2045</v>
      </c>
      <c r="AA82" s="1">
        <v>2046</v>
      </c>
      <c r="AB82" s="1">
        <v>2047</v>
      </c>
      <c r="AC82" s="1">
        <v>2048</v>
      </c>
      <c r="AD82" s="1">
        <v>2049</v>
      </c>
      <c r="AE82" s="1">
        <v>2050</v>
      </c>
    </row>
    <row r="83" spans="1:31" x14ac:dyDescent="0.25">
      <c r="C83" t="s">
        <v>58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x14ac:dyDescent="0.25">
      <c r="A84" t="s">
        <v>1050</v>
      </c>
      <c r="B84" t="s">
        <v>747</v>
      </c>
      <c r="C84" t="s">
        <v>7</v>
      </c>
      <c r="D84">
        <f>AEO23_table_22._Comm!G60*gigwatt_to_megawatt</f>
        <v>1394.019</v>
      </c>
      <c r="E84">
        <f>INDEX(AEO25_Table_22._Commercial!$F$59:$AG$71,MATCH($B84,AEO25_Table_22._Commercial!$B$59:$B$71,0),MATCH(E$82,AEO25_Table_22._Commercial!$F$5:$AG$5,0))*gigwatt_to_megawatt</f>
        <v>1468.7250000000001</v>
      </c>
      <c r="F84">
        <f>INDEX(AEO26_Table_22._Commercial!$E$6:$AD$81,MATCH($A84,AEO26_Table_22._Commercial!$B$6:$B$81,0),MATCH(F$82,AEO26_Table_22._Commercial!$E$5:$AD$5,0))*gigwatt_to_megawatt</f>
        <v>1508.008</v>
      </c>
      <c r="G84">
        <f>INDEX(AEO26_Table_22._Commercial!$E$6:$AD$81,MATCH($A84,AEO26_Table_22._Commercial!$B$6:$B$81,0),MATCH(G$82,AEO26_Table_22._Commercial!$E$5:$AD$5,0))*gigwatt_to_megawatt</f>
        <v>1540.9690000000001</v>
      </c>
      <c r="H84">
        <f>INDEX(AEO26_Table_22._Commercial!$E$6:$AD$81,MATCH($A84,AEO26_Table_22._Commercial!$B$6:$B$81,0),MATCH(H$82,AEO26_Table_22._Commercial!$E$5:$AD$5,0))*gigwatt_to_megawatt</f>
        <v>1559.125</v>
      </c>
      <c r="I84">
        <f>INDEX(AEO26_Table_22._Commercial!$E$6:$AD$81,MATCH($A84,AEO26_Table_22._Commercial!$B$6:$B$81,0),MATCH(I$82,AEO26_Table_22._Commercial!$E$5:$AD$5,0))*gigwatt_to_megawatt</f>
        <v>1576.8690000000001</v>
      </c>
      <c r="J84">
        <f>INDEX(AEO26_Table_22._Commercial!$E$6:$AD$81,MATCH($A84,AEO26_Table_22._Commercial!$B$6:$B$81,0),MATCH(J$82,AEO26_Table_22._Commercial!$E$5:$AD$5,0))*gigwatt_to_megawatt</f>
        <v>1595.395</v>
      </c>
      <c r="K84">
        <f>INDEX(AEO26_Table_22._Commercial!$E$6:$AD$81,MATCH($A84,AEO26_Table_22._Commercial!$B$6:$B$81,0),MATCH(K$82,AEO26_Table_22._Commercial!$E$5:$AD$5,0))*gigwatt_to_megawatt</f>
        <v>1615.2909999999999</v>
      </c>
      <c r="L84">
        <f>INDEX(AEO26_Table_22._Commercial!$E$6:$AD$81,MATCH($A84,AEO26_Table_22._Commercial!$B$6:$B$81,0),MATCH(L$82,AEO26_Table_22._Commercial!$E$5:$AD$5,0))*gigwatt_to_megawatt</f>
        <v>1634.761</v>
      </c>
      <c r="M84">
        <f>INDEX(AEO26_Table_22._Commercial!$E$6:$AD$81,MATCH($A84,AEO26_Table_22._Commercial!$B$6:$B$81,0),MATCH(M$82,AEO26_Table_22._Commercial!$E$5:$AD$5,0))*gigwatt_to_megawatt</f>
        <v>1655.3439999999998</v>
      </c>
      <c r="N84">
        <f>INDEX(AEO26_Table_22._Commercial!$E$6:$AD$81,MATCH($A84,AEO26_Table_22._Commercial!$B$6:$B$81,0),MATCH(N$82,AEO26_Table_22._Commercial!$E$5:$AD$5,0))*gigwatt_to_megawatt</f>
        <v>1676.5520000000001</v>
      </c>
      <c r="O84">
        <f>INDEX(AEO26_Table_22._Commercial!$E$6:$AD$81,MATCH($A84,AEO26_Table_22._Commercial!$B$6:$B$81,0),MATCH(O$82,AEO26_Table_22._Commercial!$E$5:$AD$5,0))*gigwatt_to_megawatt</f>
        <v>1700.0949999999998</v>
      </c>
      <c r="P84">
        <f>INDEX(AEO26_Table_22._Commercial!$E$6:$AD$81,MATCH($A84,AEO26_Table_22._Commercial!$B$6:$B$81,0),MATCH(P$82,AEO26_Table_22._Commercial!$E$5:$AD$5,0))*gigwatt_to_megawatt</f>
        <v>1722.0139999999999</v>
      </c>
      <c r="Q84">
        <f>INDEX(AEO26_Table_22._Commercial!$E$6:$AD$81,MATCH($A84,AEO26_Table_22._Commercial!$B$6:$B$81,0),MATCH(Q$82,AEO26_Table_22._Commercial!$E$5:$AD$5,0))*gigwatt_to_megawatt</f>
        <v>1744.8120000000001</v>
      </c>
      <c r="R84">
        <f>INDEX(AEO26_Table_22._Commercial!$E$6:$AD$81,MATCH($A84,AEO26_Table_22._Commercial!$B$6:$B$81,0),MATCH(R$82,AEO26_Table_22._Commercial!$E$5:$AD$5,0))*gigwatt_to_megawatt</f>
        <v>1769.9970000000001</v>
      </c>
      <c r="S84">
        <f>INDEX(AEO26_Table_22._Commercial!$E$6:$AD$81,MATCH($A84,AEO26_Table_22._Commercial!$B$6:$B$81,0),MATCH(S$82,AEO26_Table_22._Commercial!$E$5:$AD$5,0))*gigwatt_to_megawatt</f>
        <v>1793.4589999999998</v>
      </c>
      <c r="T84">
        <f>INDEX(AEO26_Table_22._Commercial!$E$6:$AD$81,MATCH($A84,AEO26_Table_22._Commercial!$B$6:$B$81,0),MATCH(T$82,AEO26_Table_22._Commercial!$E$5:$AD$5,0))*gigwatt_to_megawatt</f>
        <v>1816.316</v>
      </c>
      <c r="U84">
        <f>INDEX(AEO26_Table_22._Commercial!$E$6:$AD$81,MATCH($A84,AEO26_Table_22._Commercial!$B$6:$B$81,0),MATCH(U$82,AEO26_Table_22._Commercial!$E$5:$AD$5,0))*gigwatt_to_megawatt</f>
        <v>1838.2280000000001</v>
      </c>
      <c r="V84">
        <f>INDEX(AEO26_Table_22._Commercial!$E$6:$AD$81,MATCH($A84,AEO26_Table_22._Commercial!$B$6:$B$81,0),MATCH(V$82,AEO26_Table_22._Commercial!$E$5:$AD$5,0))*gigwatt_to_megawatt</f>
        <v>1858.4989999999998</v>
      </c>
      <c r="W84">
        <f>INDEX(AEO26_Table_22._Commercial!$E$6:$AD$81,MATCH($A84,AEO26_Table_22._Commercial!$B$6:$B$81,0),MATCH(W$82,AEO26_Table_22._Commercial!$E$5:$AD$5,0))*gigwatt_to_megawatt</f>
        <v>1881.0849999999998</v>
      </c>
      <c r="X84">
        <f>INDEX(AEO26_Table_22._Commercial!$E$6:$AD$81,MATCH($A84,AEO26_Table_22._Commercial!$B$6:$B$81,0),MATCH(X$82,AEO26_Table_22._Commercial!$E$5:$AD$5,0))*gigwatt_to_megawatt</f>
        <v>1901.162</v>
      </c>
      <c r="Y84">
        <f>INDEX(AEO26_Table_22._Commercial!$E$6:$AD$81,MATCH($A84,AEO26_Table_22._Commercial!$B$6:$B$81,0),MATCH(Y$82,AEO26_Table_22._Commercial!$E$5:$AD$5,0))*gigwatt_to_megawatt</f>
        <v>1921.1780000000001</v>
      </c>
      <c r="Z84">
        <f>INDEX(AEO26_Table_22._Commercial!$E$6:$AD$81,MATCH($A84,AEO26_Table_22._Commercial!$B$6:$B$81,0),MATCH(Z$82,AEO26_Table_22._Commercial!$E$5:$AD$5,0))*gigwatt_to_megawatt</f>
        <v>1940.0839999999998</v>
      </c>
      <c r="AA84">
        <f>INDEX(AEO26_Table_22._Commercial!$E$6:$AD$81,MATCH($A84,AEO26_Table_22._Commercial!$B$6:$B$81,0),MATCH(AA$82,AEO26_Table_22._Commercial!$E$5:$AD$5,0))*gigwatt_to_megawatt</f>
        <v>1959.433</v>
      </c>
      <c r="AB84">
        <f>INDEX(AEO26_Table_22._Commercial!$E$6:$AD$81,MATCH($A84,AEO26_Table_22._Commercial!$B$6:$B$81,0),MATCH(AB$82,AEO26_Table_22._Commercial!$E$5:$AD$5,0))*gigwatt_to_megawatt</f>
        <v>1979.941</v>
      </c>
      <c r="AC84">
        <f>INDEX(AEO26_Table_22._Commercial!$E$6:$AD$81,MATCH($A84,AEO26_Table_22._Commercial!$B$6:$B$81,0),MATCH(AC$82,AEO26_Table_22._Commercial!$E$5:$AD$5,0))*gigwatt_to_megawatt</f>
        <v>2000.0969999999998</v>
      </c>
      <c r="AD84">
        <f>INDEX(AEO26_Table_22._Commercial!$E$6:$AD$81,MATCH($A84,AEO26_Table_22._Commercial!$B$6:$B$81,0),MATCH(AD$82,AEO26_Table_22._Commercial!$E$5:$AD$5,0))*gigwatt_to_megawatt</f>
        <v>2019.018</v>
      </c>
      <c r="AE84">
        <f>INDEX(AEO26_Table_22._Commercial!$E$6:$AD$81,MATCH($A84,AEO26_Table_22._Commercial!$B$6:$B$81,0),MATCH(AE$82,AEO26_Table_22._Commercial!$E$5:$AD$5,0))*gigwatt_to_megawatt</f>
        <v>2039.0600000000002</v>
      </c>
    </row>
    <row r="85" spans="1:31" x14ac:dyDescent="0.25">
      <c r="C85" t="s">
        <v>8</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x14ac:dyDescent="0.25">
      <c r="C86" t="s">
        <v>9</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x14ac:dyDescent="0.25">
      <c r="A87" t="s">
        <v>1054</v>
      </c>
      <c r="B87" t="s">
        <v>743</v>
      </c>
      <c r="C87" t="s">
        <v>59</v>
      </c>
      <c r="D87">
        <f>AEO23_table_22._Comm!G62*gigwatt_to_megawatt</f>
        <v>559.73700000000008</v>
      </c>
      <c r="E87">
        <f>INDEX(AEO25_Table_22._Commercial!$F$59:$AG$71,MATCH($B87,AEO25_Table_22._Commercial!$B$59:$B$71,0),MATCH(E$82,AEO25_Table_22._Commercial!$F$5:$AG$5,0))*gigwatt_to_megawatt</f>
        <v>585.6400000000001</v>
      </c>
      <c r="F87">
        <f>INDEX(AEO26_Table_22._Commercial!$E$6:$AD$81,MATCH($A87,AEO26_Table_22._Commercial!$B$6:$B$81,0),MATCH(F$82,AEO26_Table_22._Commercial!$E$5:$AD$5,0))*gigwatt_to_megawatt</f>
        <v>584.673</v>
      </c>
      <c r="G87">
        <f>INDEX(AEO26_Table_22._Commercial!$E$6:$AD$81,MATCH($A87,AEO26_Table_22._Commercial!$B$6:$B$81,0),MATCH(G$82,AEO26_Table_22._Commercial!$E$5:$AD$5,0))*gigwatt_to_megawatt</f>
        <v>585.34399999999994</v>
      </c>
      <c r="H87">
        <f>INDEX(AEO26_Table_22._Commercial!$E$6:$AD$81,MATCH($A87,AEO26_Table_22._Commercial!$B$6:$B$81,0),MATCH(H$82,AEO26_Table_22._Commercial!$E$5:$AD$5,0))*gigwatt_to_megawatt</f>
        <v>586.68500000000006</v>
      </c>
      <c r="I87">
        <f>INDEX(AEO26_Table_22._Commercial!$E$6:$AD$81,MATCH($A87,AEO26_Table_22._Commercial!$B$6:$B$81,0),MATCH(I$82,AEO26_Table_22._Commercial!$E$5:$AD$5,0))*gigwatt_to_megawatt</f>
        <v>586.89599999999996</v>
      </c>
      <c r="J87">
        <f>INDEX(AEO26_Table_22._Commercial!$E$6:$AD$81,MATCH($A87,AEO26_Table_22._Commercial!$B$6:$B$81,0),MATCH(J$82,AEO26_Table_22._Commercial!$E$5:$AD$5,0))*gigwatt_to_megawatt</f>
        <v>587.529</v>
      </c>
      <c r="K87">
        <f>INDEX(AEO26_Table_22._Commercial!$E$6:$AD$81,MATCH($A87,AEO26_Table_22._Commercial!$B$6:$B$81,0),MATCH(K$82,AEO26_Table_22._Commercial!$E$5:$AD$5,0))*gigwatt_to_megawatt</f>
        <v>588.68799999999999</v>
      </c>
      <c r="L87">
        <f>INDEX(AEO26_Table_22._Commercial!$E$6:$AD$81,MATCH($A87,AEO26_Table_22._Commercial!$B$6:$B$81,0),MATCH(L$82,AEO26_Table_22._Commercial!$E$5:$AD$5,0))*gigwatt_to_megawatt</f>
        <v>589.22799999999995</v>
      </c>
      <c r="M87">
        <f>INDEX(AEO26_Table_22._Commercial!$E$6:$AD$81,MATCH($A87,AEO26_Table_22._Commercial!$B$6:$B$81,0),MATCH(M$82,AEO26_Table_22._Commercial!$E$5:$AD$5,0))*gigwatt_to_megawatt</f>
        <v>590.12799999999993</v>
      </c>
      <c r="N87">
        <f>INDEX(AEO26_Table_22._Commercial!$E$6:$AD$81,MATCH($A87,AEO26_Table_22._Commercial!$B$6:$B$81,0),MATCH(N$82,AEO26_Table_22._Commercial!$E$5:$AD$5,0))*gigwatt_to_megawatt</f>
        <v>591.15499999999997</v>
      </c>
      <c r="O87">
        <f>INDEX(AEO26_Table_22._Commercial!$E$6:$AD$81,MATCH($A87,AEO26_Table_22._Commercial!$B$6:$B$81,0),MATCH(O$82,AEO26_Table_22._Commercial!$E$5:$AD$5,0))*gigwatt_to_megawatt</f>
        <v>591.76700000000005</v>
      </c>
      <c r="P87">
        <f>INDEX(AEO26_Table_22._Commercial!$E$6:$AD$81,MATCH($A87,AEO26_Table_22._Commercial!$B$6:$B$81,0),MATCH(P$82,AEO26_Table_22._Commercial!$E$5:$AD$5,0))*gigwatt_to_megawatt</f>
        <v>592.12699999999995</v>
      </c>
      <c r="Q87">
        <f>INDEX(AEO26_Table_22._Commercial!$E$6:$AD$81,MATCH($A87,AEO26_Table_22._Commercial!$B$6:$B$81,0),MATCH(Q$82,AEO26_Table_22._Commercial!$E$5:$AD$5,0))*gigwatt_to_megawatt</f>
        <v>592.31299999999999</v>
      </c>
      <c r="R87">
        <f>INDEX(AEO26_Table_22._Commercial!$E$6:$AD$81,MATCH($A87,AEO26_Table_22._Commercial!$B$6:$B$81,0),MATCH(R$82,AEO26_Table_22._Commercial!$E$5:$AD$5,0))*gigwatt_to_megawatt</f>
        <v>592.65</v>
      </c>
      <c r="S87">
        <f>INDEX(AEO26_Table_22._Commercial!$E$6:$AD$81,MATCH($A87,AEO26_Table_22._Commercial!$B$6:$B$81,0),MATCH(S$82,AEO26_Table_22._Commercial!$E$5:$AD$5,0))*gigwatt_to_megawatt</f>
        <v>592.97200000000009</v>
      </c>
      <c r="T87">
        <f>INDEX(AEO26_Table_22._Commercial!$E$6:$AD$81,MATCH($A87,AEO26_Table_22._Commercial!$B$6:$B$81,0),MATCH(T$82,AEO26_Table_22._Commercial!$E$5:$AD$5,0))*gigwatt_to_megawatt</f>
        <v>593.428</v>
      </c>
      <c r="U87">
        <f>INDEX(AEO26_Table_22._Commercial!$E$6:$AD$81,MATCH($A87,AEO26_Table_22._Commercial!$B$6:$B$81,0),MATCH(U$82,AEO26_Table_22._Commercial!$E$5:$AD$5,0))*gigwatt_to_megawatt</f>
        <v>593.94899999999996</v>
      </c>
      <c r="V87">
        <f>INDEX(AEO26_Table_22._Commercial!$E$6:$AD$81,MATCH($A87,AEO26_Table_22._Commercial!$B$6:$B$81,0),MATCH(V$82,AEO26_Table_22._Commercial!$E$5:$AD$5,0))*gigwatt_to_megawatt</f>
        <v>594.14400000000001</v>
      </c>
      <c r="W87">
        <f>INDEX(AEO26_Table_22._Commercial!$E$6:$AD$81,MATCH($A87,AEO26_Table_22._Commercial!$B$6:$B$81,0),MATCH(W$82,AEO26_Table_22._Commercial!$E$5:$AD$5,0))*gigwatt_to_megawatt</f>
        <v>594.97299999999996</v>
      </c>
      <c r="X87">
        <f>INDEX(AEO26_Table_22._Commercial!$E$6:$AD$81,MATCH($A87,AEO26_Table_22._Commercial!$B$6:$B$81,0),MATCH(X$82,AEO26_Table_22._Commercial!$E$5:$AD$5,0))*gigwatt_to_megawatt</f>
        <v>595.30099999999993</v>
      </c>
      <c r="Y87">
        <f>INDEX(AEO26_Table_22._Commercial!$E$6:$AD$81,MATCH($A87,AEO26_Table_22._Commercial!$B$6:$B$81,0),MATCH(Y$82,AEO26_Table_22._Commercial!$E$5:$AD$5,0))*gigwatt_to_megawatt</f>
        <v>595.58399999999995</v>
      </c>
      <c r="Z87">
        <f>INDEX(AEO26_Table_22._Commercial!$E$6:$AD$81,MATCH($A87,AEO26_Table_22._Commercial!$B$6:$B$81,0),MATCH(Z$82,AEO26_Table_22._Commercial!$E$5:$AD$5,0))*gigwatt_to_megawatt</f>
        <v>595.73400000000004</v>
      </c>
      <c r="AA87">
        <f>INDEX(AEO26_Table_22._Commercial!$E$6:$AD$81,MATCH($A87,AEO26_Table_22._Commercial!$B$6:$B$81,0),MATCH(AA$82,AEO26_Table_22._Commercial!$E$5:$AD$5,0))*gigwatt_to_megawatt</f>
        <v>595.96199999999999</v>
      </c>
      <c r="AB87">
        <f>INDEX(AEO26_Table_22._Commercial!$E$6:$AD$81,MATCH($A87,AEO26_Table_22._Commercial!$B$6:$B$81,0),MATCH(AB$82,AEO26_Table_22._Commercial!$E$5:$AD$5,0))*gigwatt_to_megawatt</f>
        <v>596.55700000000002</v>
      </c>
      <c r="AC87">
        <f>INDEX(AEO26_Table_22._Commercial!$E$6:$AD$81,MATCH($A87,AEO26_Table_22._Commercial!$B$6:$B$81,0),MATCH(AC$82,AEO26_Table_22._Commercial!$E$5:$AD$5,0))*gigwatt_to_megawatt</f>
        <v>596.93600000000004</v>
      </c>
      <c r="AD87">
        <f>INDEX(AEO26_Table_22._Commercial!$E$6:$AD$81,MATCH($A87,AEO26_Table_22._Commercial!$B$6:$B$81,0),MATCH(AD$82,AEO26_Table_22._Commercial!$E$5:$AD$5,0))*gigwatt_to_megawatt</f>
        <v>597.101</v>
      </c>
      <c r="AE87">
        <f>INDEX(AEO26_Table_22._Commercial!$E$6:$AD$81,MATCH($A87,AEO26_Table_22._Commercial!$B$6:$B$81,0),MATCH(AE$82,AEO26_Table_22._Commercial!$E$5:$AD$5,0))*gigwatt_to_megawatt</f>
        <v>597.29600000000005</v>
      </c>
    </row>
    <row r="88" spans="1:31" x14ac:dyDescent="0.25">
      <c r="A88" t="s">
        <v>1052</v>
      </c>
      <c r="B88" t="s">
        <v>745</v>
      </c>
      <c r="C88" t="s">
        <v>10</v>
      </c>
      <c r="D88">
        <f>AEO23_table_22._Comm!G61*gigwatt_to_megawatt</f>
        <v>26815.535</v>
      </c>
      <c r="E88">
        <f>INDEX(AEO25_Table_22._Commercial!$F$59:$AG$71,MATCH($B88,AEO25_Table_22._Commercial!$B$59:$B$71,0),MATCH(E$82,AEO25_Table_22._Commercial!$F$5:$AG$5,0))*gigwatt_to_megawatt</f>
        <v>29403.9</v>
      </c>
      <c r="F88">
        <f>INDEX(AEO26_Table_22._Commercial!$E$6:$AD$81,MATCH($A88,AEO26_Table_22._Commercial!$B$6:$B$81,0),MATCH(F$82,AEO26_Table_22._Commercial!$E$5:$AD$5,0))*gigwatt_to_megawatt</f>
        <v>33559.604999999996</v>
      </c>
      <c r="G88">
        <f>INDEX(AEO26_Table_22._Commercial!$E$6:$AD$81,MATCH($A88,AEO26_Table_22._Commercial!$B$6:$B$81,0),MATCH(G$82,AEO26_Table_22._Commercial!$E$5:$AD$5,0))*gigwatt_to_megawatt</f>
        <v>37794.93</v>
      </c>
      <c r="H88">
        <f>INDEX(AEO26_Table_22._Commercial!$E$6:$AD$81,MATCH($A88,AEO26_Table_22._Commercial!$B$6:$B$81,0),MATCH(H$82,AEO26_Table_22._Commercial!$E$5:$AD$5,0))*gigwatt_to_megawatt</f>
        <v>41405.586000000003</v>
      </c>
      <c r="I88">
        <f>INDEX(AEO26_Table_22._Commercial!$E$6:$AD$81,MATCH($A88,AEO26_Table_22._Commercial!$B$6:$B$81,0),MATCH(I$82,AEO26_Table_22._Commercial!$E$5:$AD$5,0))*gigwatt_to_megawatt</f>
        <v>43145.611000000004</v>
      </c>
      <c r="J88">
        <f>INDEX(AEO26_Table_22._Commercial!$E$6:$AD$81,MATCH($A88,AEO26_Table_22._Commercial!$B$6:$B$81,0),MATCH(J$82,AEO26_Table_22._Commercial!$E$5:$AD$5,0))*gigwatt_to_megawatt</f>
        <v>44266.197</v>
      </c>
      <c r="K88">
        <f>INDEX(AEO26_Table_22._Commercial!$E$6:$AD$81,MATCH($A88,AEO26_Table_22._Commercial!$B$6:$B$81,0),MATCH(K$82,AEO26_Table_22._Commercial!$E$5:$AD$5,0))*gigwatt_to_megawatt</f>
        <v>45534.084000000003</v>
      </c>
      <c r="L88">
        <f>INDEX(AEO26_Table_22._Commercial!$E$6:$AD$81,MATCH($A88,AEO26_Table_22._Commercial!$B$6:$B$81,0),MATCH(L$82,AEO26_Table_22._Commercial!$E$5:$AD$5,0))*gigwatt_to_megawatt</f>
        <v>46463.576999999997</v>
      </c>
      <c r="M88">
        <f>INDEX(AEO26_Table_22._Commercial!$E$6:$AD$81,MATCH($A88,AEO26_Table_22._Commercial!$B$6:$B$81,0),MATCH(M$82,AEO26_Table_22._Commercial!$E$5:$AD$5,0))*gigwatt_to_megawatt</f>
        <v>47210.957000000002</v>
      </c>
      <c r="N88">
        <f>INDEX(AEO26_Table_22._Commercial!$E$6:$AD$81,MATCH($A88,AEO26_Table_22._Commercial!$B$6:$B$81,0),MATCH(N$82,AEO26_Table_22._Commercial!$E$5:$AD$5,0))*gigwatt_to_megawatt</f>
        <v>48048.740000000005</v>
      </c>
      <c r="O88">
        <f>INDEX(AEO26_Table_22._Commercial!$E$6:$AD$81,MATCH($A88,AEO26_Table_22._Commercial!$B$6:$B$81,0),MATCH(O$82,AEO26_Table_22._Commercial!$E$5:$AD$5,0))*gigwatt_to_megawatt</f>
        <v>49354.031000000003</v>
      </c>
      <c r="P88">
        <f>INDEX(AEO26_Table_22._Commercial!$E$6:$AD$81,MATCH($A88,AEO26_Table_22._Commercial!$B$6:$B$81,0),MATCH(P$82,AEO26_Table_22._Commercial!$E$5:$AD$5,0))*gigwatt_to_megawatt</f>
        <v>50425.938000000002</v>
      </c>
      <c r="Q88">
        <f>INDEX(AEO26_Table_22._Commercial!$E$6:$AD$81,MATCH($A88,AEO26_Table_22._Commercial!$B$6:$B$81,0),MATCH(Q$82,AEO26_Table_22._Commercial!$E$5:$AD$5,0))*gigwatt_to_megawatt</f>
        <v>51324.492999999995</v>
      </c>
      <c r="R88">
        <f>INDEX(AEO26_Table_22._Commercial!$E$6:$AD$81,MATCH($A88,AEO26_Table_22._Commercial!$B$6:$B$81,0),MATCH(R$82,AEO26_Table_22._Commercial!$E$5:$AD$5,0))*gigwatt_to_megawatt</f>
        <v>52927.57</v>
      </c>
      <c r="S88">
        <f>INDEX(AEO26_Table_22._Commercial!$E$6:$AD$81,MATCH($A88,AEO26_Table_22._Commercial!$B$6:$B$81,0),MATCH(S$82,AEO26_Table_22._Commercial!$E$5:$AD$5,0))*gigwatt_to_megawatt</f>
        <v>54478.226000000002</v>
      </c>
      <c r="T88">
        <f>INDEX(AEO26_Table_22._Commercial!$E$6:$AD$81,MATCH($A88,AEO26_Table_22._Commercial!$B$6:$B$81,0),MATCH(T$82,AEO26_Table_22._Commercial!$E$5:$AD$5,0))*gigwatt_to_megawatt</f>
        <v>56396.023000000001</v>
      </c>
      <c r="U88">
        <f>INDEX(AEO26_Table_22._Commercial!$E$6:$AD$81,MATCH($A88,AEO26_Table_22._Commercial!$B$6:$B$81,0),MATCH(U$82,AEO26_Table_22._Commercial!$E$5:$AD$5,0))*gigwatt_to_megawatt</f>
        <v>58020.966</v>
      </c>
      <c r="V88">
        <f>INDEX(AEO26_Table_22._Commercial!$E$6:$AD$81,MATCH($A88,AEO26_Table_22._Commercial!$B$6:$B$81,0),MATCH(V$82,AEO26_Table_22._Commercial!$E$5:$AD$5,0))*gigwatt_to_megawatt</f>
        <v>58883.471999999994</v>
      </c>
      <c r="W88">
        <f>INDEX(AEO26_Table_22._Commercial!$E$6:$AD$81,MATCH($A88,AEO26_Table_22._Commercial!$B$6:$B$81,0),MATCH(W$82,AEO26_Table_22._Commercial!$E$5:$AD$5,0))*gigwatt_to_megawatt</f>
        <v>60235.283000000003</v>
      </c>
      <c r="X88">
        <f>INDEX(AEO26_Table_22._Commercial!$E$6:$AD$81,MATCH($A88,AEO26_Table_22._Commercial!$B$6:$B$81,0),MATCH(X$82,AEO26_Table_22._Commercial!$E$5:$AD$5,0))*gigwatt_to_megawatt</f>
        <v>60950.233</v>
      </c>
      <c r="Y88">
        <f>INDEX(AEO26_Table_22._Commercial!$E$6:$AD$81,MATCH($A88,AEO26_Table_22._Commercial!$B$6:$B$81,0),MATCH(Y$82,AEO26_Table_22._Commercial!$E$5:$AD$5,0))*gigwatt_to_megawatt</f>
        <v>61766.342000000004</v>
      </c>
      <c r="Z88">
        <f>INDEX(AEO26_Table_22._Commercial!$E$6:$AD$81,MATCH($A88,AEO26_Table_22._Commercial!$B$6:$B$81,0),MATCH(Z$82,AEO26_Table_22._Commercial!$E$5:$AD$5,0))*gigwatt_to_megawatt</f>
        <v>62420.555</v>
      </c>
      <c r="AA88">
        <f>INDEX(AEO26_Table_22._Commercial!$E$6:$AD$81,MATCH($A88,AEO26_Table_22._Commercial!$B$6:$B$81,0),MATCH(AA$82,AEO26_Table_22._Commercial!$E$5:$AD$5,0))*gigwatt_to_megawatt</f>
        <v>63444.836000000003</v>
      </c>
      <c r="AB88">
        <f>INDEX(AEO26_Table_22._Commercial!$E$6:$AD$81,MATCH($A88,AEO26_Table_22._Commercial!$B$6:$B$81,0),MATCH(AB$82,AEO26_Table_22._Commercial!$E$5:$AD$5,0))*gigwatt_to_megawatt</f>
        <v>64722.854999999996</v>
      </c>
      <c r="AC88">
        <f>INDEX(AEO26_Table_22._Commercial!$E$6:$AD$81,MATCH($A88,AEO26_Table_22._Commercial!$B$6:$B$81,0),MATCH(AC$82,AEO26_Table_22._Commercial!$E$5:$AD$5,0))*gigwatt_to_megawatt</f>
        <v>66026.054000000004</v>
      </c>
      <c r="AD88">
        <f>INDEX(AEO26_Table_22._Commercial!$E$6:$AD$81,MATCH($A88,AEO26_Table_22._Commercial!$B$6:$B$81,0),MATCH(AD$82,AEO26_Table_22._Commercial!$E$5:$AD$5,0))*gigwatt_to_megawatt</f>
        <v>66979.820000000007</v>
      </c>
      <c r="AE88">
        <f>INDEX(AEO26_Table_22._Commercial!$E$6:$AD$81,MATCH($A88,AEO26_Table_22._Commercial!$B$6:$B$81,0),MATCH(AE$82,AEO26_Table_22._Commercial!$E$5:$AD$5,0))*gigwatt_to_megawatt</f>
        <v>68250.770999999993</v>
      </c>
    </row>
    <row r="89" spans="1:31" x14ac:dyDescent="0.25">
      <c r="C89" t="s">
        <v>11</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x14ac:dyDescent="0.25">
      <c r="C90" t="s">
        <v>12</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x14ac:dyDescent="0.25">
      <c r="C91" t="s">
        <v>13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x14ac:dyDescent="0.25">
      <c r="A92" t="s">
        <v>1048</v>
      </c>
      <c r="B92" t="s">
        <v>749</v>
      </c>
      <c r="C92" t="s">
        <v>14</v>
      </c>
      <c r="D92">
        <f>AEO23_table_22._Comm!G59*gigwatt_to_megawatt</f>
        <v>13.979999999999999</v>
      </c>
      <c r="E92">
        <f>INDEX(AEO25_Table_22._Commercial!$F$59:$AG$71,MATCH($B92,AEO25_Table_22._Commercial!$B$59:$B$71,0),MATCH(E$82,AEO25_Table_22._Commercial!$F$5:$AG$5,0))*gigwatt_to_megawatt</f>
        <v>20.507000000000001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c r="AE92">
        <f>INDEX(AEO26_Table_22._Commercial!$E$6:$AD$81,MATCH($A92,AEO26_Table_22._Commercial!$B$6:$B$81,0),MATCH(AE$82,AEO26_Table_22._Commercial!$E$5:$AD$5,0))*gigwatt_to_megawatt</f>
        <v>14.146000000000001</v>
      </c>
    </row>
    <row r="93" spans="1:31" x14ac:dyDescent="0.25">
      <c r="C93" t="s">
        <v>15</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x14ac:dyDescent="0.25">
      <c r="C94" t="s">
        <v>57</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x14ac:dyDescent="0.25">
      <c r="C95" t="s">
        <v>60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1:31" x14ac:dyDescent="0.25">
      <c r="C96" t="s">
        <v>158</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x14ac:dyDescent="0.25">
      <c r="C97" t="s">
        <v>159</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x14ac:dyDescent="0.25">
      <c r="C98" t="s">
        <v>160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1:31" x14ac:dyDescent="0.25">
      <c r="B100" s="15" t="s">
        <v>174</v>
      </c>
    </row>
    <row r="101" spans="1:31" x14ac:dyDescent="0.25">
      <c r="B101" s="1" t="s">
        <v>167</v>
      </c>
      <c r="C101" s="1" t="s">
        <v>162</v>
      </c>
    </row>
    <row r="102" spans="1:31" s="1" customFormat="1" x14ac:dyDescent="0.25">
      <c r="D102" s="1">
        <v>2023</v>
      </c>
      <c r="E102" s="1">
        <v>2024</v>
      </c>
      <c r="F102" s="1">
        <v>2025</v>
      </c>
      <c r="G102" s="1">
        <v>2026</v>
      </c>
      <c r="H102" s="1">
        <v>2027</v>
      </c>
      <c r="I102" s="1">
        <v>2028</v>
      </c>
      <c r="J102" s="1">
        <v>2029</v>
      </c>
      <c r="K102" s="1">
        <v>2030</v>
      </c>
      <c r="L102" s="1">
        <v>2031</v>
      </c>
      <c r="M102" s="1">
        <v>2032</v>
      </c>
      <c r="N102" s="1">
        <v>2033</v>
      </c>
      <c r="O102" s="1">
        <v>2034</v>
      </c>
      <c r="P102" s="1">
        <v>2035</v>
      </c>
      <c r="Q102" s="1">
        <v>2036</v>
      </c>
      <c r="R102" s="1">
        <v>2037</v>
      </c>
      <c r="S102" s="1">
        <v>2038</v>
      </c>
      <c r="T102" s="1">
        <v>2039</v>
      </c>
      <c r="U102" s="1">
        <v>2040</v>
      </c>
      <c r="V102" s="1">
        <v>2041</v>
      </c>
      <c r="W102" s="1">
        <v>2042</v>
      </c>
      <c r="X102" s="1">
        <v>2043</v>
      </c>
      <c r="Y102" s="1">
        <v>2044</v>
      </c>
      <c r="Z102" s="1">
        <v>2045</v>
      </c>
      <c r="AA102" s="1">
        <v>2046</v>
      </c>
      <c r="AB102" s="1">
        <v>2047</v>
      </c>
      <c r="AC102" s="1">
        <v>2048</v>
      </c>
      <c r="AD102" s="1">
        <v>2049</v>
      </c>
      <c r="AE102" s="1">
        <v>2050</v>
      </c>
    </row>
    <row r="103" spans="1:31" x14ac:dyDescent="0.25">
      <c r="C103" t="s">
        <v>58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x14ac:dyDescent="0.25">
      <c r="A104" t="s">
        <v>1062</v>
      </c>
      <c r="B104" t="s">
        <v>735</v>
      </c>
      <c r="C104" t="s">
        <v>7</v>
      </c>
      <c r="D104">
        <f>AEO23_table_22._Comm!G67*billion_kw_to_MW</f>
        <v>9723283</v>
      </c>
      <c r="E104">
        <f>INDEX(AEO25_Table_22._Commercial!$F$59:$AG$71,MATCH($B104,AEO25_Table_22._Commercial!$B$59:$B$71,0),MATCH(E$82,AEO25_Table_22._Commercial!$F$5:$AG$5,0))*billion_kw_to_MW</f>
        <v>8774793</v>
      </c>
      <c r="F104">
        <f>INDEX(AEO26_Table_22._Commercial!$E$6:$AD$81,MATCH($A104,AEO26_Table_22._Commercial!$B$6:$B$81,0),MATCH(F$82,AEO26_Table_22._Commercial!$E$5:$AD$5,0))*billion_kw_to_MW</f>
        <v>8993502</v>
      </c>
      <c r="G104">
        <f>INDEX(AEO26_Table_22._Commercial!$E$6:$AD$81,MATCH($A104,AEO26_Table_22._Commercial!$B$6:$B$81,0),MATCH(G$82,AEO26_Table_22._Commercial!$E$5:$AD$5,0))*billion_kw_to_MW</f>
        <v>9177331</v>
      </c>
      <c r="H104">
        <f>INDEX(AEO26_Table_22._Commercial!$E$6:$AD$81,MATCH($A104,AEO26_Table_22._Commercial!$B$6:$B$81,0),MATCH(H$82,AEO26_Table_22._Commercial!$E$5:$AD$5,0))*billion_kw_to_MW</f>
        <v>9287245</v>
      </c>
      <c r="I104">
        <f>INDEX(AEO26_Table_22._Commercial!$E$6:$AD$81,MATCH($A104,AEO26_Table_22._Commercial!$B$6:$B$81,0),MATCH(I$82,AEO26_Table_22._Commercial!$E$5:$AD$5,0))*billion_kw_to_MW</f>
        <v>9394723</v>
      </c>
      <c r="J104">
        <f>INDEX(AEO26_Table_22._Commercial!$E$6:$AD$81,MATCH($A104,AEO26_Table_22._Commercial!$B$6:$B$81,0),MATCH(J$82,AEO26_Table_22._Commercial!$E$5:$AD$5,0))*billion_kw_to_MW</f>
        <v>9505925</v>
      </c>
      <c r="K104">
        <f>INDEX(AEO26_Table_22._Commercial!$E$6:$AD$81,MATCH($A104,AEO26_Table_22._Commercial!$B$6:$B$81,0),MATCH(K$82,AEO26_Table_22._Commercial!$E$5:$AD$5,0))*billion_kw_to_MW</f>
        <v>9624269</v>
      </c>
      <c r="L104">
        <f>INDEX(AEO26_Table_22._Commercial!$E$6:$AD$81,MATCH($A104,AEO26_Table_22._Commercial!$B$6:$B$81,0),MATCH(L$82,AEO26_Table_22._Commercial!$E$5:$AD$5,0))*billion_kw_to_MW</f>
        <v>9741152</v>
      </c>
      <c r="M104">
        <f>INDEX(AEO26_Table_22._Commercial!$E$6:$AD$81,MATCH($A104,AEO26_Table_22._Commercial!$B$6:$B$81,0),MATCH(M$82,AEO26_Table_22._Commercial!$E$5:$AD$5,0))*billion_kw_to_MW</f>
        <v>9864296</v>
      </c>
      <c r="N104">
        <f>INDEX(AEO26_Table_22._Commercial!$E$6:$AD$81,MATCH($A104,AEO26_Table_22._Commercial!$B$6:$B$81,0),MATCH(N$82,AEO26_Table_22._Commercial!$E$5:$AD$5,0))*billion_kw_to_MW</f>
        <v>9991460</v>
      </c>
      <c r="O104">
        <f>INDEX(AEO26_Table_22._Commercial!$E$6:$AD$81,MATCH($A104,AEO26_Table_22._Commercial!$B$6:$B$81,0),MATCH(O$82,AEO26_Table_22._Commercial!$E$5:$AD$5,0))*billion_kw_to_MW</f>
        <v>10130486</v>
      </c>
      <c r="P104">
        <f>INDEX(AEO26_Table_22._Commercial!$E$6:$AD$81,MATCH($A104,AEO26_Table_22._Commercial!$B$6:$B$81,0),MATCH(P$82,AEO26_Table_22._Commercial!$E$5:$AD$5,0))*billion_kw_to_MW</f>
        <v>10261999</v>
      </c>
      <c r="Q104">
        <f>INDEX(AEO26_Table_22._Commercial!$E$6:$AD$81,MATCH($A104,AEO26_Table_22._Commercial!$B$6:$B$81,0),MATCH(Q$82,AEO26_Table_22._Commercial!$E$5:$AD$5,0))*billion_kw_to_MW</f>
        <v>10398590</v>
      </c>
      <c r="R104">
        <f>INDEX(AEO26_Table_22._Commercial!$E$6:$AD$81,MATCH($A104,AEO26_Table_22._Commercial!$B$6:$B$81,0),MATCH(R$82,AEO26_Table_22._Commercial!$E$5:$AD$5,0))*billion_kw_to_MW</f>
        <v>10547682</v>
      </c>
      <c r="S104">
        <f>INDEX(AEO26_Table_22._Commercial!$E$6:$AD$81,MATCH($A104,AEO26_Table_22._Commercial!$B$6:$B$81,0),MATCH(S$82,AEO26_Table_22._Commercial!$E$5:$AD$5,0))*billion_kw_to_MW</f>
        <v>10688287</v>
      </c>
      <c r="T104">
        <f>INDEX(AEO26_Table_22._Commercial!$E$6:$AD$81,MATCH($A104,AEO26_Table_22._Commercial!$B$6:$B$81,0),MATCH(T$82,AEO26_Table_22._Commercial!$E$5:$AD$5,0))*billion_kw_to_MW</f>
        <v>10824841</v>
      </c>
      <c r="U104">
        <f>INDEX(AEO26_Table_22._Commercial!$E$6:$AD$81,MATCH($A104,AEO26_Table_22._Commercial!$B$6:$B$81,0),MATCH(U$82,AEO26_Table_22._Commercial!$E$5:$AD$5,0))*billion_kw_to_MW</f>
        <v>10956556</v>
      </c>
      <c r="V104">
        <f>INDEX(AEO26_Table_22._Commercial!$E$6:$AD$81,MATCH($A104,AEO26_Table_22._Commercial!$B$6:$B$81,0),MATCH(V$82,AEO26_Table_22._Commercial!$E$5:$AD$5,0))*billion_kw_to_MW</f>
        <v>11079158</v>
      </c>
      <c r="W104">
        <f>INDEX(AEO26_Table_22._Commercial!$E$6:$AD$81,MATCH($A104,AEO26_Table_22._Commercial!$B$6:$B$81,0),MATCH(W$82,AEO26_Table_22._Commercial!$E$5:$AD$5,0))*billion_kw_to_MW</f>
        <v>11212235</v>
      </c>
      <c r="X104">
        <f>INDEX(AEO26_Table_22._Commercial!$E$6:$AD$81,MATCH($A104,AEO26_Table_22._Commercial!$B$6:$B$81,0),MATCH(X$82,AEO26_Table_22._Commercial!$E$5:$AD$5,0))*billion_kw_to_MW</f>
        <v>11333235</v>
      </c>
      <c r="Y104">
        <f>INDEX(AEO26_Table_22._Commercial!$E$6:$AD$81,MATCH($A104,AEO26_Table_22._Commercial!$B$6:$B$81,0),MATCH(Y$82,AEO26_Table_22._Commercial!$E$5:$AD$5,0))*billion_kw_to_MW</f>
        <v>11453098</v>
      </c>
      <c r="Z104">
        <f>INDEX(AEO26_Table_22._Commercial!$E$6:$AD$81,MATCH($A104,AEO26_Table_22._Commercial!$B$6:$B$81,0),MATCH(Z$82,AEO26_Table_22._Commercial!$E$5:$AD$5,0))*billion_kw_to_MW</f>
        <v>11567205</v>
      </c>
      <c r="AA104">
        <f>INDEX(AEO26_Table_22._Commercial!$E$6:$AD$81,MATCH($A104,AEO26_Table_22._Commercial!$B$6:$B$81,0),MATCH(AA$82,AEO26_Table_22._Commercial!$E$5:$AD$5,0))*billion_kw_to_MW</f>
        <v>11683376</v>
      </c>
      <c r="AB104">
        <f>INDEX(AEO26_Table_22._Commercial!$E$6:$AD$81,MATCH($A104,AEO26_Table_22._Commercial!$B$6:$B$81,0),MATCH(AB$82,AEO26_Table_22._Commercial!$E$5:$AD$5,0))*billion_kw_to_MW</f>
        <v>11805312</v>
      </c>
      <c r="AC104">
        <f>INDEX(AEO26_Table_22._Commercial!$E$6:$AD$81,MATCH($A104,AEO26_Table_22._Commercial!$B$6:$B$81,0),MATCH(AC$82,AEO26_Table_22._Commercial!$E$5:$AD$5,0))*billion_kw_to_MW</f>
        <v>11925485</v>
      </c>
      <c r="AD104">
        <f>INDEX(AEO26_Table_22._Commercial!$E$6:$AD$81,MATCH($A104,AEO26_Table_22._Commercial!$B$6:$B$81,0),MATCH(AD$82,AEO26_Table_22._Commercial!$E$5:$AD$5,0))*billion_kw_to_MW</f>
        <v>12039975</v>
      </c>
      <c r="AE104">
        <f>INDEX(AEO26_Table_22._Commercial!$E$6:$AD$81,MATCH($A104,AEO26_Table_22._Commercial!$B$6:$B$81,0),MATCH(AE$82,AEO26_Table_22._Commercial!$E$5:$AD$5,0))*billion_kw_to_MW</f>
        <v>12159719</v>
      </c>
    </row>
    <row r="105" spans="1:31" x14ac:dyDescent="0.25">
      <c r="C105" t="s">
        <v>8</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x14ac:dyDescent="0.25">
      <c r="C106" t="s">
        <v>9</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x14ac:dyDescent="0.25">
      <c r="A107" t="s">
        <v>1065</v>
      </c>
      <c r="B107" t="s">
        <v>732</v>
      </c>
      <c r="C107" t="s">
        <v>59</v>
      </c>
      <c r="D107">
        <f>AEO23_table_22._Comm!G69*billion_kw_to_MW</f>
        <v>763439</v>
      </c>
      <c r="E107">
        <f>INDEX(AEO25_Table_22._Commercial!$F$59:$AG$71,MATCH($B107,AEO25_Table_22._Commercial!$B$59:$B$71,0),MATCH(E$82,AEO25_Table_22._Commercial!$F$5:$AG$5,0))*billion_kw_to_MW</f>
        <v>741164</v>
      </c>
      <c r="F107">
        <f>INDEX(AEO26_Table_22._Commercial!$E$6:$AD$81,MATCH($A107,AEO26_Table_22._Commercial!$B$6:$B$81,0),MATCH(F$82,AEO26_Table_22._Commercial!$E$5:$AD$5,0))*billion_kw_to_MW</f>
        <v>739818</v>
      </c>
      <c r="G107">
        <f>INDEX(AEO26_Table_22._Commercial!$E$6:$AD$81,MATCH($A107,AEO26_Table_22._Commercial!$B$6:$B$81,0),MATCH(G$82,AEO26_Table_22._Commercial!$E$5:$AD$5,0))*billion_kw_to_MW</f>
        <v>740753</v>
      </c>
      <c r="H107">
        <f>INDEX(AEO26_Table_22._Commercial!$E$6:$AD$81,MATCH($A107,AEO26_Table_22._Commercial!$B$6:$B$81,0),MATCH(H$82,AEO26_Table_22._Commercial!$E$5:$AD$5,0))*billion_kw_to_MW</f>
        <v>742265</v>
      </c>
      <c r="I107">
        <f>INDEX(AEO26_Table_22._Commercial!$E$6:$AD$81,MATCH($A107,AEO26_Table_22._Commercial!$B$6:$B$81,0),MATCH(I$82,AEO26_Table_22._Commercial!$E$5:$AD$5,0))*billion_kw_to_MW</f>
        <v>742448</v>
      </c>
      <c r="J107">
        <f>INDEX(AEO26_Table_22._Commercial!$E$6:$AD$81,MATCH($A107,AEO26_Table_22._Commercial!$B$6:$B$81,0),MATCH(J$82,AEO26_Table_22._Commercial!$E$5:$AD$5,0))*billion_kw_to_MW</f>
        <v>743225</v>
      </c>
      <c r="K107">
        <f>INDEX(AEO26_Table_22._Commercial!$E$6:$AD$81,MATCH($A107,AEO26_Table_22._Commercial!$B$6:$B$81,0),MATCH(K$82,AEO26_Table_22._Commercial!$E$5:$AD$5,0))*billion_kw_to_MW</f>
        <v>744539</v>
      </c>
      <c r="L107">
        <f>INDEX(AEO26_Table_22._Commercial!$E$6:$AD$81,MATCH($A107,AEO26_Table_22._Commercial!$B$6:$B$81,0),MATCH(L$82,AEO26_Table_22._Commercial!$E$5:$AD$5,0))*billion_kw_to_MW</f>
        <v>745092</v>
      </c>
      <c r="M107">
        <f>INDEX(AEO26_Table_22._Commercial!$E$6:$AD$81,MATCH($A107,AEO26_Table_22._Commercial!$B$6:$B$81,0),MATCH(M$82,AEO26_Table_22._Commercial!$E$5:$AD$5,0))*billion_kw_to_MW</f>
        <v>746012</v>
      </c>
      <c r="N107">
        <f>INDEX(AEO26_Table_22._Commercial!$E$6:$AD$81,MATCH($A107,AEO26_Table_22._Commercial!$B$6:$B$81,0),MATCH(N$82,AEO26_Table_22._Commercial!$E$5:$AD$5,0))*billion_kw_to_MW</f>
        <v>747087</v>
      </c>
      <c r="O107">
        <f>INDEX(AEO26_Table_22._Commercial!$E$6:$AD$81,MATCH($A107,AEO26_Table_22._Commercial!$B$6:$B$81,0),MATCH(O$82,AEO26_Table_22._Commercial!$E$5:$AD$5,0))*billion_kw_to_MW</f>
        <v>747818</v>
      </c>
      <c r="P107">
        <f>INDEX(AEO26_Table_22._Commercial!$E$6:$AD$81,MATCH($A107,AEO26_Table_22._Commercial!$B$6:$B$81,0),MATCH(P$82,AEO26_Table_22._Commercial!$E$5:$AD$5,0))*billion_kw_to_MW</f>
        <v>748208</v>
      </c>
      <c r="Q107">
        <f>INDEX(AEO26_Table_22._Commercial!$E$6:$AD$81,MATCH($A107,AEO26_Table_22._Commercial!$B$6:$B$81,0),MATCH(Q$82,AEO26_Table_22._Commercial!$E$5:$AD$5,0))*billion_kw_to_MW</f>
        <v>748428</v>
      </c>
      <c r="R107">
        <f>INDEX(AEO26_Table_22._Commercial!$E$6:$AD$81,MATCH($A107,AEO26_Table_22._Commercial!$B$6:$B$81,0),MATCH(R$82,AEO26_Table_22._Commercial!$E$5:$AD$5,0))*billion_kw_to_MW</f>
        <v>748864</v>
      </c>
      <c r="S107">
        <f>INDEX(AEO26_Table_22._Commercial!$E$6:$AD$81,MATCH($A107,AEO26_Table_22._Commercial!$B$6:$B$81,0),MATCH(S$82,AEO26_Table_22._Commercial!$E$5:$AD$5,0))*billion_kw_to_MW</f>
        <v>749274</v>
      </c>
      <c r="T107">
        <f>INDEX(AEO26_Table_22._Commercial!$E$6:$AD$81,MATCH($A107,AEO26_Table_22._Commercial!$B$6:$B$81,0),MATCH(T$82,AEO26_Table_22._Commercial!$E$5:$AD$5,0))*billion_kw_to_MW</f>
        <v>749827</v>
      </c>
      <c r="U107">
        <f>INDEX(AEO26_Table_22._Commercial!$E$6:$AD$81,MATCH($A107,AEO26_Table_22._Commercial!$B$6:$B$81,0),MATCH(U$82,AEO26_Table_22._Commercial!$E$5:$AD$5,0))*billion_kw_to_MW</f>
        <v>750408</v>
      </c>
      <c r="V107">
        <f>INDEX(AEO26_Table_22._Commercial!$E$6:$AD$81,MATCH($A107,AEO26_Table_22._Commercial!$B$6:$B$81,0),MATCH(V$82,AEO26_Table_22._Commercial!$E$5:$AD$5,0))*billion_kw_to_MW</f>
        <v>750619</v>
      </c>
      <c r="W107">
        <f>INDEX(AEO26_Table_22._Commercial!$E$6:$AD$81,MATCH($A107,AEO26_Table_22._Commercial!$B$6:$B$81,0),MATCH(W$82,AEO26_Table_22._Commercial!$E$5:$AD$5,0))*billion_kw_to_MW</f>
        <v>751747</v>
      </c>
      <c r="X107">
        <f>INDEX(AEO26_Table_22._Commercial!$E$6:$AD$81,MATCH($A107,AEO26_Table_22._Commercial!$B$6:$B$81,0),MATCH(X$82,AEO26_Table_22._Commercial!$E$5:$AD$5,0))*billion_kw_to_MW</f>
        <v>752186</v>
      </c>
      <c r="Y107">
        <f>INDEX(AEO26_Table_22._Commercial!$E$6:$AD$81,MATCH($A107,AEO26_Table_22._Commercial!$B$6:$B$81,0),MATCH(Y$82,AEO26_Table_22._Commercial!$E$5:$AD$5,0))*billion_kw_to_MW</f>
        <v>752576</v>
      </c>
      <c r="Z107">
        <f>INDEX(AEO26_Table_22._Commercial!$E$6:$AD$81,MATCH($A107,AEO26_Table_22._Commercial!$B$6:$B$81,0),MATCH(Z$82,AEO26_Table_22._Commercial!$E$5:$AD$5,0))*billion_kw_to_MW</f>
        <v>752746</v>
      </c>
      <c r="AA107">
        <f>INDEX(AEO26_Table_22._Commercial!$E$6:$AD$81,MATCH($A107,AEO26_Table_22._Commercial!$B$6:$B$81,0),MATCH(AA$82,AEO26_Table_22._Commercial!$E$5:$AD$5,0))*billion_kw_to_MW</f>
        <v>753008</v>
      </c>
      <c r="AB107">
        <f>INDEX(AEO26_Table_22._Commercial!$E$6:$AD$81,MATCH($A107,AEO26_Table_22._Commercial!$B$6:$B$81,0),MATCH(AB$82,AEO26_Table_22._Commercial!$E$5:$AD$5,0))*billion_kw_to_MW</f>
        <v>753725</v>
      </c>
      <c r="AC107">
        <f>INDEX(AEO26_Table_22._Commercial!$E$6:$AD$81,MATCH($A107,AEO26_Table_22._Commercial!$B$6:$B$81,0),MATCH(AC$82,AEO26_Table_22._Commercial!$E$5:$AD$5,0))*billion_kw_to_MW</f>
        <v>754198</v>
      </c>
      <c r="AD107">
        <f>INDEX(AEO26_Table_22._Commercial!$E$6:$AD$81,MATCH($A107,AEO26_Table_22._Commercial!$B$6:$B$81,0),MATCH(AD$82,AEO26_Table_22._Commercial!$E$5:$AD$5,0))*billion_kw_to_MW</f>
        <v>754389</v>
      </c>
      <c r="AE107">
        <f>INDEX(AEO26_Table_22._Commercial!$E$6:$AD$81,MATCH($A107,AEO26_Table_22._Commercial!$B$6:$B$81,0),MATCH(AE$82,AEO26_Table_22._Commercial!$E$5:$AD$5,0))*billion_kw_to_MW</f>
        <v>754605</v>
      </c>
    </row>
    <row r="108" spans="1:31" x14ac:dyDescent="0.25">
      <c r="A108" t="s">
        <v>1064</v>
      </c>
      <c r="B108" t="s">
        <v>733</v>
      </c>
      <c r="C108" t="s">
        <v>10</v>
      </c>
      <c r="D108">
        <f>AEO23_table_22._Comm!G68*billion_kw_to_MW</f>
        <v>37878464</v>
      </c>
      <c r="E108">
        <f>INDEX(AEO25_Table_22._Commercial!$F$59:$AG$71,MATCH($B108,AEO25_Table_22._Commercial!$B$59:$B$71,0),MATCH(E$82,AEO25_Table_22._Commercial!$F$5:$AG$5,0))*billion_kw_to_MW</f>
        <v>40940166</v>
      </c>
      <c r="F108">
        <f>INDEX(AEO26_Table_22._Commercial!$E$6:$AD$81,MATCH($A108,AEO26_Table_22._Commercial!$B$6:$B$81,0),MATCH(F$82,AEO26_Table_22._Commercial!$E$5:$AD$5,0))*billion_kw_to_MW</f>
        <v>46182064</v>
      </c>
      <c r="G108">
        <f>INDEX(AEO26_Table_22._Commercial!$E$6:$AD$81,MATCH($A108,AEO26_Table_22._Commercial!$B$6:$B$81,0),MATCH(G$82,AEO26_Table_22._Commercial!$E$5:$AD$5,0))*billion_kw_to_MW</f>
        <v>51740406</v>
      </c>
      <c r="H108">
        <f>INDEX(AEO26_Table_22._Commercial!$E$6:$AD$81,MATCH($A108,AEO26_Table_22._Commercial!$B$6:$B$81,0),MATCH(H$82,AEO26_Table_22._Commercial!$E$5:$AD$5,0))*billion_kw_to_MW</f>
        <v>56461273</v>
      </c>
      <c r="I108">
        <f>INDEX(AEO26_Table_22._Commercial!$E$6:$AD$81,MATCH($A108,AEO26_Table_22._Commercial!$B$6:$B$81,0),MATCH(I$82,AEO26_Table_22._Commercial!$E$5:$AD$5,0))*billion_kw_to_MW</f>
        <v>58730679</v>
      </c>
      <c r="J108">
        <f>INDEX(AEO26_Table_22._Commercial!$E$6:$AD$81,MATCH($A108,AEO26_Table_22._Commercial!$B$6:$B$81,0),MATCH(J$82,AEO26_Table_22._Commercial!$E$5:$AD$5,0))*billion_kw_to_MW</f>
        <v>60101696</v>
      </c>
      <c r="K108">
        <f>INDEX(AEO26_Table_22._Commercial!$E$6:$AD$81,MATCH($A108,AEO26_Table_22._Commercial!$B$6:$B$81,0),MATCH(K$82,AEO26_Table_22._Commercial!$E$5:$AD$5,0))*billion_kw_to_MW</f>
        <v>61663147</v>
      </c>
      <c r="L108">
        <f>INDEX(AEO26_Table_22._Commercial!$E$6:$AD$81,MATCH($A108,AEO26_Table_22._Commercial!$B$6:$B$81,0),MATCH(L$82,AEO26_Table_22._Commercial!$E$5:$AD$5,0))*billion_kw_to_MW</f>
        <v>62868874</v>
      </c>
      <c r="M108">
        <f>INDEX(AEO26_Table_22._Commercial!$E$6:$AD$81,MATCH($A108,AEO26_Table_22._Commercial!$B$6:$B$81,0),MATCH(M$82,AEO26_Table_22._Commercial!$E$5:$AD$5,0))*billion_kw_to_MW</f>
        <v>63818760</v>
      </c>
      <c r="N108">
        <f>INDEX(AEO26_Table_22._Commercial!$E$6:$AD$81,MATCH($A108,AEO26_Table_22._Commercial!$B$6:$B$81,0),MATCH(N$82,AEO26_Table_22._Commercial!$E$5:$AD$5,0))*billion_kw_to_MW</f>
        <v>64888107.000000007</v>
      </c>
      <c r="O108">
        <f>INDEX(AEO26_Table_22._Commercial!$E$6:$AD$81,MATCH($A108,AEO26_Table_22._Commercial!$B$6:$B$81,0),MATCH(O$82,AEO26_Table_22._Commercial!$E$5:$AD$5,0))*billion_kw_to_MW</f>
        <v>66510223</v>
      </c>
      <c r="P108">
        <f>INDEX(AEO26_Table_22._Commercial!$E$6:$AD$81,MATCH($A108,AEO26_Table_22._Commercial!$B$6:$B$81,0),MATCH(P$82,AEO26_Table_22._Commercial!$E$5:$AD$5,0))*billion_kw_to_MW</f>
        <v>67825363</v>
      </c>
      <c r="Q108">
        <f>INDEX(AEO26_Table_22._Commercial!$E$6:$AD$81,MATCH($A108,AEO26_Table_22._Commercial!$B$6:$B$81,0),MATCH(Q$82,AEO26_Table_22._Commercial!$E$5:$AD$5,0))*billion_kw_to_MW</f>
        <v>68932243</v>
      </c>
      <c r="R108">
        <f>INDEX(AEO26_Table_22._Commercial!$E$6:$AD$81,MATCH($A108,AEO26_Table_22._Commercial!$B$6:$B$81,0),MATCH(R$82,AEO26_Table_22._Commercial!$E$5:$AD$5,0))*billion_kw_to_MW</f>
        <v>70873024</v>
      </c>
      <c r="S108">
        <f>INDEX(AEO26_Table_22._Commercial!$E$6:$AD$81,MATCH($A108,AEO26_Table_22._Commercial!$B$6:$B$81,0),MATCH(S$82,AEO26_Table_22._Commercial!$E$5:$AD$5,0))*billion_kw_to_MW</f>
        <v>72769089</v>
      </c>
      <c r="T108">
        <f>INDEX(AEO26_Table_22._Commercial!$E$6:$AD$81,MATCH($A108,AEO26_Table_22._Commercial!$B$6:$B$81,0),MATCH(T$82,AEO26_Table_22._Commercial!$E$5:$AD$5,0))*billion_kw_to_MW</f>
        <v>75070816</v>
      </c>
      <c r="U108">
        <f>INDEX(AEO26_Table_22._Commercial!$E$6:$AD$81,MATCH($A108,AEO26_Table_22._Commercial!$B$6:$B$81,0),MATCH(U$82,AEO26_Table_22._Commercial!$E$5:$AD$5,0))*billion_kw_to_MW</f>
        <v>77056648</v>
      </c>
      <c r="V108">
        <f>INDEX(AEO26_Table_22._Commercial!$E$6:$AD$81,MATCH($A108,AEO26_Table_22._Commercial!$B$6:$B$81,0),MATCH(V$82,AEO26_Table_22._Commercial!$E$5:$AD$5,0))*billion_kw_to_MW</f>
        <v>78127480</v>
      </c>
      <c r="W108">
        <f>INDEX(AEO26_Table_22._Commercial!$E$6:$AD$81,MATCH($A108,AEO26_Table_22._Commercial!$B$6:$B$81,0),MATCH(W$82,AEO26_Table_22._Commercial!$E$5:$AD$5,0))*billion_kw_to_MW</f>
        <v>79720940</v>
      </c>
      <c r="X108">
        <f>INDEX(AEO26_Table_22._Commercial!$E$6:$AD$81,MATCH($A108,AEO26_Table_22._Commercial!$B$6:$B$81,0),MATCH(X$82,AEO26_Table_22._Commercial!$E$5:$AD$5,0))*billion_kw_to_MW</f>
        <v>80581863</v>
      </c>
      <c r="Y108">
        <f>INDEX(AEO26_Table_22._Commercial!$E$6:$AD$81,MATCH($A108,AEO26_Table_22._Commercial!$B$6:$B$81,0),MATCH(Y$82,AEO26_Table_22._Commercial!$E$5:$AD$5,0))*billion_kw_to_MW</f>
        <v>81550713</v>
      </c>
      <c r="Z108">
        <f>INDEX(AEO26_Table_22._Commercial!$E$6:$AD$81,MATCH($A108,AEO26_Table_22._Commercial!$B$6:$B$81,0),MATCH(Z$82,AEO26_Table_22._Commercial!$E$5:$AD$5,0))*billion_kw_to_MW</f>
        <v>82343758</v>
      </c>
      <c r="AA108">
        <f>INDEX(AEO26_Table_22._Commercial!$E$6:$AD$81,MATCH($A108,AEO26_Table_22._Commercial!$B$6:$B$81,0),MATCH(AA$82,AEO26_Table_22._Commercial!$E$5:$AD$5,0))*billion_kw_to_MW</f>
        <v>83578865</v>
      </c>
      <c r="AB108">
        <f>INDEX(AEO26_Table_22._Commercial!$E$6:$AD$81,MATCH($A108,AEO26_Table_22._Commercial!$B$6:$B$81,0),MATCH(AB$82,AEO26_Table_22._Commercial!$E$5:$AD$5,0))*billion_kw_to_MW</f>
        <v>85106026</v>
      </c>
      <c r="AC108">
        <f>INDEX(AEO26_Table_22._Commercial!$E$6:$AD$81,MATCH($A108,AEO26_Table_22._Commercial!$B$6:$B$81,0),MATCH(AC$82,AEO26_Table_22._Commercial!$E$5:$AD$5,0))*billion_kw_to_MW</f>
        <v>86662193</v>
      </c>
      <c r="AD108">
        <f>INDEX(AEO26_Table_22._Commercial!$E$6:$AD$81,MATCH($A108,AEO26_Table_22._Commercial!$B$6:$B$81,0),MATCH(AD$82,AEO26_Table_22._Commercial!$E$5:$AD$5,0))*billion_kw_to_MW</f>
        <v>87841270</v>
      </c>
      <c r="AE108">
        <f>INDEX(AEO26_Table_22._Commercial!$E$6:$AD$81,MATCH($A108,AEO26_Table_22._Commercial!$B$6:$B$81,0),MATCH(AE$82,AEO26_Table_22._Commercial!$E$5:$AD$5,0))*billion_kw_to_MW</f>
        <v>89360298</v>
      </c>
    </row>
    <row r="109" spans="1:31" x14ac:dyDescent="0.25">
      <c r="C109" t="s">
        <v>11</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row>
    <row r="110" spans="1:31" x14ac:dyDescent="0.25">
      <c r="C110" t="s">
        <v>12</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x14ac:dyDescent="0.25">
      <c r="C111" t="s">
        <v>13</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x14ac:dyDescent="0.25">
      <c r="A112" t="s">
        <v>1060</v>
      </c>
      <c r="B112" t="s">
        <v>737</v>
      </c>
      <c r="C112" t="s">
        <v>14</v>
      </c>
      <c r="D112">
        <f>AEO23_table_22._Comm!G66*billion_kw_to_MW</f>
        <v>97511</v>
      </c>
      <c r="E112">
        <f>INDEX(AEO25_Table_22._Commercial!$F$59:$AG$71,MATCH($B112,AEO25_Table_22._Commercial!$B$59:$B$71,0),MATCH(E$82,AEO25_Table_22._Commercial!$F$5:$AG$5,0))*billion_kw_to_MW</f>
        <v>81209</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c r="AE112">
        <f>INDEX(AEO26_Table_22._Commercial!$E$6:$AD$81,MATCH($A112,AEO26_Table_22._Commercial!$B$6:$B$81,0),MATCH(AE$82,AEO26_Table_22._Commercial!$E$5:$AD$5,0))*billion_kw_to_MW</f>
        <v>56017</v>
      </c>
    </row>
    <row r="113" spans="1:31" x14ac:dyDescent="0.25">
      <c r="C113" t="s">
        <v>15</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C114" t="s">
        <v>57</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C115" t="s">
        <v>60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C116" t="s">
        <v>158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row>
    <row r="117" spans="1:31" x14ac:dyDescent="0.25">
      <c r="C117" t="s">
        <v>159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C118" t="s">
        <v>160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21" spans="1:31" x14ac:dyDescent="0.25">
      <c r="A121" t="s">
        <v>319</v>
      </c>
      <c r="D121" s="42">
        <f t="shared" ref="D121:AE121" si="0">D10/(D48*8760)</f>
        <v>0.18978028022084625</v>
      </c>
      <c r="E121" s="42">
        <f t="shared" si="0"/>
        <v>0.17326673093016295</v>
      </c>
      <c r="F121" s="42">
        <f t="shared" si="0"/>
        <v>0.16921279594927499</v>
      </c>
      <c r="G121" s="42">
        <f t="shared" si="0"/>
        <v>0.16864100106546795</v>
      </c>
      <c r="H121" s="42">
        <f t="shared" si="0"/>
        <v>0.16807484839961331</v>
      </c>
      <c r="I121" s="42">
        <f t="shared" si="0"/>
        <v>0.16752976044940088</v>
      </c>
      <c r="J121" s="42">
        <f t="shared" si="0"/>
        <v>0.16700989159313004</v>
      </c>
      <c r="K121" s="42">
        <f t="shared" si="0"/>
        <v>0.16650037655370203</v>
      </c>
      <c r="L121" s="42">
        <f t="shared" si="0"/>
        <v>0.16599705031330128</v>
      </c>
      <c r="M121" s="42">
        <f t="shared" si="0"/>
        <v>0.1655265676368915</v>
      </c>
      <c r="N121" s="42">
        <f t="shared" si="0"/>
        <v>0.16505659697963132</v>
      </c>
      <c r="O121" s="42">
        <f t="shared" si="0"/>
        <v>0.16459658358507837</v>
      </c>
      <c r="P121" s="42">
        <f t="shared" si="0"/>
        <v>0.16413293662288453</v>
      </c>
      <c r="Q121" s="42">
        <f t="shared" si="0"/>
        <v>0.16368361050817565</v>
      </c>
      <c r="R121" s="42">
        <f t="shared" si="0"/>
        <v>0.16323032847948452</v>
      </c>
      <c r="S121" s="42">
        <f t="shared" si="0"/>
        <v>0.16279909068742635</v>
      </c>
      <c r="T121" s="42">
        <f t="shared" si="0"/>
        <v>0.16238627795862348</v>
      </c>
      <c r="U121" s="42">
        <f t="shared" si="0"/>
        <v>0.16198905571344072</v>
      </c>
      <c r="V121" s="42">
        <f t="shared" si="0"/>
        <v>0.16159465444947085</v>
      </c>
      <c r="W121" s="42">
        <f t="shared" si="0"/>
        <v>0.16121561867345352</v>
      </c>
      <c r="X121" s="42">
        <f t="shared" si="0"/>
        <v>0.16085784525414243</v>
      </c>
      <c r="Y121" s="42">
        <f t="shared" si="0"/>
        <v>0.16051962884558588</v>
      </c>
      <c r="Z121" s="42">
        <f t="shared" si="0"/>
        <v>0.16018886499320986</v>
      </c>
      <c r="AA121" s="42">
        <f t="shared" si="0"/>
        <v>0.15987050290251684</v>
      </c>
      <c r="AB121" s="42">
        <f t="shared" si="0"/>
        <v>0.15956087665219609</v>
      </c>
      <c r="AC121" s="42">
        <f t="shared" si="0"/>
        <v>0.15925141144924851</v>
      </c>
      <c r="AD121" s="42">
        <f t="shared" si="0"/>
        <v>0.15894650993997106</v>
      </c>
      <c r="AE121" s="42">
        <f t="shared" si="0"/>
        <v>0.15865738737395529</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topLeftCell="A23" workbookViewId="0">
      <selection activeCell="F49" sqref="F49"/>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16384" width="12.5703125" style="34"/>
  </cols>
  <sheetData>
    <row r="1" spans="1:38" ht="14.25" customHeight="1" x14ac:dyDescent="0.25">
      <c r="A1" s="32" t="s">
        <v>302</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2.75" x14ac:dyDescent="0.2">
      <c r="A2" s="35" t="s">
        <v>309</v>
      </c>
    </row>
    <row r="3" spans="1:38" ht="12.75" x14ac:dyDescent="0.2">
      <c r="A3" s="35"/>
    </row>
    <row r="4" spans="1:38" ht="12.75" x14ac:dyDescent="0.2">
      <c r="A4" s="35" t="s">
        <v>310</v>
      </c>
    </row>
    <row r="5" spans="1:38" ht="12.75" x14ac:dyDescent="0.2">
      <c r="A5" s="35" t="s">
        <v>311</v>
      </c>
    </row>
    <row r="6" spans="1:38" ht="12.75" x14ac:dyDescent="0.2">
      <c r="A6" s="35" t="s">
        <v>312</v>
      </c>
    </row>
    <row r="7" spans="1:38" ht="12.75" x14ac:dyDescent="0.2">
      <c r="A7" s="35"/>
    </row>
    <row r="8" spans="1:38" ht="12.75" x14ac:dyDescent="0.2">
      <c r="A8" s="35" t="s">
        <v>313</v>
      </c>
    </row>
    <row r="9" spans="1:38" ht="12.75" x14ac:dyDescent="0.2">
      <c r="A9" s="35" t="s">
        <v>314</v>
      </c>
    </row>
    <row r="10" spans="1:38" ht="12.75" x14ac:dyDescent="0.2">
      <c r="A10" s="35"/>
    </row>
    <row r="11" spans="1:38" ht="12.75" x14ac:dyDescent="0.2">
      <c r="A11" s="35" t="s">
        <v>315</v>
      </c>
    </row>
    <row r="12" spans="1:38" ht="12.75" x14ac:dyDescent="0.2">
      <c r="A12" s="35" t="s">
        <v>316</v>
      </c>
    </row>
    <row r="13" spans="1:38" ht="12.75" x14ac:dyDescent="0.2">
      <c r="A13" s="35"/>
    </row>
    <row r="14" spans="1:38" ht="14.25" customHeight="1" x14ac:dyDescent="0.25">
      <c r="A14" s="32" t="s">
        <v>303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2.75" x14ac:dyDescent="0.2">
      <c r="A15" s="36"/>
      <c r="B15" s="37"/>
    </row>
    <row r="16" spans="1:38" ht="12.75" x14ac:dyDescent="0.2">
      <c r="A16" s="35" t="s">
        <v>304</v>
      </c>
      <c r="B16" s="37"/>
    </row>
    <row r="17" spans="1:31" ht="12.75" x14ac:dyDescent="0.2">
      <c r="A17" s="35" t="s">
        <v>305</v>
      </c>
      <c r="B17" s="37"/>
    </row>
    <row r="18" spans="1:31" ht="12.75" x14ac:dyDescent="0.2">
      <c r="A18" s="35"/>
      <c r="B18" s="37"/>
    </row>
    <row r="19" spans="1:31" ht="12.75" x14ac:dyDescent="0.2">
      <c r="A19" s="35" t="s">
        <v>317</v>
      </c>
      <c r="B19" s="35">
        <v>3.3</v>
      </c>
    </row>
    <row r="20" spans="1:31" ht="12.75" x14ac:dyDescent="0.2">
      <c r="A20" s="35" t="s">
        <v>318</v>
      </c>
      <c r="B20" s="37">
        <v>0.3</v>
      </c>
    </row>
    <row r="21" spans="1:31" ht="12.75" x14ac:dyDescent="0.2">
      <c r="A21" s="35"/>
      <c r="B21" s="37"/>
    </row>
    <row r="22" spans="1:31" ht="12.75" x14ac:dyDescent="0.2">
      <c r="A22" s="35"/>
      <c r="B22" s="37"/>
    </row>
    <row r="23" spans="1:31" ht="25.5" x14ac:dyDescent="0.2">
      <c r="A23" s="40" t="s">
        <v>306</v>
      </c>
      <c r="B23" s="35">
        <v>0</v>
      </c>
    </row>
    <row r="24" spans="1:31" ht="12.75" x14ac:dyDescent="0.2">
      <c r="A24" s="35" t="s">
        <v>307</v>
      </c>
      <c r="B24" s="35">
        <v>0</v>
      </c>
    </row>
    <row r="25" spans="1:31" ht="15" x14ac:dyDescent="0.25">
      <c r="A25" s="39"/>
      <c r="C25" s="38"/>
    </row>
    <row r="26" spans="1:31" s="44" customFormat="1" ht="15" x14ac:dyDescent="0.25">
      <c r="A26" s="43" t="s">
        <v>335</v>
      </c>
    </row>
    <row r="27" spans="1:31" s="44" customFormat="1" ht="15" x14ac:dyDescent="0.25">
      <c r="A27" s="45" t="s">
        <v>335</v>
      </c>
    </row>
    <row r="28" spans="1:31" s="44" customFormat="1" ht="15" x14ac:dyDescent="0.25">
      <c r="A28" s="44" t="s">
        <v>578</v>
      </c>
      <c r="B28" s="44">
        <v>4</v>
      </c>
      <c r="C28" s="44" t="s">
        <v>579</v>
      </c>
    </row>
    <row r="29" spans="1:31" s="44" customFormat="1" ht="15" x14ac:dyDescent="0.25">
      <c r="A29" s="44" t="s">
        <v>336</v>
      </c>
    </row>
    <row r="30" spans="1:31" s="44" customFormat="1" ht="15" x14ac:dyDescent="0.25"/>
    <row r="31" spans="1:31" s="44" customFormat="1" ht="15"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5" x14ac:dyDescent="0.25">
      <c r="A32" s="44" t="s">
        <v>337</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5" x14ac:dyDescent="0.25"/>
    <row r="34" spans="1:31" s="44" customFormat="1" ht="15" x14ac:dyDescent="0.25"/>
    <row r="35" spans="1:31" s="44" customFormat="1" ht="15" x14ac:dyDescent="0.25">
      <c r="A35" s="43" t="s">
        <v>338</v>
      </c>
    </row>
    <row r="36" spans="1:31" s="44" customFormat="1" ht="15" x14ac:dyDescent="0.25"/>
    <row r="37" spans="1:31" s="44" customFormat="1" ht="30" x14ac:dyDescent="0.25">
      <c r="A37" s="45" t="s">
        <v>339</v>
      </c>
      <c r="B37" s="44">
        <v>2.4805304788796994</v>
      </c>
    </row>
    <row r="38" spans="1:31" s="44" customFormat="1" ht="15" x14ac:dyDescent="0.25">
      <c r="A38" s="45" t="s">
        <v>340</v>
      </c>
      <c r="B38" s="44">
        <v>9.9221219155187974</v>
      </c>
    </row>
    <row r="39" spans="1:31" s="44" customFormat="1" ht="15" x14ac:dyDescent="0.25">
      <c r="A39" s="44" t="s">
        <v>341</v>
      </c>
      <c r="B39" s="44">
        <v>7</v>
      </c>
    </row>
    <row r="40" spans="1:31" s="44" customFormat="1" ht="15" x14ac:dyDescent="0.25"/>
    <row r="41" spans="1:31" s="44" customFormat="1" ht="15"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5" x14ac:dyDescent="0.25">
      <c r="A42" s="44" t="s">
        <v>337</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5" x14ac:dyDescent="0.25">
      <c r="A44" s="43" t="s">
        <v>342</v>
      </c>
    </row>
    <row r="45" spans="1:31" s="44" customFormat="1" ht="15" x14ac:dyDescent="0.25"/>
    <row r="46" spans="1:31" s="44" customFormat="1" ht="15" x14ac:dyDescent="0.25">
      <c r="A46" s="44" t="s">
        <v>343</v>
      </c>
      <c r="B46" s="44">
        <v>281</v>
      </c>
    </row>
    <row r="47" spans="1:31" s="44" customFormat="1" ht="15" x14ac:dyDescent="0.25"/>
    <row r="48" spans="1:31" s="44" customFormat="1" ht="15"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5" x14ac:dyDescent="0.25">
      <c r="A49" s="44" t="s">
        <v>337</v>
      </c>
      <c r="B49" s="44">
        <v>0</v>
      </c>
      <c r="C49" s="44">
        <v>0</v>
      </c>
      <c r="D49" s="44">
        <v>0</v>
      </c>
      <c r="E49" s="44">
        <v>0</v>
      </c>
      <c r="F49" s="44">
        <v>40.142857142857146</v>
      </c>
      <c r="G49" s="44">
        <v>40.142857142857146</v>
      </c>
      <c r="H49" s="44">
        <v>40.142857142857146</v>
      </c>
      <c r="I49" s="44">
        <v>40.142857142857146</v>
      </c>
      <c r="J49" s="44">
        <v>40.142857142857146</v>
      </c>
      <c r="K49" s="44">
        <v>40.142857142857146</v>
      </c>
      <c r="L49" s="44">
        <v>40.142857142857146</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324</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U32+U42</f>
        <v>0</v>
      </c>
      <c r="T57" s="41">
        <f t="shared" ref="T57:AC57" si="1">V32+V42</f>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325</v>
      </c>
      <c r="B58" s="41">
        <f>B57</f>
        <v>0</v>
      </c>
      <c r="C58" s="41">
        <f>B58+C57</f>
        <v>0</v>
      </c>
      <c r="D58" s="41">
        <f>C58+D57</f>
        <v>2257.5888450741145</v>
      </c>
      <c r="E58" s="41">
        <f t="shared" ref="E58:AC58" si="2">D58+E57</f>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320</v>
      </c>
      <c r="B59" s="41">
        <f>B58*Percent_Urban</f>
        <v>0</v>
      </c>
      <c r="C59" s="41">
        <f t="shared" ref="C59:AC59" si="3">C58*Percent_Urban</f>
        <v>0</v>
      </c>
      <c r="D59" s="41">
        <f>D58*Percent_Urban</f>
        <v>1835.6044976867486</v>
      </c>
      <c r="E59" s="41">
        <f t="shared" si="3"/>
        <v>3671.2089953734971</v>
      </c>
      <c r="F59" s="41">
        <f t="shared" si="3"/>
        <v>5506.8134930602455</v>
      </c>
      <c r="G59" s="41">
        <f t="shared" si="3"/>
        <v>7342.4179907469943</v>
      </c>
      <c r="H59" s="41">
        <f t="shared" si="3"/>
        <v>9178.0224884337422</v>
      </c>
      <c r="I59" s="41">
        <f>I58*Percent_Urban</f>
        <v>10363.161512146557</v>
      </c>
      <c r="J59" s="41">
        <f>J58*Percent_Urban</f>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321</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322</v>
      </c>
      <c r="B61" s="41">
        <f>B59*Calculations!D121*8760</f>
        <v>0</v>
      </c>
      <c r="C61" s="41">
        <f>C59*Calculations!E121*8760</f>
        <v>0</v>
      </c>
      <c r="D61" s="41">
        <f>D59*Calculations!F121*8760</f>
        <v>2720924.0591611993</v>
      </c>
      <c r="E61" s="41">
        <f>E59*Calculations!G121*8760</f>
        <v>5423459.3144789562</v>
      </c>
      <c r="F61" s="41">
        <f>F59*Calculations!H121*8760</f>
        <v>8107877.9447767613</v>
      </c>
      <c r="G61" s="41">
        <f>G59*Calculations!I121*8760</f>
        <v>10775444.097476726</v>
      </c>
      <c r="H61" s="41">
        <f>H59*Calculations!J121*8760</f>
        <v>13427507.937693829</v>
      </c>
      <c r="I61" s="41">
        <f>I59*Calculations!K121*8760</f>
        <v>15115119.775958888</v>
      </c>
      <c r="J61" s="41">
        <f>J59*Calculations!L121*8760</f>
        <v>16792778.30773735</v>
      </c>
      <c r="K61" s="41">
        <f>K59*Calculations!M121*8760</f>
        <v>16745182.815723073</v>
      </c>
      <c r="L61" s="41">
        <f>L59*Calculations!N121*8760</f>
        <v>16697639.121159727</v>
      </c>
      <c r="M61" s="41">
        <f>M59*Calculations!O121*8760</f>
        <v>16651102.734285759</v>
      </c>
      <c r="N61" s="41">
        <f>N59*Calculations!P121*8760</f>
        <v>16604198.764399055</v>
      </c>
      <c r="O61" s="41">
        <f>O59*Calculations!Q121*8760</f>
        <v>16558743.536020344</v>
      </c>
      <c r="P61" s="41">
        <f>P59*Calculations!R121*8760</f>
        <v>16512888.115069641</v>
      </c>
      <c r="Q61" s="41">
        <f>Q59*Calculations!S121*8760</f>
        <v>16469262.757713694</v>
      </c>
      <c r="R61" s="41">
        <f>R59*Calculations!T121*8760</f>
        <v>16427501.337108238</v>
      </c>
      <c r="S61" s="41">
        <f>S59*Calculations!U121*8760</f>
        <v>16387317.098354198</v>
      </c>
      <c r="T61" s="41">
        <f>T59*Calculations!V121*8760</f>
        <v>16347418.238840509</v>
      </c>
      <c r="U61" s="41">
        <f>U59*Calculations!W121*8760</f>
        <v>16309073.799916161</v>
      </c>
      <c r="V61" s="41">
        <f>V59*Calculations!X121*8760</f>
        <v>16272880.32717943</v>
      </c>
      <c r="W61" s="41">
        <f>W59*Calculations!Y121*8760</f>
        <v>16238665.302525621</v>
      </c>
      <c r="X61" s="41">
        <f>X59*Calculations!Z121*8760</f>
        <v>16205204.20165256</v>
      </c>
      <c r="Y61" s="41">
        <f>Y59*Calculations!AA121*8760</f>
        <v>16172997.701594247</v>
      </c>
      <c r="Z61" s="41">
        <f>Z59*Calculations!AB121*8760</f>
        <v>16141674.946339989</v>
      </c>
      <c r="AA61" s="41">
        <f>AA59*Calculations!AC121*8760</f>
        <v>16110368.48313929</v>
      </c>
      <c r="AB61" s="41">
        <f>AB59*Calculations!AD121*8760</f>
        <v>16079523.697395645</v>
      </c>
      <c r="AC61" s="41">
        <f>AC59*Calculations!AE121*8760</f>
        <v>16050275.158667376</v>
      </c>
    </row>
    <row r="62" spans="1:31" ht="15.75" customHeight="1" x14ac:dyDescent="0.2">
      <c r="A62" s="34" t="s">
        <v>323</v>
      </c>
      <c r="B62" s="41">
        <f>B60*Calculations!D121*8760</f>
        <v>0</v>
      </c>
      <c r="C62" s="41">
        <f>C60*Calculations!E121*8760</f>
        <v>0</v>
      </c>
      <c r="D62" s="41">
        <f>D60*Calculations!F121*8760</f>
        <v>625509.12510983774</v>
      </c>
      <c r="E62" s="41">
        <f>E60*Calculations!G121*8760</f>
        <v>1246790.8758594096</v>
      </c>
      <c r="F62" s="41">
        <f>F60*Calculations!H121*8760</f>
        <v>1863907.8230276327</v>
      </c>
      <c r="G62" s="41">
        <f>G60*Calculations!I121*8760</f>
        <v>2477150.5795573238</v>
      </c>
      <c r="H62" s="41">
        <f>H60*Calculations!J121*8760</f>
        <v>3086829.5328688826</v>
      </c>
      <c r="I62" s="41">
        <f>I60*Calculations!K121*8760</f>
        <v>3474792.0711558224</v>
      </c>
      <c r="J62" s="41">
        <f>J60*Calculations!L121*8760</f>
        <v>3860466.4588376689</v>
      </c>
      <c r="K62" s="41">
        <f>K60*Calculations!M121*8760</f>
        <v>3849524.8030171818</v>
      </c>
      <c r="L62" s="41">
        <f>L60*Calculations!N121*8760</f>
        <v>3838595.0548345093</v>
      </c>
      <c r="M62" s="41">
        <f>M60*Calculations!O121*8760</f>
        <v>3827896.8750961586</v>
      </c>
      <c r="N62" s="41">
        <f>N60*Calculations!P121*8760</f>
        <v>3817114.1922538248</v>
      </c>
      <c r="O62" s="41">
        <f>O60*Calculations!Q121*8760</f>
        <v>3806664.5584100932</v>
      </c>
      <c r="P62" s="41">
        <f>P60*Calculations!R121*8760</f>
        <v>3796122.92490002</v>
      </c>
      <c r="Q62" s="41">
        <f>Q60*Calculations!S121*8760</f>
        <v>3786093.957343779</v>
      </c>
      <c r="R62" s="41">
        <f>R60*Calculations!T121*8760</f>
        <v>3776493.4873937597</v>
      </c>
      <c r="S62" s="41">
        <f>S60*Calculations!U121*8760</f>
        <v>3767255.5933990288</v>
      </c>
      <c r="T62" s="41">
        <f>T60*Calculations!V121*8760</f>
        <v>3758083.3048071228</v>
      </c>
      <c r="U62" s="41">
        <f>U60*Calculations!W121*8760</f>
        <v>3749268.3596183215</v>
      </c>
      <c r="V62" s="41">
        <f>V60*Calculations!X121*8760</f>
        <v>3740947.8967998116</v>
      </c>
      <c r="W62" s="41">
        <f>W60*Calculations!Y121*8760</f>
        <v>3733082.2564248964</v>
      </c>
      <c r="X62" s="41">
        <f>X60*Calculations!Z121*8760</f>
        <v>3725389.9344499968</v>
      </c>
      <c r="Y62" s="41">
        <f>Y60*Calculations!AA121*8760</f>
        <v>3717986.0307627553</v>
      </c>
      <c r="Z62" s="41">
        <f>Z60*Calculations!AB121*8760</f>
        <v>3710785.2898346311</v>
      </c>
      <c r="AA62" s="41">
        <f>AA60*Calculations!AC121*8760</f>
        <v>3703588.2942621089</v>
      </c>
      <c r="AB62" s="41">
        <f>AB60*Calculations!AD121*8760</f>
        <v>3696497.4330233522</v>
      </c>
      <c r="AC62" s="41">
        <f>AC60*Calculations!AE121*8760</f>
        <v>3689773.5306016505</v>
      </c>
    </row>
    <row r="64" spans="1:31" ht="15.75" customHeight="1" x14ac:dyDescent="0.2">
      <c r="C64" s="41">
        <f t="shared" ref="C64:E64" si="5">C59-B59</f>
        <v>0</v>
      </c>
      <c r="D64" s="41">
        <f t="shared" si="5"/>
        <v>1835.6044976867486</v>
      </c>
      <c r="E64" s="41">
        <f t="shared" si="5"/>
        <v>1835.6044976867486</v>
      </c>
      <c r="F64" s="41">
        <f t="shared" ref="F64:O65" si="6">F59-E59</f>
        <v>1835.6044976867483</v>
      </c>
      <c r="G64" s="41">
        <f t="shared" si="6"/>
        <v>1835.6044976867488</v>
      </c>
      <c r="H64" s="41">
        <f t="shared" si="6"/>
        <v>1835.6044976867479</v>
      </c>
      <c r="I64" s="41">
        <f t="shared" si="6"/>
        <v>1185.1390237128144</v>
      </c>
      <c r="J64" s="41">
        <f t="shared" si="6"/>
        <v>1185.1390237128162</v>
      </c>
      <c r="K64" s="41">
        <f t="shared" si="6"/>
        <v>0</v>
      </c>
      <c r="L64" s="41">
        <f t="shared" si="6"/>
        <v>0</v>
      </c>
      <c r="M64" s="41">
        <f t="shared" si="6"/>
        <v>0</v>
      </c>
      <c r="N64" s="41">
        <f t="shared" si="6"/>
        <v>0</v>
      </c>
      <c r="O64" s="41">
        <f t="shared" si="6"/>
        <v>0</v>
      </c>
    </row>
    <row r="65" spans="1:15" ht="12.75" x14ac:dyDescent="0.2">
      <c r="C65" s="41">
        <f t="shared" ref="C65:D65" si="7">C60-B60</f>
        <v>0</v>
      </c>
      <c r="D65" s="41">
        <f t="shared" si="7"/>
        <v>421.98434738736586</v>
      </c>
      <c r="E65" s="41">
        <f>E60-D60</f>
        <v>421.98434738736586</v>
      </c>
      <c r="F65" s="41">
        <f t="shared" si="6"/>
        <v>421.9843473873658</v>
      </c>
      <c r="G65" s="41">
        <f t="shared" si="6"/>
        <v>421.98434738736591</v>
      </c>
      <c r="H65" s="41">
        <f t="shared" si="6"/>
        <v>421.98434738736591</v>
      </c>
      <c r="I65" s="41">
        <f t="shared" si="6"/>
        <v>272.4498213612992</v>
      </c>
      <c r="J65" s="41">
        <f t="shared" si="6"/>
        <v>272.4498213612992</v>
      </c>
      <c r="K65" s="41">
        <f t="shared" si="6"/>
        <v>0</v>
      </c>
      <c r="L65" s="41">
        <f t="shared" si="6"/>
        <v>0</v>
      </c>
      <c r="M65" s="41">
        <f t="shared" si="6"/>
        <v>0</v>
      </c>
      <c r="N65" s="41">
        <f t="shared" si="6"/>
        <v>0</v>
      </c>
      <c r="O65" s="41">
        <f t="shared" si="6"/>
        <v>0</v>
      </c>
    </row>
    <row r="66" spans="1:15" ht="12.75" x14ac:dyDescent="0.2"/>
    <row r="67" spans="1:15" ht="12.75" x14ac:dyDescent="0.2"/>
    <row r="68" spans="1:15" ht="12.75" x14ac:dyDescent="0.2"/>
    <row r="79" spans="1:15" ht="12.75" x14ac:dyDescent="0.2">
      <c r="A79" s="35" t="s">
        <v>308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25"/>
  <sheetViews>
    <sheetView workbookViewId="0">
      <selection activeCell="C31" sqref="C31"/>
    </sheetView>
  </sheetViews>
  <sheetFormatPr defaultColWidth="8.7109375" defaultRowHeight="15" x14ac:dyDescent="0.25"/>
  <cols>
    <col min="1" max="1" width="31.140625" bestFit="1"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Calculations!D44</f>
        <v>0</v>
      </c>
      <c r="C4">
        <f>Calculations!E44</f>
        <v>1.4025661782562939</v>
      </c>
      <c r="D4">
        <f>Calculations!F44</f>
        <v>0.41060633044604544</v>
      </c>
      <c r="E4">
        <f>Calculations!G44</f>
        <v>0.89845543592649557</v>
      </c>
      <c r="F4">
        <f>Calculations!H44</f>
        <v>1.3732952319274669</v>
      </c>
      <c r="G4">
        <f>Calculations!I44</f>
        <v>1.3838652958795432</v>
      </c>
      <c r="H4">
        <f>Calculations!J44</f>
        <v>1.3944353598316197</v>
      </c>
      <c r="I4">
        <f>Calculations!K44</f>
        <v>2.0562839796000971</v>
      </c>
      <c r="J4">
        <f>Calculations!L44</f>
        <v>2.9401039423621791</v>
      </c>
      <c r="K4">
        <f>Calculations!M44</f>
        <v>3.8515686877681534</v>
      </c>
      <c r="L4">
        <f>Calculations!N44</f>
        <v>4.5605760543997409</v>
      </c>
      <c r="M4">
        <f>Calculations!O44</f>
        <v>5.449274508216627</v>
      </c>
      <c r="N4">
        <f>Calculations!P44</f>
        <v>5.459844572168703</v>
      </c>
      <c r="O4">
        <f>Calculations!Q44</f>
        <v>5.4704146361207799</v>
      </c>
      <c r="P4">
        <f>Calculations!R44</f>
        <v>5.480984700072856</v>
      </c>
      <c r="Q4">
        <f>Calculations!S44</f>
        <v>5.4915547640249329</v>
      </c>
      <c r="R4">
        <f>Calculations!T44</f>
        <v>5.5029379098194759</v>
      </c>
      <c r="S4">
        <f>Calculations!U44</f>
        <v>5.5143210556140208</v>
      </c>
      <c r="T4">
        <f>Calculations!V44</f>
        <v>5.5273303650934995</v>
      </c>
      <c r="U4">
        <f>Calculations!W44</f>
        <v>5.5444050837853149</v>
      </c>
      <c r="V4">
        <f>Calculations!X44</f>
        <v>5.5679844572168697</v>
      </c>
      <c r="W4">
        <f>Calculations!Y44</f>
        <v>5.6053862219703712</v>
      </c>
      <c r="X4">
        <f>Calculations!Z44</f>
        <v>5.6696196875252971</v>
      </c>
      <c r="Y4">
        <f>Calculations!AA44</f>
        <v>5.7818249817858005</v>
      </c>
      <c r="Z4">
        <f>Calculations!AB44</f>
        <v>5.8940302760463048</v>
      </c>
      <c r="AA4">
        <f>Calculations!AC44</f>
        <v>6.0070486521492752</v>
      </c>
      <c r="AB4">
        <f>Calculations!AD44</f>
        <v>6.1208801100947134</v>
      </c>
      <c r="AC4">
        <f>Calculations!AE44</f>
        <v>6.2355246498826196</v>
      </c>
    </row>
    <row r="5" spans="1:29" x14ac:dyDescent="0.2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2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25">
      <c r="A7" t="s">
        <v>59</v>
      </c>
      <c r="B7">
        <f>Calculations!D47</f>
        <v>51.58841674087266</v>
      </c>
      <c r="C7">
        <f>Calculations!E47</f>
        <v>250.57474912976602</v>
      </c>
      <c r="D7">
        <f>Calculations!F47</f>
        <v>131.09481162470655</v>
      </c>
      <c r="E7">
        <f>Calculations!G47</f>
        <v>131.20376459159718</v>
      </c>
      <c r="F7">
        <f>Calculations!H47</f>
        <v>131.33711001376184</v>
      </c>
      <c r="G7">
        <f>Calculations!I47</f>
        <v>131.46882927224155</v>
      </c>
      <c r="H7">
        <f>Calculations!J47</f>
        <v>131.68185671496801</v>
      </c>
      <c r="I7">
        <f>Calculations!K47</f>
        <v>132.05262203513317</v>
      </c>
      <c r="J7">
        <f>Calculations!L47</f>
        <v>132.72666688253864</v>
      </c>
      <c r="K7">
        <f>Calculations!M47</f>
        <v>133.77960786853396</v>
      </c>
      <c r="L7">
        <f>Calculations!N47</f>
        <v>135.40658463531125</v>
      </c>
      <c r="M7">
        <f>Calculations!O47</f>
        <v>137.65150360236379</v>
      </c>
      <c r="N7">
        <f>Calculations!P47</f>
        <v>140.33792600987613</v>
      </c>
      <c r="O7">
        <f>Calculations!Q47</f>
        <v>143.35527272727273</v>
      </c>
      <c r="P7">
        <f>Calculations!R47</f>
        <v>146.70191759086862</v>
      </c>
      <c r="Q7">
        <f>Calculations!S47</f>
        <v>150.2176834776977</v>
      </c>
      <c r="R7">
        <f>Calculations!T47</f>
        <v>153.8212622035133</v>
      </c>
      <c r="S7">
        <f>Calculations!U47</f>
        <v>157.64274686311018</v>
      </c>
      <c r="T7">
        <f>Calculations!V47</f>
        <v>161.90654804500929</v>
      </c>
      <c r="U7">
        <f>Calculations!W47</f>
        <v>166.46143252651177</v>
      </c>
      <c r="V7">
        <f>Calculations!X47</f>
        <v>171.16429790334331</v>
      </c>
      <c r="W7">
        <f>Calculations!Y47</f>
        <v>175.98343398364767</v>
      </c>
      <c r="X7">
        <f>Calculations!Z47</f>
        <v>180.96112102323323</v>
      </c>
      <c r="Y7">
        <f>Calculations!AA47</f>
        <v>186.38193766696349</v>
      </c>
      <c r="Z7">
        <f>Calculations!AB47</f>
        <v>192.00683785315306</v>
      </c>
      <c r="AA7">
        <f>Calculations!AC47</f>
        <v>198.43587598154292</v>
      </c>
      <c r="AB7">
        <f>Calculations!AD47</f>
        <v>204.93646531206994</v>
      </c>
      <c r="AC7">
        <f>Calculations!AE47</f>
        <v>211.50616659920667</v>
      </c>
    </row>
    <row r="8" spans="1:29" x14ac:dyDescent="0.25">
      <c r="A8" t="s">
        <v>10</v>
      </c>
      <c r="B8" s="57">
        <f>Calculations!D48+'Inflation Reduction Act'!B59</f>
        <v>21092.010533797456</v>
      </c>
      <c r="C8" s="57">
        <f>Calculations!E48+'Inflation Reduction Act'!C59</f>
        <v>33586.644085485314</v>
      </c>
      <c r="D8" s="57">
        <f>Calculations!F48+'Inflation Reduction Act'!D59</f>
        <v>37908.465848613647</v>
      </c>
      <c r="E8" s="58">
        <f>Calculations!G48</f>
        <v>38259.984834453164</v>
      </c>
      <c r="F8" s="58">
        <f>Calculations!H48</f>
        <v>40727.440236379822</v>
      </c>
      <c r="G8" s="58">
        <f>Calculations!I48</f>
        <v>43279.974083056746</v>
      </c>
      <c r="H8" s="58">
        <f>Calculations!J48</f>
        <v>45677.105223346553</v>
      </c>
      <c r="I8" s="58">
        <f>Calculations!K48</f>
        <v>48200.653515421349</v>
      </c>
      <c r="J8" s="58">
        <f>Calculations!L48</f>
        <v>50934.882696025255</v>
      </c>
      <c r="K8" s="58">
        <f>Calculations!M48</f>
        <v>53663.724396340971</v>
      </c>
      <c r="L8" s="58">
        <f>Calculations!N48</f>
        <v>56531.886044199789</v>
      </c>
      <c r="M8" s="58">
        <f>Calculations!O48</f>
        <v>59575.347324212737</v>
      </c>
      <c r="N8" s="58">
        <f>Calculations!P48</f>
        <v>62828.816260989224</v>
      </c>
      <c r="O8" s="58">
        <f>Calculations!Q48</f>
        <v>66242.132209503761</v>
      </c>
      <c r="P8" s="58">
        <f>Calculations!R48</f>
        <v>69907.185614182774</v>
      </c>
      <c r="Q8" s="58">
        <f>Calculations!S48</f>
        <v>73746.942662025409</v>
      </c>
      <c r="R8" s="58">
        <f>Calculations!T48</f>
        <v>77794.55432591273</v>
      </c>
      <c r="S8" s="58">
        <f>Calculations!U48</f>
        <v>81990.716855500679</v>
      </c>
      <c r="T8" s="58">
        <f>Calculations!V48</f>
        <v>86364.605253460701</v>
      </c>
      <c r="U8" s="58">
        <f>Calculations!W48</f>
        <v>90868.614390998133</v>
      </c>
      <c r="V8" s="58">
        <f>Calculations!X48</f>
        <v>95514.394104751875</v>
      </c>
      <c r="W8" s="58">
        <f>Calculations!Y48</f>
        <v>100341.03086505302</v>
      </c>
      <c r="X8" s="58">
        <f>Calculations!Z48</f>
        <v>105287.69639310289</v>
      </c>
      <c r="Y8" s="58">
        <f>Calculations!AA48</f>
        <v>110385.40081729133</v>
      </c>
      <c r="Z8" s="58">
        <f>Calculations!AB48</f>
        <v>115640.48292366226</v>
      </c>
      <c r="AA8" s="58">
        <f>Calculations!AC48</f>
        <v>121126.73883331985</v>
      </c>
      <c r="AB8" s="58">
        <f>Calculations!AD48</f>
        <v>126714.16976896301</v>
      </c>
      <c r="AC8" s="58">
        <f>Calculations!AE48</f>
        <v>132502.56445203593</v>
      </c>
    </row>
    <row r="9" spans="1:29" x14ac:dyDescent="0.2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2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2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2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2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2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2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2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29" x14ac:dyDescent="0.2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2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25"/>
  <sheetViews>
    <sheetView workbookViewId="0">
      <selection activeCell="E8" sqref="E8"/>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c r="AC2">
        <f>Calculations!AE62</f>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Calculations!D63</f>
        <v>0</v>
      </c>
      <c r="C4">
        <f>Calculations!E63</f>
        <v>0.32243382174370594</v>
      </c>
      <c r="D4">
        <f>Calculations!F63</f>
        <v>9.4393669553954507E-2</v>
      </c>
      <c r="E4">
        <f>Calculations!G63</f>
        <v>0.20654456407350441</v>
      </c>
      <c r="F4">
        <f>Calculations!H63</f>
        <v>0.31570476807253295</v>
      </c>
      <c r="G4">
        <f>Calculations!I63</f>
        <v>0.31813470412045658</v>
      </c>
      <c r="H4">
        <f>Calculations!J63</f>
        <v>0.32056464016838015</v>
      </c>
      <c r="I4">
        <f>Calculations!K63</f>
        <v>0.47271602039990285</v>
      </c>
      <c r="J4">
        <f>Calculations!L63</f>
        <v>0.67589605763782079</v>
      </c>
      <c r="K4">
        <f>Calculations!M63</f>
        <v>0.88543131223184646</v>
      </c>
      <c r="L4">
        <f>Calculations!N63</f>
        <v>1.0484239456002591</v>
      </c>
      <c r="M4">
        <f>Calculations!O63</f>
        <v>1.2527254917833723</v>
      </c>
      <c r="N4">
        <f>Calculations!P63</f>
        <v>1.255155427831296</v>
      </c>
      <c r="O4">
        <f>Calculations!Q63</f>
        <v>1.2575853638792196</v>
      </c>
      <c r="P4">
        <f>Calculations!R63</f>
        <v>1.2600152999271432</v>
      </c>
      <c r="Q4">
        <f>Calculations!S63</f>
        <v>1.2624452359750666</v>
      </c>
      <c r="R4">
        <f>Calculations!T63</f>
        <v>1.265062090180523</v>
      </c>
      <c r="S4">
        <f>Calculations!U63</f>
        <v>1.2676789443859791</v>
      </c>
      <c r="T4">
        <f>Calculations!V63</f>
        <v>1.2706696349065005</v>
      </c>
      <c r="U4">
        <f>Calculations!W63</f>
        <v>1.2745949162146848</v>
      </c>
      <c r="V4">
        <f>Calculations!X63</f>
        <v>1.2800155427831297</v>
      </c>
      <c r="W4">
        <f>Calculations!Y63</f>
        <v>1.2886137780296285</v>
      </c>
      <c r="X4">
        <f>Calculations!Z63</f>
        <v>1.3033803124747023</v>
      </c>
      <c r="Y4">
        <f>Calculations!AA63</f>
        <v>1.329175018214199</v>
      </c>
      <c r="Z4">
        <f>Calculations!AB63</f>
        <v>1.3549697239536955</v>
      </c>
      <c r="AA4">
        <f>Calculations!AC63</f>
        <v>1.3809513478507245</v>
      </c>
      <c r="AB4">
        <f>Calculations!AD63</f>
        <v>1.4071198899052861</v>
      </c>
      <c r="AC4">
        <f>Calculations!AE63</f>
        <v>1.4334753501173803</v>
      </c>
    </row>
    <row r="5" spans="1:29" x14ac:dyDescent="0.25">
      <c r="A5" t="s">
        <v>8</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c r="AC5">
        <f>Calculations!AE64</f>
        <v>0</v>
      </c>
    </row>
    <row r="6" spans="1:29" x14ac:dyDescent="0.25">
      <c r="A6" t="s">
        <v>9</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c r="AC6">
        <f>Calculations!AE65</f>
        <v>0</v>
      </c>
    </row>
    <row r="7" spans="1:29" x14ac:dyDescent="0.25">
      <c r="A7" t="s">
        <v>59</v>
      </c>
      <c r="B7">
        <f>Calculations!D66</f>
        <v>11.859583259127337</v>
      </c>
      <c r="C7">
        <f>Calculations!E66</f>
        <v>57.60425087023394</v>
      </c>
      <c r="D7">
        <f>Calculations!F66</f>
        <v>30.137188375293448</v>
      </c>
      <c r="E7">
        <f>Calculations!G66</f>
        <v>30.162235408402818</v>
      </c>
      <c r="F7">
        <f>Calculations!H66</f>
        <v>30.192889986238161</v>
      </c>
      <c r="G7">
        <f>Calculations!I66</f>
        <v>30.223170727758436</v>
      </c>
      <c r="H7">
        <f>Calculations!J66</f>
        <v>30.272143285031973</v>
      </c>
      <c r="I7">
        <f>Calculations!K66</f>
        <v>30.357377964866835</v>
      </c>
      <c r="J7">
        <f>Calculations!L66</f>
        <v>30.512333117461345</v>
      </c>
      <c r="K7">
        <f>Calculations!M66</f>
        <v>30.754392131466041</v>
      </c>
      <c r="L7">
        <f>Calculations!N66</f>
        <v>31.128415364688738</v>
      </c>
      <c r="M7">
        <f>Calculations!O66</f>
        <v>31.644496397636203</v>
      </c>
      <c r="N7">
        <f>Calculations!P66</f>
        <v>32.262073990123852</v>
      </c>
      <c r="O7">
        <f>Calculations!Q66</f>
        <v>32.955727272727266</v>
      </c>
      <c r="P7">
        <f>Calculations!R66</f>
        <v>33.725082409131382</v>
      </c>
      <c r="Q7">
        <f>Calculations!S66</f>
        <v>34.533316522302272</v>
      </c>
      <c r="R7">
        <f>Calculations!T66</f>
        <v>35.361737796486679</v>
      </c>
      <c r="S7">
        <f>Calculations!U66</f>
        <v>36.240253136889827</v>
      </c>
      <c r="T7">
        <f>Calculations!V66</f>
        <v>37.220451954990693</v>
      </c>
      <c r="U7">
        <f>Calculations!W66</f>
        <v>38.267567473488214</v>
      </c>
      <c r="V7">
        <f>Calculations!X66</f>
        <v>39.34870209665668</v>
      </c>
      <c r="W7">
        <f>Calculations!Y66</f>
        <v>40.456566016352298</v>
      </c>
      <c r="X7">
        <f>Calculations!Z66</f>
        <v>41.600878976766779</v>
      </c>
      <c r="Y7">
        <f>Calculations!AA66</f>
        <v>42.847062333036504</v>
      </c>
      <c r="Z7">
        <f>Calculations!AB66</f>
        <v>44.140162146846919</v>
      </c>
      <c r="AA7">
        <f>Calculations!AC66</f>
        <v>45.618124018457053</v>
      </c>
      <c r="AB7">
        <f>Calculations!AD66</f>
        <v>47.112534687930058</v>
      </c>
      <c r="AC7">
        <f>Calculations!AE66</f>
        <v>48.622833400793326</v>
      </c>
    </row>
    <row r="8" spans="1:29" x14ac:dyDescent="0.25">
      <c r="A8" t="s">
        <v>10</v>
      </c>
      <c r="B8" s="54">
        <f>Calculations!D67+'Inflation Reduction Act'!B60</f>
        <v>4848.8104662025416</v>
      </c>
      <c r="C8" s="54">
        <f>Calculations!E67+'Inflation Reduction Act'!C60</f>
        <v>7721.182914514693</v>
      </c>
      <c r="D8" s="54">
        <f>Calculations!F67+'Inflation Reduction Act'!D60</f>
        <v>8714.7199964604661</v>
      </c>
      <c r="E8">
        <f>Calculations!G67</f>
        <v>8795.5301655468302</v>
      </c>
      <c r="F8">
        <f>Calculations!H67</f>
        <v>9362.7697636201738</v>
      </c>
      <c r="G8">
        <f>Calculations!I67</f>
        <v>9949.5679169432515</v>
      </c>
      <c r="H8">
        <f>Calculations!J67</f>
        <v>10500.640776653445</v>
      </c>
      <c r="I8">
        <f>Calculations!K67</f>
        <v>11080.775484578644</v>
      </c>
      <c r="J8">
        <f>Calculations!L67</f>
        <v>11709.343303974743</v>
      </c>
      <c r="K8">
        <f>Calculations!M67</f>
        <v>12336.67260365903</v>
      </c>
      <c r="L8">
        <f>Calculations!N67</f>
        <v>12996.02995580021</v>
      </c>
      <c r="M8">
        <f>Calculations!O67</f>
        <v>13695.686675787258</v>
      </c>
      <c r="N8">
        <f>Calculations!P67</f>
        <v>14443.621739010765</v>
      </c>
      <c r="O8">
        <f>Calculations!Q67</f>
        <v>15228.303790496237</v>
      </c>
      <c r="P8">
        <f>Calculations!R67</f>
        <v>16070.857385817209</v>
      </c>
      <c r="Q8">
        <f>Calculations!S67</f>
        <v>16953.57333797458</v>
      </c>
      <c r="R8">
        <f>Calculations!T67</f>
        <v>17884.072674087267</v>
      </c>
      <c r="S8">
        <f>Calculations!U67</f>
        <v>18848.722144499312</v>
      </c>
      <c r="T8">
        <f>Calculations!V67</f>
        <v>19854.228746539302</v>
      </c>
      <c r="U8">
        <f>Calculations!W67</f>
        <v>20889.648609001859</v>
      </c>
      <c r="V8">
        <f>Calculations!X67</f>
        <v>21957.659895248118</v>
      </c>
      <c r="W8">
        <f>Calculations!Y67</f>
        <v>23067.248134946974</v>
      </c>
      <c r="X8">
        <f>Calculations!Z67</f>
        <v>24204.429606897113</v>
      </c>
      <c r="Y8">
        <f>Calculations!AA67</f>
        <v>25376.333182708651</v>
      </c>
      <c r="Z8">
        <f>Calculations!AB67</f>
        <v>26584.416076337729</v>
      </c>
      <c r="AA8">
        <f>Calculations!AC67</f>
        <v>27845.643166680158</v>
      </c>
      <c r="AB8">
        <f>Calculations!AD67</f>
        <v>29130.129231036997</v>
      </c>
      <c r="AC8">
        <f>Calculations!AE67</f>
        <v>30460.814547964055</v>
      </c>
    </row>
    <row r="9" spans="1:29" x14ac:dyDescent="0.25">
      <c r="A9" t="s">
        <v>11</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c r="AC9">
        <f>Calculations!AE68</f>
        <v>0</v>
      </c>
    </row>
    <row r="10" spans="1:29" x14ac:dyDescent="0.25">
      <c r="A10" t="s">
        <v>12</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c r="AC10">
        <f>Calculations!AE69</f>
        <v>0</v>
      </c>
    </row>
    <row r="11" spans="1:29" x14ac:dyDescent="0.25">
      <c r="A11" t="s">
        <v>13</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c r="AC11">
        <f>Calculations!AE70</f>
        <v>0</v>
      </c>
    </row>
    <row r="12" spans="1:29" x14ac:dyDescent="0.25">
      <c r="A12" t="s">
        <v>14</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c r="AC12">
        <f>Calculations!AE71</f>
        <v>0</v>
      </c>
    </row>
    <row r="13" spans="1:29" x14ac:dyDescent="0.25">
      <c r="A13" t="s">
        <v>15</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c r="AC13">
        <f>Calculations!AE72</f>
        <v>0</v>
      </c>
    </row>
    <row r="14" spans="1:29" x14ac:dyDescent="0.25">
      <c r="A14" t="s">
        <v>57</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c r="AC14">
        <f>Calculations!AE73</f>
        <v>0</v>
      </c>
    </row>
    <row r="15" spans="1:29" x14ac:dyDescent="0.25">
      <c r="A15" t="s">
        <v>60</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c r="AC15">
        <f>Calculations!AE74</f>
        <v>0</v>
      </c>
    </row>
    <row r="16" spans="1:29" x14ac:dyDescent="0.25">
      <c r="A16" t="s">
        <v>158</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c r="AC16">
        <f>Calculations!AE75</f>
        <v>0</v>
      </c>
    </row>
    <row r="17" spans="1:29" x14ac:dyDescent="0.25">
      <c r="A17" t="s">
        <v>159</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c r="AC17">
        <f>Calculations!AE76</f>
        <v>0</v>
      </c>
    </row>
    <row r="18" spans="1:29" x14ac:dyDescent="0.25">
      <c r="A18" t="s">
        <v>160</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c r="AC18">
        <f>Calculations!AE77</f>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25"/>
  <sheetViews>
    <sheetView workbookViewId="0">
      <selection activeCell="E8" sqref="E8"/>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c r="AC2">
        <f>Calculations!AE83</f>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Calculations!D84</f>
        <v>1394.019</v>
      </c>
      <c r="C4">
        <f>Calculations!E84</f>
        <v>1468.7250000000001</v>
      </c>
      <c r="D4">
        <f>Calculations!F84</f>
        <v>1508.008</v>
      </c>
      <c r="E4">
        <f>Calculations!G84</f>
        <v>1540.9690000000001</v>
      </c>
      <c r="F4">
        <f>Calculations!H84</f>
        <v>1559.125</v>
      </c>
      <c r="G4">
        <f>Calculations!I84</f>
        <v>1576.8690000000001</v>
      </c>
      <c r="H4">
        <f>Calculations!J84</f>
        <v>1595.395</v>
      </c>
      <c r="I4">
        <f>Calculations!K84</f>
        <v>1615.2909999999999</v>
      </c>
      <c r="J4">
        <f>Calculations!L84</f>
        <v>1634.761</v>
      </c>
      <c r="K4">
        <f>Calculations!M84</f>
        <v>1655.3439999999998</v>
      </c>
      <c r="L4">
        <f>Calculations!N84</f>
        <v>1676.5520000000001</v>
      </c>
      <c r="M4">
        <f>Calculations!O84</f>
        <v>1700.0949999999998</v>
      </c>
      <c r="N4">
        <f>Calculations!P84</f>
        <v>1722.0139999999999</v>
      </c>
      <c r="O4">
        <f>Calculations!Q84</f>
        <v>1744.8120000000001</v>
      </c>
      <c r="P4">
        <f>Calculations!R84</f>
        <v>1769.9970000000001</v>
      </c>
      <c r="Q4">
        <f>Calculations!S84</f>
        <v>1793.4589999999998</v>
      </c>
      <c r="R4">
        <f>Calculations!T84</f>
        <v>1816.316</v>
      </c>
      <c r="S4">
        <f>Calculations!U84</f>
        <v>1838.2280000000001</v>
      </c>
      <c r="T4">
        <f>Calculations!V84</f>
        <v>1858.4989999999998</v>
      </c>
      <c r="U4">
        <f>Calculations!W84</f>
        <v>1881.0849999999998</v>
      </c>
      <c r="V4">
        <f>Calculations!X84</f>
        <v>1901.162</v>
      </c>
      <c r="W4">
        <f>Calculations!Y84</f>
        <v>1921.1780000000001</v>
      </c>
      <c r="X4">
        <f>Calculations!Z84</f>
        <v>1940.0839999999998</v>
      </c>
      <c r="Y4">
        <f>Calculations!AA84</f>
        <v>1959.433</v>
      </c>
      <c r="Z4">
        <f>Calculations!AB84</f>
        <v>1979.941</v>
      </c>
      <c r="AA4">
        <f>Calculations!AC84</f>
        <v>2000.0969999999998</v>
      </c>
      <c r="AB4">
        <f>Calculations!AD84</f>
        <v>2019.018</v>
      </c>
      <c r="AC4">
        <f>Calculations!AE84</f>
        <v>2039.0600000000002</v>
      </c>
    </row>
    <row r="5" spans="1:29" x14ac:dyDescent="0.25">
      <c r="A5" t="s">
        <v>8</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c r="AC5">
        <f>Calculations!AE85</f>
        <v>0</v>
      </c>
    </row>
    <row r="6" spans="1:29" x14ac:dyDescent="0.25">
      <c r="A6" t="s">
        <v>9</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c r="AC6">
        <f>Calculations!AE86</f>
        <v>0</v>
      </c>
    </row>
    <row r="7" spans="1:29" x14ac:dyDescent="0.25">
      <c r="A7" t="s">
        <v>59</v>
      </c>
      <c r="B7">
        <f>Calculations!D87</f>
        <v>559.73700000000008</v>
      </c>
      <c r="C7">
        <f>Calculations!E87</f>
        <v>585.6400000000001</v>
      </c>
      <c r="D7">
        <f>Calculations!F87</f>
        <v>584.673</v>
      </c>
      <c r="E7">
        <f>Calculations!G87</f>
        <v>585.34399999999994</v>
      </c>
      <c r="F7">
        <f>Calculations!H87</f>
        <v>586.68500000000006</v>
      </c>
      <c r="G7">
        <f>Calculations!I87</f>
        <v>586.89599999999996</v>
      </c>
      <c r="H7">
        <f>Calculations!J87</f>
        <v>587.529</v>
      </c>
      <c r="I7">
        <f>Calculations!K87</f>
        <v>588.68799999999999</v>
      </c>
      <c r="J7">
        <f>Calculations!L87</f>
        <v>589.22799999999995</v>
      </c>
      <c r="K7">
        <f>Calculations!M87</f>
        <v>590.12799999999993</v>
      </c>
      <c r="L7">
        <f>Calculations!N87</f>
        <v>591.15499999999997</v>
      </c>
      <c r="M7">
        <f>Calculations!O87</f>
        <v>591.76700000000005</v>
      </c>
      <c r="N7">
        <f>Calculations!P87</f>
        <v>592.12699999999995</v>
      </c>
      <c r="O7">
        <f>Calculations!Q87</f>
        <v>592.31299999999999</v>
      </c>
      <c r="P7">
        <f>Calculations!R87</f>
        <v>592.65</v>
      </c>
      <c r="Q7">
        <f>Calculations!S87</f>
        <v>592.97200000000009</v>
      </c>
      <c r="R7">
        <f>Calculations!T87</f>
        <v>593.428</v>
      </c>
      <c r="S7">
        <f>Calculations!U87</f>
        <v>593.94899999999996</v>
      </c>
      <c r="T7">
        <f>Calculations!V87</f>
        <v>594.14400000000001</v>
      </c>
      <c r="U7">
        <f>Calculations!W87</f>
        <v>594.97299999999996</v>
      </c>
      <c r="V7">
        <f>Calculations!X87</f>
        <v>595.30099999999993</v>
      </c>
      <c r="W7">
        <f>Calculations!Y87</f>
        <v>595.58399999999995</v>
      </c>
      <c r="X7">
        <f>Calculations!Z87</f>
        <v>595.73400000000004</v>
      </c>
      <c r="Y7">
        <f>Calculations!AA87</f>
        <v>595.96199999999999</v>
      </c>
      <c r="Z7">
        <f>Calculations!AB87</f>
        <v>596.55700000000002</v>
      </c>
      <c r="AA7">
        <f>Calculations!AC87</f>
        <v>596.93600000000004</v>
      </c>
      <c r="AB7">
        <f>Calculations!AD87</f>
        <v>597.101</v>
      </c>
      <c r="AC7">
        <f>Calculations!AE87</f>
        <v>597.29600000000005</v>
      </c>
    </row>
    <row r="8" spans="1:29" x14ac:dyDescent="0.25">
      <c r="A8" t="s">
        <v>10</v>
      </c>
      <c r="B8">
        <f>Calculations!D88</f>
        <v>26815.535</v>
      </c>
      <c r="C8">
        <f>Calculations!E88</f>
        <v>29403.9</v>
      </c>
      <c r="D8">
        <f>Calculations!F88</f>
        <v>33559.604999999996</v>
      </c>
      <c r="E8">
        <f>Calculations!G88</f>
        <v>37794.93</v>
      </c>
      <c r="F8">
        <f>Calculations!H88</f>
        <v>41405.586000000003</v>
      </c>
      <c r="G8">
        <f>Calculations!I88</f>
        <v>43145.611000000004</v>
      </c>
      <c r="H8">
        <f>Calculations!J88</f>
        <v>44266.197</v>
      </c>
      <c r="I8">
        <f>Calculations!K88</f>
        <v>45534.084000000003</v>
      </c>
      <c r="J8">
        <f>Calculations!L88</f>
        <v>46463.576999999997</v>
      </c>
      <c r="K8">
        <f>Calculations!M88</f>
        <v>47210.957000000002</v>
      </c>
      <c r="L8">
        <f>Calculations!N88</f>
        <v>48048.740000000005</v>
      </c>
      <c r="M8">
        <f>Calculations!O88</f>
        <v>49354.031000000003</v>
      </c>
      <c r="N8">
        <f>Calculations!P88</f>
        <v>50425.938000000002</v>
      </c>
      <c r="O8">
        <f>Calculations!Q88</f>
        <v>51324.492999999995</v>
      </c>
      <c r="P8">
        <f>Calculations!R88</f>
        <v>52927.57</v>
      </c>
      <c r="Q8">
        <f>Calculations!S88</f>
        <v>54478.226000000002</v>
      </c>
      <c r="R8">
        <f>Calculations!T88</f>
        <v>56396.023000000001</v>
      </c>
      <c r="S8">
        <f>Calculations!U88</f>
        <v>58020.966</v>
      </c>
      <c r="T8">
        <f>Calculations!V88</f>
        <v>58883.471999999994</v>
      </c>
      <c r="U8">
        <f>Calculations!W88</f>
        <v>60235.283000000003</v>
      </c>
      <c r="V8">
        <f>Calculations!X88</f>
        <v>60950.233</v>
      </c>
      <c r="W8">
        <f>Calculations!Y88</f>
        <v>61766.342000000004</v>
      </c>
      <c r="X8">
        <f>Calculations!Z88</f>
        <v>62420.555</v>
      </c>
      <c r="Y8">
        <f>Calculations!AA88</f>
        <v>63444.836000000003</v>
      </c>
      <c r="Z8">
        <f>Calculations!AB88</f>
        <v>64722.854999999996</v>
      </c>
      <c r="AA8">
        <f>Calculations!AC88</f>
        <v>66026.054000000004</v>
      </c>
      <c r="AB8">
        <f>Calculations!AD88</f>
        <v>66979.820000000007</v>
      </c>
      <c r="AC8">
        <f>Calculations!AE88</f>
        <v>68250.770999999993</v>
      </c>
    </row>
    <row r="9" spans="1:29" x14ac:dyDescent="0.25">
      <c r="A9" t="s">
        <v>11</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c r="AC9">
        <f>Calculations!AE89</f>
        <v>0</v>
      </c>
    </row>
    <row r="10" spans="1:29" x14ac:dyDescent="0.25">
      <c r="A10" t="s">
        <v>12</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c r="AC10">
        <f>Calculations!AE90</f>
        <v>0</v>
      </c>
    </row>
    <row r="11" spans="1:29" x14ac:dyDescent="0.25">
      <c r="A11" t="s">
        <v>13</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c r="AC11">
        <f>Calculations!AE91</f>
        <v>0</v>
      </c>
    </row>
    <row r="12" spans="1:29" x14ac:dyDescent="0.25">
      <c r="A12" t="s">
        <v>14</v>
      </c>
      <c r="B12">
        <f>Calculations!D92</f>
        <v>13.979999999999999</v>
      </c>
      <c r="C12">
        <f>Calculations!E92</f>
        <v>20.507000000000001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c r="AC12">
        <f>Calculations!AE92</f>
        <v>14.146000000000001</v>
      </c>
    </row>
    <row r="13" spans="1:29" x14ac:dyDescent="0.25">
      <c r="A13" t="s">
        <v>15</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c r="AC13">
        <f>Calculations!AE93</f>
        <v>0</v>
      </c>
    </row>
    <row r="14" spans="1:29" x14ac:dyDescent="0.25">
      <c r="A14" t="s">
        <v>57</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c r="AC14">
        <f>Calculations!AE94</f>
        <v>0</v>
      </c>
    </row>
    <row r="15" spans="1:29" x14ac:dyDescent="0.25">
      <c r="A15" t="s">
        <v>60</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c r="AC15">
        <f>Calculations!AE95</f>
        <v>0</v>
      </c>
    </row>
    <row r="16" spans="1:29" x14ac:dyDescent="0.25">
      <c r="A16" t="s">
        <v>158</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c r="AC16">
        <f>Calculations!AE96</f>
        <v>0</v>
      </c>
    </row>
    <row r="17" spans="1:29" x14ac:dyDescent="0.25">
      <c r="A17" t="s">
        <v>159</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c r="AC17">
        <f>Calculations!AE97</f>
        <v>0</v>
      </c>
    </row>
    <row r="18" spans="1:29" x14ac:dyDescent="0.25">
      <c r="A18" t="s">
        <v>160</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c r="AC18">
        <f>Calculations!AE98</f>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00683-8E44-40A0-986F-7B88B9EBB4AE}">
  <sheetPr>
    <tabColor theme="3"/>
  </sheetPr>
  <dimension ref="A1:AB25"/>
  <sheetViews>
    <sheetView tabSelected="1" workbookViewId="0">
      <selection activeCell="H34" sqref="H34"/>
    </sheetView>
  </sheetViews>
  <sheetFormatPr defaultColWidth="8.7109375" defaultRowHeight="15" x14ac:dyDescent="0.25"/>
  <cols>
    <col min="1" max="1" width="23.42578125" style="67" customWidth="1"/>
    <col min="2" max="28" width="9.5703125" style="67" bestFit="1" customWidth="1"/>
    <col min="29" max="16384" width="8.7109375" style="67"/>
  </cols>
  <sheetData>
    <row r="1" spans="1:28" x14ac:dyDescent="0.25">
      <c r="A1" s="67" t="s">
        <v>161</v>
      </c>
      <c r="B1" s="67">
        <v>2024</v>
      </c>
      <c r="C1" s="67">
        <v>2025</v>
      </c>
      <c r="D1" s="67">
        <v>2026</v>
      </c>
      <c r="E1" s="67">
        <v>2027</v>
      </c>
      <c r="F1" s="67">
        <v>2028</v>
      </c>
      <c r="G1" s="67">
        <v>2029</v>
      </c>
      <c r="H1" s="67">
        <v>2030</v>
      </c>
      <c r="I1" s="67">
        <v>2031</v>
      </c>
      <c r="J1" s="67">
        <v>2032</v>
      </c>
      <c r="K1" s="67">
        <v>2033</v>
      </c>
      <c r="L1" s="67">
        <v>2034</v>
      </c>
      <c r="M1" s="67">
        <v>2035</v>
      </c>
      <c r="N1" s="67">
        <v>2036</v>
      </c>
      <c r="O1" s="67">
        <v>2037</v>
      </c>
      <c r="P1" s="67">
        <v>2038</v>
      </c>
      <c r="Q1" s="67">
        <v>2039</v>
      </c>
      <c r="R1" s="67">
        <v>2040</v>
      </c>
      <c r="S1" s="67">
        <v>2041</v>
      </c>
      <c r="T1" s="67">
        <v>2042</v>
      </c>
      <c r="U1" s="67">
        <v>2043</v>
      </c>
      <c r="V1" s="67">
        <v>2044</v>
      </c>
      <c r="W1" s="67">
        <v>2045</v>
      </c>
      <c r="X1" s="67">
        <v>2046</v>
      </c>
      <c r="Y1" s="67">
        <v>2047</v>
      </c>
      <c r="Z1" s="67">
        <v>2048</v>
      </c>
      <c r="AA1" s="67">
        <v>2049</v>
      </c>
      <c r="AB1" s="67">
        <v>2050</v>
      </c>
    </row>
    <row r="2" spans="1:28" x14ac:dyDescent="0.25">
      <c r="A2" s="67" t="s">
        <v>58</v>
      </c>
      <c r="B2" s="67">
        <v>0</v>
      </c>
      <c r="C2" s="67">
        <v>0</v>
      </c>
      <c r="D2" s="67">
        <v>0</v>
      </c>
      <c r="E2" s="67">
        <v>0</v>
      </c>
      <c r="F2" s="67">
        <v>0</v>
      </c>
      <c r="G2" s="67">
        <v>0</v>
      </c>
      <c r="H2" s="67">
        <v>0</v>
      </c>
      <c r="I2" s="67">
        <v>0</v>
      </c>
      <c r="J2" s="67">
        <v>0</v>
      </c>
      <c r="K2" s="67">
        <v>0</v>
      </c>
      <c r="L2" s="67">
        <v>0</v>
      </c>
      <c r="M2" s="67">
        <v>0</v>
      </c>
      <c r="N2" s="67">
        <v>0</v>
      </c>
      <c r="O2" s="67">
        <v>0</v>
      </c>
      <c r="P2" s="67">
        <v>0</v>
      </c>
      <c r="Q2" s="67">
        <v>0</v>
      </c>
      <c r="R2" s="67">
        <v>0</v>
      </c>
      <c r="S2" s="67">
        <v>0</v>
      </c>
      <c r="T2" s="67">
        <v>0</v>
      </c>
      <c r="U2" s="67">
        <v>0</v>
      </c>
      <c r="V2" s="67">
        <v>0</v>
      </c>
      <c r="W2" s="67">
        <v>0</v>
      </c>
      <c r="X2" s="67">
        <v>0</v>
      </c>
      <c r="Y2" s="67">
        <v>0</v>
      </c>
      <c r="Z2" s="67">
        <v>0</v>
      </c>
      <c r="AA2" s="67">
        <v>0</v>
      </c>
      <c r="AB2" s="67">
        <v>0</v>
      </c>
    </row>
    <row r="3" spans="1:28" x14ac:dyDescent="0.25">
      <c r="A3" s="67" t="s">
        <v>326</v>
      </c>
      <c r="B3" s="67">
        <v>0</v>
      </c>
      <c r="C3" s="67">
        <v>0</v>
      </c>
      <c r="D3" s="67">
        <v>0</v>
      </c>
      <c r="E3" s="67">
        <v>0</v>
      </c>
      <c r="F3" s="67">
        <v>0</v>
      </c>
      <c r="G3" s="67">
        <v>0</v>
      </c>
      <c r="H3" s="67">
        <v>0</v>
      </c>
      <c r="I3" s="67">
        <v>0</v>
      </c>
      <c r="J3" s="67">
        <v>0</v>
      </c>
      <c r="K3" s="67">
        <v>0</v>
      </c>
      <c r="L3" s="67">
        <v>0</v>
      </c>
      <c r="M3" s="67">
        <v>0</v>
      </c>
      <c r="N3" s="67">
        <v>0</v>
      </c>
      <c r="O3" s="67">
        <v>0</v>
      </c>
      <c r="P3" s="67">
        <v>0</v>
      </c>
      <c r="Q3" s="67">
        <v>0</v>
      </c>
      <c r="R3" s="67">
        <v>0</v>
      </c>
      <c r="S3" s="67">
        <v>0</v>
      </c>
      <c r="T3" s="67">
        <v>0</v>
      </c>
      <c r="U3" s="67">
        <v>0</v>
      </c>
      <c r="V3" s="67">
        <v>0</v>
      </c>
      <c r="W3" s="67">
        <v>0</v>
      </c>
      <c r="X3" s="67">
        <v>0</v>
      </c>
      <c r="Y3" s="67">
        <v>0</v>
      </c>
      <c r="Z3" s="67">
        <v>0</v>
      </c>
      <c r="AA3" s="67">
        <v>0</v>
      </c>
      <c r="AB3" s="67">
        <v>0</v>
      </c>
    </row>
    <row r="4" spans="1:28" x14ac:dyDescent="0.25">
      <c r="A4" s="67" t="s">
        <v>327</v>
      </c>
      <c r="B4" s="67">
        <v>0</v>
      </c>
      <c r="C4" s="67">
        <v>0</v>
      </c>
      <c r="D4" s="67">
        <v>0</v>
      </c>
      <c r="E4" s="67">
        <v>0</v>
      </c>
      <c r="F4" s="67">
        <v>0</v>
      </c>
      <c r="G4" s="67">
        <v>0</v>
      </c>
      <c r="H4" s="67">
        <v>0</v>
      </c>
      <c r="I4" s="67">
        <v>0</v>
      </c>
      <c r="J4" s="67">
        <v>0</v>
      </c>
      <c r="K4" s="67">
        <v>0</v>
      </c>
      <c r="L4" s="67">
        <v>0</v>
      </c>
      <c r="M4" s="67">
        <v>0</v>
      </c>
      <c r="N4" s="67">
        <v>0</v>
      </c>
      <c r="O4" s="67">
        <v>0</v>
      </c>
      <c r="P4" s="67">
        <v>0</v>
      </c>
      <c r="Q4" s="67">
        <v>0</v>
      </c>
      <c r="R4" s="67">
        <v>0</v>
      </c>
      <c r="S4" s="67">
        <v>0</v>
      </c>
      <c r="T4" s="67">
        <v>0</v>
      </c>
      <c r="U4" s="67">
        <v>0</v>
      </c>
      <c r="V4" s="67">
        <v>0</v>
      </c>
      <c r="W4" s="67">
        <v>0</v>
      </c>
      <c r="X4" s="67">
        <v>0</v>
      </c>
      <c r="Y4" s="67">
        <v>0</v>
      </c>
      <c r="Z4" s="67">
        <v>0</v>
      </c>
      <c r="AA4" s="67">
        <v>0</v>
      </c>
      <c r="AB4" s="67">
        <v>0</v>
      </c>
    </row>
    <row r="5" spans="1:28" x14ac:dyDescent="0.25">
      <c r="A5" s="67" t="s">
        <v>8</v>
      </c>
      <c r="B5" s="67">
        <v>0</v>
      </c>
      <c r="C5" s="67">
        <v>0</v>
      </c>
      <c r="D5" s="67">
        <v>0</v>
      </c>
      <c r="E5" s="67">
        <v>0</v>
      </c>
      <c r="F5" s="67">
        <v>0</v>
      </c>
      <c r="G5" s="67">
        <v>0</v>
      </c>
      <c r="H5" s="67">
        <v>0</v>
      </c>
      <c r="I5" s="67">
        <v>0</v>
      </c>
      <c r="J5" s="67">
        <v>0</v>
      </c>
      <c r="K5" s="67">
        <v>0</v>
      </c>
      <c r="L5" s="67">
        <v>0</v>
      </c>
      <c r="M5" s="67">
        <v>0</v>
      </c>
      <c r="N5" s="67">
        <v>0</v>
      </c>
      <c r="O5" s="67">
        <v>0</v>
      </c>
      <c r="P5" s="67">
        <v>0</v>
      </c>
      <c r="Q5" s="67">
        <v>0</v>
      </c>
      <c r="R5" s="67">
        <v>0</v>
      </c>
      <c r="S5" s="67">
        <v>0</v>
      </c>
      <c r="T5" s="67">
        <v>0</v>
      </c>
      <c r="U5" s="67">
        <v>0</v>
      </c>
      <c r="V5" s="67">
        <v>0</v>
      </c>
      <c r="W5" s="67">
        <v>0</v>
      </c>
      <c r="X5" s="67">
        <v>0</v>
      </c>
      <c r="Y5" s="67">
        <v>0</v>
      </c>
      <c r="Z5" s="67">
        <v>0</v>
      </c>
      <c r="AA5" s="67">
        <v>0</v>
      </c>
      <c r="AB5" s="67">
        <v>0</v>
      </c>
    </row>
    <row r="6" spans="1:28" x14ac:dyDescent="0.25">
      <c r="A6" s="67" t="s">
        <v>9</v>
      </c>
      <c r="B6" s="67">
        <v>0</v>
      </c>
      <c r="C6" s="67">
        <v>0</v>
      </c>
      <c r="D6" s="67">
        <v>0</v>
      </c>
      <c r="E6" s="67">
        <v>0</v>
      </c>
      <c r="F6" s="67">
        <v>0</v>
      </c>
      <c r="G6" s="67">
        <v>0</v>
      </c>
      <c r="H6" s="67">
        <v>0</v>
      </c>
      <c r="I6" s="67">
        <v>0</v>
      </c>
      <c r="J6" s="67">
        <v>0</v>
      </c>
      <c r="K6" s="67">
        <v>0</v>
      </c>
      <c r="L6" s="67">
        <v>0</v>
      </c>
      <c r="M6" s="67">
        <v>0</v>
      </c>
      <c r="N6" s="67">
        <v>0</v>
      </c>
      <c r="O6" s="67">
        <v>0</v>
      </c>
      <c r="P6" s="67">
        <v>0</v>
      </c>
      <c r="Q6" s="67">
        <v>0</v>
      </c>
      <c r="R6" s="67">
        <v>0</v>
      </c>
      <c r="S6" s="67">
        <v>0</v>
      </c>
      <c r="T6" s="67">
        <v>0</v>
      </c>
      <c r="U6" s="67">
        <v>0</v>
      </c>
      <c r="V6" s="67">
        <v>0</v>
      </c>
      <c r="W6" s="67">
        <v>0</v>
      </c>
      <c r="X6" s="67">
        <v>0</v>
      </c>
      <c r="Y6" s="67">
        <v>0</v>
      </c>
      <c r="Z6" s="67">
        <v>0</v>
      </c>
      <c r="AA6" s="67">
        <v>0</v>
      </c>
      <c r="AB6" s="67">
        <v>0</v>
      </c>
    </row>
    <row r="7" spans="1:28" x14ac:dyDescent="0.25">
      <c r="A7" s="67" t="s">
        <v>59</v>
      </c>
      <c r="B7" s="67">
        <v>0</v>
      </c>
      <c r="C7" s="67">
        <v>0</v>
      </c>
      <c r="D7" s="67">
        <v>0</v>
      </c>
      <c r="E7" s="67">
        <v>0</v>
      </c>
      <c r="F7" s="67">
        <v>0</v>
      </c>
      <c r="G7" s="67">
        <v>0</v>
      </c>
      <c r="H7" s="67">
        <v>0</v>
      </c>
      <c r="I7" s="67">
        <v>0</v>
      </c>
      <c r="J7" s="67">
        <v>0</v>
      </c>
      <c r="K7" s="67">
        <v>0</v>
      </c>
      <c r="L7" s="67">
        <v>0</v>
      </c>
      <c r="M7" s="67">
        <v>0</v>
      </c>
      <c r="N7" s="67">
        <v>0</v>
      </c>
      <c r="O7" s="67">
        <v>0</v>
      </c>
      <c r="P7" s="67">
        <v>0</v>
      </c>
      <c r="Q7" s="67">
        <v>0</v>
      </c>
      <c r="R7" s="67">
        <v>0</v>
      </c>
      <c r="S7" s="67">
        <v>0</v>
      </c>
      <c r="T7" s="67">
        <v>0</v>
      </c>
      <c r="U7" s="67">
        <v>0</v>
      </c>
      <c r="V7" s="67">
        <v>0</v>
      </c>
      <c r="W7" s="67">
        <v>0</v>
      </c>
      <c r="X7" s="67">
        <v>0</v>
      </c>
      <c r="Y7" s="67">
        <v>0</v>
      </c>
      <c r="Z7" s="67">
        <v>0</v>
      </c>
      <c r="AA7" s="67">
        <v>0</v>
      </c>
      <c r="AB7" s="67">
        <v>0</v>
      </c>
    </row>
    <row r="8" spans="1:28" x14ac:dyDescent="0.25">
      <c r="A8" s="67" t="s">
        <v>10</v>
      </c>
      <c r="B8" s="67">
        <v>0</v>
      </c>
      <c r="C8" s="67">
        <f>'Inflation Reduction Act'!F32*Percent_Urban</f>
        <v>650.4654739739334</v>
      </c>
      <c r="D8" s="67">
        <f>'Inflation Reduction Act'!G32*Percent_Urban</f>
        <v>650.4654739739334</v>
      </c>
      <c r="E8" s="67">
        <f>'Inflation Reduction Act'!H32*Percent_Urban</f>
        <v>650.4654739739334</v>
      </c>
      <c r="F8" s="67">
        <f>'Inflation Reduction Act'!I32*Percent_Urban</f>
        <v>650.4654739739334</v>
      </c>
      <c r="G8" s="67">
        <f>'Inflation Reduction Act'!J32*Percent_Urban</f>
        <v>650.4654739739334</v>
      </c>
      <c r="H8" s="67">
        <v>0</v>
      </c>
      <c r="I8" s="67">
        <v>0</v>
      </c>
      <c r="J8" s="67">
        <v>0</v>
      </c>
      <c r="K8" s="67">
        <v>0</v>
      </c>
      <c r="L8" s="67">
        <v>0</v>
      </c>
      <c r="M8" s="67">
        <v>0</v>
      </c>
      <c r="N8" s="67">
        <v>0</v>
      </c>
      <c r="O8" s="67">
        <v>0</v>
      </c>
      <c r="P8" s="67">
        <v>0</v>
      </c>
      <c r="Q8" s="67">
        <v>0</v>
      </c>
      <c r="R8" s="67">
        <v>0</v>
      </c>
      <c r="S8" s="67">
        <v>0</v>
      </c>
      <c r="T8" s="67">
        <v>0</v>
      </c>
      <c r="U8" s="67">
        <v>0</v>
      </c>
      <c r="V8" s="67">
        <v>0</v>
      </c>
      <c r="W8" s="67">
        <v>0</v>
      </c>
      <c r="X8" s="67">
        <v>0</v>
      </c>
      <c r="Y8" s="67">
        <v>0</v>
      </c>
      <c r="Z8" s="67">
        <v>0</v>
      </c>
      <c r="AA8" s="67">
        <v>0</v>
      </c>
      <c r="AB8" s="67">
        <v>0</v>
      </c>
    </row>
    <row r="9" spans="1:28" x14ac:dyDescent="0.25">
      <c r="A9" s="67" t="s">
        <v>11</v>
      </c>
      <c r="B9" s="67">
        <v>0</v>
      </c>
      <c r="C9" s="67">
        <v>0</v>
      </c>
      <c r="D9" s="67">
        <v>0</v>
      </c>
      <c r="E9" s="67">
        <v>0</v>
      </c>
      <c r="F9" s="67">
        <v>0</v>
      </c>
      <c r="G9" s="67">
        <v>0</v>
      </c>
      <c r="H9" s="67">
        <v>0</v>
      </c>
      <c r="I9" s="67">
        <v>0</v>
      </c>
      <c r="J9" s="67">
        <v>0</v>
      </c>
      <c r="K9" s="67">
        <v>0</v>
      </c>
      <c r="L9" s="67">
        <v>0</v>
      </c>
      <c r="M9" s="67">
        <v>0</v>
      </c>
      <c r="N9" s="67">
        <v>0</v>
      </c>
      <c r="O9" s="67">
        <v>0</v>
      </c>
      <c r="P9" s="67">
        <v>0</v>
      </c>
      <c r="Q9" s="67">
        <v>0</v>
      </c>
      <c r="R9" s="67">
        <v>0</v>
      </c>
      <c r="S9" s="67">
        <v>0</v>
      </c>
      <c r="T9" s="67">
        <v>0</v>
      </c>
      <c r="U9" s="67">
        <v>0</v>
      </c>
      <c r="V9" s="67">
        <v>0</v>
      </c>
      <c r="W9" s="67">
        <v>0</v>
      </c>
      <c r="X9" s="67">
        <v>0</v>
      </c>
      <c r="Y9" s="67">
        <v>0</v>
      </c>
      <c r="Z9" s="67">
        <v>0</v>
      </c>
      <c r="AA9" s="67">
        <v>0</v>
      </c>
      <c r="AB9" s="67">
        <v>0</v>
      </c>
    </row>
    <row r="10" spans="1:28" x14ac:dyDescent="0.25">
      <c r="A10" s="67" t="s">
        <v>12</v>
      </c>
      <c r="B10" s="67">
        <v>0</v>
      </c>
      <c r="C10" s="67">
        <v>0</v>
      </c>
      <c r="D10" s="67">
        <v>0</v>
      </c>
      <c r="E10" s="67">
        <v>0</v>
      </c>
      <c r="F10" s="67">
        <v>0</v>
      </c>
      <c r="G10" s="67">
        <v>0</v>
      </c>
      <c r="H10" s="67">
        <v>0</v>
      </c>
      <c r="I10" s="67">
        <v>0</v>
      </c>
      <c r="J10" s="67">
        <v>0</v>
      </c>
      <c r="K10" s="67">
        <v>0</v>
      </c>
      <c r="L10" s="67">
        <v>0</v>
      </c>
      <c r="M10" s="67">
        <v>0</v>
      </c>
      <c r="N10" s="67">
        <v>0</v>
      </c>
      <c r="O10" s="67">
        <v>0</v>
      </c>
      <c r="P10" s="67">
        <v>0</v>
      </c>
      <c r="Q10" s="67">
        <v>0</v>
      </c>
      <c r="R10" s="67">
        <v>0</v>
      </c>
      <c r="S10" s="67">
        <v>0</v>
      </c>
      <c r="T10" s="67">
        <v>0</v>
      </c>
      <c r="U10" s="67">
        <v>0</v>
      </c>
      <c r="V10" s="67">
        <v>0</v>
      </c>
      <c r="W10" s="67">
        <v>0</v>
      </c>
      <c r="X10" s="67">
        <v>0</v>
      </c>
      <c r="Y10" s="67">
        <v>0</v>
      </c>
      <c r="Z10" s="67">
        <v>0</v>
      </c>
      <c r="AA10" s="67">
        <v>0</v>
      </c>
      <c r="AB10" s="67">
        <v>0</v>
      </c>
    </row>
    <row r="11" spans="1:28" x14ac:dyDescent="0.25">
      <c r="A11" s="67" t="s">
        <v>13</v>
      </c>
      <c r="B11" s="67">
        <v>0</v>
      </c>
      <c r="C11" s="67">
        <v>0</v>
      </c>
      <c r="D11" s="67">
        <v>0</v>
      </c>
      <c r="E11" s="67">
        <v>0</v>
      </c>
      <c r="F11" s="67">
        <v>0</v>
      </c>
      <c r="G11" s="67">
        <v>0</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row>
    <row r="12" spans="1:28" x14ac:dyDescent="0.25">
      <c r="A12" s="67" t="s">
        <v>14</v>
      </c>
      <c r="B12" s="67">
        <v>0</v>
      </c>
      <c r="C12" s="67">
        <v>0</v>
      </c>
      <c r="D12" s="67">
        <v>0</v>
      </c>
      <c r="E12" s="67">
        <v>0</v>
      </c>
      <c r="F12" s="67">
        <v>0</v>
      </c>
      <c r="G12" s="67">
        <v>0</v>
      </c>
      <c r="H12" s="67">
        <v>0</v>
      </c>
      <c r="I12" s="67">
        <v>0</v>
      </c>
      <c r="J12" s="67">
        <v>0</v>
      </c>
      <c r="K12" s="67">
        <v>0</v>
      </c>
      <c r="L12" s="67">
        <v>0</v>
      </c>
      <c r="M12" s="67">
        <v>0</v>
      </c>
      <c r="N12" s="67">
        <v>0</v>
      </c>
      <c r="O12" s="67">
        <v>0</v>
      </c>
      <c r="P12" s="67">
        <v>0</v>
      </c>
      <c r="Q12" s="67">
        <v>0</v>
      </c>
      <c r="R12" s="67">
        <v>0</v>
      </c>
      <c r="S12" s="67">
        <v>0</v>
      </c>
      <c r="T12" s="67">
        <v>0</v>
      </c>
      <c r="U12" s="67">
        <v>0</v>
      </c>
      <c r="V12" s="67">
        <v>0</v>
      </c>
      <c r="W12" s="67">
        <v>0</v>
      </c>
      <c r="X12" s="67">
        <v>0</v>
      </c>
      <c r="Y12" s="67">
        <v>0</v>
      </c>
      <c r="Z12" s="67">
        <v>0</v>
      </c>
      <c r="AA12" s="67">
        <v>0</v>
      </c>
      <c r="AB12" s="67">
        <v>0</v>
      </c>
    </row>
    <row r="13" spans="1:28" x14ac:dyDescent="0.25">
      <c r="A13" s="67" t="s">
        <v>15</v>
      </c>
      <c r="B13" s="67">
        <v>0</v>
      </c>
      <c r="C13" s="67">
        <v>0</v>
      </c>
      <c r="D13" s="67">
        <v>0</v>
      </c>
      <c r="E13" s="67">
        <v>0</v>
      </c>
      <c r="F13" s="67">
        <v>0</v>
      </c>
      <c r="G13" s="67">
        <v>0</v>
      </c>
      <c r="H13" s="67">
        <v>0</v>
      </c>
      <c r="I13" s="67">
        <v>0</v>
      </c>
      <c r="J13" s="67">
        <v>0</v>
      </c>
      <c r="K13" s="67">
        <v>0</v>
      </c>
      <c r="L13" s="67">
        <v>0</v>
      </c>
      <c r="M13" s="67">
        <v>0</v>
      </c>
      <c r="N13" s="67">
        <v>0</v>
      </c>
      <c r="O13" s="67">
        <v>0</v>
      </c>
      <c r="P13" s="67">
        <v>0</v>
      </c>
      <c r="Q13" s="67">
        <v>0</v>
      </c>
      <c r="R13" s="67">
        <v>0</v>
      </c>
      <c r="S13" s="67">
        <v>0</v>
      </c>
      <c r="T13" s="67">
        <v>0</v>
      </c>
      <c r="U13" s="67">
        <v>0</v>
      </c>
      <c r="V13" s="67">
        <v>0</v>
      </c>
      <c r="W13" s="67">
        <v>0</v>
      </c>
      <c r="X13" s="67">
        <v>0</v>
      </c>
      <c r="Y13" s="67">
        <v>0</v>
      </c>
      <c r="Z13" s="67">
        <v>0</v>
      </c>
      <c r="AA13" s="67">
        <v>0</v>
      </c>
      <c r="AB13" s="67">
        <v>0</v>
      </c>
    </row>
    <row r="14" spans="1:28" x14ac:dyDescent="0.25">
      <c r="A14" s="67" t="s">
        <v>57</v>
      </c>
      <c r="B14" s="67">
        <v>0</v>
      </c>
      <c r="C14" s="67">
        <v>0</v>
      </c>
      <c r="D14" s="67">
        <v>0</v>
      </c>
      <c r="E14" s="67">
        <v>0</v>
      </c>
      <c r="F14" s="67">
        <v>0</v>
      </c>
      <c r="G14" s="67">
        <v>0</v>
      </c>
      <c r="H14" s="67">
        <v>0</v>
      </c>
      <c r="I14" s="67">
        <v>0</v>
      </c>
      <c r="J14" s="67">
        <v>0</v>
      </c>
      <c r="K14" s="67">
        <v>0</v>
      </c>
      <c r="L14" s="67">
        <v>0</v>
      </c>
      <c r="M14" s="67">
        <v>0</v>
      </c>
      <c r="N14" s="67">
        <v>0</v>
      </c>
      <c r="O14" s="67">
        <v>0</v>
      </c>
      <c r="P14" s="67">
        <v>0</v>
      </c>
      <c r="Q14" s="67">
        <v>0</v>
      </c>
      <c r="R14" s="67">
        <v>0</v>
      </c>
      <c r="S14" s="67">
        <v>0</v>
      </c>
      <c r="T14" s="67">
        <v>0</v>
      </c>
      <c r="U14" s="67">
        <v>0</v>
      </c>
      <c r="V14" s="67">
        <v>0</v>
      </c>
      <c r="W14" s="67">
        <v>0</v>
      </c>
      <c r="X14" s="67">
        <v>0</v>
      </c>
      <c r="Y14" s="67">
        <v>0</v>
      </c>
      <c r="Z14" s="67">
        <v>0</v>
      </c>
      <c r="AA14" s="67">
        <v>0</v>
      </c>
      <c r="AB14" s="67">
        <v>0</v>
      </c>
    </row>
    <row r="15" spans="1:28" x14ac:dyDescent="0.25">
      <c r="A15" s="67" t="s">
        <v>60</v>
      </c>
      <c r="B15" s="67">
        <v>0</v>
      </c>
      <c r="C15" s="67">
        <v>0</v>
      </c>
      <c r="D15" s="67">
        <v>0</v>
      </c>
      <c r="E15" s="67">
        <v>0</v>
      </c>
      <c r="F15" s="67">
        <v>0</v>
      </c>
      <c r="G15" s="67">
        <v>0</v>
      </c>
      <c r="H15" s="67">
        <v>0</v>
      </c>
      <c r="I15" s="67">
        <v>0</v>
      </c>
      <c r="J15" s="67">
        <v>0</v>
      </c>
      <c r="K15" s="67">
        <v>0</v>
      </c>
      <c r="L15" s="67">
        <v>0</v>
      </c>
      <c r="M15" s="67">
        <v>0</v>
      </c>
      <c r="N15" s="67">
        <v>0</v>
      </c>
      <c r="O15" s="67">
        <v>0</v>
      </c>
      <c r="P15" s="67">
        <v>0</v>
      </c>
      <c r="Q15" s="67">
        <v>0</v>
      </c>
      <c r="R15" s="67">
        <v>0</v>
      </c>
      <c r="S15" s="67">
        <v>0</v>
      </c>
      <c r="T15" s="67">
        <v>0</v>
      </c>
      <c r="U15" s="67">
        <v>0</v>
      </c>
      <c r="V15" s="67">
        <v>0</v>
      </c>
      <c r="W15" s="67">
        <v>0</v>
      </c>
      <c r="X15" s="67">
        <v>0</v>
      </c>
      <c r="Y15" s="67">
        <v>0</v>
      </c>
      <c r="Z15" s="67">
        <v>0</v>
      </c>
      <c r="AA15" s="67">
        <v>0</v>
      </c>
      <c r="AB15" s="67">
        <v>0</v>
      </c>
    </row>
    <row r="16" spans="1:28" x14ac:dyDescent="0.25">
      <c r="A16" s="67" t="s">
        <v>158</v>
      </c>
      <c r="B16" s="67">
        <v>0</v>
      </c>
      <c r="C16" s="67">
        <v>0</v>
      </c>
      <c r="D16" s="67">
        <v>0</v>
      </c>
      <c r="E16" s="67">
        <v>0</v>
      </c>
      <c r="F16" s="67">
        <v>0</v>
      </c>
      <c r="G16" s="67">
        <v>0</v>
      </c>
      <c r="H16" s="67">
        <v>0</v>
      </c>
      <c r="I16" s="67">
        <v>0</v>
      </c>
      <c r="J16" s="67">
        <v>0</v>
      </c>
      <c r="K16" s="67">
        <v>0</v>
      </c>
      <c r="L16" s="67">
        <v>0</v>
      </c>
      <c r="M16" s="67">
        <v>0</v>
      </c>
      <c r="N16" s="67">
        <v>0</v>
      </c>
      <c r="O16" s="67">
        <v>0</v>
      </c>
      <c r="P16" s="67">
        <v>0</v>
      </c>
      <c r="Q16" s="67">
        <v>0</v>
      </c>
      <c r="R16" s="67">
        <v>0</v>
      </c>
      <c r="S16" s="67">
        <v>0</v>
      </c>
      <c r="T16" s="67">
        <v>0</v>
      </c>
      <c r="U16" s="67">
        <v>0</v>
      </c>
      <c r="V16" s="67">
        <v>0</v>
      </c>
      <c r="W16" s="67">
        <v>0</v>
      </c>
      <c r="X16" s="67">
        <v>0</v>
      </c>
      <c r="Y16" s="67">
        <v>0</v>
      </c>
      <c r="Z16" s="67">
        <v>0</v>
      </c>
      <c r="AA16" s="67">
        <v>0</v>
      </c>
      <c r="AB16" s="67">
        <v>0</v>
      </c>
    </row>
    <row r="17" spans="1:28" x14ac:dyDescent="0.25">
      <c r="A17" s="67" t="s">
        <v>159</v>
      </c>
      <c r="B17" s="67">
        <v>0</v>
      </c>
      <c r="C17" s="67">
        <v>0</v>
      </c>
      <c r="D17" s="67">
        <v>0</v>
      </c>
      <c r="E17" s="67">
        <v>0</v>
      </c>
      <c r="F17" s="67">
        <v>0</v>
      </c>
      <c r="G17" s="67">
        <v>0</v>
      </c>
      <c r="H17" s="67">
        <v>0</v>
      </c>
      <c r="I17" s="67">
        <v>0</v>
      </c>
      <c r="J17" s="67">
        <v>0</v>
      </c>
      <c r="K17" s="67">
        <v>0</v>
      </c>
      <c r="L17" s="67">
        <v>0</v>
      </c>
      <c r="M17" s="67">
        <v>0</v>
      </c>
      <c r="N17" s="67">
        <v>0</v>
      </c>
      <c r="O17" s="67">
        <v>0</v>
      </c>
      <c r="P17" s="67">
        <v>0</v>
      </c>
      <c r="Q17" s="67">
        <v>0</v>
      </c>
      <c r="R17" s="67">
        <v>0</v>
      </c>
      <c r="S17" s="67">
        <v>0</v>
      </c>
      <c r="T17" s="67">
        <v>0</v>
      </c>
      <c r="U17" s="67">
        <v>0</v>
      </c>
      <c r="V17" s="67">
        <v>0</v>
      </c>
      <c r="W17" s="67">
        <v>0</v>
      </c>
      <c r="X17" s="67">
        <v>0</v>
      </c>
      <c r="Y17" s="67">
        <v>0</v>
      </c>
      <c r="Z17" s="67">
        <v>0</v>
      </c>
      <c r="AA17" s="67">
        <v>0</v>
      </c>
      <c r="AB17" s="67">
        <v>0</v>
      </c>
    </row>
    <row r="18" spans="1:28" x14ac:dyDescent="0.25">
      <c r="A18" s="67" t="s">
        <v>160</v>
      </c>
      <c r="B18" s="67">
        <v>0</v>
      </c>
      <c r="C18" s="67">
        <v>0</v>
      </c>
      <c r="D18" s="67">
        <v>0</v>
      </c>
      <c r="E18" s="67">
        <v>0</v>
      </c>
      <c r="F18" s="67">
        <v>0</v>
      </c>
      <c r="G18" s="67">
        <v>0</v>
      </c>
      <c r="H18" s="67">
        <v>0</v>
      </c>
      <c r="I18" s="67">
        <v>0</v>
      </c>
      <c r="J18" s="67">
        <v>0</v>
      </c>
      <c r="K18" s="67">
        <v>0</v>
      </c>
      <c r="L18" s="67">
        <v>0</v>
      </c>
      <c r="M18" s="67">
        <v>0</v>
      </c>
      <c r="N18" s="67">
        <v>0</v>
      </c>
      <c r="O18" s="67">
        <v>0</v>
      </c>
      <c r="P18" s="67">
        <v>0</v>
      </c>
      <c r="Q18" s="67">
        <v>0</v>
      </c>
      <c r="R18" s="67">
        <v>0</v>
      </c>
      <c r="S18" s="67">
        <v>0</v>
      </c>
      <c r="T18" s="67">
        <v>0</v>
      </c>
      <c r="U18" s="67">
        <v>0</v>
      </c>
      <c r="V18" s="67">
        <v>0</v>
      </c>
      <c r="W18" s="67">
        <v>0</v>
      </c>
      <c r="X18" s="67">
        <v>0</v>
      </c>
      <c r="Y18" s="67">
        <v>0</v>
      </c>
      <c r="Z18" s="67">
        <v>0</v>
      </c>
      <c r="AA18" s="67">
        <v>0</v>
      </c>
      <c r="AB18" s="67">
        <v>0</v>
      </c>
    </row>
    <row r="19" spans="1:28" x14ac:dyDescent="0.25">
      <c r="A19" s="68" t="s">
        <v>328</v>
      </c>
      <c r="B19" s="67">
        <v>0</v>
      </c>
      <c r="C19" s="67">
        <v>0</v>
      </c>
      <c r="D19" s="67">
        <v>0</v>
      </c>
      <c r="E19" s="67">
        <v>0</v>
      </c>
      <c r="F19" s="67">
        <v>0</v>
      </c>
      <c r="G19" s="67">
        <v>0</v>
      </c>
      <c r="H19" s="67">
        <v>0</v>
      </c>
      <c r="I19" s="67">
        <v>0</v>
      </c>
      <c r="J19" s="67">
        <v>0</v>
      </c>
      <c r="K19" s="67">
        <v>0</v>
      </c>
      <c r="L19" s="67">
        <v>0</v>
      </c>
      <c r="M19" s="67">
        <v>0</v>
      </c>
      <c r="N19" s="67">
        <v>0</v>
      </c>
      <c r="O19" s="67">
        <v>0</v>
      </c>
      <c r="P19" s="67">
        <v>0</v>
      </c>
      <c r="Q19" s="67">
        <v>0</v>
      </c>
      <c r="R19" s="67">
        <v>0</v>
      </c>
      <c r="S19" s="67">
        <v>0</v>
      </c>
      <c r="T19" s="67">
        <v>0</v>
      </c>
      <c r="U19" s="67">
        <v>0</v>
      </c>
      <c r="V19" s="67">
        <v>0</v>
      </c>
      <c r="W19" s="67">
        <v>0</v>
      </c>
      <c r="X19" s="67">
        <v>0</v>
      </c>
      <c r="Y19" s="67">
        <v>0</v>
      </c>
      <c r="Z19" s="67">
        <v>0</v>
      </c>
      <c r="AA19" s="67">
        <v>0</v>
      </c>
      <c r="AB19" s="67">
        <v>0</v>
      </c>
    </row>
    <row r="20" spans="1:28" x14ac:dyDescent="0.25">
      <c r="A20" s="68" t="s">
        <v>329</v>
      </c>
      <c r="B20" s="67">
        <v>0</v>
      </c>
      <c r="C20" s="67">
        <v>0</v>
      </c>
      <c r="D20" s="67">
        <v>0</v>
      </c>
      <c r="E20" s="67">
        <v>0</v>
      </c>
      <c r="F20" s="67">
        <v>0</v>
      </c>
      <c r="G20" s="67">
        <v>0</v>
      </c>
      <c r="H20" s="67">
        <v>0</v>
      </c>
      <c r="I20" s="67">
        <v>0</v>
      </c>
      <c r="J20" s="67">
        <v>0</v>
      </c>
      <c r="K20" s="67">
        <v>0</v>
      </c>
      <c r="L20" s="67">
        <v>0</v>
      </c>
      <c r="M20" s="67">
        <v>0</v>
      </c>
      <c r="N20" s="67">
        <v>0</v>
      </c>
      <c r="O20" s="67">
        <v>0</v>
      </c>
      <c r="P20" s="67">
        <v>0</v>
      </c>
      <c r="Q20" s="67">
        <v>0</v>
      </c>
      <c r="R20" s="67">
        <v>0</v>
      </c>
      <c r="S20" s="67">
        <v>0</v>
      </c>
      <c r="T20" s="67">
        <v>0</v>
      </c>
      <c r="U20" s="67">
        <v>0</v>
      </c>
      <c r="V20" s="67">
        <v>0</v>
      </c>
      <c r="W20" s="67">
        <v>0</v>
      </c>
      <c r="X20" s="67">
        <v>0</v>
      </c>
      <c r="Y20" s="67">
        <v>0</v>
      </c>
      <c r="Z20" s="67">
        <v>0</v>
      </c>
      <c r="AA20" s="67">
        <v>0</v>
      </c>
      <c r="AB20" s="67">
        <v>0</v>
      </c>
    </row>
    <row r="21" spans="1:28" x14ac:dyDescent="0.25">
      <c r="A21" s="68" t="s">
        <v>330</v>
      </c>
      <c r="B21" s="67">
        <v>0</v>
      </c>
      <c r="C21" s="67">
        <v>0</v>
      </c>
      <c r="D21" s="67">
        <v>0</v>
      </c>
      <c r="E21" s="67">
        <v>0</v>
      </c>
      <c r="F21" s="67">
        <v>0</v>
      </c>
      <c r="G21" s="67">
        <v>0</v>
      </c>
      <c r="H21" s="67">
        <v>0</v>
      </c>
      <c r="I21" s="67">
        <v>0</v>
      </c>
      <c r="J21" s="67">
        <v>0</v>
      </c>
      <c r="K21" s="67">
        <v>0</v>
      </c>
      <c r="L21" s="67">
        <v>0</v>
      </c>
      <c r="M21" s="67">
        <v>0</v>
      </c>
      <c r="N21" s="67">
        <v>0</v>
      </c>
      <c r="O21" s="67">
        <v>0</v>
      </c>
      <c r="P21" s="67">
        <v>0</v>
      </c>
      <c r="Q21" s="67">
        <v>0</v>
      </c>
      <c r="R21" s="67">
        <v>0</v>
      </c>
      <c r="S21" s="67">
        <v>0</v>
      </c>
      <c r="T21" s="67">
        <v>0</v>
      </c>
      <c r="U21" s="67">
        <v>0</v>
      </c>
      <c r="V21" s="67">
        <v>0</v>
      </c>
      <c r="W21" s="67">
        <v>0</v>
      </c>
      <c r="X21" s="67">
        <v>0</v>
      </c>
      <c r="Y21" s="67">
        <v>0</v>
      </c>
      <c r="Z21" s="67">
        <v>0</v>
      </c>
      <c r="AA21" s="67">
        <v>0</v>
      </c>
      <c r="AB21" s="67">
        <v>0</v>
      </c>
    </row>
    <row r="22" spans="1:28" x14ac:dyDescent="0.25">
      <c r="A22" s="68" t="s">
        <v>331</v>
      </c>
      <c r="B22" s="67">
        <v>0</v>
      </c>
      <c r="C22" s="67">
        <v>0</v>
      </c>
      <c r="D22" s="67">
        <v>0</v>
      </c>
      <c r="E22" s="67">
        <v>0</v>
      </c>
      <c r="F22" s="67">
        <v>0</v>
      </c>
      <c r="G22" s="67">
        <v>0</v>
      </c>
      <c r="H22" s="67">
        <v>0</v>
      </c>
      <c r="I22" s="67">
        <v>0</v>
      </c>
      <c r="J22" s="67">
        <v>0</v>
      </c>
      <c r="K22" s="67">
        <v>0</v>
      </c>
      <c r="L22" s="67">
        <v>0</v>
      </c>
      <c r="M22" s="67">
        <v>0</v>
      </c>
      <c r="N22" s="67">
        <v>0</v>
      </c>
      <c r="O22" s="67">
        <v>0</v>
      </c>
      <c r="P22" s="67">
        <v>0</v>
      </c>
      <c r="Q22" s="67">
        <v>0</v>
      </c>
      <c r="R22" s="67">
        <v>0</v>
      </c>
      <c r="S22" s="67">
        <v>0</v>
      </c>
      <c r="T22" s="67">
        <v>0</v>
      </c>
      <c r="U22" s="67">
        <v>0</v>
      </c>
      <c r="V22" s="67">
        <v>0</v>
      </c>
      <c r="W22" s="67">
        <v>0</v>
      </c>
      <c r="X22" s="67">
        <v>0</v>
      </c>
      <c r="Y22" s="67">
        <v>0</v>
      </c>
      <c r="Z22" s="67">
        <v>0</v>
      </c>
      <c r="AA22" s="67">
        <v>0</v>
      </c>
      <c r="AB22" s="67">
        <v>0</v>
      </c>
    </row>
    <row r="23" spans="1:28" x14ac:dyDescent="0.25">
      <c r="A23" s="68" t="s">
        <v>332</v>
      </c>
      <c r="B23" s="67">
        <v>0</v>
      </c>
      <c r="C23" s="67">
        <v>0</v>
      </c>
      <c r="D23" s="67">
        <v>0</v>
      </c>
      <c r="E23" s="67">
        <v>0</v>
      </c>
      <c r="F23" s="67">
        <v>0</v>
      </c>
      <c r="G23" s="67">
        <v>0</v>
      </c>
      <c r="H23" s="67">
        <v>0</v>
      </c>
      <c r="I23" s="67">
        <v>0</v>
      </c>
      <c r="J23" s="67">
        <v>0</v>
      </c>
      <c r="K23" s="67">
        <v>0</v>
      </c>
      <c r="L23" s="67">
        <v>0</v>
      </c>
      <c r="M23" s="67">
        <v>0</v>
      </c>
      <c r="N23" s="67">
        <v>0</v>
      </c>
      <c r="O23" s="67">
        <v>0</v>
      </c>
      <c r="P23" s="67">
        <v>0</v>
      </c>
      <c r="Q23" s="67">
        <v>0</v>
      </c>
      <c r="R23" s="67">
        <v>0</v>
      </c>
      <c r="S23" s="67">
        <v>0</v>
      </c>
      <c r="T23" s="67">
        <v>0</v>
      </c>
      <c r="U23" s="67">
        <v>0</v>
      </c>
      <c r="V23" s="67">
        <v>0</v>
      </c>
      <c r="W23" s="67">
        <v>0</v>
      </c>
      <c r="X23" s="67">
        <v>0</v>
      </c>
      <c r="Y23" s="67">
        <v>0</v>
      </c>
      <c r="Z23" s="67">
        <v>0</v>
      </c>
      <c r="AA23" s="67">
        <v>0</v>
      </c>
      <c r="AB23" s="67">
        <v>0</v>
      </c>
    </row>
    <row r="24" spans="1:28" x14ac:dyDescent="0.25">
      <c r="A24" s="69" t="s">
        <v>333</v>
      </c>
      <c r="B24" s="67">
        <v>0</v>
      </c>
      <c r="C24" s="67">
        <v>0</v>
      </c>
      <c r="D24" s="67">
        <v>0</v>
      </c>
      <c r="E24" s="67">
        <v>0</v>
      </c>
      <c r="F24" s="67">
        <v>0</v>
      </c>
      <c r="G24" s="67">
        <v>0</v>
      </c>
      <c r="H24" s="67">
        <v>0</v>
      </c>
      <c r="I24" s="67">
        <v>0</v>
      </c>
      <c r="J24" s="67">
        <v>0</v>
      </c>
      <c r="K24" s="67">
        <v>0</v>
      </c>
      <c r="L24" s="67">
        <v>0</v>
      </c>
      <c r="M24" s="67">
        <v>0</v>
      </c>
      <c r="N24" s="67">
        <v>0</v>
      </c>
      <c r="O24" s="67">
        <v>0</v>
      </c>
      <c r="P24" s="67">
        <v>0</v>
      </c>
      <c r="Q24" s="67">
        <v>0</v>
      </c>
      <c r="R24" s="67">
        <v>0</v>
      </c>
      <c r="S24" s="67">
        <v>0</v>
      </c>
      <c r="T24" s="67">
        <v>0</v>
      </c>
      <c r="U24" s="67">
        <v>0</v>
      </c>
      <c r="V24" s="67">
        <v>0</v>
      </c>
      <c r="W24" s="67">
        <v>0</v>
      </c>
      <c r="X24" s="67">
        <v>0</v>
      </c>
      <c r="Y24" s="67">
        <v>0</v>
      </c>
      <c r="Z24" s="67">
        <v>0</v>
      </c>
      <c r="AA24" s="67">
        <v>0</v>
      </c>
      <c r="AB24" s="67">
        <v>0</v>
      </c>
    </row>
    <row r="25" spans="1:28" x14ac:dyDescent="0.25">
      <c r="A25" s="69" t="s">
        <v>334</v>
      </c>
      <c r="B25" s="67">
        <v>0</v>
      </c>
      <c r="C25" s="67">
        <v>0</v>
      </c>
      <c r="D25" s="67">
        <v>0</v>
      </c>
      <c r="E25" s="67">
        <v>0</v>
      </c>
      <c r="F25" s="67">
        <v>0</v>
      </c>
      <c r="G25" s="67">
        <v>0</v>
      </c>
      <c r="H25" s="67">
        <v>0</v>
      </c>
      <c r="I25" s="67">
        <v>0</v>
      </c>
      <c r="J25" s="67">
        <v>0</v>
      </c>
      <c r="K25" s="67">
        <v>0</v>
      </c>
      <c r="L25" s="67">
        <v>0</v>
      </c>
      <c r="M25" s="67">
        <v>0</v>
      </c>
      <c r="N25" s="67">
        <v>0</v>
      </c>
      <c r="O25" s="67">
        <v>0</v>
      </c>
      <c r="P25" s="67">
        <v>0</v>
      </c>
      <c r="Q25" s="67">
        <v>0</v>
      </c>
      <c r="R25" s="67">
        <v>0</v>
      </c>
      <c r="S25" s="67">
        <v>0</v>
      </c>
      <c r="T25" s="67">
        <v>0</v>
      </c>
      <c r="U25" s="67">
        <v>0</v>
      </c>
      <c r="V25" s="67">
        <v>0</v>
      </c>
      <c r="W25" s="67">
        <v>0</v>
      </c>
      <c r="X25" s="67">
        <v>0</v>
      </c>
      <c r="Y25" s="67">
        <v>0</v>
      </c>
      <c r="Z25" s="67">
        <v>0</v>
      </c>
      <c r="AA25" s="67">
        <v>0</v>
      </c>
      <c r="AB25" s="67">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02AF-C834-4E89-AF7D-9D59E8DB452E}">
  <sheetPr>
    <tabColor theme="3"/>
  </sheetPr>
  <dimension ref="A1:AB25"/>
  <sheetViews>
    <sheetView workbookViewId="0">
      <selection activeCell="J23" sqref="J23"/>
    </sheetView>
  </sheetViews>
  <sheetFormatPr defaultColWidth="8.7109375" defaultRowHeight="15" x14ac:dyDescent="0.25"/>
  <cols>
    <col min="1" max="1" width="23.42578125" customWidth="1"/>
    <col min="2" max="28" width="9.5703125" bestFit="1" customWidth="1"/>
  </cols>
  <sheetData>
    <row r="1" spans="1:28" x14ac:dyDescent="0.25">
      <c r="A1" t="s">
        <v>161</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58</v>
      </c>
      <c r="B2" s="59">
        <v>0</v>
      </c>
      <c r="C2" s="59">
        <v>0</v>
      </c>
      <c r="D2" s="59">
        <v>0</v>
      </c>
      <c r="E2" s="59">
        <v>0</v>
      </c>
      <c r="F2" s="59">
        <v>0</v>
      </c>
      <c r="G2" s="59">
        <v>0</v>
      </c>
      <c r="H2" s="59">
        <v>0</v>
      </c>
      <c r="I2" s="59">
        <v>0</v>
      </c>
      <c r="J2" s="59">
        <v>0</v>
      </c>
      <c r="K2" s="59">
        <v>0</v>
      </c>
      <c r="L2" s="59">
        <v>0</v>
      </c>
      <c r="M2" s="59">
        <v>0</v>
      </c>
      <c r="N2" s="59">
        <v>0</v>
      </c>
      <c r="O2" s="59">
        <v>0</v>
      </c>
      <c r="P2" s="59">
        <v>0</v>
      </c>
      <c r="Q2" s="59">
        <v>0</v>
      </c>
      <c r="R2" s="59">
        <v>0</v>
      </c>
      <c r="S2" s="59">
        <v>0</v>
      </c>
      <c r="T2" s="59">
        <v>0</v>
      </c>
      <c r="U2" s="59">
        <v>0</v>
      </c>
      <c r="V2" s="59">
        <v>0</v>
      </c>
      <c r="W2" s="59">
        <v>0</v>
      </c>
      <c r="X2" s="59">
        <v>0</v>
      </c>
      <c r="Y2" s="59">
        <v>0</v>
      </c>
      <c r="Z2" s="59">
        <v>0</v>
      </c>
      <c r="AA2" s="59">
        <v>0</v>
      </c>
      <c r="AB2" s="59">
        <v>0</v>
      </c>
    </row>
    <row r="3" spans="1:28" x14ac:dyDescent="0.25">
      <c r="A3" t="s">
        <v>326</v>
      </c>
      <c r="B3" s="59">
        <v>0</v>
      </c>
      <c r="C3" s="59">
        <v>0</v>
      </c>
      <c r="D3" s="59">
        <v>0</v>
      </c>
      <c r="E3" s="59">
        <v>0</v>
      </c>
      <c r="F3" s="59">
        <v>0</v>
      </c>
      <c r="G3" s="59">
        <v>0</v>
      </c>
      <c r="H3" s="59">
        <v>0</v>
      </c>
      <c r="I3" s="59">
        <v>0</v>
      </c>
      <c r="J3" s="59">
        <v>0</v>
      </c>
      <c r="K3" s="59">
        <v>0</v>
      </c>
      <c r="L3" s="59">
        <v>0</v>
      </c>
      <c r="M3" s="59">
        <v>0</v>
      </c>
      <c r="N3" s="59">
        <v>0</v>
      </c>
      <c r="O3" s="59">
        <v>0</v>
      </c>
      <c r="P3" s="59">
        <v>0</v>
      </c>
      <c r="Q3" s="59">
        <v>0</v>
      </c>
      <c r="R3" s="59">
        <v>0</v>
      </c>
      <c r="S3" s="59">
        <v>0</v>
      </c>
      <c r="T3" s="59">
        <v>0</v>
      </c>
      <c r="U3" s="59">
        <v>0</v>
      </c>
      <c r="V3" s="59">
        <v>0</v>
      </c>
      <c r="W3" s="59">
        <v>0</v>
      </c>
      <c r="X3" s="59">
        <v>0</v>
      </c>
      <c r="Y3" s="59">
        <v>0</v>
      </c>
      <c r="Z3" s="59">
        <v>0</v>
      </c>
      <c r="AA3" s="59">
        <v>0</v>
      </c>
      <c r="AB3" s="59">
        <v>0</v>
      </c>
    </row>
    <row r="4" spans="1:28" x14ac:dyDescent="0.25">
      <c r="A4" t="s">
        <v>327</v>
      </c>
      <c r="B4" s="59">
        <v>0</v>
      </c>
      <c r="C4" s="59">
        <v>0</v>
      </c>
      <c r="D4" s="59">
        <v>0</v>
      </c>
      <c r="E4" s="59">
        <v>0</v>
      </c>
      <c r="F4" s="59">
        <v>0</v>
      </c>
      <c r="G4" s="59">
        <v>0</v>
      </c>
      <c r="H4" s="59">
        <v>0</v>
      </c>
      <c r="I4" s="59">
        <v>0</v>
      </c>
      <c r="J4" s="59">
        <v>0</v>
      </c>
      <c r="K4" s="59">
        <v>0</v>
      </c>
      <c r="L4" s="59">
        <v>0</v>
      </c>
      <c r="M4" s="59">
        <v>0</v>
      </c>
      <c r="N4" s="59">
        <v>0</v>
      </c>
      <c r="O4" s="59">
        <v>0</v>
      </c>
      <c r="P4" s="59">
        <v>0</v>
      </c>
      <c r="Q4" s="59">
        <v>0</v>
      </c>
      <c r="R4" s="59">
        <v>0</v>
      </c>
      <c r="S4" s="59">
        <v>0</v>
      </c>
      <c r="T4" s="59">
        <v>0</v>
      </c>
      <c r="U4" s="59">
        <v>0</v>
      </c>
      <c r="V4" s="59">
        <v>0</v>
      </c>
      <c r="W4" s="59">
        <v>0</v>
      </c>
      <c r="X4" s="59">
        <v>0</v>
      </c>
      <c r="Y4" s="59">
        <v>0</v>
      </c>
      <c r="Z4" s="59">
        <v>0</v>
      </c>
      <c r="AA4" s="59">
        <v>0</v>
      </c>
      <c r="AB4" s="59">
        <v>0</v>
      </c>
    </row>
    <row r="5" spans="1:28" x14ac:dyDescent="0.25">
      <c r="A5" t="s">
        <v>8</v>
      </c>
      <c r="B5" s="59">
        <v>0</v>
      </c>
      <c r="C5" s="59">
        <v>0</v>
      </c>
      <c r="D5" s="59">
        <v>0</v>
      </c>
      <c r="E5" s="59">
        <v>0</v>
      </c>
      <c r="F5" s="59">
        <v>0</v>
      </c>
      <c r="G5" s="59">
        <v>0</v>
      </c>
      <c r="H5" s="59">
        <v>0</v>
      </c>
      <c r="I5" s="59">
        <v>0</v>
      </c>
      <c r="J5" s="59">
        <v>0</v>
      </c>
      <c r="K5" s="59">
        <v>0</v>
      </c>
      <c r="L5" s="59">
        <v>0</v>
      </c>
      <c r="M5" s="59">
        <v>0</v>
      </c>
      <c r="N5" s="59">
        <v>0</v>
      </c>
      <c r="O5" s="59">
        <v>0</v>
      </c>
      <c r="P5" s="59">
        <v>0</v>
      </c>
      <c r="Q5" s="59">
        <v>0</v>
      </c>
      <c r="R5" s="59">
        <v>0</v>
      </c>
      <c r="S5" s="59">
        <v>0</v>
      </c>
      <c r="T5" s="59">
        <v>0</v>
      </c>
      <c r="U5" s="59">
        <v>0</v>
      </c>
      <c r="V5" s="59">
        <v>0</v>
      </c>
      <c r="W5" s="59">
        <v>0</v>
      </c>
      <c r="X5" s="59">
        <v>0</v>
      </c>
      <c r="Y5" s="59">
        <v>0</v>
      </c>
      <c r="Z5" s="59">
        <v>0</v>
      </c>
      <c r="AA5" s="59">
        <v>0</v>
      </c>
      <c r="AB5" s="59">
        <v>0</v>
      </c>
    </row>
    <row r="6" spans="1:28" x14ac:dyDescent="0.25">
      <c r="A6" t="s">
        <v>9</v>
      </c>
      <c r="B6" s="59">
        <v>0</v>
      </c>
      <c r="C6" s="59">
        <v>0</v>
      </c>
      <c r="D6" s="59">
        <v>0</v>
      </c>
      <c r="E6" s="59">
        <v>0</v>
      </c>
      <c r="F6" s="59">
        <v>0</v>
      </c>
      <c r="G6" s="59">
        <v>0</v>
      </c>
      <c r="H6" s="59">
        <v>0</v>
      </c>
      <c r="I6" s="59">
        <v>0</v>
      </c>
      <c r="J6" s="59">
        <v>0</v>
      </c>
      <c r="K6" s="59">
        <v>0</v>
      </c>
      <c r="L6" s="59">
        <v>0</v>
      </c>
      <c r="M6" s="59">
        <v>0</v>
      </c>
      <c r="N6" s="59">
        <v>0</v>
      </c>
      <c r="O6" s="59">
        <v>0</v>
      </c>
      <c r="P6" s="59">
        <v>0</v>
      </c>
      <c r="Q6" s="59">
        <v>0</v>
      </c>
      <c r="R6" s="59">
        <v>0</v>
      </c>
      <c r="S6" s="59">
        <v>0</v>
      </c>
      <c r="T6" s="59">
        <v>0</v>
      </c>
      <c r="U6" s="59">
        <v>0</v>
      </c>
      <c r="V6" s="59">
        <v>0</v>
      </c>
      <c r="W6" s="59">
        <v>0</v>
      </c>
      <c r="X6" s="59">
        <v>0</v>
      </c>
      <c r="Y6" s="59">
        <v>0</v>
      </c>
      <c r="Z6" s="59">
        <v>0</v>
      </c>
      <c r="AA6" s="59">
        <v>0</v>
      </c>
      <c r="AB6" s="59">
        <v>0</v>
      </c>
    </row>
    <row r="7" spans="1:28" x14ac:dyDescent="0.25">
      <c r="A7" t="s">
        <v>59</v>
      </c>
      <c r="B7" s="59">
        <v>0</v>
      </c>
      <c r="C7" s="59">
        <v>0</v>
      </c>
      <c r="D7" s="59">
        <v>0</v>
      </c>
      <c r="E7" s="59">
        <v>0</v>
      </c>
      <c r="F7" s="59">
        <v>0</v>
      </c>
      <c r="G7" s="59">
        <v>0</v>
      </c>
      <c r="H7" s="59">
        <v>0</v>
      </c>
      <c r="I7" s="59">
        <v>0</v>
      </c>
      <c r="J7" s="59">
        <v>0</v>
      </c>
      <c r="K7" s="59">
        <v>0</v>
      </c>
      <c r="L7" s="59">
        <v>0</v>
      </c>
      <c r="M7" s="59">
        <v>0</v>
      </c>
      <c r="N7" s="59">
        <v>0</v>
      </c>
      <c r="O7" s="59">
        <v>0</v>
      </c>
      <c r="P7" s="59">
        <v>0</v>
      </c>
      <c r="Q7" s="59">
        <v>0</v>
      </c>
      <c r="R7" s="59">
        <v>0</v>
      </c>
      <c r="S7" s="59">
        <v>0</v>
      </c>
      <c r="T7" s="59">
        <v>0</v>
      </c>
      <c r="U7" s="59">
        <v>0</v>
      </c>
      <c r="V7" s="59">
        <v>0</v>
      </c>
      <c r="W7" s="59">
        <v>0</v>
      </c>
      <c r="X7" s="59">
        <v>0</v>
      </c>
      <c r="Y7" s="59">
        <v>0</v>
      </c>
      <c r="Z7" s="59">
        <v>0</v>
      </c>
      <c r="AA7" s="59">
        <v>0</v>
      </c>
      <c r="AB7" s="59">
        <v>0</v>
      </c>
    </row>
    <row r="8" spans="1:28" x14ac:dyDescent="0.25">
      <c r="A8" t="s">
        <v>10</v>
      </c>
      <c r="B8" s="59">
        <v>0</v>
      </c>
      <c r="C8" s="59">
        <f>'Inflation Reduction Act'!F32*Percent_rural</f>
        <v>149.53452602606654</v>
      </c>
      <c r="D8" s="59">
        <f>'Inflation Reduction Act'!G32*Percent_rural</f>
        <v>149.53452602606654</v>
      </c>
      <c r="E8" s="59">
        <f>'Inflation Reduction Act'!H32*Percent_rural</f>
        <v>149.53452602606654</v>
      </c>
      <c r="F8" s="59">
        <f>'Inflation Reduction Act'!I32*Percent_rural</f>
        <v>149.53452602606654</v>
      </c>
      <c r="G8" s="59">
        <f>'Inflation Reduction Act'!J32*Percent_rural</f>
        <v>149.53452602606654</v>
      </c>
      <c r="H8" s="59">
        <v>0</v>
      </c>
      <c r="I8" s="59">
        <v>0</v>
      </c>
      <c r="J8" s="59">
        <v>0</v>
      </c>
      <c r="K8" s="59">
        <v>0</v>
      </c>
      <c r="L8" s="59">
        <v>0</v>
      </c>
      <c r="M8" s="59">
        <v>0</v>
      </c>
      <c r="N8" s="59">
        <v>0</v>
      </c>
      <c r="O8" s="59">
        <v>0</v>
      </c>
      <c r="P8" s="59">
        <v>0</v>
      </c>
      <c r="Q8" s="59">
        <v>0</v>
      </c>
      <c r="R8" s="59">
        <v>0</v>
      </c>
      <c r="S8" s="59">
        <v>0</v>
      </c>
      <c r="T8" s="59">
        <v>0</v>
      </c>
      <c r="U8" s="59">
        <v>0</v>
      </c>
      <c r="V8" s="59">
        <v>0</v>
      </c>
      <c r="W8" s="59">
        <v>0</v>
      </c>
      <c r="X8" s="59">
        <v>0</v>
      </c>
      <c r="Y8" s="59">
        <v>0</v>
      </c>
      <c r="Z8" s="59">
        <v>0</v>
      </c>
      <c r="AA8" s="59">
        <v>0</v>
      </c>
      <c r="AB8" s="59">
        <v>0</v>
      </c>
    </row>
    <row r="9" spans="1:28" x14ac:dyDescent="0.25">
      <c r="A9" t="s">
        <v>11</v>
      </c>
      <c r="B9" s="59">
        <v>0</v>
      </c>
      <c r="C9" s="59">
        <v>0</v>
      </c>
      <c r="D9" s="59">
        <v>0</v>
      </c>
      <c r="E9" s="59">
        <v>0</v>
      </c>
      <c r="F9" s="59">
        <v>0</v>
      </c>
      <c r="G9" s="59">
        <v>0</v>
      </c>
      <c r="H9" s="59">
        <v>0</v>
      </c>
      <c r="I9" s="59">
        <v>0</v>
      </c>
      <c r="J9" s="59">
        <v>0</v>
      </c>
      <c r="K9" s="59">
        <v>0</v>
      </c>
      <c r="L9" s="59">
        <v>0</v>
      </c>
      <c r="M9" s="59">
        <v>0</v>
      </c>
      <c r="N9" s="59">
        <v>0</v>
      </c>
      <c r="O9" s="59">
        <v>0</v>
      </c>
      <c r="P9" s="59">
        <v>0</v>
      </c>
      <c r="Q9" s="59">
        <v>0</v>
      </c>
      <c r="R9" s="59">
        <v>0</v>
      </c>
      <c r="S9" s="59">
        <v>0</v>
      </c>
      <c r="T9" s="59">
        <v>0</v>
      </c>
      <c r="U9" s="59">
        <v>0</v>
      </c>
      <c r="V9" s="59">
        <v>0</v>
      </c>
      <c r="W9" s="59">
        <v>0</v>
      </c>
      <c r="X9" s="59">
        <v>0</v>
      </c>
      <c r="Y9" s="59">
        <v>0</v>
      </c>
      <c r="Z9" s="59">
        <v>0</v>
      </c>
      <c r="AA9" s="59">
        <v>0</v>
      </c>
      <c r="AB9" s="59">
        <v>0</v>
      </c>
    </row>
    <row r="10" spans="1:28" x14ac:dyDescent="0.25">
      <c r="A10" t="s">
        <v>12</v>
      </c>
      <c r="B10" s="59">
        <v>0</v>
      </c>
      <c r="C10" s="59">
        <v>0</v>
      </c>
      <c r="D10" s="59">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9">
        <v>0</v>
      </c>
      <c r="V10" s="59">
        <v>0</v>
      </c>
      <c r="W10" s="59">
        <v>0</v>
      </c>
      <c r="X10" s="59">
        <v>0</v>
      </c>
      <c r="Y10" s="59">
        <v>0</v>
      </c>
      <c r="Z10" s="59">
        <v>0</v>
      </c>
      <c r="AA10" s="59">
        <v>0</v>
      </c>
      <c r="AB10" s="59">
        <v>0</v>
      </c>
    </row>
    <row r="11" spans="1:28" x14ac:dyDescent="0.25">
      <c r="A11" t="s">
        <v>13</v>
      </c>
      <c r="B11" s="59">
        <v>0</v>
      </c>
      <c r="C11" s="59">
        <v>0</v>
      </c>
      <c r="D11" s="59">
        <v>0</v>
      </c>
      <c r="E11" s="59">
        <v>0</v>
      </c>
      <c r="F11" s="59">
        <v>0</v>
      </c>
      <c r="G11" s="59">
        <v>0</v>
      </c>
      <c r="H11" s="59">
        <v>0</v>
      </c>
      <c r="I11" s="59">
        <v>0</v>
      </c>
      <c r="J11" s="59">
        <v>0</v>
      </c>
      <c r="K11" s="59">
        <v>0</v>
      </c>
      <c r="L11" s="59">
        <v>0</v>
      </c>
      <c r="M11" s="59">
        <v>0</v>
      </c>
      <c r="N11" s="59">
        <v>0</v>
      </c>
      <c r="O11" s="59">
        <v>0</v>
      </c>
      <c r="P11" s="59">
        <v>0</v>
      </c>
      <c r="Q11" s="59">
        <v>0</v>
      </c>
      <c r="R11" s="59">
        <v>0</v>
      </c>
      <c r="S11" s="59">
        <v>0</v>
      </c>
      <c r="T11" s="59">
        <v>0</v>
      </c>
      <c r="U11" s="59">
        <v>0</v>
      </c>
      <c r="V11" s="59">
        <v>0</v>
      </c>
      <c r="W11" s="59">
        <v>0</v>
      </c>
      <c r="X11" s="59">
        <v>0</v>
      </c>
      <c r="Y11" s="59">
        <v>0</v>
      </c>
      <c r="Z11" s="59">
        <v>0</v>
      </c>
      <c r="AA11" s="59">
        <v>0</v>
      </c>
      <c r="AB11" s="59">
        <v>0</v>
      </c>
    </row>
    <row r="12" spans="1:28" x14ac:dyDescent="0.25">
      <c r="A12" t="s">
        <v>14</v>
      </c>
      <c r="B12" s="59">
        <v>0</v>
      </c>
      <c r="C12" s="59">
        <v>0</v>
      </c>
      <c r="D12" s="59">
        <v>0</v>
      </c>
      <c r="E12" s="59">
        <v>0</v>
      </c>
      <c r="F12" s="59">
        <v>0</v>
      </c>
      <c r="G12" s="59">
        <v>0</v>
      </c>
      <c r="H12" s="59">
        <v>0</v>
      </c>
      <c r="I12" s="59">
        <v>0</v>
      </c>
      <c r="J12" s="59">
        <v>0</v>
      </c>
      <c r="K12" s="59">
        <v>0</v>
      </c>
      <c r="L12" s="59">
        <v>0</v>
      </c>
      <c r="M12" s="59">
        <v>0</v>
      </c>
      <c r="N12" s="59">
        <v>0</v>
      </c>
      <c r="O12" s="59">
        <v>0</v>
      </c>
      <c r="P12" s="59">
        <v>0</v>
      </c>
      <c r="Q12" s="59">
        <v>0</v>
      </c>
      <c r="R12" s="59">
        <v>0</v>
      </c>
      <c r="S12" s="59">
        <v>0</v>
      </c>
      <c r="T12" s="59">
        <v>0</v>
      </c>
      <c r="U12" s="59">
        <v>0</v>
      </c>
      <c r="V12" s="59">
        <v>0</v>
      </c>
      <c r="W12" s="59">
        <v>0</v>
      </c>
      <c r="X12" s="59">
        <v>0</v>
      </c>
      <c r="Y12" s="59">
        <v>0</v>
      </c>
      <c r="Z12" s="59">
        <v>0</v>
      </c>
      <c r="AA12" s="59">
        <v>0</v>
      </c>
      <c r="AB12" s="59">
        <v>0</v>
      </c>
    </row>
    <row r="13" spans="1:28" x14ac:dyDescent="0.25">
      <c r="A13" t="s">
        <v>15</v>
      </c>
      <c r="B13" s="59">
        <v>0</v>
      </c>
      <c r="C13" s="59">
        <v>0</v>
      </c>
      <c r="D13" s="59">
        <v>0</v>
      </c>
      <c r="E13" s="59">
        <v>0</v>
      </c>
      <c r="F13" s="59">
        <v>0</v>
      </c>
      <c r="G13" s="59">
        <v>0</v>
      </c>
      <c r="H13" s="59">
        <v>0</v>
      </c>
      <c r="I13" s="59">
        <v>0</v>
      </c>
      <c r="J13" s="59">
        <v>0</v>
      </c>
      <c r="K13" s="59">
        <v>0</v>
      </c>
      <c r="L13" s="59">
        <v>0</v>
      </c>
      <c r="M13" s="59">
        <v>0</v>
      </c>
      <c r="N13" s="59">
        <v>0</v>
      </c>
      <c r="O13" s="59">
        <v>0</v>
      </c>
      <c r="P13" s="59">
        <v>0</v>
      </c>
      <c r="Q13" s="59">
        <v>0</v>
      </c>
      <c r="R13" s="59">
        <v>0</v>
      </c>
      <c r="S13" s="59">
        <v>0</v>
      </c>
      <c r="T13" s="59">
        <v>0</v>
      </c>
      <c r="U13" s="59">
        <v>0</v>
      </c>
      <c r="V13" s="59">
        <v>0</v>
      </c>
      <c r="W13" s="59">
        <v>0</v>
      </c>
      <c r="X13" s="59">
        <v>0</v>
      </c>
      <c r="Y13" s="59">
        <v>0</v>
      </c>
      <c r="Z13" s="59">
        <v>0</v>
      </c>
      <c r="AA13" s="59">
        <v>0</v>
      </c>
      <c r="AB13" s="59">
        <v>0</v>
      </c>
    </row>
    <row r="14" spans="1:28" x14ac:dyDescent="0.25">
      <c r="A14" t="s">
        <v>57</v>
      </c>
      <c r="B14" s="59">
        <v>0</v>
      </c>
      <c r="C14" s="59">
        <v>0</v>
      </c>
      <c r="D14" s="59">
        <v>0</v>
      </c>
      <c r="E14" s="59">
        <v>0</v>
      </c>
      <c r="F14" s="59">
        <v>0</v>
      </c>
      <c r="G14" s="59">
        <v>0</v>
      </c>
      <c r="H14" s="59">
        <v>0</v>
      </c>
      <c r="I14" s="59">
        <v>0</v>
      </c>
      <c r="J14" s="59">
        <v>0</v>
      </c>
      <c r="K14" s="59">
        <v>0</v>
      </c>
      <c r="L14" s="59">
        <v>0</v>
      </c>
      <c r="M14" s="59">
        <v>0</v>
      </c>
      <c r="N14" s="59">
        <v>0</v>
      </c>
      <c r="O14" s="59">
        <v>0</v>
      </c>
      <c r="P14" s="59">
        <v>0</v>
      </c>
      <c r="Q14" s="59">
        <v>0</v>
      </c>
      <c r="R14" s="59">
        <v>0</v>
      </c>
      <c r="S14" s="59">
        <v>0</v>
      </c>
      <c r="T14" s="59">
        <v>0</v>
      </c>
      <c r="U14" s="59">
        <v>0</v>
      </c>
      <c r="V14" s="59">
        <v>0</v>
      </c>
      <c r="W14" s="59">
        <v>0</v>
      </c>
      <c r="X14" s="59">
        <v>0</v>
      </c>
      <c r="Y14" s="59">
        <v>0</v>
      </c>
      <c r="Z14" s="59">
        <v>0</v>
      </c>
      <c r="AA14" s="59">
        <v>0</v>
      </c>
      <c r="AB14" s="59">
        <v>0</v>
      </c>
    </row>
    <row r="15" spans="1:28" x14ac:dyDescent="0.25">
      <c r="A15" t="s">
        <v>60</v>
      </c>
      <c r="B15" s="59">
        <v>0</v>
      </c>
      <c r="C15" s="59">
        <v>0</v>
      </c>
      <c r="D15" s="59">
        <v>0</v>
      </c>
      <c r="E15" s="59">
        <v>0</v>
      </c>
      <c r="F15" s="59">
        <v>0</v>
      </c>
      <c r="G15" s="59">
        <v>0</v>
      </c>
      <c r="H15" s="59">
        <v>0</v>
      </c>
      <c r="I15" s="59">
        <v>0</v>
      </c>
      <c r="J15" s="59">
        <v>0</v>
      </c>
      <c r="K15" s="59">
        <v>0</v>
      </c>
      <c r="L15" s="59">
        <v>0</v>
      </c>
      <c r="M15" s="59">
        <v>0</v>
      </c>
      <c r="N15" s="59">
        <v>0</v>
      </c>
      <c r="O15" s="59">
        <v>0</v>
      </c>
      <c r="P15" s="59">
        <v>0</v>
      </c>
      <c r="Q15" s="59">
        <v>0</v>
      </c>
      <c r="R15" s="59">
        <v>0</v>
      </c>
      <c r="S15" s="59">
        <v>0</v>
      </c>
      <c r="T15" s="59">
        <v>0</v>
      </c>
      <c r="U15" s="59">
        <v>0</v>
      </c>
      <c r="V15" s="59">
        <v>0</v>
      </c>
      <c r="W15" s="59">
        <v>0</v>
      </c>
      <c r="X15" s="59">
        <v>0</v>
      </c>
      <c r="Y15" s="59">
        <v>0</v>
      </c>
      <c r="Z15" s="59">
        <v>0</v>
      </c>
      <c r="AA15" s="59">
        <v>0</v>
      </c>
      <c r="AB15" s="59">
        <v>0</v>
      </c>
    </row>
    <row r="16" spans="1:28" x14ac:dyDescent="0.25">
      <c r="A16" t="s">
        <v>158</v>
      </c>
      <c r="B16" s="59">
        <v>0</v>
      </c>
      <c r="C16" s="59">
        <v>0</v>
      </c>
      <c r="D16" s="59">
        <v>0</v>
      </c>
      <c r="E16" s="59">
        <v>0</v>
      </c>
      <c r="F16" s="59">
        <v>0</v>
      </c>
      <c r="G16" s="59">
        <v>0</v>
      </c>
      <c r="H16" s="59">
        <v>0</v>
      </c>
      <c r="I16" s="59">
        <v>0</v>
      </c>
      <c r="J16" s="59">
        <v>0</v>
      </c>
      <c r="K16" s="59">
        <v>0</v>
      </c>
      <c r="L16" s="59">
        <v>0</v>
      </c>
      <c r="M16" s="59">
        <v>0</v>
      </c>
      <c r="N16" s="59">
        <v>0</v>
      </c>
      <c r="O16" s="59">
        <v>0</v>
      </c>
      <c r="P16" s="59">
        <v>0</v>
      </c>
      <c r="Q16" s="59">
        <v>0</v>
      </c>
      <c r="R16" s="59">
        <v>0</v>
      </c>
      <c r="S16" s="59">
        <v>0</v>
      </c>
      <c r="T16" s="59">
        <v>0</v>
      </c>
      <c r="U16" s="59">
        <v>0</v>
      </c>
      <c r="V16" s="59">
        <v>0</v>
      </c>
      <c r="W16" s="59">
        <v>0</v>
      </c>
      <c r="X16" s="59">
        <v>0</v>
      </c>
      <c r="Y16" s="59">
        <v>0</v>
      </c>
      <c r="Z16" s="59">
        <v>0</v>
      </c>
      <c r="AA16" s="59">
        <v>0</v>
      </c>
      <c r="AB16" s="59">
        <v>0</v>
      </c>
    </row>
    <row r="17" spans="1:28" x14ac:dyDescent="0.25">
      <c r="A17" t="s">
        <v>159</v>
      </c>
      <c r="B17" s="59">
        <v>0</v>
      </c>
      <c r="C17" s="59">
        <v>0</v>
      </c>
      <c r="D17" s="59">
        <v>0</v>
      </c>
      <c r="E17" s="59">
        <v>0</v>
      </c>
      <c r="F17" s="59">
        <v>0</v>
      </c>
      <c r="G17" s="59">
        <v>0</v>
      </c>
      <c r="H17" s="59">
        <v>0</v>
      </c>
      <c r="I17" s="59">
        <v>0</v>
      </c>
      <c r="J17" s="59">
        <v>0</v>
      </c>
      <c r="K17" s="59">
        <v>0</v>
      </c>
      <c r="L17" s="59">
        <v>0</v>
      </c>
      <c r="M17" s="59">
        <v>0</v>
      </c>
      <c r="N17" s="59">
        <v>0</v>
      </c>
      <c r="O17" s="59">
        <v>0</v>
      </c>
      <c r="P17" s="59">
        <v>0</v>
      </c>
      <c r="Q17" s="59">
        <v>0</v>
      </c>
      <c r="R17" s="59">
        <v>0</v>
      </c>
      <c r="S17" s="59">
        <v>0</v>
      </c>
      <c r="T17" s="59">
        <v>0</v>
      </c>
      <c r="U17" s="59">
        <v>0</v>
      </c>
      <c r="V17" s="59">
        <v>0</v>
      </c>
      <c r="W17" s="59">
        <v>0</v>
      </c>
      <c r="X17" s="59">
        <v>0</v>
      </c>
      <c r="Y17" s="59">
        <v>0</v>
      </c>
      <c r="Z17" s="59">
        <v>0</v>
      </c>
      <c r="AA17" s="59">
        <v>0</v>
      </c>
      <c r="AB17" s="59">
        <v>0</v>
      </c>
    </row>
    <row r="18" spans="1:28" x14ac:dyDescent="0.25">
      <c r="A18" t="s">
        <v>160</v>
      </c>
      <c r="B18" s="59">
        <v>0</v>
      </c>
      <c r="C18" s="59">
        <v>0</v>
      </c>
      <c r="D18" s="59">
        <v>0</v>
      </c>
      <c r="E18" s="59">
        <v>0</v>
      </c>
      <c r="F18" s="59">
        <v>0</v>
      </c>
      <c r="G18" s="59">
        <v>0</v>
      </c>
      <c r="H18" s="59">
        <v>0</v>
      </c>
      <c r="I18" s="59">
        <v>0</v>
      </c>
      <c r="J18" s="59">
        <v>0</v>
      </c>
      <c r="K18" s="59">
        <v>0</v>
      </c>
      <c r="L18" s="59">
        <v>0</v>
      </c>
      <c r="M18" s="59">
        <v>0</v>
      </c>
      <c r="N18" s="59">
        <v>0</v>
      </c>
      <c r="O18" s="59">
        <v>0</v>
      </c>
      <c r="P18" s="59">
        <v>0</v>
      </c>
      <c r="Q18" s="59">
        <v>0</v>
      </c>
      <c r="R18" s="59">
        <v>0</v>
      </c>
      <c r="S18" s="59">
        <v>0</v>
      </c>
      <c r="T18" s="59">
        <v>0</v>
      </c>
      <c r="U18" s="59">
        <v>0</v>
      </c>
      <c r="V18" s="59">
        <v>0</v>
      </c>
      <c r="W18" s="59">
        <v>0</v>
      </c>
      <c r="X18" s="59">
        <v>0</v>
      </c>
      <c r="Y18" s="59">
        <v>0</v>
      </c>
      <c r="Z18" s="59">
        <v>0</v>
      </c>
      <c r="AA18" s="59">
        <v>0</v>
      </c>
      <c r="AB18" s="59">
        <v>0</v>
      </c>
    </row>
    <row r="19" spans="1:28" x14ac:dyDescent="0.25">
      <c r="A19" s="55" t="s">
        <v>328</v>
      </c>
      <c r="B19" s="59">
        <v>0</v>
      </c>
      <c r="C19" s="59">
        <v>0</v>
      </c>
      <c r="D19" s="59">
        <v>0</v>
      </c>
      <c r="E19" s="59">
        <v>0</v>
      </c>
      <c r="F19" s="59">
        <v>0</v>
      </c>
      <c r="G19" s="59">
        <v>0</v>
      </c>
      <c r="H19" s="59">
        <v>0</v>
      </c>
      <c r="I19" s="59">
        <v>0</v>
      </c>
      <c r="J19" s="59">
        <v>0</v>
      </c>
      <c r="K19" s="59">
        <v>0</v>
      </c>
      <c r="L19" s="59">
        <v>0</v>
      </c>
      <c r="M19" s="59">
        <v>0</v>
      </c>
      <c r="N19" s="59">
        <v>0</v>
      </c>
      <c r="O19" s="59">
        <v>0</v>
      </c>
      <c r="P19" s="59">
        <v>0</v>
      </c>
      <c r="Q19" s="59">
        <v>0</v>
      </c>
      <c r="R19" s="59">
        <v>0</v>
      </c>
      <c r="S19" s="59">
        <v>0</v>
      </c>
      <c r="T19" s="59">
        <v>0</v>
      </c>
      <c r="U19" s="59">
        <v>0</v>
      </c>
      <c r="V19" s="59">
        <v>0</v>
      </c>
      <c r="W19" s="59">
        <v>0</v>
      </c>
      <c r="X19" s="59">
        <v>0</v>
      </c>
      <c r="Y19" s="59">
        <v>0</v>
      </c>
      <c r="Z19" s="59">
        <v>0</v>
      </c>
      <c r="AA19" s="59">
        <v>0</v>
      </c>
      <c r="AB19" s="59">
        <v>0</v>
      </c>
    </row>
    <row r="20" spans="1:28" x14ac:dyDescent="0.25">
      <c r="A20" s="55" t="s">
        <v>329</v>
      </c>
      <c r="B20" s="59">
        <v>0</v>
      </c>
      <c r="C20" s="59">
        <v>0</v>
      </c>
      <c r="D20" s="59">
        <v>0</v>
      </c>
      <c r="E20" s="59">
        <v>0</v>
      </c>
      <c r="F20" s="59">
        <v>0</v>
      </c>
      <c r="G20" s="59">
        <v>0</v>
      </c>
      <c r="H20" s="59">
        <v>0</v>
      </c>
      <c r="I20" s="59">
        <v>0</v>
      </c>
      <c r="J20" s="59">
        <v>0</v>
      </c>
      <c r="K20" s="59">
        <v>0</v>
      </c>
      <c r="L20" s="59">
        <v>0</v>
      </c>
      <c r="M20" s="59">
        <v>0</v>
      </c>
      <c r="N20" s="59">
        <v>0</v>
      </c>
      <c r="O20" s="59">
        <v>0</v>
      </c>
      <c r="P20" s="59">
        <v>0</v>
      </c>
      <c r="Q20" s="59">
        <v>0</v>
      </c>
      <c r="R20" s="59">
        <v>0</v>
      </c>
      <c r="S20" s="59">
        <v>0</v>
      </c>
      <c r="T20" s="59">
        <v>0</v>
      </c>
      <c r="U20" s="59">
        <v>0</v>
      </c>
      <c r="V20" s="59">
        <v>0</v>
      </c>
      <c r="W20" s="59">
        <v>0</v>
      </c>
      <c r="X20" s="59">
        <v>0</v>
      </c>
      <c r="Y20" s="59">
        <v>0</v>
      </c>
      <c r="Z20" s="59">
        <v>0</v>
      </c>
      <c r="AA20" s="59">
        <v>0</v>
      </c>
      <c r="AB20" s="59">
        <v>0</v>
      </c>
    </row>
    <row r="21" spans="1:28" x14ac:dyDescent="0.25">
      <c r="A21" s="55" t="s">
        <v>330</v>
      </c>
      <c r="B21" s="59">
        <v>0</v>
      </c>
      <c r="C21" s="59">
        <v>0</v>
      </c>
      <c r="D21" s="59">
        <v>0</v>
      </c>
      <c r="E21" s="59">
        <v>0</v>
      </c>
      <c r="F21" s="59">
        <v>0</v>
      </c>
      <c r="G21" s="59">
        <v>0</v>
      </c>
      <c r="H21" s="59">
        <v>0</v>
      </c>
      <c r="I21" s="59">
        <v>0</v>
      </c>
      <c r="J21" s="59">
        <v>0</v>
      </c>
      <c r="K21" s="59">
        <v>0</v>
      </c>
      <c r="L21" s="59">
        <v>0</v>
      </c>
      <c r="M21" s="59">
        <v>0</v>
      </c>
      <c r="N21" s="59">
        <v>0</v>
      </c>
      <c r="O21" s="59">
        <v>0</v>
      </c>
      <c r="P21" s="59">
        <v>0</v>
      </c>
      <c r="Q21" s="59">
        <v>0</v>
      </c>
      <c r="R21" s="59">
        <v>0</v>
      </c>
      <c r="S21" s="59">
        <v>0</v>
      </c>
      <c r="T21" s="59">
        <v>0</v>
      </c>
      <c r="U21" s="59">
        <v>0</v>
      </c>
      <c r="V21" s="59">
        <v>0</v>
      </c>
      <c r="W21" s="59">
        <v>0</v>
      </c>
      <c r="X21" s="59">
        <v>0</v>
      </c>
      <c r="Y21" s="59">
        <v>0</v>
      </c>
      <c r="Z21" s="59">
        <v>0</v>
      </c>
      <c r="AA21" s="59">
        <v>0</v>
      </c>
      <c r="AB21" s="59">
        <v>0</v>
      </c>
    </row>
    <row r="22" spans="1:28" x14ac:dyDescent="0.25">
      <c r="A22" s="55" t="s">
        <v>331</v>
      </c>
      <c r="B22" s="59">
        <v>0</v>
      </c>
      <c r="C22" s="59">
        <v>0</v>
      </c>
      <c r="D22" s="59">
        <v>0</v>
      </c>
      <c r="E22" s="59">
        <v>0</v>
      </c>
      <c r="F22" s="59">
        <v>0</v>
      </c>
      <c r="G22" s="59">
        <v>0</v>
      </c>
      <c r="H22" s="59">
        <v>0</v>
      </c>
      <c r="I22" s="59">
        <v>0</v>
      </c>
      <c r="J22" s="59">
        <v>0</v>
      </c>
      <c r="K22" s="59">
        <v>0</v>
      </c>
      <c r="L22" s="59">
        <v>0</v>
      </c>
      <c r="M22" s="59">
        <v>0</v>
      </c>
      <c r="N22" s="59">
        <v>0</v>
      </c>
      <c r="O22" s="59">
        <v>0</v>
      </c>
      <c r="P22" s="59">
        <v>0</v>
      </c>
      <c r="Q22" s="59">
        <v>0</v>
      </c>
      <c r="R22" s="59">
        <v>0</v>
      </c>
      <c r="S22" s="59">
        <v>0</v>
      </c>
      <c r="T22" s="59">
        <v>0</v>
      </c>
      <c r="U22" s="59">
        <v>0</v>
      </c>
      <c r="V22" s="59">
        <v>0</v>
      </c>
      <c r="W22" s="59">
        <v>0</v>
      </c>
      <c r="X22" s="59">
        <v>0</v>
      </c>
      <c r="Y22" s="59">
        <v>0</v>
      </c>
      <c r="Z22" s="59">
        <v>0</v>
      </c>
      <c r="AA22" s="59">
        <v>0</v>
      </c>
      <c r="AB22" s="59">
        <v>0</v>
      </c>
    </row>
    <row r="23" spans="1:28" x14ac:dyDescent="0.25">
      <c r="A23" s="55" t="s">
        <v>332</v>
      </c>
      <c r="B23" s="59">
        <v>0</v>
      </c>
      <c r="C23" s="59">
        <v>0</v>
      </c>
      <c r="D23" s="59">
        <v>0</v>
      </c>
      <c r="E23" s="59">
        <v>0</v>
      </c>
      <c r="F23" s="59">
        <v>0</v>
      </c>
      <c r="G23" s="59">
        <v>0</v>
      </c>
      <c r="H23" s="59">
        <v>0</v>
      </c>
      <c r="I23" s="59">
        <v>0</v>
      </c>
      <c r="J23" s="59">
        <v>0</v>
      </c>
      <c r="K23" s="59">
        <v>0</v>
      </c>
      <c r="L23" s="59">
        <v>0</v>
      </c>
      <c r="M23" s="59">
        <v>0</v>
      </c>
      <c r="N23" s="59">
        <v>0</v>
      </c>
      <c r="O23" s="59">
        <v>0</v>
      </c>
      <c r="P23" s="59">
        <v>0</v>
      </c>
      <c r="Q23" s="59">
        <v>0</v>
      </c>
      <c r="R23" s="59">
        <v>0</v>
      </c>
      <c r="S23" s="59">
        <v>0</v>
      </c>
      <c r="T23" s="59">
        <v>0</v>
      </c>
      <c r="U23" s="59">
        <v>0</v>
      </c>
      <c r="V23" s="59">
        <v>0</v>
      </c>
      <c r="W23" s="59">
        <v>0</v>
      </c>
      <c r="X23" s="59">
        <v>0</v>
      </c>
      <c r="Y23" s="59">
        <v>0</v>
      </c>
      <c r="Z23" s="59">
        <v>0</v>
      </c>
      <c r="AA23" s="59">
        <v>0</v>
      </c>
      <c r="AB23" s="59">
        <v>0</v>
      </c>
    </row>
    <row r="24" spans="1:28" x14ac:dyDescent="0.25">
      <c r="A24" s="56" t="s">
        <v>333</v>
      </c>
      <c r="B24" s="59">
        <v>0</v>
      </c>
      <c r="C24" s="59">
        <v>0</v>
      </c>
      <c r="D24" s="59">
        <v>0</v>
      </c>
      <c r="E24" s="59">
        <v>0</v>
      </c>
      <c r="F24" s="59">
        <v>0</v>
      </c>
      <c r="G24" s="59">
        <v>0</v>
      </c>
      <c r="H24" s="59">
        <v>0</v>
      </c>
      <c r="I24" s="59">
        <v>0</v>
      </c>
      <c r="J24" s="59">
        <v>0</v>
      </c>
      <c r="K24" s="59">
        <v>0</v>
      </c>
      <c r="L24" s="59">
        <v>0</v>
      </c>
      <c r="M24" s="59">
        <v>0</v>
      </c>
      <c r="N24" s="59">
        <v>0</v>
      </c>
      <c r="O24" s="59">
        <v>0</v>
      </c>
      <c r="P24" s="59">
        <v>0</v>
      </c>
      <c r="Q24" s="59">
        <v>0</v>
      </c>
      <c r="R24" s="59">
        <v>0</v>
      </c>
      <c r="S24" s="59">
        <v>0</v>
      </c>
      <c r="T24" s="59">
        <v>0</v>
      </c>
      <c r="U24" s="59">
        <v>0</v>
      </c>
      <c r="V24" s="59">
        <v>0</v>
      </c>
      <c r="W24" s="59">
        <v>0</v>
      </c>
      <c r="X24" s="59">
        <v>0</v>
      </c>
      <c r="Y24" s="59">
        <v>0</v>
      </c>
      <c r="Z24" s="59">
        <v>0</v>
      </c>
      <c r="AA24" s="59">
        <v>0</v>
      </c>
      <c r="AB24" s="59">
        <v>0</v>
      </c>
    </row>
    <row r="25" spans="1:28" x14ac:dyDescent="0.25">
      <c r="A25" s="56" t="s">
        <v>334</v>
      </c>
      <c r="B25" s="59">
        <v>0</v>
      </c>
      <c r="C25" s="59">
        <v>0</v>
      </c>
      <c r="D25" s="59">
        <v>0</v>
      </c>
      <c r="E25" s="59">
        <v>0</v>
      </c>
      <c r="F25" s="59">
        <v>0</v>
      </c>
      <c r="G25" s="59">
        <v>0</v>
      </c>
      <c r="H25" s="59">
        <v>0</v>
      </c>
      <c r="I25" s="59">
        <v>0</v>
      </c>
      <c r="J25" s="59">
        <v>0</v>
      </c>
      <c r="K25" s="59">
        <v>0</v>
      </c>
      <c r="L25" s="59">
        <v>0</v>
      </c>
      <c r="M25" s="59">
        <v>0</v>
      </c>
      <c r="N25" s="59">
        <v>0</v>
      </c>
      <c r="O25" s="59">
        <v>0</v>
      </c>
      <c r="P25" s="59">
        <v>0</v>
      </c>
      <c r="Q25" s="59">
        <v>0</v>
      </c>
      <c r="R25" s="59">
        <v>0</v>
      </c>
      <c r="S25" s="59">
        <v>0</v>
      </c>
      <c r="T25" s="59">
        <v>0</v>
      </c>
      <c r="U25" s="59">
        <v>0</v>
      </c>
      <c r="V25" s="59">
        <v>0</v>
      </c>
      <c r="W25" s="59">
        <v>0</v>
      </c>
      <c r="X25" s="59">
        <v>0</v>
      </c>
      <c r="Y25" s="59">
        <v>0</v>
      </c>
      <c r="Z25" s="59">
        <v>0</v>
      </c>
      <c r="AA25" s="59">
        <v>0</v>
      </c>
      <c r="AB25" s="59">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D4811-9918-45A3-9F09-73E527D4CCBB}">
  <sheetPr>
    <tabColor theme="3"/>
  </sheetPr>
  <dimension ref="A1:AB25"/>
  <sheetViews>
    <sheetView workbookViewId="0">
      <selection activeCell="B2" sqref="B2:AB25"/>
    </sheetView>
  </sheetViews>
  <sheetFormatPr defaultColWidth="8.7109375" defaultRowHeight="15" x14ac:dyDescent="0.25"/>
  <cols>
    <col min="1" max="1" width="23.42578125" customWidth="1"/>
    <col min="2" max="28" width="9.5703125" bestFit="1" customWidth="1"/>
  </cols>
  <sheetData>
    <row r="1" spans="1:28" x14ac:dyDescent="0.25">
      <c r="A1" t="s">
        <v>161</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327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83FA4-A821-4676-A3D4-0EB58B853D28}">
  <sheetPr>
    <tabColor theme="3"/>
  </sheetPr>
  <dimension ref="A1:AE81"/>
  <sheetViews>
    <sheetView workbookViewId="0"/>
  </sheetViews>
  <sheetFormatPr defaultRowHeight="15" x14ac:dyDescent="0.25"/>
  <sheetData>
    <row r="1" spans="1:31" x14ac:dyDescent="0.25">
      <c r="A1" t="s">
        <v>246</v>
      </c>
    </row>
    <row r="2" spans="1:31" x14ac:dyDescent="0.25">
      <c r="A2" t="s">
        <v>972</v>
      </c>
    </row>
    <row r="3" spans="1:31" x14ac:dyDescent="0.25">
      <c r="A3" t="s">
        <v>973</v>
      </c>
    </row>
    <row r="4" spans="1:31" x14ac:dyDescent="0.25">
      <c r="A4" t="s">
        <v>177</v>
      </c>
    </row>
    <row r="5" spans="1:31" x14ac:dyDescent="0.25">
      <c r="B5" t="s">
        <v>178</v>
      </c>
      <c r="C5" t="s">
        <v>179</v>
      </c>
      <c r="D5" t="s">
        <v>180</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838</v>
      </c>
    </row>
    <row r="6" spans="1:31" x14ac:dyDescent="0.25">
      <c r="A6" t="s">
        <v>5</v>
      </c>
    </row>
    <row r="7" spans="1:31" x14ac:dyDescent="0.25">
      <c r="A7" t="s">
        <v>247</v>
      </c>
    </row>
    <row r="8" spans="1:31" x14ac:dyDescent="0.25">
      <c r="A8" t="s">
        <v>248</v>
      </c>
      <c r="B8" t="s">
        <v>974</v>
      </c>
      <c r="C8" t="s">
        <v>975</v>
      </c>
      <c r="D8" t="s">
        <v>249</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s="16">
        <v>-2E-3</v>
      </c>
    </row>
    <row r="9" spans="1:31" x14ac:dyDescent="0.25">
      <c r="A9" t="s">
        <v>250</v>
      </c>
      <c r="B9" t="s">
        <v>976</v>
      </c>
      <c r="C9" t="s">
        <v>977</v>
      </c>
      <c r="D9" t="s">
        <v>249</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s="16">
        <v>1E-3</v>
      </c>
    </row>
    <row r="10" spans="1:31" x14ac:dyDescent="0.25">
      <c r="A10" t="s">
        <v>251</v>
      </c>
      <c r="B10" t="s">
        <v>978</v>
      </c>
      <c r="C10" t="s">
        <v>979</v>
      </c>
      <c r="D10" t="s">
        <v>249</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s="16">
        <v>-5.0000000000000001E-3</v>
      </c>
    </row>
    <row r="11" spans="1:31" x14ac:dyDescent="0.25">
      <c r="A11" t="s">
        <v>252</v>
      </c>
      <c r="B11" t="s">
        <v>980</v>
      </c>
      <c r="C11" t="s">
        <v>981</v>
      </c>
      <c r="D11" t="s">
        <v>249</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s="16">
        <v>-3.0000000000000001E-3</v>
      </c>
    </row>
    <row r="12" spans="1:31" x14ac:dyDescent="0.25">
      <c r="A12" t="s">
        <v>253</v>
      </c>
      <c r="B12" t="s">
        <v>982</v>
      </c>
      <c r="C12" t="s">
        <v>983</v>
      </c>
      <c r="D12" t="s">
        <v>249</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s="16">
        <v>0.01</v>
      </c>
    </row>
    <row r="13" spans="1:31" x14ac:dyDescent="0.25">
      <c r="A13" t="s">
        <v>254</v>
      </c>
      <c r="B13" t="s">
        <v>984</v>
      </c>
      <c r="C13" t="s">
        <v>985</v>
      </c>
      <c r="D13" t="s">
        <v>249</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s="16">
        <v>8.0000000000000002E-3</v>
      </c>
    </row>
    <row r="14" spans="1:31" x14ac:dyDescent="0.25">
      <c r="A14" t="s">
        <v>255</v>
      </c>
      <c r="B14" t="s">
        <v>986</v>
      </c>
      <c r="C14" t="s">
        <v>987</v>
      </c>
      <c r="D14" t="s">
        <v>249</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s="16">
        <v>1E-3</v>
      </c>
    </row>
    <row r="15" spans="1:31" x14ac:dyDescent="0.25">
      <c r="A15" t="s">
        <v>256</v>
      </c>
      <c r="B15" t="s">
        <v>988</v>
      </c>
      <c r="C15" t="s">
        <v>989</v>
      </c>
      <c r="D15" t="s">
        <v>249</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s="16">
        <v>-2E-3</v>
      </c>
    </row>
    <row r="16" spans="1:31" x14ac:dyDescent="0.25">
      <c r="A16" t="s">
        <v>257</v>
      </c>
      <c r="B16" t="s">
        <v>990</v>
      </c>
      <c r="C16" t="s">
        <v>991</v>
      </c>
      <c r="D16" t="s">
        <v>249</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s="16">
        <v>-1E-3</v>
      </c>
    </row>
    <row r="17" spans="1:31" x14ac:dyDescent="0.25">
      <c r="A17" t="s">
        <v>258</v>
      </c>
      <c r="B17" t="s">
        <v>992</v>
      </c>
      <c r="C17" t="s">
        <v>993</v>
      </c>
      <c r="D17" t="s">
        <v>249</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s="16">
        <v>1.6E-2</v>
      </c>
    </row>
    <row r="18" spans="1:31" x14ac:dyDescent="0.25">
      <c r="A18" t="s">
        <v>259</v>
      </c>
      <c r="B18" t="s">
        <v>994</v>
      </c>
      <c r="C18" t="s">
        <v>995</v>
      </c>
      <c r="D18" t="s">
        <v>249</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s="16">
        <v>3.6999999999999998E-2</v>
      </c>
    </row>
    <row r="19" spans="1:31" x14ac:dyDescent="0.25">
      <c r="A19" t="s">
        <v>191</v>
      </c>
      <c r="B19" t="s">
        <v>996</v>
      </c>
      <c r="C19" t="s">
        <v>997</v>
      </c>
      <c r="D19" t="s">
        <v>249</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s="16">
        <v>8.0000000000000002E-3</v>
      </c>
    </row>
    <row r="20" spans="1:31" x14ac:dyDescent="0.25">
      <c r="A20" t="s">
        <v>6</v>
      </c>
    </row>
    <row r="21" spans="1:31" x14ac:dyDescent="0.25">
      <c r="A21" t="s">
        <v>260</v>
      </c>
    </row>
    <row r="22" spans="1:31" x14ac:dyDescent="0.25">
      <c r="A22" t="s">
        <v>248</v>
      </c>
      <c r="B22" t="s">
        <v>998</v>
      </c>
      <c r="C22" t="s">
        <v>999</v>
      </c>
      <c r="D22" t="s">
        <v>261</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s="16">
        <v>2E-3</v>
      </c>
    </row>
    <row r="23" spans="1:31" x14ac:dyDescent="0.25">
      <c r="A23" t="s">
        <v>250</v>
      </c>
      <c r="B23" t="s">
        <v>1000</v>
      </c>
      <c r="C23" t="s">
        <v>1001</v>
      </c>
      <c r="D23" t="s">
        <v>261</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s="16">
        <v>1.0999999999999999E-2</v>
      </c>
    </row>
    <row r="24" spans="1:31" x14ac:dyDescent="0.25">
      <c r="A24" t="s">
        <v>251</v>
      </c>
      <c r="B24" t="s">
        <v>1002</v>
      </c>
      <c r="C24" t="s">
        <v>1003</v>
      </c>
      <c r="D24" t="s">
        <v>261</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s="16">
        <v>1E-3</v>
      </c>
    </row>
    <row r="25" spans="1:31" x14ac:dyDescent="0.25">
      <c r="A25" t="s">
        <v>252</v>
      </c>
      <c r="B25" t="s">
        <v>1004</v>
      </c>
      <c r="C25" t="s">
        <v>1005</v>
      </c>
      <c r="D25" t="s">
        <v>261</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s="16">
        <v>3.0000000000000001E-3</v>
      </c>
    </row>
    <row r="26" spans="1:31" x14ac:dyDescent="0.25">
      <c r="A26" t="s">
        <v>253</v>
      </c>
      <c r="B26" t="s">
        <v>1006</v>
      </c>
      <c r="C26" t="s">
        <v>1007</v>
      </c>
      <c r="D26" t="s">
        <v>261</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s="16">
        <v>1.4999999999999999E-2</v>
      </c>
    </row>
    <row r="27" spans="1:31" x14ac:dyDescent="0.25">
      <c r="A27" t="s">
        <v>254</v>
      </c>
      <c r="B27" t="s">
        <v>1008</v>
      </c>
      <c r="C27" t="s">
        <v>1009</v>
      </c>
      <c r="D27" t="s">
        <v>261</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s="16">
        <v>1.2E-2</v>
      </c>
    </row>
    <row r="28" spans="1:31" x14ac:dyDescent="0.25">
      <c r="A28" t="s">
        <v>255</v>
      </c>
      <c r="B28" t="s">
        <v>1010</v>
      </c>
      <c r="C28" t="s">
        <v>1011</v>
      </c>
      <c r="D28" t="s">
        <v>261</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s="16">
        <v>3.0000000000000001E-3</v>
      </c>
    </row>
    <row r="29" spans="1:31" x14ac:dyDescent="0.25">
      <c r="A29" t="s">
        <v>256</v>
      </c>
      <c r="B29" t="s">
        <v>1012</v>
      </c>
      <c r="C29" t="s">
        <v>1013</v>
      </c>
      <c r="D29" t="s">
        <v>261</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s="16">
        <v>4.0000000000000001E-3</v>
      </c>
    </row>
    <row r="30" spans="1:31" x14ac:dyDescent="0.25">
      <c r="A30" t="s">
        <v>257</v>
      </c>
      <c r="B30" t="s">
        <v>1014</v>
      </c>
      <c r="C30" t="s">
        <v>1015</v>
      </c>
      <c r="D30" t="s">
        <v>261</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s="16">
        <v>8.0000000000000002E-3</v>
      </c>
    </row>
    <row r="31" spans="1:31" x14ac:dyDescent="0.25">
      <c r="A31" t="s">
        <v>258</v>
      </c>
      <c r="B31" t="s">
        <v>1016</v>
      </c>
      <c r="C31" t="s">
        <v>1017</v>
      </c>
      <c r="D31" t="s">
        <v>261</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s="16">
        <v>1.9E-2</v>
      </c>
    </row>
    <row r="32" spans="1:31" x14ac:dyDescent="0.25">
      <c r="A32" t="s">
        <v>259</v>
      </c>
      <c r="B32" t="s">
        <v>1018</v>
      </c>
      <c r="C32" t="s">
        <v>1019</v>
      </c>
      <c r="D32" t="s">
        <v>261</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s="16">
        <v>1.4999999999999999E-2</v>
      </c>
    </row>
    <row r="33" spans="1:31" x14ac:dyDescent="0.25">
      <c r="A33" t="s">
        <v>191</v>
      </c>
      <c r="B33" t="s">
        <v>1020</v>
      </c>
      <c r="C33" t="s">
        <v>1021</v>
      </c>
      <c r="D33" t="s">
        <v>261</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s="16">
        <v>0.01</v>
      </c>
    </row>
    <row r="34" spans="1:31" x14ac:dyDescent="0.25">
      <c r="A34" t="s">
        <v>3</v>
      </c>
    </row>
    <row r="35" spans="1:31" x14ac:dyDescent="0.25">
      <c r="A35" t="s">
        <v>229</v>
      </c>
    </row>
    <row r="36" spans="1:31" x14ac:dyDescent="0.25">
      <c r="A36" t="s">
        <v>147</v>
      </c>
      <c r="B36" t="s">
        <v>1022</v>
      </c>
      <c r="C36" t="s">
        <v>1023</v>
      </c>
      <c r="D36" t="s">
        <v>262</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s="16">
        <v>-8.0000000000000002E-3</v>
      </c>
    </row>
    <row r="37" spans="1:31" x14ac:dyDescent="0.25">
      <c r="A37" t="s">
        <v>197</v>
      </c>
      <c r="B37" t="s">
        <v>1024</v>
      </c>
      <c r="C37" t="s">
        <v>1025</v>
      </c>
      <c r="D37" t="s">
        <v>262</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s="16">
        <v>0</v>
      </c>
    </row>
    <row r="38" spans="1:31" x14ac:dyDescent="0.25">
      <c r="A38" t="s">
        <v>187</v>
      </c>
      <c r="B38" t="s">
        <v>1026</v>
      </c>
      <c r="C38" t="s">
        <v>1027</v>
      </c>
      <c r="D38" t="s">
        <v>262</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s="16">
        <v>0</v>
      </c>
    </row>
    <row r="39" spans="1:31" x14ac:dyDescent="0.25">
      <c r="A39" t="s">
        <v>213</v>
      </c>
    </row>
    <row r="40" spans="1:31" x14ac:dyDescent="0.25">
      <c r="A40" t="s">
        <v>147</v>
      </c>
      <c r="B40" t="s">
        <v>1028</v>
      </c>
      <c r="C40" t="s">
        <v>1029</v>
      </c>
      <c r="D40" t="s">
        <v>262</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s="16">
        <v>3.0000000000000001E-3</v>
      </c>
    </row>
    <row r="41" spans="1:31" x14ac:dyDescent="0.25">
      <c r="A41" t="s">
        <v>197</v>
      </c>
      <c r="B41" t="s">
        <v>1030</v>
      </c>
      <c r="C41" t="s">
        <v>1031</v>
      </c>
      <c r="D41" t="s">
        <v>262</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s="16">
        <v>7.0000000000000001E-3</v>
      </c>
    </row>
    <row r="42" spans="1:31" x14ac:dyDescent="0.25">
      <c r="A42" t="s">
        <v>263</v>
      </c>
    </row>
    <row r="43" spans="1:31" x14ac:dyDescent="0.25">
      <c r="A43" t="s">
        <v>147</v>
      </c>
      <c r="B43" t="s">
        <v>1032</v>
      </c>
      <c r="C43" t="s">
        <v>1033</v>
      </c>
      <c r="D43" t="s">
        <v>262</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s="16">
        <v>5.0000000000000001E-3</v>
      </c>
    </row>
    <row r="44" spans="1:31" x14ac:dyDescent="0.25">
      <c r="A44" t="s">
        <v>197</v>
      </c>
      <c r="B44" t="s">
        <v>1034</v>
      </c>
      <c r="C44" t="s">
        <v>1035</v>
      </c>
      <c r="D44" t="s">
        <v>262</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s="16">
        <v>3.0000000000000001E-3</v>
      </c>
    </row>
    <row r="45" spans="1:31" x14ac:dyDescent="0.25">
      <c r="A45" t="s">
        <v>187</v>
      </c>
      <c r="B45" t="s">
        <v>1036</v>
      </c>
      <c r="C45" t="s">
        <v>1037</v>
      </c>
      <c r="D45" t="s">
        <v>262</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s="16">
        <v>0</v>
      </c>
    </row>
    <row r="46" spans="1:31" x14ac:dyDescent="0.25">
      <c r="A46" t="s">
        <v>264</v>
      </c>
    </row>
    <row r="47" spans="1:31" x14ac:dyDescent="0.25">
      <c r="A47" t="s">
        <v>147</v>
      </c>
      <c r="B47" t="s">
        <v>1038</v>
      </c>
      <c r="C47" t="s">
        <v>1039</v>
      </c>
      <c r="D47" t="s">
        <v>265</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s="16">
        <v>4.0000000000000001E-3</v>
      </c>
    </row>
    <row r="48" spans="1:31" x14ac:dyDescent="0.25">
      <c r="A48" t="s">
        <v>266</v>
      </c>
    </row>
    <row r="49" spans="1:31" x14ac:dyDescent="0.25">
      <c r="A49" t="s">
        <v>147</v>
      </c>
      <c r="B49" t="s">
        <v>1040</v>
      </c>
      <c r="C49" t="s">
        <v>1041</v>
      </c>
      <c r="D49" t="s">
        <v>262</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s="16">
        <v>0</v>
      </c>
    </row>
    <row r="50" spans="1:31" x14ac:dyDescent="0.25">
      <c r="A50" t="s">
        <v>197</v>
      </c>
      <c r="B50" t="s">
        <v>1042</v>
      </c>
      <c r="C50" t="s">
        <v>1043</v>
      </c>
      <c r="D50" t="s">
        <v>262</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s="16">
        <v>3.0000000000000001E-3</v>
      </c>
    </row>
    <row r="51" spans="1:31" x14ac:dyDescent="0.25">
      <c r="A51" t="s">
        <v>267</v>
      </c>
    </row>
    <row r="52" spans="1:31" x14ac:dyDescent="0.25">
      <c r="A52" t="s">
        <v>268</v>
      </c>
    </row>
    <row r="53" spans="1:31" x14ac:dyDescent="0.25">
      <c r="A53" t="s">
        <v>147</v>
      </c>
      <c r="B53" t="s">
        <v>1044</v>
      </c>
      <c r="C53" t="s">
        <v>1045</v>
      </c>
      <c r="D53" t="s">
        <v>269</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s="16">
        <v>1.9E-2</v>
      </c>
    </row>
    <row r="54" spans="1:31" x14ac:dyDescent="0.25">
      <c r="A54" t="s">
        <v>270</v>
      </c>
    </row>
    <row r="55" spans="1:31" x14ac:dyDescent="0.25">
      <c r="A55" t="s">
        <v>147</v>
      </c>
      <c r="B55" t="s">
        <v>1046</v>
      </c>
      <c r="C55" t="s">
        <v>1047</v>
      </c>
      <c r="D55" t="s">
        <v>262</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s="16">
        <v>4.0000000000000001E-3</v>
      </c>
    </row>
    <row r="56" spans="1:31" x14ac:dyDescent="0.25">
      <c r="A56" t="s">
        <v>234</v>
      </c>
    </row>
    <row r="57" spans="1:31" x14ac:dyDescent="0.25">
      <c r="A57" t="s">
        <v>235</v>
      </c>
    </row>
    <row r="58" spans="1:31" x14ac:dyDescent="0.25">
      <c r="A58" t="s">
        <v>175</v>
      </c>
    </row>
    <row r="59" spans="1:31" x14ac:dyDescent="0.25">
      <c r="A59" t="s">
        <v>271</v>
      </c>
      <c r="B59" t="s">
        <v>1048</v>
      </c>
      <c r="C59" t="s">
        <v>1049</v>
      </c>
      <c r="D59" t="s">
        <v>237</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s="16">
        <v>0</v>
      </c>
    </row>
    <row r="60" spans="1:31" x14ac:dyDescent="0.25">
      <c r="A60" t="s">
        <v>197</v>
      </c>
      <c r="B60" t="s">
        <v>1050</v>
      </c>
      <c r="C60" t="s">
        <v>1051</v>
      </c>
      <c r="D60" t="s">
        <v>237</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s="16">
        <v>1.2E-2</v>
      </c>
    </row>
    <row r="61" spans="1:31" x14ac:dyDescent="0.25">
      <c r="A61" t="s">
        <v>238</v>
      </c>
      <c r="B61" t="s">
        <v>1052</v>
      </c>
      <c r="C61" t="s">
        <v>1053</v>
      </c>
      <c r="D61" t="s">
        <v>237</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s="16">
        <v>2.9000000000000001E-2</v>
      </c>
    </row>
    <row r="62" spans="1:31" x14ac:dyDescent="0.25">
      <c r="A62" t="s">
        <v>239</v>
      </c>
      <c r="B62" t="s">
        <v>1054</v>
      </c>
      <c r="C62" t="s">
        <v>1055</v>
      </c>
      <c r="D62" t="s">
        <v>237</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s="16">
        <v>1E-3</v>
      </c>
    </row>
    <row r="63" spans="1:31" x14ac:dyDescent="0.25">
      <c r="A63" t="s">
        <v>259</v>
      </c>
      <c r="B63" t="s">
        <v>1056</v>
      </c>
      <c r="C63" t="s">
        <v>1057</v>
      </c>
      <c r="D63" t="s">
        <v>237</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s="16">
        <v>0</v>
      </c>
    </row>
    <row r="64" spans="1:31" x14ac:dyDescent="0.25">
      <c r="A64" t="s">
        <v>191</v>
      </c>
      <c r="B64" t="s">
        <v>1058</v>
      </c>
      <c r="C64" t="s">
        <v>1059</v>
      </c>
      <c r="D64" t="s">
        <v>237</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s="16">
        <v>2.8000000000000001E-2</v>
      </c>
    </row>
    <row r="65" spans="1:31" x14ac:dyDescent="0.25">
      <c r="A65" t="s">
        <v>174</v>
      </c>
    </row>
    <row r="66" spans="1:31" x14ac:dyDescent="0.25">
      <c r="A66" t="s">
        <v>271</v>
      </c>
      <c r="B66" t="s">
        <v>1060</v>
      </c>
      <c r="C66" t="s">
        <v>1061</v>
      </c>
      <c r="D66" t="s">
        <v>240</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s="16">
        <v>0</v>
      </c>
    </row>
    <row r="67" spans="1:31" x14ac:dyDescent="0.25">
      <c r="A67" t="s">
        <v>197</v>
      </c>
      <c r="B67" t="s">
        <v>1062</v>
      </c>
      <c r="C67" t="s">
        <v>1063</v>
      </c>
      <c r="D67" t="s">
        <v>240</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s="16">
        <v>1.2E-2</v>
      </c>
    </row>
    <row r="68" spans="1:31" x14ac:dyDescent="0.25">
      <c r="A68" t="s">
        <v>238</v>
      </c>
      <c r="B68" t="s">
        <v>1064</v>
      </c>
      <c r="C68" t="s">
        <v>955</v>
      </c>
      <c r="D68" t="s">
        <v>240</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s="16">
        <v>2.7E-2</v>
      </c>
    </row>
    <row r="69" spans="1:31" x14ac:dyDescent="0.25">
      <c r="A69" t="s">
        <v>239</v>
      </c>
      <c r="B69" t="s">
        <v>1065</v>
      </c>
      <c r="C69" t="s">
        <v>957</v>
      </c>
      <c r="D69" t="s">
        <v>240</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s="16">
        <v>1E-3</v>
      </c>
    </row>
    <row r="70" spans="1:31" x14ac:dyDescent="0.25">
      <c r="A70" t="s">
        <v>259</v>
      </c>
      <c r="B70" t="s">
        <v>1066</v>
      </c>
      <c r="C70" t="s">
        <v>1067</v>
      </c>
      <c r="D70" t="s">
        <v>240</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s="16">
        <v>0</v>
      </c>
    </row>
    <row r="71" spans="1:31" x14ac:dyDescent="0.25">
      <c r="A71" t="s">
        <v>191</v>
      </c>
      <c r="B71" t="s">
        <v>1068</v>
      </c>
      <c r="C71" t="s">
        <v>959</v>
      </c>
      <c r="D71" t="s">
        <v>240</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s="16">
        <v>2.4E-2</v>
      </c>
    </row>
    <row r="72" spans="1:31" x14ac:dyDescent="0.25">
      <c r="A72" t="s">
        <v>241</v>
      </c>
    </row>
    <row r="73" spans="1:31" x14ac:dyDescent="0.25">
      <c r="A73" t="s">
        <v>242</v>
      </c>
      <c r="B73" t="s">
        <v>1069</v>
      </c>
      <c r="C73" t="s">
        <v>961</v>
      </c>
      <c r="D73" t="s">
        <v>240</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s="16">
        <v>0.01</v>
      </c>
    </row>
    <row r="74" spans="1:31" x14ac:dyDescent="0.25">
      <c r="A74" t="s">
        <v>243</v>
      </c>
      <c r="B74" t="s">
        <v>1070</v>
      </c>
      <c r="C74" t="s">
        <v>963</v>
      </c>
      <c r="D74" t="s">
        <v>240</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s="16">
        <v>2.7E-2</v>
      </c>
    </row>
    <row r="75" spans="1:31" x14ac:dyDescent="0.25">
      <c r="A75" t="s">
        <v>244</v>
      </c>
    </row>
    <row r="76" spans="1:31" x14ac:dyDescent="0.25">
      <c r="A76" t="s">
        <v>271</v>
      </c>
      <c r="B76" t="s">
        <v>1071</v>
      </c>
      <c r="C76" t="s">
        <v>1072</v>
      </c>
      <c r="D76" t="s">
        <v>245</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s="16">
        <v>0</v>
      </c>
    </row>
    <row r="77" spans="1:31" x14ac:dyDescent="0.25">
      <c r="A77" t="s">
        <v>197</v>
      </c>
      <c r="B77" t="s">
        <v>1073</v>
      </c>
      <c r="C77" t="s">
        <v>1074</v>
      </c>
      <c r="D77" t="s">
        <v>245</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s="16">
        <v>1.2E-2</v>
      </c>
    </row>
    <row r="78" spans="1:31" x14ac:dyDescent="0.25">
      <c r="A78" t="s">
        <v>238</v>
      </c>
      <c r="B78" t="s">
        <v>1075</v>
      </c>
      <c r="C78" t="s">
        <v>967</v>
      </c>
      <c r="D78" t="s">
        <v>245</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s="16">
        <v>2.7E-2</v>
      </c>
    </row>
    <row r="79" spans="1:31" x14ac:dyDescent="0.25">
      <c r="A79" t="s">
        <v>239</v>
      </c>
      <c r="B79" t="s">
        <v>1076</v>
      </c>
      <c r="C79" t="s">
        <v>969</v>
      </c>
      <c r="D79" t="s">
        <v>245</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s="16">
        <v>1E-3</v>
      </c>
    </row>
    <row r="80" spans="1:31" x14ac:dyDescent="0.25">
      <c r="A80" t="s">
        <v>259</v>
      </c>
      <c r="B80" t="s">
        <v>1077</v>
      </c>
      <c r="C80" t="s">
        <v>1078</v>
      </c>
      <c r="D80" t="s">
        <v>245</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s="16">
        <v>0</v>
      </c>
    </row>
    <row r="81" spans="1:31" x14ac:dyDescent="0.25">
      <c r="A81" t="s">
        <v>191</v>
      </c>
      <c r="B81" t="s">
        <v>1079</v>
      </c>
      <c r="C81" t="s">
        <v>971</v>
      </c>
      <c r="D81" t="s">
        <v>245</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s="16">
        <v>0.02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D15FE-7663-4FED-9BC8-C5758E4A9992}">
  <sheetPr>
    <tabColor theme="3"/>
  </sheetPr>
  <dimension ref="A1:AE92"/>
  <sheetViews>
    <sheetView workbookViewId="0"/>
  </sheetViews>
  <sheetFormatPr defaultRowHeight="15" x14ac:dyDescent="0.25"/>
  <sheetData>
    <row r="1" spans="1:31" x14ac:dyDescent="0.25">
      <c r="A1" t="s">
        <v>176</v>
      </c>
    </row>
    <row r="2" spans="1:31" x14ac:dyDescent="0.25">
      <c r="A2" t="s">
        <v>836</v>
      </c>
    </row>
    <row r="3" spans="1:31" x14ac:dyDescent="0.25">
      <c r="A3" t="s">
        <v>837</v>
      </c>
    </row>
    <row r="4" spans="1:31" x14ac:dyDescent="0.25">
      <c r="A4" t="s">
        <v>177</v>
      </c>
    </row>
    <row r="5" spans="1:31" x14ac:dyDescent="0.25">
      <c r="B5" t="s">
        <v>178</v>
      </c>
      <c r="C5" t="s">
        <v>179</v>
      </c>
      <c r="D5" t="s">
        <v>180</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838</v>
      </c>
    </row>
    <row r="6" spans="1:31" x14ac:dyDescent="0.25">
      <c r="A6" t="s">
        <v>2</v>
      </c>
    </row>
    <row r="7" spans="1:31" x14ac:dyDescent="0.25">
      <c r="A7" t="s">
        <v>181</v>
      </c>
    </row>
    <row r="8" spans="1:31" x14ac:dyDescent="0.25">
      <c r="A8" t="s">
        <v>182</v>
      </c>
      <c r="B8" t="s">
        <v>839</v>
      </c>
      <c r="C8" t="s">
        <v>840</v>
      </c>
      <c r="D8" t="s">
        <v>183</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s="16">
        <v>1.7000000000000001E-2</v>
      </c>
    </row>
    <row r="9" spans="1:31" x14ac:dyDescent="0.25">
      <c r="A9" t="s">
        <v>184</v>
      </c>
      <c r="B9" t="s">
        <v>841</v>
      </c>
      <c r="C9" t="s">
        <v>842</v>
      </c>
      <c r="D9" t="s">
        <v>183</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s="16">
        <v>0.01</v>
      </c>
    </row>
    <row r="10" spans="1:31" x14ac:dyDescent="0.25">
      <c r="A10" t="s">
        <v>185</v>
      </c>
      <c r="B10" t="s">
        <v>843</v>
      </c>
      <c r="C10" t="s">
        <v>844</v>
      </c>
      <c r="D10" t="s">
        <v>183</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s="16">
        <v>5.0000000000000001E-3</v>
      </c>
    </row>
    <row r="11" spans="1:31" x14ac:dyDescent="0.25">
      <c r="A11" t="s">
        <v>186</v>
      </c>
      <c r="B11" t="s">
        <v>845</v>
      </c>
      <c r="C11" t="s">
        <v>846</v>
      </c>
      <c r="D11" t="s">
        <v>183</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s="16">
        <v>7.0000000000000001E-3</v>
      </c>
    </row>
    <row r="12" spans="1:31" x14ac:dyDescent="0.25">
      <c r="A12" t="s">
        <v>187</v>
      </c>
      <c r="B12" t="s">
        <v>847</v>
      </c>
      <c r="C12" t="s">
        <v>848</v>
      </c>
      <c r="D12" t="s">
        <v>183</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s="16">
        <v>-6.0000000000000001E-3</v>
      </c>
    </row>
    <row r="13" spans="1:31" x14ac:dyDescent="0.25">
      <c r="A13" t="s">
        <v>149</v>
      </c>
      <c r="B13" t="s">
        <v>849</v>
      </c>
      <c r="C13" t="s">
        <v>850</v>
      </c>
      <c r="D13" t="s">
        <v>183</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s="16">
        <v>1E-3</v>
      </c>
    </row>
    <row r="14" spans="1:31" x14ac:dyDescent="0.25">
      <c r="A14" t="s">
        <v>189</v>
      </c>
      <c r="B14" t="s">
        <v>851</v>
      </c>
      <c r="C14" t="s">
        <v>852</v>
      </c>
      <c r="D14" t="s">
        <v>183</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s="16">
        <v>-2E-3</v>
      </c>
    </row>
    <row r="15" spans="1:31" x14ac:dyDescent="0.25">
      <c r="A15" t="s">
        <v>190</v>
      </c>
      <c r="B15" t="s">
        <v>853</v>
      </c>
      <c r="C15" t="s">
        <v>854</v>
      </c>
      <c r="D15" t="s">
        <v>183</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s="16">
        <v>6.0000000000000001E-3</v>
      </c>
    </row>
    <row r="16" spans="1:31" x14ac:dyDescent="0.25">
      <c r="A16" t="s">
        <v>191</v>
      </c>
      <c r="B16" t="s">
        <v>855</v>
      </c>
      <c r="C16" t="s">
        <v>856</v>
      </c>
      <c r="D16" t="s">
        <v>183</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s="16">
        <v>8.0000000000000002E-3</v>
      </c>
    </row>
    <row r="17" spans="1:31" x14ac:dyDescent="0.25">
      <c r="A17" t="s">
        <v>192</v>
      </c>
    </row>
    <row r="18" spans="1:31" x14ac:dyDescent="0.25">
      <c r="A18" t="s">
        <v>182</v>
      </c>
      <c r="B18" t="s">
        <v>857</v>
      </c>
      <c r="C18" t="s">
        <v>858</v>
      </c>
      <c r="D18" t="s">
        <v>183</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s="16">
        <v>1.7000000000000001E-2</v>
      </c>
    </row>
    <row r="19" spans="1:31" x14ac:dyDescent="0.25">
      <c r="A19" t="s">
        <v>185</v>
      </c>
      <c r="B19" t="s">
        <v>859</v>
      </c>
      <c r="C19" t="s">
        <v>860</v>
      </c>
      <c r="D19" t="s">
        <v>183</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s="16">
        <v>5.0000000000000001E-3</v>
      </c>
    </row>
    <row r="20" spans="1:31" x14ac:dyDescent="0.25">
      <c r="A20" t="s">
        <v>190</v>
      </c>
      <c r="B20" t="s">
        <v>861</v>
      </c>
      <c r="C20" t="s">
        <v>862</v>
      </c>
      <c r="D20" t="s">
        <v>183</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s="16">
        <v>6.0000000000000001E-3</v>
      </c>
    </row>
    <row r="21" spans="1:31" x14ac:dyDescent="0.25">
      <c r="A21" t="s">
        <v>193</v>
      </c>
      <c r="B21" t="s">
        <v>863</v>
      </c>
      <c r="C21" t="s">
        <v>864</v>
      </c>
      <c r="D21" t="s">
        <v>183</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s="16">
        <v>1.0999999999999999E-2</v>
      </c>
    </row>
    <row r="22" spans="1:31" x14ac:dyDescent="0.25">
      <c r="A22" t="s">
        <v>194</v>
      </c>
      <c r="B22" t="s">
        <v>865</v>
      </c>
      <c r="C22" t="s">
        <v>866</v>
      </c>
      <c r="D22" t="s">
        <v>183</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s="16">
        <v>2E-3</v>
      </c>
    </row>
    <row r="23" spans="1:31" x14ac:dyDescent="0.25">
      <c r="A23" t="s">
        <v>191</v>
      </c>
      <c r="B23" t="s">
        <v>867</v>
      </c>
      <c r="C23" t="s">
        <v>868</v>
      </c>
      <c r="D23" t="s">
        <v>183</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173.52676399999999</v>
      </c>
      <c r="Y23">
        <v>174.78727699999999</v>
      </c>
      <c r="Z23">
        <v>176.051331</v>
      </c>
      <c r="AA23">
        <v>177.31303399999999</v>
      </c>
      <c r="AB23">
        <v>178.57266200000001</v>
      </c>
      <c r="AC23">
        <v>179.83197000000001</v>
      </c>
      <c r="AD23">
        <v>181.09558100000001</v>
      </c>
      <c r="AE23" s="16">
        <v>8.9999999999999993E-3</v>
      </c>
    </row>
    <row r="24" spans="1:31" x14ac:dyDescent="0.25">
      <c r="A24" t="s">
        <v>195</v>
      </c>
    </row>
    <row r="25" spans="1:31" x14ac:dyDescent="0.25">
      <c r="A25" t="s">
        <v>196</v>
      </c>
      <c r="B25" t="s">
        <v>869</v>
      </c>
      <c r="C25" t="s">
        <v>870</v>
      </c>
      <c r="D25" t="s">
        <v>183</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s="16">
        <v>0.01</v>
      </c>
    </row>
    <row r="26" spans="1:31" x14ac:dyDescent="0.25">
      <c r="A26" t="s">
        <v>197</v>
      </c>
      <c r="B26" t="s">
        <v>871</v>
      </c>
      <c r="C26" t="s">
        <v>872</v>
      </c>
      <c r="D26" t="s">
        <v>183</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s="16">
        <v>7.0000000000000001E-3</v>
      </c>
    </row>
    <row r="27" spans="1:31" x14ac:dyDescent="0.25">
      <c r="A27" t="s">
        <v>187</v>
      </c>
      <c r="B27" t="s">
        <v>873</v>
      </c>
      <c r="C27" t="s">
        <v>874</v>
      </c>
      <c r="D27" t="s">
        <v>183</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s="16">
        <v>-2.1000000000000001E-2</v>
      </c>
    </row>
    <row r="28" spans="1:31" x14ac:dyDescent="0.25">
      <c r="A28" t="s">
        <v>149</v>
      </c>
      <c r="B28" t="s">
        <v>875</v>
      </c>
      <c r="C28" t="s">
        <v>876</v>
      </c>
      <c r="D28" t="s">
        <v>183</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s="16">
        <v>-5.0000000000000001E-3</v>
      </c>
    </row>
    <row r="29" spans="1:31" x14ac:dyDescent="0.25">
      <c r="A29" t="s">
        <v>198</v>
      </c>
      <c r="B29" t="s">
        <v>877</v>
      </c>
      <c r="C29" t="s">
        <v>878</v>
      </c>
      <c r="D29" t="s">
        <v>183</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s="16">
        <v>2E-3</v>
      </c>
    </row>
    <row r="30" spans="1:31" x14ac:dyDescent="0.25">
      <c r="A30" t="s">
        <v>191</v>
      </c>
      <c r="B30" t="s">
        <v>879</v>
      </c>
      <c r="C30" t="s">
        <v>880</v>
      </c>
      <c r="D30" t="s">
        <v>183</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s="16">
        <v>8.0000000000000002E-3</v>
      </c>
    </row>
    <row r="31" spans="1:31" x14ac:dyDescent="0.25">
      <c r="A31" t="s">
        <v>199</v>
      </c>
    </row>
    <row r="32" spans="1:31" x14ac:dyDescent="0.25">
      <c r="A32" t="s">
        <v>196</v>
      </c>
      <c r="B32" t="s">
        <v>881</v>
      </c>
      <c r="C32" t="s">
        <v>882</v>
      </c>
      <c r="D32" t="s">
        <v>183</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s="16">
        <v>6.0000000000000001E-3</v>
      </c>
    </row>
    <row r="33" spans="1:31" x14ac:dyDescent="0.25">
      <c r="A33" t="s">
        <v>197</v>
      </c>
      <c r="B33" t="s">
        <v>883</v>
      </c>
      <c r="C33" t="s">
        <v>884</v>
      </c>
      <c r="D33" t="s">
        <v>183</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s="16">
        <v>7.0000000000000001E-3</v>
      </c>
    </row>
    <row r="34" spans="1:31" x14ac:dyDescent="0.25">
      <c r="A34" t="s">
        <v>149</v>
      </c>
      <c r="B34" t="s">
        <v>885</v>
      </c>
      <c r="C34" t="s">
        <v>886</v>
      </c>
      <c r="D34" t="s">
        <v>183</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s="16">
        <v>2E-3</v>
      </c>
    </row>
    <row r="35" spans="1:31" x14ac:dyDescent="0.25">
      <c r="A35" t="s">
        <v>191</v>
      </c>
      <c r="B35" t="s">
        <v>887</v>
      </c>
      <c r="C35" t="s">
        <v>888</v>
      </c>
      <c r="D35" t="s">
        <v>183</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s="16">
        <v>6.0000000000000001E-3</v>
      </c>
    </row>
    <row r="36" spans="1:31" x14ac:dyDescent="0.25">
      <c r="A36" t="s">
        <v>200</v>
      </c>
    </row>
    <row r="37" spans="1:31" x14ac:dyDescent="0.25">
      <c r="A37" t="s">
        <v>196</v>
      </c>
      <c r="B37" t="s">
        <v>889</v>
      </c>
      <c r="C37" t="s">
        <v>890</v>
      </c>
      <c r="D37" t="s">
        <v>183</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s="16">
        <v>2.1000000000000001E-2</v>
      </c>
    </row>
    <row r="38" spans="1:31" x14ac:dyDescent="0.25">
      <c r="A38" t="s">
        <v>197</v>
      </c>
      <c r="B38" t="s">
        <v>891</v>
      </c>
      <c r="C38" t="s">
        <v>892</v>
      </c>
      <c r="D38" t="s">
        <v>183</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s="16">
        <v>1.4999999999999999E-2</v>
      </c>
    </row>
    <row r="39" spans="1:31" x14ac:dyDescent="0.25">
      <c r="A39" t="s">
        <v>191</v>
      </c>
      <c r="B39" t="s">
        <v>893</v>
      </c>
      <c r="C39" t="s">
        <v>894</v>
      </c>
      <c r="D39" t="s">
        <v>183</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s="16">
        <v>0.02</v>
      </c>
    </row>
    <row r="40" spans="1:31" x14ac:dyDescent="0.25">
      <c r="A40" t="s">
        <v>201</v>
      </c>
    </row>
    <row r="41" spans="1:31" x14ac:dyDescent="0.25">
      <c r="A41" t="s">
        <v>202</v>
      </c>
      <c r="B41" t="s">
        <v>895</v>
      </c>
      <c r="C41" t="s">
        <v>896</v>
      </c>
      <c r="D41" t="s">
        <v>183</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s="16">
        <v>8.0000000000000002E-3</v>
      </c>
    </row>
    <row r="42" spans="1:31" x14ac:dyDescent="0.25">
      <c r="A42" t="s">
        <v>203</v>
      </c>
      <c r="B42" t="s">
        <v>897</v>
      </c>
      <c r="C42" t="s">
        <v>898</v>
      </c>
      <c r="D42" t="s">
        <v>183</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s="16">
        <v>7.0000000000000001E-3</v>
      </c>
    </row>
    <row r="43" spans="1:31" x14ac:dyDescent="0.25">
      <c r="A43" t="s">
        <v>3</v>
      </c>
    </row>
    <row r="44" spans="1:31" x14ac:dyDescent="0.25">
      <c r="A44" t="s">
        <v>181</v>
      </c>
    </row>
    <row r="45" spans="1:31" x14ac:dyDescent="0.25">
      <c r="A45" t="s">
        <v>204</v>
      </c>
      <c r="B45" t="s">
        <v>899</v>
      </c>
      <c r="C45" t="s">
        <v>900</v>
      </c>
      <c r="D45" t="s">
        <v>205</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s="16">
        <v>5.0000000000000001E-3</v>
      </c>
    </row>
    <row r="46" spans="1:31" x14ac:dyDescent="0.25">
      <c r="A46" t="s">
        <v>206</v>
      </c>
      <c r="B46" t="s">
        <v>901</v>
      </c>
      <c r="C46" t="s">
        <v>902</v>
      </c>
      <c r="D46" t="s">
        <v>207</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s="16">
        <v>0</v>
      </c>
    </row>
    <row r="47" spans="1:31" x14ac:dyDescent="0.25">
      <c r="A47" t="s">
        <v>208</v>
      </c>
      <c r="B47" t="s">
        <v>903</v>
      </c>
      <c r="C47" t="s">
        <v>904</v>
      </c>
      <c r="D47" t="s">
        <v>209</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s="16">
        <v>4.0000000000000001E-3</v>
      </c>
    </row>
    <row r="48" spans="1:31" x14ac:dyDescent="0.25">
      <c r="A48" t="s">
        <v>210</v>
      </c>
      <c r="B48" t="s">
        <v>905</v>
      </c>
      <c r="C48" t="s">
        <v>906</v>
      </c>
      <c r="D48" t="s">
        <v>211</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s="16">
        <v>6.0000000000000001E-3</v>
      </c>
    </row>
    <row r="49" spans="1:31" x14ac:dyDescent="0.25">
      <c r="A49" t="s">
        <v>212</v>
      </c>
      <c r="B49" t="s">
        <v>907</v>
      </c>
      <c r="C49" t="s">
        <v>908</v>
      </c>
      <c r="D49" t="s">
        <v>211</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s="16">
        <v>0</v>
      </c>
    </row>
    <row r="50" spans="1:31" x14ac:dyDescent="0.25">
      <c r="A50" t="s">
        <v>213</v>
      </c>
    </row>
    <row r="51" spans="1:31" x14ac:dyDescent="0.25">
      <c r="A51" t="s">
        <v>214</v>
      </c>
      <c r="B51" t="s">
        <v>909</v>
      </c>
      <c r="C51" t="s">
        <v>910</v>
      </c>
      <c r="D51" t="s">
        <v>215</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s="16">
        <v>7.0000000000000001E-3</v>
      </c>
    </row>
    <row r="52" spans="1:31" x14ac:dyDescent="0.25">
      <c r="A52" t="s">
        <v>206</v>
      </c>
      <c r="B52" t="s">
        <v>911</v>
      </c>
      <c r="C52" t="s">
        <v>912</v>
      </c>
      <c r="D52" t="s">
        <v>207</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s="16">
        <v>4.0000000000000001E-3</v>
      </c>
    </row>
    <row r="53" spans="1:31" x14ac:dyDescent="0.25">
      <c r="A53" t="s">
        <v>216</v>
      </c>
      <c r="B53" t="s">
        <v>913</v>
      </c>
      <c r="C53" t="s">
        <v>914</v>
      </c>
      <c r="D53" t="s">
        <v>217</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s="16">
        <v>6.0000000000000001E-3</v>
      </c>
    </row>
    <row r="54" spans="1:31" x14ac:dyDescent="0.25">
      <c r="A54" t="s">
        <v>218</v>
      </c>
      <c r="B54" t="s">
        <v>915</v>
      </c>
      <c r="C54" t="s">
        <v>916</v>
      </c>
      <c r="D54" t="s">
        <v>215</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s="16">
        <v>5.0000000000000001E-3</v>
      </c>
    </row>
    <row r="55" spans="1:31" x14ac:dyDescent="0.25">
      <c r="A55" t="s">
        <v>219</v>
      </c>
      <c r="B55" t="s">
        <v>917</v>
      </c>
      <c r="C55" t="s">
        <v>918</v>
      </c>
      <c r="D55" t="s">
        <v>217</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s="16">
        <v>1.2999999999999999E-2</v>
      </c>
    </row>
    <row r="56" spans="1:31" x14ac:dyDescent="0.25">
      <c r="A56" t="s">
        <v>220</v>
      </c>
    </row>
    <row r="57" spans="1:31" x14ac:dyDescent="0.25">
      <c r="A57" t="s">
        <v>221</v>
      </c>
      <c r="B57" t="s">
        <v>919</v>
      </c>
      <c r="C57" t="s">
        <v>920</v>
      </c>
      <c r="D57" t="s">
        <v>222</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s="16">
        <v>2.9000000000000001E-2</v>
      </c>
    </row>
    <row r="58" spans="1:31" x14ac:dyDescent="0.25">
      <c r="A58" t="s">
        <v>223</v>
      </c>
      <c r="B58" t="s">
        <v>921</v>
      </c>
      <c r="C58" t="s">
        <v>922</v>
      </c>
      <c r="D58" t="s">
        <v>222</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s="16">
        <v>3.0000000000000001E-3</v>
      </c>
    </row>
    <row r="59" spans="1:31" x14ac:dyDescent="0.25">
      <c r="A59" t="s">
        <v>224</v>
      </c>
      <c r="B59" t="s">
        <v>923</v>
      </c>
      <c r="C59" t="s">
        <v>924</v>
      </c>
      <c r="D59" t="s">
        <v>222</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s="16">
        <v>6.0000000000000001E-3</v>
      </c>
    </row>
    <row r="60" spans="1:31" x14ac:dyDescent="0.25">
      <c r="A60" t="s">
        <v>225</v>
      </c>
      <c r="B60" t="s">
        <v>925</v>
      </c>
      <c r="C60" t="s">
        <v>926</v>
      </c>
      <c r="D60" t="s">
        <v>222</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s="16">
        <v>3.0000000000000001E-3</v>
      </c>
    </row>
    <row r="61" spans="1:31" x14ac:dyDescent="0.25">
      <c r="A61" t="s">
        <v>226</v>
      </c>
    </row>
    <row r="62" spans="1:31" x14ac:dyDescent="0.25">
      <c r="A62" t="s">
        <v>202</v>
      </c>
      <c r="B62" t="s">
        <v>927</v>
      </c>
      <c r="C62" t="s">
        <v>928</v>
      </c>
      <c r="D62" t="s">
        <v>227</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s="16">
        <v>-1.2999999999999999E-2</v>
      </c>
    </row>
    <row r="63" spans="1:31" x14ac:dyDescent="0.25">
      <c r="A63" t="s">
        <v>203</v>
      </c>
      <c r="B63" t="s">
        <v>929</v>
      </c>
      <c r="C63" t="s">
        <v>930</v>
      </c>
      <c r="D63" t="s">
        <v>227</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s="16">
        <v>-1.0999999999999999E-2</v>
      </c>
    </row>
    <row r="64" spans="1:31" x14ac:dyDescent="0.25">
      <c r="A64" t="s">
        <v>228</v>
      </c>
    </row>
    <row r="65" spans="1:31" x14ac:dyDescent="0.25">
      <c r="A65" t="s">
        <v>229</v>
      </c>
    </row>
    <row r="66" spans="1:31" x14ac:dyDescent="0.25">
      <c r="A66" t="s">
        <v>614</v>
      </c>
      <c r="B66" t="s">
        <v>931</v>
      </c>
      <c r="C66" t="s">
        <v>932</v>
      </c>
      <c r="D66" t="s">
        <v>933</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s="16">
        <v>-8.0000000000000002E-3</v>
      </c>
    </row>
    <row r="67" spans="1:31" x14ac:dyDescent="0.25">
      <c r="A67" t="s">
        <v>232</v>
      </c>
      <c r="B67" t="s">
        <v>934</v>
      </c>
      <c r="C67" t="s">
        <v>935</v>
      </c>
      <c r="D67" t="s">
        <v>933</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s="16">
        <v>4.0000000000000001E-3</v>
      </c>
    </row>
    <row r="68" spans="1:31" x14ac:dyDescent="0.25">
      <c r="A68" t="s">
        <v>233</v>
      </c>
      <c r="B68" t="s">
        <v>936</v>
      </c>
      <c r="C68" t="s">
        <v>937</v>
      </c>
      <c r="D68" t="s">
        <v>933</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s="16">
        <v>-6.0000000000000001E-3</v>
      </c>
    </row>
    <row r="69" spans="1:31" x14ac:dyDescent="0.25">
      <c r="A69" t="s">
        <v>213</v>
      </c>
    </row>
    <row r="70" spans="1:31" x14ac:dyDescent="0.25">
      <c r="A70" t="s">
        <v>614</v>
      </c>
      <c r="B70" t="s">
        <v>938</v>
      </c>
      <c r="C70" t="s">
        <v>939</v>
      </c>
      <c r="D70" t="s">
        <v>933</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s="16">
        <v>-3.0000000000000001E-3</v>
      </c>
    </row>
    <row r="71" spans="1:31" x14ac:dyDescent="0.25">
      <c r="A71" t="s">
        <v>232</v>
      </c>
      <c r="B71" t="s">
        <v>940</v>
      </c>
      <c r="C71" t="s">
        <v>941</v>
      </c>
      <c r="D71" t="s">
        <v>933</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s="16">
        <v>1E-3</v>
      </c>
    </row>
    <row r="72" spans="1:31" x14ac:dyDescent="0.25">
      <c r="A72" t="s">
        <v>233</v>
      </c>
      <c r="B72" t="s">
        <v>942</v>
      </c>
      <c r="C72" t="s">
        <v>943</v>
      </c>
      <c r="D72" t="s">
        <v>933</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s="16">
        <v>-2E-3</v>
      </c>
    </row>
    <row r="73" spans="1:31" x14ac:dyDescent="0.25">
      <c r="A73" t="s">
        <v>234</v>
      </c>
    </row>
    <row r="74" spans="1:31" x14ac:dyDescent="0.25">
      <c r="A74" t="s">
        <v>235</v>
      </c>
    </row>
    <row r="75" spans="1:31" x14ac:dyDescent="0.25">
      <c r="A75" t="s">
        <v>175</v>
      </c>
    </row>
    <row r="76" spans="1:31" x14ac:dyDescent="0.25">
      <c r="A76" t="s">
        <v>236</v>
      </c>
      <c r="B76" t="s">
        <v>944</v>
      </c>
      <c r="C76" t="s">
        <v>945</v>
      </c>
      <c r="D76" t="s">
        <v>237</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s="16">
        <v>0.115</v>
      </c>
    </row>
    <row r="77" spans="1:31" x14ac:dyDescent="0.25">
      <c r="A77" t="s">
        <v>238</v>
      </c>
      <c r="B77" t="s">
        <v>946</v>
      </c>
      <c r="C77" t="s">
        <v>947</v>
      </c>
      <c r="D77" t="s">
        <v>237</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s="16">
        <v>5.2999999999999999E-2</v>
      </c>
    </row>
    <row r="78" spans="1:31" x14ac:dyDescent="0.25">
      <c r="A78" t="s">
        <v>239</v>
      </c>
      <c r="B78" t="s">
        <v>948</v>
      </c>
      <c r="C78" t="s">
        <v>949</v>
      </c>
      <c r="D78" t="s">
        <v>237</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s="16">
        <v>1.9E-2</v>
      </c>
    </row>
    <row r="79" spans="1:31" x14ac:dyDescent="0.25">
      <c r="A79" t="s">
        <v>191</v>
      </c>
      <c r="B79" t="s">
        <v>950</v>
      </c>
      <c r="C79" t="s">
        <v>951</v>
      </c>
      <c r="D79" t="s">
        <v>237</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s="16">
        <v>5.2999999999999999E-2</v>
      </c>
    </row>
    <row r="80" spans="1:31" x14ac:dyDescent="0.25">
      <c r="A80" t="s">
        <v>174</v>
      </c>
    </row>
    <row r="81" spans="1:31" x14ac:dyDescent="0.25">
      <c r="A81" t="s">
        <v>236</v>
      </c>
      <c r="B81" t="s">
        <v>952</v>
      </c>
      <c r="C81" t="s">
        <v>953</v>
      </c>
      <c r="D81" t="s">
        <v>240</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s="16">
        <v>0.115</v>
      </c>
    </row>
    <row r="82" spans="1:31" x14ac:dyDescent="0.25">
      <c r="A82" t="s">
        <v>238</v>
      </c>
      <c r="B82" t="s">
        <v>954</v>
      </c>
      <c r="C82" t="s">
        <v>955</v>
      </c>
      <c r="D82" t="s">
        <v>240</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s="16">
        <v>5.0999999999999997E-2</v>
      </c>
    </row>
    <row r="83" spans="1:31" x14ac:dyDescent="0.25">
      <c r="A83" t="s">
        <v>239</v>
      </c>
      <c r="B83" t="s">
        <v>956</v>
      </c>
      <c r="C83" t="s">
        <v>957</v>
      </c>
      <c r="D83" t="s">
        <v>240</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s="16">
        <v>0.02</v>
      </c>
    </row>
    <row r="84" spans="1:31" x14ac:dyDescent="0.25">
      <c r="A84" t="s">
        <v>191</v>
      </c>
      <c r="B84" t="s">
        <v>958</v>
      </c>
      <c r="C84" t="s">
        <v>959</v>
      </c>
      <c r="D84" t="s">
        <v>240</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s="16">
        <v>5.0999999999999997E-2</v>
      </c>
    </row>
    <row r="85" spans="1:31" x14ac:dyDescent="0.25">
      <c r="A85" t="s">
        <v>241</v>
      </c>
    </row>
    <row r="86" spans="1:31" x14ac:dyDescent="0.25">
      <c r="A86" t="s">
        <v>242</v>
      </c>
      <c r="B86" t="s">
        <v>960</v>
      </c>
      <c r="C86" t="s">
        <v>961</v>
      </c>
      <c r="D86" t="s">
        <v>240</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s="16">
        <v>5.1999999999999998E-2</v>
      </c>
    </row>
    <row r="87" spans="1:31" x14ac:dyDescent="0.25">
      <c r="A87" t="s">
        <v>243</v>
      </c>
      <c r="B87" t="s">
        <v>962</v>
      </c>
      <c r="C87" t="s">
        <v>963</v>
      </c>
      <c r="D87" t="s">
        <v>240</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s="16">
        <v>0.05</v>
      </c>
    </row>
    <row r="88" spans="1:31" x14ac:dyDescent="0.25">
      <c r="A88" t="s">
        <v>244</v>
      </c>
    </row>
    <row r="89" spans="1:31" x14ac:dyDescent="0.25">
      <c r="A89" t="s">
        <v>236</v>
      </c>
      <c r="B89" t="s">
        <v>964</v>
      </c>
      <c r="C89" t="s">
        <v>965</v>
      </c>
      <c r="D89" t="s">
        <v>245</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s="16">
        <v>0.115</v>
      </c>
    </row>
    <row r="90" spans="1:31" x14ac:dyDescent="0.25">
      <c r="A90" t="s">
        <v>238</v>
      </c>
      <c r="B90" t="s">
        <v>966</v>
      </c>
      <c r="C90" t="s">
        <v>967</v>
      </c>
      <c r="D90" t="s">
        <v>245</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s="16">
        <v>5.0999999999999997E-2</v>
      </c>
    </row>
    <row r="91" spans="1:31" x14ac:dyDescent="0.25">
      <c r="A91" t="s">
        <v>239</v>
      </c>
      <c r="B91" t="s">
        <v>968</v>
      </c>
      <c r="C91" t="s">
        <v>969</v>
      </c>
      <c r="D91" t="s">
        <v>245</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s="16">
        <v>0.02</v>
      </c>
    </row>
    <row r="92" spans="1:31" x14ac:dyDescent="0.25">
      <c r="A92" t="s">
        <v>191</v>
      </c>
      <c r="B92" t="s">
        <v>970</v>
      </c>
      <c r="C92" t="s">
        <v>971</v>
      </c>
      <c r="D92" t="s">
        <v>245</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s="16">
        <v>5.0999999999999997E-2</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4</vt:i4>
      </vt:variant>
    </vt:vector>
  </HeadingPairs>
  <TitlesOfParts>
    <vt:vector size="22" baseType="lpstr">
      <vt:lpstr>About</vt:lpstr>
      <vt:lpstr>Source Data&gt;</vt:lpstr>
      <vt:lpstr>AEO23_Table_21._Residential</vt:lpstr>
      <vt:lpstr>AEO25_Table_21._Residential</vt:lpstr>
      <vt:lpstr>AEO23_table_22._Comm</vt:lpstr>
      <vt:lpstr>AEO25_Table_22._Commercial</vt:lpstr>
      <vt:lpstr>RECS HC2.1</vt:lpstr>
      <vt:lpstr>Calcs&gt;</vt:lpstr>
      <vt:lpstr>Calculations</vt:lpstr>
      <vt:lpstr>Inflation Reduction Act</vt:lpstr>
      <vt:lpstr>BDESC-urban-residential</vt:lpstr>
      <vt:lpstr>BDESC-rural-residential</vt:lpstr>
      <vt:lpstr>BDESC-commercial</vt:lpstr>
      <vt:lpstr>CiDESCTY-urban-residential</vt:lpstr>
      <vt:lpstr>CiDESCTY-rural-residential</vt:lpstr>
      <vt:lpstr>CiDESCTY-commercial</vt:lpstr>
      <vt:lpstr>AEO26_Table_22._Commercial</vt:lpstr>
      <vt:lpstr>AEO26_Table_21._Residential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2026-04-24T16:48:51Z</dcterms:modified>
</cp:coreProperties>
</file>