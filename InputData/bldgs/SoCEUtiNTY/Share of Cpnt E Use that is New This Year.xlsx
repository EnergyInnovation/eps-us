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Orvis\Models\EPS Structure Research\eps-us-dc-replay\InputData\bldgs\SoCEUtiNTY\"/>
    </mc:Choice>
  </mc:AlternateContent>
  <xr:revisionPtr revIDLastSave="0" documentId="13_ncr:1_{5E4A1549-5483-4CED-831A-F22D21893F4D}" xr6:coauthVersionLast="47" xr6:coauthVersionMax="47" xr10:uidLastSave="{00000000-0000-0000-0000-000000000000}"/>
  <bookViews>
    <workbookView xWindow="-120" yWindow="-120" windowWidth="57840" windowHeight="23520" tabRatio="908" activeTab="8" xr2:uid="{00000000-000D-0000-FFFF-FFFF00000000}"/>
  </bookViews>
  <sheets>
    <sheet name="About" sheetId="1" r:id="rId1"/>
    <sheet name="source data&gt;" sheetId="2" r:id="rId2"/>
    <sheet name="Component Lifetimes" sheetId="3" r:id="rId3"/>
    <sheet name="AEO 2026 Table 4" sheetId="12" r:id="rId4"/>
    <sheet name="AEO 2026 Table 5" sheetId="13" r:id="rId5"/>
    <sheet name="calcs&gt;" sheetId="8" r:id="rId6"/>
    <sheet name="Calculations" sheetId="9" r:id="rId7"/>
    <sheet name="Pre-Calibration Calculated Vals" sheetId="10" r:id="rId8"/>
    <sheet name="Data Centers" sheetId="14" r:id="rId9"/>
    <sheet name="SoCEUtiNTY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1" l="1"/>
  <c r="E4" i="11"/>
  <c r="B21" i="9"/>
  <c r="B27" i="9" s="1"/>
  <c r="B33" i="9" s="1"/>
  <c r="D20" i="9"/>
  <c r="D26" i="9"/>
  <c r="D32" i="9" s="1"/>
  <c r="B59" i="9"/>
  <c r="B58" i="9"/>
  <c r="B57" i="9"/>
  <c r="B56" i="9"/>
  <c r="B55" i="9"/>
  <c r="AA21" i="9"/>
  <c r="AA27" i="9" s="1"/>
  <c r="AA33" i="9" s="1"/>
  <c r="Z21" i="9"/>
  <c r="Z27" i="9" s="1"/>
  <c r="Z33" i="9" s="1"/>
  <c r="Y21" i="9"/>
  <c r="Y27" i="9" s="1"/>
  <c r="Y33" i="9" s="1"/>
  <c r="X21" i="9"/>
  <c r="X27" i="9" s="1"/>
  <c r="X33" i="9" s="1"/>
  <c r="W21" i="9"/>
  <c r="W27" i="9" s="1"/>
  <c r="W33" i="9" s="1"/>
  <c r="V21" i="9"/>
  <c r="V27" i="9" s="1"/>
  <c r="V33" i="9" s="1"/>
  <c r="U21" i="9"/>
  <c r="U27" i="9" s="1"/>
  <c r="U33" i="9" s="1"/>
  <c r="T21" i="9"/>
  <c r="T27" i="9" s="1"/>
  <c r="T33" i="9" s="1"/>
  <c r="S21" i="9"/>
  <c r="S27" i="9" s="1"/>
  <c r="S33" i="9" s="1"/>
  <c r="R21" i="9"/>
  <c r="R27" i="9" s="1"/>
  <c r="Q21" i="9"/>
  <c r="Q27" i="9" s="1"/>
  <c r="Q33" i="9" s="1"/>
  <c r="P21" i="9"/>
  <c r="P27" i="9" s="1"/>
  <c r="P33" i="9" s="1"/>
  <c r="O21" i="9"/>
  <c r="O27" i="9" s="1"/>
  <c r="O33" i="9" s="1"/>
  <c r="N21" i="9"/>
  <c r="M21" i="9"/>
  <c r="M27" i="9" s="1"/>
  <c r="M33" i="9" s="1"/>
  <c r="L21" i="9"/>
  <c r="L27" i="9" s="1"/>
  <c r="L33" i="9" s="1"/>
  <c r="K21" i="9"/>
  <c r="K27" i="9" s="1"/>
  <c r="K33" i="9" s="1"/>
  <c r="J21" i="9"/>
  <c r="J27" i="9" s="1"/>
  <c r="J33" i="9" s="1"/>
  <c r="I21" i="9"/>
  <c r="I27" i="9" s="1"/>
  <c r="I33" i="9" s="1"/>
  <c r="H21" i="9"/>
  <c r="H27" i="9" s="1"/>
  <c r="H33" i="9" s="1"/>
  <c r="G21" i="9"/>
  <c r="G27" i="9" s="1"/>
  <c r="G33" i="9" s="1"/>
  <c r="F21" i="9"/>
  <c r="F27" i="9" s="1"/>
  <c r="F33" i="9" s="1"/>
  <c r="E21" i="9"/>
  <c r="E27" i="9" s="1"/>
  <c r="E33" i="9" s="1"/>
  <c r="D21" i="9"/>
  <c r="D27" i="9" s="1"/>
  <c r="D33" i="9" s="1"/>
  <c r="C21" i="9"/>
  <c r="C27" i="9" s="1"/>
  <c r="C33" i="9" s="1"/>
  <c r="AA20" i="9"/>
  <c r="AA26" i="9" s="1"/>
  <c r="AA32" i="9" s="1"/>
  <c r="Z20" i="9"/>
  <c r="Z26" i="9" s="1"/>
  <c r="Z32" i="9" s="1"/>
  <c r="Y20" i="9"/>
  <c r="Y26" i="9" s="1"/>
  <c r="Y32" i="9" s="1"/>
  <c r="X20" i="9"/>
  <c r="X26" i="9" s="1"/>
  <c r="X32" i="9" s="1"/>
  <c r="W20" i="9"/>
  <c r="W26" i="9" s="1"/>
  <c r="W32" i="9" s="1"/>
  <c r="V20" i="9"/>
  <c r="V26" i="9" s="1"/>
  <c r="V32" i="9" s="1"/>
  <c r="U20" i="9"/>
  <c r="U26" i="9" s="1"/>
  <c r="U32" i="9" s="1"/>
  <c r="T20" i="9"/>
  <c r="T26" i="9" s="1"/>
  <c r="T32" i="9" s="1"/>
  <c r="S20" i="9"/>
  <c r="S26" i="9" s="1"/>
  <c r="S32" i="9" s="1"/>
  <c r="R20" i="9"/>
  <c r="R26" i="9" s="1"/>
  <c r="R32" i="9" s="1"/>
  <c r="Q20" i="9"/>
  <c r="Q26" i="9" s="1"/>
  <c r="Q32" i="9" s="1"/>
  <c r="P20" i="9"/>
  <c r="P26" i="9" s="1"/>
  <c r="P32" i="9" s="1"/>
  <c r="O20" i="9"/>
  <c r="O26" i="9" s="1"/>
  <c r="O32" i="9" s="1"/>
  <c r="N20" i="9"/>
  <c r="N26" i="9" s="1"/>
  <c r="N32" i="9" s="1"/>
  <c r="M20" i="9"/>
  <c r="M26" i="9" s="1"/>
  <c r="M32" i="9" s="1"/>
  <c r="L20" i="9"/>
  <c r="L26" i="9" s="1"/>
  <c r="L32" i="9" s="1"/>
  <c r="K20" i="9"/>
  <c r="K26" i="9" s="1"/>
  <c r="K32" i="9" s="1"/>
  <c r="J20" i="9"/>
  <c r="J26" i="9" s="1"/>
  <c r="J32" i="9" s="1"/>
  <c r="I20" i="9"/>
  <c r="I26" i="9" s="1"/>
  <c r="I32" i="9" s="1"/>
  <c r="H20" i="9"/>
  <c r="H26" i="9" s="1"/>
  <c r="H32" i="9" s="1"/>
  <c r="G20" i="9"/>
  <c r="G26" i="9" s="1"/>
  <c r="G32" i="9" s="1"/>
  <c r="F20" i="9"/>
  <c r="F26" i="9" s="1"/>
  <c r="F32" i="9" s="1"/>
  <c r="E20" i="9"/>
  <c r="E26" i="9" s="1"/>
  <c r="E32" i="9" s="1"/>
  <c r="C20" i="9"/>
  <c r="C26" i="9" s="1"/>
  <c r="C32" i="9" s="1"/>
  <c r="B20" i="9"/>
  <c r="B26" i="9" s="1"/>
  <c r="B32" i="9" s="1"/>
  <c r="AA19" i="9"/>
  <c r="AA25" i="9" s="1"/>
  <c r="AA31" i="9" s="1"/>
  <c r="Z19" i="9"/>
  <c r="Z25" i="9" s="1"/>
  <c r="Z31" i="9" s="1"/>
  <c r="Y19" i="9"/>
  <c r="Y25" i="9" s="1"/>
  <c r="Y31" i="9" s="1"/>
  <c r="X19" i="9"/>
  <c r="X25" i="9" s="1"/>
  <c r="X31" i="9" s="1"/>
  <c r="W19" i="9"/>
  <c r="W25" i="9" s="1"/>
  <c r="W31" i="9" s="1"/>
  <c r="V19" i="9"/>
  <c r="V25" i="9" s="1"/>
  <c r="V31" i="9" s="1"/>
  <c r="U19" i="9"/>
  <c r="U25" i="9" s="1"/>
  <c r="U31" i="9" s="1"/>
  <c r="T19" i="9"/>
  <c r="T25" i="9" s="1"/>
  <c r="T31" i="9" s="1"/>
  <c r="S19" i="9"/>
  <c r="S25" i="9" s="1"/>
  <c r="S31" i="9" s="1"/>
  <c r="R19" i="9"/>
  <c r="R25" i="9" s="1"/>
  <c r="R31" i="9" s="1"/>
  <c r="Q19" i="9"/>
  <c r="Q25" i="9" s="1"/>
  <c r="Q31" i="9" s="1"/>
  <c r="P19" i="9"/>
  <c r="P25" i="9" s="1"/>
  <c r="P31" i="9" s="1"/>
  <c r="O19" i="9"/>
  <c r="O25" i="9" s="1"/>
  <c r="O31" i="9" s="1"/>
  <c r="N19" i="9"/>
  <c r="N25" i="9" s="1"/>
  <c r="N31" i="9" s="1"/>
  <c r="M19" i="9"/>
  <c r="M25" i="9" s="1"/>
  <c r="M31" i="9" s="1"/>
  <c r="L19" i="9"/>
  <c r="L25" i="9" s="1"/>
  <c r="L31" i="9" s="1"/>
  <c r="K19" i="9"/>
  <c r="K25" i="9" s="1"/>
  <c r="K31" i="9" s="1"/>
  <c r="J19" i="9"/>
  <c r="J25" i="9" s="1"/>
  <c r="J31" i="9" s="1"/>
  <c r="I19" i="9"/>
  <c r="I25" i="9" s="1"/>
  <c r="I31" i="9" s="1"/>
  <c r="H19" i="9"/>
  <c r="H25" i="9" s="1"/>
  <c r="H31" i="9" s="1"/>
  <c r="G19" i="9"/>
  <c r="G25" i="9" s="1"/>
  <c r="G31" i="9" s="1"/>
  <c r="F19" i="9"/>
  <c r="F25" i="9" s="1"/>
  <c r="F31" i="9" s="1"/>
  <c r="E19" i="9"/>
  <c r="E25" i="9" s="1"/>
  <c r="E31" i="9" s="1"/>
  <c r="D19" i="9"/>
  <c r="D25" i="9" s="1"/>
  <c r="D31" i="9" s="1"/>
  <c r="C19" i="9"/>
  <c r="C25" i="9" s="1"/>
  <c r="C31" i="9" s="1"/>
  <c r="B19" i="9"/>
  <c r="B25" i="9" s="1"/>
  <c r="B31" i="9" s="1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C7" i="11"/>
  <c r="D6" i="11"/>
  <c r="E6" i="11" s="1"/>
  <c r="C6" i="11"/>
  <c r="D5" i="11"/>
  <c r="E5" i="11" s="1"/>
  <c r="B5" i="11"/>
  <c r="C5" i="11" s="1"/>
  <c r="D3" i="11"/>
  <c r="E3" i="11" s="1"/>
  <c r="B3" i="11"/>
  <c r="C3" i="11" s="1"/>
  <c r="D2" i="11"/>
  <c r="E2" i="11" s="1"/>
  <c r="B2" i="11"/>
  <c r="B36" i="9" l="1"/>
  <c r="B5" i="9"/>
  <c r="B51" i="9" s="1"/>
  <c r="B64" i="9" s="1"/>
  <c r="D3" i="10" s="1"/>
  <c r="B37" i="9"/>
  <c r="N27" i="9"/>
  <c r="N33" i="9" s="1"/>
  <c r="R33" i="9"/>
  <c r="B38" i="9" l="1"/>
  <c r="B41" i="9"/>
  <c r="B52" i="9" s="1"/>
  <c r="B65" i="9"/>
  <c r="D5" i="10" s="1"/>
  <c r="B66" i="9"/>
  <c r="D6" i="10" s="1"/>
  <c r="B67" i="9"/>
  <c r="D7" i="10" s="1"/>
  <c r="B63" i="9"/>
  <c r="D2" i="10" s="1"/>
  <c r="C63" i="9" l="1"/>
  <c r="B2" i="10" s="1"/>
  <c r="C2" i="10" s="1"/>
  <c r="C67" i="9"/>
  <c r="B7" i="10" s="1"/>
  <c r="C7" i="10" s="1"/>
  <c r="C66" i="9"/>
  <c r="B6" i="10" s="1"/>
  <c r="C6" i="10" s="1"/>
  <c r="C65" i="9"/>
  <c r="B5" i="10" s="1"/>
  <c r="C5" i="10" s="1"/>
  <c r="C64" i="9"/>
  <c r="B3" i="10" s="1"/>
  <c r="C3" i="10" s="1"/>
</calcChain>
</file>

<file path=xl/sharedStrings.xml><?xml version="1.0" encoding="utf-8"?>
<sst xmlns="http://schemas.openxmlformats.org/spreadsheetml/2006/main" count="1109" uniqueCount="597">
  <si>
    <t>Share of New Components Energy Use (dimensionless)</t>
  </si>
  <si>
    <t>urban residential</t>
  </si>
  <si>
    <t>rural residential</t>
  </si>
  <si>
    <t>commercial</t>
  </si>
  <si>
    <t>heating</t>
  </si>
  <si>
    <t>cooling and ventilation</t>
  </si>
  <si>
    <t>envelope</t>
  </si>
  <si>
    <t>lighting</t>
  </si>
  <si>
    <t>appliances</t>
  </si>
  <si>
    <t>other component</t>
  </si>
  <si>
    <t>SoCEUtiNTY Share of Components Energy Use that is New This Year</t>
  </si>
  <si>
    <t>Sources:</t>
  </si>
  <si>
    <t>Share of commercial floorspace that is new</t>
  </si>
  <si>
    <t>U.S. Energy Information Administration</t>
  </si>
  <si>
    <t>Annual Energy Outlook 2025</t>
  </si>
  <si>
    <t>Scenario: High zero-carbon technology cost</t>
  </si>
  <si>
    <t>Table 5</t>
  </si>
  <si>
    <t>https://www.eia.gov/outlooks/aeo/tables_side_xls.php</t>
  </si>
  <si>
    <t>Number of homes</t>
  </si>
  <si>
    <t>Share of homes that are new</t>
  </si>
  <si>
    <t>EIA</t>
  </si>
  <si>
    <t>Residential Demand Module of the National Energy Modeling System: Model Documentation</t>
  </si>
  <si>
    <t>https://www.eia.gov/outlooks/aeo/nems/documentation/residential/pdf/m067(2020).pdf</t>
  </si>
  <si>
    <t>Page 58, Existing housing evolution rate</t>
  </si>
  <si>
    <t>Replacement rate of components in surviving buildings</t>
  </si>
  <si>
    <t>See bldgs/CL variable</t>
  </si>
  <si>
    <t>About</t>
  </si>
  <si>
    <t>This variable is used to estimate the share of BAU component energy use</t>
  </si>
  <si>
    <t>that is new (i.e. from newly installed components) each year.  This includes</t>
  </si>
  <si>
    <t>both components to serve new buildings (demand growth) and components</t>
  </si>
  <si>
    <t>to replace retiring components.</t>
  </si>
  <si>
    <t>The "envelope" value in this variable does not matter, because envelope</t>
  </si>
  <si>
    <t>does not itself use energy.  To avoid confusion, envelope is assigned</t>
  </si>
  <si>
    <t>a value of zero.</t>
  </si>
  <si>
    <t>We separately estimate the share of buildings that are new (whose components</t>
  </si>
  <si>
    <t>are all new) and the share of components in surviving buildings that are</t>
  </si>
  <si>
    <t>replaced each year.  We consider the share of surviving buildings and</t>
  </si>
  <si>
    <t>new buildings to properly calculate overall component replacement rates.</t>
  </si>
  <si>
    <t>This variable may need to be recalibrated when adapting the model</t>
  </si>
  <si>
    <t>to new regions.</t>
  </si>
  <si>
    <t>Building Component</t>
  </si>
  <si>
    <t>Lifetime (yr)</t>
  </si>
  <si>
    <t>Average</t>
  </si>
  <si>
    <t>Key Indicators</t>
  </si>
  <si>
    <t>Energy Consumption by Fuel</t>
  </si>
  <si>
    <t>Electricity Related Losses</t>
  </si>
  <si>
    <t>Heating Degree Days</t>
  </si>
  <si>
    <t>Cooling Degree Days</t>
  </si>
  <si>
    <t>Table 4.  Residential Sector Key Indicators and Consumption</t>
  </si>
  <si>
    <t>Source: U.S. Energy Information Administration</t>
  </si>
  <si>
    <t>full name</t>
  </si>
  <si>
    <t>api key</t>
  </si>
  <si>
    <t>units</t>
  </si>
  <si>
    <t>Households (millions)</t>
  </si>
  <si>
    <t>Single-Family</t>
  </si>
  <si>
    <t>millions</t>
  </si>
  <si>
    <t>Multifamily</t>
  </si>
  <si>
    <t>Mobile Homes</t>
  </si>
  <si>
    <t>Total</t>
  </si>
  <si>
    <t>Average House Square Footage</t>
  </si>
  <si>
    <t>sq ft</t>
  </si>
  <si>
    <t>Energy Intensity</t>
  </si>
  <si>
    <t>(MMBtu per household)</t>
  </si>
  <si>
    <t>Gross End-use Consumption</t>
  </si>
  <si>
    <t>MMBtu/household</t>
  </si>
  <si>
    <t>Delivered Energy Consumption</t>
  </si>
  <si>
    <t>(thousand Btu per square foot)</t>
  </si>
  <si>
    <t>thousand Btu/sq ft</t>
  </si>
  <si>
    <t>Electricity</t>
  </si>
  <si>
    <t>Space Heating</t>
  </si>
  <si>
    <t>quads</t>
  </si>
  <si>
    <t>Space Cooling</t>
  </si>
  <si>
    <t>Water Heating</t>
  </si>
  <si>
    <t>Refrigeration</t>
  </si>
  <si>
    <t>Cooking</t>
  </si>
  <si>
    <t>Clothes Dryers</t>
  </si>
  <si>
    <t>Freezers</t>
  </si>
  <si>
    <t>Lighting</t>
  </si>
  <si>
    <t>Clothes Washers</t>
  </si>
  <si>
    <t>Dishwashers</t>
  </si>
  <si>
    <t>Televisions and Related Equipment</t>
  </si>
  <si>
    <t>Computers and Related Equipment</t>
  </si>
  <si>
    <t>Furnace Fans and Boiler Circulation Pumps</t>
  </si>
  <si>
    <t>Other Uses</t>
  </si>
  <si>
    <t>Gross End-use Electricity Consumption</t>
  </si>
  <si>
    <t>Purchased Electricity for Electric Vehicle Charging</t>
  </si>
  <si>
    <t>On-site Generation for Own Use</t>
  </si>
  <si>
    <t>Purchased Electricity at Residential Location</t>
  </si>
  <si>
    <t>Natural Gas</t>
  </si>
  <si>
    <t>Delivered Energy</t>
  </si>
  <si>
    <t>Distillate Fuel Oil</t>
  </si>
  <si>
    <t>Propane</t>
  </si>
  <si>
    <t>Marketed Renewables (wood)</t>
  </si>
  <si>
    <t>Energy Consumption by End Use</t>
  </si>
  <si>
    <t>Total Energy Consumption by End Use</t>
  </si>
  <si>
    <t>Total Gross End-use Consumption</t>
  </si>
  <si>
    <t>Total Energy</t>
  </si>
  <si>
    <t>Nonmarketed Renewables</t>
  </si>
  <si>
    <t>Solar Hot Water Heating</t>
  </si>
  <si>
    <t>Solar Photovoltaic</t>
  </si>
  <si>
    <t>Wind</t>
  </si>
  <si>
    <t>New England</t>
  </si>
  <si>
    <t>HDD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</si>
  <si>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</si>
  <si>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</si>
  <si>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</si>
  <si>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</si>
  <si>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</si>
  <si>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</si>
  <si>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</si>
  <si>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</si>
  <si>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United States</t>
  </si>
  <si>
    <t>CDD</t>
  </si>
  <si>
    <t>Table 5.  Commercial Sector Key Indicators and Consumption</t>
  </si>
  <si>
    <t>Total Floorspace (billion square feet)</t>
  </si>
  <si>
    <t>Surviving</t>
  </si>
  <si>
    <t>billion sq ft</t>
  </si>
  <si>
    <t>New Additions</t>
  </si>
  <si>
    <t>Energy Consumption Intensity</t>
  </si>
  <si>
    <t>Ventilation</t>
  </si>
  <si>
    <t>Purchased Electricity at Commercial Location</t>
  </si>
  <si>
    <t>Marketed Renewables (biomass)</t>
  </si>
  <si>
    <t>Other Fuels</t>
  </si>
  <si>
    <t>Nonmarketed Renewable Fuels</t>
  </si>
  <si>
    <t>Solar Thermal</t>
  </si>
  <si>
    <t>Fraction of Commercial Floorspace that is New</t>
  </si>
  <si>
    <t>Commercial floorspace</t>
  </si>
  <si>
    <t>Fraction of Residential Homes that are New</t>
  </si>
  <si>
    <t>Housing evolution rates from EIA NEMS documentation:</t>
  </si>
  <si>
    <t>HDR value</t>
  </si>
  <si>
    <t>(Fraction of homes that survive each year)</t>
  </si>
  <si>
    <t>Single-family homes</t>
  </si>
  <si>
    <t>Multifamily homes</t>
  </si>
  <si>
    <t>Mobile homes</t>
  </si>
  <si>
    <t>Surviving homes</t>
  </si>
  <si>
    <t>Newly built homes</t>
  </si>
  <si>
    <t>Fraction of homes that are new</t>
  </si>
  <si>
    <t>Average fraction of homes that are new by home type</t>
  </si>
  <si>
    <t>Weighted average fraction of homes that are new</t>
  </si>
  <si>
    <t>All homes</t>
  </si>
  <si>
    <t>Share of Components That is New This Year</t>
  </si>
  <si>
    <t>The share of new components is the share of old components that are replaced in surviving</t>
  </si>
  <si>
    <t>buildings, plus the share of components in new buildings (which equals the share of new</t>
  </si>
  <si>
    <t>buildings, because all components in new buildings are new components).</t>
  </si>
  <si>
    <t>Share of Buildings that are Surviving</t>
  </si>
  <si>
    <t>Commercial</t>
  </si>
  <si>
    <t>Residential</t>
  </si>
  <si>
    <t>Replacement rate of all components</t>
  </si>
  <si>
    <t>https://www.eia.gov/outlooks/aeo/data/browser/#/?id=4-AEO2026&amp;cases=electrnp&amp;sourcekey=0</t>
  </si>
  <si>
    <t>Thu Apr 23 2026 14:30:24 GMT-0700 (Pacific Daylight Time)</t>
  </si>
  <si>
    <t>Growth (2025-2050)</t>
  </si>
  <si>
    <t>Residential: Key Indicators: Households: Single-Family: Alternative Electricity and Transportation</t>
  </si>
  <si>
    <t>AEO.2026.ELECTRNP.KEI_HHD_RESD_SFR_NA_NA_USA_MILL.A</t>
  </si>
  <si>
    <t>0.8%</t>
  </si>
  <si>
    <t>Residential: Key Indicators: Households: Multifamily: Alternative Electricity and Transportation</t>
  </si>
  <si>
    <t>AEO.2026.ELECTRNP.KEI_HHD_RESD_MFR_NA_NA_USA_MILL.A</t>
  </si>
  <si>
    <t>0.9%</t>
  </si>
  <si>
    <t>Residential: Key Indicators: Households: Mobile Homes: Alternative Electricity and Transportation</t>
  </si>
  <si>
    <t>AEO.2026.ELECTRNP.KEI_HHD_RESD_MBH_NA_NA_USA_MILL.A</t>
  </si>
  <si>
    <t>0.1%</t>
  </si>
  <si>
    <t>Residential: Key Indicators: Households: Total: Alternative Electricity and Transportation</t>
  </si>
  <si>
    <t>AEO.2026.ELECTRNP.KEI_HHD_RESD_TEN_NA_NA_USA_MILL.A</t>
  </si>
  <si>
    <t>Residential: Key Indicators: Average House Square Footage: Alternative Electricity and Transportation</t>
  </si>
  <si>
    <t>AEO.2026.ELECTRNP.KEI_HHD_RESD_NA_NA_NA_USA_SQFT.A</t>
  </si>
  <si>
    <t>0.3%</t>
  </si>
  <si>
    <t>Residential: Household Energy Intensity: Gross End-use Consumption: Alternative Electricity and Transportation</t>
  </si>
  <si>
    <t>AEO.2026.ELECTRNP.INY_HHD_RESD_DELE_NA_NA_USA_MILLBTUPHOSD.A</t>
  </si>
  <si>
    <t>-1.0%</t>
  </si>
  <si>
    <t>Residential: Household Energy Intensity: Delivered Energy Consumption: Alternative Electricity and Transportation</t>
  </si>
  <si>
    <t>AEO.2026.ELECTRNP.INY_HHD_RESD_TEN_NA_NA_USA_MILLBTUPHOSD.A</t>
  </si>
  <si>
    <t>-1.1%</t>
  </si>
  <si>
    <t>Residential: Energy Intensity per Square Foot: Gross End-use Consumption: Alternative Electricity and Transportation</t>
  </si>
  <si>
    <t>AEO.2026.ELECTRNP.INY_HHD_RESD_DELE_NA_NA_USA_THBTUPSQFT.A</t>
  </si>
  <si>
    <t>-1.2%</t>
  </si>
  <si>
    <t>Residential: Energy Intensity per Square Foot: Delivered Energy Consumption: Alternative Electricity and Transportation</t>
  </si>
  <si>
    <t>AEO.2026.ELECTRNP.INY_HHD_RESD_TEN_NA_NA_USA_THBTUPSQFT.A</t>
  </si>
  <si>
    <t>-1.4%</t>
  </si>
  <si>
    <t>Residential: Electricity: Space Heating: Alternative Electricity and Transportation</t>
  </si>
  <si>
    <t>AEO.2026.ELECTRNP.CNSM_HHD_RESD_SPH_ELC_NA_USA_QBTU.A</t>
  </si>
  <si>
    <t>-0.9%</t>
  </si>
  <si>
    <t>Residential: Electricity: Space Cooling: Alternative Electricity and Transportation</t>
  </si>
  <si>
    <t>AEO.2026.ELECTRNP.CNSM_NA_RESD_SPC_ELC_NA_USA_QBTU.A</t>
  </si>
  <si>
    <t>1.4%</t>
  </si>
  <si>
    <t>Residential: Electricity: Water Heating: Alternative Electricity and Transportation</t>
  </si>
  <si>
    <t>AEO.2026.ELECTRNP.CNSM_NA_RESD_WTHT_ELC_NA_USA_QBTU.A</t>
  </si>
  <si>
    <t>-2.7%</t>
  </si>
  <si>
    <t>Residential: Electricity: Refrigeration: Alternative Electricity and Transportation</t>
  </si>
  <si>
    <t>AEO.2026.ELECTRNP.CNSM_NA_RESD_REFR_ELC_NA_USA_QBTU.A</t>
  </si>
  <si>
    <t>-0.0%</t>
  </si>
  <si>
    <t>Residential: Electricity: Cooking: Alternative Electricity and Transportation</t>
  </si>
  <si>
    <t>AEO.2026.ELECTRNP.CNSM_NA_RESD_CGR_ELC_NA_USA_QBTU.A</t>
  </si>
  <si>
    <t>Residential: Electricity: Clothes Dryers: Alternative Electricity and Transportation</t>
  </si>
  <si>
    <t>AEO.2026.ELECTRNP.CNSM_NA_RESD_CDR_ELC_NA_USA_QBTU.A</t>
  </si>
  <si>
    <t>0.6%</t>
  </si>
  <si>
    <t>Residential: Electricity: Freezers: Alternative Electricity and Transportation</t>
  </si>
  <si>
    <t>AEO.2026.ELECTRNP.CNSM_NA_RESD_FRZ_ELC_NA_USA_QBTU.A</t>
  </si>
  <si>
    <t>-0.4%</t>
  </si>
  <si>
    <t>Residential: Electricity: Lighting: Alternative Electricity and Transportation</t>
  </si>
  <si>
    <t>AEO.2026.ELECTRNP.CNSM_NA_RESD_LGHTNG_ELC_NA_USA_QBTU.A</t>
  </si>
  <si>
    <t>Residential: Electricity: Clothes Washers: Alternative Electricity and Transportation</t>
  </si>
  <si>
    <t>AEO.2026.ELECTRNP.CNSM_NA_RESD_CLW_ELC_NA_USA_QBTU.A</t>
  </si>
  <si>
    <t>Residential: Electricity: Dishwashers: Alternative Electricity and Transportation</t>
  </si>
  <si>
    <t>AEO.2026.ELECTRNP.CNSM_NA_RESD_DSW_ELC_NA_USA_QBTU.A</t>
  </si>
  <si>
    <t>1.0%</t>
  </si>
  <si>
    <t>Residential: Electricity: Televisions: Alternative Electricity and Transportation</t>
  </si>
  <si>
    <t>AEO.2026.ELECTRNP.CNSM_NA_RESD_TVR_ELC_NA_USA_QBTU.A</t>
  </si>
  <si>
    <t>Residential: Electricity: Computers: Alternative Electricity and Transportation</t>
  </si>
  <si>
    <t>AEO.2026.ELECTRNP.CNSM_NA_RESD_CMPR_ELC_NA_USA_QBTU.A</t>
  </si>
  <si>
    <t>-1.7%</t>
  </si>
  <si>
    <t>Residential: Electricity: Fans and Pumps: Alternative Electricity and Transportation</t>
  </si>
  <si>
    <t>AEO.2026.ELECTRNP.CNSM_NA_RESD_FPR_ELC_NA_USA_QBTU.A</t>
  </si>
  <si>
    <t>Residential: Electricity: Other Uses: Alternative Electricity and Transportation</t>
  </si>
  <si>
    <t>AEO.2026.ELECTRNP.CNSM_NA_RESD_OTHU_ELC_NA_USA_QBTU.A</t>
  </si>
  <si>
    <t>1.2%</t>
  </si>
  <si>
    <t>Residential: Electricity: Gross End-use Electricity Consumption: Alternative Electricity and Transportation</t>
  </si>
  <si>
    <t>AEO.2026.ELECTRNP.CNSM_NA_RESD_DELE_ELC_NA_USA_QBTU.A</t>
  </si>
  <si>
    <t>0.5%</t>
  </si>
  <si>
    <t>Residential: Electricity: Purchased Electricity for EV Charging: Alternative Electricity and Transportation</t>
  </si>
  <si>
    <t>AEO.2026.ELECTRNP.CNSM_NA_RESD_EVCHRING_ELC_NA_USA_QBTU.A</t>
  </si>
  <si>
    <t>9.0%</t>
  </si>
  <si>
    <t>Residential: Electricity: Generation for Own Use: Alternative Electricity and Transportation</t>
  </si>
  <si>
    <t>AEO.2026.ELECTRNP.GEN_NA_RESD_GFO_ELC_NA_USA_QBTU.A</t>
  </si>
  <si>
    <t>5.0%</t>
  </si>
  <si>
    <t>Residential: Electricity: Purchased Electricity at Residential Location: Alternative Electricity and Transportation</t>
  </si>
  <si>
    <t>AEO.2026.ELECTRNP.CNSM_NA_RESD_PURCHELEC_ELC_NA_USA_QBTU.A</t>
  </si>
  <si>
    <t>Residential: Natural Gas: Space Heating: Alternative Electricity and Transportation</t>
  </si>
  <si>
    <t>AEO.2026.ELECTRNP.CNSM_NA_RESD_SPH_NG_NA_USA_QBTU.A</t>
  </si>
  <si>
    <t>Residential: Natural Gas: Space Cooling: Alternative Electricity and Transportation</t>
  </si>
  <si>
    <t>AEO.2026.ELECTRNP.CNSM_NA_RESD_SPC_NG_NA_USA_QBTU.A</t>
  </si>
  <si>
    <t>Residential: Natural Gas: Water Heating: Alternative Electricity and Transportation</t>
  </si>
  <si>
    <t>AEO.2026.ELECTRNP.CNSM_NA_RESD_WTHT_NG_NA_USA_QBTU.A</t>
  </si>
  <si>
    <t>-0.1%</t>
  </si>
  <si>
    <t>Residential: Natural Gas: Cooking: Alternative Electricity and Transportation</t>
  </si>
  <si>
    <t>AEO.2026.ELECTRNP.CNSM_NA_RESD_CGR_NG_NA_USA_QBTU.A</t>
  </si>
  <si>
    <t>0.2%</t>
  </si>
  <si>
    <t>Residential: Natural Gas: Clothes Dryers: Alternative Electricity and Transportation</t>
  </si>
  <si>
    <t>AEO.2026.ELECTRNP.CNSM_NA_RESD_CDR_NG_NA_USA_QBTU.A</t>
  </si>
  <si>
    <t>1.3%</t>
  </si>
  <si>
    <t>Residential: Natural Gas: Other Uses: Alternative Electricity and Transportation</t>
  </si>
  <si>
    <t>AEO.2026.ELECTRNP.CNSM_NA_RESD_OTHU_NG_NA_USA_QBTU.A</t>
  </si>
  <si>
    <t>Residential: Natural Gas: Delivered Energy: Alternative Electricity and Transportation</t>
  </si>
  <si>
    <t>AEO.2026.ELECTRNP.CNSM_NA_RESD_DELE_NG_NA_USA_QBTU.A</t>
  </si>
  <si>
    <t>-0.7%</t>
  </si>
  <si>
    <t>Residential: Distillate Fuel Oil: Space Heating: Alternative Electricity and Transportation</t>
  </si>
  <si>
    <t>AEO.2026.ELECTRNP.CNSM_NA_RESD_SPH_DFO_NA_USA_QBTU.A</t>
  </si>
  <si>
    <t>-1.5%</t>
  </si>
  <si>
    <t>Residential: Distillate Fuel Oil: Water Heating: Alternative Electricity and Transportation</t>
  </si>
  <si>
    <t>AEO.2026.ELECTRNP.CNSM_NA_RESD_WTHT_DFO_NA_USA_QBTU.A</t>
  </si>
  <si>
    <t>-3.3%</t>
  </si>
  <si>
    <t>Residential: Distillate Fuel Oil: Other Uses: Alternative Electricity and Transportation</t>
  </si>
  <si>
    <t>AEO.2026.ELECTRNP.CNSM_NA_RESD_OTHU_DFO_NA_USA_QBTU.A</t>
  </si>
  <si>
    <t>Residential: Distillate Fuel Oil: Delivered Energy: Alternative Electricity and Transportation</t>
  </si>
  <si>
    <t>AEO.2026.ELECTRNP.CNSM_NA_RESD_NA_DFO_NA_USA_QBTU.A</t>
  </si>
  <si>
    <t>Residential: Propane: Space Heating: Alternative Electricity and Transportation</t>
  </si>
  <si>
    <t>AEO.2026.ELECTRNP.CNSM_NA_RESD_SPH_PROP_NA_USA_QBTU.A</t>
  </si>
  <si>
    <t>-1.6%</t>
  </si>
  <si>
    <t>Residential: Propane: Water Heating: Alternative Electricity and Transportation</t>
  </si>
  <si>
    <t>AEO.2026.ELECTRNP.CNSM_NA_RESD_WTHT_PROP_NA_USA_QBTU.A</t>
  </si>
  <si>
    <t>Residential: Propane: Cooking: Alternative Electricity and Transportation</t>
  </si>
  <si>
    <t>AEO.2026.ELECTRNP.CNSM_NA_RESD_CGR_PROP_NA_USA_QBTU.A</t>
  </si>
  <si>
    <t>-0.2%</t>
  </si>
  <si>
    <t>Residential: Propane: Other Uses: Alternative Electricity and Transportation</t>
  </si>
  <si>
    <t>AEO.2026.ELECTRNP.CNSM_NA_RESD_OTHU_PROP_NA_USA_QBTU.A</t>
  </si>
  <si>
    <t>2.3%</t>
  </si>
  <si>
    <t>Residential: Propane: Delivered Energy: Alternative Electricity and Transportation</t>
  </si>
  <si>
    <t>AEO.2026.ELECTRNP.CNSM_NA_RESD_DELE_PROP_NA_USA_QBTU.A</t>
  </si>
  <si>
    <t>Residential: Marketed Renewables (wood): Alternative Electricity and Transportation</t>
  </si>
  <si>
    <t>AEO.2026.ELECTRNP.CNSM_NA_RESD_NA_MRW_NA_USA_QBTU.A</t>
  </si>
  <si>
    <t>Residential: Delivered Energy Use by End Use: Space Heating: Alternative Electricity and Transportation</t>
  </si>
  <si>
    <t>AEO.2026.ELECTRNP.CNSM_NA_RESD_SPH_DEE_NA_USA_QBTU.A</t>
  </si>
  <si>
    <t>-1.3%</t>
  </si>
  <si>
    <t>Residential: Delivered Energy Use by End Use: Space Cooling: Alternative Electricity and Transportation</t>
  </si>
  <si>
    <t>AEO.2026.ELECTRNP.CNSM_NA_RESD_SPC_DEE_NA_USA_QBTU.A</t>
  </si>
  <si>
    <t>Residential: Delivered Energy Use by End Use: Water Heating: Alternative Electricity and Transportation</t>
  </si>
  <si>
    <t>AEO.2026.ELECTRNP.CNSM_NA_RESD_WTHT_DEE_NA_USA_QBTU.A</t>
  </si>
  <si>
    <t>-0.8%</t>
  </si>
  <si>
    <t>Residential: Delivered Energy Use by End Use: Refrigeration: Alternative Electricity and Transportation</t>
  </si>
  <si>
    <t>AEO.2026.ELECTRNP.CNSM_NA_RESD_REFR_DEE_NA_USA_QBTU.A</t>
  </si>
  <si>
    <t>Residential: Delivered Energy Use by End Use: Cooking: Alternative Electricity and Transportation</t>
  </si>
  <si>
    <t>AEO.2026.ELECTRNP.CNSM_NA_RESD_CGR_DEE_NA_USA_QBTU.A</t>
  </si>
  <si>
    <t>Residential: Delivered Energy Use by End Use: Clothes Dryers: Alternative Electricity and Transportation</t>
  </si>
  <si>
    <t>AEO.2026.ELECTRNP.CNSM_NA_RESD_CDR_DEE_NA_USA_QBTU.A</t>
  </si>
  <si>
    <t>0.7%</t>
  </si>
  <si>
    <t>Residential: Delivered Energy Use by End Use: Freezers: Alternative Electricity and Transportation</t>
  </si>
  <si>
    <t>AEO.2026.ELECTRNP.CNSM_NA_RESD_FRZ_DEE_NA_USA_QBTU.A</t>
  </si>
  <si>
    <t>Residential: Delivered Energy Use by End Use: Lighting: Alternative Electricity and Transportation</t>
  </si>
  <si>
    <t>AEO.2026.ELECTRNP.CNSM_NA_RESD_LGHTNG_DEE_NA_USA_QBTU.A</t>
  </si>
  <si>
    <t>Residential: Delivered Energy Use by End Use: Clothes Washers: Alternative Electricity and Transportation</t>
  </si>
  <si>
    <t>AEO.2026.ELECTRNP.CNSM_NA_RESD_CLW_DEE_NA_USA_QBTU.A</t>
  </si>
  <si>
    <t>Residential: Delivered Energy Use by End Use: Dishwashers: Alternative Electricity and Transportation</t>
  </si>
  <si>
    <t>AEO.2026.ELECTRNP.CNSM_NA_RESD_DSW_DEE_NA_USA_QBTU.A</t>
  </si>
  <si>
    <t>Residential: Delivered Energy Use by End Use: Televisions: Alternative Electricity and Transportation</t>
  </si>
  <si>
    <t>AEO.2026.ELECTRNP.CNSM_NA_RESD_TVR_DEE_NA_USA_QBTU.A</t>
  </si>
  <si>
    <t>Residential: Delivered Energy Use by End Use: Computers: Alternative Electricity and Transportation</t>
  </si>
  <si>
    <t>AEO.2026.ELECTRNP.CNSM_NA_RESD_CMPR_DEE_NA_USA_QBTU.A</t>
  </si>
  <si>
    <t>Residential: Delivered Energy Use by End Use: Fans and Pumps: Alternative Electricity and Transportation</t>
  </si>
  <si>
    <t>AEO.2026.ELECTRNP.CNSM_NA_RESD_FPR_DEE_NA_USA_QBTU.A</t>
  </si>
  <si>
    <t>Residential: Delivered Energy Use by End Use: Other Uses: Alternative Electricity and Transportation</t>
  </si>
  <si>
    <t>AEO.2026.ELECTRNP.CNSM_NA_RESD_OTHU_DEE_NA_USA_QBTU.A</t>
  </si>
  <si>
    <t>Residential: Energy Consumption by End Use: Gross End-use Consumption: Alternative Electricity and Transportation</t>
  </si>
  <si>
    <t>AEO.2026.ELECTRNP.CNSM_NA_RESD_TUS_DEE_NA_USA_QBTU.A</t>
  </si>
  <si>
    <t>Residential: Energy Consumption by End Use: Purchased Electricity for EV Charging: Alternative Electricity and Transportation</t>
  </si>
  <si>
    <t>AEO.2026.ELECTRNP.CNSM_NA_RESD_PUELEVCHRG_DEE_NA_USA_QBTU.A</t>
  </si>
  <si>
    <t>Residential: Energy Consumption by End Use: Generation for Own Use: Alternative Electricity and Transportation</t>
  </si>
  <si>
    <t>AEO.2026.ELECTRNP.GEN_NA_RESD_GFO_DEE_NA_USA_QBTU.A</t>
  </si>
  <si>
    <t>Residential: Energy Consumption by End Use: Delivered Energy: Alternative Electricity and Transportation</t>
  </si>
  <si>
    <t>AEO.2026.ELECTRNP.CNSM_NA_RESD_DELE_DEE_NA_USA_QBTU.A</t>
  </si>
  <si>
    <t>Residential: Electricity Related Losses: Alternative Electricity and Transportation</t>
  </si>
  <si>
    <t>AEO.2026.ELECTRNP.CNSM_LOSSES_RESD_NA_ENRL_NA_USA_QBTU.A</t>
  </si>
  <si>
    <t>Residential: Total Energy Use by End Use: Space Heating: Alternative Electricity and Transportation</t>
  </si>
  <si>
    <t>AEO.2026.ELECTRNP.CNSM_NA_RESD_SPH_TEE_NA_USA_QBTU.A</t>
  </si>
  <si>
    <t>Residential: Total Energy Use by End Use: Space Cooling: Alternative Electricity and Transportation</t>
  </si>
  <si>
    <t>AEO.2026.ELECTRNP.CNSM_NA_RESD_SPC_TEE_NA_USA_QBTU.A</t>
  </si>
  <si>
    <t>Residential: Total Energy Use by End Use: Water Heating: Alternative Electricity and Transportation</t>
  </si>
  <si>
    <t>AEO.2026.ELECTRNP.CNSM_NA_RESD_WTHT_TEE_NA_USA_QBTU.A</t>
  </si>
  <si>
    <t>Residential: Total Energy Use by End Use: Refrigeration: Alternative Electricity and Transportation</t>
  </si>
  <si>
    <t>AEO.2026.ELECTRNP.CNSM_NA_RESD_REFR_TEE_NA_USA_QBTU.A</t>
  </si>
  <si>
    <t>Residential: Total Energy Use by End Use: Cooking: Alternative Electricity and Transportation</t>
  </si>
  <si>
    <t>AEO.2026.ELECTRNP.CNSM_NA_RESD_CGR_TEE_NA_USA_QBTU.A</t>
  </si>
  <si>
    <t>0.0%</t>
  </si>
  <si>
    <t>Residential: Total Energy Use by End Use: Clothes Dryers: Alternative Electricity and Transportation</t>
  </si>
  <si>
    <t>AEO.2026.ELECTRNP.CNSM_NA_RESD_CDR_TEE_NA_USA_QBTU.A</t>
  </si>
  <si>
    <t>Residential: Total Energy Use by End Use: Freezers: Alternative Electricity and Transportation</t>
  </si>
  <si>
    <t>AEO.2026.ELECTRNP.CNSM_NA_RESD_FRZ_TEE_NA_USA_QBTU.A</t>
  </si>
  <si>
    <t>Residential: Total Energy Use by End Use: Lighting: Alternative Electricity and Transportation</t>
  </si>
  <si>
    <t>AEO.2026.ELECTRNP.CNSM_NA_RESD_LGHTNG_TEE_NA_USA_QBTU.A</t>
  </si>
  <si>
    <t>Residential: Total Energy Use by End Use: Clothes Washers: Alternative Electricity and Transportation</t>
  </si>
  <si>
    <t>AEO.2026.ELECTRNP.CNSM_NA_RESD_CLW_TEE_NA_USA_QBTU.A</t>
  </si>
  <si>
    <t>-2.4%</t>
  </si>
  <si>
    <t>Residential: Total Energy Use by End Use: Dishwashers: Alternative Electricity and Transportation</t>
  </si>
  <si>
    <t>AEO.2026.ELECTRNP.CNSM_NA_RESD_DSW_TEE_NA_USA_QBTU.A</t>
  </si>
  <si>
    <t>Residential: Total Energy Use by End Use: Televisions: Alternative Electricity and Transportation</t>
  </si>
  <si>
    <t>AEO.2026.ELECTRNP.CNSM_NA_RESD_TVR_TEE_NA_USA_QBTU.A</t>
  </si>
  <si>
    <t>-1.9%</t>
  </si>
  <si>
    <t>Residential: Total Energy Use by End Use: Computers: Alternative Electricity and Transportation</t>
  </si>
  <si>
    <t>AEO.2026.ELECTRNP.CNSM_NA_RESD_CMPR_TEE_NA_USA_QBTU.A</t>
  </si>
  <si>
    <t>-2.6%</t>
  </si>
  <si>
    <t>Residential: Total Energy Use by End Use: Fans and Pumps: Alternative Electricity and Transportation</t>
  </si>
  <si>
    <t>AEO.2026.ELECTRNP.CNSM_NA_RESD_FPR_TEE_NA_USA_QBTU.A</t>
  </si>
  <si>
    <t>-2.0%</t>
  </si>
  <si>
    <t>Residential: Total Energy Use by End Use: Other Uses: Alternative Electricity and Transportation</t>
  </si>
  <si>
    <t>AEO.2026.ELECTRNP.CNSM_NA_RESD_OTHU_TEE_NA_USA_QBTU.A</t>
  </si>
  <si>
    <t>Residential: Total Energy Use by End Use: Total Gross End-use Consumption: Alternative Electricity and Transportation</t>
  </si>
  <si>
    <t>AEO.2026.ELECTRNP.CNSM_NA_RESD_TOTENCONS_TEE_NA_USA_QBTU.A</t>
  </si>
  <si>
    <t>-0.6%</t>
  </si>
  <si>
    <t>Residential: Generation for Own Use: Purchased Electricity for EV Charging: Alternative Electricity and Transportation</t>
  </si>
  <si>
    <t>AEO.2026.ELECTRNP.GEN_NA_RESD_PUELEVCHRG_TEE_NA_USA_QBTU.A</t>
  </si>
  <si>
    <t>8.1%</t>
  </si>
  <si>
    <t>Residential: Generation for Own Use: Total Gross End-use Consumption: Alternative Electricity and Transportation</t>
  </si>
  <si>
    <t>AEO.2026.ELECTRNP.GEN_NA_RESD_GFO_TEE_NA_USA_QBTU.A</t>
  </si>
  <si>
    <t>Residential: Total Net Own-use Generation: Total Gross End-use Consumption: Alternative Electricity and Transportation</t>
  </si>
  <si>
    <t>AEO.2026.ELECTRNP.GEN_NA_RESD_TTG_TEE_NA_USA_QBTU.A</t>
  </si>
  <si>
    <t>Residential: Nonmarketed Renewables: Solar Hot Water Heating: Alternative Electricity and Transportation</t>
  </si>
  <si>
    <t>AEO.2026.ELECTRNP.CNSM_NA_RESD_SHW_NRW_NA_USA_QBTU.A</t>
  </si>
  <si>
    <t>Residential: Nonmarketed Renewables: Solar Photovoltaic: Alternative Electricity and Transportation</t>
  </si>
  <si>
    <t>AEO.2026.ELECTRNP.CNSM_NA_RESD_SOPH_NRW_NA_USA_QBTU.A</t>
  </si>
  <si>
    <t>5.1%</t>
  </si>
  <si>
    <t>Residential: Nonmarketed Renewables: Wind: Alternative Electricity and Transportation</t>
  </si>
  <si>
    <t>AEO.2026.ELECTRNP.CNSM_NA_RESD_WND_NRW_NA_USA_QBTU.A</t>
  </si>
  <si>
    <t>2.0%</t>
  </si>
  <si>
    <t>Residential: Nonmarketed Renewables: Total: Alternative Electricity and Transportation</t>
  </si>
  <si>
    <t>AEO.2026.ELECTRNP.CNSM_NA_RESD_NA_NRW_NA_USA_QBTU.A</t>
  </si>
  <si>
    <t>4.5%</t>
  </si>
  <si>
    <t>Residential: Heating Degree Days: New England: Alternative Electricity and Transportation</t>
  </si>
  <si>
    <t>AEO.2026.ELECTRNP.KEI_HDD_RESD_NA_NA_NA_NENGL_HDD.A</t>
  </si>
  <si>
    <t>-0.5%</t>
  </si>
  <si>
    <t>Residential: Heating Degree Days: Middle Atlantic: Alternative Electricity and Transportation</t>
  </si>
  <si>
    <t>AEO.2026.ELECTRNP.KEI_HDD_RESD_NA_NA_NA_MATL_HDD.A</t>
  </si>
  <si>
    <t>Residential: Heating Degree Days: East North Central: Alternative Electricity and Transportation</t>
  </si>
  <si>
    <t>AEO.2026.ELECTRNP.KEI_HDD_RESD_NA_NA_NA_ENC_HDD.A</t>
  </si>
  <si>
    <t>Residential: Heating Degree Days: West North Central: Alternative Electricity and Transportation</t>
  </si>
  <si>
    <t>AEO.2026.ELECTRNP.KEI_HDD_RESD_NA_NA_NA_WNC_HDD.A</t>
  </si>
  <si>
    <t>Residential: Heating Degree Days: South Atlantic: Alternative Electricity and Transportation</t>
  </si>
  <si>
    <t>AEO.2026.ELECTRNP.KEI_HDD_RESD_NA_NA_NA_SATL_HDD.A</t>
  </si>
  <si>
    <t>Residential: Heating Degree Days: East South Central: Alternative Electricity and Transportation</t>
  </si>
  <si>
    <t>AEO.2026.ELECTRNP.KEI_HDD_RESD_NA_NA_NA_ESC_HDD.A</t>
  </si>
  <si>
    <t>Residential: Heating Degree Days: West South Central: Alternative Electricity and Transportation</t>
  </si>
  <si>
    <t>AEO.2026.ELECTRNP.KEI_HDD_RESD_NA_NA_NA_WSC_HDD.A</t>
  </si>
  <si>
    <t>Residential: Heating Degree Days: Mountain: Alternative Electricity and Transportation</t>
  </si>
  <si>
    <t>AEO.2026.ELECTRNP.KEI_HDD_RESD_NA_NA_NA_MTN_HDD.A</t>
  </si>
  <si>
    <t>Residential: Heating Degree Days: Pacific: Alternative Electricity and Transportation</t>
  </si>
  <si>
    <t>AEO.2026.ELECTRNP.KEI_HDD_RESD_NA_NA_NA_PCF_HDD.A</t>
  </si>
  <si>
    <t>Residential: Heating Degree Days: United States: Alternative Electricity and Transportation</t>
  </si>
  <si>
    <t>AEO.2026.ELECTRNP.KEI_HDD_RESD_NA_NA_NA_USA_HDD.A</t>
  </si>
  <si>
    <t>Residential: Cooling Degree Days: New England: Alternative Electricity and Transportation</t>
  </si>
  <si>
    <t>AEO.2026.ELECTRNP.KEI_CDD_RESD_NA_NA_NA_NENGL_CDD.A</t>
  </si>
  <si>
    <t>1.6%</t>
  </si>
  <si>
    <t>Residential: Cooling Degree Days: Middle Atlantic: Alternative Electricity and Transportation</t>
  </si>
  <si>
    <t>AEO.2026.ELECTRNP.KEI_CDD_RESD_NA_NA_NA_MATL_CDD.A</t>
  </si>
  <si>
    <t>Residential: Cooling Degree Days: East North Central: Alternative Electricity and Transportation</t>
  </si>
  <si>
    <t>AEO.2026.ELECTRNP.KEI_CDD_RESD_NA_NA_NA_ENC_CDD.A</t>
  </si>
  <si>
    <t>0.4%</t>
  </si>
  <si>
    <t>Residential: Cooling Degree Days: West North Central: Alternative Electricity and Transportation</t>
  </si>
  <si>
    <t>AEO.2026.ELECTRNP.KEI_CDD_RESD_NA_NA_NA_WNC_CDD.A</t>
  </si>
  <si>
    <t>Residential: Cooling Degree Days: South Atlantic: Alternative Electricity and Transportation</t>
  </si>
  <si>
    <t>AEO.2026.ELECTRNP.KEI_CDD_RESD_NA_NA_NA_SATL_CDD.A</t>
  </si>
  <si>
    <t>Residential: Cooling Degree Days: East South Central: Alternative Electricity and Transportation</t>
  </si>
  <si>
    <t>AEO.2026.ELECTRNP.KEI_CDD_RESD_NA_NA_NA_ESC_CDD.A</t>
  </si>
  <si>
    <t>Residential: Cooling Degree Days: West South Central: Alternative Electricity and Transportation</t>
  </si>
  <si>
    <t>AEO.2026.ELECTRNP.KEI_CDD_RESD_NA_NA_NA_WSC_CDD.A</t>
  </si>
  <si>
    <t>Residential: Cooling Degree Days: Mountain: Alternative Electricity and Transportation</t>
  </si>
  <si>
    <t>AEO.2026.ELECTRNP.KEI_CDD_RESD_NA_NA_NA_MTN_CDD.A</t>
  </si>
  <si>
    <t>Residential: Cooling Degree Days: Pacific: Alternative Electricity and Transportation</t>
  </si>
  <si>
    <t>AEO.2026.ELECTRNP.KEI_CDD_RESD_NA_NA_NA_PCF_CDD.A</t>
  </si>
  <si>
    <t>Residential: Cooling Degree Days: United States: Alternative Electricity and Transportation</t>
  </si>
  <si>
    <t>AEO.2026.ELECTRNP.KEI_CDD_RESD_NA_NA_NA_USA_CDD.A</t>
  </si>
  <si>
    <t>https://www.eia.gov/outlooks/aeo/data/browser/#/?id=5-AEO2026&amp;cases=electrnp&amp;sourcekey=0</t>
  </si>
  <si>
    <t>Thu Apr 23 2026 14:57:48 GMT-0700 (Pacific Daylight Time)</t>
  </si>
  <si>
    <t>Commercial: Total Floorspace: Surviving: Alternative Electricity and Transportation</t>
  </si>
  <si>
    <t>AEO.2026.ELECTRNP.KEI_NA_COMM_NA_TFP_SURV_USA_BLNSQFT.A</t>
  </si>
  <si>
    <t>Commercial: Total Floorspace: New Additions: Alternative Electricity and Transportation</t>
  </si>
  <si>
    <t>AEO.2026.ELECTRNP.KEI_NA_COMM_NA_TFP_NADN_USA_BLNSQFT.A</t>
  </si>
  <si>
    <t>Commercial: Total Floorspace: Total: Alternative Electricity and Transportation</t>
  </si>
  <si>
    <t>AEO.2026.ELECTRNP.KEI_NA_COMM_NA_TFP_TOT_USA_BLNSQFT.A</t>
  </si>
  <si>
    <t>Commercial: Energy Use Intensity: Gross End-use Consumption: Alternative Electricity and Transportation</t>
  </si>
  <si>
    <t>AEO.2026.ELECTRNP.INY_NA_COMM_NA_EUI_DLENCONS_USA_THBTUPSQFT.A</t>
  </si>
  <si>
    <t>Commercial: Energy Use Intensity: Delivered Energy Consumption: Alternative Electricity and Transportation</t>
  </si>
  <si>
    <t>AEO.2026.ELECTRNP.INY_NA_COMM_NA_EUI_ERL_USA_THBTUPSQFT.A</t>
  </si>
  <si>
    <t>Commercial: Purchased Electricity: Space Heating: Alternative Electricity and Transportation</t>
  </si>
  <si>
    <t>AEO.2026.ELECTRNP.CNSM_NA_COMM_NA_PRC_SPH_USA_QBTU.A</t>
  </si>
  <si>
    <t>Commercial: Purchased Electricity: Space Cooling: Alternative Electricity and Transportation</t>
  </si>
  <si>
    <t>AEO.2026.ELECTRNP.CNSM_NA_COMM_NA_PRC_SPC_USA_QBTU.A</t>
  </si>
  <si>
    <t>Commercial: Purchased Electricity: Water Heating: Alternative Electricity and Transportation</t>
  </si>
  <si>
    <t>AEO.2026.ELECTRNP.CNSM_NA_COMM_NA_PRC_WTHT_USA_QBTU.A</t>
  </si>
  <si>
    <t>Commercial: Purchased Electricity: Ventilation: Alternative Electricity and Transportation</t>
  </si>
  <si>
    <t>AEO.2026.ELECTRNP.CNSM_NA_COMM_NA_PRC_VNTC_USA_QBTU.A</t>
  </si>
  <si>
    <t>Commercial: Purchased Electricity: Cooking: Alternative Electricity and Transportation</t>
  </si>
  <si>
    <t>AEO.2026.ELECTRNP.CNSM_NA_COMM_NA_PRC_CGR_USA_QBTU.A</t>
  </si>
  <si>
    <t>Commercial: Purchased Electricity: Lighting: Alternative Electricity and Transportation</t>
  </si>
  <si>
    <t>AEO.2026.ELECTRNP.CNSM_NA_COMM_NA_PRC_LGHTNG_USA_QBTU.A</t>
  </si>
  <si>
    <t>Commercial: Purchased Electricity: Refrigeration: Alternative Electricity and Transportation</t>
  </si>
  <si>
    <t>AEO.2026.ELECTRNP.CNSM_NA_COMM_NA_PRC_REFR_USA_QBTU.A</t>
  </si>
  <si>
    <t>Data Center Servers</t>
  </si>
  <si>
    <t>Commercial: Purchased Electricity: Data Center Servers: Alternative Electricity and Transportation</t>
  </si>
  <si>
    <t>AEO.2026.ELECTRNP.CNSM_NA_COMM_NA_PRC_DATACTRSERV_USA_QBTU.A</t>
  </si>
  <si>
    <t>6.0%</t>
  </si>
  <si>
    <t>Computers and office equipment</t>
  </si>
  <si>
    <t>Commercial: Purchased Electricity: Computers and Office Equipment: Alternative Electricity and Transportation</t>
  </si>
  <si>
    <t>AEO.2026.ELECTRNP.CNSM_NA_COMM_NA_PRC_OTHEQP_USA_QBTU.A</t>
  </si>
  <si>
    <t>Commercial: Purchased Electricity: Other Uses: Alternative Electricity and Transportation</t>
  </si>
  <si>
    <t>AEO.2026.ELECTRNP.CNSM_NA_COMM_NA_PRC_OTHU_USA_QBTU.A</t>
  </si>
  <si>
    <t>Commercial: Energy Consumption by Fuel: Electricity Subtotal: Alternative Electricity and Transportation</t>
  </si>
  <si>
    <t>AEO.2026.ELECTRNP.CNSM_NA_COMM_NA_PRC_DELE_USA_QBTU.A</t>
  </si>
  <si>
    <t>1.1%</t>
  </si>
  <si>
    <t>Commercial: Energy Consumption by Fuel: Purchased Electricity for EV Charging: Alternative Electricity and Transportation</t>
  </si>
  <si>
    <t>AEO.2026.ELECTRNP.GEN_NA_COMM_NA_PRC_EVCHA_USA_QBTU.A</t>
  </si>
  <si>
    <t>10.4%</t>
  </si>
  <si>
    <t>Commercial: Energy Consumption by Fuel: Generation for Own Use: Alternative Electricity and Transportation</t>
  </si>
  <si>
    <t>AEO.2026.ELECTRNP.GEN_NA_COMM_NA_GFO_ELC_USA_QBTU.A</t>
  </si>
  <si>
    <t>2.7%</t>
  </si>
  <si>
    <t>Commercial: Energy Consumption by Fuel: Purchased Electricity: Alternative Electricity and Transportation</t>
  </si>
  <si>
    <t>AEO.2026.ELECTRNP.CNSM_NA_COMM_NA_DELE_ELC_USA_QBTU.A</t>
  </si>
  <si>
    <t>Commercial: Natural Gas: Space Heating: Alternative Electricity and Transportation</t>
  </si>
  <si>
    <t>AEO.2026.ELECTRNP.CNSM_NA_COMM_NA_NG_SPH_USA_QBTU.A</t>
  </si>
  <si>
    <t>Commercial: Natural Gas: Space Cooling: Alternative Electricity and Transportation</t>
  </si>
  <si>
    <t>AEO.2026.ELECTRNP.CNSM_NA_COMM_NA_NG_SPC_USA_QBTU.A</t>
  </si>
  <si>
    <t>3.1%</t>
  </si>
  <si>
    <t>Commercial: Natural Gas: Water Heating: Alternative Electricity and Transportation</t>
  </si>
  <si>
    <t>AEO.2026.ELECTRNP.CNSM_NA_COMM_NA_NG_WTHT_USA_QBTU.A</t>
  </si>
  <si>
    <t>Commercial: Natural Gas: Cooking: Alternative Electricity and Transportation</t>
  </si>
  <si>
    <t>AEO.2026.ELECTRNP.CNSM_NA_COMM_NA_NG_CGR_USA_QBTU.A</t>
  </si>
  <si>
    <t>Commercial: Natural Gas: Other Uses: Alternative Electricity and Transportation</t>
  </si>
  <si>
    <t>AEO.2026.ELECTRNP.CNSM_NA_COMM_NA_NG_OTHU_USA_QBTU.A</t>
  </si>
  <si>
    <t>-0.3%</t>
  </si>
  <si>
    <t>Commercial: Natural Gas: Delivered Energy: Alternative Electricity and Transportation</t>
  </si>
  <si>
    <t>AEO.2026.ELECTRNP.CNSM_NA_COMM_NA_NG_DELE_USA_QBTU.A</t>
  </si>
  <si>
    <t>Commercial: Distillate Fuel Oil: Space Heating: Alternative Electricity and Transportation</t>
  </si>
  <si>
    <t>AEO.2026.ELECTRNP.CNSM_NA_COMM_NA_DFO_SPH_USA_QBTU.A</t>
  </si>
  <si>
    <t>Commercial: Distillate Fuel Oil: Water Heating: Alternative Electricity and Transportation</t>
  </si>
  <si>
    <t>AEO.2026.ELECTRNP.CNSM_NA_COMM_NA_DFO_WTHT_USA_QBTU.A</t>
  </si>
  <si>
    <t>Commercial: Distillate Fuel Oil: Other Uses: Alternative Electricity and Transportation</t>
  </si>
  <si>
    <t>AEO.2026.ELECTRNP.CNSM_NA_COMM_NA_DFO_OTHU_USA_QBTU.A</t>
  </si>
  <si>
    <t>Commercial: Distillate Fuel Oil: Delivered Energy: Alternative Electricity and Transportation</t>
  </si>
  <si>
    <t>AEO.2026.ELECTRNP.CNSM_NA_COMM_NA_DFO_DELE_USA_QBTU.A</t>
  </si>
  <si>
    <t>Commercial: Marketed Renewables (biomass): Alternative Electricity and Transportation</t>
  </si>
  <si>
    <t>AEO.2026.ELECTRNP.CNSM_NA_COMM_NA_BMS_NA_USA_QBTU.A</t>
  </si>
  <si>
    <t>Commercial: Other Fuels: Alternative Electricity and Transportation</t>
  </si>
  <si>
    <t>AEO.2026.ELECTRNP.CNSM_NA_COMM_NA_OFU_NA_USA_QBTU.A</t>
  </si>
  <si>
    <t>Commercial: Delivered Energy Use by End Use: Space Heating: Alternative Electricity and Transportation</t>
  </si>
  <si>
    <t>AEO.2026.ELECTRNP.CNSM_NA_COMM_NA_DEE_SPH_USA_QBTU.A</t>
  </si>
  <si>
    <t>Commercial: Delivered Energy Use by End Use: Space Cooling: Alternative Electricity and Transportation</t>
  </si>
  <si>
    <t>AEO.2026.ELECTRNP.CNSM_NA_COMM_NA_DEE_SPC_USA_QBTU.A</t>
  </si>
  <si>
    <t>Commercial: Delivered Energy Use by End Use: Water Heating: Alternative Electricity and Transportation</t>
  </si>
  <si>
    <t>AEO.2026.ELECTRNP.CNSM_NA_COMM_NA_DEE_WTHT_USA_QBTU.A</t>
  </si>
  <si>
    <t>Commercial: Delivered Energy Use by End Use: Ventilation: Alternative Electricity and Transportation</t>
  </si>
  <si>
    <t>AEO.2026.ELECTRNP.CNSM_NA_COMM_NA_DEE_VNTC_USA_QBTU.A</t>
  </si>
  <si>
    <t>Commercial: Delivered Energy Use by End Use: Cooking: Alternative Electricity and Transportation</t>
  </si>
  <si>
    <t>AEO.2026.ELECTRNP.CNSM_NA_COMM_NA_DEE_CGR_USA_QBTU.A</t>
  </si>
  <si>
    <t>Commercial: Delivered Energy Use by End Use: Lighting: Alternative Electricity and Transportation</t>
  </si>
  <si>
    <t>AEO.2026.ELECTRNP.CNSM_NA_COMM_NA_DEE_LGHTNG_USA_QBTU.A</t>
  </si>
  <si>
    <t>Commercial: Delivered Energy Use by End Use: Refrigeration: Alternative Electricity and Transportation</t>
  </si>
  <si>
    <t>AEO.2026.ELECTRNP.CNSM_NA_COMM_NA_DEE_REFR_USA_QBTU.A</t>
  </si>
  <si>
    <t>Commercial: Delivered Energy Use by End Use: Data Center Servers: Alternative Electricity and Transportation</t>
  </si>
  <si>
    <t>AEO.2026.ELECTRNP.CNSM_NA_COMM_NA_DEE_DATACTRSERV_USA_QBTU.A</t>
  </si>
  <si>
    <t>Commercial: Delivered Energy Use by End Use: Computers and Office Equipment: Alternative Electricity and Transportation</t>
  </si>
  <si>
    <t>AEO.2026.ELECTRNP.CNSM_NA_COMM_NA_DEE_OFEQP_USA_QBTU.A</t>
  </si>
  <si>
    <t>Commercial: Delivered Energy Use by End Use: Other Uses: Alternative Electricity and Transportation</t>
  </si>
  <si>
    <t>AEO.2026.ELECTRNP.CNSM_NA_COMM_NA_DEE_OTHU_USA_QBTU.A</t>
  </si>
  <si>
    <t>Commercial: Delivered Energy Use by End Use: Gross End-use Consumption: Alternative Electricity and Transportation</t>
  </si>
  <si>
    <t>AEO.2026.ELECTRNP.CNSM_NA_COMM_NA_DEE_NA_USA_QBTU.A</t>
  </si>
  <si>
    <t>Commercial: Energy Consumption by End Use: Purchased Electricity for EV Charging: Alternative Electricity and Transportation</t>
  </si>
  <si>
    <t>AEO.2026.ELECTRNP.CNSM_NA_COMM_NA_DEE_EVCHA_USA_QBTU.A</t>
  </si>
  <si>
    <t>Commercial: Energy Consumption by End Use: Generation for Own Use: Alternative Electricity and Transportation</t>
  </si>
  <si>
    <t>AEO.2026.ELECTRNP.GEN_NA_COMM_NA_DEE_GFO_USA_QBTU.A</t>
  </si>
  <si>
    <t>Commercial: Energy Consumption by End Use: Delivered Energy: Alternative Electricity and Transportation</t>
  </si>
  <si>
    <t>Commercial: Electricity Related Losses: Alternative Electricity and Transportation</t>
  </si>
  <si>
    <t>AEO.2026.ELECTRNP.CNSM_NA_COMM_NA_ERL_NA_USA_QBTU.A</t>
  </si>
  <si>
    <t>Commercial: Total Energy Use by End Use: Space Heating: Alternative Electricity and Transportation</t>
  </si>
  <si>
    <t>AEO.2026.ELECTRNP.CNSM_NA_COMM_NA_TEE_SPH_USA_QBTU.A</t>
  </si>
  <si>
    <t>Commercial: Total Energy Use by End Use: Space Cooling: Alternative Electricity and Transportation</t>
  </si>
  <si>
    <t>AEO.2026.ELECTRNP.CNSM_NA_COMM_NA_TEE_SPC_USA_QBTU.A</t>
  </si>
  <si>
    <t>Commercial: Total Energy Use by End Use: Water Heating: Alternative Electricity and Transportation</t>
  </si>
  <si>
    <t>AEO.2026.ELECTRNP.CNSM_NA_COMM_NA_TEE_WTHT_USA_QBTU.A</t>
  </si>
  <si>
    <t>Commercial: Total Energy Use by End Use: Ventilation: Alternative Electricity and Transportation</t>
  </si>
  <si>
    <t>AEO.2026.ELECTRNP.CNSM_NA_COMM_NA_TEE_VNTC_USA_QBTU.A</t>
  </si>
  <si>
    <t>Commercial: Total Energy Use by End Use: Cooking: Alternative Electricity and Transportation</t>
  </si>
  <si>
    <t>AEO.2026.ELECTRNP.CNSM_NA_COMM_NA_TEE_CGR_USA_QBTU.A</t>
  </si>
  <si>
    <t>Commercial: Total Energy Use by End Use: Lighting: Alternative Electricity and Transportation</t>
  </si>
  <si>
    <t>AEO.2026.ELECTRNP.CNSM_NA_COMM_NA_TEE_LGHTNG_USA_QBTU.A</t>
  </si>
  <si>
    <t>Commercial: Total Energy Use by End Use: Refrigeration: Alternative Electricity and Transportation</t>
  </si>
  <si>
    <t>AEO.2026.ELECTRNP.CNSM_NA_COMM_NA_TEE_REFR_USA_QBTU.A</t>
  </si>
  <si>
    <t>Commercial: Total Energy Use by End Use: Data Center Servers: Alternative Electricity and Transportation</t>
  </si>
  <si>
    <t>AEO.2026.ELECTRNP.CNSM_NA_COMM_NA_TEE_DATACTRSERV_USA_QBTU.A</t>
  </si>
  <si>
    <t>Commercial: Total Energy Use by End Use: Computers and Office Equipment: Alternative Electricity and Transportation</t>
  </si>
  <si>
    <t>AEO.2026.ELECTRNP.CNSM_NA_COMM_NA_TEE_OFEQP_USA_QBTU.A</t>
  </si>
  <si>
    <t>-2.3%</t>
  </si>
  <si>
    <t>Commercial: Total Energy Use by End Use: Other Uses: Alternative Electricity and Transportation</t>
  </si>
  <si>
    <t>AEO.2026.ELECTRNP.CNSM_NA_COMM_NA_TEE_OTHU_USA_QBTU.A</t>
  </si>
  <si>
    <t>Commercial: Total Energy Use by End Use: Total Gross End-use Consumption: Alternative Electricity and Transportation</t>
  </si>
  <si>
    <t>AEO.2026.ELECTRNP.CNSM_NA_COMM_NA_TEE_NA_USA_QBTU.A</t>
  </si>
  <si>
    <t>Commercial: Total Energy Use by End Use: Purchased Electricity for EV Charging: Alternative Electricity and Transportation</t>
  </si>
  <si>
    <t>AEO.2026.ELECTRNP.GEN_GFO_COMM_NA_TEE_NA_USA_QBTU.A</t>
  </si>
  <si>
    <t>9.5%</t>
  </si>
  <si>
    <t>Commercial: Total Energy Use by End Use: Generation for Own Use: Alternative Electricity and Transportation</t>
  </si>
  <si>
    <t>Commercial: Total Energy Use by End Use: Total Net Own-use Generation: Alternative Electricity and Transportation</t>
  </si>
  <si>
    <t>AEO.2026.ELECTRNP.GEN_GFO_COMM_NA_TEE_TOT_USA_QBTU.A</t>
  </si>
  <si>
    <t>Commercial: Nonmarketed Renewable Fuels: Solar Thermal: Alternative Electricity and Transportation</t>
  </si>
  <si>
    <t>AEO.2026.ELECTRNP.CNSM_NA_COMM_NA_NRF_SOTH_USA_QBTU.A</t>
  </si>
  <si>
    <t>Commercial: Nonmarketed Renewable Fuels: Solar Photovoltaic: Alternative Electricity and Transportation</t>
  </si>
  <si>
    <t>AEO.2026.ELECTRNP.CNSM_NA_COMM_NA_NRF_SOPH_USA_QBTU.A</t>
  </si>
  <si>
    <t>Commercial: Nonmarketed Renewable Fuels: Wind: Alternative Electricity and Transportation</t>
  </si>
  <si>
    <t>AEO.2026.ELECTRNP.CNSM_NA_COMM_NA_NRF_WND_USA_QBTU.A</t>
  </si>
  <si>
    <t>Commercial: Nonmarketed Renewable Fuels: Total: Alternative Electricity and Transportation</t>
  </si>
  <si>
    <t>AEO.2026.ELECTRNP.CNSM_NA_COMM_NA_NRF_TOT_USA_QBTU.A</t>
  </si>
  <si>
    <t>1.9%</t>
  </si>
  <si>
    <t>Commercial: Heating Degree Days: New England: Alternative Electricity and Transportation</t>
  </si>
  <si>
    <t>AEO.2026.ELECTRNP.KEI_NA_COMM_NA_NA_NA_NENGL_HDD.A</t>
  </si>
  <si>
    <t>Commercial: Heating Degree Days: Middle Atlantic: Alternative Electricity and Transportation</t>
  </si>
  <si>
    <t>AEO.2026.ELECTRNP.KEI_NA_COMM_NA_NA_NA_MATL_HDD.A</t>
  </si>
  <si>
    <t>Commercial: Heating Degree Days: East North Central: Alternative Electricity and Transportation</t>
  </si>
  <si>
    <t>AEO.2026.ELECTRNP.KEI_NA_COMM_NA_NA_NA_ENC_HDD.A</t>
  </si>
  <si>
    <t>Commercial: Heating Degree Days: West North Central: Alternative Electricity and Transportation</t>
  </si>
  <si>
    <t>AEO.2026.ELECTRNP.KEI_NA_COMM_NA_NA_NA_WNC_HDD.A</t>
  </si>
  <si>
    <t>Commercial: Heating Degree Days: South Atlantic: Alternative Electricity and Transportation</t>
  </si>
  <si>
    <t>AEO.2026.ELECTRNP.KEI_NA_COMM_NA_NA_NA_SATL_HDD.A</t>
  </si>
  <si>
    <t>Commercial: Heating Degree Days: East South Central: Alternative Electricity and Transportation</t>
  </si>
  <si>
    <t>AEO.2026.ELECTRNP.KEI_NA_COMM_NA_NA_NA_ESC_HDD.A</t>
  </si>
  <si>
    <t>Commercial: Heating Degree Days: West South Central: Alternative Electricity and Transportation</t>
  </si>
  <si>
    <t>AEO.2026.ELECTRNP.KEI_NA_COMM_NA_NA_NA_WSC_HDD.A</t>
  </si>
  <si>
    <t>Commercial: Heating Degree Days: Mountain: Alternative Electricity and Transportation</t>
  </si>
  <si>
    <t>AEO.2026.ELECTRNP.KEI_NA_COMM_NA_NA_NA_MTN_HDD.A</t>
  </si>
  <si>
    <t>Commercial: Heating Degree Days: Pacific: Alternative Electricity and Transportation</t>
  </si>
  <si>
    <t>AEO.2026.ELECTRNP.KEI_NA_COMM_NA_NA_NA_PCF_HDD.A</t>
  </si>
  <si>
    <t>Commercial: Heating Degree Days: United States: Alternative Electricity and Transportation</t>
  </si>
  <si>
    <t>AEO.2026.ELECTRNP.KEI_NA_COMM_NA_NA_NA_USA_HDD.A</t>
  </si>
  <si>
    <t>Commercial: Cooling Degree Days: New England: Alternative Electricity and Transportation</t>
  </si>
  <si>
    <t>AEO.2026.ELECTRNP.KEI_NA_COMM_NA_NA_NA_NENGL_CDD.A</t>
  </si>
  <si>
    <t>Commercial: Cooling Degree Days: Middle Atlantic: Alternative Electricity and Transportation</t>
  </si>
  <si>
    <t>AEO.2026.ELECTRNP.KEI_NA_COMM_NA_NA_NA_MATL_CDD.A</t>
  </si>
  <si>
    <t>Commercial: Cooling Degree Days: East North Central: Alternative Electricity and Transportation</t>
  </si>
  <si>
    <t>AEO.2026.ELECTRNP.KEI_NA_COMM_NA_NA_NA_ENC_CDD.A</t>
  </si>
  <si>
    <t>Commercial: Cooling Degree Days: West North Central: Alternative Electricity and Transportation</t>
  </si>
  <si>
    <t>AEO.2026.ELECTRNP.KEI_NA_COMM_NA_NA_NA_WNC_CDD.A</t>
  </si>
  <si>
    <t>Commercial: Cooling Degree Days: South Atlantic: Alternative Electricity and Transportation</t>
  </si>
  <si>
    <t>AEO.2026.ELECTRNP.KEI_NA_COMM_NA_NA_NA_SATL_CDD.A</t>
  </si>
  <si>
    <t>Commercial: Cooling Degree Days: East South Central: Alternative Electricity and Transportation</t>
  </si>
  <si>
    <t>AEO.2026.ELECTRNP.KEI_NA_COMM_NA_NA_NA_ESC_CDD.A</t>
  </si>
  <si>
    <t>Commercial: Cooling Degree Days: West South Central: Alternative Electricity and Transportation</t>
  </si>
  <si>
    <t>AEO.2026.ELECTRNP.KEI_NA_COMM_NA_NA_NA_WSC_CDD.A</t>
  </si>
  <si>
    <t>Commercial: Cooling Degree Days: Mountain: Alternative Electricity and Transportation</t>
  </si>
  <si>
    <t>AEO.2026.ELECTRNP.KEI_NA_COMM_NA_NA_NA_MTN_CDD.A</t>
  </si>
  <si>
    <t>Commercial: Cooling Degree Days: Pacific: Alternative Electricity and Transportation</t>
  </si>
  <si>
    <t>AEO.2026.ELECTRNP.KEI_NA_COMM_NA_NA_NA_PCF_CDD.A</t>
  </si>
  <si>
    <t>Commercial: Cooling Degree Days: United States: Alternative Electricity and Transportation</t>
  </si>
  <si>
    <t>AEO.2026.ELECTRNP.KEI_NA_COMM_NA_NA_NA_USA_CDD.A</t>
  </si>
  <si>
    <t>Annual Energy Outlook 2026</t>
  </si>
  <si>
    <t>Alternative electricity and transportation: Table 4, Table 5</t>
  </si>
  <si>
    <t>Data center assumptions</t>
  </si>
  <si>
    <t>Data centers are a separate building type. They use the commercial shares, except for IT load ('other component'), where the share that is new each year comes from the IT equipment lifetime.</t>
  </si>
  <si>
    <t>Assumption</t>
  </si>
  <si>
    <t>Value</t>
  </si>
  <si>
    <t>Basis</t>
  </si>
  <si>
    <t>Lifetime of data-center IT equipment (years)</t>
  </si>
  <si>
    <t>Same value as the IT equipment lifetime in the Component Lifetime (CL) workbook. The share of IT energy use that is new each year is one over this lifetime.</t>
  </si>
  <si>
    <t>data centers</t>
  </si>
  <si>
    <t>Data centers</t>
  </si>
  <si>
    <t>Data centers use the commercial shares except for IT load ('other component'), which is one over the IT equipment lifetime on the 'Data Centers'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</si>
</sst>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%"/>
    <numFmt numFmtId="166" formatCode="0.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9" fontId="2" fillId="0" borderId="0"/>
    <xf numFmtId="0" fontId="3" fillId="0" borderId="0"/>
    <xf numFmtId="0" fontId="3" fillId="0" borderId="1">
      <alignment wrapText="1"/>
    </xf>
    <xf numFmtId="0" fontId="4" fillId="0" borderId="2">
      <alignment wrapText="1"/>
    </xf>
    <xf numFmtId="0" fontId="3" fillId="0" borderId="3">
      <alignment wrapText="1"/>
    </xf>
    <xf numFmtId="0" fontId="4" fillId="0" borderId="4">
      <alignment wrapText="1"/>
    </xf>
    <xf numFmtId="0" fontId="3" fillId="0" borderId="0"/>
    <xf numFmtId="0" fontId="5" fillId="0" borderId="0">
      <alignment horizontal="left"/>
    </xf>
    <xf numFmtId="0" fontId="7" fillId="0" borderId="0"/>
    <xf numFmtId="0" fontId="3" fillId="0" borderId="3">
      <alignment wrapText="1"/>
    </xf>
    <xf numFmtId="0" fontId="3" fillId="0" borderId="0"/>
    <xf numFmtId="0" fontId="3" fillId="0" borderId="1">
      <alignment wrapText="1"/>
    </xf>
    <xf numFmtId="0" fontId="4" fillId="0" borderId="4">
      <alignment wrapText="1"/>
    </xf>
    <xf numFmtId="0" fontId="4" fillId="0" borderId="2">
      <alignment wrapText="1"/>
    </xf>
    <xf numFmtId="0" fontId="5" fillId="0" borderId="0">
      <alignment horizontal="left"/>
    </xf>
    <xf numFmtId="0" fontId="2" fillId="0" borderId="0"/>
    <xf numFmtId="0" fontId="3" fillId="0" borderId="0"/>
    <xf numFmtId="0" fontId="3" fillId="0" borderId="3">
      <alignment wrapText="1"/>
    </xf>
    <xf numFmtId="0" fontId="3" fillId="0" borderId="0"/>
    <xf numFmtId="0" fontId="3" fillId="0" borderId="1">
      <alignment wrapText="1"/>
    </xf>
    <xf numFmtId="0" fontId="4" fillId="0" borderId="4">
      <alignment wrapText="1"/>
    </xf>
    <xf numFmtId="0" fontId="4" fillId="0" borderId="2">
      <alignment wrapText="1"/>
    </xf>
    <xf numFmtId="0" fontId="5" fillId="0" borderId="0">
      <alignment horizontal="left"/>
    </xf>
    <xf numFmtId="0" fontId="2" fillId="0" borderId="0"/>
    <xf numFmtId="0" fontId="3" fillId="0" borderId="3">
      <alignment wrapText="1"/>
    </xf>
    <xf numFmtId="0" fontId="3" fillId="0" borderId="0"/>
    <xf numFmtId="0" fontId="3" fillId="0" borderId="1">
      <alignment wrapText="1"/>
    </xf>
    <xf numFmtId="0" fontId="4" fillId="0" borderId="4">
      <alignment wrapText="1"/>
    </xf>
    <xf numFmtId="0" fontId="4" fillId="0" borderId="2">
      <alignment wrapText="1"/>
    </xf>
    <xf numFmtId="0" fontId="5" fillId="0" borderId="0">
      <alignment horizontal="left"/>
    </xf>
    <xf numFmtId="0" fontId="2" fillId="0" borderId="0"/>
    <xf numFmtId="0" fontId="2" fillId="0" borderId="0"/>
    <xf numFmtId="0" fontId="2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" fontId="0" fillId="0" borderId="0" xfId="0" applyNumberFormat="1"/>
    <xf numFmtId="164" fontId="0" fillId="0" borderId="0" xfId="0" applyNumberFormat="1"/>
    <xf numFmtId="0" fontId="0" fillId="2" borderId="0" xfId="0" applyFill="1"/>
    <xf numFmtId="165" fontId="0" fillId="0" borderId="0" xfId="1" applyNumberFormat="1" applyFont="1"/>
    <xf numFmtId="10" fontId="0" fillId="0" borderId="0" xfId="1" applyNumberFormat="1" applyFont="1"/>
    <xf numFmtId="165" fontId="0" fillId="0" borderId="0" xfId="0" applyNumberFormat="1"/>
    <xf numFmtId="0" fontId="0" fillId="0" borderId="0" xfId="0" applyAlignment="1">
      <alignment horizontal="right"/>
    </xf>
    <xf numFmtId="166" fontId="0" fillId="0" borderId="0" xfId="0" applyNumberFormat="1"/>
    <xf numFmtId="2" fontId="0" fillId="0" borderId="0" xfId="0" applyNumberFormat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0" fontId="6" fillId="0" borderId="0" xfId="0" applyFont="1"/>
    <xf numFmtId="164" fontId="0" fillId="4" borderId="0" xfId="0" applyNumberFormat="1" applyFill="1"/>
    <xf numFmtId="0" fontId="1" fillId="0" borderId="0" xfId="0" applyFont="1" applyAlignment="1">
      <alignment wrapText="1"/>
    </xf>
    <xf numFmtId="0" fontId="7" fillId="0" borderId="0" xfId="9"/>
    <xf numFmtId="165" fontId="0" fillId="5" borderId="0" xfId="1" applyNumberFormat="1" applyFont="1" applyFill="1"/>
    <xf numFmtId="2" fontId="0" fillId="5" borderId="0" xfId="0" applyNumberFormat="1" applyFill="1"/>
    <xf numFmtId="10" fontId="0" fillId="5" borderId="0" xfId="1" applyNumberFormat="1" applyFont="1" applyFill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</cellXfs>
  <cellStyles count="34">
    <cellStyle name="Body: normal cell" xfId="5" xr:uid="{00000000-0005-0000-0000-000005000000}"/>
    <cellStyle name="Body: normal cell 2" xfId="25" xr:uid="{00000000-0005-0000-0000-000019000000}"/>
    <cellStyle name="Body: normal cell 3" xfId="18" xr:uid="{00000000-0005-0000-0000-000012000000}"/>
    <cellStyle name="Body: normal cell 4" xfId="10" xr:uid="{00000000-0005-0000-0000-00000A000000}"/>
    <cellStyle name="Font: Calibri, 9pt regular" xfId="7" xr:uid="{00000000-0005-0000-0000-000007000000}"/>
    <cellStyle name="Font: Calibri, 9pt regular 2" xfId="26" xr:uid="{00000000-0005-0000-0000-00001A000000}"/>
    <cellStyle name="Font: Calibri, 9pt regular 3" xfId="19" xr:uid="{00000000-0005-0000-0000-000013000000}"/>
    <cellStyle name="Font: Calibri, 9pt regular 4" xfId="11" xr:uid="{00000000-0005-0000-0000-00000B000000}"/>
    <cellStyle name="Footnotes: top row" xfId="3" xr:uid="{00000000-0005-0000-0000-000003000000}"/>
    <cellStyle name="Footnotes: top row 2" xfId="27" xr:uid="{00000000-0005-0000-0000-00001B000000}"/>
    <cellStyle name="Footnotes: top row 3" xfId="20" xr:uid="{00000000-0005-0000-0000-000014000000}"/>
    <cellStyle name="Footnotes: top row 4" xfId="12" xr:uid="{00000000-0005-0000-0000-00000C000000}"/>
    <cellStyle name="Header: bottom row" xfId="6" xr:uid="{00000000-0005-0000-0000-000006000000}"/>
    <cellStyle name="Header: bottom row 2" xfId="28" xr:uid="{00000000-0005-0000-0000-00001C000000}"/>
    <cellStyle name="Header: bottom row 3" xfId="21" xr:uid="{00000000-0005-0000-0000-000015000000}"/>
    <cellStyle name="Header: bottom row 4" xfId="13" xr:uid="{00000000-0005-0000-0000-00000D000000}"/>
    <cellStyle name="Hyperlink" xfId="9" builtinId="8"/>
    <cellStyle name="Normal" xfId="0" builtinId="0"/>
    <cellStyle name="Normal 2" xfId="2" xr:uid="{00000000-0005-0000-0000-000002000000}"/>
    <cellStyle name="Normal 3" xfId="24" xr:uid="{00000000-0005-0000-0000-000018000000}"/>
    <cellStyle name="Normal 3 2" xfId="32" xr:uid="{00000000-0005-0000-0000-000020000000}"/>
    <cellStyle name="Normal 4" xfId="17" xr:uid="{00000000-0005-0000-0000-000011000000}"/>
    <cellStyle name="Normal 5" xfId="16" xr:uid="{00000000-0005-0000-0000-000010000000}"/>
    <cellStyle name="Normal 5 2" xfId="33" xr:uid="{00000000-0005-0000-0000-000021000000}"/>
    <cellStyle name="Normal 6" xfId="31" xr:uid="{00000000-0005-0000-0000-00001F000000}"/>
    <cellStyle name="Parent row" xfId="4" xr:uid="{00000000-0005-0000-0000-000004000000}"/>
    <cellStyle name="Parent row 2" xfId="29" xr:uid="{00000000-0005-0000-0000-00001D000000}"/>
    <cellStyle name="Parent row 3" xfId="22" xr:uid="{00000000-0005-0000-0000-000016000000}"/>
    <cellStyle name="Parent row 4" xfId="14" xr:uid="{00000000-0005-0000-0000-00000E000000}"/>
    <cellStyle name="Percent" xfId="1" builtinId="5"/>
    <cellStyle name="Table title" xfId="8" xr:uid="{00000000-0005-0000-0000-000008000000}"/>
    <cellStyle name="Table title 2" xfId="30" xr:uid="{00000000-0005-0000-0000-00001E000000}"/>
    <cellStyle name="Table title 3" xfId="23" xr:uid="{00000000-0005-0000-0000-000017000000}"/>
    <cellStyle name="Table title 4" xfId="15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outlooks/aeo/nems/documentation/residential/pdf/m067(2020)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opLeftCell="A7" workbookViewId="0">
      <selection activeCell="B17" sqref="B17"/>
    </sheetView>
  </sheetViews>
  <sheetFormatPr defaultRowHeight="15" x14ac:dyDescent="0.25"/>
  <cols>
    <col min="2" max="2" width="52" customWidth="1"/>
  </cols>
  <sheetData>
    <row r="1" spans="1:2" x14ac:dyDescent="0.25">
      <c r="A1" s="1" t="s">
        <v>10</v>
      </c>
    </row>
    <row r="3" spans="1:2" x14ac:dyDescent="0.25">
      <c r="A3" s="1" t="s">
        <v>11</v>
      </c>
      <c r="B3" s="12" t="s">
        <v>12</v>
      </c>
    </row>
    <row r="4" spans="1:2" x14ac:dyDescent="0.25">
      <c r="B4" t="s">
        <v>13</v>
      </c>
    </row>
    <row r="5" spans="1:2" x14ac:dyDescent="0.25">
      <c r="B5" s="14">
        <v>2025</v>
      </c>
    </row>
    <row r="6" spans="1:2" x14ac:dyDescent="0.25">
      <c r="B6" t="s">
        <v>14</v>
      </c>
    </row>
    <row r="7" spans="1:2" x14ac:dyDescent="0.25">
      <c r="B7" t="s">
        <v>15</v>
      </c>
    </row>
    <row r="8" spans="1:2" x14ac:dyDescent="0.25">
      <c r="B8" t="s">
        <v>16</v>
      </c>
    </row>
    <row r="9" spans="1:2" x14ac:dyDescent="0.25">
      <c r="B9" t="s">
        <v>17</v>
      </c>
    </row>
    <row r="11" spans="1:2" x14ac:dyDescent="0.25">
      <c r="B11" s="12" t="s">
        <v>18</v>
      </c>
    </row>
    <row r="12" spans="1:2" x14ac:dyDescent="0.25">
      <c r="B12" t="s">
        <v>13</v>
      </c>
    </row>
    <row r="13" spans="1:2" x14ac:dyDescent="0.25">
      <c r="B13" s="14">
        <v>2026</v>
      </c>
    </row>
    <row r="14" spans="1:2" x14ac:dyDescent="0.25">
      <c r="B14" t="s">
        <v>585</v>
      </c>
    </row>
    <row r="15" spans="1:2" x14ac:dyDescent="0.25">
      <c r="B15" t="s">
        <v>586</v>
      </c>
    </row>
    <row r="16" spans="1:2" x14ac:dyDescent="0.25">
      <c r="B16" t="s">
        <v>17</v>
      </c>
    </row>
    <row r="19" spans="1:2" x14ac:dyDescent="0.25">
      <c r="B19" s="12" t="s">
        <v>19</v>
      </c>
    </row>
    <row r="20" spans="1:2" x14ac:dyDescent="0.25">
      <c r="B20" t="s">
        <v>20</v>
      </c>
    </row>
    <row r="21" spans="1:2" x14ac:dyDescent="0.25">
      <c r="B21" s="14">
        <v>2020</v>
      </c>
    </row>
    <row r="22" spans="1:2" x14ac:dyDescent="0.25">
      <c r="B22" t="s">
        <v>21</v>
      </c>
    </row>
    <row r="23" spans="1:2" x14ac:dyDescent="0.25">
      <c r="B23" s="18" t="s">
        <v>22</v>
      </c>
    </row>
    <row r="24" spans="1:2" x14ac:dyDescent="0.25">
      <c r="B24" t="s">
        <v>23</v>
      </c>
    </row>
    <row r="26" spans="1:2" x14ac:dyDescent="0.25">
      <c r="B26" s="12" t="s">
        <v>24</v>
      </c>
    </row>
    <row r="27" spans="1:2" x14ac:dyDescent="0.25">
      <c r="B27" s="15" t="s">
        <v>25</v>
      </c>
    </row>
    <row r="29" spans="1:2" x14ac:dyDescent="0.25">
      <c r="A29" s="1" t="s">
        <v>26</v>
      </c>
    </row>
    <row r="30" spans="1:2" x14ac:dyDescent="0.25">
      <c r="A30" t="s">
        <v>27</v>
      </c>
    </row>
    <row r="31" spans="1:2" x14ac:dyDescent="0.25">
      <c r="A31" t="s">
        <v>28</v>
      </c>
    </row>
    <row r="32" spans="1:2" x14ac:dyDescent="0.25">
      <c r="A32" t="s">
        <v>29</v>
      </c>
    </row>
    <row r="33" spans="1:2" x14ac:dyDescent="0.25">
      <c r="A33" t="s">
        <v>30</v>
      </c>
    </row>
    <row r="35" spans="1:2" x14ac:dyDescent="0.25">
      <c r="A35" t="s">
        <v>31</v>
      </c>
    </row>
    <row r="36" spans="1:2" x14ac:dyDescent="0.25">
      <c r="A36" t="s">
        <v>32</v>
      </c>
    </row>
    <row r="37" spans="1:2" x14ac:dyDescent="0.25">
      <c r="A37" t="s">
        <v>33</v>
      </c>
    </row>
    <row r="39" spans="1:2" x14ac:dyDescent="0.25">
      <c r="A39" t="s">
        <v>34</v>
      </c>
    </row>
    <row r="40" spans="1:2" x14ac:dyDescent="0.25">
      <c r="A40" t="s">
        <v>35</v>
      </c>
    </row>
    <row r="41" spans="1:2" x14ac:dyDescent="0.25">
      <c r="A41" t="s">
        <v>36</v>
      </c>
    </row>
    <row r="42" spans="1:2" x14ac:dyDescent="0.25">
      <c r="A42" t="s">
        <v>37</v>
      </c>
    </row>
    <row r="44" spans="1:2" x14ac:dyDescent="0.25">
      <c r="A44" t="s">
        <v>38</v>
      </c>
    </row>
    <row r="45" spans="1:2" x14ac:dyDescent="0.25">
      <c r="A45" t="s">
        <v>39</v>
      </c>
    </row>
    <row r="47" spans="1:2" ht="45" x14ac:dyDescent="0.25">
      <c r="A47" s="1" t="s">
        <v>595</v>
      </c>
      <c r="B47" s="24" t="s">
        <v>596</v>
      </c>
    </row>
  </sheetData>
  <hyperlinks>
    <hyperlink ref="B23" r:id="rId1" xr:uid="{00000000-0004-0000-0000-000000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2" sqref="B2"/>
    </sheetView>
  </sheetViews>
  <sheetFormatPr defaultRowHeight="15" x14ac:dyDescent="0.25"/>
  <cols>
    <col min="1" max="1" width="25.42578125" customWidth="1"/>
    <col min="2" max="2" width="14.42578125" customWidth="1"/>
  </cols>
  <sheetData>
    <row r="1" spans="1:2" x14ac:dyDescent="0.25">
      <c r="A1" s="1" t="s">
        <v>40</v>
      </c>
      <c r="B1" s="2" t="s">
        <v>41</v>
      </c>
    </row>
    <row r="2" spans="1:2" x14ac:dyDescent="0.25">
      <c r="A2" t="s">
        <v>4</v>
      </c>
      <c r="B2" s="3">
        <v>19</v>
      </c>
    </row>
    <row r="3" spans="1:2" x14ac:dyDescent="0.25">
      <c r="A3" t="s">
        <v>5</v>
      </c>
      <c r="B3" s="3">
        <v>15.83333333333333</v>
      </c>
    </row>
    <row r="4" spans="1:2" x14ac:dyDescent="0.25">
      <c r="A4" t="s">
        <v>6</v>
      </c>
      <c r="B4" s="3">
        <v>51.81818181818182</v>
      </c>
    </row>
    <row r="5" spans="1:2" x14ac:dyDescent="0.25">
      <c r="A5" t="s">
        <v>7</v>
      </c>
      <c r="B5" s="3">
        <v>9.1324200913242013</v>
      </c>
    </row>
    <row r="6" spans="1:2" x14ac:dyDescent="0.25">
      <c r="A6" t="s">
        <v>8</v>
      </c>
      <c r="B6" s="3">
        <v>13.53333333333333</v>
      </c>
    </row>
    <row r="7" spans="1:2" x14ac:dyDescent="0.25">
      <c r="A7" t="s">
        <v>9</v>
      </c>
      <c r="B7" s="3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125"/>
  <sheetViews>
    <sheetView workbookViewId="0">
      <selection activeCell="G9" sqref="G9"/>
    </sheetView>
  </sheetViews>
  <sheetFormatPr defaultRowHeight="15" x14ac:dyDescent="0.25"/>
  <cols>
    <col min="1" max="1" width="23" customWidth="1"/>
  </cols>
  <sheetData>
    <row r="1" spans="1:31" x14ac:dyDescent="0.25">
      <c r="A1" t="s">
        <v>48</v>
      </c>
    </row>
    <row r="2" spans="1:31" x14ac:dyDescent="0.25">
      <c r="A2" t="s">
        <v>148</v>
      </c>
    </row>
    <row r="3" spans="1:31" x14ac:dyDescent="0.25">
      <c r="A3" t="s">
        <v>149</v>
      </c>
    </row>
    <row r="4" spans="1:31" x14ac:dyDescent="0.25">
      <c r="A4" t="s">
        <v>49</v>
      </c>
    </row>
    <row r="5" spans="1:31" x14ac:dyDescent="0.25">
      <c r="B5" t="s">
        <v>50</v>
      </c>
      <c r="C5" t="s">
        <v>51</v>
      </c>
      <c r="D5" t="s">
        <v>52</v>
      </c>
      <c r="E5">
        <v>2025</v>
      </c>
      <c r="F5">
        <v>2026</v>
      </c>
      <c r="G5">
        <v>2027</v>
      </c>
      <c r="H5">
        <v>2028</v>
      </c>
      <c r="I5">
        <v>2029</v>
      </c>
      <c r="J5">
        <v>2030</v>
      </c>
      <c r="K5">
        <v>2031</v>
      </c>
      <c r="L5">
        <v>2032</v>
      </c>
      <c r="M5">
        <v>2033</v>
      </c>
      <c r="N5">
        <v>2034</v>
      </c>
      <c r="O5">
        <v>2035</v>
      </c>
      <c r="P5">
        <v>2036</v>
      </c>
      <c r="Q5">
        <v>2037</v>
      </c>
      <c r="R5">
        <v>2038</v>
      </c>
      <c r="S5">
        <v>2039</v>
      </c>
      <c r="T5">
        <v>2040</v>
      </c>
      <c r="U5">
        <v>2041</v>
      </c>
      <c r="V5">
        <v>2042</v>
      </c>
      <c r="W5">
        <v>2043</v>
      </c>
      <c r="X5">
        <v>2044</v>
      </c>
      <c r="Y5">
        <v>2045</v>
      </c>
      <c r="Z5">
        <v>2046</v>
      </c>
      <c r="AA5">
        <v>2047</v>
      </c>
      <c r="AB5">
        <v>2048</v>
      </c>
      <c r="AC5">
        <v>2049</v>
      </c>
      <c r="AD5">
        <v>2050</v>
      </c>
      <c r="AE5" t="s">
        <v>150</v>
      </c>
    </row>
    <row r="6" spans="1:31" x14ac:dyDescent="0.25">
      <c r="A6" t="s">
        <v>43</v>
      </c>
    </row>
    <row r="7" spans="1:31" x14ac:dyDescent="0.25">
      <c r="A7" t="s">
        <v>53</v>
      </c>
    </row>
    <row r="8" spans="1:31" x14ac:dyDescent="0.25">
      <c r="A8" t="s">
        <v>54</v>
      </c>
      <c r="B8" t="s">
        <v>151</v>
      </c>
      <c r="C8" t="s">
        <v>152</v>
      </c>
      <c r="D8" t="s">
        <v>55</v>
      </c>
      <c r="E8">
        <v>89.551807999999994</v>
      </c>
      <c r="F8">
        <v>90.499319999999997</v>
      </c>
      <c r="G8">
        <v>91.445952000000005</v>
      </c>
      <c r="H8">
        <v>92.375528000000003</v>
      </c>
      <c r="I8">
        <v>93.308328000000003</v>
      </c>
      <c r="J8">
        <v>94.243120000000005</v>
      </c>
      <c r="K8">
        <v>95.158208000000002</v>
      </c>
      <c r="L8">
        <v>96.071575999999993</v>
      </c>
      <c r="M8">
        <v>96.973696000000004</v>
      </c>
      <c r="N8">
        <v>97.853279999999998</v>
      </c>
      <c r="O8">
        <v>98.716440000000006</v>
      </c>
      <c r="P8">
        <v>99.555663999999993</v>
      </c>
      <c r="Q8">
        <v>100.3796</v>
      </c>
      <c r="R8">
        <v>101.179768</v>
      </c>
      <c r="S8">
        <v>101.948536</v>
      </c>
      <c r="T8">
        <v>102.68970400000001</v>
      </c>
      <c r="U8">
        <v>103.400256</v>
      </c>
      <c r="V8">
        <v>104.09390399999999</v>
      </c>
      <c r="W8">
        <v>104.76102400000001</v>
      </c>
      <c r="X8">
        <v>105.404848</v>
      </c>
      <c r="Y8">
        <v>106.04945600000001</v>
      </c>
      <c r="Z8">
        <v>106.69841599999999</v>
      </c>
      <c r="AA8">
        <v>107.34532</v>
      </c>
      <c r="AB8">
        <v>107.99104</v>
      </c>
      <c r="AC8">
        <v>108.635976</v>
      </c>
      <c r="AD8">
        <v>109.283816</v>
      </c>
      <c r="AE8" t="s">
        <v>153</v>
      </c>
    </row>
    <row r="9" spans="1:31" x14ac:dyDescent="0.25">
      <c r="A9" t="s">
        <v>56</v>
      </c>
      <c r="B9" t="s">
        <v>154</v>
      </c>
      <c r="C9" t="s">
        <v>155</v>
      </c>
      <c r="D9" t="s">
        <v>55</v>
      </c>
      <c r="E9">
        <v>34.432312000000003</v>
      </c>
      <c r="F9">
        <v>34.836668000000003</v>
      </c>
      <c r="G9">
        <v>35.242792000000001</v>
      </c>
      <c r="H9">
        <v>35.639104000000003</v>
      </c>
      <c r="I9">
        <v>36.037196000000002</v>
      </c>
      <c r="J9">
        <v>36.453671999999997</v>
      </c>
      <c r="K9">
        <v>36.903640000000003</v>
      </c>
      <c r="L9">
        <v>37.355531999999997</v>
      </c>
      <c r="M9">
        <v>37.797055999999998</v>
      </c>
      <c r="N9">
        <v>38.222763999999998</v>
      </c>
      <c r="O9">
        <v>38.636755999999998</v>
      </c>
      <c r="P9">
        <v>39.039476000000001</v>
      </c>
      <c r="Q9">
        <v>39.397843999999999</v>
      </c>
      <c r="R9">
        <v>39.730519999999999</v>
      </c>
      <c r="S9">
        <v>40.040472000000001</v>
      </c>
      <c r="T9">
        <v>40.33182</v>
      </c>
      <c r="U9">
        <v>40.601424000000002</v>
      </c>
      <c r="V9">
        <v>40.853960000000001</v>
      </c>
      <c r="W9">
        <v>41.099856000000003</v>
      </c>
      <c r="X9">
        <v>41.347656000000001</v>
      </c>
      <c r="Y9">
        <v>41.597008000000002</v>
      </c>
      <c r="Z9">
        <v>41.846876000000002</v>
      </c>
      <c r="AA9">
        <v>42.095095999999998</v>
      </c>
      <c r="AB9">
        <v>42.342736000000002</v>
      </c>
      <c r="AC9">
        <v>42.590232</v>
      </c>
      <c r="AD9">
        <v>42.838628</v>
      </c>
      <c r="AE9" t="s">
        <v>156</v>
      </c>
    </row>
    <row r="10" spans="1:31" x14ac:dyDescent="0.25">
      <c r="A10" t="s">
        <v>57</v>
      </c>
      <c r="B10" t="s">
        <v>157</v>
      </c>
      <c r="C10" t="s">
        <v>158</v>
      </c>
      <c r="D10" t="s">
        <v>55</v>
      </c>
      <c r="E10">
        <v>6.7450950000000001</v>
      </c>
      <c r="F10">
        <v>6.759423</v>
      </c>
      <c r="G10">
        <v>6.806991</v>
      </c>
      <c r="H10">
        <v>6.8581649999999996</v>
      </c>
      <c r="I10">
        <v>6.9037110000000004</v>
      </c>
      <c r="J10">
        <v>6.9130140000000004</v>
      </c>
      <c r="K10">
        <v>6.915089</v>
      </c>
      <c r="L10">
        <v>6.9182519999999998</v>
      </c>
      <c r="M10">
        <v>6.921087</v>
      </c>
      <c r="N10">
        <v>6.923413</v>
      </c>
      <c r="O10">
        <v>6.9269959999999999</v>
      </c>
      <c r="P10">
        <v>6.9313560000000001</v>
      </c>
      <c r="Q10">
        <v>6.9329989999999997</v>
      </c>
      <c r="R10">
        <v>6.9327449999999997</v>
      </c>
      <c r="S10">
        <v>6.9276109999999997</v>
      </c>
      <c r="T10">
        <v>6.924169</v>
      </c>
      <c r="U10">
        <v>6.9226830000000001</v>
      </c>
      <c r="V10">
        <v>6.9217560000000002</v>
      </c>
      <c r="W10">
        <v>6.9220889999999997</v>
      </c>
      <c r="X10">
        <v>6.9248770000000004</v>
      </c>
      <c r="Y10">
        <v>6.9295859999999996</v>
      </c>
      <c r="Z10">
        <v>6.9344039999999998</v>
      </c>
      <c r="AA10">
        <v>6.93933</v>
      </c>
      <c r="AB10">
        <v>6.9430180000000004</v>
      </c>
      <c r="AC10">
        <v>6.946523</v>
      </c>
      <c r="AD10">
        <v>6.950291</v>
      </c>
      <c r="AE10" t="s">
        <v>159</v>
      </c>
    </row>
    <row r="11" spans="1:31" x14ac:dyDescent="0.25">
      <c r="A11" t="s">
        <v>58</v>
      </c>
      <c r="B11" t="s">
        <v>160</v>
      </c>
      <c r="C11" t="s">
        <v>161</v>
      </c>
      <c r="D11" t="s">
        <v>55</v>
      </c>
      <c r="E11">
        <v>130.72921500000001</v>
      </c>
      <c r="F11">
        <v>132.09541100000001</v>
      </c>
      <c r="G11">
        <v>133.495735</v>
      </c>
      <c r="H11">
        <v>134.87279699999999</v>
      </c>
      <c r="I11">
        <v>136.249235</v>
      </c>
      <c r="J11">
        <v>137.60980599999999</v>
      </c>
      <c r="K11">
        <v>138.97693699999999</v>
      </c>
      <c r="L11">
        <v>140.34536</v>
      </c>
      <c r="M11">
        <v>141.69183899999999</v>
      </c>
      <c r="N11">
        <v>142.999458</v>
      </c>
      <c r="O11">
        <v>144.280192</v>
      </c>
      <c r="P11">
        <v>145.52649600000001</v>
      </c>
      <c r="Q11">
        <v>146.710443</v>
      </c>
      <c r="R11">
        <v>147.84303299999999</v>
      </c>
      <c r="S11">
        <v>148.916619</v>
      </c>
      <c r="T11">
        <v>149.94569300000001</v>
      </c>
      <c r="U11">
        <v>150.924363</v>
      </c>
      <c r="V11">
        <v>151.86962</v>
      </c>
      <c r="W11">
        <v>152.78296900000001</v>
      </c>
      <c r="X11">
        <v>153.677381</v>
      </c>
      <c r="Y11">
        <v>154.57605000000001</v>
      </c>
      <c r="Z11">
        <v>155.47969599999999</v>
      </c>
      <c r="AA11">
        <v>156.37974600000001</v>
      </c>
      <c r="AB11">
        <v>157.276794</v>
      </c>
      <c r="AC11">
        <v>158.172731</v>
      </c>
      <c r="AD11">
        <v>159.07273499999999</v>
      </c>
      <c r="AE11" t="s">
        <v>153</v>
      </c>
    </row>
    <row r="12" spans="1:31" x14ac:dyDescent="0.25">
      <c r="A12" t="s">
        <v>59</v>
      </c>
      <c r="B12" t="s">
        <v>162</v>
      </c>
      <c r="C12" t="s">
        <v>163</v>
      </c>
      <c r="D12" t="s">
        <v>60</v>
      </c>
      <c r="E12">
        <v>1648.580933</v>
      </c>
      <c r="F12">
        <v>1653.8009030000001</v>
      </c>
      <c r="G12">
        <v>1658.753418</v>
      </c>
      <c r="H12">
        <v>1663.619629</v>
      </c>
      <c r="I12">
        <v>1668.3839109999999</v>
      </c>
      <c r="J12">
        <v>1673.056885</v>
      </c>
      <c r="K12">
        <v>1677.3985600000001</v>
      </c>
      <c r="L12">
        <v>1681.615356</v>
      </c>
      <c r="M12">
        <v>1685.79187</v>
      </c>
      <c r="N12">
        <v>1689.955688</v>
      </c>
      <c r="O12">
        <v>1694.0828859999999</v>
      </c>
      <c r="P12">
        <v>1698.1728519999999</v>
      </c>
      <c r="Q12">
        <v>1702.4686280000001</v>
      </c>
      <c r="R12">
        <v>1706.8398440000001</v>
      </c>
      <c r="S12">
        <v>1711.274048</v>
      </c>
      <c r="T12">
        <v>1715.727783</v>
      </c>
      <c r="U12">
        <v>1720.2238769999999</v>
      </c>
      <c r="V12">
        <v>1724.752197</v>
      </c>
      <c r="W12">
        <v>1729.2341309999999</v>
      </c>
      <c r="X12">
        <v>1733.615601</v>
      </c>
      <c r="Y12">
        <v>1737.918823</v>
      </c>
      <c r="Z12">
        <v>1742.1623540000001</v>
      </c>
      <c r="AA12">
        <v>1746.357178</v>
      </c>
      <c r="AB12">
        <v>1750.5023189999999</v>
      </c>
      <c r="AC12">
        <v>1754.593018</v>
      </c>
      <c r="AD12">
        <v>1758.6240230000001</v>
      </c>
      <c r="AE12" t="s">
        <v>164</v>
      </c>
    </row>
    <row r="13" spans="1:31" x14ac:dyDescent="0.25">
      <c r="A13" t="s">
        <v>61</v>
      </c>
    </row>
    <row r="14" spans="1:31" x14ac:dyDescent="0.25">
      <c r="A14" t="s">
        <v>62</v>
      </c>
    </row>
    <row r="15" spans="1:31" x14ac:dyDescent="0.25">
      <c r="A15" t="s">
        <v>63</v>
      </c>
      <c r="B15" t="s">
        <v>165</v>
      </c>
      <c r="C15" t="s">
        <v>166</v>
      </c>
      <c r="D15" t="s">
        <v>64</v>
      </c>
      <c r="E15">
        <v>89.060957999999999</v>
      </c>
      <c r="F15">
        <v>86.654178999999999</v>
      </c>
      <c r="G15">
        <v>85.803576000000007</v>
      </c>
      <c r="H15">
        <v>85.129928000000007</v>
      </c>
      <c r="I15">
        <v>84.070611</v>
      </c>
      <c r="J15">
        <v>82.772625000000005</v>
      </c>
      <c r="K15">
        <v>81.438220000000001</v>
      </c>
      <c r="L15">
        <v>80.199731999999997</v>
      </c>
      <c r="M15">
        <v>79.037514999999999</v>
      </c>
      <c r="N15">
        <v>78.012084000000002</v>
      </c>
      <c r="O15">
        <v>77.086948000000007</v>
      </c>
      <c r="P15">
        <v>76.247253000000001</v>
      </c>
      <c r="Q15">
        <v>75.471804000000006</v>
      </c>
      <c r="R15">
        <v>74.779411999999994</v>
      </c>
      <c r="S15">
        <v>74.147296999999995</v>
      </c>
      <c r="T15">
        <v>73.529512999999994</v>
      </c>
      <c r="U15">
        <v>72.987660000000005</v>
      </c>
      <c r="V15">
        <v>72.550301000000005</v>
      </c>
      <c r="W15">
        <v>72.191370000000006</v>
      </c>
      <c r="X15">
        <v>71.873313999999993</v>
      </c>
      <c r="Y15">
        <v>71.554366000000002</v>
      </c>
      <c r="Z15">
        <v>71.242593999999997</v>
      </c>
      <c r="AA15">
        <v>70.912942000000001</v>
      </c>
      <c r="AB15">
        <v>70.590440999999998</v>
      </c>
      <c r="AC15">
        <v>70.298458999999994</v>
      </c>
      <c r="AD15">
        <v>70.025752999999995</v>
      </c>
      <c r="AE15" t="s">
        <v>167</v>
      </c>
    </row>
    <row r="16" spans="1:31" x14ac:dyDescent="0.25">
      <c r="A16" t="s">
        <v>65</v>
      </c>
      <c r="B16" t="s">
        <v>168</v>
      </c>
      <c r="C16" t="s">
        <v>169</v>
      </c>
      <c r="D16" t="s">
        <v>64</v>
      </c>
      <c r="E16">
        <v>87.644801000000001</v>
      </c>
      <c r="F16">
        <v>85.169031000000004</v>
      </c>
      <c r="G16">
        <v>84.244950000000003</v>
      </c>
      <c r="H16">
        <v>83.496611999999999</v>
      </c>
      <c r="I16">
        <v>82.368482999999998</v>
      </c>
      <c r="J16">
        <v>80.999154000000004</v>
      </c>
      <c r="K16">
        <v>79.589085999999995</v>
      </c>
      <c r="L16">
        <v>78.275952000000004</v>
      </c>
      <c r="M16">
        <v>77.036292000000003</v>
      </c>
      <c r="N16">
        <v>75.928768000000005</v>
      </c>
      <c r="O16">
        <v>74.916512999999995</v>
      </c>
      <c r="P16">
        <v>73.985585</v>
      </c>
      <c r="Q16">
        <v>73.112307999999999</v>
      </c>
      <c r="R16">
        <v>72.317409999999995</v>
      </c>
      <c r="S16">
        <v>71.577848000000003</v>
      </c>
      <c r="T16">
        <v>70.849100000000007</v>
      </c>
      <c r="U16">
        <v>70.192104</v>
      </c>
      <c r="V16">
        <v>69.636396000000005</v>
      </c>
      <c r="W16">
        <v>69.156582</v>
      </c>
      <c r="X16">
        <v>68.713554999999999</v>
      </c>
      <c r="Y16">
        <v>68.267577000000003</v>
      </c>
      <c r="Z16">
        <v>67.825554999999994</v>
      </c>
      <c r="AA16">
        <v>67.362431999999998</v>
      </c>
      <c r="AB16">
        <v>66.902169000000001</v>
      </c>
      <c r="AC16">
        <v>66.470930999999993</v>
      </c>
      <c r="AD16">
        <v>66.055662999999996</v>
      </c>
      <c r="AE16" t="s">
        <v>170</v>
      </c>
    </row>
    <row r="17" spans="1:31" x14ac:dyDescent="0.25">
      <c r="A17" t="s">
        <v>66</v>
      </c>
    </row>
    <row r="18" spans="1:31" x14ac:dyDescent="0.25">
      <c r="A18" t="s">
        <v>63</v>
      </c>
      <c r="B18" t="s">
        <v>171</v>
      </c>
      <c r="C18" t="s">
        <v>172</v>
      </c>
      <c r="D18" t="s">
        <v>67</v>
      </c>
      <c r="E18">
        <v>54.022799999999997</v>
      </c>
      <c r="F18">
        <v>52.396982999999999</v>
      </c>
      <c r="G18">
        <v>51.727746000000003</v>
      </c>
      <c r="H18">
        <v>51.171509999999998</v>
      </c>
      <c r="I18">
        <v>50.390447000000002</v>
      </c>
      <c r="J18">
        <v>49.473886</v>
      </c>
      <c r="K18">
        <v>48.550310000000003</v>
      </c>
      <c r="L18">
        <v>47.692079</v>
      </c>
      <c r="M18">
        <v>46.884504</v>
      </c>
      <c r="N18">
        <v>46.162207000000002</v>
      </c>
      <c r="O18">
        <v>45.503646000000003</v>
      </c>
      <c r="P18">
        <v>44.899583</v>
      </c>
      <c r="Q18">
        <v>44.330804999999998</v>
      </c>
      <c r="R18">
        <v>43.811616000000001</v>
      </c>
      <c r="S18">
        <v>43.328710000000001</v>
      </c>
      <c r="T18">
        <v>42.856164999999997</v>
      </c>
      <c r="U18">
        <v>42.429164</v>
      </c>
      <c r="V18">
        <v>42.064188000000001</v>
      </c>
      <c r="W18">
        <v>41.747596999999999</v>
      </c>
      <c r="X18">
        <v>41.458621999999998</v>
      </c>
      <c r="Y18">
        <v>41.172443999999999</v>
      </c>
      <c r="Z18">
        <v>40.8932</v>
      </c>
      <c r="AA18">
        <v>40.606208000000002</v>
      </c>
      <c r="AB18">
        <v>40.32582</v>
      </c>
      <c r="AC18">
        <v>40.065393</v>
      </c>
      <c r="AD18">
        <v>39.818489999999997</v>
      </c>
      <c r="AE18" t="s">
        <v>173</v>
      </c>
    </row>
    <row r="19" spans="1:31" x14ac:dyDescent="0.25">
      <c r="A19" t="s">
        <v>65</v>
      </c>
      <c r="B19" t="s">
        <v>174</v>
      </c>
      <c r="C19" t="s">
        <v>175</v>
      </c>
      <c r="D19" t="s">
        <v>67</v>
      </c>
      <c r="E19">
        <v>53.163784999999997</v>
      </c>
      <c r="F19">
        <v>51.498963000000003</v>
      </c>
      <c r="G19">
        <v>50.788108999999999</v>
      </c>
      <c r="H19">
        <v>50.189725000000003</v>
      </c>
      <c r="I19">
        <v>49.370221000000001</v>
      </c>
      <c r="J19">
        <v>48.413867000000003</v>
      </c>
      <c r="K19">
        <v>47.447927999999997</v>
      </c>
      <c r="L19">
        <v>46.548071999999998</v>
      </c>
      <c r="M19">
        <v>45.697392000000001</v>
      </c>
      <c r="N19">
        <v>44.929442999999999</v>
      </c>
      <c r="O19">
        <v>44.222459999999998</v>
      </c>
      <c r="P19">
        <v>43.567759000000002</v>
      </c>
      <c r="Q19">
        <v>42.944878000000003</v>
      </c>
      <c r="R19">
        <v>42.369183</v>
      </c>
      <c r="S19">
        <v>41.827227000000001</v>
      </c>
      <c r="T19">
        <v>41.293905000000002</v>
      </c>
      <c r="U19">
        <v>40.804051999999999</v>
      </c>
      <c r="V19">
        <v>40.374724999999998</v>
      </c>
      <c r="W19">
        <v>39.992607999999997</v>
      </c>
      <c r="X19">
        <v>39.635981000000001</v>
      </c>
      <c r="Y19">
        <v>39.281222999999997</v>
      </c>
      <c r="Z19">
        <v>38.931821999999997</v>
      </c>
      <c r="AA19">
        <v>38.573112999999999</v>
      </c>
      <c r="AB19">
        <v>38.21884</v>
      </c>
      <c r="AC19">
        <v>37.883960000000002</v>
      </c>
      <c r="AD19">
        <v>37.560991999999999</v>
      </c>
      <c r="AE19" t="s">
        <v>176</v>
      </c>
    </row>
    <row r="20" spans="1:31" x14ac:dyDescent="0.25">
      <c r="A20" t="s">
        <v>44</v>
      </c>
    </row>
    <row r="21" spans="1:31" x14ac:dyDescent="0.25">
      <c r="A21" t="s">
        <v>68</v>
      </c>
    </row>
    <row r="22" spans="1:31" x14ac:dyDescent="0.25">
      <c r="A22" t="s">
        <v>69</v>
      </c>
      <c r="B22" t="s">
        <v>177</v>
      </c>
      <c r="C22" t="s">
        <v>178</v>
      </c>
      <c r="D22" t="s">
        <v>70</v>
      </c>
      <c r="E22">
        <v>0.59498700000000004</v>
      </c>
      <c r="F22">
        <v>0.56559099999999995</v>
      </c>
      <c r="G22">
        <v>0.56616999999999995</v>
      </c>
      <c r="H22">
        <v>0.56694999999999995</v>
      </c>
      <c r="I22">
        <v>0.56581700000000001</v>
      </c>
      <c r="J22">
        <v>0.56227499999999997</v>
      </c>
      <c r="K22">
        <v>0.55764100000000005</v>
      </c>
      <c r="L22">
        <v>0.55301900000000004</v>
      </c>
      <c r="M22">
        <v>0.54866499999999996</v>
      </c>
      <c r="N22">
        <v>0.54410099999999995</v>
      </c>
      <c r="O22">
        <v>0.53962699999999997</v>
      </c>
      <c r="P22">
        <v>0.53538300000000005</v>
      </c>
      <c r="Q22">
        <v>0.53084900000000002</v>
      </c>
      <c r="R22">
        <v>0.52652699999999997</v>
      </c>
      <c r="S22">
        <v>0.52204499999999998</v>
      </c>
      <c r="T22">
        <v>0.517517</v>
      </c>
      <c r="U22">
        <v>0.51278199999999996</v>
      </c>
      <c r="V22">
        <v>0.50850700000000004</v>
      </c>
      <c r="W22">
        <v>0.50438799999999995</v>
      </c>
      <c r="X22">
        <v>0.50002599999999997</v>
      </c>
      <c r="Y22">
        <v>0.49595899999999998</v>
      </c>
      <c r="Z22">
        <v>0.491539</v>
      </c>
      <c r="AA22">
        <v>0.48665999999999998</v>
      </c>
      <c r="AB22">
        <v>0.48183100000000001</v>
      </c>
      <c r="AC22">
        <v>0.47719299999999998</v>
      </c>
      <c r="AD22">
        <v>0.47245900000000002</v>
      </c>
      <c r="AE22" t="s">
        <v>179</v>
      </c>
    </row>
    <row r="23" spans="1:31" x14ac:dyDescent="0.25">
      <c r="A23" t="s">
        <v>71</v>
      </c>
      <c r="B23" t="s">
        <v>180</v>
      </c>
      <c r="C23" t="s">
        <v>181</v>
      </c>
      <c r="D23" t="s">
        <v>70</v>
      </c>
      <c r="E23">
        <v>0.92457400000000001</v>
      </c>
      <c r="F23">
        <v>0.98388600000000004</v>
      </c>
      <c r="G23">
        <v>0.99778199999999995</v>
      </c>
      <c r="H23">
        <v>1.011565</v>
      </c>
      <c r="I23">
        <v>1.022745</v>
      </c>
      <c r="J23">
        <v>1.0299940000000001</v>
      </c>
      <c r="K23">
        <v>1.0365949999999999</v>
      </c>
      <c r="L23">
        <v>1.0441309999999999</v>
      </c>
      <c r="M23">
        <v>1.052389</v>
      </c>
      <c r="N23">
        <v>1.0619890000000001</v>
      </c>
      <c r="O23">
        <v>1.0725720000000001</v>
      </c>
      <c r="P23">
        <v>1.0844020000000001</v>
      </c>
      <c r="Q23">
        <v>1.097</v>
      </c>
      <c r="R23">
        <v>1.11012</v>
      </c>
      <c r="S23">
        <v>1.1235949999999999</v>
      </c>
      <c r="T23">
        <v>1.137956</v>
      </c>
      <c r="U23">
        <v>1.1531389999999999</v>
      </c>
      <c r="V23">
        <v>1.170164</v>
      </c>
      <c r="W23">
        <v>1.1882740000000001</v>
      </c>
      <c r="X23">
        <v>1.2064520000000001</v>
      </c>
      <c r="Y23">
        <v>1.2252769999999999</v>
      </c>
      <c r="Z23">
        <v>1.2431110000000001</v>
      </c>
      <c r="AA23">
        <v>1.260267</v>
      </c>
      <c r="AB23">
        <v>1.276902</v>
      </c>
      <c r="AC23">
        <v>1.2942579999999999</v>
      </c>
      <c r="AD23">
        <v>1.31138</v>
      </c>
      <c r="AE23" t="s">
        <v>182</v>
      </c>
    </row>
    <row r="24" spans="1:31" x14ac:dyDescent="0.25">
      <c r="A24" t="s">
        <v>72</v>
      </c>
      <c r="B24" t="s">
        <v>183</v>
      </c>
      <c r="C24" t="s">
        <v>184</v>
      </c>
      <c r="D24" t="s">
        <v>70</v>
      </c>
      <c r="E24">
        <v>0.45252900000000001</v>
      </c>
      <c r="F24">
        <v>0.44482899999999997</v>
      </c>
      <c r="G24">
        <v>0.43924099999999999</v>
      </c>
      <c r="H24">
        <v>0.43466900000000003</v>
      </c>
      <c r="I24">
        <v>0.417931</v>
      </c>
      <c r="J24">
        <v>0.39681300000000003</v>
      </c>
      <c r="K24">
        <v>0.37454999999999999</v>
      </c>
      <c r="L24">
        <v>0.35388900000000001</v>
      </c>
      <c r="M24">
        <v>0.33485900000000002</v>
      </c>
      <c r="N24">
        <v>0.31755</v>
      </c>
      <c r="O24">
        <v>0.30188599999999999</v>
      </c>
      <c r="P24">
        <v>0.28806700000000002</v>
      </c>
      <c r="Q24">
        <v>0.27600799999999998</v>
      </c>
      <c r="R24">
        <v>0.26572600000000002</v>
      </c>
      <c r="S24">
        <v>0.25716800000000001</v>
      </c>
      <c r="T24">
        <v>0.25033499999999997</v>
      </c>
      <c r="U24">
        <v>0.24518000000000001</v>
      </c>
      <c r="V24">
        <v>0.24182999999999999</v>
      </c>
      <c r="W24">
        <v>0.240263</v>
      </c>
      <c r="X24">
        <v>0.238624</v>
      </c>
      <c r="Y24">
        <v>0.236984</v>
      </c>
      <c r="Z24">
        <v>0.23524200000000001</v>
      </c>
      <c r="AA24">
        <v>0.233407</v>
      </c>
      <c r="AB24">
        <v>0.23158000000000001</v>
      </c>
      <c r="AC24">
        <v>0.22998099999999999</v>
      </c>
      <c r="AD24">
        <v>0.22855800000000001</v>
      </c>
      <c r="AE24" t="s">
        <v>185</v>
      </c>
    </row>
    <row r="25" spans="1:31" x14ac:dyDescent="0.25">
      <c r="A25" t="s">
        <v>73</v>
      </c>
      <c r="B25" t="s">
        <v>186</v>
      </c>
      <c r="C25" t="s">
        <v>187</v>
      </c>
      <c r="D25" t="s">
        <v>70</v>
      </c>
      <c r="E25">
        <v>0.34956300000000001</v>
      </c>
      <c r="F25">
        <v>0.34852699999999998</v>
      </c>
      <c r="G25">
        <v>0.34743299999999999</v>
      </c>
      <c r="H25">
        <v>0.34620899999999999</v>
      </c>
      <c r="I25">
        <v>0.34525899999999998</v>
      </c>
      <c r="J25">
        <v>0.34202399999999999</v>
      </c>
      <c r="K25">
        <v>0.33903</v>
      </c>
      <c r="L25">
        <v>0.33630399999999999</v>
      </c>
      <c r="M25">
        <v>0.33379900000000001</v>
      </c>
      <c r="N25">
        <v>0.33146799999999998</v>
      </c>
      <c r="O25">
        <v>0.32936599999999999</v>
      </c>
      <c r="P25">
        <v>0.32765300000000003</v>
      </c>
      <c r="Q25">
        <v>0.32634299999999999</v>
      </c>
      <c r="R25">
        <v>0.325461</v>
      </c>
      <c r="S25">
        <v>0.32499</v>
      </c>
      <c r="T25">
        <v>0.324938</v>
      </c>
      <c r="U25">
        <v>0.32529400000000003</v>
      </c>
      <c r="V25">
        <v>0.32607199999999997</v>
      </c>
      <c r="W25">
        <v>0.32728099999999999</v>
      </c>
      <c r="X25">
        <v>0.32891300000000001</v>
      </c>
      <c r="Y25">
        <v>0.33105000000000001</v>
      </c>
      <c r="Z25">
        <v>0.33371400000000001</v>
      </c>
      <c r="AA25">
        <v>0.33686500000000003</v>
      </c>
      <c r="AB25">
        <v>0.34000599999999997</v>
      </c>
      <c r="AC25">
        <v>0.34312900000000002</v>
      </c>
      <c r="AD25">
        <v>0.34622900000000001</v>
      </c>
      <c r="AE25" t="s">
        <v>188</v>
      </c>
    </row>
    <row r="26" spans="1:31" x14ac:dyDescent="0.25">
      <c r="A26" t="s">
        <v>74</v>
      </c>
      <c r="B26" t="s">
        <v>189</v>
      </c>
      <c r="C26" t="s">
        <v>190</v>
      </c>
      <c r="D26" t="s">
        <v>70</v>
      </c>
      <c r="E26">
        <v>6.8362000000000006E-2</v>
      </c>
      <c r="F26">
        <v>6.9241999999999998E-2</v>
      </c>
      <c r="G26">
        <v>7.0150000000000004E-2</v>
      </c>
      <c r="H26">
        <v>7.1053000000000005E-2</v>
      </c>
      <c r="I26">
        <v>7.1959999999999996E-2</v>
      </c>
      <c r="J26">
        <v>7.2859999999999994E-2</v>
      </c>
      <c r="K26">
        <v>7.3770000000000002E-2</v>
      </c>
      <c r="L26">
        <v>7.4686000000000002E-2</v>
      </c>
      <c r="M26">
        <v>7.5594999999999996E-2</v>
      </c>
      <c r="N26">
        <v>7.6502000000000001E-2</v>
      </c>
      <c r="O26">
        <v>7.7414999999999998E-2</v>
      </c>
      <c r="P26">
        <v>7.8331999999999999E-2</v>
      </c>
      <c r="Q26">
        <v>7.9236000000000001E-2</v>
      </c>
      <c r="R26">
        <v>8.0074000000000006E-2</v>
      </c>
      <c r="S26">
        <v>8.0823000000000006E-2</v>
      </c>
      <c r="T26">
        <v>8.1486000000000003E-2</v>
      </c>
      <c r="U26">
        <v>8.2052E-2</v>
      </c>
      <c r="V26">
        <v>8.2525000000000001E-2</v>
      </c>
      <c r="W26">
        <v>8.2964999999999997E-2</v>
      </c>
      <c r="X26">
        <v>8.3380999999999997E-2</v>
      </c>
      <c r="Y26">
        <v>8.3789000000000002E-2</v>
      </c>
      <c r="Z26">
        <v>8.4191000000000002E-2</v>
      </c>
      <c r="AA26">
        <v>8.4584000000000006E-2</v>
      </c>
      <c r="AB26">
        <v>8.4967000000000001E-2</v>
      </c>
      <c r="AC26">
        <v>8.5342000000000001E-2</v>
      </c>
      <c r="AD26">
        <v>8.5708999999999994E-2</v>
      </c>
      <c r="AE26" t="s">
        <v>156</v>
      </c>
    </row>
    <row r="27" spans="1:31" x14ac:dyDescent="0.25">
      <c r="A27" t="s">
        <v>75</v>
      </c>
      <c r="B27" t="s">
        <v>191</v>
      </c>
      <c r="C27" t="s">
        <v>192</v>
      </c>
      <c r="D27" t="s">
        <v>70</v>
      </c>
      <c r="E27">
        <v>0.190333</v>
      </c>
      <c r="F27">
        <v>0.19084100000000001</v>
      </c>
      <c r="G27">
        <v>0.191803</v>
      </c>
      <c r="H27">
        <v>0.193076</v>
      </c>
      <c r="I27">
        <v>0.193741</v>
      </c>
      <c r="J27">
        <v>0.19336100000000001</v>
      </c>
      <c r="K27">
        <v>0.192361</v>
      </c>
      <c r="L27">
        <v>0.191029</v>
      </c>
      <c r="M27">
        <v>0.19012000000000001</v>
      </c>
      <c r="N27">
        <v>0.18959999999999999</v>
      </c>
      <c r="O27">
        <v>0.18948300000000001</v>
      </c>
      <c r="P27">
        <v>0.18981700000000001</v>
      </c>
      <c r="Q27">
        <v>0.19051799999999999</v>
      </c>
      <c r="R27">
        <v>0.19170799999999999</v>
      </c>
      <c r="S27">
        <v>0.19336</v>
      </c>
      <c r="T27">
        <v>0.19552900000000001</v>
      </c>
      <c r="U27">
        <v>0.19830200000000001</v>
      </c>
      <c r="V27">
        <v>0.20107</v>
      </c>
      <c r="W27">
        <v>0.20391000000000001</v>
      </c>
      <c r="X27">
        <v>0.206758</v>
      </c>
      <c r="Y27">
        <v>0.20961099999999999</v>
      </c>
      <c r="Z27">
        <v>0.21232799999999999</v>
      </c>
      <c r="AA27">
        <v>0.21485899999999999</v>
      </c>
      <c r="AB27">
        <v>0.21726100000000001</v>
      </c>
      <c r="AC27">
        <v>0.21970999999999999</v>
      </c>
      <c r="AD27">
        <v>0.22207299999999999</v>
      </c>
      <c r="AE27" t="s">
        <v>193</v>
      </c>
    </row>
    <row r="28" spans="1:31" x14ac:dyDescent="0.25">
      <c r="A28" t="s">
        <v>76</v>
      </c>
      <c r="B28" t="s">
        <v>194</v>
      </c>
      <c r="C28" t="s">
        <v>195</v>
      </c>
      <c r="D28" t="s">
        <v>70</v>
      </c>
      <c r="E28">
        <v>7.9278000000000001E-2</v>
      </c>
      <c r="F28">
        <v>7.9241000000000006E-2</v>
      </c>
      <c r="G28">
        <v>7.9216999999999996E-2</v>
      </c>
      <c r="H28">
        <v>7.9159999999999994E-2</v>
      </c>
      <c r="I28">
        <v>7.9073000000000004E-2</v>
      </c>
      <c r="J28">
        <v>7.8570000000000001E-2</v>
      </c>
      <c r="K28">
        <v>7.8007000000000007E-2</v>
      </c>
      <c r="L28">
        <v>7.7404000000000001E-2</v>
      </c>
      <c r="M28">
        <v>7.6823000000000002E-2</v>
      </c>
      <c r="N28">
        <v>7.6257000000000005E-2</v>
      </c>
      <c r="O28">
        <v>7.5716000000000006E-2</v>
      </c>
      <c r="P28">
        <v>7.5194999999999998E-2</v>
      </c>
      <c r="Q28">
        <v>7.4692999999999996E-2</v>
      </c>
      <c r="R28">
        <v>7.4214000000000002E-2</v>
      </c>
      <c r="S28">
        <v>7.3757000000000003E-2</v>
      </c>
      <c r="T28">
        <v>7.3328000000000004E-2</v>
      </c>
      <c r="U28">
        <v>7.2937000000000002E-2</v>
      </c>
      <c r="V28">
        <v>7.2585999999999998E-2</v>
      </c>
      <c r="W28">
        <v>7.2277999999999995E-2</v>
      </c>
      <c r="X28">
        <v>7.2012000000000007E-2</v>
      </c>
      <c r="Y28">
        <v>7.1802000000000005E-2</v>
      </c>
      <c r="Z28">
        <v>7.1660000000000001E-2</v>
      </c>
      <c r="AA28">
        <v>7.1579000000000004E-2</v>
      </c>
      <c r="AB28">
        <v>7.1570999999999996E-2</v>
      </c>
      <c r="AC28">
        <v>7.1642999999999998E-2</v>
      </c>
      <c r="AD28">
        <v>7.1800000000000003E-2</v>
      </c>
      <c r="AE28" t="s">
        <v>196</v>
      </c>
    </row>
    <row r="29" spans="1:31" x14ac:dyDescent="0.25">
      <c r="A29" t="s">
        <v>77</v>
      </c>
      <c r="B29" t="s">
        <v>197</v>
      </c>
      <c r="C29" t="s">
        <v>198</v>
      </c>
      <c r="D29" t="s">
        <v>70</v>
      </c>
      <c r="E29">
        <v>0.18284700000000001</v>
      </c>
      <c r="F29">
        <v>0.18221599999999999</v>
      </c>
      <c r="G29">
        <v>0.18356900000000001</v>
      </c>
      <c r="H29">
        <v>0.18564</v>
      </c>
      <c r="I29">
        <v>0.18743899999999999</v>
      </c>
      <c r="J29">
        <v>0.18699399999999999</v>
      </c>
      <c r="K29">
        <v>0.18642400000000001</v>
      </c>
      <c r="L29">
        <v>0.18626100000000001</v>
      </c>
      <c r="M29">
        <v>0.18640399999999999</v>
      </c>
      <c r="N29">
        <v>0.18674199999999999</v>
      </c>
      <c r="O29">
        <v>0.18721499999999999</v>
      </c>
      <c r="P29">
        <v>0.187754</v>
      </c>
      <c r="Q29">
        <v>0.188226</v>
      </c>
      <c r="R29">
        <v>0.188723</v>
      </c>
      <c r="S29">
        <v>0.18940000000000001</v>
      </c>
      <c r="T29">
        <v>0.18703500000000001</v>
      </c>
      <c r="U29">
        <v>0.185089</v>
      </c>
      <c r="V29">
        <v>0.18369099999999999</v>
      </c>
      <c r="W29">
        <v>0.18284600000000001</v>
      </c>
      <c r="X29">
        <v>0.182477</v>
      </c>
      <c r="Y29">
        <v>0.18238399999999999</v>
      </c>
      <c r="Z29">
        <v>0.18231</v>
      </c>
      <c r="AA29">
        <v>0.182202</v>
      </c>
      <c r="AB29">
        <v>0.18219199999999999</v>
      </c>
      <c r="AC29">
        <v>0.18237500000000001</v>
      </c>
      <c r="AD29">
        <v>0.182588</v>
      </c>
      <c r="AE29" t="s">
        <v>188</v>
      </c>
    </row>
    <row r="30" spans="1:31" x14ac:dyDescent="0.25">
      <c r="A30" t="s">
        <v>78</v>
      </c>
      <c r="B30" t="s">
        <v>199</v>
      </c>
      <c r="C30" t="s">
        <v>200</v>
      </c>
      <c r="D30" t="s">
        <v>70</v>
      </c>
      <c r="E30">
        <v>4.0723000000000002E-2</v>
      </c>
      <c r="F30">
        <v>3.9740999999999999E-2</v>
      </c>
      <c r="G30">
        <v>3.875E-2</v>
      </c>
      <c r="H30">
        <v>3.7582999999999998E-2</v>
      </c>
      <c r="I30">
        <v>3.6385000000000001E-2</v>
      </c>
      <c r="J30">
        <v>3.4992000000000002E-2</v>
      </c>
      <c r="K30">
        <v>3.354E-2</v>
      </c>
      <c r="L30">
        <v>3.2000000000000001E-2</v>
      </c>
      <c r="M30">
        <v>3.0665000000000001E-2</v>
      </c>
      <c r="N30">
        <v>2.9534000000000001E-2</v>
      </c>
      <c r="O30">
        <v>2.8608999999999999E-2</v>
      </c>
      <c r="P30">
        <v>2.7904000000000002E-2</v>
      </c>
      <c r="Q30">
        <v>2.7428999999999999E-2</v>
      </c>
      <c r="R30">
        <v>2.7210000000000002E-2</v>
      </c>
      <c r="S30">
        <v>2.7261000000000001E-2</v>
      </c>
      <c r="T30">
        <v>2.7310999999999998E-2</v>
      </c>
      <c r="U30">
        <v>2.7362000000000001E-2</v>
      </c>
      <c r="V30">
        <v>2.742E-2</v>
      </c>
      <c r="W30">
        <v>2.7486E-2</v>
      </c>
      <c r="X30">
        <v>2.7564000000000002E-2</v>
      </c>
      <c r="Y30">
        <v>2.7657999999999999E-2</v>
      </c>
      <c r="Z30">
        <v>2.7768000000000001E-2</v>
      </c>
      <c r="AA30">
        <v>2.7890000000000002E-2</v>
      </c>
      <c r="AB30">
        <v>2.8024E-2</v>
      </c>
      <c r="AC30">
        <v>2.8167000000000001E-2</v>
      </c>
      <c r="AD30">
        <v>2.8319E-2</v>
      </c>
      <c r="AE30" t="s">
        <v>176</v>
      </c>
    </row>
    <row r="31" spans="1:31" x14ac:dyDescent="0.25">
      <c r="A31" t="s">
        <v>79</v>
      </c>
      <c r="B31" t="s">
        <v>201</v>
      </c>
      <c r="C31" t="s">
        <v>202</v>
      </c>
      <c r="D31" t="s">
        <v>70</v>
      </c>
      <c r="E31">
        <v>3.7162000000000001E-2</v>
      </c>
      <c r="F31">
        <v>3.8075999999999999E-2</v>
      </c>
      <c r="G31">
        <v>3.8359999999999998E-2</v>
      </c>
      <c r="H31">
        <v>3.8523000000000002E-2</v>
      </c>
      <c r="I31">
        <v>3.8636999999999998E-2</v>
      </c>
      <c r="J31">
        <v>3.8703000000000001E-2</v>
      </c>
      <c r="K31">
        <v>3.8719999999999997E-2</v>
      </c>
      <c r="L31">
        <v>3.8689000000000001E-2</v>
      </c>
      <c r="M31">
        <v>3.8733999999999998E-2</v>
      </c>
      <c r="N31">
        <v>3.8861E-2</v>
      </c>
      <c r="O31">
        <v>3.9071000000000002E-2</v>
      </c>
      <c r="P31">
        <v>3.9371000000000003E-2</v>
      </c>
      <c r="Q31">
        <v>3.9764000000000001E-2</v>
      </c>
      <c r="R31">
        <v>4.0261999999999999E-2</v>
      </c>
      <c r="S31">
        <v>4.0871999999999999E-2</v>
      </c>
      <c r="T31">
        <v>4.1477E-2</v>
      </c>
      <c r="U31">
        <v>4.2076000000000002E-2</v>
      </c>
      <c r="V31">
        <v>4.2673999999999997E-2</v>
      </c>
      <c r="W31">
        <v>4.3272999999999999E-2</v>
      </c>
      <c r="X31">
        <v>4.3875999999999998E-2</v>
      </c>
      <c r="Y31">
        <v>4.4488E-2</v>
      </c>
      <c r="Z31">
        <v>4.5110999999999998E-2</v>
      </c>
      <c r="AA31">
        <v>4.5740999999999997E-2</v>
      </c>
      <c r="AB31">
        <v>4.6378999999999997E-2</v>
      </c>
      <c r="AC31">
        <v>4.7023000000000002E-2</v>
      </c>
      <c r="AD31">
        <v>4.7676000000000003E-2</v>
      </c>
      <c r="AE31" t="s">
        <v>203</v>
      </c>
    </row>
    <row r="32" spans="1:31" x14ac:dyDescent="0.25">
      <c r="A32" t="s">
        <v>80</v>
      </c>
      <c r="B32" t="s">
        <v>204</v>
      </c>
      <c r="C32" t="s">
        <v>205</v>
      </c>
      <c r="D32" t="s">
        <v>70</v>
      </c>
      <c r="E32">
        <v>0.12483900000000001</v>
      </c>
      <c r="F32">
        <v>0.12217699999999999</v>
      </c>
      <c r="G32">
        <v>0.119963</v>
      </c>
      <c r="H32">
        <v>0.118088</v>
      </c>
      <c r="I32">
        <v>0.11609700000000001</v>
      </c>
      <c r="J32">
        <v>0.113806</v>
      </c>
      <c r="K32">
        <v>0.111516</v>
      </c>
      <c r="L32">
        <v>0.109399</v>
      </c>
      <c r="M32">
        <v>0.107489</v>
      </c>
      <c r="N32">
        <v>0.105735</v>
      </c>
      <c r="O32">
        <v>0.104144</v>
      </c>
      <c r="P32">
        <v>0.102719</v>
      </c>
      <c r="Q32">
        <v>0.101411</v>
      </c>
      <c r="R32">
        <v>0.100273</v>
      </c>
      <c r="S32">
        <v>9.9266999999999994E-2</v>
      </c>
      <c r="T32">
        <v>9.8397999999999999E-2</v>
      </c>
      <c r="U32">
        <v>9.7694000000000003E-2</v>
      </c>
      <c r="V32">
        <v>9.7154000000000004E-2</v>
      </c>
      <c r="W32">
        <v>9.6814999999999998E-2</v>
      </c>
      <c r="X32">
        <v>9.6643000000000007E-2</v>
      </c>
      <c r="Y32">
        <v>9.6638000000000002E-2</v>
      </c>
      <c r="Z32">
        <v>9.6758999999999998E-2</v>
      </c>
      <c r="AA32">
        <v>9.6903000000000003E-2</v>
      </c>
      <c r="AB32">
        <v>9.7108E-2</v>
      </c>
      <c r="AC32">
        <v>9.7404000000000004E-2</v>
      </c>
      <c r="AD32">
        <v>9.7757999999999998E-2</v>
      </c>
      <c r="AE32" t="s">
        <v>167</v>
      </c>
    </row>
    <row r="33" spans="1:31" x14ac:dyDescent="0.25">
      <c r="A33" t="s">
        <v>81</v>
      </c>
      <c r="B33" t="s">
        <v>206</v>
      </c>
      <c r="C33" t="s">
        <v>207</v>
      </c>
      <c r="D33" t="s">
        <v>70</v>
      </c>
      <c r="E33">
        <v>9.7012000000000001E-2</v>
      </c>
      <c r="F33">
        <v>9.5324000000000006E-2</v>
      </c>
      <c r="G33">
        <v>9.3865000000000004E-2</v>
      </c>
      <c r="H33">
        <v>9.2523999999999995E-2</v>
      </c>
      <c r="I33">
        <v>9.0934000000000001E-2</v>
      </c>
      <c r="J33">
        <v>8.8982000000000006E-2</v>
      </c>
      <c r="K33">
        <v>8.6905999999999997E-2</v>
      </c>
      <c r="L33">
        <v>8.4864999999999996E-2</v>
      </c>
      <c r="M33">
        <v>8.2885E-2</v>
      </c>
      <c r="N33">
        <v>8.0946000000000004E-2</v>
      </c>
      <c r="O33">
        <v>7.9061999999999993E-2</v>
      </c>
      <c r="P33">
        <v>7.7249999999999999E-2</v>
      </c>
      <c r="Q33">
        <v>7.5483999999999996E-2</v>
      </c>
      <c r="R33">
        <v>7.3799000000000003E-2</v>
      </c>
      <c r="S33">
        <v>7.2189000000000003E-2</v>
      </c>
      <c r="T33">
        <v>7.0666999999999994E-2</v>
      </c>
      <c r="U33">
        <v>6.9258E-2</v>
      </c>
      <c r="V33">
        <v>6.7989999999999995E-2</v>
      </c>
      <c r="W33">
        <v>6.6878999999999994E-2</v>
      </c>
      <c r="X33">
        <v>6.5919000000000005E-2</v>
      </c>
      <c r="Y33">
        <v>6.5114000000000005E-2</v>
      </c>
      <c r="Z33">
        <v>6.4455999999999999E-2</v>
      </c>
      <c r="AA33">
        <v>6.3893000000000005E-2</v>
      </c>
      <c r="AB33">
        <v>6.3459000000000002E-2</v>
      </c>
      <c r="AC33">
        <v>6.3205999999999998E-2</v>
      </c>
      <c r="AD33">
        <v>6.3081999999999999E-2</v>
      </c>
      <c r="AE33" t="s">
        <v>208</v>
      </c>
    </row>
    <row r="34" spans="1:31" x14ac:dyDescent="0.25">
      <c r="A34" t="s">
        <v>82</v>
      </c>
      <c r="B34" t="s">
        <v>209</v>
      </c>
      <c r="C34" t="s">
        <v>210</v>
      </c>
      <c r="D34" t="s">
        <v>70</v>
      </c>
      <c r="E34">
        <v>0.15743599999999999</v>
      </c>
      <c r="F34">
        <v>0.15289700000000001</v>
      </c>
      <c r="G34">
        <v>0.153778</v>
      </c>
      <c r="H34">
        <v>0.15411900000000001</v>
      </c>
      <c r="I34">
        <v>0.15401400000000001</v>
      </c>
      <c r="J34">
        <v>0.15365100000000001</v>
      </c>
      <c r="K34">
        <v>0.15307000000000001</v>
      </c>
      <c r="L34">
        <v>0.15265799999999999</v>
      </c>
      <c r="M34">
        <v>0.152172</v>
      </c>
      <c r="N34">
        <v>0.15165799999999999</v>
      </c>
      <c r="O34">
        <v>0.15102299999999999</v>
      </c>
      <c r="P34">
        <v>0.15023</v>
      </c>
      <c r="Q34">
        <v>0.14910799999999999</v>
      </c>
      <c r="R34">
        <v>0.14768600000000001</v>
      </c>
      <c r="S34">
        <v>0.14590700000000001</v>
      </c>
      <c r="T34">
        <v>0.14382800000000001</v>
      </c>
      <c r="U34">
        <v>0.14144399999999999</v>
      </c>
      <c r="V34">
        <v>0.139018</v>
      </c>
      <c r="W34">
        <v>0.13644400000000001</v>
      </c>
      <c r="X34">
        <v>0.13381899999999999</v>
      </c>
      <c r="Y34">
        <v>0.13125700000000001</v>
      </c>
      <c r="Z34">
        <v>0.12870899999999999</v>
      </c>
      <c r="AA34">
        <v>0.12613199999999999</v>
      </c>
      <c r="AB34">
        <v>0.12373099999999999</v>
      </c>
      <c r="AC34">
        <v>0.121516</v>
      </c>
      <c r="AD34">
        <v>0.11952</v>
      </c>
      <c r="AE34" t="s">
        <v>170</v>
      </c>
    </row>
    <row r="35" spans="1:31" x14ac:dyDescent="0.25">
      <c r="A35" t="s">
        <v>83</v>
      </c>
      <c r="B35" t="s">
        <v>211</v>
      </c>
      <c r="C35" t="s">
        <v>212</v>
      </c>
      <c r="D35" t="s">
        <v>70</v>
      </c>
      <c r="E35">
        <v>2.0319759999999998</v>
      </c>
      <c r="F35">
        <v>2.0497800000000002</v>
      </c>
      <c r="G35">
        <v>1.9516560000000001</v>
      </c>
      <c r="H35">
        <v>1.9885809999999999</v>
      </c>
      <c r="I35">
        <v>2.0226929999999999</v>
      </c>
      <c r="J35">
        <v>2.0521240000000001</v>
      </c>
      <c r="K35">
        <v>2.0794380000000001</v>
      </c>
      <c r="L35">
        <v>2.1075020000000002</v>
      </c>
      <c r="M35">
        <v>2.1366209999999999</v>
      </c>
      <c r="N35">
        <v>2.1690040000000002</v>
      </c>
      <c r="O35">
        <v>2.202814</v>
      </c>
      <c r="P35">
        <v>2.236977</v>
      </c>
      <c r="Q35">
        <v>2.2721589999999998</v>
      </c>
      <c r="R35">
        <v>2.308141</v>
      </c>
      <c r="S35">
        <v>2.343804</v>
      </c>
      <c r="T35">
        <v>2.3753449999999998</v>
      </c>
      <c r="U35">
        <v>2.4092920000000002</v>
      </c>
      <c r="V35">
        <v>2.4448620000000001</v>
      </c>
      <c r="W35">
        <v>2.4824570000000001</v>
      </c>
      <c r="X35">
        <v>2.52102</v>
      </c>
      <c r="Y35">
        <v>2.555663</v>
      </c>
      <c r="Z35">
        <v>2.5940460000000001</v>
      </c>
      <c r="AA35">
        <v>2.6318519999999999</v>
      </c>
      <c r="AB35">
        <v>2.6698110000000002</v>
      </c>
      <c r="AC35">
        <v>2.708942</v>
      </c>
      <c r="AD35">
        <v>2.748828</v>
      </c>
      <c r="AE35" t="s">
        <v>213</v>
      </c>
    </row>
    <row r="36" spans="1:31" x14ac:dyDescent="0.25">
      <c r="A36" t="s">
        <v>84</v>
      </c>
      <c r="B36" t="s">
        <v>214</v>
      </c>
      <c r="C36" t="s">
        <v>215</v>
      </c>
      <c r="D36" t="s">
        <v>70</v>
      </c>
      <c r="E36">
        <v>5.3316210000000002</v>
      </c>
      <c r="F36">
        <v>5.3623669999999999</v>
      </c>
      <c r="G36">
        <v>5.2717369999999999</v>
      </c>
      <c r="H36">
        <v>5.3177380000000003</v>
      </c>
      <c r="I36">
        <v>5.342727</v>
      </c>
      <c r="J36">
        <v>5.3451490000000002</v>
      </c>
      <c r="K36">
        <v>5.3415670000000004</v>
      </c>
      <c r="L36">
        <v>5.3418359999999998</v>
      </c>
      <c r="M36">
        <v>5.3472220000000004</v>
      </c>
      <c r="N36">
        <v>5.3599480000000002</v>
      </c>
      <c r="O36">
        <v>5.3780039999999998</v>
      </c>
      <c r="P36">
        <v>5.4010540000000002</v>
      </c>
      <c r="Q36">
        <v>5.4282279999999998</v>
      </c>
      <c r="R36">
        <v>5.4599229999999999</v>
      </c>
      <c r="S36">
        <v>5.4944389999999999</v>
      </c>
      <c r="T36">
        <v>5.5251489999999999</v>
      </c>
      <c r="U36">
        <v>5.5618990000000004</v>
      </c>
      <c r="V36">
        <v>5.6055650000000004</v>
      </c>
      <c r="W36">
        <v>5.6555580000000001</v>
      </c>
      <c r="X36">
        <v>5.7074850000000001</v>
      </c>
      <c r="Y36">
        <v>5.7576739999999997</v>
      </c>
      <c r="Z36">
        <v>5.8109450000000002</v>
      </c>
      <c r="AA36">
        <v>5.8628349999999996</v>
      </c>
      <c r="AB36">
        <v>5.9148230000000002</v>
      </c>
      <c r="AC36">
        <v>5.9698900000000004</v>
      </c>
      <c r="AD36">
        <v>6.0259790000000004</v>
      </c>
      <c r="AE36" t="s">
        <v>216</v>
      </c>
    </row>
    <row r="37" spans="1:31" x14ac:dyDescent="0.25">
      <c r="A37" t="s">
        <v>85</v>
      </c>
      <c r="B37" t="s">
        <v>217</v>
      </c>
      <c r="C37" t="s">
        <v>218</v>
      </c>
      <c r="D37" t="s">
        <v>70</v>
      </c>
      <c r="E37">
        <v>7.0135000000000003E-2</v>
      </c>
      <c r="F37">
        <v>9.1486999999999999E-2</v>
      </c>
      <c r="G37">
        <v>0.119301</v>
      </c>
      <c r="H37">
        <v>0.15019099999999999</v>
      </c>
      <c r="I37">
        <v>0.18050099999999999</v>
      </c>
      <c r="J37">
        <v>0.20873</v>
      </c>
      <c r="K37">
        <v>0.23311999999999999</v>
      </c>
      <c r="L37">
        <v>0.25518800000000003</v>
      </c>
      <c r="M37">
        <v>0.27699499999999999</v>
      </c>
      <c r="N37">
        <v>0.29923699999999998</v>
      </c>
      <c r="O37">
        <v>0.321766</v>
      </c>
      <c r="P37">
        <v>0.34432200000000002</v>
      </c>
      <c r="Q37">
        <v>0.36690099999999998</v>
      </c>
      <c r="R37">
        <v>0.389322</v>
      </c>
      <c r="S37">
        <v>0.41114099999999998</v>
      </c>
      <c r="T37">
        <v>0.43246899999999999</v>
      </c>
      <c r="U37">
        <v>0.45277400000000001</v>
      </c>
      <c r="V37">
        <v>0.47238799999999997</v>
      </c>
      <c r="W37">
        <v>0.49130400000000002</v>
      </c>
      <c r="X37">
        <v>0.50966900000000004</v>
      </c>
      <c r="Y37">
        <v>0.52751300000000001</v>
      </c>
      <c r="Z37">
        <v>0.54464500000000005</v>
      </c>
      <c r="AA37">
        <v>0.56095399999999995</v>
      </c>
      <c r="AB37">
        <v>0.57689299999999999</v>
      </c>
      <c r="AC37">
        <v>0.59221100000000004</v>
      </c>
      <c r="AD37">
        <v>0.60719400000000001</v>
      </c>
      <c r="AE37" t="s">
        <v>219</v>
      </c>
    </row>
    <row r="38" spans="1:31" x14ac:dyDescent="0.25">
      <c r="A38" t="s">
        <v>86</v>
      </c>
      <c r="B38" t="s">
        <v>220</v>
      </c>
      <c r="C38" t="s">
        <v>221</v>
      </c>
      <c r="D38" t="s">
        <v>70</v>
      </c>
      <c r="E38">
        <v>0.18513299999999999</v>
      </c>
      <c r="F38">
        <v>0.19618099999999999</v>
      </c>
      <c r="G38">
        <v>0.20807</v>
      </c>
      <c r="H38">
        <v>0.22029000000000001</v>
      </c>
      <c r="I38">
        <v>0.23191400000000001</v>
      </c>
      <c r="J38">
        <v>0.24404699999999999</v>
      </c>
      <c r="K38">
        <v>0.25698700000000002</v>
      </c>
      <c r="L38">
        <v>0.26999400000000001</v>
      </c>
      <c r="M38">
        <v>0.283557</v>
      </c>
      <c r="N38">
        <v>0.29791299999999998</v>
      </c>
      <c r="O38">
        <v>0.31315100000000001</v>
      </c>
      <c r="P38">
        <v>0.32913300000000001</v>
      </c>
      <c r="Q38">
        <v>0.346163</v>
      </c>
      <c r="R38">
        <v>0.36398999999999998</v>
      </c>
      <c r="S38">
        <v>0.38263399999999997</v>
      </c>
      <c r="T38">
        <v>0.401916</v>
      </c>
      <c r="U38">
        <v>0.42191800000000002</v>
      </c>
      <c r="V38">
        <v>0.44253399999999998</v>
      </c>
      <c r="W38">
        <v>0.46366400000000002</v>
      </c>
      <c r="X38">
        <v>0.48558299999999999</v>
      </c>
      <c r="Y38">
        <v>0.50805900000000004</v>
      </c>
      <c r="Z38">
        <v>0.53127999999999997</v>
      </c>
      <c r="AA38">
        <v>0.55522800000000005</v>
      </c>
      <c r="AB38">
        <v>0.58008000000000004</v>
      </c>
      <c r="AC38">
        <v>0.60541100000000003</v>
      </c>
      <c r="AD38">
        <v>0.63153300000000001</v>
      </c>
      <c r="AE38" t="s">
        <v>222</v>
      </c>
    </row>
    <row r="39" spans="1:31" x14ac:dyDescent="0.25">
      <c r="A39" t="s">
        <v>87</v>
      </c>
      <c r="B39" t="s">
        <v>223</v>
      </c>
      <c r="C39" t="s">
        <v>224</v>
      </c>
      <c r="D39" t="s">
        <v>70</v>
      </c>
      <c r="E39">
        <v>5.2166230000000002</v>
      </c>
      <c r="F39">
        <v>5.2576729999999996</v>
      </c>
      <c r="G39">
        <v>5.1829679999999998</v>
      </c>
      <c r="H39">
        <v>5.2476390000000004</v>
      </c>
      <c r="I39">
        <v>5.2913139999999999</v>
      </c>
      <c r="J39">
        <v>5.3098320000000001</v>
      </c>
      <c r="K39">
        <v>5.3177000000000003</v>
      </c>
      <c r="L39">
        <v>5.3270299999999997</v>
      </c>
      <c r="M39">
        <v>5.3406599999999997</v>
      </c>
      <c r="N39">
        <v>5.3612710000000003</v>
      </c>
      <c r="O39">
        <v>5.3866189999999996</v>
      </c>
      <c r="P39">
        <v>5.4162439999999998</v>
      </c>
      <c r="Q39">
        <v>5.4489669999999997</v>
      </c>
      <c r="R39">
        <v>5.4852550000000004</v>
      </c>
      <c r="S39">
        <v>5.5229460000000001</v>
      </c>
      <c r="T39">
        <v>5.5557020000000001</v>
      </c>
      <c r="U39">
        <v>5.5927550000000004</v>
      </c>
      <c r="V39">
        <v>5.6354199999999999</v>
      </c>
      <c r="W39">
        <v>5.683198</v>
      </c>
      <c r="X39">
        <v>5.7315699999999996</v>
      </c>
      <c r="Y39">
        <v>5.7771290000000004</v>
      </c>
      <c r="Z39">
        <v>5.8243090000000004</v>
      </c>
      <c r="AA39">
        <v>5.8685609999999997</v>
      </c>
      <c r="AB39">
        <v>5.9116369999999998</v>
      </c>
      <c r="AC39">
        <v>5.95669</v>
      </c>
      <c r="AD39">
        <v>6.0016400000000001</v>
      </c>
      <c r="AE39" t="s">
        <v>193</v>
      </c>
    </row>
    <row r="40" spans="1:31" x14ac:dyDescent="0.25">
      <c r="A40" t="s">
        <v>88</v>
      </c>
    </row>
    <row r="41" spans="1:31" x14ac:dyDescent="0.25">
      <c r="A41" t="s">
        <v>69</v>
      </c>
      <c r="B41" t="s">
        <v>225</v>
      </c>
      <c r="C41" t="s">
        <v>226</v>
      </c>
      <c r="D41" t="s">
        <v>70</v>
      </c>
      <c r="E41">
        <v>3.1180289999999999</v>
      </c>
      <c r="F41">
        <v>2.929732</v>
      </c>
      <c r="G41">
        <v>3.0470679999999999</v>
      </c>
      <c r="H41">
        <v>3.0283389999999999</v>
      </c>
      <c r="I41">
        <v>2.9919609999999999</v>
      </c>
      <c r="J41">
        <v>2.9475129999999998</v>
      </c>
      <c r="K41">
        <v>2.9003899999999998</v>
      </c>
      <c r="L41">
        <v>2.8565019999999999</v>
      </c>
      <c r="M41">
        <v>2.8131279999999999</v>
      </c>
      <c r="N41">
        <v>2.7723939999999998</v>
      </c>
      <c r="O41">
        <v>2.7328190000000001</v>
      </c>
      <c r="P41">
        <v>2.695713</v>
      </c>
      <c r="Q41">
        <v>2.6580509999999999</v>
      </c>
      <c r="R41">
        <v>2.6222400000000001</v>
      </c>
      <c r="S41">
        <v>2.5871390000000001</v>
      </c>
      <c r="T41">
        <v>2.5533130000000002</v>
      </c>
      <c r="U41">
        <v>2.5199389999999999</v>
      </c>
      <c r="V41">
        <v>2.4903379999999999</v>
      </c>
      <c r="W41">
        <v>2.4626060000000001</v>
      </c>
      <c r="X41">
        <v>2.4366439999999998</v>
      </c>
      <c r="Y41">
        <v>2.412093</v>
      </c>
      <c r="Z41">
        <v>2.3866540000000001</v>
      </c>
      <c r="AA41">
        <v>2.3599640000000002</v>
      </c>
      <c r="AB41">
        <v>2.333602</v>
      </c>
      <c r="AC41">
        <v>2.307677</v>
      </c>
      <c r="AD41">
        <v>2.2826300000000002</v>
      </c>
      <c r="AE41" t="s">
        <v>173</v>
      </c>
    </row>
    <row r="42" spans="1:31" x14ac:dyDescent="0.25">
      <c r="A42" t="s">
        <v>71</v>
      </c>
      <c r="B42" t="s">
        <v>227</v>
      </c>
      <c r="C42" t="s">
        <v>228</v>
      </c>
      <c r="D42" t="s">
        <v>70</v>
      </c>
      <c r="E42">
        <v>5.8597999999999997E-2</v>
      </c>
      <c r="F42">
        <v>6.2155000000000002E-2</v>
      </c>
      <c r="G42">
        <v>6.2590000000000007E-2</v>
      </c>
      <c r="H42">
        <v>6.2752000000000002E-2</v>
      </c>
      <c r="I42">
        <v>6.2711000000000003E-2</v>
      </c>
      <c r="J42">
        <v>6.2576000000000007E-2</v>
      </c>
      <c r="K42">
        <v>6.2453000000000002E-2</v>
      </c>
      <c r="L42">
        <v>6.2429999999999999E-2</v>
      </c>
      <c r="M42">
        <v>6.2446000000000002E-2</v>
      </c>
      <c r="N42">
        <v>6.2545000000000003E-2</v>
      </c>
      <c r="O42">
        <v>6.2667E-2</v>
      </c>
      <c r="P42">
        <v>6.2853000000000006E-2</v>
      </c>
      <c r="Q42">
        <v>6.3070000000000001E-2</v>
      </c>
      <c r="R42">
        <v>6.3308000000000003E-2</v>
      </c>
      <c r="S42">
        <v>6.3572000000000004E-2</v>
      </c>
      <c r="T42">
        <v>6.3894000000000006E-2</v>
      </c>
      <c r="U42">
        <v>6.4258999999999997E-2</v>
      </c>
      <c r="V42">
        <v>6.4725000000000005E-2</v>
      </c>
      <c r="W42">
        <v>6.5211000000000005E-2</v>
      </c>
      <c r="X42">
        <v>6.5681000000000003E-2</v>
      </c>
      <c r="Y42">
        <v>6.6161999999999999E-2</v>
      </c>
      <c r="Z42">
        <v>6.6586999999999993E-2</v>
      </c>
      <c r="AA42">
        <v>6.6992999999999997E-2</v>
      </c>
      <c r="AB42">
        <v>6.7364999999999994E-2</v>
      </c>
      <c r="AC42">
        <v>6.7759E-2</v>
      </c>
      <c r="AD42">
        <v>6.8144999999999997E-2</v>
      </c>
      <c r="AE42" t="s">
        <v>193</v>
      </c>
    </row>
    <row r="43" spans="1:31" x14ac:dyDescent="0.25">
      <c r="A43" t="s">
        <v>72</v>
      </c>
      <c r="B43" t="s">
        <v>229</v>
      </c>
      <c r="C43" t="s">
        <v>230</v>
      </c>
      <c r="D43" t="s">
        <v>70</v>
      </c>
      <c r="E43">
        <v>1.0242659999999999</v>
      </c>
      <c r="F43">
        <v>1.0351790000000001</v>
      </c>
      <c r="G43">
        <v>1.0454209999999999</v>
      </c>
      <c r="H43">
        <v>1.055186</v>
      </c>
      <c r="I43">
        <v>1.0533440000000001</v>
      </c>
      <c r="J43">
        <v>1.0497609999999999</v>
      </c>
      <c r="K43">
        <v>1.0468999999999999</v>
      </c>
      <c r="L43">
        <v>1.0451999999999999</v>
      </c>
      <c r="M43">
        <v>1.042567</v>
      </c>
      <c r="N43">
        <v>1.0419989999999999</v>
      </c>
      <c r="O43">
        <v>1.043007</v>
      </c>
      <c r="P43">
        <v>1.0435049999999999</v>
      </c>
      <c r="Q43">
        <v>1.043021</v>
      </c>
      <c r="R43">
        <v>1.0422149999999999</v>
      </c>
      <c r="S43">
        <v>1.04091</v>
      </c>
      <c r="T43">
        <v>1.0392889999999999</v>
      </c>
      <c r="U43">
        <v>1.0370159999999999</v>
      </c>
      <c r="V43">
        <v>1.0347230000000001</v>
      </c>
      <c r="W43">
        <v>1.032111</v>
      </c>
      <c r="X43">
        <v>1.029129</v>
      </c>
      <c r="Y43">
        <v>1.0254289999999999</v>
      </c>
      <c r="Z43">
        <v>1.020672</v>
      </c>
      <c r="AA43">
        <v>1.0151289999999999</v>
      </c>
      <c r="AB43">
        <v>1.0093840000000001</v>
      </c>
      <c r="AC43">
        <v>1.003914</v>
      </c>
      <c r="AD43">
        <v>0.99912999999999996</v>
      </c>
      <c r="AE43" t="s">
        <v>231</v>
      </c>
    </row>
    <row r="44" spans="1:31" x14ac:dyDescent="0.25">
      <c r="A44" t="s">
        <v>74</v>
      </c>
      <c r="B44" t="s">
        <v>232</v>
      </c>
      <c r="C44" t="s">
        <v>233</v>
      </c>
      <c r="D44" t="s">
        <v>70</v>
      </c>
      <c r="E44">
        <v>7.7268000000000003E-2</v>
      </c>
      <c r="F44">
        <v>7.7256000000000005E-2</v>
      </c>
      <c r="G44">
        <v>7.7246999999999996E-2</v>
      </c>
      <c r="H44">
        <v>7.7221999999999999E-2</v>
      </c>
      <c r="I44">
        <v>7.7195E-2</v>
      </c>
      <c r="J44">
        <v>7.7166999999999999E-2</v>
      </c>
      <c r="K44">
        <v>7.7123999999999998E-2</v>
      </c>
      <c r="L44">
        <v>7.7064999999999995E-2</v>
      </c>
      <c r="M44">
        <v>7.7006000000000005E-2</v>
      </c>
      <c r="N44">
        <v>7.6969999999999997E-2</v>
      </c>
      <c r="O44">
        <v>7.6962000000000003E-2</v>
      </c>
      <c r="P44">
        <v>7.6991000000000004E-2</v>
      </c>
      <c r="Q44">
        <v>7.7060000000000003E-2</v>
      </c>
      <c r="R44">
        <v>7.7216999999999994E-2</v>
      </c>
      <c r="S44">
        <v>7.7432000000000001E-2</v>
      </c>
      <c r="T44">
        <v>7.7712000000000003E-2</v>
      </c>
      <c r="U44">
        <v>7.8045000000000003E-2</v>
      </c>
      <c r="V44">
        <v>7.843E-2</v>
      </c>
      <c r="W44">
        <v>7.8815999999999997E-2</v>
      </c>
      <c r="X44">
        <v>7.9202999999999996E-2</v>
      </c>
      <c r="Y44">
        <v>7.9599000000000003E-2</v>
      </c>
      <c r="Z44">
        <v>8.0005999999999994E-2</v>
      </c>
      <c r="AA44">
        <v>8.0423999999999995E-2</v>
      </c>
      <c r="AB44">
        <v>8.0854999999999996E-2</v>
      </c>
      <c r="AC44">
        <v>8.1298999999999996E-2</v>
      </c>
      <c r="AD44">
        <v>8.1761E-2</v>
      </c>
      <c r="AE44" t="s">
        <v>234</v>
      </c>
    </row>
    <row r="45" spans="1:31" x14ac:dyDescent="0.25">
      <c r="A45" t="s">
        <v>75</v>
      </c>
      <c r="B45" t="s">
        <v>235</v>
      </c>
      <c r="C45" t="s">
        <v>236</v>
      </c>
      <c r="D45" t="s">
        <v>70</v>
      </c>
      <c r="E45">
        <v>3.9573999999999998E-2</v>
      </c>
      <c r="F45">
        <v>4.0284E-2</v>
      </c>
      <c r="G45">
        <v>4.0919999999999998E-2</v>
      </c>
      <c r="H45">
        <v>4.1543999999999998E-2</v>
      </c>
      <c r="I45">
        <v>4.2109000000000001E-2</v>
      </c>
      <c r="J45">
        <v>4.2643E-2</v>
      </c>
      <c r="K45">
        <v>4.3187000000000003E-2</v>
      </c>
      <c r="L45">
        <v>4.3758999999999999E-2</v>
      </c>
      <c r="M45">
        <v>4.4207999999999997E-2</v>
      </c>
      <c r="N45">
        <v>4.4700999999999998E-2</v>
      </c>
      <c r="O45">
        <v>4.5238E-2</v>
      </c>
      <c r="P45">
        <v>4.5825999999999999E-2</v>
      </c>
      <c r="Q45">
        <v>4.6396E-2</v>
      </c>
      <c r="R45">
        <v>4.6977999999999999E-2</v>
      </c>
      <c r="S45">
        <v>4.7560999999999999E-2</v>
      </c>
      <c r="T45">
        <v>4.8146000000000001E-2</v>
      </c>
      <c r="U45">
        <v>4.8724000000000003E-2</v>
      </c>
      <c r="V45">
        <v>4.9352E-2</v>
      </c>
      <c r="W45">
        <v>5.0014999999999997E-2</v>
      </c>
      <c r="X45">
        <v>5.0707000000000002E-2</v>
      </c>
      <c r="Y45">
        <v>5.1406E-2</v>
      </c>
      <c r="Z45">
        <v>5.2088000000000002E-2</v>
      </c>
      <c r="AA45">
        <v>5.2755999999999997E-2</v>
      </c>
      <c r="AB45">
        <v>5.3423999999999999E-2</v>
      </c>
      <c r="AC45">
        <v>5.4100000000000002E-2</v>
      </c>
      <c r="AD45">
        <v>5.4788999999999997E-2</v>
      </c>
      <c r="AE45" t="s">
        <v>237</v>
      </c>
    </row>
    <row r="46" spans="1:31" x14ac:dyDescent="0.25">
      <c r="A46" t="s">
        <v>83</v>
      </c>
      <c r="B46" t="s">
        <v>238</v>
      </c>
      <c r="C46" t="s">
        <v>239</v>
      </c>
      <c r="D46" t="s">
        <v>70</v>
      </c>
      <c r="E46">
        <v>0.60834600000000005</v>
      </c>
      <c r="F46">
        <v>0.61166600000000004</v>
      </c>
      <c r="G46">
        <v>0.61394599999999999</v>
      </c>
      <c r="H46">
        <v>0.61501399999999995</v>
      </c>
      <c r="I46">
        <v>0.61462000000000006</v>
      </c>
      <c r="J46">
        <v>0.61321499999999995</v>
      </c>
      <c r="K46">
        <v>0.61157499999999998</v>
      </c>
      <c r="L46">
        <v>0.61024999999999996</v>
      </c>
      <c r="M46">
        <v>0.608433</v>
      </c>
      <c r="N46">
        <v>0.60708799999999996</v>
      </c>
      <c r="O46">
        <v>0.60589999999999999</v>
      </c>
      <c r="P46">
        <v>0.60509100000000005</v>
      </c>
      <c r="Q46">
        <v>0.60413399999999995</v>
      </c>
      <c r="R46">
        <v>0.603321</v>
      </c>
      <c r="S46">
        <v>0.60255599999999998</v>
      </c>
      <c r="T46">
        <v>0.601908</v>
      </c>
      <c r="U46">
        <v>0.60136500000000004</v>
      </c>
      <c r="V46">
        <v>0.60120899999999999</v>
      </c>
      <c r="W46">
        <v>0.60129600000000005</v>
      </c>
      <c r="X46">
        <v>0.60158299999999998</v>
      </c>
      <c r="Y46">
        <v>0.60179099999999996</v>
      </c>
      <c r="Z46">
        <v>0.60165900000000005</v>
      </c>
      <c r="AA46">
        <v>0.60124999999999995</v>
      </c>
      <c r="AB46">
        <v>0.60075900000000004</v>
      </c>
      <c r="AC46">
        <v>0.60029500000000002</v>
      </c>
      <c r="AD46">
        <v>0.59991700000000003</v>
      </c>
      <c r="AE46" t="s">
        <v>231</v>
      </c>
    </row>
    <row r="47" spans="1:31" x14ac:dyDescent="0.25">
      <c r="A47" t="s">
        <v>89</v>
      </c>
      <c r="B47" t="s">
        <v>240</v>
      </c>
      <c r="C47" t="s">
        <v>241</v>
      </c>
      <c r="D47" t="s">
        <v>70</v>
      </c>
      <c r="E47">
        <v>4.9260799999999998</v>
      </c>
      <c r="F47">
        <v>4.7562720000000001</v>
      </c>
      <c r="G47">
        <v>4.8871929999999999</v>
      </c>
      <c r="H47">
        <v>4.8800569999999999</v>
      </c>
      <c r="I47">
        <v>4.8419410000000003</v>
      </c>
      <c r="J47">
        <v>4.7928750000000004</v>
      </c>
      <c r="K47">
        <v>4.7416289999999996</v>
      </c>
      <c r="L47">
        <v>4.6952059999999998</v>
      </c>
      <c r="M47">
        <v>4.6477890000000004</v>
      </c>
      <c r="N47">
        <v>4.6056990000000004</v>
      </c>
      <c r="O47">
        <v>4.5665930000000001</v>
      </c>
      <c r="P47">
        <v>4.529979</v>
      </c>
      <c r="Q47">
        <v>4.4917319999999998</v>
      </c>
      <c r="R47">
        <v>4.4552800000000001</v>
      </c>
      <c r="S47">
        <v>4.4191710000000004</v>
      </c>
      <c r="T47">
        <v>4.3842610000000004</v>
      </c>
      <c r="U47">
        <v>4.349348</v>
      </c>
      <c r="V47">
        <v>4.318778</v>
      </c>
      <c r="W47">
        <v>4.2900549999999997</v>
      </c>
      <c r="X47">
        <v>4.2629460000000003</v>
      </c>
      <c r="Y47">
        <v>4.2364800000000002</v>
      </c>
      <c r="Z47">
        <v>4.2076669999999998</v>
      </c>
      <c r="AA47">
        <v>4.1765169999999996</v>
      </c>
      <c r="AB47">
        <v>4.1453889999999998</v>
      </c>
      <c r="AC47">
        <v>4.1150450000000003</v>
      </c>
      <c r="AD47">
        <v>4.0863719999999999</v>
      </c>
      <c r="AE47" t="s">
        <v>242</v>
      </c>
    </row>
    <row r="48" spans="1:31" x14ac:dyDescent="0.25">
      <c r="A48" t="s">
        <v>90</v>
      </c>
    </row>
    <row r="49" spans="1:31" x14ac:dyDescent="0.25">
      <c r="A49" t="s">
        <v>69</v>
      </c>
      <c r="B49" t="s">
        <v>243</v>
      </c>
      <c r="C49" t="s">
        <v>244</v>
      </c>
      <c r="D49" t="s">
        <v>70</v>
      </c>
      <c r="E49">
        <v>0.42536800000000002</v>
      </c>
      <c r="F49">
        <v>0.409161</v>
      </c>
      <c r="G49">
        <v>0.40481800000000001</v>
      </c>
      <c r="H49">
        <v>0.39842899999999998</v>
      </c>
      <c r="I49">
        <v>0.391596</v>
      </c>
      <c r="J49">
        <v>0.38541799999999998</v>
      </c>
      <c r="K49">
        <v>0.37913999999999998</v>
      </c>
      <c r="L49">
        <v>0.37317800000000001</v>
      </c>
      <c r="M49">
        <v>0.36729000000000001</v>
      </c>
      <c r="N49">
        <v>0.361877</v>
      </c>
      <c r="O49">
        <v>0.35654799999999998</v>
      </c>
      <c r="P49">
        <v>0.35143600000000003</v>
      </c>
      <c r="Q49">
        <v>0.34647800000000001</v>
      </c>
      <c r="R49">
        <v>0.34170600000000001</v>
      </c>
      <c r="S49">
        <v>0.33711099999999999</v>
      </c>
      <c r="T49">
        <v>0.33257599999999998</v>
      </c>
      <c r="U49">
        <v>0.32808100000000001</v>
      </c>
      <c r="V49">
        <v>0.32377800000000001</v>
      </c>
      <c r="W49">
        <v>0.31953399999999998</v>
      </c>
      <c r="X49">
        <v>0.31542700000000001</v>
      </c>
      <c r="Y49">
        <v>0.31137100000000001</v>
      </c>
      <c r="Z49">
        <v>0.30740200000000001</v>
      </c>
      <c r="AA49">
        <v>0.30341800000000002</v>
      </c>
      <c r="AB49">
        <v>0.29945899999999998</v>
      </c>
      <c r="AC49">
        <v>0.29552299999999998</v>
      </c>
      <c r="AD49">
        <v>0.29172900000000002</v>
      </c>
      <c r="AE49" t="s">
        <v>245</v>
      </c>
    </row>
    <row r="50" spans="1:31" x14ac:dyDescent="0.25">
      <c r="A50" t="s">
        <v>72</v>
      </c>
      <c r="B50" t="s">
        <v>246</v>
      </c>
      <c r="C50" t="s">
        <v>247</v>
      </c>
      <c r="D50" t="s">
        <v>70</v>
      </c>
      <c r="E50">
        <v>3.7857000000000002E-2</v>
      </c>
      <c r="F50">
        <v>3.5874999999999997E-2</v>
      </c>
      <c r="G50">
        <v>3.3765000000000003E-2</v>
      </c>
      <c r="H50">
        <v>3.1759999999999997E-2</v>
      </c>
      <c r="I50">
        <v>2.9822000000000001E-2</v>
      </c>
      <c r="J50">
        <v>2.8183E-2</v>
      </c>
      <c r="K50">
        <v>2.6771E-2</v>
      </c>
      <c r="L50">
        <v>2.5623E-2</v>
      </c>
      <c r="M50">
        <v>2.4712000000000001E-2</v>
      </c>
      <c r="N50">
        <v>2.4074999999999999E-2</v>
      </c>
      <c r="O50">
        <v>2.3675999999999999E-2</v>
      </c>
      <c r="P50">
        <v>2.3234000000000001E-2</v>
      </c>
      <c r="Q50">
        <v>2.2778E-2</v>
      </c>
      <c r="R50">
        <v>2.2308999999999999E-2</v>
      </c>
      <c r="S50">
        <v>2.1833999999999999E-2</v>
      </c>
      <c r="T50">
        <v>2.1354000000000001E-2</v>
      </c>
      <c r="U50">
        <v>2.0861999999999999E-2</v>
      </c>
      <c r="V50">
        <v>2.0367E-2</v>
      </c>
      <c r="W50">
        <v>1.9869999999999999E-2</v>
      </c>
      <c r="X50">
        <v>1.9372E-2</v>
      </c>
      <c r="Y50">
        <v>1.8870000000000001E-2</v>
      </c>
      <c r="Z50">
        <v>1.8371999999999999E-2</v>
      </c>
      <c r="AA50">
        <v>1.7881000000000001E-2</v>
      </c>
      <c r="AB50">
        <v>1.7401E-2</v>
      </c>
      <c r="AC50">
        <v>1.694E-2</v>
      </c>
      <c r="AD50">
        <v>1.6508999999999999E-2</v>
      </c>
      <c r="AE50" t="s">
        <v>248</v>
      </c>
    </row>
    <row r="51" spans="1:31" x14ac:dyDescent="0.25">
      <c r="A51" t="s">
        <v>83</v>
      </c>
      <c r="B51" t="s">
        <v>249</v>
      </c>
      <c r="C51" t="s">
        <v>250</v>
      </c>
      <c r="D51" t="s">
        <v>70</v>
      </c>
      <c r="E51">
        <v>2.6054999999999998E-2</v>
      </c>
      <c r="F51">
        <v>2.6324E-2</v>
      </c>
      <c r="G51">
        <v>2.6369E-2</v>
      </c>
      <c r="H51">
        <v>2.631E-2</v>
      </c>
      <c r="I51">
        <v>2.6206E-2</v>
      </c>
      <c r="J51">
        <v>2.6145000000000002E-2</v>
      </c>
      <c r="K51">
        <v>2.6071E-2</v>
      </c>
      <c r="L51">
        <v>2.6009999999999998E-2</v>
      </c>
      <c r="M51">
        <v>2.5943000000000001E-2</v>
      </c>
      <c r="N51">
        <v>2.5898999999999998E-2</v>
      </c>
      <c r="O51">
        <v>2.5849E-2</v>
      </c>
      <c r="P51">
        <v>2.5803E-2</v>
      </c>
      <c r="Q51">
        <v>2.5762E-2</v>
      </c>
      <c r="R51">
        <v>2.5724E-2</v>
      </c>
      <c r="S51">
        <v>2.5690000000000001E-2</v>
      </c>
      <c r="T51">
        <v>2.5656999999999999E-2</v>
      </c>
      <c r="U51">
        <v>2.5617999999999998E-2</v>
      </c>
      <c r="V51">
        <v>2.5583000000000002E-2</v>
      </c>
      <c r="W51">
        <v>2.5548999999999999E-2</v>
      </c>
      <c r="X51">
        <v>2.5516E-2</v>
      </c>
      <c r="Y51">
        <v>2.5477E-2</v>
      </c>
      <c r="Z51">
        <v>2.5437999999999999E-2</v>
      </c>
      <c r="AA51">
        <v>2.5395999999999998E-2</v>
      </c>
      <c r="AB51">
        <v>2.5350999999999999E-2</v>
      </c>
      <c r="AC51">
        <v>2.5305999999999999E-2</v>
      </c>
      <c r="AD51">
        <v>2.5270999999999998E-2</v>
      </c>
      <c r="AE51" t="s">
        <v>231</v>
      </c>
    </row>
    <row r="52" spans="1:31" x14ac:dyDescent="0.25">
      <c r="A52" t="s">
        <v>89</v>
      </c>
      <c r="B52" t="s">
        <v>251</v>
      </c>
      <c r="C52" t="s">
        <v>252</v>
      </c>
      <c r="D52" t="s">
        <v>70</v>
      </c>
      <c r="E52">
        <v>0.48927999999999999</v>
      </c>
      <c r="F52">
        <v>0.47136</v>
      </c>
      <c r="G52">
        <v>0.46495199999999998</v>
      </c>
      <c r="H52">
        <v>0.45650000000000002</v>
      </c>
      <c r="I52">
        <v>0.44762400000000002</v>
      </c>
      <c r="J52">
        <v>0.43974600000000003</v>
      </c>
      <c r="K52">
        <v>0.43198300000000001</v>
      </c>
      <c r="L52">
        <v>0.42481200000000002</v>
      </c>
      <c r="M52">
        <v>0.41794500000000001</v>
      </c>
      <c r="N52">
        <v>0.41185100000000002</v>
      </c>
      <c r="O52">
        <v>0.40607300000000002</v>
      </c>
      <c r="P52">
        <v>0.40047300000000002</v>
      </c>
      <c r="Q52">
        <v>0.39501900000000001</v>
      </c>
      <c r="R52">
        <v>0.38974199999999998</v>
      </c>
      <c r="S52">
        <v>0.38463999999999998</v>
      </c>
      <c r="T52">
        <v>0.37959500000000002</v>
      </c>
      <c r="U52">
        <v>0.37457200000000002</v>
      </c>
      <c r="V52">
        <v>0.36974099999999999</v>
      </c>
      <c r="W52">
        <v>0.36496899999999999</v>
      </c>
      <c r="X52">
        <v>0.36033500000000002</v>
      </c>
      <c r="Y52">
        <v>0.35574</v>
      </c>
      <c r="Z52">
        <v>0.35123799999999999</v>
      </c>
      <c r="AA52">
        <v>0.34672399999999998</v>
      </c>
      <c r="AB52">
        <v>0.34224399999999999</v>
      </c>
      <c r="AC52">
        <v>0.33780500000000002</v>
      </c>
      <c r="AD52">
        <v>0.33354699999999998</v>
      </c>
      <c r="AE52" t="s">
        <v>245</v>
      </c>
    </row>
    <row r="53" spans="1:31" x14ac:dyDescent="0.25">
      <c r="A53" t="s">
        <v>91</v>
      </c>
    </row>
    <row r="54" spans="1:31" x14ac:dyDescent="0.25">
      <c r="A54" t="s">
        <v>69</v>
      </c>
      <c r="B54" t="s">
        <v>253</v>
      </c>
      <c r="C54" t="s">
        <v>254</v>
      </c>
      <c r="D54" t="s">
        <v>70</v>
      </c>
      <c r="E54">
        <v>0.377521</v>
      </c>
      <c r="F54">
        <v>0.36312299999999997</v>
      </c>
      <c r="G54">
        <v>0.34120200000000001</v>
      </c>
      <c r="H54">
        <v>0.33858100000000002</v>
      </c>
      <c r="I54">
        <v>0.33409800000000001</v>
      </c>
      <c r="J54">
        <v>0.32856999999999997</v>
      </c>
      <c r="K54">
        <v>0.32222099999999998</v>
      </c>
      <c r="L54">
        <v>0.31594800000000001</v>
      </c>
      <c r="M54">
        <v>0.30998100000000001</v>
      </c>
      <c r="N54">
        <v>0.30452200000000001</v>
      </c>
      <c r="O54">
        <v>0.29947699999999999</v>
      </c>
      <c r="P54">
        <v>0.294769</v>
      </c>
      <c r="Q54">
        <v>0.29023399999999999</v>
      </c>
      <c r="R54">
        <v>0.28586400000000001</v>
      </c>
      <c r="S54">
        <v>0.281613</v>
      </c>
      <c r="T54">
        <v>0.27760299999999999</v>
      </c>
      <c r="U54">
        <v>0.27384799999999998</v>
      </c>
      <c r="V54">
        <v>0.27051999999999998</v>
      </c>
      <c r="W54">
        <v>0.26754699999999998</v>
      </c>
      <c r="X54">
        <v>0.26485799999999998</v>
      </c>
      <c r="Y54">
        <v>0.26235700000000001</v>
      </c>
      <c r="Z54">
        <v>0.25988</v>
      </c>
      <c r="AA54">
        <v>0.25727</v>
      </c>
      <c r="AB54">
        <v>0.25462000000000001</v>
      </c>
      <c r="AC54">
        <v>0.251971</v>
      </c>
      <c r="AD54">
        <v>0.24937899999999999</v>
      </c>
      <c r="AE54" t="s">
        <v>255</v>
      </c>
    </row>
    <row r="55" spans="1:31" x14ac:dyDescent="0.25">
      <c r="A55" t="s">
        <v>72</v>
      </c>
      <c r="B55" t="s">
        <v>256</v>
      </c>
      <c r="C55" t="s">
        <v>257</v>
      </c>
      <c r="D55" t="s">
        <v>70</v>
      </c>
      <c r="E55">
        <v>5.8525000000000001E-2</v>
      </c>
      <c r="F55">
        <v>5.9045E-2</v>
      </c>
      <c r="G55">
        <v>5.9788000000000001E-2</v>
      </c>
      <c r="H55">
        <v>6.0389999999999999E-2</v>
      </c>
      <c r="I55">
        <v>5.9603000000000003E-2</v>
      </c>
      <c r="J55">
        <v>5.8604000000000003E-2</v>
      </c>
      <c r="K55">
        <v>5.7556999999999997E-2</v>
      </c>
      <c r="L55">
        <v>5.6584000000000002E-2</v>
      </c>
      <c r="M55">
        <v>5.5702000000000002E-2</v>
      </c>
      <c r="N55">
        <v>5.5021E-2</v>
      </c>
      <c r="O55">
        <v>5.4533999999999999E-2</v>
      </c>
      <c r="P55">
        <v>5.3959E-2</v>
      </c>
      <c r="Q55">
        <v>5.3307E-2</v>
      </c>
      <c r="R55">
        <v>5.2581999999999997E-2</v>
      </c>
      <c r="S55">
        <v>5.1789000000000002E-2</v>
      </c>
      <c r="T55">
        <v>5.0962E-2</v>
      </c>
      <c r="U55">
        <v>5.0118000000000003E-2</v>
      </c>
      <c r="V55">
        <v>4.9286000000000003E-2</v>
      </c>
      <c r="W55">
        <v>4.8475999999999998E-2</v>
      </c>
      <c r="X55">
        <v>4.7683999999999997E-2</v>
      </c>
      <c r="Y55">
        <v>4.6887999999999999E-2</v>
      </c>
      <c r="Z55">
        <v>4.607E-2</v>
      </c>
      <c r="AA55">
        <v>4.5235999999999998E-2</v>
      </c>
      <c r="AB55">
        <v>4.4408999999999997E-2</v>
      </c>
      <c r="AC55">
        <v>4.3616000000000002E-2</v>
      </c>
      <c r="AD55">
        <v>4.2877999999999999E-2</v>
      </c>
      <c r="AE55" t="s">
        <v>173</v>
      </c>
    </row>
    <row r="56" spans="1:31" x14ac:dyDescent="0.25">
      <c r="A56" t="s">
        <v>74</v>
      </c>
      <c r="B56" t="s">
        <v>258</v>
      </c>
      <c r="C56" t="s">
        <v>259</v>
      </c>
      <c r="D56" t="s">
        <v>70</v>
      </c>
      <c r="E56">
        <v>1.0416999999999999E-2</v>
      </c>
      <c r="F56">
        <v>1.0383E-2</v>
      </c>
      <c r="G56">
        <v>1.0352999999999999E-2</v>
      </c>
      <c r="H56">
        <v>1.0321E-2</v>
      </c>
      <c r="I56">
        <v>1.0288E-2</v>
      </c>
      <c r="J56">
        <v>1.0251E-2</v>
      </c>
      <c r="K56">
        <v>1.0208999999999999E-2</v>
      </c>
      <c r="L56">
        <v>1.0161E-2</v>
      </c>
      <c r="M56">
        <v>1.0109999999999999E-2</v>
      </c>
      <c r="N56">
        <v>1.0055E-2</v>
      </c>
      <c r="O56">
        <v>9.9959999999999997E-3</v>
      </c>
      <c r="P56">
        <v>9.9330000000000009E-3</v>
      </c>
      <c r="Q56">
        <v>9.8650000000000005E-3</v>
      </c>
      <c r="R56">
        <v>9.8130000000000005E-3</v>
      </c>
      <c r="S56">
        <v>9.7769999999999992E-3</v>
      </c>
      <c r="T56">
        <v>9.7590000000000003E-3</v>
      </c>
      <c r="U56">
        <v>9.7590000000000003E-3</v>
      </c>
      <c r="V56">
        <v>9.7800000000000005E-3</v>
      </c>
      <c r="W56">
        <v>9.7990000000000004E-3</v>
      </c>
      <c r="X56">
        <v>9.8150000000000008E-3</v>
      </c>
      <c r="Y56">
        <v>9.8300000000000002E-3</v>
      </c>
      <c r="Z56">
        <v>9.8440000000000003E-3</v>
      </c>
      <c r="AA56">
        <v>9.8569999999999994E-3</v>
      </c>
      <c r="AB56">
        <v>9.868E-3</v>
      </c>
      <c r="AC56">
        <v>9.8770000000000004E-3</v>
      </c>
      <c r="AD56">
        <v>9.8860000000000007E-3</v>
      </c>
      <c r="AE56" t="s">
        <v>260</v>
      </c>
    </row>
    <row r="57" spans="1:31" x14ac:dyDescent="0.25">
      <c r="A57" t="s">
        <v>83</v>
      </c>
      <c r="B57" t="s">
        <v>261</v>
      </c>
      <c r="C57" t="s">
        <v>262</v>
      </c>
      <c r="D57" t="s">
        <v>70</v>
      </c>
      <c r="E57">
        <v>7.8036999999999995E-2</v>
      </c>
      <c r="F57">
        <v>8.1169000000000005E-2</v>
      </c>
      <c r="G57">
        <v>8.4196999999999994E-2</v>
      </c>
      <c r="H57">
        <v>8.6918999999999996E-2</v>
      </c>
      <c r="I57">
        <v>8.9321999999999999E-2</v>
      </c>
      <c r="J57">
        <v>9.1503000000000001E-2</v>
      </c>
      <c r="K57">
        <v>9.35E-2</v>
      </c>
      <c r="L57">
        <v>9.5471E-2</v>
      </c>
      <c r="M57">
        <v>9.7409999999999997E-2</v>
      </c>
      <c r="N57">
        <v>9.9464999999999998E-2</v>
      </c>
      <c r="O57">
        <v>0.101614</v>
      </c>
      <c r="P57">
        <v>0.103822</v>
      </c>
      <c r="Q57">
        <v>0.10602399999999999</v>
      </c>
      <c r="R57">
        <v>0.10821600000000001</v>
      </c>
      <c r="S57">
        <v>0.110387</v>
      </c>
      <c r="T57">
        <v>0.11257499999999999</v>
      </c>
      <c r="U57">
        <v>0.114814</v>
      </c>
      <c r="V57">
        <v>0.11715200000000001</v>
      </c>
      <c r="W57">
        <v>0.11959400000000001</v>
      </c>
      <c r="X57">
        <v>0.12212099999999999</v>
      </c>
      <c r="Y57">
        <v>0.12467</v>
      </c>
      <c r="Z57">
        <v>0.12718199999999999</v>
      </c>
      <c r="AA57">
        <v>0.12964800000000001</v>
      </c>
      <c r="AB57">
        <v>0.13209399999999999</v>
      </c>
      <c r="AC57">
        <v>0.13455500000000001</v>
      </c>
      <c r="AD57">
        <v>0.137049</v>
      </c>
      <c r="AE57" t="s">
        <v>263</v>
      </c>
    </row>
    <row r="58" spans="1:31" x14ac:dyDescent="0.25">
      <c r="A58" t="s">
        <v>89</v>
      </c>
      <c r="B58" t="s">
        <v>264</v>
      </c>
      <c r="C58" t="s">
        <v>265</v>
      </c>
      <c r="D58" t="s">
        <v>70</v>
      </c>
      <c r="E58">
        <v>0.52449999999999997</v>
      </c>
      <c r="F58">
        <v>0.51371999999999995</v>
      </c>
      <c r="G58">
        <v>0.49554100000000001</v>
      </c>
      <c r="H58">
        <v>0.49621100000000001</v>
      </c>
      <c r="I58">
        <v>0.493311</v>
      </c>
      <c r="J58">
        <v>0.48892799999999997</v>
      </c>
      <c r="K58">
        <v>0.48348600000000003</v>
      </c>
      <c r="L58">
        <v>0.478163</v>
      </c>
      <c r="M58">
        <v>0.47320299999999998</v>
      </c>
      <c r="N58">
        <v>0.46906199999999998</v>
      </c>
      <c r="O58">
        <v>0.46562100000000001</v>
      </c>
      <c r="P58">
        <v>0.46248299999999998</v>
      </c>
      <c r="Q58">
        <v>0.45942899999999998</v>
      </c>
      <c r="R58">
        <v>0.45647500000000002</v>
      </c>
      <c r="S58">
        <v>0.45356600000000002</v>
      </c>
      <c r="T58">
        <v>0.45089800000000002</v>
      </c>
      <c r="U58">
        <v>0.44853900000000002</v>
      </c>
      <c r="V58">
        <v>0.44673800000000002</v>
      </c>
      <c r="W58">
        <v>0.44541599999999998</v>
      </c>
      <c r="X58">
        <v>0.44447900000000001</v>
      </c>
      <c r="Y58">
        <v>0.44374599999999997</v>
      </c>
      <c r="Z58">
        <v>0.44297599999999998</v>
      </c>
      <c r="AA58">
        <v>0.44201200000000002</v>
      </c>
      <c r="AB58">
        <v>0.44099100000000002</v>
      </c>
      <c r="AC58">
        <v>0.44002000000000002</v>
      </c>
      <c r="AD58">
        <v>0.439191</v>
      </c>
      <c r="AE58" t="s">
        <v>242</v>
      </c>
    </row>
    <row r="59" spans="1:31" x14ac:dyDescent="0.25">
      <c r="A59" t="s">
        <v>92</v>
      </c>
      <c r="B59" t="s">
        <v>266</v>
      </c>
      <c r="C59" t="s">
        <v>267</v>
      </c>
      <c r="D59" t="s">
        <v>70</v>
      </c>
      <c r="E59">
        <v>0.37138700000000002</v>
      </c>
      <c r="F59">
        <v>0.34290100000000001</v>
      </c>
      <c r="G59">
        <v>0.33499000000000001</v>
      </c>
      <c r="H59">
        <v>0.33120500000000003</v>
      </c>
      <c r="I59">
        <v>0.32895400000000002</v>
      </c>
      <c r="J59">
        <v>0.323627</v>
      </c>
      <c r="K59">
        <v>0.31936900000000001</v>
      </c>
      <c r="L59">
        <v>0.31564300000000001</v>
      </c>
      <c r="M59">
        <v>0.31281199999999998</v>
      </c>
      <c r="N59">
        <v>0.30912600000000001</v>
      </c>
      <c r="O59">
        <v>0.30582900000000002</v>
      </c>
      <c r="P59">
        <v>0.302008</v>
      </c>
      <c r="Q59">
        <v>0.29809400000000003</v>
      </c>
      <c r="R59">
        <v>0.29419899999999999</v>
      </c>
      <c r="S59">
        <v>0.28995399999999999</v>
      </c>
      <c r="T59">
        <v>0.28553800000000001</v>
      </c>
      <c r="U59">
        <v>0.28127000000000002</v>
      </c>
      <c r="V59">
        <v>0.27737800000000001</v>
      </c>
      <c r="W59">
        <v>0.27363100000000001</v>
      </c>
      <c r="X59">
        <v>0.27007799999999998</v>
      </c>
      <c r="Y59">
        <v>0.26697399999999999</v>
      </c>
      <c r="Z59">
        <v>0.26397799999999999</v>
      </c>
      <c r="AA59">
        <v>0.26129000000000002</v>
      </c>
      <c r="AB59">
        <v>0.258824</v>
      </c>
      <c r="AC59">
        <v>0.25657600000000003</v>
      </c>
      <c r="AD59">
        <v>0.254137</v>
      </c>
      <c r="AE59" t="s">
        <v>245</v>
      </c>
    </row>
    <row r="60" spans="1:31" x14ac:dyDescent="0.25">
      <c r="A60" t="s">
        <v>93</v>
      </c>
    </row>
    <row r="61" spans="1:31" x14ac:dyDescent="0.25">
      <c r="A61" t="s">
        <v>69</v>
      </c>
      <c r="B61" t="s">
        <v>268</v>
      </c>
      <c r="C61" t="s">
        <v>269</v>
      </c>
      <c r="D61" t="s">
        <v>70</v>
      </c>
      <c r="E61">
        <v>4.8872920000000004</v>
      </c>
      <c r="F61">
        <v>4.6105080000000003</v>
      </c>
      <c r="G61">
        <v>4.694248</v>
      </c>
      <c r="H61">
        <v>4.6635039999999996</v>
      </c>
      <c r="I61">
        <v>4.612425</v>
      </c>
      <c r="J61">
        <v>4.5474030000000001</v>
      </c>
      <c r="K61">
        <v>4.4787610000000004</v>
      </c>
      <c r="L61">
        <v>4.4142900000000003</v>
      </c>
      <c r="M61">
        <v>4.3518759999999999</v>
      </c>
      <c r="N61">
        <v>4.2920199999999999</v>
      </c>
      <c r="O61">
        <v>4.234299</v>
      </c>
      <c r="P61">
        <v>4.1793089999999999</v>
      </c>
      <c r="Q61">
        <v>4.1237060000000003</v>
      </c>
      <c r="R61">
        <v>4.0705359999999997</v>
      </c>
      <c r="S61">
        <v>4.0178630000000002</v>
      </c>
      <c r="T61">
        <v>3.9665460000000001</v>
      </c>
      <c r="U61">
        <v>3.9159199999999998</v>
      </c>
      <c r="V61">
        <v>3.8705210000000001</v>
      </c>
      <c r="W61">
        <v>3.8277060000000001</v>
      </c>
      <c r="X61">
        <v>3.7870339999999998</v>
      </c>
      <c r="Y61">
        <v>3.7487539999999999</v>
      </c>
      <c r="Z61">
        <v>3.7094520000000002</v>
      </c>
      <c r="AA61">
        <v>3.6686019999999999</v>
      </c>
      <c r="AB61">
        <v>3.628336</v>
      </c>
      <c r="AC61">
        <v>3.5889410000000002</v>
      </c>
      <c r="AD61">
        <v>3.5503339999999999</v>
      </c>
      <c r="AE61" t="s">
        <v>270</v>
      </c>
    </row>
    <row r="62" spans="1:31" x14ac:dyDescent="0.25">
      <c r="A62" t="s">
        <v>71</v>
      </c>
      <c r="B62" t="s">
        <v>271</v>
      </c>
      <c r="C62" t="s">
        <v>272</v>
      </c>
      <c r="D62" t="s">
        <v>70</v>
      </c>
      <c r="E62">
        <v>0.98317299999999996</v>
      </c>
      <c r="F62">
        <v>1.046041</v>
      </c>
      <c r="G62">
        <v>1.0603720000000001</v>
      </c>
      <c r="H62">
        <v>1.074317</v>
      </c>
      <c r="I62">
        <v>1.0854569999999999</v>
      </c>
      <c r="J62">
        <v>1.09257</v>
      </c>
      <c r="K62">
        <v>1.0990489999999999</v>
      </c>
      <c r="L62">
        <v>1.1065609999999999</v>
      </c>
      <c r="M62">
        <v>1.1148359999999999</v>
      </c>
      <c r="N62">
        <v>1.1245339999999999</v>
      </c>
      <c r="O62">
        <v>1.1352390000000001</v>
      </c>
      <c r="P62">
        <v>1.1472549999999999</v>
      </c>
      <c r="Q62">
        <v>1.1600699999999999</v>
      </c>
      <c r="R62">
        <v>1.1734279999999999</v>
      </c>
      <c r="S62">
        <v>1.1871670000000001</v>
      </c>
      <c r="T62">
        <v>1.2018500000000001</v>
      </c>
      <c r="U62">
        <v>1.217398</v>
      </c>
      <c r="V62">
        <v>1.23489</v>
      </c>
      <c r="W62">
        <v>1.2534860000000001</v>
      </c>
      <c r="X62">
        <v>1.272133</v>
      </c>
      <c r="Y62">
        <v>1.291439</v>
      </c>
      <c r="Z62">
        <v>1.309698</v>
      </c>
      <c r="AA62">
        <v>1.327261</v>
      </c>
      <c r="AB62">
        <v>1.344268</v>
      </c>
      <c r="AC62">
        <v>1.3620159999999999</v>
      </c>
      <c r="AD62">
        <v>1.3795249999999999</v>
      </c>
      <c r="AE62" t="s">
        <v>182</v>
      </c>
    </row>
    <row r="63" spans="1:31" x14ac:dyDescent="0.25">
      <c r="A63" t="s">
        <v>72</v>
      </c>
      <c r="B63" t="s">
        <v>273</v>
      </c>
      <c r="C63" t="s">
        <v>274</v>
      </c>
      <c r="D63" t="s">
        <v>70</v>
      </c>
      <c r="E63">
        <v>1.573177</v>
      </c>
      <c r="F63">
        <v>1.5749280000000001</v>
      </c>
      <c r="G63">
        <v>1.5782149999999999</v>
      </c>
      <c r="H63">
        <v>1.5820050000000001</v>
      </c>
      <c r="I63">
        <v>1.5607</v>
      </c>
      <c r="J63">
        <v>1.533361</v>
      </c>
      <c r="K63">
        <v>1.5057780000000001</v>
      </c>
      <c r="L63">
        <v>1.4812959999999999</v>
      </c>
      <c r="M63">
        <v>1.4578420000000001</v>
      </c>
      <c r="N63">
        <v>1.438645</v>
      </c>
      <c r="O63">
        <v>1.423103</v>
      </c>
      <c r="P63">
        <v>1.4087639999999999</v>
      </c>
      <c r="Q63">
        <v>1.395114</v>
      </c>
      <c r="R63">
        <v>1.382833</v>
      </c>
      <c r="S63">
        <v>1.3717010000000001</v>
      </c>
      <c r="T63">
        <v>1.3619399999999999</v>
      </c>
      <c r="U63">
        <v>1.3531759999999999</v>
      </c>
      <c r="V63">
        <v>1.3462069999999999</v>
      </c>
      <c r="W63">
        <v>1.340719</v>
      </c>
      <c r="X63">
        <v>1.3348089999999999</v>
      </c>
      <c r="Y63">
        <v>1.328171</v>
      </c>
      <c r="Z63">
        <v>1.3203560000000001</v>
      </c>
      <c r="AA63">
        <v>1.311653</v>
      </c>
      <c r="AB63">
        <v>1.302775</v>
      </c>
      <c r="AC63">
        <v>1.2944519999999999</v>
      </c>
      <c r="AD63">
        <v>1.2870760000000001</v>
      </c>
      <c r="AE63" t="s">
        <v>275</v>
      </c>
    </row>
    <row r="64" spans="1:31" x14ac:dyDescent="0.25">
      <c r="A64" t="s">
        <v>73</v>
      </c>
      <c r="B64" t="s">
        <v>276</v>
      </c>
      <c r="C64" t="s">
        <v>277</v>
      </c>
      <c r="D64" t="s">
        <v>70</v>
      </c>
      <c r="E64">
        <v>0.34956300000000001</v>
      </c>
      <c r="F64">
        <v>0.34852699999999998</v>
      </c>
      <c r="G64">
        <v>0.34743299999999999</v>
      </c>
      <c r="H64">
        <v>0.34620899999999999</v>
      </c>
      <c r="I64">
        <v>0.34525899999999998</v>
      </c>
      <c r="J64">
        <v>0.34202399999999999</v>
      </c>
      <c r="K64">
        <v>0.33903</v>
      </c>
      <c r="L64">
        <v>0.33630399999999999</v>
      </c>
      <c r="M64">
        <v>0.33379900000000001</v>
      </c>
      <c r="N64">
        <v>0.33146799999999998</v>
      </c>
      <c r="O64">
        <v>0.32936599999999999</v>
      </c>
      <c r="P64">
        <v>0.32765300000000003</v>
      </c>
      <c r="Q64">
        <v>0.32634299999999999</v>
      </c>
      <c r="R64">
        <v>0.325461</v>
      </c>
      <c r="S64">
        <v>0.32499</v>
      </c>
      <c r="T64">
        <v>0.324938</v>
      </c>
      <c r="U64">
        <v>0.32529400000000003</v>
      </c>
      <c r="V64">
        <v>0.32607199999999997</v>
      </c>
      <c r="W64">
        <v>0.32728099999999999</v>
      </c>
      <c r="X64">
        <v>0.32891300000000001</v>
      </c>
      <c r="Y64">
        <v>0.33105000000000001</v>
      </c>
      <c r="Z64">
        <v>0.33371400000000001</v>
      </c>
      <c r="AA64">
        <v>0.33686500000000003</v>
      </c>
      <c r="AB64">
        <v>0.34000599999999997</v>
      </c>
      <c r="AC64">
        <v>0.34312900000000002</v>
      </c>
      <c r="AD64">
        <v>0.34622900000000001</v>
      </c>
      <c r="AE64" t="s">
        <v>188</v>
      </c>
    </row>
    <row r="65" spans="1:31" x14ac:dyDescent="0.25">
      <c r="A65" t="s">
        <v>74</v>
      </c>
      <c r="B65" t="s">
        <v>278</v>
      </c>
      <c r="C65" t="s">
        <v>279</v>
      </c>
      <c r="D65" t="s">
        <v>70</v>
      </c>
      <c r="E65">
        <v>0.15604699999999999</v>
      </c>
      <c r="F65">
        <v>0.15687999999999999</v>
      </c>
      <c r="G65">
        <v>0.157749</v>
      </c>
      <c r="H65">
        <v>0.15859599999999999</v>
      </c>
      <c r="I65">
        <v>0.159444</v>
      </c>
      <c r="J65">
        <v>0.160278</v>
      </c>
      <c r="K65">
        <v>0.161103</v>
      </c>
      <c r="L65">
        <v>0.161912</v>
      </c>
      <c r="M65">
        <v>0.16271099999999999</v>
      </c>
      <c r="N65">
        <v>0.16352700000000001</v>
      </c>
      <c r="O65">
        <v>0.16437299999999999</v>
      </c>
      <c r="P65">
        <v>0.16525599999999999</v>
      </c>
      <c r="Q65">
        <v>0.166161</v>
      </c>
      <c r="R65">
        <v>0.167104</v>
      </c>
      <c r="S65">
        <v>0.16803199999999999</v>
      </c>
      <c r="T65">
        <v>0.168956</v>
      </c>
      <c r="U65">
        <v>0.16985600000000001</v>
      </c>
      <c r="V65">
        <v>0.170735</v>
      </c>
      <c r="W65">
        <v>0.17157900000000001</v>
      </c>
      <c r="X65">
        <v>0.172399</v>
      </c>
      <c r="Y65">
        <v>0.17321800000000001</v>
      </c>
      <c r="Z65">
        <v>0.174042</v>
      </c>
      <c r="AA65">
        <v>0.17486499999999999</v>
      </c>
      <c r="AB65">
        <v>0.17569000000000001</v>
      </c>
      <c r="AC65">
        <v>0.17651800000000001</v>
      </c>
      <c r="AD65">
        <v>0.17735500000000001</v>
      </c>
      <c r="AE65" t="s">
        <v>216</v>
      </c>
    </row>
    <row r="66" spans="1:31" x14ac:dyDescent="0.25">
      <c r="A66" t="s">
        <v>75</v>
      </c>
      <c r="B66" t="s">
        <v>280</v>
      </c>
      <c r="C66" t="s">
        <v>281</v>
      </c>
      <c r="D66" t="s">
        <v>70</v>
      </c>
      <c r="E66">
        <v>0.229907</v>
      </c>
      <c r="F66">
        <v>0.231125</v>
      </c>
      <c r="G66">
        <v>0.23272300000000001</v>
      </c>
      <c r="H66">
        <v>0.23462</v>
      </c>
      <c r="I66">
        <v>0.235849</v>
      </c>
      <c r="J66">
        <v>0.23600399999999999</v>
      </c>
      <c r="K66">
        <v>0.23554800000000001</v>
      </c>
      <c r="L66">
        <v>0.234788</v>
      </c>
      <c r="M66">
        <v>0.23432800000000001</v>
      </c>
      <c r="N66">
        <v>0.23430200000000001</v>
      </c>
      <c r="O66">
        <v>0.23472100000000001</v>
      </c>
      <c r="P66">
        <v>0.23564299999999999</v>
      </c>
      <c r="Q66">
        <v>0.23691400000000001</v>
      </c>
      <c r="R66">
        <v>0.23868600000000001</v>
      </c>
      <c r="S66">
        <v>0.240921</v>
      </c>
      <c r="T66">
        <v>0.243675</v>
      </c>
      <c r="U66">
        <v>0.247026</v>
      </c>
      <c r="V66">
        <v>0.25042199999999998</v>
      </c>
      <c r="W66">
        <v>0.25392500000000001</v>
      </c>
      <c r="X66">
        <v>0.25746400000000003</v>
      </c>
      <c r="Y66">
        <v>0.261017</v>
      </c>
      <c r="Z66">
        <v>0.26441599999999998</v>
      </c>
      <c r="AA66">
        <v>0.26761499999999999</v>
      </c>
      <c r="AB66">
        <v>0.27068500000000001</v>
      </c>
      <c r="AC66">
        <v>0.27381</v>
      </c>
      <c r="AD66">
        <v>0.276862</v>
      </c>
      <c r="AE66" t="s">
        <v>282</v>
      </c>
    </row>
    <row r="67" spans="1:31" x14ac:dyDescent="0.25">
      <c r="A67" t="s">
        <v>76</v>
      </c>
      <c r="B67" t="s">
        <v>283</v>
      </c>
      <c r="C67" t="s">
        <v>284</v>
      </c>
      <c r="D67" t="s">
        <v>70</v>
      </c>
      <c r="E67">
        <v>7.9278000000000001E-2</v>
      </c>
      <c r="F67">
        <v>7.9241000000000006E-2</v>
      </c>
      <c r="G67">
        <v>7.9216999999999996E-2</v>
      </c>
      <c r="H67">
        <v>7.9159999999999994E-2</v>
      </c>
      <c r="I67">
        <v>7.9073000000000004E-2</v>
      </c>
      <c r="J67">
        <v>7.8570000000000001E-2</v>
      </c>
      <c r="K67">
        <v>7.8007000000000007E-2</v>
      </c>
      <c r="L67">
        <v>7.7404000000000001E-2</v>
      </c>
      <c r="M67">
        <v>7.6823000000000002E-2</v>
      </c>
      <c r="N67">
        <v>7.6257000000000005E-2</v>
      </c>
      <c r="O67">
        <v>7.5716000000000006E-2</v>
      </c>
      <c r="P67">
        <v>7.5194999999999998E-2</v>
      </c>
      <c r="Q67">
        <v>7.4692999999999996E-2</v>
      </c>
      <c r="R67">
        <v>7.4214000000000002E-2</v>
      </c>
      <c r="S67">
        <v>7.3757000000000003E-2</v>
      </c>
      <c r="T67">
        <v>7.3328000000000004E-2</v>
      </c>
      <c r="U67">
        <v>7.2937000000000002E-2</v>
      </c>
      <c r="V67">
        <v>7.2585999999999998E-2</v>
      </c>
      <c r="W67">
        <v>7.2277999999999995E-2</v>
      </c>
      <c r="X67">
        <v>7.2012000000000007E-2</v>
      </c>
      <c r="Y67">
        <v>7.1802000000000005E-2</v>
      </c>
      <c r="Z67">
        <v>7.1660000000000001E-2</v>
      </c>
      <c r="AA67">
        <v>7.1579000000000004E-2</v>
      </c>
      <c r="AB67">
        <v>7.1570999999999996E-2</v>
      </c>
      <c r="AC67">
        <v>7.1642999999999998E-2</v>
      </c>
      <c r="AD67">
        <v>7.1800000000000003E-2</v>
      </c>
      <c r="AE67" t="s">
        <v>196</v>
      </c>
    </row>
    <row r="68" spans="1:31" x14ac:dyDescent="0.25">
      <c r="A68" t="s">
        <v>77</v>
      </c>
      <c r="B68" t="s">
        <v>285</v>
      </c>
      <c r="C68" t="s">
        <v>286</v>
      </c>
      <c r="D68" t="s">
        <v>70</v>
      </c>
      <c r="E68">
        <v>0.18284700000000001</v>
      </c>
      <c r="F68">
        <v>0.18221599999999999</v>
      </c>
      <c r="G68">
        <v>0.18356900000000001</v>
      </c>
      <c r="H68">
        <v>0.18564</v>
      </c>
      <c r="I68">
        <v>0.18743899999999999</v>
      </c>
      <c r="J68">
        <v>0.18699399999999999</v>
      </c>
      <c r="K68">
        <v>0.18642400000000001</v>
      </c>
      <c r="L68">
        <v>0.18626100000000001</v>
      </c>
      <c r="M68">
        <v>0.18640399999999999</v>
      </c>
      <c r="N68">
        <v>0.18674199999999999</v>
      </c>
      <c r="O68">
        <v>0.18721499999999999</v>
      </c>
      <c r="P68">
        <v>0.187754</v>
      </c>
      <c r="Q68">
        <v>0.188226</v>
      </c>
      <c r="R68">
        <v>0.188723</v>
      </c>
      <c r="S68">
        <v>0.18940000000000001</v>
      </c>
      <c r="T68">
        <v>0.18703500000000001</v>
      </c>
      <c r="U68">
        <v>0.185089</v>
      </c>
      <c r="V68">
        <v>0.18369099999999999</v>
      </c>
      <c r="W68">
        <v>0.18284600000000001</v>
      </c>
      <c r="X68">
        <v>0.182477</v>
      </c>
      <c r="Y68">
        <v>0.18238399999999999</v>
      </c>
      <c r="Z68">
        <v>0.18231</v>
      </c>
      <c r="AA68">
        <v>0.182202</v>
      </c>
      <c r="AB68">
        <v>0.18219199999999999</v>
      </c>
      <c r="AC68">
        <v>0.18237500000000001</v>
      </c>
      <c r="AD68">
        <v>0.182588</v>
      </c>
      <c r="AE68" t="s">
        <v>188</v>
      </c>
    </row>
    <row r="69" spans="1:31" x14ac:dyDescent="0.25">
      <c r="A69" t="s">
        <v>78</v>
      </c>
      <c r="B69" t="s">
        <v>287</v>
      </c>
      <c r="C69" t="s">
        <v>288</v>
      </c>
      <c r="D69" t="s">
        <v>70</v>
      </c>
      <c r="E69">
        <v>4.0723000000000002E-2</v>
      </c>
      <c r="F69">
        <v>3.9740999999999999E-2</v>
      </c>
      <c r="G69">
        <v>3.875E-2</v>
      </c>
      <c r="H69">
        <v>3.7582999999999998E-2</v>
      </c>
      <c r="I69">
        <v>3.6385000000000001E-2</v>
      </c>
      <c r="J69">
        <v>3.4992000000000002E-2</v>
      </c>
      <c r="K69">
        <v>3.354E-2</v>
      </c>
      <c r="L69">
        <v>3.2000000000000001E-2</v>
      </c>
      <c r="M69">
        <v>3.0665000000000001E-2</v>
      </c>
      <c r="N69">
        <v>2.9534000000000001E-2</v>
      </c>
      <c r="O69">
        <v>2.8608999999999999E-2</v>
      </c>
      <c r="P69">
        <v>2.7904000000000002E-2</v>
      </c>
      <c r="Q69">
        <v>2.7428999999999999E-2</v>
      </c>
      <c r="R69">
        <v>2.7210000000000002E-2</v>
      </c>
      <c r="S69">
        <v>2.7261000000000001E-2</v>
      </c>
      <c r="T69">
        <v>2.7310999999999998E-2</v>
      </c>
      <c r="U69">
        <v>2.7362000000000001E-2</v>
      </c>
      <c r="V69">
        <v>2.742E-2</v>
      </c>
      <c r="W69">
        <v>2.7486E-2</v>
      </c>
      <c r="X69">
        <v>2.7564000000000002E-2</v>
      </c>
      <c r="Y69">
        <v>2.7657999999999999E-2</v>
      </c>
      <c r="Z69">
        <v>2.7768000000000001E-2</v>
      </c>
      <c r="AA69">
        <v>2.7890000000000002E-2</v>
      </c>
      <c r="AB69">
        <v>2.8024E-2</v>
      </c>
      <c r="AC69">
        <v>2.8167000000000001E-2</v>
      </c>
      <c r="AD69">
        <v>2.8319E-2</v>
      </c>
      <c r="AE69" t="s">
        <v>176</v>
      </c>
    </row>
    <row r="70" spans="1:31" x14ac:dyDescent="0.25">
      <c r="A70" t="s">
        <v>79</v>
      </c>
      <c r="B70" t="s">
        <v>289</v>
      </c>
      <c r="C70" t="s">
        <v>290</v>
      </c>
      <c r="D70" t="s">
        <v>70</v>
      </c>
      <c r="E70">
        <v>3.7162000000000001E-2</v>
      </c>
      <c r="F70">
        <v>3.8075999999999999E-2</v>
      </c>
      <c r="G70">
        <v>3.8359999999999998E-2</v>
      </c>
      <c r="H70">
        <v>3.8523000000000002E-2</v>
      </c>
      <c r="I70">
        <v>3.8636999999999998E-2</v>
      </c>
      <c r="J70">
        <v>3.8703000000000001E-2</v>
      </c>
      <c r="K70">
        <v>3.8719999999999997E-2</v>
      </c>
      <c r="L70">
        <v>3.8689000000000001E-2</v>
      </c>
      <c r="M70">
        <v>3.8733999999999998E-2</v>
      </c>
      <c r="N70">
        <v>3.8861E-2</v>
      </c>
      <c r="O70">
        <v>3.9071000000000002E-2</v>
      </c>
      <c r="P70">
        <v>3.9371000000000003E-2</v>
      </c>
      <c r="Q70">
        <v>3.9764000000000001E-2</v>
      </c>
      <c r="R70">
        <v>4.0261999999999999E-2</v>
      </c>
      <c r="S70">
        <v>4.0871999999999999E-2</v>
      </c>
      <c r="T70">
        <v>4.1477E-2</v>
      </c>
      <c r="U70">
        <v>4.2076000000000002E-2</v>
      </c>
      <c r="V70">
        <v>4.2673999999999997E-2</v>
      </c>
      <c r="W70">
        <v>4.3272999999999999E-2</v>
      </c>
      <c r="X70">
        <v>4.3875999999999998E-2</v>
      </c>
      <c r="Y70">
        <v>4.4488E-2</v>
      </c>
      <c r="Z70">
        <v>4.5110999999999998E-2</v>
      </c>
      <c r="AA70">
        <v>4.5740999999999997E-2</v>
      </c>
      <c r="AB70">
        <v>4.6378999999999997E-2</v>
      </c>
      <c r="AC70">
        <v>4.7023000000000002E-2</v>
      </c>
      <c r="AD70">
        <v>4.7676000000000003E-2</v>
      </c>
      <c r="AE70" t="s">
        <v>203</v>
      </c>
    </row>
    <row r="71" spans="1:31" x14ac:dyDescent="0.25">
      <c r="A71" t="s">
        <v>80</v>
      </c>
      <c r="B71" t="s">
        <v>291</v>
      </c>
      <c r="C71" t="s">
        <v>292</v>
      </c>
      <c r="D71" t="s">
        <v>70</v>
      </c>
      <c r="E71">
        <v>0.12483900000000001</v>
      </c>
      <c r="F71">
        <v>0.12217699999999999</v>
      </c>
      <c r="G71">
        <v>0.119963</v>
      </c>
      <c r="H71">
        <v>0.118088</v>
      </c>
      <c r="I71">
        <v>0.11609700000000001</v>
      </c>
      <c r="J71">
        <v>0.113806</v>
      </c>
      <c r="K71">
        <v>0.111516</v>
      </c>
      <c r="L71">
        <v>0.109399</v>
      </c>
      <c r="M71">
        <v>0.107489</v>
      </c>
      <c r="N71">
        <v>0.105735</v>
      </c>
      <c r="O71">
        <v>0.104144</v>
      </c>
      <c r="P71">
        <v>0.102719</v>
      </c>
      <c r="Q71">
        <v>0.101411</v>
      </c>
      <c r="R71">
        <v>0.100273</v>
      </c>
      <c r="S71">
        <v>9.9266999999999994E-2</v>
      </c>
      <c r="T71">
        <v>9.8397999999999999E-2</v>
      </c>
      <c r="U71">
        <v>9.7694000000000003E-2</v>
      </c>
      <c r="V71">
        <v>9.7154000000000004E-2</v>
      </c>
      <c r="W71">
        <v>9.6814999999999998E-2</v>
      </c>
      <c r="X71">
        <v>9.6643000000000007E-2</v>
      </c>
      <c r="Y71">
        <v>9.6638000000000002E-2</v>
      </c>
      <c r="Z71">
        <v>9.6758999999999998E-2</v>
      </c>
      <c r="AA71">
        <v>9.6903000000000003E-2</v>
      </c>
      <c r="AB71">
        <v>9.7108E-2</v>
      </c>
      <c r="AC71">
        <v>9.7404000000000004E-2</v>
      </c>
      <c r="AD71">
        <v>9.7757999999999998E-2</v>
      </c>
      <c r="AE71" t="s">
        <v>167</v>
      </c>
    </row>
    <row r="72" spans="1:31" x14ac:dyDescent="0.25">
      <c r="A72" t="s">
        <v>81</v>
      </c>
      <c r="B72" t="s">
        <v>293</v>
      </c>
      <c r="C72" t="s">
        <v>294</v>
      </c>
      <c r="D72" t="s">
        <v>70</v>
      </c>
      <c r="E72">
        <v>9.7012000000000001E-2</v>
      </c>
      <c r="F72">
        <v>9.5324000000000006E-2</v>
      </c>
      <c r="G72">
        <v>9.3865000000000004E-2</v>
      </c>
      <c r="H72">
        <v>9.2523999999999995E-2</v>
      </c>
      <c r="I72">
        <v>9.0934000000000001E-2</v>
      </c>
      <c r="J72">
        <v>8.8982000000000006E-2</v>
      </c>
      <c r="K72">
        <v>8.6905999999999997E-2</v>
      </c>
      <c r="L72">
        <v>8.4864999999999996E-2</v>
      </c>
      <c r="M72">
        <v>8.2885E-2</v>
      </c>
      <c r="N72">
        <v>8.0946000000000004E-2</v>
      </c>
      <c r="O72">
        <v>7.9061999999999993E-2</v>
      </c>
      <c r="P72">
        <v>7.7249999999999999E-2</v>
      </c>
      <c r="Q72">
        <v>7.5483999999999996E-2</v>
      </c>
      <c r="R72">
        <v>7.3799000000000003E-2</v>
      </c>
      <c r="S72">
        <v>7.2189000000000003E-2</v>
      </c>
      <c r="T72">
        <v>7.0666999999999994E-2</v>
      </c>
      <c r="U72">
        <v>6.9258E-2</v>
      </c>
      <c r="V72">
        <v>6.7989999999999995E-2</v>
      </c>
      <c r="W72">
        <v>6.6878999999999994E-2</v>
      </c>
      <c r="X72">
        <v>6.5919000000000005E-2</v>
      </c>
      <c r="Y72">
        <v>6.5114000000000005E-2</v>
      </c>
      <c r="Z72">
        <v>6.4455999999999999E-2</v>
      </c>
      <c r="AA72">
        <v>6.3893000000000005E-2</v>
      </c>
      <c r="AB72">
        <v>6.3459000000000002E-2</v>
      </c>
      <c r="AC72">
        <v>6.3205999999999998E-2</v>
      </c>
      <c r="AD72">
        <v>6.3081999999999999E-2</v>
      </c>
      <c r="AE72" t="s">
        <v>208</v>
      </c>
    </row>
    <row r="73" spans="1:31" x14ac:dyDescent="0.25">
      <c r="A73" t="s">
        <v>82</v>
      </c>
      <c r="B73" t="s">
        <v>295</v>
      </c>
      <c r="C73" t="s">
        <v>296</v>
      </c>
      <c r="D73" t="s">
        <v>70</v>
      </c>
      <c r="E73">
        <v>0.15743599999999999</v>
      </c>
      <c r="F73">
        <v>0.15289700000000001</v>
      </c>
      <c r="G73">
        <v>0.153778</v>
      </c>
      <c r="H73">
        <v>0.15411900000000001</v>
      </c>
      <c r="I73">
        <v>0.15401400000000001</v>
      </c>
      <c r="J73">
        <v>0.15365100000000001</v>
      </c>
      <c r="K73">
        <v>0.15307000000000001</v>
      </c>
      <c r="L73">
        <v>0.15265799999999999</v>
      </c>
      <c r="M73">
        <v>0.152172</v>
      </c>
      <c r="N73">
        <v>0.15165799999999999</v>
      </c>
      <c r="O73">
        <v>0.15102299999999999</v>
      </c>
      <c r="P73">
        <v>0.15023</v>
      </c>
      <c r="Q73">
        <v>0.14910799999999999</v>
      </c>
      <c r="R73">
        <v>0.14768600000000001</v>
      </c>
      <c r="S73">
        <v>0.14590700000000001</v>
      </c>
      <c r="T73">
        <v>0.14382800000000001</v>
      </c>
      <c r="U73">
        <v>0.14144399999999999</v>
      </c>
      <c r="V73">
        <v>0.139018</v>
      </c>
      <c r="W73">
        <v>0.13644400000000001</v>
      </c>
      <c r="X73">
        <v>0.13381899999999999</v>
      </c>
      <c r="Y73">
        <v>0.13125700000000001</v>
      </c>
      <c r="Z73">
        <v>0.12870899999999999</v>
      </c>
      <c r="AA73">
        <v>0.12613199999999999</v>
      </c>
      <c r="AB73">
        <v>0.12373099999999999</v>
      </c>
      <c r="AC73">
        <v>0.121516</v>
      </c>
      <c r="AD73">
        <v>0.11952</v>
      </c>
      <c r="AE73" t="s">
        <v>170</v>
      </c>
    </row>
    <row r="74" spans="1:31" x14ac:dyDescent="0.25">
      <c r="A74" t="s">
        <v>83</v>
      </c>
      <c r="B74" t="s">
        <v>297</v>
      </c>
      <c r="C74" t="s">
        <v>298</v>
      </c>
      <c r="D74" t="s">
        <v>70</v>
      </c>
      <c r="E74">
        <v>2.7444139999999999</v>
      </c>
      <c r="F74">
        <v>2.7689379999999999</v>
      </c>
      <c r="G74">
        <v>2.6761689999999998</v>
      </c>
      <c r="H74">
        <v>2.7168239999999999</v>
      </c>
      <c r="I74">
        <v>2.7528410000000001</v>
      </c>
      <c r="J74">
        <v>2.7829869999999999</v>
      </c>
      <c r="K74">
        <v>2.810584</v>
      </c>
      <c r="L74">
        <v>2.8392330000000001</v>
      </c>
      <c r="M74">
        <v>2.8684069999999999</v>
      </c>
      <c r="N74">
        <v>2.9014570000000002</v>
      </c>
      <c r="O74">
        <v>2.9361769999999998</v>
      </c>
      <c r="P74">
        <v>2.9716930000000001</v>
      </c>
      <c r="Q74">
        <v>3.0080800000000001</v>
      </c>
      <c r="R74">
        <v>3.0454020000000002</v>
      </c>
      <c r="S74">
        <v>3.0824370000000001</v>
      </c>
      <c r="T74">
        <v>3.1154850000000001</v>
      </c>
      <c r="U74">
        <v>3.1510880000000001</v>
      </c>
      <c r="V74">
        <v>3.1888049999999999</v>
      </c>
      <c r="W74">
        <v>3.2288950000000001</v>
      </c>
      <c r="X74">
        <v>3.2702399999999998</v>
      </c>
      <c r="Y74">
        <v>3.307601</v>
      </c>
      <c r="Z74">
        <v>3.348325</v>
      </c>
      <c r="AA74">
        <v>3.3881459999999999</v>
      </c>
      <c r="AB74">
        <v>3.4280149999999998</v>
      </c>
      <c r="AC74">
        <v>3.4690979999999998</v>
      </c>
      <c r="AD74">
        <v>3.5110640000000002</v>
      </c>
      <c r="AE74" t="s">
        <v>203</v>
      </c>
    </row>
    <row r="75" spans="1:31" x14ac:dyDescent="0.25">
      <c r="A75" t="s">
        <v>84</v>
      </c>
      <c r="B75" t="s">
        <v>299</v>
      </c>
      <c r="C75" t="s">
        <v>300</v>
      </c>
      <c r="D75" t="s">
        <v>70</v>
      </c>
      <c r="E75">
        <v>11.642868999999999</v>
      </c>
      <c r="F75">
        <v>11.446619</v>
      </c>
      <c r="G75">
        <v>11.454411</v>
      </c>
      <c r="H75">
        <v>11.481712</v>
      </c>
      <c r="I75">
        <v>11.454556</v>
      </c>
      <c r="J75">
        <v>11.390325000000001</v>
      </c>
      <c r="K75">
        <v>11.318034000000001</v>
      </c>
      <c r="L75">
        <v>11.255660000000001</v>
      </c>
      <c r="M75">
        <v>11.198971</v>
      </c>
      <c r="N75">
        <v>11.155685999999999</v>
      </c>
      <c r="O75">
        <v>11.122120000000001</v>
      </c>
      <c r="P75">
        <v>11.095996</v>
      </c>
      <c r="Q75">
        <v>11.072502</v>
      </c>
      <c r="R75">
        <v>11.055615</v>
      </c>
      <c r="S75">
        <v>11.041765</v>
      </c>
      <c r="T75">
        <v>11.025434000000001</v>
      </c>
      <c r="U75">
        <v>11.015616</v>
      </c>
      <c r="V75">
        <v>11.018186999999999</v>
      </c>
      <c r="W75">
        <v>11.029612</v>
      </c>
      <c r="X75">
        <v>11.045303000000001</v>
      </c>
      <c r="Y75">
        <v>11.060591000000001</v>
      </c>
      <c r="Z75">
        <v>11.076777</v>
      </c>
      <c r="AA75">
        <v>11.089347999999999</v>
      </c>
      <c r="AB75">
        <v>11.102238</v>
      </c>
      <c r="AC75">
        <v>11.119299</v>
      </c>
      <c r="AD75">
        <v>11.139188000000001</v>
      </c>
      <c r="AE75" t="s">
        <v>260</v>
      </c>
    </row>
    <row r="76" spans="1:31" x14ac:dyDescent="0.25">
      <c r="A76" t="s">
        <v>85</v>
      </c>
      <c r="B76" t="s">
        <v>301</v>
      </c>
      <c r="C76" t="s">
        <v>302</v>
      </c>
      <c r="D76" t="s">
        <v>70</v>
      </c>
      <c r="E76">
        <v>7.0135000000000003E-2</v>
      </c>
      <c r="F76">
        <v>9.1486999999999999E-2</v>
      </c>
      <c r="G76">
        <v>0.119301</v>
      </c>
      <c r="H76">
        <v>0.15019099999999999</v>
      </c>
      <c r="I76">
        <v>0.18050099999999999</v>
      </c>
      <c r="J76">
        <v>0.20873</v>
      </c>
      <c r="K76">
        <v>0.23311999999999999</v>
      </c>
      <c r="L76">
        <v>0.25518800000000003</v>
      </c>
      <c r="M76">
        <v>0.27699499999999999</v>
      </c>
      <c r="N76">
        <v>0.29923699999999998</v>
      </c>
      <c r="O76">
        <v>0.321766</v>
      </c>
      <c r="P76">
        <v>0.34432200000000002</v>
      </c>
      <c r="Q76">
        <v>0.36690099999999998</v>
      </c>
      <c r="R76">
        <v>0.389322</v>
      </c>
      <c r="S76">
        <v>0.41114099999999998</v>
      </c>
      <c r="T76">
        <v>0.43246899999999999</v>
      </c>
      <c r="U76">
        <v>0.45277400000000001</v>
      </c>
      <c r="V76">
        <v>0.47238799999999997</v>
      </c>
      <c r="W76">
        <v>0.49130400000000002</v>
      </c>
      <c r="X76">
        <v>0.50966900000000004</v>
      </c>
      <c r="Y76">
        <v>0.52751300000000001</v>
      </c>
      <c r="Z76">
        <v>0.54464500000000005</v>
      </c>
      <c r="AA76">
        <v>0.56095399999999995</v>
      </c>
      <c r="AB76">
        <v>0.57689299999999999</v>
      </c>
      <c r="AC76">
        <v>0.59221100000000004</v>
      </c>
      <c r="AD76">
        <v>0.60719400000000001</v>
      </c>
      <c r="AE76" t="s">
        <v>219</v>
      </c>
    </row>
    <row r="77" spans="1:31" x14ac:dyDescent="0.25">
      <c r="A77" t="s">
        <v>86</v>
      </c>
      <c r="B77" t="s">
        <v>303</v>
      </c>
      <c r="C77" t="s">
        <v>304</v>
      </c>
      <c r="D77" t="s">
        <v>70</v>
      </c>
      <c r="E77">
        <v>0.18513299999999999</v>
      </c>
      <c r="F77">
        <v>0.19618099999999999</v>
      </c>
      <c r="G77">
        <v>0.20807</v>
      </c>
      <c r="H77">
        <v>0.22029000000000001</v>
      </c>
      <c r="I77">
        <v>0.23191400000000001</v>
      </c>
      <c r="J77">
        <v>0.24404699999999999</v>
      </c>
      <c r="K77">
        <v>0.25698700000000002</v>
      </c>
      <c r="L77">
        <v>0.26999400000000001</v>
      </c>
      <c r="M77">
        <v>0.283557</v>
      </c>
      <c r="N77">
        <v>0.29791299999999998</v>
      </c>
      <c r="O77">
        <v>0.31315100000000001</v>
      </c>
      <c r="P77">
        <v>0.32913300000000001</v>
      </c>
      <c r="Q77">
        <v>0.346163</v>
      </c>
      <c r="R77">
        <v>0.36398999999999998</v>
      </c>
      <c r="S77">
        <v>0.38263399999999997</v>
      </c>
      <c r="T77">
        <v>0.401916</v>
      </c>
      <c r="U77">
        <v>0.42191800000000002</v>
      </c>
      <c r="V77">
        <v>0.44253399999999998</v>
      </c>
      <c r="W77">
        <v>0.46366400000000002</v>
      </c>
      <c r="X77">
        <v>0.48558299999999999</v>
      </c>
      <c r="Y77">
        <v>0.50805900000000004</v>
      </c>
      <c r="Z77">
        <v>0.53127999999999997</v>
      </c>
      <c r="AA77">
        <v>0.55522800000000005</v>
      </c>
      <c r="AB77">
        <v>0.58008000000000004</v>
      </c>
      <c r="AC77">
        <v>0.60541100000000003</v>
      </c>
      <c r="AD77">
        <v>0.63153300000000001</v>
      </c>
      <c r="AE77" t="s">
        <v>222</v>
      </c>
    </row>
    <row r="78" spans="1:31" x14ac:dyDescent="0.25">
      <c r="A78" t="s">
        <v>89</v>
      </c>
      <c r="B78" t="s">
        <v>305</v>
      </c>
      <c r="C78" t="s">
        <v>306</v>
      </c>
      <c r="D78" t="s">
        <v>70</v>
      </c>
      <c r="E78">
        <v>11.527870999999999</v>
      </c>
      <c r="F78">
        <v>11.341925</v>
      </c>
      <c r="G78">
        <v>11.365641999999999</v>
      </c>
      <c r="H78">
        <v>11.411612</v>
      </c>
      <c r="I78">
        <v>11.403143</v>
      </c>
      <c r="J78">
        <v>11.355008</v>
      </c>
      <c r="K78">
        <v>11.294167</v>
      </c>
      <c r="L78">
        <v>11.240855</v>
      </c>
      <c r="M78">
        <v>11.192409</v>
      </c>
      <c r="N78">
        <v>11.157009</v>
      </c>
      <c r="O78">
        <v>11.130734</v>
      </c>
      <c r="P78">
        <v>11.111185000000001</v>
      </c>
      <c r="Q78">
        <v>11.09324</v>
      </c>
      <c r="R78">
        <v>11.080947</v>
      </c>
      <c r="S78">
        <v>11.070271999999999</v>
      </c>
      <c r="T78">
        <v>11.055986000000001</v>
      </c>
      <c r="U78">
        <v>11.046472</v>
      </c>
      <c r="V78">
        <v>11.048041</v>
      </c>
      <c r="W78">
        <v>11.057252</v>
      </c>
      <c r="X78">
        <v>11.069388</v>
      </c>
      <c r="Y78">
        <v>11.080045999999999</v>
      </c>
      <c r="Z78">
        <v>11.090140999999999</v>
      </c>
      <c r="AA78">
        <v>11.095074</v>
      </c>
      <c r="AB78">
        <v>11.099052</v>
      </c>
      <c r="AC78">
        <v>11.1061</v>
      </c>
      <c r="AD78">
        <v>11.114849</v>
      </c>
      <c r="AE78" t="s">
        <v>231</v>
      </c>
    </row>
    <row r="79" spans="1:31" x14ac:dyDescent="0.25">
      <c r="A79" t="s">
        <v>45</v>
      </c>
      <c r="B79" t="s">
        <v>307</v>
      </c>
      <c r="C79" t="s">
        <v>308</v>
      </c>
      <c r="D79" t="s">
        <v>70</v>
      </c>
      <c r="E79">
        <v>7.1676520000000004</v>
      </c>
      <c r="F79">
        <v>7.154598</v>
      </c>
      <c r="G79">
        <v>6.5145309999999998</v>
      </c>
      <c r="H79">
        <v>6.3125260000000001</v>
      </c>
      <c r="I79">
        <v>6.2211819999999998</v>
      </c>
      <c r="J79">
        <v>6.1316670000000002</v>
      </c>
      <c r="K79">
        <v>5.9451780000000003</v>
      </c>
      <c r="L79">
        <v>5.8393309999999996</v>
      </c>
      <c r="M79">
        <v>5.7834560000000002</v>
      </c>
      <c r="N79">
        <v>5.6923149999999998</v>
      </c>
      <c r="O79">
        <v>5.6339969999999999</v>
      </c>
      <c r="P79">
        <v>5.5780779999999996</v>
      </c>
      <c r="Q79">
        <v>5.556406</v>
      </c>
      <c r="R79">
        <v>5.5518919999999996</v>
      </c>
      <c r="S79">
        <v>5.5371220000000001</v>
      </c>
      <c r="T79">
        <v>5.5038859999999996</v>
      </c>
      <c r="U79">
        <v>5.4754339999999999</v>
      </c>
      <c r="V79">
        <v>5.4789479999999999</v>
      </c>
      <c r="W79">
        <v>5.4940379999999998</v>
      </c>
      <c r="X79">
        <v>5.5118720000000003</v>
      </c>
      <c r="Y79">
        <v>5.527482</v>
      </c>
      <c r="Z79">
        <v>5.546856</v>
      </c>
      <c r="AA79">
        <v>5.5688820000000003</v>
      </c>
      <c r="AB79">
        <v>5.5885730000000002</v>
      </c>
      <c r="AC79">
        <v>5.5896439999999998</v>
      </c>
      <c r="AD79">
        <v>5.6078219999999996</v>
      </c>
      <c r="AE79" t="s">
        <v>167</v>
      </c>
    </row>
    <row r="80" spans="1:31" x14ac:dyDescent="0.25">
      <c r="A80" t="s">
        <v>94</v>
      </c>
    </row>
    <row r="81" spans="1:31" x14ac:dyDescent="0.25">
      <c r="A81" t="s">
        <v>69</v>
      </c>
      <c r="B81" t="s">
        <v>309</v>
      </c>
      <c r="C81" t="s">
        <v>310</v>
      </c>
      <c r="D81" t="s">
        <v>70</v>
      </c>
      <c r="E81">
        <v>5.6764190000000001</v>
      </c>
      <c r="F81">
        <v>5.3520019999999997</v>
      </c>
      <c r="G81">
        <v>5.3777860000000004</v>
      </c>
      <c r="H81">
        <v>5.3172509999999997</v>
      </c>
      <c r="I81">
        <v>5.248799</v>
      </c>
      <c r="J81">
        <v>5.1670590000000001</v>
      </c>
      <c r="K81">
        <v>5.0722079999999998</v>
      </c>
      <c r="L81">
        <v>4.9898530000000001</v>
      </c>
      <c r="M81">
        <v>4.9145240000000001</v>
      </c>
      <c r="N81">
        <v>4.8376089999999996</v>
      </c>
      <c r="O81">
        <v>4.7658440000000004</v>
      </c>
      <c r="P81">
        <v>4.6970879999999999</v>
      </c>
      <c r="Q81">
        <v>4.6305019999999999</v>
      </c>
      <c r="R81">
        <v>4.5679309999999997</v>
      </c>
      <c r="S81">
        <v>4.5047990000000002</v>
      </c>
      <c r="T81">
        <v>4.4419420000000001</v>
      </c>
      <c r="U81">
        <v>4.3798620000000001</v>
      </c>
      <c r="V81">
        <v>4.3258799999999997</v>
      </c>
      <c r="W81">
        <v>4.2753310000000004</v>
      </c>
      <c r="X81">
        <v>4.2269829999999997</v>
      </c>
      <c r="Y81">
        <v>4.1814090000000004</v>
      </c>
      <c r="Z81">
        <v>4.1347759999999996</v>
      </c>
      <c r="AA81">
        <v>4.0866759999999998</v>
      </c>
      <c r="AB81">
        <v>4.0391640000000004</v>
      </c>
      <c r="AC81">
        <v>3.9913189999999998</v>
      </c>
      <c r="AD81">
        <v>3.9455249999999999</v>
      </c>
      <c r="AE81" t="s">
        <v>176</v>
      </c>
    </row>
    <row r="82" spans="1:31" x14ac:dyDescent="0.25">
      <c r="A82" t="s">
        <v>71</v>
      </c>
      <c r="B82" t="s">
        <v>311</v>
      </c>
      <c r="C82" t="s">
        <v>312</v>
      </c>
      <c r="D82" t="s">
        <v>70</v>
      </c>
      <c r="E82">
        <v>2.2094279999999999</v>
      </c>
      <c r="F82">
        <v>2.3359220000000001</v>
      </c>
      <c r="G82">
        <v>2.2649970000000001</v>
      </c>
      <c r="H82">
        <v>2.240748</v>
      </c>
      <c r="I82">
        <v>2.235738</v>
      </c>
      <c r="J82">
        <v>2.2276760000000002</v>
      </c>
      <c r="K82">
        <v>2.2022040000000001</v>
      </c>
      <c r="L82">
        <v>2.1932580000000002</v>
      </c>
      <c r="M82">
        <v>2.194045</v>
      </c>
      <c r="N82">
        <v>2.1894260000000001</v>
      </c>
      <c r="O82">
        <v>2.1917469999999999</v>
      </c>
      <c r="P82">
        <v>2.196002</v>
      </c>
      <c r="Q82">
        <v>2.2073640000000001</v>
      </c>
      <c r="R82">
        <v>2.2221280000000001</v>
      </c>
      <c r="S82">
        <v>2.235198</v>
      </c>
      <c r="T82">
        <v>2.2471860000000001</v>
      </c>
      <c r="U82">
        <v>2.2607059999999999</v>
      </c>
      <c r="V82">
        <v>2.2827489999999999</v>
      </c>
      <c r="W82">
        <v>2.308033</v>
      </c>
      <c r="X82">
        <v>2.3336320000000002</v>
      </c>
      <c r="Y82">
        <v>2.360322</v>
      </c>
      <c r="Z82">
        <v>2.385351</v>
      </c>
      <c r="AA82">
        <v>2.4099159999999999</v>
      </c>
      <c r="AB82">
        <v>2.4330039999999999</v>
      </c>
      <c r="AC82">
        <v>2.4533589999999998</v>
      </c>
      <c r="AD82">
        <v>2.4764379999999999</v>
      </c>
      <c r="AE82" t="s">
        <v>216</v>
      </c>
    </row>
    <row r="83" spans="1:31" x14ac:dyDescent="0.25">
      <c r="A83" t="s">
        <v>72</v>
      </c>
      <c r="B83" t="s">
        <v>313</v>
      </c>
      <c r="C83" t="s">
        <v>314</v>
      </c>
      <c r="D83" t="s">
        <v>70</v>
      </c>
      <c r="E83">
        <v>2.1733630000000002</v>
      </c>
      <c r="F83">
        <v>2.158102</v>
      </c>
      <c r="G83">
        <v>2.108511</v>
      </c>
      <c r="H83">
        <v>2.0832190000000002</v>
      </c>
      <c r="I83">
        <v>2.0307460000000002</v>
      </c>
      <c r="J83">
        <v>1.970669</v>
      </c>
      <c r="K83">
        <v>1.904377</v>
      </c>
      <c r="L83">
        <v>1.8496109999999999</v>
      </c>
      <c r="M83">
        <v>1.8012349999999999</v>
      </c>
      <c r="N83">
        <v>1.757064</v>
      </c>
      <c r="O83">
        <v>1.7204680000000001</v>
      </c>
      <c r="P83">
        <v>1.6873590000000001</v>
      </c>
      <c r="Q83">
        <v>1.6586160000000001</v>
      </c>
      <c r="R83">
        <v>1.6338569999999999</v>
      </c>
      <c r="S83">
        <v>1.6115740000000001</v>
      </c>
      <c r="T83">
        <v>1.5919000000000001</v>
      </c>
      <c r="U83">
        <v>1.5750040000000001</v>
      </c>
      <c r="V83">
        <v>1.5627610000000001</v>
      </c>
      <c r="W83">
        <v>1.553944</v>
      </c>
      <c r="X83">
        <v>1.544762</v>
      </c>
      <c r="Y83">
        <v>1.534907</v>
      </c>
      <c r="Z83">
        <v>1.523909</v>
      </c>
      <c r="AA83">
        <v>1.512165</v>
      </c>
      <c r="AB83">
        <v>1.50023</v>
      </c>
      <c r="AC83">
        <v>1.4883770000000001</v>
      </c>
      <c r="AD83">
        <v>1.4782550000000001</v>
      </c>
      <c r="AE83" t="s">
        <v>245</v>
      </c>
    </row>
    <row r="84" spans="1:31" x14ac:dyDescent="0.25">
      <c r="A84" t="s">
        <v>73</v>
      </c>
      <c r="B84" t="s">
        <v>315</v>
      </c>
      <c r="C84" t="s">
        <v>316</v>
      </c>
      <c r="D84" t="s">
        <v>70</v>
      </c>
      <c r="E84">
        <v>0.81318599999999996</v>
      </c>
      <c r="F84">
        <v>0.80544899999999997</v>
      </c>
      <c r="G84">
        <v>0.76688900000000004</v>
      </c>
      <c r="H84">
        <v>0.74541999999999997</v>
      </c>
      <c r="I84">
        <v>0.733572</v>
      </c>
      <c r="J84">
        <v>0.71895100000000001</v>
      </c>
      <c r="K84">
        <v>0.69982900000000003</v>
      </c>
      <c r="L84">
        <v>0.68631799999999998</v>
      </c>
      <c r="M84">
        <v>0.67610499999999996</v>
      </c>
      <c r="N84">
        <v>0.66384200000000004</v>
      </c>
      <c r="O84">
        <v>0.65379900000000002</v>
      </c>
      <c r="P84">
        <v>0.64453300000000002</v>
      </c>
      <c r="Q84">
        <v>0.63790000000000002</v>
      </c>
      <c r="R84">
        <v>0.63291500000000001</v>
      </c>
      <c r="S84">
        <v>0.62812400000000002</v>
      </c>
      <c r="T84">
        <v>0.62343000000000004</v>
      </c>
      <c r="U84">
        <v>0.61960599999999999</v>
      </c>
      <c r="V84">
        <v>0.61806300000000003</v>
      </c>
      <c r="W84">
        <v>0.61773</v>
      </c>
      <c r="X84">
        <v>0.61830700000000005</v>
      </c>
      <c r="Y84">
        <v>0.61984499999999998</v>
      </c>
      <c r="Z84">
        <v>0.62247399999999997</v>
      </c>
      <c r="AA84">
        <v>0.62625500000000001</v>
      </c>
      <c r="AB84">
        <v>0.62990800000000002</v>
      </c>
      <c r="AC84">
        <v>0.63246199999999997</v>
      </c>
      <c r="AD84">
        <v>0.63583400000000001</v>
      </c>
      <c r="AE84" t="s">
        <v>167</v>
      </c>
    </row>
    <row r="85" spans="1:31" x14ac:dyDescent="0.25">
      <c r="A85" t="s">
        <v>74</v>
      </c>
      <c r="B85" t="s">
        <v>317</v>
      </c>
      <c r="C85" t="s">
        <v>318</v>
      </c>
      <c r="D85" t="s">
        <v>70</v>
      </c>
      <c r="E85">
        <v>0.24671499999999999</v>
      </c>
      <c r="F85">
        <v>0.24765599999999999</v>
      </c>
      <c r="G85">
        <v>0.24244099999999999</v>
      </c>
      <c r="H85">
        <v>0.24052699999999999</v>
      </c>
      <c r="I85">
        <v>0.24037800000000001</v>
      </c>
      <c r="J85">
        <v>0.24057400000000001</v>
      </c>
      <c r="K85">
        <v>0.23960899999999999</v>
      </c>
      <c r="L85">
        <v>0.23964299999999999</v>
      </c>
      <c r="M85">
        <v>0.240232</v>
      </c>
      <c r="N85">
        <v>0.24023900000000001</v>
      </c>
      <c r="O85">
        <v>0.24062900000000001</v>
      </c>
      <c r="P85">
        <v>0.241012</v>
      </c>
      <c r="Q85">
        <v>0.24180699999999999</v>
      </c>
      <c r="R85">
        <v>0.24274799999999999</v>
      </c>
      <c r="S85">
        <v>0.243419</v>
      </c>
      <c r="T85">
        <v>0.24381</v>
      </c>
      <c r="U85">
        <v>0.244093</v>
      </c>
      <c r="V85">
        <v>0.24463499999999999</v>
      </c>
      <c r="W85">
        <v>0.24520700000000001</v>
      </c>
      <c r="X85">
        <v>0.24576200000000001</v>
      </c>
      <c r="Y85">
        <v>0.246312</v>
      </c>
      <c r="Z85">
        <v>0.246892</v>
      </c>
      <c r="AA85">
        <v>0.247529</v>
      </c>
      <c r="AB85">
        <v>0.248136</v>
      </c>
      <c r="AC85">
        <v>0.24848000000000001</v>
      </c>
      <c r="AD85">
        <v>0.24904699999999999</v>
      </c>
      <c r="AE85" t="s">
        <v>319</v>
      </c>
    </row>
    <row r="86" spans="1:31" x14ac:dyDescent="0.25">
      <c r="A86" t="s">
        <v>75</v>
      </c>
      <c r="B86" t="s">
        <v>320</v>
      </c>
      <c r="C86" t="s">
        <v>321</v>
      </c>
      <c r="D86" t="s">
        <v>70</v>
      </c>
      <c r="E86">
        <v>0.48234500000000002</v>
      </c>
      <c r="F86">
        <v>0.48131800000000002</v>
      </c>
      <c r="G86">
        <v>0.46428700000000001</v>
      </c>
      <c r="H86">
        <v>0.45725500000000002</v>
      </c>
      <c r="I86">
        <v>0.45374999999999999</v>
      </c>
      <c r="J86">
        <v>0.449098</v>
      </c>
      <c r="K86">
        <v>0.44026100000000001</v>
      </c>
      <c r="L86">
        <v>0.43360399999999999</v>
      </c>
      <c r="M86">
        <v>0.42929400000000001</v>
      </c>
      <c r="N86">
        <v>0.42442000000000002</v>
      </c>
      <c r="O86">
        <v>0.42136600000000002</v>
      </c>
      <c r="P86">
        <v>0.41921900000000001</v>
      </c>
      <c r="Q86">
        <v>0.41880000000000001</v>
      </c>
      <c r="R86">
        <v>0.41978799999999999</v>
      </c>
      <c r="S86">
        <v>0.42127799999999999</v>
      </c>
      <c r="T86">
        <v>0.42329</v>
      </c>
      <c r="U86">
        <v>0.42643999999999999</v>
      </c>
      <c r="V86">
        <v>0.430477</v>
      </c>
      <c r="W86">
        <v>0.43488700000000002</v>
      </c>
      <c r="X86">
        <v>0.43937999999999999</v>
      </c>
      <c r="Y86">
        <v>0.44387300000000002</v>
      </c>
      <c r="Z86">
        <v>0.44814100000000001</v>
      </c>
      <c r="AA86">
        <v>0.45219399999999998</v>
      </c>
      <c r="AB86">
        <v>0.45593</v>
      </c>
      <c r="AC86">
        <v>0.45907399999999998</v>
      </c>
      <c r="AD86">
        <v>0.46261600000000003</v>
      </c>
      <c r="AE86" t="s">
        <v>260</v>
      </c>
    </row>
    <row r="87" spans="1:31" x14ac:dyDescent="0.25">
      <c r="A87" t="s">
        <v>76</v>
      </c>
      <c r="B87" t="s">
        <v>322</v>
      </c>
      <c r="C87" t="s">
        <v>323</v>
      </c>
      <c r="D87" t="s">
        <v>70</v>
      </c>
      <c r="E87">
        <v>0.184423</v>
      </c>
      <c r="F87">
        <v>0.18312700000000001</v>
      </c>
      <c r="G87">
        <v>0.17485600000000001</v>
      </c>
      <c r="H87">
        <v>0.17043900000000001</v>
      </c>
      <c r="I87">
        <v>0.16800599999999999</v>
      </c>
      <c r="J87">
        <v>0.165158</v>
      </c>
      <c r="K87">
        <v>0.161022</v>
      </c>
      <c r="L87">
        <v>0.15796299999999999</v>
      </c>
      <c r="M87">
        <v>0.15560299999999999</v>
      </c>
      <c r="N87">
        <v>0.152722</v>
      </c>
      <c r="O87">
        <v>0.15029799999999999</v>
      </c>
      <c r="P87">
        <v>0.14791799999999999</v>
      </c>
      <c r="Q87">
        <v>0.14600099999999999</v>
      </c>
      <c r="R87">
        <v>0.144321</v>
      </c>
      <c r="S87">
        <v>0.14255399999999999</v>
      </c>
      <c r="T87">
        <v>0.14068800000000001</v>
      </c>
      <c r="U87">
        <v>0.13892699999999999</v>
      </c>
      <c r="V87">
        <v>0.13758600000000001</v>
      </c>
      <c r="W87">
        <v>0.13642099999999999</v>
      </c>
      <c r="X87">
        <v>0.13537299999999999</v>
      </c>
      <c r="Y87">
        <v>0.134438</v>
      </c>
      <c r="Z87">
        <v>0.13366600000000001</v>
      </c>
      <c r="AA87">
        <v>0.13307099999999999</v>
      </c>
      <c r="AB87">
        <v>0.13259599999999999</v>
      </c>
      <c r="AC87">
        <v>0.132054</v>
      </c>
      <c r="AD87">
        <v>0.131858</v>
      </c>
      <c r="AE87" t="s">
        <v>270</v>
      </c>
    </row>
    <row r="88" spans="1:31" x14ac:dyDescent="0.25">
      <c r="A88" t="s">
        <v>77</v>
      </c>
      <c r="B88" t="s">
        <v>324</v>
      </c>
      <c r="C88" t="s">
        <v>325</v>
      </c>
      <c r="D88" t="s">
        <v>70</v>
      </c>
      <c r="E88">
        <v>0.42535600000000001</v>
      </c>
      <c r="F88">
        <v>0.421101</v>
      </c>
      <c r="G88">
        <v>0.40519300000000003</v>
      </c>
      <c r="H88">
        <v>0.39970099999999997</v>
      </c>
      <c r="I88">
        <v>0.39825199999999999</v>
      </c>
      <c r="J88">
        <v>0.39307199999999998</v>
      </c>
      <c r="K88">
        <v>0.38481799999999999</v>
      </c>
      <c r="L88">
        <v>0.38011600000000001</v>
      </c>
      <c r="M88">
        <v>0.37755899999999998</v>
      </c>
      <c r="N88">
        <v>0.37399500000000002</v>
      </c>
      <c r="O88">
        <v>0.37162699999999999</v>
      </c>
      <c r="P88">
        <v>0.36933500000000002</v>
      </c>
      <c r="Q88">
        <v>0.36792399999999997</v>
      </c>
      <c r="R88">
        <v>0.36700500000000003</v>
      </c>
      <c r="S88">
        <v>0.36606300000000003</v>
      </c>
      <c r="T88">
        <v>0.35884700000000003</v>
      </c>
      <c r="U88">
        <v>0.35254999999999997</v>
      </c>
      <c r="V88">
        <v>0.34818300000000002</v>
      </c>
      <c r="W88">
        <v>0.34511399999999998</v>
      </c>
      <c r="X88">
        <v>0.34303</v>
      </c>
      <c r="Y88">
        <v>0.34148800000000001</v>
      </c>
      <c r="Z88">
        <v>0.340061</v>
      </c>
      <c r="AA88">
        <v>0.33872600000000003</v>
      </c>
      <c r="AB88">
        <v>0.33753699999999998</v>
      </c>
      <c r="AC88">
        <v>0.33615699999999998</v>
      </c>
      <c r="AD88">
        <v>0.335314</v>
      </c>
      <c r="AE88" t="s">
        <v>179</v>
      </c>
    </row>
    <row r="89" spans="1:31" x14ac:dyDescent="0.25">
      <c r="A89" t="s">
        <v>78</v>
      </c>
      <c r="B89" t="s">
        <v>326</v>
      </c>
      <c r="C89" t="s">
        <v>327</v>
      </c>
      <c r="D89" t="s">
        <v>70</v>
      </c>
      <c r="E89">
        <v>9.4733999999999999E-2</v>
      </c>
      <c r="F89">
        <v>9.1841999999999993E-2</v>
      </c>
      <c r="G89">
        <v>8.5533999999999999E-2</v>
      </c>
      <c r="H89">
        <v>8.0919000000000005E-2</v>
      </c>
      <c r="I89">
        <v>7.7308000000000002E-2</v>
      </c>
      <c r="J89">
        <v>7.3555999999999996E-2</v>
      </c>
      <c r="K89">
        <v>6.9233000000000003E-2</v>
      </c>
      <c r="L89">
        <v>6.5305000000000002E-2</v>
      </c>
      <c r="M89">
        <v>6.2111E-2</v>
      </c>
      <c r="N89">
        <v>5.9149E-2</v>
      </c>
      <c r="O89">
        <v>5.679E-2</v>
      </c>
      <c r="P89">
        <v>5.4890000000000001E-2</v>
      </c>
      <c r="Q89">
        <v>5.3614000000000002E-2</v>
      </c>
      <c r="R89">
        <v>5.2914000000000003E-2</v>
      </c>
      <c r="S89">
        <v>5.2689E-2</v>
      </c>
      <c r="T89">
        <v>5.2399000000000001E-2</v>
      </c>
      <c r="U89">
        <v>5.2116999999999997E-2</v>
      </c>
      <c r="V89">
        <v>5.1973999999999999E-2</v>
      </c>
      <c r="W89">
        <v>5.1879000000000002E-2</v>
      </c>
      <c r="X89">
        <v>5.1816000000000001E-2</v>
      </c>
      <c r="Y89">
        <v>5.1785999999999999E-2</v>
      </c>
      <c r="Z89">
        <v>5.1795000000000001E-2</v>
      </c>
      <c r="AA89">
        <v>5.185E-2</v>
      </c>
      <c r="AB89">
        <v>5.1917999999999999E-2</v>
      </c>
      <c r="AC89">
        <v>5.1917999999999999E-2</v>
      </c>
      <c r="AD89">
        <v>5.2005999999999997E-2</v>
      </c>
      <c r="AE89" t="s">
        <v>328</v>
      </c>
    </row>
    <row r="90" spans="1:31" x14ac:dyDescent="0.25">
      <c r="A90" t="s">
        <v>79</v>
      </c>
      <c r="B90" t="s">
        <v>329</v>
      </c>
      <c r="C90" t="s">
        <v>330</v>
      </c>
      <c r="D90" t="s">
        <v>70</v>
      </c>
      <c r="E90">
        <v>8.6448999999999998E-2</v>
      </c>
      <c r="F90">
        <v>8.7993000000000002E-2</v>
      </c>
      <c r="G90">
        <v>8.4671999999999997E-2</v>
      </c>
      <c r="H90">
        <v>8.2943000000000003E-2</v>
      </c>
      <c r="I90">
        <v>8.2092999999999999E-2</v>
      </c>
      <c r="J90">
        <v>8.1354999999999997E-2</v>
      </c>
      <c r="K90">
        <v>7.9925999999999997E-2</v>
      </c>
      <c r="L90">
        <v>7.8953999999999996E-2</v>
      </c>
      <c r="M90">
        <v>7.8455999999999998E-2</v>
      </c>
      <c r="N90">
        <v>7.7827999999999994E-2</v>
      </c>
      <c r="O90">
        <v>7.7556E-2</v>
      </c>
      <c r="P90">
        <v>7.7447000000000002E-2</v>
      </c>
      <c r="Q90">
        <v>7.7726000000000003E-2</v>
      </c>
      <c r="R90">
        <v>7.8297000000000005E-2</v>
      </c>
      <c r="S90">
        <v>7.8994999999999996E-2</v>
      </c>
      <c r="T90">
        <v>7.9576999999999995E-2</v>
      </c>
      <c r="U90">
        <v>8.0144000000000007E-2</v>
      </c>
      <c r="V90">
        <v>8.0888000000000002E-2</v>
      </c>
      <c r="W90">
        <v>8.1675999999999999E-2</v>
      </c>
      <c r="X90">
        <v>8.2479999999999998E-2</v>
      </c>
      <c r="Y90">
        <v>8.3297999999999997E-2</v>
      </c>
      <c r="Z90">
        <v>8.4145999999999999E-2</v>
      </c>
      <c r="AA90">
        <v>8.5037000000000001E-2</v>
      </c>
      <c r="AB90">
        <v>8.5922999999999999E-2</v>
      </c>
      <c r="AC90">
        <v>8.6674000000000001E-2</v>
      </c>
      <c r="AD90">
        <v>8.7554999999999994E-2</v>
      </c>
      <c r="AE90" t="s">
        <v>159</v>
      </c>
    </row>
    <row r="91" spans="1:31" x14ac:dyDescent="0.25">
      <c r="A91" t="s">
        <v>80</v>
      </c>
      <c r="B91" t="s">
        <v>331</v>
      </c>
      <c r="C91" t="s">
        <v>332</v>
      </c>
      <c r="D91" t="s">
        <v>70</v>
      </c>
      <c r="E91">
        <v>0.29041099999999997</v>
      </c>
      <c r="F91">
        <v>0.28235199999999999</v>
      </c>
      <c r="G91">
        <v>0.264795</v>
      </c>
      <c r="H91">
        <v>0.25425399999999998</v>
      </c>
      <c r="I91">
        <v>0.246672</v>
      </c>
      <c r="J91">
        <v>0.23922599999999999</v>
      </c>
      <c r="K91">
        <v>0.23019200000000001</v>
      </c>
      <c r="L91">
        <v>0.22325800000000001</v>
      </c>
      <c r="M91">
        <v>0.21771599999999999</v>
      </c>
      <c r="N91">
        <v>0.211758</v>
      </c>
      <c r="O91">
        <v>0.206729</v>
      </c>
      <c r="P91">
        <v>0.20206199999999999</v>
      </c>
      <c r="Q91">
        <v>0.19822600000000001</v>
      </c>
      <c r="R91">
        <v>0.194997</v>
      </c>
      <c r="S91">
        <v>0.191859</v>
      </c>
      <c r="T91">
        <v>0.18878700000000001</v>
      </c>
      <c r="U91">
        <v>0.186082</v>
      </c>
      <c r="V91">
        <v>0.18415400000000001</v>
      </c>
      <c r="W91">
        <v>0.18273500000000001</v>
      </c>
      <c r="X91">
        <v>0.181675</v>
      </c>
      <c r="Y91">
        <v>0.18094099999999999</v>
      </c>
      <c r="Z91">
        <v>0.18048400000000001</v>
      </c>
      <c r="AA91">
        <v>0.180148</v>
      </c>
      <c r="AB91">
        <v>0.17990600000000001</v>
      </c>
      <c r="AC91">
        <v>0.179537</v>
      </c>
      <c r="AD91">
        <v>0.17952799999999999</v>
      </c>
      <c r="AE91" t="s">
        <v>333</v>
      </c>
    </row>
    <row r="92" spans="1:31" x14ac:dyDescent="0.25">
      <c r="A92" t="s">
        <v>81</v>
      </c>
      <c r="B92" t="s">
        <v>334</v>
      </c>
      <c r="C92" t="s">
        <v>335</v>
      </c>
      <c r="D92" t="s">
        <v>70</v>
      </c>
      <c r="E92">
        <v>0.22567799999999999</v>
      </c>
      <c r="F92">
        <v>0.22029399999999999</v>
      </c>
      <c r="G92">
        <v>0.20718800000000001</v>
      </c>
      <c r="H92">
        <v>0.199212</v>
      </c>
      <c r="I92">
        <v>0.19320799999999999</v>
      </c>
      <c r="J92">
        <v>0.18704599999999999</v>
      </c>
      <c r="K92">
        <v>0.179393</v>
      </c>
      <c r="L92">
        <v>0.17318900000000001</v>
      </c>
      <c r="M92">
        <v>0.167883</v>
      </c>
      <c r="N92">
        <v>0.16211400000000001</v>
      </c>
      <c r="O92">
        <v>0.15694</v>
      </c>
      <c r="P92">
        <v>0.15196100000000001</v>
      </c>
      <c r="Q92">
        <v>0.14754700000000001</v>
      </c>
      <c r="R92">
        <v>0.143515</v>
      </c>
      <c r="S92">
        <v>0.13952300000000001</v>
      </c>
      <c r="T92">
        <v>0.13558200000000001</v>
      </c>
      <c r="U92">
        <v>0.13191900000000001</v>
      </c>
      <c r="V92">
        <v>0.12887399999999999</v>
      </c>
      <c r="W92">
        <v>0.12623100000000001</v>
      </c>
      <c r="X92">
        <v>0.123919</v>
      </c>
      <c r="Y92">
        <v>0.121916</v>
      </c>
      <c r="Z92">
        <v>0.12023</v>
      </c>
      <c r="AA92">
        <v>0.118781</v>
      </c>
      <c r="AB92">
        <v>0.117566</v>
      </c>
      <c r="AC92">
        <v>0.116503</v>
      </c>
      <c r="AD92">
        <v>0.11584800000000001</v>
      </c>
      <c r="AE92" t="s">
        <v>336</v>
      </c>
    </row>
    <row r="93" spans="1:31" x14ac:dyDescent="0.25">
      <c r="A93" t="s">
        <v>82</v>
      </c>
      <c r="B93" t="s">
        <v>337</v>
      </c>
      <c r="C93" t="s">
        <v>338</v>
      </c>
      <c r="D93" t="s">
        <v>70</v>
      </c>
      <c r="E93">
        <v>0.36624200000000001</v>
      </c>
      <c r="F93">
        <v>0.35334700000000002</v>
      </c>
      <c r="G93">
        <v>0.33943400000000001</v>
      </c>
      <c r="H93">
        <v>0.33183299999999999</v>
      </c>
      <c r="I93">
        <v>0.32723400000000002</v>
      </c>
      <c r="J93">
        <v>0.32298300000000002</v>
      </c>
      <c r="K93">
        <v>0.31596800000000003</v>
      </c>
      <c r="L93">
        <v>0.31153900000000001</v>
      </c>
      <c r="M93">
        <v>0.30822300000000002</v>
      </c>
      <c r="N93">
        <v>0.30373099999999997</v>
      </c>
      <c r="O93">
        <v>0.29978500000000002</v>
      </c>
      <c r="P93">
        <v>0.29552</v>
      </c>
      <c r="Q93">
        <v>0.29145900000000002</v>
      </c>
      <c r="R93">
        <v>0.28720000000000001</v>
      </c>
      <c r="S93">
        <v>0.28200199999999997</v>
      </c>
      <c r="T93">
        <v>0.27594999999999997</v>
      </c>
      <c r="U93">
        <v>0.26941599999999999</v>
      </c>
      <c r="V93">
        <v>0.26350699999999999</v>
      </c>
      <c r="W93">
        <v>0.25753199999999998</v>
      </c>
      <c r="X93">
        <v>0.25156000000000001</v>
      </c>
      <c r="Y93">
        <v>0.24576100000000001</v>
      </c>
      <c r="Z93">
        <v>0.24007899999999999</v>
      </c>
      <c r="AA93">
        <v>0.234488</v>
      </c>
      <c r="AB93">
        <v>0.22922899999999999</v>
      </c>
      <c r="AC93">
        <v>0.22398000000000001</v>
      </c>
      <c r="AD93">
        <v>0.21949299999999999</v>
      </c>
      <c r="AE93" t="s">
        <v>339</v>
      </c>
    </row>
    <row r="94" spans="1:31" x14ac:dyDescent="0.25">
      <c r="A94" t="s">
        <v>83</v>
      </c>
      <c r="B94" t="s">
        <v>340</v>
      </c>
      <c r="C94" t="s">
        <v>341</v>
      </c>
      <c r="D94" t="s">
        <v>70</v>
      </c>
      <c r="E94">
        <v>5.4394080000000002</v>
      </c>
      <c r="F94">
        <v>5.4562160000000004</v>
      </c>
      <c r="G94">
        <v>5.0324090000000004</v>
      </c>
      <c r="H94">
        <v>5.0098459999999996</v>
      </c>
      <c r="I94">
        <v>5.0277620000000001</v>
      </c>
      <c r="J94">
        <v>5.0445339999999996</v>
      </c>
      <c r="K94">
        <v>5.0235430000000001</v>
      </c>
      <c r="L94">
        <v>5.0326490000000002</v>
      </c>
      <c r="M94">
        <v>5.0594799999999998</v>
      </c>
      <c r="N94">
        <v>5.07639</v>
      </c>
      <c r="O94">
        <v>5.1059979999999996</v>
      </c>
      <c r="P94">
        <v>5.1351180000000003</v>
      </c>
      <c r="Q94">
        <v>5.1772850000000004</v>
      </c>
      <c r="R94">
        <v>5.2258399999999998</v>
      </c>
      <c r="S94">
        <v>5.2686159999999997</v>
      </c>
      <c r="T94">
        <v>5.2974969999999999</v>
      </c>
      <c r="U94">
        <v>5.330908</v>
      </c>
      <c r="V94">
        <v>5.3781319999999999</v>
      </c>
      <c r="W94">
        <v>5.431978</v>
      </c>
      <c r="X94">
        <v>5.4883639999999998</v>
      </c>
      <c r="Y94">
        <v>5.5370590000000002</v>
      </c>
      <c r="Z94">
        <v>5.59293</v>
      </c>
      <c r="AA94">
        <v>5.6490859999999996</v>
      </c>
      <c r="AB94">
        <v>5.7043990000000004</v>
      </c>
      <c r="AC94">
        <v>5.7533300000000001</v>
      </c>
      <c r="AD94">
        <v>5.8103400000000001</v>
      </c>
      <c r="AE94" t="s">
        <v>164</v>
      </c>
    </row>
    <row r="95" spans="1:31" x14ac:dyDescent="0.25">
      <c r="A95" t="s">
        <v>95</v>
      </c>
      <c r="B95" t="s">
        <v>342</v>
      </c>
      <c r="C95" t="s">
        <v>343</v>
      </c>
      <c r="D95" t="s">
        <v>70</v>
      </c>
      <c r="E95">
        <v>18.714155000000002</v>
      </c>
      <c r="F95">
        <v>18.476721999999999</v>
      </c>
      <c r="G95">
        <v>17.818992000000001</v>
      </c>
      <c r="H95">
        <v>17.613568999999998</v>
      </c>
      <c r="I95">
        <v>17.463518000000001</v>
      </c>
      <c r="J95">
        <v>17.280956</v>
      </c>
      <c r="K95">
        <v>17.002585</v>
      </c>
      <c r="L95">
        <v>16.815262000000001</v>
      </c>
      <c r="M95">
        <v>16.682466000000002</v>
      </c>
      <c r="N95">
        <v>16.530287000000001</v>
      </c>
      <c r="O95">
        <v>16.419574999999998</v>
      </c>
      <c r="P95">
        <v>16.319464</v>
      </c>
      <c r="Q95">
        <v>16.254771999999999</v>
      </c>
      <c r="R95">
        <v>16.213456000000001</v>
      </c>
      <c r="S95">
        <v>16.166691</v>
      </c>
      <c r="T95">
        <v>16.100884000000001</v>
      </c>
      <c r="U95">
        <v>16.047775000000001</v>
      </c>
      <c r="V95">
        <v>16.037863000000002</v>
      </c>
      <c r="W95">
        <v>16.048698000000002</v>
      </c>
      <c r="X95">
        <v>16.067042000000001</v>
      </c>
      <c r="Y95">
        <v>16.083355000000001</v>
      </c>
      <c r="Z95">
        <v>16.104934</v>
      </c>
      <c r="AA95">
        <v>16.125921000000002</v>
      </c>
      <c r="AB95">
        <v>16.145444999999999</v>
      </c>
      <c r="AC95">
        <v>16.153224000000002</v>
      </c>
      <c r="AD95">
        <v>16.179659000000001</v>
      </c>
      <c r="AE95" t="s">
        <v>344</v>
      </c>
    </row>
    <row r="96" spans="1:31" x14ac:dyDescent="0.25">
      <c r="A96" t="s">
        <v>85</v>
      </c>
      <c r="B96" t="s">
        <v>345</v>
      </c>
      <c r="C96" t="s">
        <v>346</v>
      </c>
      <c r="D96" t="s">
        <v>70</v>
      </c>
      <c r="E96">
        <v>0.16650400000000001</v>
      </c>
      <c r="F96">
        <v>0.21598700000000001</v>
      </c>
      <c r="G96">
        <v>0.26925399999999999</v>
      </c>
      <c r="H96">
        <v>0.33085999999999999</v>
      </c>
      <c r="I96">
        <v>0.39272000000000001</v>
      </c>
      <c r="J96">
        <v>0.449766</v>
      </c>
      <c r="K96">
        <v>0.49374200000000001</v>
      </c>
      <c r="L96">
        <v>0.53491900000000003</v>
      </c>
      <c r="M96">
        <v>0.57697699999999996</v>
      </c>
      <c r="N96">
        <v>0.61697199999999996</v>
      </c>
      <c r="O96">
        <v>0.658331</v>
      </c>
      <c r="P96">
        <v>0.69895600000000002</v>
      </c>
      <c r="Q96">
        <v>0.74106099999999997</v>
      </c>
      <c r="R96">
        <v>0.78339899999999996</v>
      </c>
      <c r="S96">
        <v>0.82336200000000004</v>
      </c>
      <c r="T96">
        <v>0.860931</v>
      </c>
      <c r="U96">
        <v>0.89607599999999998</v>
      </c>
      <c r="V96">
        <v>0.93168899999999999</v>
      </c>
      <c r="W96">
        <v>0.96628400000000003</v>
      </c>
      <c r="X96">
        <v>0.99983</v>
      </c>
      <c r="Y96">
        <v>1.032259</v>
      </c>
      <c r="Z96">
        <v>1.063375</v>
      </c>
      <c r="AA96">
        <v>1.0932949999999999</v>
      </c>
      <c r="AB96">
        <v>1.122296</v>
      </c>
      <c r="AC96">
        <v>1.147967</v>
      </c>
      <c r="AD96">
        <v>1.1745829999999999</v>
      </c>
      <c r="AE96" t="s">
        <v>347</v>
      </c>
    </row>
    <row r="97" spans="1:31" x14ac:dyDescent="0.25">
      <c r="A97" t="s">
        <v>86</v>
      </c>
      <c r="B97" t="s">
        <v>348</v>
      </c>
      <c r="C97" t="s">
        <v>349</v>
      </c>
      <c r="D97" t="s">
        <v>70</v>
      </c>
      <c r="E97">
        <v>0.18513299999999999</v>
      </c>
      <c r="F97">
        <v>0.19618099999999999</v>
      </c>
      <c r="G97">
        <v>0.20807</v>
      </c>
      <c r="H97">
        <v>0.22029000000000001</v>
      </c>
      <c r="I97">
        <v>0.23191400000000001</v>
      </c>
      <c r="J97">
        <v>0.24404699999999999</v>
      </c>
      <c r="K97">
        <v>0.25698700000000002</v>
      </c>
      <c r="L97">
        <v>0.26999400000000001</v>
      </c>
      <c r="M97">
        <v>0.283557</v>
      </c>
      <c r="N97">
        <v>0.29791299999999998</v>
      </c>
      <c r="O97">
        <v>0.31315100000000001</v>
      </c>
      <c r="P97">
        <v>0.32913300000000001</v>
      </c>
      <c r="Q97">
        <v>0.346163</v>
      </c>
      <c r="R97">
        <v>0.36398999999999998</v>
      </c>
      <c r="S97">
        <v>0.38263399999999997</v>
      </c>
      <c r="T97">
        <v>0.401916</v>
      </c>
      <c r="U97">
        <v>0.42191800000000002</v>
      </c>
      <c r="V97">
        <v>0.44253399999999998</v>
      </c>
      <c r="W97">
        <v>0.46366400000000002</v>
      </c>
      <c r="X97">
        <v>0.48558299999999999</v>
      </c>
      <c r="Y97">
        <v>0.50805900000000004</v>
      </c>
      <c r="Z97">
        <v>0.53127999999999997</v>
      </c>
      <c r="AA97">
        <v>0.55522800000000005</v>
      </c>
      <c r="AB97">
        <v>0.58008000000000004</v>
      </c>
      <c r="AC97">
        <v>0.60541100000000003</v>
      </c>
      <c r="AD97">
        <v>0.63153300000000001</v>
      </c>
      <c r="AE97" t="s">
        <v>222</v>
      </c>
    </row>
    <row r="98" spans="1:31" x14ac:dyDescent="0.25">
      <c r="A98" t="s">
        <v>96</v>
      </c>
      <c r="B98" t="s">
        <v>350</v>
      </c>
      <c r="C98" t="s">
        <v>351</v>
      </c>
      <c r="D98" t="s">
        <v>70</v>
      </c>
      <c r="E98">
        <v>18.695526000000001</v>
      </c>
      <c r="F98">
        <v>18.496528000000001</v>
      </c>
      <c r="G98">
        <v>17.880175999999999</v>
      </c>
      <c r="H98">
        <v>17.724139000000001</v>
      </c>
      <c r="I98">
        <v>17.624324000000001</v>
      </c>
      <c r="J98">
        <v>17.486674000000001</v>
      </c>
      <c r="K98">
        <v>17.239339999999999</v>
      </c>
      <c r="L98">
        <v>17.080186999999999</v>
      </c>
      <c r="M98">
        <v>16.975885999999999</v>
      </c>
      <c r="N98">
        <v>16.849346000000001</v>
      </c>
      <c r="O98">
        <v>16.764755000000001</v>
      </c>
      <c r="P98">
        <v>16.689287</v>
      </c>
      <c r="Q98">
        <v>16.64967</v>
      </c>
      <c r="R98">
        <v>16.632864999999999</v>
      </c>
      <c r="S98">
        <v>16.607420000000001</v>
      </c>
      <c r="T98">
        <v>16.559899000000001</v>
      </c>
      <c r="U98">
        <v>16.521933000000001</v>
      </c>
      <c r="V98">
        <v>16.527018000000002</v>
      </c>
      <c r="W98">
        <v>16.551317999999998</v>
      </c>
      <c r="X98">
        <v>16.581289000000002</v>
      </c>
      <c r="Y98">
        <v>16.607555999999999</v>
      </c>
      <c r="Z98">
        <v>16.637028999999998</v>
      </c>
      <c r="AA98">
        <v>16.663988</v>
      </c>
      <c r="AB98">
        <v>16.687660999999999</v>
      </c>
      <c r="AC98">
        <v>16.695779999999999</v>
      </c>
      <c r="AD98">
        <v>16.722708999999998</v>
      </c>
      <c r="AE98" t="s">
        <v>196</v>
      </c>
    </row>
    <row r="99" spans="1:31" x14ac:dyDescent="0.25">
      <c r="A99" t="s">
        <v>97</v>
      </c>
    </row>
    <row r="100" spans="1:31" x14ac:dyDescent="0.25">
      <c r="A100" t="s">
        <v>98</v>
      </c>
      <c r="B100" t="s">
        <v>352</v>
      </c>
      <c r="C100" t="s">
        <v>353</v>
      </c>
      <c r="D100" t="s">
        <v>70</v>
      </c>
      <c r="E100">
        <v>4.9686000000000001E-2</v>
      </c>
      <c r="F100">
        <v>4.8801999999999998E-2</v>
      </c>
      <c r="G100">
        <v>4.9417000000000003E-2</v>
      </c>
      <c r="H100">
        <v>4.8901E-2</v>
      </c>
      <c r="I100">
        <v>4.8594999999999999E-2</v>
      </c>
      <c r="J100">
        <v>4.8425999999999997E-2</v>
      </c>
      <c r="K100">
        <v>4.8259000000000003E-2</v>
      </c>
      <c r="L100">
        <v>4.7826E-2</v>
      </c>
      <c r="M100">
        <v>4.7667000000000001E-2</v>
      </c>
      <c r="N100">
        <v>4.7592000000000002E-2</v>
      </c>
      <c r="O100">
        <v>4.7390000000000002E-2</v>
      </c>
      <c r="P100">
        <v>4.7232999999999997E-2</v>
      </c>
      <c r="Q100">
        <v>4.7174000000000001E-2</v>
      </c>
      <c r="R100">
        <v>4.7140000000000001E-2</v>
      </c>
      <c r="S100">
        <v>4.7048E-2</v>
      </c>
      <c r="T100">
        <v>4.7018999999999998E-2</v>
      </c>
      <c r="U100">
        <v>4.6747999999999998E-2</v>
      </c>
      <c r="V100">
        <v>4.6573000000000003E-2</v>
      </c>
      <c r="W100">
        <v>4.6286000000000001E-2</v>
      </c>
      <c r="X100">
        <v>4.6039999999999998E-2</v>
      </c>
      <c r="Y100">
        <v>4.5849000000000001E-2</v>
      </c>
      <c r="Z100">
        <v>4.5747999999999997E-2</v>
      </c>
      <c r="AA100">
        <v>4.5539999999999997E-2</v>
      </c>
      <c r="AB100">
        <v>4.5422999999999998E-2</v>
      </c>
      <c r="AC100">
        <v>4.5241000000000003E-2</v>
      </c>
      <c r="AD100">
        <v>4.4974E-2</v>
      </c>
      <c r="AE100" t="s">
        <v>196</v>
      </c>
    </row>
    <row r="101" spans="1:31" x14ac:dyDescent="0.25">
      <c r="A101" t="s">
        <v>99</v>
      </c>
      <c r="B101" t="s">
        <v>354</v>
      </c>
      <c r="C101" t="s">
        <v>355</v>
      </c>
      <c r="D101" t="s">
        <v>70</v>
      </c>
      <c r="E101">
        <v>0.224384</v>
      </c>
      <c r="F101">
        <v>0.23718500000000001</v>
      </c>
      <c r="G101">
        <v>0.25163400000000002</v>
      </c>
      <c r="H101">
        <v>0.26653700000000002</v>
      </c>
      <c r="I101">
        <v>0.28042699999999998</v>
      </c>
      <c r="J101">
        <v>0.29501699999999997</v>
      </c>
      <c r="K101">
        <v>0.31080999999999998</v>
      </c>
      <c r="L101">
        <v>0.32653300000000002</v>
      </c>
      <c r="M101">
        <v>0.34300900000000001</v>
      </c>
      <c r="N101">
        <v>0.36046800000000001</v>
      </c>
      <c r="O101">
        <v>0.37908199999999997</v>
      </c>
      <c r="P101">
        <v>0.39858300000000002</v>
      </c>
      <c r="Q101">
        <v>0.41947099999999998</v>
      </c>
      <c r="R101">
        <v>0.44134200000000001</v>
      </c>
      <c r="S101">
        <v>0.46438400000000002</v>
      </c>
      <c r="T101">
        <v>0.48823499999999997</v>
      </c>
      <c r="U101">
        <v>0.51302899999999996</v>
      </c>
      <c r="V101">
        <v>0.53851700000000002</v>
      </c>
      <c r="W101">
        <v>0.56479400000000002</v>
      </c>
      <c r="X101">
        <v>0.59208700000000003</v>
      </c>
      <c r="Y101">
        <v>0.61999599999999999</v>
      </c>
      <c r="Z101">
        <v>0.64872200000000002</v>
      </c>
      <c r="AA101">
        <v>0.67828999999999995</v>
      </c>
      <c r="AB101">
        <v>0.70909100000000003</v>
      </c>
      <c r="AC101">
        <v>0.74038099999999996</v>
      </c>
      <c r="AD101">
        <v>0.77279299999999995</v>
      </c>
      <c r="AE101" t="s">
        <v>356</v>
      </c>
    </row>
    <row r="102" spans="1:31" x14ac:dyDescent="0.25">
      <c r="A102" t="s">
        <v>100</v>
      </c>
      <c r="B102" t="s">
        <v>357</v>
      </c>
      <c r="C102" t="s">
        <v>358</v>
      </c>
      <c r="D102" t="s">
        <v>70</v>
      </c>
      <c r="E102">
        <v>5.8799999999999998E-4</v>
      </c>
      <c r="F102">
        <v>5.8799999999999998E-4</v>
      </c>
      <c r="G102">
        <v>5.8900000000000001E-4</v>
      </c>
      <c r="H102">
        <v>5.9000000000000003E-4</v>
      </c>
      <c r="I102">
        <v>5.9100000000000005E-4</v>
      </c>
      <c r="J102">
        <v>5.9199999999999997E-4</v>
      </c>
      <c r="K102">
        <v>5.9599999999999996E-4</v>
      </c>
      <c r="L102">
        <v>6.0099999999999997E-4</v>
      </c>
      <c r="M102">
        <v>6.0800000000000003E-4</v>
      </c>
      <c r="N102">
        <v>6.1899999999999998E-4</v>
      </c>
      <c r="O102">
        <v>6.3199999999999997E-4</v>
      </c>
      <c r="P102">
        <v>6.4599999999999998E-4</v>
      </c>
      <c r="Q102">
        <v>6.6200000000000005E-4</v>
      </c>
      <c r="R102">
        <v>6.78E-4</v>
      </c>
      <c r="S102">
        <v>6.9499999999999998E-4</v>
      </c>
      <c r="T102">
        <v>7.1299999999999998E-4</v>
      </c>
      <c r="U102">
        <v>7.3300000000000004E-4</v>
      </c>
      <c r="V102">
        <v>7.54E-4</v>
      </c>
      <c r="W102">
        <v>7.76E-4</v>
      </c>
      <c r="X102">
        <v>7.9900000000000001E-4</v>
      </c>
      <c r="Y102">
        <v>8.2200000000000003E-4</v>
      </c>
      <c r="Z102">
        <v>8.4699999999999999E-4</v>
      </c>
      <c r="AA102">
        <v>8.7299999999999997E-4</v>
      </c>
      <c r="AB102">
        <v>9.0300000000000005E-4</v>
      </c>
      <c r="AC102">
        <v>9.3300000000000002E-4</v>
      </c>
      <c r="AD102">
        <v>9.6299999999999999E-4</v>
      </c>
      <c r="AE102" t="s">
        <v>359</v>
      </c>
    </row>
    <row r="103" spans="1:31" x14ac:dyDescent="0.25">
      <c r="A103" t="s">
        <v>58</v>
      </c>
      <c r="B103" t="s">
        <v>360</v>
      </c>
      <c r="C103" t="s">
        <v>361</v>
      </c>
      <c r="D103" t="s">
        <v>70</v>
      </c>
      <c r="E103">
        <v>0.27465800000000001</v>
      </c>
      <c r="F103">
        <v>0.28657500000000002</v>
      </c>
      <c r="G103">
        <v>0.30164000000000002</v>
      </c>
      <c r="H103">
        <v>0.31602799999999998</v>
      </c>
      <c r="I103">
        <v>0.32961200000000002</v>
      </c>
      <c r="J103">
        <v>0.34403499999999998</v>
      </c>
      <c r="K103">
        <v>0.35966399999999998</v>
      </c>
      <c r="L103">
        <v>0.37496000000000002</v>
      </c>
      <c r="M103">
        <v>0.39128400000000002</v>
      </c>
      <c r="N103">
        <v>0.40867900000000001</v>
      </c>
      <c r="O103">
        <v>0.42710399999999998</v>
      </c>
      <c r="P103">
        <v>0.446461</v>
      </c>
      <c r="Q103">
        <v>0.467306</v>
      </c>
      <c r="R103">
        <v>0.48915999999999998</v>
      </c>
      <c r="S103">
        <v>0.512127</v>
      </c>
      <c r="T103">
        <v>0.53596699999999997</v>
      </c>
      <c r="U103">
        <v>0.56050999999999995</v>
      </c>
      <c r="V103">
        <v>0.58584400000000003</v>
      </c>
      <c r="W103">
        <v>0.61185599999999996</v>
      </c>
      <c r="X103">
        <v>0.63892599999999999</v>
      </c>
      <c r="Y103">
        <v>0.66666700000000001</v>
      </c>
      <c r="Z103">
        <v>0.69531799999999999</v>
      </c>
      <c r="AA103">
        <v>0.72470199999999996</v>
      </c>
      <c r="AB103">
        <v>0.75541700000000001</v>
      </c>
      <c r="AC103">
        <v>0.786555</v>
      </c>
      <c r="AD103">
        <v>0.81872999999999996</v>
      </c>
      <c r="AE103" t="s">
        <v>362</v>
      </c>
    </row>
    <row r="104" spans="1:31" x14ac:dyDescent="0.25">
      <c r="A104" t="s">
        <v>46</v>
      </c>
    </row>
    <row r="105" spans="1:31" x14ac:dyDescent="0.25">
      <c r="A105" t="s">
        <v>101</v>
      </c>
      <c r="B105" t="s">
        <v>363</v>
      </c>
      <c r="C105" t="s">
        <v>364</v>
      </c>
      <c r="D105" t="s">
        <v>102</v>
      </c>
      <c r="E105">
        <v>6045</v>
      </c>
      <c r="F105">
        <v>5873</v>
      </c>
      <c r="G105">
        <v>5850</v>
      </c>
      <c r="H105">
        <v>5826</v>
      </c>
      <c r="I105">
        <v>5803</v>
      </c>
      <c r="J105">
        <v>5779</v>
      </c>
      <c r="K105">
        <v>5755</v>
      </c>
      <c r="L105">
        <v>5732</v>
      </c>
      <c r="M105">
        <v>5708</v>
      </c>
      <c r="N105">
        <v>5684</v>
      </c>
      <c r="O105">
        <v>5661</v>
      </c>
      <c r="P105">
        <v>5637</v>
      </c>
      <c r="Q105">
        <v>5613</v>
      </c>
      <c r="R105">
        <v>5589</v>
      </c>
      <c r="S105">
        <v>5566</v>
      </c>
      <c r="T105">
        <v>5542</v>
      </c>
      <c r="U105">
        <v>5518</v>
      </c>
      <c r="V105">
        <v>5495</v>
      </c>
      <c r="W105">
        <v>5471</v>
      </c>
      <c r="X105">
        <v>5447</v>
      </c>
      <c r="Y105">
        <v>5423</v>
      </c>
      <c r="Z105">
        <v>5400</v>
      </c>
      <c r="AA105">
        <v>5376</v>
      </c>
      <c r="AB105">
        <v>5352</v>
      </c>
      <c r="AC105">
        <v>5328</v>
      </c>
      <c r="AD105">
        <v>5305</v>
      </c>
      <c r="AE105" t="s">
        <v>365</v>
      </c>
    </row>
    <row r="106" spans="1:31" x14ac:dyDescent="0.25">
      <c r="A106" t="s">
        <v>103</v>
      </c>
      <c r="B106" t="s">
        <v>366</v>
      </c>
      <c r="C106" t="s">
        <v>367</v>
      </c>
      <c r="D106" t="s">
        <v>102</v>
      </c>
      <c r="E106">
        <v>5404</v>
      </c>
      <c r="F106">
        <v>5271</v>
      </c>
      <c r="G106">
        <v>5249</v>
      </c>
      <c r="H106">
        <v>5228</v>
      </c>
      <c r="I106">
        <v>5207</v>
      </c>
      <c r="J106">
        <v>5185</v>
      </c>
      <c r="K106">
        <v>5164</v>
      </c>
      <c r="L106">
        <v>5142</v>
      </c>
      <c r="M106">
        <v>5121</v>
      </c>
      <c r="N106">
        <v>5100</v>
      </c>
      <c r="O106">
        <v>5078</v>
      </c>
      <c r="P106">
        <v>5057</v>
      </c>
      <c r="Q106">
        <v>5035</v>
      </c>
      <c r="R106">
        <v>5014</v>
      </c>
      <c r="S106">
        <v>4993</v>
      </c>
      <c r="T106">
        <v>4971</v>
      </c>
      <c r="U106">
        <v>4950</v>
      </c>
      <c r="V106">
        <v>4929</v>
      </c>
      <c r="W106">
        <v>4907</v>
      </c>
      <c r="X106">
        <v>4886</v>
      </c>
      <c r="Y106">
        <v>4865</v>
      </c>
      <c r="Z106">
        <v>4843</v>
      </c>
      <c r="AA106">
        <v>4822</v>
      </c>
      <c r="AB106">
        <v>4801</v>
      </c>
      <c r="AC106">
        <v>4780</v>
      </c>
      <c r="AD106">
        <v>4758</v>
      </c>
      <c r="AE106" t="s">
        <v>365</v>
      </c>
    </row>
    <row r="107" spans="1:31" x14ac:dyDescent="0.25">
      <c r="A107" t="s">
        <v>104</v>
      </c>
      <c r="B107" t="s">
        <v>368</v>
      </c>
      <c r="C107" t="s">
        <v>369</v>
      </c>
      <c r="D107" t="s">
        <v>102</v>
      </c>
      <c r="E107">
        <v>5984</v>
      </c>
      <c r="F107">
        <v>5836</v>
      </c>
      <c r="G107">
        <v>5817</v>
      </c>
      <c r="H107">
        <v>5798</v>
      </c>
      <c r="I107">
        <v>5779</v>
      </c>
      <c r="J107">
        <v>5760</v>
      </c>
      <c r="K107">
        <v>5741</v>
      </c>
      <c r="L107">
        <v>5722</v>
      </c>
      <c r="M107">
        <v>5703</v>
      </c>
      <c r="N107">
        <v>5683</v>
      </c>
      <c r="O107">
        <v>5664</v>
      </c>
      <c r="P107">
        <v>5645</v>
      </c>
      <c r="Q107">
        <v>5626</v>
      </c>
      <c r="R107">
        <v>5607</v>
      </c>
      <c r="S107">
        <v>5588</v>
      </c>
      <c r="T107">
        <v>5569</v>
      </c>
      <c r="U107">
        <v>5549</v>
      </c>
      <c r="V107">
        <v>5530</v>
      </c>
      <c r="W107">
        <v>5511</v>
      </c>
      <c r="X107">
        <v>5492</v>
      </c>
      <c r="Y107">
        <v>5473</v>
      </c>
      <c r="Z107">
        <v>5453</v>
      </c>
      <c r="AA107">
        <v>5434</v>
      </c>
      <c r="AB107">
        <v>5415</v>
      </c>
      <c r="AC107">
        <v>5396</v>
      </c>
      <c r="AD107">
        <v>5377</v>
      </c>
      <c r="AE107" t="s">
        <v>196</v>
      </c>
    </row>
    <row r="108" spans="1:31" x14ac:dyDescent="0.25">
      <c r="A108" t="s">
        <v>105</v>
      </c>
      <c r="B108" t="s">
        <v>370</v>
      </c>
      <c r="C108" t="s">
        <v>371</v>
      </c>
      <c r="D108" t="s">
        <v>102</v>
      </c>
      <c r="E108">
        <v>6267</v>
      </c>
      <c r="F108">
        <v>6263</v>
      </c>
      <c r="G108">
        <v>6251</v>
      </c>
      <c r="H108">
        <v>6239</v>
      </c>
      <c r="I108">
        <v>6227</v>
      </c>
      <c r="J108">
        <v>6215</v>
      </c>
      <c r="K108">
        <v>6203</v>
      </c>
      <c r="L108">
        <v>6191</v>
      </c>
      <c r="M108">
        <v>6178</v>
      </c>
      <c r="N108">
        <v>6166</v>
      </c>
      <c r="O108">
        <v>6153</v>
      </c>
      <c r="P108">
        <v>6141</v>
      </c>
      <c r="Q108">
        <v>6128</v>
      </c>
      <c r="R108">
        <v>6116</v>
      </c>
      <c r="S108">
        <v>6103</v>
      </c>
      <c r="T108">
        <v>6091</v>
      </c>
      <c r="U108">
        <v>6078</v>
      </c>
      <c r="V108">
        <v>6066</v>
      </c>
      <c r="W108">
        <v>6053</v>
      </c>
      <c r="X108">
        <v>6040</v>
      </c>
      <c r="Y108">
        <v>6028</v>
      </c>
      <c r="Z108">
        <v>6015</v>
      </c>
      <c r="AA108">
        <v>6002</v>
      </c>
      <c r="AB108">
        <v>5990</v>
      </c>
      <c r="AC108">
        <v>5977</v>
      </c>
      <c r="AD108">
        <v>5964</v>
      </c>
      <c r="AE108" t="s">
        <v>260</v>
      </c>
    </row>
    <row r="109" spans="1:31" x14ac:dyDescent="0.25">
      <c r="A109" t="s">
        <v>106</v>
      </c>
      <c r="B109" t="s">
        <v>372</v>
      </c>
      <c r="C109" t="s">
        <v>373</v>
      </c>
      <c r="D109" t="s">
        <v>102</v>
      </c>
      <c r="E109">
        <v>2431</v>
      </c>
      <c r="F109">
        <v>2296</v>
      </c>
      <c r="G109">
        <v>2280</v>
      </c>
      <c r="H109">
        <v>2263</v>
      </c>
      <c r="I109">
        <v>2245</v>
      </c>
      <c r="J109">
        <v>2228</v>
      </c>
      <c r="K109">
        <v>2210</v>
      </c>
      <c r="L109">
        <v>2192</v>
      </c>
      <c r="M109">
        <v>2175</v>
      </c>
      <c r="N109">
        <v>2157</v>
      </c>
      <c r="O109">
        <v>2139</v>
      </c>
      <c r="P109">
        <v>2122</v>
      </c>
      <c r="Q109">
        <v>2104</v>
      </c>
      <c r="R109">
        <v>2087</v>
      </c>
      <c r="S109">
        <v>2069</v>
      </c>
      <c r="T109">
        <v>2052</v>
      </c>
      <c r="U109">
        <v>2034</v>
      </c>
      <c r="V109">
        <v>2017</v>
      </c>
      <c r="W109">
        <v>2000</v>
      </c>
      <c r="X109">
        <v>1982</v>
      </c>
      <c r="Y109">
        <v>1965</v>
      </c>
      <c r="Z109">
        <v>1948</v>
      </c>
      <c r="AA109">
        <v>1930</v>
      </c>
      <c r="AB109">
        <v>1913</v>
      </c>
      <c r="AC109">
        <v>1896</v>
      </c>
      <c r="AD109">
        <v>1879</v>
      </c>
      <c r="AE109" t="s">
        <v>167</v>
      </c>
    </row>
    <row r="110" spans="1:31" x14ac:dyDescent="0.25">
      <c r="A110" t="s">
        <v>107</v>
      </c>
      <c r="B110" t="s">
        <v>374</v>
      </c>
      <c r="C110" t="s">
        <v>375</v>
      </c>
      <c r="D110" t="s">
        <v>102</v>
      </c>
      <c r="E110">
        <v>3231</v>
      </c>
      <c r="F110">
        <v>3099</v>
      </c>
      <c r="G110">
        <v>3084</v>
      </c>
      <c r="H110">
        <v>3069</v>
      </c>
      <c r="I110">
        <v>3053</v>
      </c>
      <c r="J110">
        <v>3038</v>
      </c>
      <c r="K110">
        <v>3023</v>
      </c>
      <c r="L110">
        <v>3008</v>
      </c>
      <c r="M110">
        <v>2992</v>
      </c>
      <c r="N110">
        <v>2977</v>
      </c>
      <c r="O110">
        <v>2961</v>
      </c>
      <c r="P110">
        <v>2946</v>
      </c>
      <c r="Q110">
        <v>2930</v>
      </c>
      <c r="R110">
        <v>2915</v>
      </c>
      <c r="S110">
        <v>2900</v>
      </c>
      <c r="T110">
        <v>2884</v>
      </c>
      <c r="U110">
        <v>2869</v>
      </c>
      <c r="V110">
        <v>2853</v>
      </c>
      <c r="W110">
        <v>2838</v>
      </c>
      <c r="X110">
        <v>2822</v>
      </c>
      <c r="Y110">
        <v>2807</v>
      </c>
      <c r="Z110">
        <v>2791</v>
      </c>
      <c r="AA110">
        <v>2776</v>
      </c>
      <c r="AB110">
        <v>2760</v>
      </c>
      <c r="AC110">
        <v>2745</v>
      </c>
      <c r="AD110">
        <v>2730</v>
      </c>
      <c r="AE110" t="s">
        <v>242</v>
      </c>
    </row>
    <row r="111" spans="1:31" x14ac:dyDescent="0.25">
      <c r="A111" t="s">
        <v>108</v>
      </c>
      <c r="B111" t="s">
        <v>376</v>
      </c>
      <c r="C111" t="s">
        <v>377</v>
      </c>
      <c r="D111" t="s">
        <v>102</v>
      </c>
      <c r="E111">
        <v>1966</v>
      </c>
      <c r="F111">
        <v>1889</v>
      </c>
      <c r="G111">
        <v>1880</v>
      </c>
      <c r="H111">
        <v>1870</v>
      </c>
      <c r="I111">
        <v>1860</v>
      </c>
      <c r="J111">
        <v>1851</v>
      </c>
      <c r="K111">
        <v>1841</v>
      </c>
      <c r="L111">
        <v>1831</v>
      </c>
      <c r="M111">
        <v>1822</v>
      </c>
      <c r="N111">
        <v>1812</v>
      </c>
      <c r="O111">
        <v>1803</v>
      </c>
      <c r="P111">
        <v>1793</v>
      </c>
      <c r="Q111">
        <v>1784</v>
      </c>
      <c r="R111">
        <v>1774</v>
      </c>
      <c r="S111">
        <v>1765</v>
      </c>
      <c r="T111">
        <v>1756</v>
      </c>
      <c r="U111">
        <v>1746</v>
      </c>
      <c r="V111">
        <v>1737</v>
      </c>
      <c r="W111">
        <v>1728</v>
      </c>
      <c r="X111">
        <v>1718</v>
      </c>
      <c r="Y111">
        <v>1709</v>
      </c>
      <c r="Z111">
        <v>1700</v>
      </c>
      <c r="AA111">
        <v>1690</v>
      </c>
      <c r="AB111">
        <v>1681</v>
      </c>
      <c r="AC111">
        <v>1672</v>
      </c>
      <c r="AD111">
        <v>1663</v>
      </c>
      <c r="AE111" t="s">
        <v>242</v>
      </c>
    </row>
    <row r="112" spans="1:31" x14ac:dyDescent="0.25">
      <c r="A112" t="s">
        <v>109</v>
      </c>
      <c r="B112" t="s">
        <v>378</v>
      </c>
      <c r="C112" t="s">
        <v>379</v>
      </c>
      <c r="D112" t="s">
        <v>102</v>
      </c>
      <c r="E112">
        <v>4734</v>
      </c>
      <c r="F112">
        <v>4833</v>
      </c>
      <c r="G112">
        <v>4825</v>
      </c>
      <c r="H112">
        <v>4816</v>
      </c>
      <c r="I112">
        <v>4807</v>
      </c>
      <c r="J112">
        <v>4799</v>
      </c>
      <c r="K112">
        <v>4790</v>
      </c>
      <c r="L112">
        <v>4782</v>
      </c>
      <c r="M112">
        <v>4774</v>
      </c>
      <c r="N112">
        <v>4766</v>
      </c>
      <c r="O112">
        <v>4758</v>
      </c>
      <c r="P112">
        <v>4750</v>
      </c>
      <c r="Q112">
        <v>4742</v>
      </c>
      <c r="R112">
        <v>4734</v>
      </c>
      <c r="S112">
        <v>4726</v>
      </c>
      <c r="T112">
        <v>4718</v>
      </c>
      <c r="U112">
        <v>4710</v>
      </c>
      <c r="V112">
        <v>4702</v>
      </c>
      <c r="W112">
        <v>4694</v>
      </c>
      <c r="X112">
        <v>4687</v>
      </c>
      <c r="Y112">
        <v>4679</v>
      </c>
      <c r="Z112">
        <v>4671</v>
      </c>
      <c r="AA112">
        <v>4664</v>
      </c>
      <c r="AB112">
        <v>4656</v>
      </c>
      <c r="AC112">
        <v>4648</v>
      </c>
      <c r="AD112">
        <v>4641</v>
      </c>
      <c r="AE112" t="s">
        <v>231</v>
      </c>
    </row>
    <row r="113" spans="1:31" x14ac:dyDescent="0.25">
      <c r="A113" t="s">
        <v>110</v>
      </c>
      <c r="B113" t="s">
        <v>380</v>
      </c>
      <c r="C113" t="s">
        <v>381</v>
      </c>
      <c r="D113" t="s">
        <v>102</v>
      </c>
      <c r="E113">
        <v>3251</v>
      </c>
      <c r="F113">
        <v>3291</v>
      </c>
      <c r="G113">
        <v>3285</v>
      </c>
      <c r="H113">
        <v>3279</v>
      </c>
      <c r="I113">
        <v>3272</v>
      </c>
      <c r="J113">
        <v>3266</v>
      </c>
      <c r="K113">
        <v>3259</v>
      </c>
      <c r="L113">
        <v>3252</v>
      </c>
      <c r="M113">
        <v>3245</v>
      </c>
      <c r="N113">
        <v>3238</v>
      </c>
      <c r="O113">
        <v>3231</v>
      </c>
      <c r="P113">
        <v>3224</v>
      </c>
      <c r="Q113">
        <v>3216</v>
      </c>
      <c r="R113">
        <v>3209</v>
      </c>
      <c r="S113">
        <v>3202</v>
      </c>
      <c r="T113">
        <v>3195</v>
      </c>
      <c r="U113">
        <v>3187</v>
      </c>
      <c r="V113">
        <v>3180</v>
      </c>
      <c r="W113">
        <v>3173</v>
      </c>
      <c r="X113">
        <v>3165</v>
      </c>
      <c r="Y113">
        <v>3158</v>
      </c>
      <c r="Z113">
        <v>3151</v>
      </c>
      <c r="AA113">
        <v>3143</v>
      </c>
      <c r="AB113">
        <v>3136</v>
      </c>
      <c r="AC113">
        <v>3129</v>
      </c>
      <c r="AD113">
        <v>3122</v>
      </c>
      <c r="AE113" t="s">
        <v>260</v>
      </c>
    </row>
    <row r="114" spans="1:31" x14ac:dyDescent="0.25">
      <c r="A114" t="s">
        <v>111</v>
      </c>
      <c r="B114" t="s">
        <v>382</v>
      </c>
      <c r="C114" t="s">
        <v>383</v>
      </c>
      <c r="D114" t="s">
        <v>102</v>
      </c>
      <c r="E114">
        <v>3989.5722660000001</v>
      </c>
      <c r="F114">
        <v>3910.1059570000002</v>
      </c>
      <c r="G114">
        <v>3891.6015619999998</v>
      </c>
      <c r="H114">
        <v>3872.8251949999999</v>
      </c>
      <c r="I114">
        <v>3853.7155760000001</v>
      </c>
      <c r="J114">
        <v>3835.1279300000001</v>
      </c>
      <c r="K114">
        <v>3816.111328</v>
      </c>
      <c r="L114">
        <v>3797.1376949999999</v>
      </c>
      <c r="M114">
        <v>3778.5009770000001</v>
      </c>
      <c r="N114">
        <v>3759.5527339999999</v>
      </c>
      <c r="O114">
        <v>3740.7109380000002</v>
      </c>
      <c r="P114">
        <v>3722.1608890000002</v>
      </c>
      <c r="Q114">
        <v>3703.157471</v>
      </c>
      <c r="R114">
        <v>3684.6523440000001</v>
      </c>
      <c r="S114">
        <v>3666.0649410000001</v>
      </c>
      <c r="T114">
        <v>3647.5561520000001</v>
      </c>
      <c r="U114">
        <v>3628.524414</v>
      </c>
      <c r="V114">
        <v>3610.1992190000001</v>
      </c>
      <c r="W114">
        <v>3591.7321780000002</v>
      </c>
      <c r="X114">
        <v>3572.9052729999999</v>
      </c>
      <c r="Y114">
        <v>3554.6525879999999</v>
      </c>
      <c r="Z114">
        <v>3536.1577149999998</v>
      </c>
      <c r="AA114">
        <v>3517.584961</v>
      </c>
      <c r="AB114">
        <v>3499.5966800000001</v>
      </c>
      <c r="AC114">
        <v>3481.7885740000002</v>
      </c>
      <c r="AD114">
        <v>3464.116211</v>
      </c>
      <c r="AE114" t="s">
        <v>344</v>
      </c>
    </row>
    <row r="115" spans="1:31" x14ac:dyDescent="0.25">
      <c r="A115" t="s">
        <v>47</v>
      </c>
    </row>
    <row r="116" spans="1:31" x14ac:dyDescent="0.25">
      <c r="A116" t="s">
        <v>101</v>
      </c>
      <c r="B116" t="s">
        <v>384</v>
      </c>
      <c r="C116" t="s">
        <v>385</v>
      </c>
      <c r="D116" t="s">
        <v>112</v>
      </c>
      <c r="E116">
        <v>530</v>
      </c>
      <c r="F116">
        <v>626</v>
      </c>
      <c r="G116">
        <v>633</v>
      </c>
      <c r="H116">
        <v>640</v>
      </c>
      <c r="I116">
        <v>647</v>
      </c>
      <c r="J116">
        <v>654</v>
      </c>
      <c r="K116">
        <v>662</v>
      </c>
      <c r="L116">
        <v>669</v>
      </c>
      <c r="M116">
        <v>676</v>
      </c>
      <c r="N116">
        <v>683</v>
      </c>
      <c r="O116">
        <v>690</v>
      </c>
      <c r="P116">
        <v>697</v>
      </c>
      <c r="Q116">
        <v>704</v>
      </c>
      <c r="R116">
        <v>712</v>
      </c>
      <c r="S116">
        <v>719</v>
      </c>
      <c r="T116">
        <v>726</v>
      </c>
      <c r="U116">
        <v>733</v>
      </c>
      <c r="V116">
        <v>740</v>
      </c>
      <c r="W116">
        <v>747</v>
      </c>
      <c r="X116">
        <v>754</v>
      </c>
      <c r="Y116">
        <v>761</v>
      </c>
      <c r="Z116">
        <v>769</v>
      </c>
      <c r="AA116">
        <v>776</v>
      </c>
      <c r="AB116">
        <v>783</v>
      </c>
      <c r="AC116">
        <v>790</v>
      </c>
      <c r="AD116">
        <v>797</v>
      </c>
      <c r="AE116" t="s">
        <v>386</v>
      </c>
    </row>
    <row r="117" spans="1:31" x14ac:dyDescent="0.25">
      <c r="A117" t="s">
        <v>103</v>
      </c>
      <c r="B117" t="s">
        <v>387</v>
      </c>
      <c r="C117" t="s">
        <v>388</v>
      </c>
      <c r="D117" t="s">
        <v>112</v>
      </c>
      <c r="E117">
        <v>766</v>
      </c>
      <c r="F117">
        <v>858</v>
      </c>
      <c r="G117">
        <v>866</v>
      </c>
      <c r="H117">
        <v>874</v>
      </c>
      <c r="I117">
        <v>883</v>
      </c>
      <c r="J117">
        <v>891</v>
      </c>
      <c r="K117">
        <v>899</v>
      </c>
      <c r="L117">
        <v>907</v>
      </c>
      <c r="M117">
        <v>915</v>
      </c>
      <c r="N117">
        <v>923</v>
      </c>
      <c r="O117">
        <v>932</v>
      </c>
      <c r="P117">
        <v>940</v>
      </c>
      <c r="Q117">
        <v>948</v>
      </c>
      <c r="R117">
        <v>956</v>
      </c>
      <c r="S117">
        <v>964</v>
      </c>
      <c r="T117">
        <v>973</v>
      </c>
      <c r="U117">
        <v>981</v>
      </c>
      <c r="V117">
        <v>989</v>
      </c>
      <c r="W117">
        <v>997</v>
      </c>
      <c r="X117">
        <v>1005</v>
      </c>
      <c r="Y117">
        <v>1014</v>
      </c>
      <c r="Z117">
        <v>1022</v>
      </c>
      <c r="AA117">
        <v>1030</v>
      </c>
      <c r="AB117">
        <v>1038</v>
      </c>
      <c r="AC117">
        <v>1046</v>
      </c>
      <c r="AD117">
        <v>1055</v>
      </c>
      <c r="AE117" t="s">
        <v>237</v>
      </c>
    </row>
    <row r="118" spans="1:31" x14ac:dyDescent="0.25">
      <c r="A118" t="s">
        <v>104</v>
      </c>
      <c r="B118" t="s">
        <v>389</v>
      </c>
      <c r="C118" t="s">
        <v>390</v>
      </c>
      <c r="D118" t="s">
        <v>112</v>
      </c>
      <c r="E118">
        <v>873</v>
      </c>
      <c r="F118">
        <v>857</v>
      </c>
      <c r="G118">
        <v>862</v>
      </c>
      <c r="H118">
        <v>867</v>
      </c>
      <c r="I118">
        <v>871</v>
      </c>
      <c r="J118">
        <v>876</v>
      </c>
      <c r="K118">
        <v>881</v>
      </c>
      <c r="L118">
        <v>886</v>
      </c>
      <c r="M118">
        <v>890</v>
      </c>
      <c r="N118">
        <v>895</v>
      </c>
      <c r="O118">
        <v>900</v>
      </c>
      <c r="P118">
        <v>905</v>
      </c>
      <c r="Q118">
        <v>909</v>
      </c>
      <c r="R118">
        <v>914</v>
      </c>
      <c r="S118">
        <v>919</v>
      </c>
      <c r="T118">
        <v>924</v>
      </c>
      <c r="U118">
        <v>928</v>
      </c>
      <c r="V118">
        <v>933</v>
      </c>
      <c r="W118">
        <v>938</v>
      </c>
      <c r="X118">
        <v>943</v>
      </c>
      <c r="Y118">
        <v>948</v>
      </c>
      <c r="Z118">
        <v>952</v>
      </c>
      <c r="AA118">
        <v>957</v>
      </c>
      <c r="AB118">
        <v>962</v>
      </c>
      <c r="AC118">
        <v>967</v>
      </c>
      <c r="AD118">
        <v>972</v>
      </c>
      <c r="AE118" t="s">
        <v>391</v>
      </c>
    </row>
    <row r="119" spans="1:31" x14ac:dyDescent="0.25">
      <c r="A119" t="s">
        <v>105</v>
      </c>
      <c r="B119" t="s">
        <v>392</v>
      </c>
      <c r="C119" t="s">
        <v>393</v>
      </c>
      <c r="D119" t="s">
        <v>112</v>
      </c>
      <c r="E119">
        <v>1052</v>
      </c>
      <c r="F119">
        <v>1048</v>
      </c>
      <c r="G119">
        <v>1053</v>
      </c>
      <c r="H119">
        <v>1057</v>
      </c>
      <c r="I119">
        <v>1062</v>
      </c>
      <c r="J119">
        <v>1067</v>
      </c>
      <c r="K119">
        <v>1071</v>
      </c>
      <c r="L119">
        <v>1076</v>
      </c>
      <c r="M119">
        <v>1081</v>
      </c>
      <c r="N119">
        <v>1086</v>
      </c>
      <c r="O119">
        <v>1090</v>
      </c>
      <c r="P119">
        <v>1095</v>
      </c>
      <c r="Q119">
        <v>1100</v>
      </c>
      <c r="R119">
        <v>1105</v>
      </c>
      <c r="S119">
        <v>1109</v>
      </c>
      <c r="T119">
        <v>1114</v>
      </c>
      <c r="U119">
        <v>1119</v>
      </c>
      <c r="V119">
        <v>1124</v>
      </c>
      <c r="W119">
        <v>1129</v>
      </c>
      <c r="X119">
        <v>1133</v>
      </c>
      <c r="Y119">
        <v>1138</v>
      </c>
      <c r="Z119">
        <v>1143</v>
      </c>
      <c r="AA119">
        <v>1148</v>
      </c>
      <c r="AB119">
        <v>1153</v>
      </c>
      <c r="AC119">
        <v>1158</v>
      </c>
      <c r="AD119">
        <v>1162</v>
      </c>
      <c r="AE119" t="s">
        <v>391</v>
      </c>
    </row>
    <row r="120" spans="1:31" x14ac:dyDescent="0.25">
      <c r="A120" t="s">
        <v>106</v>
      </c>
      <c r="B120" t="s">
        <v>394</v>
      </c>
      <c r="C120" t="s">
        <v>395</v>
      </c>
      <c r="D120" t="s">
        <v>112</v>
      </c>
      <c r="E120">
        <v>2319</v>
      </c>
      <c r="F120">
        <v>2427</v>
      </c>
      <c r="G120">
        <v>2442</v>
      </c>
      <c r="H120">
        <v>2458</v>
      </c>
      <c r="I120">
        <v>2473</v>
      </c>
      <c r="J120">
        <v>2489</v>
      </c>
      <c r="K120">
        <v>2505</v>
      </c>
      <c r="L120">
        <v>2522</v>
      </c>
      <c r="M120">
        <v>2538</v>
      </c>
      <c r="N120">
        <v>2554</v>
      </c>
      <c r="O120">
        <v>2570</v>
      </c>
      <c r="P120">
        <v>2586</v>
      </c>
      <c r="Q120">
        <v>2603</v>
      </c>
      <c r="R120">
        <v>2619</v>
      </c>
      <c r="S120">
        <v>2635</v>
      </c>
      <c r="T120">
        <v>2652</v>
      </c>
      <c r="U120">
        <v>2668</v>
      </c>
      <c r="V120">
        <v>2684</v>
      </c>
      <c r="W120">
        <v>2701</v>
      </c>
      <c r="X120">
        <v>2717</v>
      </c>
      <c r="Y120">
        <v>2734</v>
      </c>
      <c r="Z120">
        <v>2750</v>
      </c>
      <c r="AA120">
        <v>2767</v>
      </c>
      <c r="AB120">
        <v>2783</v>
      </c>
      <c r="AC120">
        <v>2800</v>
      </c>
      <c r="AD120">
        <v>2816</v>
      </c>
      <c r="AE120" t="s">
        <v>153</v>
      </c>
    </row>
    <row r="121" spans="1:31" x14ac:dyDescent="0.25">
      <c r="A121" t="s">
        <v>107</v>
      </c>
      <c r="B121" t="s">
        <v>396</v>
      </c>
      <c r="C121" t="s">
        <v>397</v>
      </c>
      <c r="D121" t="s">
        <v>112</v>
      </c>
      <c r="E121">
        <v>1790</v>
      </c>
      <c r="F121">
        <v>1783</v>
      </c>
      <c r="G121">
        <v>1790</v>
      </c>
      <c r="H121">
        <v>1797</v>
      </c>
      <c r="I121">
        <v>1804</v>
      </c>
      <c r="J121">
        <v>1811</v>
      </c>
      <c r="K121">
        <v>1819</v>
      </c>
      <c r="L121">
        <v>1826</v>
      </c>
      <c r="M121">
        <v>1833</v>
      </c>
      <c r="N121">
        <v>1840</v>
      </c>
      <c r="O121">
        <v>1847</v>
      </c>
      <c r="P121">
        <v>1854</v>
      </c>
      <c r="Q121">
        <v>1862</v>
      </c>
      <c r="R121">
        <v>1869</v>
      </c>
      <c r="S121">
        <v>1876</v>
      </c>
      <c r="T121">
        <v>1883</v>
      </c>
      <c r="U121">
        <v>1890</v>
      </c>
      <c r="V121">
        <v>1898</v>
      </c>
      <c r="W121">
        <v>1905</v>
      </c>
      <c r="X121">
        <v>1912</v>
      </c>
      <c r="Y121">
        <v>1919</v>
      </c>
      <c r="Z121">
        <v>1926</v>
      </c>
      <c r="AA121">
        <v>1934</v>
      </c>
      <c r="AB121">
        <v>1941</v>
      </c>
      <c r="AC121">
        <v>1948</v>
      </c>
      <c r="AD121">
        <v>1955</v>
      </c>
      <c r="AE121" t="s">
        <v>391</v>
      </c>
    </row>
    <row r="122" spans="1:31" x14ac:dyDescent="0.25">
      <c r="A122" t="s">
        <v>108</v>
      </c>
      <c r="B122" t="s">
        <v>398</v>
      </c>
      <c r="C122" t="s">
        <v>399</v>
      </c>
      <c r="D122" t="s">
        <v>112</v>
      </c>
      <c r="E122">
        <v>2916</v>
      </c>
      <c r="F122">
        <v>2946</v>
      </c>
      <c r="G122">
        <v>2961</v>
      </c>
      <c r="H122">
        <v>2976</v>
      </c>
      <c r="I122">
        <v>2990</v>
      </c>
      <c r="J122">
        <v>3005</v>
      </c>
      <c r="K122">
        <v>3020</v>
      </c>
      <c r="L122">
        <v>3035</v>
      </c>
      <c r="M122">
        <v>3049</v>
      </c>
      <c r="N122">
        <v>3064</v>
      </c>
      <c r="O122">
        <v>3079</v>
      </c>
      <c r="P122">
        <v>3093</v>
      </c>
      <c r="Q122">
        <v>3108</v>
      </c>
      <c r="R122">
        <v>3123</v>
      </c>
      <c r="S122">
        <v>3138</v>
      </c>
      <c r="T122">
        <v>3152</v>
      </c>
      <c r="U122">
        <v>3167</v>
      </c>
      <c r="V122">
        <v>3182</v>
      </c>
      <c r="W122">
        <v>3197</v>
      </c>
      <c r="X122">
        <v>3211</v>
      </c>
      <c r="Y122">
        <v>3226</v>
      </c>
      <c r="Z122">
        <v>3241</v>
      </c>
      <c r="AA122">
        <v>3255</v>
      </c>
      <c r="AB122">
        <v>3270</v>
      </c>
      <c r="AC122">
        <v>3285</v>
      </c>
      <c r="AD122">
        <v>3299</v>
      </c>
      <c r="AE122" t="s">
        <v>216</v>
      </c>
    </row>
    <row r="123" spans="1:31" x14ac:dyDescent="0.25">
      <c r="A123" t="s">
        <v>109</v>
      </c>
      <c r="B123" t="s">
        <v>400</v>
      </c>
      <c r="C123" t="s">
        <v>401</v>
      </c>
      <c r="D123" t="s">
        <v>112</v>
      </c>
      <c r="E123">
        <v>1515</v>
      </c>
      <c r="F123">
        <v>1608</v>
      </c>
      <c r="G123">
        <v>1617</v>
      </c>
      <c r="H123">
        <v>1627</v>
      </c>
      <c r="I123">
        <v>1636</v>
      </c>
      <c r="J123">
        <v>1645</v>
      </c>
      <c r="K123">
        <v>1655</v>
      </c>
      <c r="L123">
        <v>1664</v>
      </c>
      <c r="M123">
        <v>1673</v>
      </c>
      <c r="N123">
        <v>1682</v>
      </c>
      <c r="O123">
        <v>1691</v>
      </c>
      <c r="P123">
        <v>1701</v>
      </c>
      <c r="Q123">
        <v>1710</v>
      </c>
      <c r="R123">
        <v>1719</v>
      </c>
      <c r="S123">
        <v>1728</v>
      </c>
      <c r="T123">
        <v>1737</v>
      </c>
      <c r="U123">
        <v>1746</v>
      </c>
      <c r="V123">
        <v>1755</v>
      </c>
      <c r="W123">
        <v>1764</v>
      </c>
      <c r="X123">
        <v>1773</v>
      </c>
      <c r="Y123">
        <v>1782</v>
      </c>
      <c r="Z123">
        <v>1791</v>
      </c>
      <c r="AA123">
        <v>1800</v>
      </c>
      <c r="AB123">
        <v>1809</v>
      </c>
      <c r="AC123">
        <v>1818</v>
      </c>
      <c r="AD123">
        <v>1827</v>
      </c>
      <c r="AE123" t="s">
        <v>153</v>
      </c>
    </row>
    <row r="124" spans="1:31" x14ac:dyDescent="0.25">
      <c r="A124" t="s">
        <v>110</v>
      </c>
      <c r="B124" t="s">
        <v>402</v>
      </c>
      <c r="C124" t="s">
        <v>403</v>
      </c>
      <c r="D124" t="s">
        <v>112</v>
      </c>
      <c r="E124">
        <v>887</v>
      </c>
      <c r="F124">
        <v>1040</v>
      </c>
      <c r="G124">
        <v>1049</v>
      </c>
      <c r="H124">
        <v>1058</v>
      </c>
      <c r="I124">
        <v>1067</v>
      </c>
      <c r="J124">
        <v>1076</v>
      </c>
      <c r="K124">
        <v>1085</v>
      </c>
      <c r="L124">
        <v>1094</v>
      </c>
      <c r="M124">
        <v>1103</v>
      </c>
      <c r="N124">
        <v>1112</v>
      </c>
      <c r="O124">
        <v>1121</v>
      </c>
      <c r="P124">
        <v>1131</v>
      </c>
      <c r="Q124">
        <v>1140</v>
      </c>
      <c r="R124">
        <v>1149</v>
      </c>
      <c r="S124">
        <v>1158</v>
      </c>
      <c r="T124">
        <v>1167</v>
      </c>
      <c r="U124">
        <v>1177</v>
      </c>
      <c r="V124">
        <v>1186</v>
      </c>
      <c r="W124">
        <v>1195</v>
      </c>
      <c r="X124">
        <v>1204</v>
      </c>
      <c r="Y124">
        <v>1213</v>
      </c>
      <c r="Z124">
        <v>1223</v>
      </c>
      <c r="AA124">
        <v>1232</v>
      </c>
      <c r="AB124">
        <v>1241</v>
      </c>
      <c r="AC124">
        <v>1250</v>
      </c>
      <c r="AD124">
        <v>1259</v>
      </c>
      <c r="AE124" t="s">
        <v>182</v>
      </c>
    </row>
    <row r="125" spans="1:31" x14ac:dyDescent="0.25">
      <c r="A125" t="s">
        <v>111</v>
      </c>
      <c r="B125" t="s">
        <v>404</v>
      </c>
      <c r="C125" t="s">
        <v>405</v>
      </c>
      <c r="D125" t="s">
        <v>112</v>
      </c>
      <c r="E125">
        <v>1516.4235839999999</v>
      </c>
      <c r="F125">
        <v>1589.852905</v>
      </c>
      <c r="G125">
        <v>1602.154053</v>
      </c>
      <c r="H125">
        <v>1614.6899410000001</v>
      </c>
      <c r="I125">
        <v>1626.874268</v>
      </c>
      <c r="J125">
        <v>1639.4291989999999</v>
      </c>
      <c r="K125">
        <v>1652.126587</v>
      </c>
      <c r="L125">
        <v>1664.940918</v>
      </c>
      <c r="M125">
        <v>1677.306885</v>
      </c>
      <c r="N125">
        <v>1689.963013</v>
      </c>
      <c r="O125">
        <v>1702.6976320000001</v>
      </c>
      <c r="P125">
        <v>1715.525879</v>
      </c>
      <c r="Q125">
        <v>1728.3977050000001</v>
      </c>
      <c r="R125">
        <v>1741.1990969999999</v>
      </c>
      <c r="S125">
        <v>1753.922607</v>
      </c>
      <c r="T125">
        <v>1766.9213870000001</v>
      </c>
      <c r="U125">
        <v>1779.796143</v>
      </c>
      <c r="V125">
        <v>1792.7116699999999</v>
      </c>
      <c r="W125">
        <v>1805.8120120000001</v>
      </c>
      <c r="X125">
        <v>1818.5227050000001</v>
      </c>
      <c r="Y125">
        <v>1831.7783199999999</v>
      </c>
      <c r="Z125">
        <v>1844.803101</v>
      </c>
      <c r="AA125">
        <v>1857.8740230000001</v>
      </c>
      <c r="AB125">
        <v>1870.7852780000001</v>
      </c>
      <c r="AC125">
        <v>1883.8203120000001</v>
      </c>
      <c r="AD125">
        <v>1896.4698490000001</v>
      </c>
      <c r="AE125" t="s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102"/>
  <sheetViews>
    <sheetView workbookViewId="0"/>
  </sheetViews>
  <sheetFormatPr defaultRowHeight="15" x14ac:dyDescent="0.25"/>
  <sheetData>
    <row r="1" spans="1:31" x14ac:dyDescent="0.25">
      <c r="A1" t="s">
        <v>113</v>
      </c>
    </row>
    <row r="2" spans="1:31" x14ac:dyDescent="0.25">
      <c r="A2" t="s">
        <v>406</v>
      </c>
    </row>
    <row r="3" spans="1:31" x14ac:dyDescent="0.25">
      <c r="A3" t="s">
        <v>407</v>
      </c>
    </row>
    <row r="4" spans="1:31" x14ac:dyDescent="0.25">
      <c r="A4" t="s">
        <v>49</v>
      </c>
    </row>
    <row r="5" spans="1:31" x14ac:dyDescent="0.25">
      <c r="B5" t="s">
        <v>50</v>
      </c>
      <c r="C5" t="s">
        <v>51</v>
      </c>
      <c r="D5" t="s">
        <v>52</v>
      </c>
      <c r="E5">
        <v>2025</v>
      </c>
      <c r="F5">
        <v>2026</v>
      </c>
      <c r="G5">
        <v>2027</v>
      </c>
      <c r="H5">
        <v>2028</v>
      </c>
      <c r="I5">
        <v>2029</v>
      </c>
      <c r="J5">
        <v>2030</v>
      </c>
      <c r="K5">
        <v>2031</v>
      </c>
      <c r="L5">
        <v>2032</v>
      </c>
      <c r="M5">
        <v>2033</v>
      </c>
      <c r="N5">
        <v>2034</v>
      </c>
      <c r="O5">
        <v>2035</v>
      </c>
      <c r="P5">
        <v>2036</v>
      </c>
      <c r="Q5">
        <v>2037</v>
      </c>
      <c r="R5">
        <v>2038</v>
      </c>
      <c r="S5">
        <v>2039</v>
      </c>
      <c r="T5">
        <v>2040</v>
      </c>
      <c r="U5">
        <v>2041</v>
      </c>
      <c r="V5">
        <v>2042</v>
      </c>
      <c r="W5">
        <v>2043</v>
      </c>
      <c r="X5">
        <v>2044</v>
      </c>
      <c r="Y5">
        <v>2045</v>
      </c>
      <c r="Z5">
        <v>2046</v>
      </c>
      <c r="AA5">
        <v>2047</v>
      </c>
      <c r="AB5">
        <v>2048</v>
      </c>
      <c r="AC5">
        <v>2049</v>
      </c>
      <c r="AD5">
        <v>2050</v>
      </c>
      <c r="AE5" t="s">
        <v>150</v>
      </c>
    </row>
    <row r="6" spans="1:31" x14ac:dyDescent="0.25">
      <c r="A6" t="s">
        <v>43</v>
      </c>
    </row>
    <row r="7" spans="1:31" x14ac:dyDescent="0.25">
      <c r="A7" t="s">
        <v>114</v>
      </c>
    </row>
    <row r="8" spans="1:31" x14ac:dyDescent="0.25">
      <c r="A8" t="s">
        <v>115</v>
      </c>
      <c r="B8" t="s">
        <v>408</v>
      </c>
      <c r="C8" t="s">
        <v>409</v>
      </c>
      <c r="D8" t="s">
        <v>116</v>
      </c>
      <c r="E8">
        <v>101.845505</v>
      </c>
      <c r="F8">
        <v>103.10442399999999</v>
      </c>
      <c r="G8">
        <v>104.31424699999999</v>
      </c>
      <c r="H8">
        <v>105.48232299999999</v>
      </c>
      <c r="I8">
        <v>106.628433</v>
      </c>
      <c r="J8">
        <v>107.75984200000001</v>
      </c>
      <c r="K8">
        <v>108.90231300000001</v>
      </c>
      <c r="L8">
        <v>110.070587</v>
      </c>
      <c r="M8">
        <v>111.267746</v>
      </c>
      <c r="N8">
        <v>112.50000799999999</v>
      </c>
      <c r="O8">
        <v>113.768677</v>
      </c>
      <c r="P8">
        <v>115.073914</v>
      </c>
      <c r="Q8">
        <v>116.41436</v>
      </c>
      <c r="R8">
        <v>117.78051000000001</v>
      </c>
      <c r="S8">
        <v>119.114738</v>
      </c>
      <c r="T8">
        <v>120.41529800000001</v>
      </c>
      <c r="U8">
        <v>121.684471</v>
      </c>
      <c r="V8">
        <v>122.897865</v>
      </c>
      <c r="W8">
        <v>124.064178</v>
      </c>
      <c r="X8">
        <v>125.198471</v>
      </c>
      <c r="Y8">
        <v>126.307709</v>
      </c>
      <c r="Z8">
        <v>127.400986</v>
      </c>
      <c r="AA8">
        <v>128.481964</v>
      </c>
      <c r="AB8">
        <v>129.55204800000001</v>
      </c>
      <c r="AC8">
        <v>130.612976</v>
      </c>
      <c r="AD8">
        <v>131.665558</v>
      </c>
      <c r="AE8" t="s">
        <v>203</v>
      </c>
    </row>
    <row r="9" spans="1:31" x14ac:dyDescent="0.25">
      <c r="A9" t="s">
        <v>117</v>
      </c>
      <c r="B9" t="s">
        <v>410</v>
      </c>
      <c r="C9" t="s">
        <v>411</v>
      </c>
      <c r="D9" t="s">
        <v>116</v>
      </c>
      <c r="E9">
        <v>2.7983539999999998</v>
      </c>
      <c r="F9">
        <v>2.7631329999999998</v>
      </c>
      <c r="G9">
        <v>2.7356199999999999</v>
      </c>
      <c r="H9">
        <v>2.7281330000000001</v>
      </c>
      <c r="I9">
        <v>2.7281270000000002</v>
      </c>
      <c r="J9">
        <v>2.7541440000000001</v>
      </c>
      <c r="K9">
        <v>2.795398</v>
      </c>
      <c r="L9">
        <v>2.8401640000000001</v>
      </c>
      <c r="M9">
        <v>2.8917440000000001</v>
      </c>
      <c r="N9">
        <v>2.9451779999999999</v>
      </c>
      <c r="O9">
        <v>2.9993840000000001</v>
      </c>
      <c r="P9">
        <v>3.0528369999999998</v>
      </c>
      <c r="Q9">
        <v>3.0973130000000002</v>
      </c>
      <c r="R9">
        <v>3.0842869999999998</v>
      </c>
      <c r="S9">
        <v>3.0694240000000002</v>
      </c>
      <c r="T9">
        <v>3.056657</v>
      </c>
      <c r="U9">
        <v>3.0191319999999999</v>
      </c>
      <c r="V9">
        <v>2.9897260000000001</v>
      </c>
      <c r="W9">
        <v>2.974996</v>
      </c>
      <c r="X9">
        <v>2.9668220000000001</v>
      </c>
      <c r="Y9">
        <v>2.9674109999999998</v>
      </c>
      <c r="Z9">
        <v>2.971346</v>
      </c>
      <c r="AA9">
        <v>2.976496</v>
      </c>
      <c r="AB9">
        <v>2.9830369999999999</v>
      </c>
      <c r="AC9">
        <v>2.990272</v>
      </c>
      <c r="AD9">
        <v>2.998542</v>
      </c>
      <c r="AE9" t="s">
        <v>164</v>
      </c>
    </row>
    <row r="10" spans="1:31" x14ac:dyDescent="0.25">
      <c r="A10" t="s">
        <v>58</v>
      </c>
      <c r="B10" t="s">
        <v>412</v>
      </c>
      <c r="C10" t="s">
        <v>413</v>
      </c>
      <c r="D10" t="s">
        <v>116</v>
      </c>
      <c r="E10">
        <v>104.64386</v>
      </c>
      <c r="F10">
        <v>105.867554</v>
      </c>
      <c r="G10">
        <v>107.04986599999999</v>
      </c>
      <c r="H10">
        <v>108.21045700000001</v>
      </c>
      <c r="I10">
        <v>109.35656</v>
      </c>
      <c r="J10">
        <v>110.51398500000001</v>
      </c>
      <c r="K10">
        <v>111.69770800000001</v>
      </c>
      <c r="L10">
        <v>112.910751</v>
      </c>
      <c r="M10">
        <v>114.159492</v>
      </c>
      <c r="N10">
        <v>115.445183</v>
      </c>
      <c r="O10">
        <v>116.76805899999999</v>
      </c>
      <c r="P10">
        <v>118.12674699999999</v>
      </c>
      <c r="Q10">
        <v>119.511673</v>
      </c>
      <c r="R10">
        <v>120.864799</v>
      </c>
      <c r="S10">
        <v>122.184166</v>
      </c>
      <c r="T10">
        <v>123.471954</v>
      </c>
      <c r="U10">
        <v>124.70360599999999</v>
      </c>
      <c r="V10">
        <v>125.88758900000001</v>
      </c>
      <c r="W10">
        <v>127.039177</v>
      </c>
      <c r="X10">
        <v>128.16529800000001</v>
      </c>
      <c r="Y10">
        <v>129.275116</v>
      </c>
      <c r="Z10">
        <v>130.37233000000001</v>
      </c>
      <c r="AA10">
        <v>131.45846599999999</v>
      </c>
      <c r="AB10">
        <v>132.53507999999999</v>
      </c>
      <c r="AC10">
        <v>133.603241</v>
      </c>
      <c r="AD10">
        <v>134.66409300000001</v>
      </c>
      <c r="AE10" t="s">
        <v>203</v>
      </c>
    </row>
    <row r="11" spans="1:31" x14ac:dyDescent="0.25">
      <c r="A11" t="s">
        <v>118</v>
      </c>
    </row>
    <row r="12" spans="1:31" x14ac:dyDescent="0.25">
      <c r="A12" t="s">
        <v>66</v>
      </c>
    </row>
    <row r="13" spans="1:31" x14ac:dyDescent="0.25">
      <c r="A13" t="s">
        <v>63</v>
      </c>
      <c r="B13" t="s">
        <v>414</v>
      </c>
      <c r="C13" t="s">
        <v>415</v>
      </c>
      <c r="D13" t="s">
        <v>67</v>
      </c>
      <c r="E13">
        <v>94.608611999999994</v>
      </c>
      <c r="F13">
        <v>95.200951000000003</v>
      </c>
      <c r="G13">
        <v>94.894547000000003</v>
      </c>
      <c r="H13">
        <v>94.391609000000003</v>
      </c>
      <c r="I13">
        <v>93.678154000000006</v>
      </c>
      <c r="J13">
        <v>92.733329999999995</v>
      </c>
      <c r="K13">
        <v>91.840523000000005</v>
      </c>
      <c r="L13">
        <v>91.140854000000004</v>
      </c>
      <c r="M13">
        <v>90.533225999999999</v>
      </c>
      <c r="N13">
        <v>90.025192000000004</v>
      </c>
      <c r="O13">
        <v>89.527039000000002</v>
      </c>
      <c r="P13">
        <v>89.104965000000007</v>
      </c>
      <c r="Q13">
        <v>88.683937</v>
      </c>
      <c r="R13">
        <v>88.304732999999999</v>
      </c>
      <c r="S13">
        <v>87.952102999999994</v>
      </c>
      <c r="T13">
        <v>87.609711000000004</v>
      </c>
      <c r="U13">
        <v>87.320464999999999</v>
      </c>
      <c r="V13">
        <v>87.099518000000003</v>
      </c>
      <c r="W13">
        <v>86.907027999999997</v>
      </c>
      <c r="X13">
        <v>86.735259999999997</v>
      </c>
      <c r="Y13">
        <v>86.553421</v>
      </c>
      <c r="Z13">
        <v>86.303925000000007</v>
      </c>
      <c r="AA13">
        <v>85.985275000000001</v>
      </c>
      <c r="AB13">
        <v>85.633080000000007</v>
      </c>
      <c r="AC13">
        <v>85.264458000000005</v>
      </c>
      <c r="AD13">
        <v>84.897255000000001</v>
      </c>
      <c r="AE13" t="s">
        <v>196</v>
      </c>
    </row>
    <row r="14" spans="1:31" x14ac:dyDescent="0.25">
      <c r="A14" t="s">
        <v>65</v>
      </c>
      <c r="B14" t="s">
        <v>416</v>
      </c>
      <c r="C14" t="s">
        <v>417</v>
      </c>
      <c r="D14" t="s">
        <v>67</v>
      </c>
      <c r="E14">
        <v>93.084305000000001</v>
      </c>
      <c r="F14">
        <v>93.513205999999997</v>
      </c>
      <c r="G14">
        <v>93.074776</v>
      </c>
      <c r="H14">
        <v>92.519630000000006</v>
      </c>
      <c r="I14">
        <v>91.782714999999996</v>
      </c>
      <c r="J14">
        <v>90.809180999999995</v>
      </c>
      <c r="K14">
        <v>89.899635000000004</v>
      </c>
      <c r="L14">
        <v>89.191779999999994</v>
      </c>
      <c r="M14">
        <v>88.573188999999999</v>
      </c>
      <c r="N14">
        <v>88.038452000000007</v>
      </c>
      <c r="O14">
        <v>87.524017000000001</v>
      </c>
      <c r="P14">
        <v>87.092613</v>
      </c>
      <c r="Q14">
        <v>86.638892999999996</v>
      </c>
      <c r="R14">
        <v>86.228638000000004</v>
      </c>
      <c r="S14">
        <v>85.833716999999993</v>
      </c>
      <c r="T14">
        <v>85.458236999999997</v>
      </c>
      <c r="U14">
        <v>85.160706000000005</v>
      </c>
      <c r="V14">
        <v>84.916267000000005</v>
      </c>
      <c r="W14">
        <v>84.720146</v>
      </c>
      <c r="X14">
        <v>84.541443000000001</v>
      </c>
      <c r="Y14">
        <v>84.357269000000002</v>
      </c>
      <c r="Z14">
        <v>84.093650999999994</v>
      </c>
      <c r="AA14">
        <v>83.753242</v>
      </c>
      <c r="AB14">
        <v>83.378760999999997</v>
      </c>
      <c r="AC14">
        <v>82.997833</v>
      </c>
      <c r="AD14">
        <v>82.609665000000007</v>
      </c>
      <c r="AE14" t="s">
        <v>365</v>
      </c>
    </row>
    <row r="15" spans="1:31" x14ac:dyDescent="0.25">
      <c r="A15" t="s">
        <v>44</v>
      </c>
    </row>
    <row r="16" spans="1:31" x14ac:dyDescent="0.25">
      <c r="A16" t="s">
        <v>68</v>
      </c>
    </row>
    <row r="17" spans="1:31" x14ac:dyDescent="0.25">
      <c r="A17" t="s">
        <v>69</v>
      </c>
      <c r="B17" t="s">
        <v>418</v>
      </c>
      <c r="C17" t="s">
        <v>419</v>
      </c>
      <c r="D17" t="s">
        <v>70</v>
      </c>
      <c r="E17">
        <v>0.20086000000000001</v>
      </c>
      <c r="F17">
        <v>0.193991</v>
      </c>
      <c r="G17">
        <v>0.19233</v>
      </c>
      <c r="H17">
        <v>0.19123699999999999</v>
      </c>
      <c r="I17">
        <v>0.18969</v>
      </c>
      <c r="J17">
        <v>0.18790200000000001</v>
      </c>
      <c r="K17">
        <v>0.186031</v>
      </c>
      <c r="L17">
        <v>0.18410599999999999</v>
      </c>
      <c r="M17">
        <v>0.18223</v>
      </c>
      <c r="N17">
        <v>0.18024200000000001</v>
      </c>
      <c r="O17">
        <v>0.1782</v>
      </c>
      <c r="P17">
        <v>0.17622699999999999</v>
      </c>
      <c r="Q17">
        <v>0.17410100000000001</v>
      </c>
      <c r="R17">
        <v>0.171933</v>
      </c>
      <c r="S17">
        <v>0.16966300000000001</v>
      </c>
      <c r="T17">
        <v>0.16736599999999999</v>
      </c>
      <c r="U17">
        <v>0.165099</v>
      </c>
      <c r="V17">
        <v>0.16280800000000001</v>
      </c>
      <c r="W17">
        <v>0.16050900000000001</v>
      </c>
      <c r="X17">
        <v>0.15815599999999999</v>
      </c>
      <c r="Y17">
        <v>0.15582399999999999</v>
      </c>
      <c r="Z17">
        <v>0.15335499999999999</v>
      </c>
      <c r="AA17">
        <v>0.15071499999999999</v>
      </c>
      <c r="AB17">
        <v>0.148032</v>
      </c>
      <c r="AC17">
        <v>0.14538499999999999</v>
      </c>
      <c r="AD17">
        <v>0.14267099999999999</v>
      </c>
      <c r="AE17" t="s">
        <v>176</v>
      </c>
    </row>
    <row r="18" spans="1:31" x14ac:dyDescent="0.25">
      <c r="A18" t="s">
        <v>71</v>
      </c>
      <c r="B18" t="s">
        <v>420</v>
      </c>
      <c r="C18" t="s">
        <v>421</v>
      </c>
      <c r="D18" t="s">
        <v>70</v>
      </c>
      <c r="E18">
        <v>0.56683899999999998</v>
      </c>
      <c r="F18">
        <v>0.594472</v>
      </c>
      <c r="G18">
        <v>0.60086099999999998</v>
      </c>
      <c r="H18">
        <v>0.60903200000000002</v>
      </c>
      <c r="I18">
        <v>0.61580999999999997</v>
      </c>
      <c r="J18">
        <v>0.62006600000000001</v>
      </c>
      <c r="K18">
        <v>0.62495599999999996</v>
      </c>
      <c r="L18">
        <v>0.63044599999999995</v>
      </c>
      <c r="M18">
        <v>0.63640799999999997</v>
      </c>
      <c r="N18">
        <v>0.64294499999999999</v>
      </c>
      <c r="O18">
        <v>0.64979900000000002</v>
      </c>
      <c r="P18">
        <v>0.65744899999999995</v>
      </c>
      <c r="Q18">
        <v>0.66526600000000002</v>
      </c>
      <c r="R18">
        <v>0.67322599999999999</v>
      </c>
      <c r="S18">
        <v>0.68110099999999996</v>
      </c>
      <c r="T18">
        <v>0.68931200000000004</v>
      </c>
      <c r="U18">
        <v>0.69798099999999996</v>
      </c>
      <c r="V18">
        <v>0.70710200000000001</v>
      </c>
      <c r="W18">
        <v>0.71693200000000001</v>
      </c>
      <c r="X18">
        <v>0.72700600000000004</v>
      </c>
      <c r="Y18">
        <v>0.73754799999999998</v>
      </c>
      <c r="Z18">
        <v>0.747668</v>
      </c>
      <c r="AA18">
        <v>0.75733799999999996</v>
      </c>
      <c r="AB18">
        <v>0.76694399999999996</v>
      </c>
      <c r="AC18">
        <v>0.77708900000000003</v>
      </c>
      <c r="AD18">
        <v>0.78723699999999996</v>
      </c>
      <c r="AE18" t="s">
        <v>237</v>
      </c>
    </row>
    <row r="19" spans="1:31" x14ac:dyDescent="0.25">
      <c r="A19" t="s">
        <v>72</v>
      </c>
      <c r="B19" t="s">
        <v>422</v>
      </c>
      <c r="C19" t="s">
        <v>423</v>
      </c>
      <c r="D19" t="s">
        <v>70</v>
      </c>
      <c r="E19">
        <v>7.3797000000000001E-2</v>
      </c>
      <c r="F19">
        <v>7.2725999999999999E-2</v>
      </c>
      <c r="G19">
        <v>7.2052000000000005E-2</v>
      </c>
      <c r="H19">
        <v>7.1639999999999995E-2</v>
      </c>
      <c r="I19">
        <v>7.1070999999999995E-2</v>
      </c>
      <c r="J19">
        <v>7.0186999999999999E-2</v>
      </c>
      <c r="K19">
        <v>6.9282999999999997E-2</v>
      </c>
      <c r="L19">
        <v>6.8399000000000001E-2</v>
      </c>
      <c r="M19">
        <v>6.7566000000000001E-2</v>
      </c>
      <c r="N19">
        <v>6.6746E-2</v>
      </c>
      <c r="O19">
        <v>6.5932000000000004E-2</v>
      </c>
      <c r="P19">
        <v>6.5184000000000006E-2</v>
      </c>
      <c r="Q19">
        <v>6.4424999999999996E-2</v>
      </c>
      <c r="R19">
        <v>6.3672999999999993E-2</v>
      </c>
      <c r="S19">
        <v>6.2916E-2</v>
      </c>
      <c r="T19">
        <v>6.2153E-2</v>
      </c>
      <c r="U19">
        <v>6.1430999999999999E-2</v>
      </c>
      <c r="V19">
        <v>6.0715999999999999E-2</v>
      </c>
      <c r="W19">
        <v>6.0033999999999997E-2</v>
      </c>
      <c r="X19">
        <v>5.9364E-2</v>
      </c>
      <c r="Y19">
        <v>5.8694999999999997E-2</v>
      </c>
      <c r="Z19">
        <v>5.8001999999999998E-2</v>
      </c>
      <c r="AA19">
        <v>5.7258000000000003E-2</v>
      </c>
      <c r="AB19">
        <v>5.6502999999999998E-2</v>
      </c>
      <c r="AC19">
        <v>5.5764000000000001E-2</v>
      </c>
      <c r="AD19">
        <v>5.5010999999999997E-2</v>
      </c>
      <c r="AE19" t="s">
        <v>173</v>
      </c>
    </row>
    <row r="20" spans="1:31" x14ac:dyDescent="0.25">
      <c r="A20" t="s">
        <v>119</v>
      </c>
      <c r="B20" t="s">
        <v>424</v>
      </c>
      <c r="C20" t="s">
        <v>425</v>
      </c>
      <c r="D20" t="s">
        <v>70</v>
      </c>
      <c r="E20">
        <v>0.77257900000000002</v>
      </c>
      <c r="F20">
        <v>0.77808100000000002</v>
      </c>
      <c r="G20">
        <v>0.78721600000000003</v>
      </c>
      <c r="H20">
        <v>0.79894799999999999</v>
      </c>
      <c r="I20">
        <v>0.80861700000000003</v>
      </c>
      <c r="J20">
        <v>0.81284800000000001</v>
      </c>
      <c r="K20">
        <v>0.81740299999999999</v>
      </c>
      <c r="L20">
        <v>0.82248900000000003</v>
      </c>
      <c r="M20">
        <v>0.82842199999999999</v>
      </c>
      <c r="N20">
        <v>0.83473399999999998</v>
      </c>
      <c r="O20">
        <v>0.84140800000000004</v>
      </c>
      <c r="P20">
        <v>0.84894000000000003</v>
      </c>
      <c r="Q20">
        <v>0.85649600000000004</v>
      </c>
      <c r="R20">
        <v>0.86420600000000003</v>
      </c>
      <c r="S20">
        <v>0.87185299999999999</v>
      </c>
      <c r="T20">
        <v>0.87961100000000003</v>
      </c>
      <c r="U20">
        <v>0.88787400000000005</v>
      </c>
      <c r="V20">
        <v>0.89625699999999997</v>
      </c>
      <c r="W20">
        <v>0.90508500000000003</v>
      </c>
      <c r="X20">
        <v>0.91416399999999998</v>
      </c>
      <c r="Y20">
        <v>0.923373</v>
      </c>
      <c r="Z20">
        <v>0.93216900000000003</v>
      </c>
      <c r="AA20">
        <v>0.94026100000000001</v>
      </c>
      <c r="AB20">
        <v>0.94815300000000002</v>
      </c>
      <c r="AC20">
        <v>0.95642499999999997</v>
      </c>
      <c r="AD20">
        <v>0.96451799999999999</v>
      </c>
      <c r="AE20" t="s">
        <v>156</v>
      </c>
    </row>
    <row r="21" spans="1:31" x14ac:dyDescent="0.25">
      <c r="A21" t="s">
        <v>74</v>
      </c>
      <c r="B21" t="s">
        <v>426</v>
      </c>
      <c r="C21" t="s">
        <v>427</v>
      </c>
      <c r="D21" t="s">
        <v>70</v>
      </c>
      <c r="E21">
        <v>8.3990999999999996E-2</v>
      </c>
      <c r="F21">
        <v>8.3245E-2</v>
      </c>
      <c r="G21">
        <v>8.2881999999999997E-2</v>
      </c>
      <c r="H21">
        <v>8.2750000000000004E-2</v>
      </c>
      <c r="I21">
        <v>8.2395999999999997E-2</v>
      </c>
      <c r="J21">
        <v>8.1708000000000003E-2</v>
      </c>
      <c r="K21">
        <v>8.0997E-2</v>
      </c>
      <c r="L21">
        <v>8.0317E-2</v>
      </c>
      <c r="M21">
        <v>7.9703999999999997E-2</v>
      </c>
      <c r="N21">
        <v>7.9116000000000006E-2</v>
      </c>
      <c r="O21">
        <v>7.8533000000000006E-2</v>
      </c>
      <c r="P21">
        <v>7.7997999999999998E-2</v>
      </c>
      <c r="Q21">
        <v>7.7441999999999997E-2</v>
      </c>
      <c r="R21">
        <v>7.6881000000000005E-2</v>
      </c>
      <c r="S21">
        <v>7.6298000000000005E-2</v>
      </c>
      <c r="T21">
        <v>7.5702000000000005E-2</v>
      </c>
      <c r="U21">
        <v>7.5150999999999996E-2</v>
      </c>
      <c r="V21">
        <v>7.4596999999999997E-2</v>
      </c>
      <c r="W21">
        <v>7.4065000000000006E-2</v>
      </c>
      <c r="X21">
        <v>7.3538000000000006E-2</v>
      </c>
      <c r="Y21">
        <v>7.3001999999999997E-2</v>
      </c>
      <c r="Z21">
        <v>7.2416999999999995E-2</v>
      </c>
      <c r="AA21">
        <v>7.1762999999999993E-2</v>
      </c>
      <c r="AB21">
        <v>7.1082000000000006E-2</v>
      </c>
      <c r="AC21">
        <v>7.0415000000000005E-2</v>
      </c>
      <c r="AD21">
        <v>6.9721000000000005E-2</v>
      </c>
      <c r="AE21" t="s">
        <v>242</v>
      </c>
    </row>
    <row r="22" spans="1:31" x14ac:dyDescent="0.25">
      <c r="A22" t="s">
        <v>77</v>
      </c>
      <c r="B22" t="s">
        <v>428</v>
      </c>
      <c r="C22" t="s">
        <v>429</v>
      </c>
      <c r="D22" t="s">
        <v>70</v>
      </c>
      <c r="E22">
        <v>0.56464899999999996</v>
      </c>
      <c r="F22">
        <v>0.55332800000000004</v>
      </c>
      <c r="G22">
        <v>0.54732899999999995</v>
      </c>
      <c r="H22">
        <v>0.54542999999999997</v>
      </c>
      <c r="I22">
        <v>0.54358799999999996</v>
      </c>
      <c r="J22">
        <v>0.53231799999999996</v>
      </c>
      <c r="K22">
        <v>0.52262200000000003</v>
      </c>
      <c r="L22">
        <v>0.51419999999999999</v>
      </c>
      <c r="M22">
        <v>0.50677899999999998</v>
      </c>
      <c r="N22">
        <v>0.499778</v>
      </c>
      <c r="O22">
        <v>0.492952</v>
      </c>
      <c r="P22">
        <v>0.48728900000000003</v>
      </c>
      <c r="Q22">
        <v>0.48248600000000003</v>
      </c>
      <c r="R22">
        <v>0.47849799999999998</v>
      </c>
      <c r="S22">
        <v>0.47511900000000001</v>
      </c>
      <c r="T22">
        <v>0.47012199999999998</v>
      </c>
      <c r="U22">
        <v>0.46640700000000002</v>
      </c>
      <c r="V22">
        <v>0.46348200000000001</v>
      </c>
      <c r="W22">
        <v>0.46129700000000001</v>
      </c>
      <c r="X22">
        <v>0.45964300000000002</v>
      </c>
      <c r="Y22">
        <v>0.458401</v>
      </c>
      <c r="Z22">
        <v>0.457258</v>
      </c>
      <c r="AA22">
        <v>0.45599400000000001</v>
      </c>
      <c r="AB22">
        <v>0.454706</v>
      </c>
      <c r="AC22">
        <v>0.45369199999999998</v>
      </c>
      <c r="AD22">
        <v>0.45269500000000001</v>
      </c>
      <c r="AE22" t="s">
        <v>179</v>
      </c>
    </row>
    <row r="23" spans="1:31" x14ac:dyDescent="0.25">
      <c r="A23" t="s">
        <v>73</v>
      </c>
      <c r="B23" t="s">
        <v>430</v>
      </c>
      <c r="C23" t="s">
        <v>431</v>
      </c>
      <c r="D23" t="s">
        <v>70</v>
      </c>
      <c r="E23">
        <v>0.366734</v>
      </c>
      <c r="F23">
        <v>0.36595299999999997</v>
      </c>
      <c r="G23">
        <v>0.366174</v>
      </c>
      <c r="H23">
        <v>0.36699999999999999</v>
      </c>
      <c r="I23">
        <v>0.36756299999999997</v>
      </c>
      <c r="J23">
        <v>0.36664400000000003</v>
      </c>
      <c r="K23">
        <v>0.36620599999999998</v>
      </c>
      <c r="L23">
        <v>0.36610900000000002</v>
      </c>
      <c r="M23">
        <v>0.36638999999999999</v>
      </c>
      <c r="N23">
        <v>0.36695</v>
      </c>
      <c r="O23">
        <v>0.36775600000000003</v>
      </c>
      <c r="P23">
        <v>0.36884800000000001</v>
      </c>
      <c r="Q23">
        <v>0.37004599999999999</v>
      </c>
      <c r="R23">
        <v>0.37123899999999999</v>
      </c>
      <c r="S23">
        <v>0.37238300000000002</v>
      </c>
      <c r="T23">
        <v>0.37348500000000001</v>
      </c>
      <c r="U23">
        <v>0.37482799999999999</v>
      </c>
      <c r="V23">
        <v>0.37610199999999999</v>
      </c>
      <c r="W23">
        <v>0.37739</v>
      </c>
      <c r="X23">
        <v>0.37866300000000003</v>
      </c>
      <c r="Y23">
        <v>0.37990099999999999</v>
      </c>
      <c r="Z23">
        <v>0.38101400000000002</v>
      </c>
      <c r="AA23">
        <v>0.38195499999999999</v>
      </c>
      <c r="AB23">
        <v>0.38280700000000001</v>
      </c>
      <c r="AC23">
        <v>0.383654</v>
      </c>
      <c r="AD23">
        <v>0.38441500000000001</v>
      </c>
      <c r="AE23" t="s">
        <v>234</v>
      </c>
    </row>
    <row r="24" spans="1:31" x14ac:dyDescent="0.25">
      <c r="A24" t="s">
        <v>432</v>
      </c>
      <c r="B24" t="s">
        <v>433</v>
      </c>
      <c r="C24" t="s">
        <v>434</v>
      </c>
      <c r="D24" t="s">
        <v>70</v>
      </c>
      <c r="E24">
        <v>0.35769099999999998</v>
      </c>
      <c r="F24">
        <v>0.403698</v>
      </c>
      <c r="G24">
        <v>0.45296799999999998</v>
      </c>
      <c r="H24">
        <v>0.50386399999999998</v>
      </c>
      <c r="I24">
        <v>0.55580099999999999</v>
      </c>
      <c r="J24">
        <v>0.60810600000000004</v>
      </c>
      <c r="K24">
        <v>0.66097600000000001</v>
      </c>
      <c r="L24">
        <v>0.71486099999999997</v>
      </c>
      <c r="M24">
        <v>0.76973400000000003</v>
      </c>
      <c r="N24">
        <v>0.825407</v>
      </c>
      <c r="O24">
        <v>0.881718</v>
      </c>
      <c r="P24">
        <v>0.93838600000000005</v>
      </c>
      <c r="Q24">
        <v>0.99514899999999995</v>
      </c>
      <c r="R24">
        <v>1.0513049999999999</v>
      </c>
      <c r="S24">
        <v>1.1063590000000001</v>
      </c>
      <c r="T24">
        <v>1.1598010000000001</v>
      </c>
      <c r="U24">
        <v>1.2114279999999999</v>
      </c>
      <c r="V24">
        <v>1.2604219999999999</v>
      </c>
      <c r="W24">
        <v>1.3068299999999999</v>
      </c>
      <c r="X24">
        <v>1.3498509999999999</v>
      </c>
      <c r="Y24">
        <v>1.389499</v>
      </c>
      <c r="Z24">
        <v>1.424823</v>
      </c>
      <c r="AA24">
        <v>1.4555169999999999</v>
      </c>
      <c r="AB24">
        <v>1.4812449999999999</v>
      </c>
      <c r="AC24">
        <v>1.501816</v>
      </c>
      <c r="AD24">
        <v>1.5200849999999999</v>
      </c>
      <c r="AE24" t="s">
        <v>435</v>
      </c>
    </row>
    <row r="25" spans="1:31" x14ac:dyDescent="0.25">
      <c r="A25" t="s">
        <v>436</v>
      </c>
      <c r="B25" t="s">
        <v>437</v>
      </c>
      <c r="C25" t="s">
        <v>438</v>
      </c>
      <c r="D25" t="s">
        <v>70</v>
      </c>
      <c r="E25">
        <v>0.21695300000000001</v>
      </c>
      <c r="F25">
        <v>0.21174499999999999</v>
      </c>
      <c r="G25">
        <v>0.207122</v>
      </c>
      <c r="H25">
        <v>0.202684</v>
      </c>
      <c r="I25">
        <v>0.19826199999999999</v>
      </c>
      <c r="J25">
        <v>0.193913</v>
      </c>
      <c r="K25">
        <v>0.189829</v>
      </c>
      <c r="L25">
        <v>0.18572</v>
      </c>
      <c r="M25">
        <v>0.18246499999999999</v>
      </c>
      <c r="N25">
        <v>0.17970900000000001</v>
      </c>
      <c r="O25">
        <v>0.177067</v>
      </c>
      <c r="P25">
        <v>0.175041</v>
      </c>
      <c r="Q25">
        <v>0.173177</v>
      </c>
      <c r="R25">
        <v>0.17144699999999999</v>
      </c>
      <c r="S25">
        <v>0.170381</v>
      </c>
      <c r="T25">
        <v>0.16903399999999999</v>
      </c>
      <c r="U25">
        <v>0.16736699999999999</v>
      </c>
      <c r="V25">
        <v>0.16647999999999999</v>
      </c>
      <c r="W25">
        <v>0.16480900000000001</v>
      </c>
      <c r="X25">
        <v>0.16345199999999999</v>
      </c>
      <c r="Y25">
        <v>0.16186400000000001</v>
      </c>
      <c r="Z25">
        <v>0.16063</v>
      </c>
      <c r="AA25">
        <v>0.15854499999999999</v>
      </c>
      <c r="AB25">
        <v>0.15620999999999999</v>
      </c>
      <c r="AC25">
        <v>0.153638</v>
      </c>
      <c r="AD25">
        <v>0.150807</v>
      </c>
      <c r="AE25" t="s">
        <v>176</v>
      </c>
    </row>
    <row r="26" spans="1:31" x14ac:dyDescent="0.25">
      <c r="A26" t="s">
        <v>83</v>
      </c>
      <c r="B26" t="s">
        <v>439</v>
      </c>
      <c r="C26" t="s">
        <v>440</v>
      </c>
      <c r="D26" t="s">
        <v>70</v>
      </c>
      <c r="E26">
        <v>1.949163</v>
      </c>
      <c r="F26">
        <v>2.1337269999999999</v>
      </c>
      <c r="G26">
        <v>2.139688</v>
      </c>
      <c r="H26">
        <v>2.1391499999999999</v>
      </c>
      <c r="I26">
        <v>2.1382029999999999</v>
      </c>
      <c r="J26">
        <v>2.1360299999999999</v>
      </c>
      <c r="K26">
        <v>2.1342720000000002</v>
      </c>
      <c r="L26">
        <v>2.1334949999999999</v>
      </c>
      <c r="M26">
        <v>2.134242</v>
      </c>
      <c r="N26">
        <v>2.1362719999999999</v>
      </c>
      <c r="O26">
        <v>2.1396160000000002</v>
      </c>
      <c r="P26">
        <v>2.1449530000000001</v>
      </c>
      <c r="Q26">
        <v>2.15116</v>
      </c>
      <c r="R26">
        <v>2.1578780000000002</v>
      </c>
      <c r="S26">
        <v>2.1648679999999998</v>
      </c>
      <c r="T26">
        <v>2.1721889999999999</v>
      </c>
      <c r="U26">
        <v>2.179389</v>
      </c>
      <c r="V26">
        <v>2.1868370000000001</v>
      </c>
      <c r="W26">
        <v>2.1948530000000002</v>
      </c>
      <c r="X26">
        <v>2.2030379999999998</v>
      </c>
      <c r="Y26">
        <v>2.2121149999999998</v>
      </c>
      <c r="Z26">
        <v>2.2210610000000002</v>
      </c>
      <c r="AA26">
        <v>2.2301319999999998</v>
      </c>
      <c r="AB26">
        <v>2.239662</v>
      </c>
      <c r="AC26">
        <v>2.249701</v>
      </c>
      <c r="AD26">
        <v>2.260383</v>
      </c>
      <c r="AE26" t="s">
        <v>193</v>
      </c>
    </row>
    <row r="27" spans="1:31" x14ac:dyDescent="0.25">
      <c r="A27" t="s">
        <v>84</v>
      </c>
      <c r="B27" t="s">
        <v>441</v>
      </c>
      <c r="C27" t="s">
        <v>442</v>
      </c>
      <c r="D27" t="s">
        <v>70</v>
      </c>
      <c r="E27">
        <v>5.1532549999999997</v>
      </c>
      <c r="F27">
        <v>5.3909659999999997</v>
      </c>
      <c r="G27">
        <v>5.4486230000000004</v>
      </c>
      <c r="H27">
        <v>5.5117349999999998</v>
      </c>
      <c r="I27">
        <v>5.5710030000000001</v>
      </c>
      <c r="J27">
        <v>5.6097219999999997</v>
      </c>
      <c r="K27">
        <v>5.6525759999999998</v>
      </c>
      <c r="L27">
        <v>5.7001429999999997</v>
      </c>
      <c r="M27">
        <v>5.7539410000000002</v>
      </c>
      <c r="N27">
        <v>5.8118990000000004</v>
      </c>
      <c r="O27">
        <v>5.8729810000000002</v>
      </c>
      <c r="P27">
        <v>5.940315</v>
      </c>
      <c r="Q27">
        <v>6.0097480000000001</v>
      </c>
      <c r="R27">
        <v>6.0802860000000001</v>
      </c>
      <c r="S27">
        <v>6.1509410000000004</v>
      </c>
      <c r="T27">
        <v>6.2187760000000001</v>
      </c>
      <c r="U27">
        <v>6.2869549999999998</v>
      </c>
      <c r="V27">
        <v>6.3548049999999998</v>
      </c>
      <c r="W27">
        <v>6.4218029999999997</v>
      </c>
      <c r="X27">
        <v>6.4868730000000001</v>
      </c>
      <c r="Y27">
        <v>6.5502229999999999</v>
      </c>
      <c r="Z27">
        <v>6.6083980000000002</v>
      </c>
      <c r="AA27">
        <v>6.6594790000000001</v>
      </c>
      <c r="AB27">
        <v>6.7053450000000003</v>
      </c>
      <c r="AC27">
        <v>6.7475779999999999</v>
      </c>
      <c r="AD27">
        <v>6.7875439999999996</v>
      </c>
      <c r="AE27" t="s">
        <v>443</v>
      </c>
    </row>
    <row r="28" spans="1:31" x14ac:dyDescent="0.25">
      <c r="A28" t="s">
        <v>85</v>
      </c>
      <c r="B28" t="s">
        <v>444</v>
      </c>
      <c r="C28" t="s">
        <v>445</v>
      </c>
      <c r="D28" t="s">
        <v>70</v>
      </c>
      <c r="E28">
        <v>3.1625E-2</v>
      </c>
      <c r="F28">
        <v>4.1348999999999997E-2</v>
      </c>
      <c r="G28">
        <v>5.3095000000000003E-2</v>
      </c>
      <c r="H28">
        <v>6.6243999999999997E-2</v>
      </c>
      <c r="I28">
        <v>7.9602999999999993E-2</v>
      </c>
      <c r="J28">
        <v>9.2543E-2</v>
      </c>
      <c r="K28">
        <v>0.10441599999999999</v>
      </c>
      <c r="L28">
        <v>0.115643</v>
      </c>
      <c r="M28">
        <v>0.126972</v>
      </c>
      <c r="N28">
        <v>0.13850199999999999</v>
      </c>
      <c r="O28">
        <v>0.150392</v>
      </c>
      <c r="P28">
        <v>0.16246099999999999</v>
      </c>
      <c r="Q28">
        <v>0.17480399999999999</v>
      </c>
      <c r="R28">
        <v>0.18723899999999999</v>
      </c>
      <c r="S28">
        <v>0.19958999999999999</v>
      </c>
      <c r="T28">
        <v>0.212288</v>
      </c>
      <c r="U28">
        <v>0.22536400000000001</v>
      </c>
      <c r="V28">
        <v>0.23924300000000001</v>
      </c>
      <c r="W28">
        <v>0.253973</v>
      </c>
      <c r="X28">
        <v>0.26994400000000002</v>
      </c>
      <c r="Y28">
        <v>0.28712100000000002</v>
      </c>
      <c r="Z28">
        <v>0.30473800000000001</v>
      </c>
      <c r="AA28">
        <v>0.32270399999999999</v>
      </c>
      <c r="AB28">
        <v>0.34103499999999998</v>
      </c>
      <c r="AC28">
        <v>0.35960799999999998</v>
      </c>
      <c r="AD28">
        <v>0.37826300000000002</v>
      </c>
      <c r="AE28" t="s">
        <v>446</v>
      </c>
    </row>
    <row r="29" spans="1:31" x14ac:dyDescent="0.25">
      <c r="A29" t="s">
        <v>86</v>
      </c>
      <c r="B29" t="s">
        <v>447</v>
      </c>
      <c r="C29" t="s">
        <v>448</v>
      </c>
      <c r="D29" t="s">
        <v>70</v>
      </c>
      <c r="E29">
        <v>0.15950900000000001</v>
      </c>
      <c r="F29">
        <v>0.178677</v>
      </c>
      <c r="G29">
        <v>0.19480600000000001</v>
      </c>
      <c r="H29">
        <v>0.202568</v>
      </c>
      <c r="I29">
        <v>0.20727899999999999</v>
      </c>
      <c r="J29">
        <v>0.212645</v>
      </c>
      <c r="K29">
        <v>0.21679300000000001</v>
      </c>
      <c r="L29">
        <v>0.22007099999999999</v>
      </c>
      <c r="M29">
        <v>0.22375700000000001</v>
      </c>
      <c r="N29">
        <v>0.22936000000000001</v>
      </c>
      <c r="O29">
        <v>0.23388900000000001</v>
      </c>
      <c r="P29">
        <v>0.23771300000000001</v>
      </c>
      <c r="Q29">
        <v>0.24440600000000001</v>
      </c>
      <c r="R29">
        <v>0.25092700000000001</v>
      </c>
      <c r="S29">
        <v>0.25883299999999998</v>
      </c>
      <c r="T29">
        <v>0.26564700000000002</v>
      </c>
      <c r="U29">
        <v>0.26933000000000001</v>
      </c>
      <c r="V29">
        <v>0.27484399999999998</v>
      </c>
      <c r="W29">
        <v>0.27782000000000001</v>
      </c>
      <c r="X29">
        <v>0.281171</v>
      </c>
      <c r="Y29">
        <v>0.28390700000000002</v>
      </c>
      <c r="Z29">
        <v>0.28815800000000003</v>
      </c>
      <c r="AA29">
        <v>0.29341899999999999</v>
      </c>
      <c r="AB29">
        <v>0.29877599999999999</v>
      </c>
      <c r="AC29">
        <v>0.30282900000000001</v>
      </c>
      <c r="AD29">
        <v>0.308056</v>
      </c>
      <c r="AE29" t="s">
        <v>449</v>
      </c>
    </row>
    <row r="30" spans="1:31" x14ac:dyDescent="0.25">
      <c r="A30" t="s">
        <v>120</v>
      </c>
      <c r="B30" t="s">
        <v>450</v>
      </c>
      <c r="C30" t="s">
        <v>451</v>
      </c>
      <c r="D30" t="s">
        <v>70</v>
      </c>
      <c r="E30">
        <v>5.0253730000000001</v>
      </c>
      <c r="F30">
        <v>5.2536379999999996</v>
      </c>
      <c r="G30">
        <v>5.3069119999999996</v>
      </c>
      <c r="H30">
        <v>5.3754119999999999</v>
      </c>
      <c r="I30">
        <v>5.443327</v>
      </c>
      <c r="J30">
        <v>5.4896200000000004</v>
      </c>
      <c r="K30">
        <v>5.5401990000000003</v>
      </c>
      <c r="L30">
        <v>5.5957150000000002</v>
      </c>
      <c r="M30">
        <v>5.6571559999999996</v>
      </c>
      <c r="N30">
        <v>5.7210400000000003</v>
      </c>
      <c r="O30">
        <v>5.789485</v>
      </c>
      <c r="P30">
        <v>5.8650630000000001</v>
      </c>
      <c r="Q30">
        <v>5.9401460000000004</v>
      </c>
      <c r="R30">
        <v>6.0165980000000001</v>
      </c>
      <c r="S30">
        <v>6.0916980000000001</v>
      </c>
      <c r="T30">
        <v>6.1654169999999997</v>
      </c>
      <c r="U30">
        <v>6.2429899999999998</v>
      </c>
      <c r="V30">
        <v>6.319204</v>
      </c>
      <c r="W30">
        <v>6.3979559999999998</v>
      </c>
      <c r="X30">
        <v>6.4756460000000002</v>
      </c>
      <c r="Y30">
        <v>6.5534369999999997</v>
      </c>
      <c r="Z30">
        <v>6.6249789999999997</v>
      </c>
      <c r="AA30">
        <v>6.6887629999999998</v>
      </c>
      <c r="AB30">
        <v>6.7476050000000001</v>
      </c>
      <c r="AC30">
        <v>6.8043579999999997</v>
      </c>
      <c r="AD30">
        <v>6.8577510000000004</v>
      </c>
      <c r="AE30" t="s">
        <v>237</v>
      </c>
    </row>
    <row r="31" spans="1:31" x14ac:dyDescent="0.25">
      <c r="A31" t="s">
        <v>88</v>
      </c>
    </row>
    <row r="32" spans="1:31" x14ac:dyDescent="0.25">
      <c r="A32" t="s">
        <v>69</v>
      </c>
      <c r="B32" t="s">
        <v>452</v>
      </c>
      <c r="C32" t="s">
        <v>453</v>
      </c>
      <c r="D32" t="s">
        <v>70</v>
      </c>
      <c r="E32">
        <v>1.677395</v>
      </c>
      <c r="F32">
        <v>1.6589769999999999</v>
      </c>
      <c r="G32">
        <v>1.6553329999999999</v>
      </c>
      <c r="H32">
        <v>1.6402129999999999</v>
      </c>
      <c r="I32">
        <v>1.6146229999999999</v>
      </c>
      <c r="J32">
        <v>1.585396</v>
      </c>
      <c r="K32">
        <v>1.5581529999999999</v>
      </c>
      <c r="L32">
        <v>1.539679</v>
      </c>
      <c r="M32">
        <v>1.5255799999999999</v>
      </c>
      <c r="N32">
        <v>1.5149980000000001</v>
      </c>
      <c r="O32">
        <v>1.504151</v>
      </c>
      <c r="P32">
        <v>1.4947490000000001</v>
      </c>
      <c r="Q32">
        <v>1.4847630000000001</v>
      </c>
      <c r="R32">
        <v>1.474809</v>
      </c>
      <c r="S32">
        <v>1.464232</v>
      </c>
      <c r="T32">
        <v>1.4538169999999999</v>
      </c>
      <c r="U32">
        <v>1.4437610000000001</v>
      </c>
      <c r="V32">
        <v>1.435541</v>
      </c>
      <c r="W32">
        <v>1.427792</v>
      </c>
      <c r="X32">
        <v>1.4207719999999999</v>
      </c>
      <c r="Y32">
        <v>1.4132450000000001</v>
      </c>
      <c r="Z32">
        <v>1.403235</v>
      </c>
      <c r="AA32">
        <v>1.3916379999999999</v>
      </c>
      <c r="AB32">
        <v>1.379734</v>
      </c>
      <c r="AC32">
        <v>1.3678490000000001</v>
      </c>
      <c r="AD32">
        <v>1.356255</v>
      </c>
      <c r="AE32" t="s">
        <v>275</v>
      </c>
    </row>
    <row r="33" spans="1:31" x14ac:dyDescent="0.25">
      <c r="A33" t="s">
        <v>71</v>
      </c>
      <c r="B33" t="s">
        <v>454</v>
      </c>
      <c r="C33" t="s">
        <v>455</v>
      </c>
      <c r="D33" t="s">
        <v>70</v>
      </c>
      <c r="E33">
        <v>1.5692000000000001E-2</v>
      </c>
      <c r="F33">
        <v>1.7611999999999999E-2</v>
      </c>
      <c r="G33">
        <v>1.7944999999999999E-2</v>
      </c>
      <c r="H33">
        <v>1.8169000000000001E-2</v>
      </c>
      <c r="I33">
        <v>1.8287000000000001E-2</v>
      </c>
      <c r="J33">
        <v>1.8391999999999999E-2</v>
      </c>
      <c r="K33">
        <v>1.8554999999999999E-2</v>
      </c>
      <c r="L33">
        <v>1.8870999999999999E-2</v>
      </c>
      <c r="M33">
        <v>1.9279999999999999E-2</v>
      </c>
      <c r="N33">
        <v>1.9785000000000001E-2</v>
      </c>
      <c r="O33">
        <v>2.0337999999999998E-2</v>
      </c>
      <c r="P33">
        <v>2.0947E-2</v>
      </c>
      <c r="Q33">
        <v>2.1603000000000001E-2</v>
      </c>
      <c r="R33">
        <v>2.2291999999999999E-2</v>
      </c>
      <c r="S33">
        <v>2.3007E-2</v>
      </c>
      <c r="T33">
        <v>2.3771E-2</v>
      </c>
      <c r="U33">
        <v>2.4568E-2</v>
      </c>
      <c r="V33">
        <v>2.5420999999999999E-2</v>
      </c>
      <c r="W33">
        <v>2.6325999999999999E-2</v>
      </c>
      <c r="X33">
        <v>2.7285E-2</v>
      </c>
      <c r="Y33">
        <v>2.8298E-2</v>
      </c>
      <c r="Z33">
        <v>2.9311E-2</v>
      </c>
      <c r="AA33">
        <v>3.0356000000000001E-2</v>
      </c>
      <c r="AB33">
        <v>3.1434999999999998E-2</v>
      </c>
      <c r="AC33">
        <v>3.2570000000000002E-2</v>
      </c>
      <c r="AD33">
        <v>3.3763000000000001E-2</v>
      </c>
      <c r="AE33" t="s">
        <v>456</v>
      </c>
    </row>
    <row r="34" spans="1:31" x14ac:dyDescent="0.25">
      <c r="A34" t="s">
        <v>72</v>
      </c>
      <c r="B34" t="s">
        <v>457</v>
      </c>
      <c r="C34" t="s">
        <v>458</v>
      </c>
      <c r="D34" t="s">
        <v>70</v>
      </c>
      <c r="E34">
        <v>0.27396999999999999</v>
      </c>
      <c r="F34">
        <v>0.28034100000000001</v>
      </c>
      <c r="G34">
        <v>0.28301799999999999</v>
      </c>
      <c r="H34">
        <v>0.28370099999999998</v>
      </c>
      <c r="I34">
        <v>0.28280699999999998</v>
      </c>
      <c r="J34">
        <v>0.28132299999999999</v>
      </c>
      <c r="K34">
        <v>0.280138</v>
      </c>
      <c r="L34">
        <v>0.28065699999999999</v>
      </c>
      <c r="M34">
        <v>0.28179199999999999</v>
      </c>
      <c r="N34">
        <v>0.28385700000000003</v>
      </c>
      <c r="O34">
        <v>0.28610000000000002</v>
      </c>
      <c r="P34">
        <v>0.28878300000000001</v>
      </c>
      <c r="Q34">
        <v>0.29144900000000001</v>
      </c>
      <c r="R34">
        <v>0.29413099999999998</v>
      </c>
      <c r="S34">
        <v>0.29672999999999999</v>
      </c>
      <c r="T34">
        <v>0.29936600000000002</v>
      </c>
      <c r="U34">
        <v>0.30216399999999999</v>
      </c>
      <c r="V34">
        <v>0.30531700000000001</v>
      </c>
      <c r="W34">
        <v>0.30862800000000001</v>
      </c>
      <c r="X34">
        <v>0.312135</v>
      </c>
      <c r="Y34">
        <v>0.31552200000000002</v>
      </c>
      <c r="Z34">
        <v>0.31842900000000002</v>
      </c>
      <c r="AA34">
        <v>0.32100499999999998</v>
      </c>
      <c r="AB34">
        <v>0.32346599999999998</v>
      </c>
      <c r="AC34">
        <v>0.32592300000000002</v>
      </c>
      <c r="AD34">
        <v>0.32842900000000003</v>
      </c>
      <c r="AE34" t="s">
        <v>282</v>
      </c>
    </row>
    <row r="35" spans="1:31" x14ac:dyDescent="0.25">
      <c r="A35" t="s">
        <v>74</v>
      </c>
      <c r="B35" t="s">
        <v>459</v>
      </c>
      <c r="C35" t="s">
        <v>460</v>
      </c>
      <c r="D35" t="s">
        <v>70</v>
      </c>
      <c r="E35">
        <v>0.40538999999999997</v>
      </c>
      <c r="F35">
        <v>0.41269800000000001</v>
      </c>
      <c r="G35">
        <v>0.41620099999999999</v>
      </c>
      <c r="H35">
        <v>0.416769</v>
      </c>
      <c r="I35">
        <v>0.41515299999999999</v>
      </c>
      <c r="J35">
        <v>0.412603</v>
      </c>
      <c r="K35">
        <v>0.410522</v>
      </c>
      <c r="L35">
        <v>0.41081499999999999</v>
      </c>
      <c r="M35">
        <v>0.41202800000000001</v>
      </c>
      <c r="N35">
        <v>0.414518</v>
      </c>
      <c r="O35">
        <v>0.41720299999999999</v>
      </c>
      <c r="P35">
        <v>0.42046600000000001</v>
      </c>
      <c r="Q35">
        <v>0.42367300000000002</v>
      </c>
      <c r="R35">
        <v>0.42686800000000003</v>
      </c>
      <c r="S35">
        <v>0.429898</v>
      </c>
      <c r="T35">
        <v>0.43293399999999999</v>
      </c>
      <c r="U35">
        <v>0.43624499999999999</v>
      </c>
      <c r="V35">
        <v>0.440058</v>
      </c>
      <c r="W35">
        <v>0.44407600000000003</v>
      </c>
      <c r="X35">
        <v>0.448351</v>
      </c>
      <c r="Y35">
        <v>0.45241599999999998</v>
      </c>
      <c r="Z35">
        <v>0.45573799999999998</v>
      </c>
      <c r="AA35">
        <v>0.45854200000000001</v>
      </c>
      <c r="AB35">
        <v>0.46114699999999997</v>
      </c>
      <c r="AC35">
        <v>0.46372099999999999</v>
      </c>
      <c r="AD35">
        <v>0.46634399999999998</v>
      </c>
      <c r="AE35" t="s">
        <v>193</v>
      </c>
    </row>
    <row r="36" spans="1:31" x14ac:dyDescent="0.25">
      <c r="A36" t="s">
        <v>83</v>
      </c>
      <c r="B36" t="s">
        <v>461</v>
      </c>
      <c r="C36" t="s">
        <v>462</v>
      </c>
      <c r="D36" t="s">
        <v>70</v>
      </c>
      <c r="E36">
        <v>1.2673559999999999</v>
      </c>
      <c r="F36">
        <v>1.1943330000000001</v>
      </c>
      <c r="G36">
        <v>1.1990430000000001</v>
      </c>
      <c r="H36">
        <v>1.1970860000000001</v>
      </c>
      <c r="I36">
        <v>1.1883330000000001</v>
      </c>
      <c r="J36">
        <v>1.177144</v>
      </c>
      <c r="K36">
        <v>1.166085</v>
      </c>
      <c r="L36">
        <v>1.160668</v>
      </c>
      <c r="M36">
        <v>1.1572070000000001</v>
      </c>
      <c r="N36">
        <v>1.156334</v>
      </c>
      <c r="O36">
        <v>1.1553119999999999</v>
      </c>
      <c r="P36">
        <v>1.1553340000000001</v>
      </c>
      <c r="Q36">
        <v>1.1551670000000001</v>
      </c>
      <c r="R36">
        <v>1.155125</v>
      </c>
      <c r="S36">
        <v>1.154979</v>
      </c>
      <c r="T36">
        <v>1.1551629999999999</v>
      </c>
      <c r="U36">
        <v>1.1555249999999999</v>
      </c>
      <c r="V36">
        <v>1.1573659999999999</v>
      </c>
      <c r="W36">
        <v>1.1597249999999999</v>
      </c>
      <c r="X36">
        <v>1.1629609999999999</v>
      </c>
      <c r="Y36">
        <v>1.165869</v>
      </c>
      <c r="Z36">
        <v>1.1673819999999999</v>
      </c>
      <c r="AA36">
        <v>1.168018</v>
      </c>
      <c r="AB36">
        <v>1.16842</v>
      </c>
      <c r="AC36">
        <v>1.1688689999999999</v>
      </c>
      <c r="AD36">
        <v>1.1696519999999999</v>
      </c>
      <c r="AE36" t="s">
        <v>463</v>
      </c>
    </row>
    <row r="37" spans="1:31" x14ac:dyDescent="0.25">
      <c r="A37" t="s">
        <v>89</v>
      </c>
      <c r="B37" t="s">
        <v>464</v>
      </c>
      <c r="C37" t="s">
        <v>465</v>
      </c>
      <c r="D37" t="s">
        <v>70</v>
      </c>
      <c r="E37">
        <v>3.6398039999999998</v>
      </c>
      <c r="F37">
        <v>3.5639609999999999</v>
      </c>
      <c r="G37">
        <v>3.5715400000000002</v>
      </c>
      <c r="H37">
        <v>3.5559379999999998</v>
      </c>
      <c r="I37">
        <v>3.5192030000000001</v>
      </c>
      <c r="J37">
        <v>3.4748570000000001</v>
      </c>
      <c r="K37">
        <v>3.4334530000000001</v>
      </c>
      <c r="L37">
        <v>3.4106900000000002</v>
      </c>
      <c r="M37">
        <v>3.395886</v>
      </c>
      <c r="N37">
        <v>3.3894920000000002</v>
      </c>
      <c r="O37">
        <v>3.3831030000000002</v>
      </c>
      <c r="P37">
        <v>3.3802789999999998</v>
      </c>
      <c r="Q37">
        <v>3.376655</v>
      </c>
      <c r="R37">
        <v>3.373224</v>
      </c>
      <c r="S37">
        <v>3.3688470000000001</v>
      </c>
      <c r="T37">
        <v>3.3650509999999998</v>
      </c>
      <c r="U37">
        <v>3.362263</v>
      </c>
      <c r="V37">
        <v>3.3637030000000001</v>
      </c>
      <c r="W37">
        <v>3.3665470000000002</v>
      </c>
      <c r="X37">
        <v>3.3715039999999998</v>
      </c>
      <c r="Y37">
        <v>3.3753500000000001</v>
      </c>
      <c r="Z37">
        <v>3.3740939999999999</v>
      </c>
      <c r="AA37">
        <v>3.3695590000000002</v>
      </c>
      <c r="AB37">
        <v>3.364201</v>
      </c>
      <c r="AC37">
        <v>3.3589319999999998</v>
      </c>
      <c r="AD37">
        <v>3.3544420000000001</v>
      </c>
      <c r="AE37" t="s">
        <v>463</v>
      </c>
    </row>
    <row r="38" spans="1:31" x14ac:dyDescent="0.25">
      <c r="A38" t="s">
        <v>90</v>
      </c>
    </row>
    <row r="39" spans="1:31" x14ac:dyDescent="0.25">
      <c r="A39" t="s">
        <v>69</v>
      </c>
      <c r="B39" t="s">
        <v>466</v>
      </c>
      <c r="C39" t="s">
        <v>467</v>
      </c>
      <c r="D39" t="s">
        <v>70</v>
      </c>
      <c r="E39">
        <v>7.4527999999999997E-2</v>
      </c>
      <c r="F39">
        <v>7.2814000000000004E-2</v>
      </c>
      <c r="G39">
        <v>7.2147000000000003E-2</v>
      </c>
      <c r="H39">
        <v>7.1328000000000003E-2</v>
      </c>
      <c r="I39">
        <v>7.0239999999999997E-2</v>
      </c>
      <c r="J39">
        <v>6.9389999999999993E-2</v>
      </c>
      <c r="K39">
        <v>6.8552000000000002E-2</v>
      </c>
      <c r="L39">
        <v>6.7389000000000004E-2</v>
      </c>
      <c r="M39">
        <v>6.5911999999999998E-2</v>
      </c>
      <c r="N39">
        <v>6.4452999999999996E-2</v>
      </c>
      <c r="O39">
        <v>6.3008999999999996E-2</v>
      </c>
      <c r="P39">
        <v>6.1670000000000003E-2</v>
      </c>
      <c r="Q39">
        <v>6.0345999999999997E-2</v>
      </c>
      <c r="R39">
        <v>5.9039000000000001E-2</v>
      </c>
      <c r="S39">
        <v>5.7779999999999998E-2</v>
      </c>
      <c r="T39">
        <v>5.6542000000000002E-2</v>
      </c>
      <c r="U39">
        <v>5.5330999999999998E-2</v>
      </c>
      <c r="V39">
        <v>5.4154000000000001E-2</v>
      </c>
      <c r="W39">
        <v>5.2975000000000001E-2</v>
      </c>
      <c r="X39">
        <v>5.1813999999999999E-2</v>
      </c>
      <c r="Y39">
        <v>5.0657000000000001E-2</v>
      </c>
      <c r="Z39">
        <v>4.9515999999999998E-2</v>
      </c>
      <c r="AA39">
        <v>4.8376000000000002E-2</v>
      </c>
      <c r="AB39">
        <v>4.7275999999999999E-2</v>
      </c>
      <c r="AC39">
        <v>4.6178999999999998E-2</v>
      </c>
      <c r="AD39">
        <v>4.5136000000000003E-2</v>
      </c>
      <c r="AE39" t="s">
        <v>339</v>
      </c>
    </row>
    <row r="40" spans="1:31" x14ac:dyDescent="0.25">
      <c r="A40" t="s">
        <v>72</v>
      </c>
      <c r="B40" t="s">
        <v>468</v>
      </c>
      <c r="C40" t="s">
        <v>469</v>
      </c>
      <c r="D40" t="s">
        <v>70</v>
      </c>
      <c r="E40">
        <v>3.7680000000000001E-3</v>
      </c>
      <c r="F40">
        <v>3.7829999999999999E-3</v>
      </c>
      <c r="G40">
        <v>3.7720000000000002E-3</v>
      </c>
      <c r="H40">
        <v>3.7559999999999998E-3</v>
      </c>
      <c r="I40">
        <v>3.738E-3</v>
      </c>
      <c r="J40">
        <v>3.7339999999999999E-3</v>
      </c>
      <c r="K40">
        <v>3.7299999999999998E-3</v>
      </c>
      <c r="L40">
        <v>3.7100000000000002E-3</v>
      </c>
      <c r="M40">
        <v>3.6719999999999999E-3</v>
      </c>
      <c r="N40">
        <v>3.6359999999999999E-3</v>
      </c>
      <c r="O40">
        <v>3.6020000000000002E-3</v>
      </c>
      <c r="P40">
        <v>3.5739999999999999E-3</v>
      </c>
      <c r="Q40">
        <v>3.5469999999999998E-3</v>
      </c>
      <c r="R40">
        <v>3.5209999999999998E-3</v>
      </c>
      <c r="S40">
        <v>3.496E-3</v>
      </c>
      <c r="T40">
        <v>3.4719999999999998E-3</v>
      </c>
      <c r="U40">
        <v>3.4480000000000001E-3</v>
      </c>
      <c r="V40">
        <v>3.424E-3</v>
      </c>
      <c r="W40">
        <v>3.3999999999999998E-3</v>
      </c>
      <c r="X40">
        <v>3.3760000000000001E-3</v>
      </c>
      <c r="Y40">
        <v>3.3500000000000001E-3</v>
      </c>
      <c r="Z40">
        <v>3.3240000000000001E-3</v>
      </c>
      <c r="AA40">
        <v>3.2980000000000002E-3</v>
      </c>
      <c r="AB40">
        <v>3.2729999999999999E-3</v>
      </c>
      <c r="AC40">
        <v>3.2460000000000002E-3</v>
      </c>
      <c r="AD40">
        <v>3.222E-3</v>
      </c>
      <c r="AE40" t="s">
        <v>344</v>
      </c>
    </row>
    <row r="41" spans="1:31" x14ac:dyDescent="0.25">
      <c r="A41" t="s">
        <v>83</v>
      </c>
      <c r="B41" t="s">
        <v>470</v>
      </c>
      <c r="C41" t="s">
        <v>471</v>
      </c>
      <c r="D41" t="s">
        <v>70</v>
      </c>
      <c r="E41">
        <v>0.237124</v>
      </c>
      <c r="F41">
        <v>0.242392</v>
      </c>
      <c r="G41">
        <v>0.25052600000000003</v>
      </c>
      <c r="H41">
        <v>0.25241000000000002</v>
      </c>
      <c r="I41">
        <v>0.25394099999999997</v>
      </c>
      <c r="J41">
        <v>0.256359</v>
      </c>
      <c r="K41">
        <v>0.25846799999999998</v>
      </c>
      <c r="L41">
        <v>0.25921899999999998</v>
      </c>
      <c r="M41">
        <v>0.258164</v>
      </c>
      <c r="N41">
        <v>0.257158</v>
      </c>
      <c r="O41">
        <v>0.256193</v>
      </c>
      <c r="P41">
        <v>0.25562600000000002</v>
      </c>
      <c r="Q41">
        <v>0.25496200000000002</v>
      </c>
      <c r="R41">
        <v>0.25428000000000001</v>
      </c>
      <c r="S41">
        <v>0.25374799999999997</v>
      </c>
      <c r="T41">
        <v>0.25328899999999999</v>
      </c>
      <c r="U41">
        <v>0.25278</v>
      </c>
      <c r="V41">
        <v>0.25230599999999997</v>
      </c>
      <c r="W41">
        <v>0.251799</v>
      </c>
      <c r="X41">
        <v>0.25126500000000002</v>
      </c>
      <c r="Y41">
        <v>0.25063000000000002</v>
      </c>
      <c r="Z41">
        <v>0.24996199999999999</v>
      </c>
      <c r="AA41">
        <v>0.249195</v>
      </c>
      <c r="AB41">
        <v>0.248498</v>
      </c>
      <c r="AC41">
        <v>0.247697</v>
      </c>
      <c r="AD41">
        <v>0.24707599999999999</v>
      </c>
      <c r="AE41" t="s">
        <v>234</v>
      </c>
    </row>
    <row r="42" spans="1:31" x14ac:dyDescent="0.25">
      <c r="A42" t="s">
        <v>89</v>
      </c>
      <c r="B42" t="s">
        <v>472</v>
      </c>
      <c r="C42" t="s">
        <v>473</v>
      </c>
      <c r="D42" t="s">
        <v>70</v>
      </c>
      <c r="E42">
        <v>0.31541999999999998</v>
      </c>
      <c r="F42">
        <v>0.31898799999999999</v>
      </c>
      <c r="G42">
        <v>0.32644600000000001</v>
      </c>
      <c r="H42">
        <v>0.32749499999999998</v>
      </c>
      <c r="I42">
        <v>0.32791799999999999</v>
      </c>
      <c r="J42">
        <v>0.329482</v>
      </c>
      <c r="K42">
        <v>0.33074900000000002</v>
      </c>
      <c r="L42">
        <v>0.33031700000000003</v>
      </c>
      <c r="M42">
        <v>0.32774799999999998</v>
      </c>
      <c r="N42">
        <v>0.32524599999999998</v>
      </c>
      <c r="O42">
        <v>0.32280300000000001</v>
      </c>
      <c r="P42">
        <v>0.32086999999999999</v>
      </c>
      <c r="Q42">
        <v>0.31885599999999997</v>
      </c>
      <c r="R42">
        <v>0.31683899999999998</v>
      </c>
      <c r="S42">
        <v>0.31502400000000003</v>
      </c>
      <c r="T42">
        <v>0.31330200000000002</v>
      </c>
      <c r="U42">
        <v>0.31156</v>
      </c>
      <c r="V42">
        <v>0.30988500000000002</v>
      </c>
      <c r="W42">
        <v>0.308174</v>
      </c>
      <c r="X42">
        <v>0.30645499999999998</v>
      </c>
      <c r="Y42">
        <v>0.30463699999999999</v>
      </c>
      <c r="Z42">
        <v>0.30280200000000002</v>
      </c>
      <c r="AA42">
        <v>0.300869</v>
      </c>
      <c r="AB42">
        <v>0.29904700000000001</v>
      </c>
      <c r="AC42">
        <v>0.297122</v>
      </c>
      <c r="AD42">
        <v>0.295435</v>
      </c>
      <c r="AE42" t="s">
        <v>463</v>
      </c>
    </row>
    <row r="43" spans="1:31" x14ac:dyDescent="0.25">
      <c r="A43" t="s">
        <v>121</v>
      </c>
      <c r="B43" t="s">
        <v>474</v>
      </c>
      <c r="C43" t="s">
        <v>475</v>
      </c>
      <c r="D43" t="s">
        <v>70</v>
      </c>
      <c r="E43">
        <v>0.143682</v>
      </c>
      <c r="F43">
        <v>0.143682</v>
      </c>
      <c r="G43">
        <v>0.143682</v>
      </c>
      <c r="H43">
        <v>0.143682</v>
      </c>
      <c r="I43">
        <v>0.143682</v>
      </c>
      <c r="J43">
        <v>0.143682</v>
      </c>
      <c r="K43">
        <v>0.143682</v>
      </c>
      <c r="L43">
        <v>0.143682</v>
      </c>
      <c r="M43">
        <v>0.143682</v>
      </c>
      <c r="N43">
        <v>0.143682</v>
      </c>
      <c r="O43">
        <v>0.143682</v>
      </c>
      <c r="P43">
        <v>0.143682</v>
      </c>
      <c r="Q43">
        <v>0.143682</v>
      </c>
      <c r="R43">
        <v>0.143682</v>
      </c>
      <c r="S43">
        <v>0.143682</v>
      </c>
      <c r="T43">
        <v>0.143682</v>
      </c>
      <c r="U43">
        <v>0.143682</v>
      </c>
      <c r="V43">
        <v>0.143682</v>
      </c>
      <c r="W43">
        <v>0.143682</v>
      </c>
      <c r="X43">
        <v>0.143682</v>
      </c>
      <c r="Y43">
        <v>0.143682</v>
      </c>
      <c r="Z43">
        <v>0.143682</v>
      </c>
      <c r="AA43">
        <v>0.143682</v>
      </c>
      <c r="AB43">
        <v>0.143682</v>
      </c>
      <c r="AC43">
        <v>0.143682</v>
      </c>
      <c r="AD43">
        <v>0.143682</v>
      </c>
      <c r="AE43" t="s">
        <v>319</v>
      </c>
    </row>
    <row r="44" spans="1:31" x14ac:dyDescent="0.25">
      <c r="A44" t="s">
        <v>122</v>
      </c>
      <c r="B44" t="s">
        <v>476</v>
      </c>
      <c r="C44" t="s">
        <v>477</v>
      </c>
      <c r="D44" t="s">
        <v>70</v>
      </c>
      <c r="E44">
        <v>0.64804899999999999</v>
      </c>
      <c r="F44">
        <v>0.66109399999999996</v>
      </c>
      <c r="G44">
        <v>0.66815899999999995</v>
      </c>
      <c r="H44">
        <v>0.67530999999999997</v>
      </c>
      <c r="I44">
        <v>0.68251499999999998</v>
      </c>
      <c r="J44">
        <v>0.69058600000000003</v>
      </c>
      <c r="K44">
        <v>0.69791700000000001</v>
      </c>
      <c r="L44">
        <v>0.705951</v>
      </c>
      <c r="M44">
        <v>0.71397100000000002</v>
      </c>
      <c r="N44">
        <v>0.72265699999999999</v>
      </c>
      <c r="O44">
        <v>0.73133000000000004</v>
      </c>
      <c r="P44">
        <v>0.74053500000000005</v>
      </c>
      <c r="Q44">
        <v>0.74982300000000002</v>
      </c>
      <c r="R44">
        <v>0.75890299999999999</v>
      </c>
      <c r="S44">
        <v>0.76786100000000002</v>
      </c>
      <c r="T44">
        <v>0.77653099999999997</v>
      </c>
      <c r="U44">
        <v>0.78471800000000003</v>
      </c>
      <c r="V44">
        <v>0.79267399999999999</v>
      </c>
      <c r="W44">
        <v>0.80039300000000002</v>
      </c>
      <c r="X44">
        <v>0.80793800000000005</v>
      </c>
      <c r="Y44">
        <v>0.81531299999999995</v>
      </c>
      <c r="Z44">
        <v>0.82266799999999995</v>
      </c>
      <c r="AA44">
        <v>0.82990399999999998</v>
      </c>
      <c r="AB44">
        <v>0.83711199999999997</v>
      </c>
      <c r="AC44">
        <v>0.84429500000000002</v>
      </c>
      <c r="AD44">
        <v>0.85150899999999996</v>
      </c>
      <c r="AE44" t="s">
        <v>443</v>
      </c>
    </row>
    <row r="45" spans="1:31" x14ac:dyDescent="0.25">
      <c r="A45" t="s">
        <v>93</v>
      </c>
    </row>
    <row r="46" spans="1:31" x14ac:dyDescent="0.25">
      <c r="A46" t="s">
        <v>69</v>
      </c>
      <c r="B46" t="s">
        <v>478</v>
      </c>
      <c r="C46" t="s">
        <v>479</v>
      </c>
      <c r="D46" t="s">
        <v>70</v>
      </c>
      <c r="E46">
        <v>1.9527829999999999</v>
      </c>
      <c r="F46">
        <v>1.9257820000000001</v>
      </c>
      <c r="G46">
        <v>1.91981</v>
      </c>
      <c r="H46">
        <v>1.9027780000000001</v>
      </c>
      <c r="I46">
        <v>1.874552</v>
      </c>
      <c r="J46">
        <v>1.8426880000000001</v>
      </c>
      <c r="K46">
        <v>1.8127359999999999</v>
      </c>
      <c r="L46">
        <v>1.791174</v>
      </c>
      <c r="M46">
        <v>1.7737210000000001</v>
      </c>
      <c r="N46">
        <v>1.759693</v>
      </c>
      <c r="O46">
        <v>1.74536</v>
      </c>
      <c r="P46">
        <v>1.732645</v>
      </c>
      <c r="Q46">
        <v>1.719209</v>
      </c>
      <c r="R46">
        <v>1.7057800000000001</v>
      </c>
      <c r="S46">
        <v>1.6916739999999999</v>
      </c>
      <c r="T46">
        <v>1.6777249999999999</v>
      </c>
      <c r="U46">
        <v>1.6641919999999999</v>
      </c>
      <c r="V46">
        <v>1.652504</v>
      </c>
      <c r="W46">
        <v>1.641275</v>
      </c>
      <c r="X46">
        <v>1.630741</v>
      </c>
      <c r="Y46">
        <v>1.619726</v>
      </c>
      <c r="Z46">
        <v>1.606106</v>
      </c>
      <c r="AA46">
        <v>1.5907290000000001</v>
      </c>
      <c r="AB46">
        <v>1.5750420000000001</v>
      </c>
      <c r="AC46">
        <v>1.5594129999999999</v>
      </c>
      <c r="AD46">
        <v>1.544062</v>
      </c>
      <c r="AE46" t="s">
        <v>179</v>
      </c>
    </row>
    <row r="47" spans="1:31" x14ac:dyDescent="0.25">
      <c r="A47" t="s">
        <v>71</v>
      </c>
      <c r="B47" t="s">
        <v>480</v>
      </c>
      <c r="C47" t="s">
        <v>481</v>
      </c>
      <c r="D47" t="s">
        <v>70</v>
      </c>
      <c r="E47">
        <v>0.58253100000000002</v>
      </c>
      <c r="F47">
        <v>0.61208399999999996</v>
      </c>
      <c r="G47">
        <v>0.61880599999999997</v>
      </c>
      <c r="H47">
        <v>0.62719999999999998</v>
      </c>
      <c r="I47">
        <v>0.63409800000000005</v>
      </c>
      <c r="J47">
        <v>0.63845799999999997</v>
      </c>
      <c r="K47">
        <v>0.64351199999999997</v>
      </c>
      <c r="L47">
        <v>0.64931700000000003</v>
      </c>
      <c r="M47">
        <v>0.65568800000000005</v>
      </c>
      <c r="N47">
        <v>0.66273099999999996</v>
      </c>
      <c r="O47">
        <v>0.67013699999999998</v>
      </c>
      <c r="P47">
        <v>0.678396</v>
      </c>
      <c r="Q47">
        <v>0.68686800000000003</v>
      </c>
      <c r="R47">
        <v>0.69551799999999997</v>
      </c>
      <c r="S47">
        <v>0.70410799999999996</v>
      </c>
      <c r="T47">
        <v>0.71308300000000002</v>
      </c>
      <c r="U47">
        <v>0.72254799999999997</v>
      </c>
      <c r="V47">
        <v>0.73252300000000004</v>
      </c>
      <c r="W47">
        <v>0.74325799999999997</v>
      </c>
      <c r="X47">
        <v>0.75429000000000002</v>
      </c>
      <c r="Y47">
        <v>0.76584600000000003</v>
      </c>
      <c r="Z47">
        <v>0.77697899999999998</v>
      </c>
      <c r="AA47">
        <v>0.78769400000000001</v>
      </c>
      <c r="AB47">
        <v>0.79837899999999995</v>
      </c>
      <c r="AC47">
        <v>0.80965799999999999</v>
      </c>
      <c r="AD47">
        <v>0.82099999999999995</v>
      </c>
      <c r="AE47" t="s">
        <v>182</v>
      </c>
    </row>
    <row r="48" spans="1:31" x14ac:dyDescent="0.25">
      <c r="A48" t="s">
        <v>72</v>
      </c>
      <c r="B48" t="s">
        <v>482</v>
      </c>
      <c r="C48" t="s">
        <v>483</v>
      </c>
      <c r="D48" t="s">
        <v>70</v>
      </c>
      <c r="E48">
        <v>0.35153499999999999</v>
      </c>
      <c r="F48">
        <v>0.35685</v>
      </c>
      <c r="G48">
        <v>0.35884300000000002</v>
      </c>
      <c r="H48">
        <v>0.359097</v>
      </c>
      <c r="I48">
        <v>0.35761599999999999</v>
      </c>
      <c r="J48">
        <v>0.35524299999999998</v>
      </c>
      <c r="K48">
        <v>0.35315099999999999</v>
      </c>
      <c r="L48">
        <v>0.35276600000000002</v>
      </c>
      <c r="M48">
        <v>0.35303000000000001</v>
      </c>
      <c r="N48">
        <v>0.35423900000000003</v>
      </c>
      <c r="O48">
        <v>0.35563299999999998</v>
      </c>
      <c r="P48">
        <v>0.357541</v>
      </c>
      <c r="Q48">
        <v>0.35942200000000002</v>
      </c>
      <c r="R48">
        <v>0.36132500000000001</v>
      </c>
      <c r="S48">
        <v>0.36314299999999999</v>
      </c>
      <c r="T48">
        <v>0.36499100000000001</v>
      </c>
      <c r="U48">
        <v>0.36704199999999998</v>
      </c>
      <c r="V48">
        <v>0.36945699999999998</v>
      </c>
      <c r="W48">
        <v>0.37206299999999998</v>
      </c>
      <c r="X48">
        <v>0.37487500000000001</v>
      </c>
      <c r="Y48">
        <v>0.37756699999999999</v>
      </c>
      <c r="Z48">
        <v>0.37975599999999998</v>
      </c>
      <c r="AA48">
        <v>0.38156200000000001</v>
      </c>
      <c r="AB48">
        <v>0.38324200000000003</v>
      </c>
      <c r="AC48">
        <v>0.38493300000000003</v>
      </c>
      <c r="AD48">
        <v>0.38666200000000001</v>
      </c>
      <c r="AE48" t="s">
        <v>391</v>
      </c>
    </row>
    <row r="49" spans="1:31" x14ac:dyDescent="0.25">
      <c r="A49" t="s">
        <v>119</v>
      </c>
      <c r="B49" t="s">
        <v>484</v>
      </c>
      <c r="C49" t="s">
        <v>485</v>
      </c>
      <c r="D49" t="s">
        <v>70</v>
      </c>
      <c r="E49">
        <v>0.77257900000000002</v>
      </c>
      <c r="F49">
        <v>0.77808100000000002</v>
      </c>
      <c r="G49">
        <v>0.78721600000000003</v>
      </c>
      <c r="H49">
        <v>0.79894799999999999</v>
      </c>
      <c r="I49">
        <v>0.80861700000000003</v>
      </c>
      <c r="J49">
        <v>0.81284800000000001</v>
      </c>
      <c r="K49">
        <v>0.81740299999999999</v>
      </c>
      <c r="L49">
        <v>0.82248900000000003</v>
      </c>
      <c r="M49">
        <v>0.82842199999999999</v>
      </c>
      <c r="N49">
        <v>0.83473399999999998</v>
      </c>
      <c r="O49">
        <v>0.84140800000000004</v>
      </c>
      <c r="P49">
        <v>0.84894000000000003</v>
      </c>
      <c r="Q49">
        <v>0.85649600000000004</v>
      </c>
      <c r="R49">
        <v>0.86420600000000003</v>
      </c>
      <c r="S49">
        <v>0.87185299999999999</v>
      </c>
      <c r="T49">
        <v>0.87961100000000003</v>
      </c>
      <c r="U49">
        <v>0.88787400000000005</v>
      </c>
      <c r="V49">
        <v>0.89625699999999997</v>
      </c>
      <c r="W49">
        <v>0.90508500000000003</v>
      </c>
      <c r="X49">
        <v>0.91416399999999998</v>
      </c>
      <c r="Y49">
        <v>0.923373</v>
      </c>
      <c r="Z49">
        <v>0.93216900000000003</v>
      </c>
      <c r="AA49">
        <v>0.94026100000000001</v>
      </c>
      <c r="AB49">
        <v>0.94815300000000002</v>
      </c>
      <c r="AC49">
        <v>0.95642499999999997</v>
      </c>
      <c r="AD49">
        <v>0.96451799999999999</v>
      </c>
      <c r="AE49" t="s">
        <v>156</v>
      </c>
    </row>
    <row r="50" spans="1:31" x14ac:dyDescent="0.25">
      <c r="A50" t="s">
        <v>74</v>
      </c>
      <c r="B50" t="s">
        <v>486</v>
      </c>
      <c r="C50" t="s">
        <v>487</v>
      </c>
      <c r="D50" t="s">
        <v>70</v>
      </c>
      <c r="E50">
        <v>0.48938100000000001</v>
      </c>
      <c r="F50">
        <v>0.495944</v>
      </c>
      <c r="G50">
        <v>0.499083</v>
      </c>
      <c r="H50">
        <v>0.49952000000000002</v>
      </c>
      <c r="I50">
        <v>0.49754900000000002</v>
      </c>
      <c r="J50">
        <v>0.49431000000000003</v>
      </c>
      <c r="K50">
        <v>0.49151899999999998</v>
      </c>
      <c r="L50">
        <v>0.49113299999999999</v>
      </c>
      <c r="M50">
        <v>0.491732</v>
      </c>
      <c r="N50">
        <v>0.49363400000000002</v>
      </c>
      <c r="O50">
        <v>0.49573600000000001</v>
      </c>
      <c r="P50">
        <v>0.49846400000000002</v>
      </c>
      <c r="Q50">
        <v>0.50111499999999998</v>
      </c>
      <c r="R50">
        <v>0.503749</v>
      </c>
      <c r="S50">
        <v>0.50619700000000001</v>
      </c>
      <c r="T50">
        <v>0.50863599999999998</v>
      </c>
      <c r="U50">
        <v>0.51139699999999999</v>
      </c>
      <c r="V50">
        <v>0.51465499999999997</v>
      </c>
      <c r="W50">
        <v>0.51814000000000004</v>
      </c>
      <c r="X50">
        <v>0.52188800000000002</v>
      </c>
      <c r="Y50">
        <v>0.52541800000000005</v>
      </c>
      <c r="Z50">
        <v>0.52815500000000004</v>
      </c>
      <c r="AA50">
        <v>0.53030500000000003</v>
      </c>
      <c r="AB50">
        <v>0.53222899999999995</v>
      </c>
      <c r="AC50">
        <v>0.53413600000000006</v>
      </c>
      <c r="AD50">
        <v>0.53606500000000001</v>
      </c>
      <c r="AE50" t="s">
        <v>391</v>
      </c>
    </row>
    <row r="51" spans="1:31" x14ac:dyDescent="0.25">
      <c r="A51" t="s">
        <v>77</v>
      </c>
      <c r="B51" t="s">
        <v>488</v>
      </c>
      <c r="C51" t="s">
        <v>489</v>
      </c>
      <c r="D51" t="s">
        <v>70</v>
      </c>
      <c r="E51">
        <v>0.56464899999999996</v>
      </c>
      <c r="F51">
        <v>0.55332800000000004</v>
      </c>
      <c r="G51">
        <v>0.54732899999999995</v>
      </c>
      <c r="H51">
        <v>0.54542999999999997</v>
      </c>
      <c r="I51">
        <v>0.54358799999999996</v>
      </c>
      <c r="J51">
        <v>0.53231799999999996</v>
      </c>
      <c r="K51">
        <v>0.52262200000000003</v>
      </c>
      <c r="L51">
        <v>0.51419999999999999</v>
      </c>
      <c r="M51">
        <v>0.50677899999999998</v>
      </c>
      <c r="N51">
        <v>0.499778</v>
      </c>
      <c r="O51">
        <v>0.492952</v>
      </c>
      <c r="P51">
        <v>0.48728900000000003</v>
      </c>
      <c r="Q51">
        <v>0.48248600000000003</v>
      </c>
      <c r="R51">
        <v>0.47849799999999998</v>
      </c>
      <c r="S51">
        <v>0.47511900000000001</v>
      </c>
      <c r="T51">
        <v>0.47012199999999998</v>
      </c>
      <c r="U51">
        <v>0.46640700000000002</v>
      </c>
      <c r="V51">
        <v>0.46348200000000001</v>
      </c>
      <c r="W51">
        <v>0.46129700000000001</v>
      </c>
      <c r="X51">
        <v>0.45964300000000002</v>
      </c>
      <c r="Y51">
        <v>0.458401</v>
      </c>
      <c r="Z51">
        <v>0.457258</v>
      </c>
      <c r="AA51">
        <v>0.45599400000000001</v>
      </c>
      <c r="AB51">
        <v>0.454706</v>
      </c>
      <c r="AC51">
        <v>0.45369199999999998</v>
      </c>
      <c r="AD51">
        <v>0.45269500000000001</v>
      </c>
      <c r="AE51" t="s">
        <v>179</v>
      </c>
    </row>
    <row r="52" spans="1:31" x14ac:dyDescent="0.25">
      <c r="A52" t="s">
        <v>73</v>
      </c>
      <c r="B52" t="s">
        <v>490</v>
      </c>
      <c r="C52" t="s">
        <v>491</v>
      </c>
      <c r="D52" t="s">
        <v>70</v>
      </c>
      <c r="E52">
        <v>0.366734</v>
      </c>
      <c r="F52">
        <v>0.36595299999999997</v>
      </c>
      <c r="G52">
        <v>0.366174</v>
      </c>
      <c r="H52">
        <v>0.36699999999999999</v>
      </c>
      <c r="I52">
        <v>0.36756299999999997</v>
      </c>
      <c r="J52">
        <v>0.36664400000000003</v>
      </c>
      <c r="K52">
        <v>0.36620599999999998</v>
      </c>
      <c r="L52">
        <v>0.36610900000000002</v>
      </c>
      <c r="M52">
        <v>0.36638999999999999</v>
      </c>
      <c r="N52">
        <v>0.36695</v>
      </c>
      <c r="O52">
        <v>0.36775600000000003</v>
      </c>
      <c r="P52">
        <v>0.36884800000000001</v>
      </c>
      <c r="Q52">
        <v>0.37004599999999999</v>
      </c>
      <c r="R52">
        <v>0.37123899999999999</v>
      </c>
      <c r="S52">
        <v>0.37238300000000002</v>
      </c>
      <c r="T52">
        <v>0.37348500000000001</v>
      </c>
      <c r="U52">
        <v>0.37482799999999999</v>
      </c>
      <c r="V52">
        <v>0.37610199999999999</v>
      </c>
      <c r="W52">
        <v>0.37739</v>
      </c>
      <c r="X52">
        <v>0.37866300000000003</v>
      </c>
      <c r="Y52">
        <v>0.37990099999999999</v>
      </c>
      <c r="Z52">
        <v>0.38101400000000002</v>
      </c>
      <c r="AA52">
        <v>0.38195499999999999</v>
      </c>
      <c r="AB52">
        <v>0.38280700000000001</v>
      </c>
      <c r="AC52">
        <v>0.383654</v>
      </c>
      <c r="AD52">
        <v>0.38441500000000001</v>
      </c>
      <c r="AE52" t="s">
        <v>234</v>
      </c>
    </row>
    <row r="53" spans="1:31" x14ac:dyDescent="0.25">
      <c r="A53" t="s">
        <v>432</v>
      </c>
      <c r="B53" t="s">
        <v>492</v>
      </c>
      <c r="C53" t="s">
        <v>493</v>
      </c>
      <c r="D53" t="s">
        <v>70</v>
      </c>
      <c r="E53">
        <v>0.35769099999999998</v>
      </c>
      <c r="F53">
        <v>0.403698</v>
      </c>
      <c r="G53">
        <v>0.45296799999999998</v>
      </c>
      <c r="H53">
        <v>0.50386399999999998</v>
      </c>
      <c r="I53">
        <v>0.55580099999999999</v>
      </c>
      <c r="J53">
        <v>0.60810600000000004</v>
      </c>
      <c r="K53">
        <v>0.66097600000000001</v>
      </c>
      <c r="L53">
        <v>0.71486099999999997</v>
      </c>
      <c r="M53">
        <v>0.76973400000000003</v>
      </c>
      <c r="N53">
        <v>0.825407</v>
      </c>
      <c r="O53">
        <v>0.881718</v>
      </c>
      <c r="P53">
        <v>0.93838600000000005</v>
      </c>
      <c r="Q53">
        <v>0.99514899999999995</v>
      </c>
      <c r="R53">
        <v>1.0513049999999999</v>
      </c>
      <c r="S53">
        <v>1.1063590000000001</v>
      </c>
      <c r="T53">
        <v>1.1598010000000001</v>
      </c>
      <c r="U53">
        <v>1.2114279999999999</v>
      </c>
      <c r="V53">
        <v>1.2604219999999999</v>
      </c>
      <c r="W53">
        <v>1.3068299999999999</v>
      </c>
      <c r="X53">
        <v>1.3498509999999999</v>
      </c>
      <c r="Y53">
        <v>1.389499</v>
      </c>
      <c r="Z53">
        <v>1.424823</v>
      </c>
      <c r="AA53">
        <v>1.4555169999999999</v>
      </c>
      <c r="AB53">
        <v>1.4812449999999999</v>
      </c>
      <c r="AC53">
        <v>1.501816</v>
      </c>
      <c r="AD53">
        <v>1.5200849999999999</v>
      </c>
      <c r="AE53" t="s">
        <v>435</v>
      </c>
    </row>
    <row r="54" spans="1:31" x14ac:dyDescent="0.25">
      <c r="A54" t="s">
        <v>436</v>
      </c>
      <c r="B54" t="s">
        <v>494</v>
      </c>
      <c r="C54" t="s">
        <v>495</v>
      </c>
      <c r="D54" t="s">
        <v>70</v>
      </c>
      <c r="E54">
        <v>0.21695300000000001</v>
      </c>
      <c r="F54">
        <v>0.21174499999999999</v>
      </c>
      <c r="G54">
        <v>0.207122</v>
      </c>
      <c r="H54">
        <v>0.202684</v>
      </c>
      <c r="I54">
        <v>0.19826199999999999</v>
      </c>
      <c r="J54">
        <v>0.193913</v>
      </c>
      <c r="K54">
        <v>0.189829</v>
      </c>
      <c r="L54">
        <v>0.18572</v>
      </c>
      <c r="M54">
        <v>0.18246499999999999</v>
      </c>
      <c r="N54">
        <v>0.17970900000000001</v>
      </c>
      <c r="O54">
        <v>0.177067</v>
      </c>
      <c r="P54">
        <v>0.175041</v>
      </c>
      <c r="Q54">
        <v>0.173177</v>
      </c>
      <c r="R54">
        <v>0.17144699999999999</v>
      </c>
      <c r="S54">
        <v>0.170381</v>
      </c>
      <c r="T54">
        <v>0.16903399999999999</v>
      </c>
      <c r="U54">
        <v>0.16736699999999999</v>
      </c>
      <c r="V54">
        <v>0.16647999999999999</v>
      </c>
      <c r="W54">
        <v>0.16480900000000001</v>
      </c>
      <c r="X54">
        <v>0.16345199999999999</v>
      </c>
      <c r="Y54">
        <v>0.16186400000000001</v>
      </c>
      <c r="Z54">
        <v>0.16063</v>
      </c>
      <c r="AA54">
        <v>0.15854499999999999</v>
      </c>
      <c r="AB54">
        <v>0.15620999999999999</v>
      </c>
      <c r="AC54">
        <v>0.153638</v>
      </c>
      <c r="AD54">
        <v>0.150807</v>
      </c>
      <c r="AE54" t="s">
        <v>176</v>
      </c>
    </row>
    <row r="55" spans="1:31" x14ac:dyDescent="0.25">
      <c r="A55" t="s">
        <v>83</v>
      </c>
      <c r="B55" t="s">
        <v>496</v>
      </c>
      <c r="C55" t="s">
        <v>497</v>
      </c>
      <c r="D55" t="s">
        <v>70</v>
      </c>
      <c r="E55">
        <v>4.245374</v>
      </c>
      <c r="F55">
        <v>4.3752259999999996</v>
      </c>
      <c r="G55">
        <v>4.401097</v>
      </c>
      <c r="H55">
        <v>4.4076380000000004</v>
      </c>
      <c r="I55">
        <v>4.4066739999999998</v>
      </c>
      <c r="J55">
        <v>4.4038009999999996</v>
      </c>
      <c r="K55">
        <v>4.400423</v>
      </c>
      <c r="L55">
        <v>4.4030139999999998</v>
      </c>
      <c r="M55">
        <v>4.4072680000000002</v>
      </c>
      <c r="N55">
        <v>4.4161010000000003</v>
      </c>
      <c r="O55">
        <v>4.4261330000000001</v>
      </c>
      <c r="P55">
        <v>4.440131</v>
      </c>
      <c r="Q55">
        <v>4.4547949999999998</v>
      </c>
      <c r="R55">
        <v>4.4698669999999998</v>
      </c>
      <c r="S55">
        <v>4.4851390000000002</v>
      </c>
      <c r="T55">
        <v>4.5008530000000002</v>
      </c>
      <c r="U55">
        <v>4.5160939999999998</v>
      </c>
      <c r="V55">
        <v>4.5328670000000004</v>
      </c>
      <c r="W55">
        <v>4.5504509999999998</v>
      </c>
      <c r="X55">
        <v>4.5688839999999997</v>
      </c>
      <c r="Y55">
        <v>4.5876089999999996</v>
      </c>
      <c r="Z55">
        <v>4.6047549999999999</v>
      </c>
      <c r="AA55">
        <v>4.6209309999999997</v>
      </c>
      <c r="AB55">
        <v>4.6373740000000003</v>
      </c>
      <c r="AC55">
        <v>4.6542430000000001</v>
      </c>
      <c r="AD55">
        <v>4.6723020000000002</v>
      </c>
      <c r="AE55" t="s">
        <v>391</v>
      </c>
    </row>
    <row r="56" spans="1:31" x14ac:dyDescent="0.25">
      <c r="A56" t="s">
        <v>63</v>
      </c>
      <c r="B56" t="s">
        <v>498</v>
      </c>
      <c r="C56" t="s">
        <v>499</v>
      </c>
      <c r="D56" t="s">
        <v>70</v>
      </c>
      <c r="E56">
        <v>9.9002099999999995</v>
      </c>
      <c r="F56">
        <v>10.078690999999999</v>
      </c>
      <c r="G56">
        <v>10.158448999999999</v>
      </c>
      <c r="H56">
        <v>10.21416</v>
      </c>
      <c r="I56">
        <v>10.244320999999999</v>
      </c>
      <c r="J56">
        <v>10.248329999999999</v>
      </c>
      <c r="K56">
        <v>10.258376</v>
      </c>
      <c r="L56">
        <v>10.290782</v>
      </c>
      <c r="M56">
        <v>10.335228000000001</v>
      </c>
      <c r="N56">
        <v>10.392976000000001</v>
      </c>
      <c r="O56">
        <v>10.453898000000001</v>
      </c>
      <c r="P56">
        <v>10.525681000000001</v>
      </c>
      <c r="Q56">
        <v>10.598765</v>
      </c>
      <c r="R56">
        <v>10.672935000000001</v>
      </c>
      <c r="S56">
        <v>10.746354999999999</v>
      </c>
      <c r="T56">
        <v>10.817342999999999</v>
      </c>
      <c r="U56">
        <v>10.889177</v>
      </c>
      <c r="V56">
        <v>10.964748999999999</v>
      </c>
      <c r="W56">
        <v>11.040599</v>
      </c>
      <c r="X56">
        <v>11.11645</v>
      </c>
      <c r="Y56">
        <v>11.189202999999999</v>
      </c>
      <c r="Z56">
        <v>11.251643</v>
      </c>
      <c r="AA56">
        <v>11.303493</v>
      </c>
      <c r="AB56">
        <v>11.349386000000001</v>
      </c>
      <c r="AC56">
        <v>11.391608</v>
      </c>
      <c r="AD56">
        <v>11.432612000000001</v>
      </c>
      <c r="AE56" t="s">
        <v>193</v>
      </c>
    </row>
    <row r="57" spans="1:31" x14ac:dyDescent="0.25">
      <c r="A57" t="s">
        <v>85</v>
      </c>
      <c r="B57" t="s">
        <v>500</v>
      </c>
      <c r="C57" t="s">
        <v>501</v>
      </c>
      <c r="D57" t="s">
        <v>70</v>
      </c>
      <c r="E57">
        <v>3.1625E-2</v>
      </c>
      <c r="F57">
        <v>4.1348999999999997E-2</v>
      </c>
      <c r="G57">
        <v>5.3095000000000003E-2</v>
      </c>
      <c r="H57">
        <v>6.6243999999999997E-2</v>
      </c>
      <c r="I57">
        <v>7.9602999999999993E-2</v>
      </c>
      <c r="J57">
        <v>9.2543E-2</v>
      </c>
      <c r="K57">
        <v>0.10441599999999999</v>
      </c>
      <c r="L57">
        <v>0.115643</v>
      </c>
      <c r="M57">
        <v>0.126972</v>
      </c>
      <c r="N57">
        <v>0.13850199999999999</v>
      </c>
      <c r="O57">
        <v>0.150392</v>
      </c>
      <c r="P57">
        <v>0.16246099999999999</v>
      </c>
      <c r="Q57">
        <v>0.17480399999999999</v>
      </c>
      <c r="R57">
        <v>0.18723899999999999</v>
      </c>
      <c r="S57">
        <v>0.19958999999999999</v>
      </c>
      <c r="T57">
        <v>0.212288</v>
      </c>
      <c r="U57">
        <v>0.22536400000000001</v>
      </c>
      <c r="V57">
        <v>0.23924300000000001</v>
      </c>
      <c r="W57">
        <v>0.253973</v>
      </c>
      <c r="X57">
        <v>0.26994400000000002</v>
      </c>
      <c r="Y57">
        <v>0.28712100000000002</v>
      </c>
      <c r="Z57">
        <v>0.30473800000000001</v>
      </c>
      <c r="AA57">
        <v>0.32270399999999999</v>
      </c>
      <c r="AB57">
        <v>0.34103499999999998</v>
      </c>
      <c r="AC57">
        <v>0.35960799999999998</v>
      </c>
      <c r="AD57">
        <v>0.37826300000000002</v>
      </c>
      <c r="AE57" t="s">
        <v>446</v>
      </c>
    </row>
    <row r="58" spans="1:31" x14ac:dyDescent="0.25">
      <c r="A58" t="s">
        <v>86</v>
      </c>
      <c r="B58" t="s">
        <v>502</v>
      </c>
      <c r="C58" t="s">
        <v>503</v>
      </c>
      <c r="D58" t="s">
        <v>70</v>
      </c>
      <c r="E58">
        <v>0.15950900000000001</v>
      </c>
      <c r="F58">
        <v>0.178677</v>
      </c>
      <c r="G58">
        <v>0.19480600000000001</v>
      </c>
      <c r="H58">
        <v>0.202568</v>
      </c>
      <c r="I58">
        <v>0.20727899999999999</v>
      </c>
      <c r="J58">
        <v>0.212645</v>
      </c>
      <c r="K58">
        <v>0.21679300000000001</v>
      </c>
      <c r="L58">
        <v>0.22007099999999999</v>
      </c>
      <c r="M58">
        <v>0.22375700000000001</v>
      </c>
      <c r="N58">
        <v>0.22936000000000001</v>
      </c>
      <c r="O58">
        <v>0.23388900000000001</v>
      </c>
      <c r="P58">
        <v>0.23771300000000001</v>
      </c>
      <c r="Q58">
        <v>0.24440600000000001</v>
      </c>
      <c r="R58">
        <v>0.25092700000000001</v>
      </c>
      <c r="S58">
        <v>0.25883299999999998</v>
      </c>
      <c r="T58">
        <v>0.26564700000000002</v>
      </c>
      <c r="U58">
        <v>0.26933000000000001</v>
      </c>
      <c r="V58">
        <v>0.27484399999999998</v>
      </c>
      <c r="W58">
        <v>0.27782000000000001</v>
      </c>
      <c r="X58">
        <v>0.281171</v>
      </c>
      <c r="Y58">
        <v>0.28390700000000002</v>
      </c>
      <c r="Z58">
        <v>0.28815800000000003</v>
      </c>
      <c r="AA58">
        <v>0.29341899999999999</v>
      </c>
      <c r="AB58">
        <v>0.29877599999999999</v>
      </c>
      <c r="AC58">
        <v>0.30282900000000001</v>
      </c>
      <c r="AD58">
        <v>0.308056</v>
      </c>
      <c r="AE58" t="s">
        <v>449</v>
      </c>
    </row>
    <row r="59" spans="1:31" x14ac:dyDescent="0.25">
      <c r="A59" t="s">
        <v>89</v>
      </c>
      <c r="B59" t="s">
        <v>504</v>
      </c>
      <c r="C59" t="s">
        <v>499</v>
      </c>
      <c r="D59" t="s">
        <v>70</v>
      </c>
      <c r="E59">
        <v>9.7723270000000007</v>
      </c>
      <c r="F59">
        <v>9.9413640000000001</v>
      </c>
      <c r="G59">
        <v>10.016738</v>
      </c>
      <c r="H59">
        <v>10.077836</v>
      </c>
      <c r="I59">
        <v>10.116645</v>
      </c>
      <c r="J59">
        <v>10.128227000000001</v>
      </c>
      <c r="K59">
        <v>10.145999</v>
      </c>
      <c r="L59">
        <v>10.186355000000001</v>
      </c>
      <c r="M59">
        <v>10.238443</v>
      </c>
      <c r="N59">
        <v>10.302117000000001</v>
      </c>
      <c r="O59">
        <v>10.370400999999999</v>
      </c>
      <c r="P59">
        <v>10.450429</v>
      </c>
      <c r="Q59">
        <v>10.529163</v>
      </c>
      <c r="R59">
        <v>10.609246000000001</v>
      </c>
      <c r="S59">
        <v>10.687112000000001</v>
      </c>
      <c r="T59">
        <v>10.763984000000001</v>
      </c>
      <c r="U59">
        <v>10.845211000000001</v>
      </c>
      <c r="V59">
        <v>10.929149000000001</v>
      </c>
      <c r="W59">
        <v>11.016750999999999</v>
      </c>
      <c r="X59">
        <v>11.105224</v>
      </c>
      <c r="Y59">
        <v>11.192418</v>
      </c>
      <c r="Z59">
        <v>11.268224</v>
      </c>
      <c r="AA59">
        <v>11.332779</v>
      </c>
      <c r="AB59">
        <v>11.391646</v>
      </c>
      <c r="AC59">
        <v>11.448387</v>
      </c>
      <c r="AD59">
        <v>11.50282</v>
      </c>
      <c r="AE59" t="s">
        <v>282</v>
      </c>
    </row>
    <row r="60" spans="1:31" x14ac:dyDescent="0.25">
      <c r="A60" t="s">
        <v>45</v>
      </c>
      <c r="B60" t="s">
        <v>505</v>
      </c>
      <c r="C60" t="s">
        <v>506</v>
      </c>
      <c r="D60" t="s">
        <v>70</v>
      </c>
      <c r="E60">
        <v>6.9051450000000001</v>
      </c>
      <c r="F60">
        <v>7.1494039999999996</v>
      </c>
      <c r="G60">
        <v>6.6704460000000001</v>
      </c>
      <c r="H60">
        <v>6.4662550000000003</v>
      </c>
      <c r="I60">
        <v>6.3998749999999998</v>
      </c>
      <c r="J60">
        <v>6.3392540000000004</v>
      </c>
      <c r="K60">
        <v>6.1938110000000002</v>
      </c>
      <c r="L60">
        <v>6.1338879999999998</v>
      </c>
      <c r="M60">
        <v>6.1266309999999997</v>
      </c>
      <c r="N60">
        <v>6.0747090000000004</v>
      </c>
      <c r="O60">
        <v>6.0557759999999998</v>
      </c>
      <c r="P60">
        <v>6.0407120000000001</v>
      </c>
      <c r="Q60">
        <v>6.0576670000000004</v>
      </c>
      <c r="R60">
        <v>6.0900910000000001</v>
      </c>
      <c r="S60">
        <v>6.1077170000000001</v>
      </c>
      <c r="T60">
        <v>6.1082989999999997</v>
      </c>
      <c r="U60">
        <v>6.1123969999999996</v>
      </c>
      <c r="V60">
        <v>6.1441270000000001</v>
      </c>
      <c r="W60">
        <v>6.1853759999999998</v>
      </c>
      <c r="X60">
        <v>6.2277839999999998</v>
      </c>
      <c r="Y60">
        <v>6.270594</v>
      </c>
      <c r="Z60">
        <v>6.3097649999999996</v>
      </c>
      <c r="AA60">
        <v>6.3475840000000003</v>
      </c>
      <c r="AB60">
        <v>6.3792780000000002</v>
      </c>
      <c r="AC60">
        <v>6.3854930000000003</v>
      </c>
      <c r="AD60">
        <v>6.4081770000000002</v>
      </c>
      <c r="AE60" t="s">
        <v>463</v>
      </c>
    </row>
    <row r="61" spans="1:31" x14ac:dyDescent="0.25">
      <c r="A61" t="s">
        <v>94</v>
      </c>
    </row>
    <row r="62" spans="1:31" x14ac:dyDescent="0.25">
      <c r="A62" t="s">
        <v>69</v>
      </c>
      <c r="B62" t="s">
        <v>507</v>
      </c>
      <c r="C62" t="s">
        <v>508</v>
      </c>
      <c r="D62" t="s">
        <v>70</v>
      </c>
      <c r="E62">
        <v>2.2202329999999999</v>
      </c>
      <c r="F62">
        <v>2.181025</v>
      </c>
      <c r="G62">
        <v>2.1529129999999999</v>
      </c>
      <c r="H62">
        <v>2.1243690000000002</v>
      </c>
      <c r="I62">
        <v>2.0892789999999999</v>
      </c>
      <c r="J62">
        <v>2.0514459999999999</v>
      </c>
      <c r="K62">
        <v>2.012737</v>
      </c>
      <c r="L62">
        <v>1.985195</v>
      </c>
      <c r="M62">
        <v>1.9634</v>
      </c>
      <c r="N62">
        <v>1.9435249999999999</v>
      </c>
      <c r="O62">
        <v>1.924334</v>
      </c>
      <c r="P62">
        <v>1.906887</v>
      </c>
      <c r="Q62">
        <v>1.889534</v>
      </c>
      <c r="R62">
        <v>1.8726320000000001</v>
      </c>
      <c r="S62">
        <v>1.854625</v>
      </c>
      <c r="T62">
        <v>1.8364579999999999</v>
      </c>
      <c r="U62">
        <v>1.818913</v>
      </c>
      <c r="V62">
        <v>1.803955</v>
      </c>
      <c r="W62">
        <v>1.7897369999999999</v>
      </c>
      <c r="X62">
        <v>1.776251</v>
      </c>
      <c r="Y62">
        <v>1.7623629999999999</v>
      </c>
      <c r="Z62">
        <v>1.7457959999999999</v>
      </c>
      <c r="AA62">
        <v>1.727454</v>
      </c>
      <c r="AB62">
        <v>1.708758</v>
      </c>
      <c r="AC62">
        <v>1.6897249999999999</v>
      </c>
      <c r="AD62">
        <v>1.6713290000000001</v>
      </c>
      <c r="AE62" t="s">
        <v>170</v>
      </c>
    </row>
    <row r="63" spans="1:31" x14ac:dyDescent="0.25">
      <c r="A63" t="s">
        <v>71</v>
      </c>
      <c r="B63" t="s">
        <v>509</v>
      </c>
      <c r="C63" t="s">
        <v>510</v>
      </c>
      <c r="D63" t="s">
        <v>70</v>
      </c>
      <c r="E63">
        <v>1.3372919999999999</v>
      </c>
      <c r="F63">
        <v>1.394258</v>
      </c>
      <c r="G63">
        <v>1.347048</v>
      </c>
      <c r="H63">
        <v>1.3328990000000001</v>
      </c>
      <c r="I63">
        <v>1.3311850000000001</v>
      </c>
      <c r="J63">
        <v>1.32735</v>
      </c>
      <c r="K63">
        <v>1.315402</v>
      </c>
      <c r="L63">
        <v>1.3137160000000001</v>
      </c>
      <c r="M63">
        <v>1.3181080000000001</v>
      </c>
      <c r="N63">
        <v>1.318481</v>
      </c>
      <c r="O63">
        <v>1.322756</v>
      </c>
      <c r="P63">
        <v>1.3284370000000001</v>
      </c>
      <c r="Q63">
        <v>1.3377049999999999</v>
      </c>
      <c r="R63">
        <v>1.3488450000000001</v>
      </c>
      <c r="S63">
        <v>1.3582639999999999</v>
      </c>
      <c r="T63">
        <v>1.3668370000000001</v>
      </c>
      <c r="U63">
        <v>1.3766529999999999</v>
      </c>
      <c r="V63">
        <v>1.390299</v>
      </c>
      <c r="W63">
        <v>1.4063829999999999</v>
      </c>
      <c r="X63">
        <v>1.423163</v>
      </c>
      <c r="Y63">
        <v>1.440974</v>
      </c>
      <c r="Z63">
        <v>1.4580230000000001</v>
      </c>
      <c r="AA63">
        <v>1.4747349999999999</v>
      </c>
      <c r="AB63">
        <v>1.49115</v>
      </c>
      <c r="AC63">
        <v>1.5061819999999999</v>
      </c>
      <c r="AD63">
        <v>1.5232410000000001</v>
      </c>
      <c r="AE63" t="s">
        <v>216</v>
      </c>
    </row>
    <row r="64" spans="1:31" x14ac:dyDescent="0.25">
      <c r="A64" t="s">
        <v>72</v>
      </c>
      <c r="B64" t="s">
        <v>511</v>
      </c>
      <c r="C64" t="s">
        <v>512</v>
      </c>
      <c r="D64" t="s">
        <v>70</v>
      </c>
      <c r="E64">
        <v>0.44979799999999998</v>
      </c>
      <c r="F64">
        <v>0.45253900000000002</v>
      </c>
      <c r="G64">
        <v>0.44617000000000001</v>
      </c>
      <c r="H64">
        <v>0.442108</v>
      </c>
      <c r="I64">
        <v>0.43806800000000001</v>
      </c>
      <c r="J64">
        <v>0.43322100000000002</v>
      </c>
      <c r="K64">
        <v>0.42763800000000002</v>
      </c>
      <c r="L64">
        <v>0.42484899999999998</v>
      </c>
      <c r="M64">
        <v>0.42335800000000001</v>
      </c>
      <c r="N64">
        <v>0.42231400000000002</v>
      </c>
      <c r="O64">
        <v>0.42185</v>
      </c>
      <c r="P64">
        <v>0.42198999999999998</v>
      </c>
      <c r="Q64">
        <v>0.42244999999999999</v>
      </c>
      <c r="R64">
        <v>0.42311599999999999</v>
      </c>
      <c r="S64">
        <v>0.42357</v>
      </c>
      <c r="T64">
        <v>0.42393700000000001</v>
      </c>
      <c r="U64">
        <v>0.42461199999999999</v>
      </c>
      <c r="V64">
        <v>0.42593799999999998</v>
      </c>
      <c r="W64">
        <v>0.427591</v>
      </c>
      <c r="X64">
        <v>0.42949199999999998</v>
      </c>
      <c r="Y64">
        <v>0.43129400000000001</v>
      </c>
      <c r="Z64">
        <v>0.432589</v>
      </c>
      <c r="AA64">
        <v>0.43350499999999997</v>
      </c>
      <c r="AB64">
        <v>0.43428099999999997</v>
      </c>
      <c r="AC64">
        <v>0.43491600000000002</v>
      </c>
      <c r="AD64">
        <v>0.43573400000000001</v>
      </c>
      <c r="AE64" t="s">
        <v>231</v>
      </c>
    </row>
    <row r="65" spans="1:31" x14ac:dyDescent="0.25">
      <c r="A65" t="s">
        <v>119</v>
      </c>
      <c r="B65" t="s">
        <v>513</v>
      </c>
      <c r="C65" t="s">
        <v>514</v>
      </c>
      <c r="D65" t="s">
        <v>70</v>
      </c>
      <c r="E65">
        <v>1.8012870000000001</v>
      </c>
      <c r="F65">
        <v>1.801836</v>
      </c>
      <c r="G65">
        <v>1.7413190000000001</v>
      </c>
      <c r="H65">
        <v>1.7247060000000001</v>
      </c>
      <c r="I65">
        <v>1.723959</v>
      </c>
      <c r="J65">
        <v>1.715919</v>
      </c>
      <c r="K65">
        <v>1.696191</v>
      </c>
      <c r="L65">
        <v>1.6892720000000001</v>
      </c>
      <c r="M65">
        <v>1.6907030000000001</v>
      </c>
      <c r="N65">
        <v>1.6860919999999999</v>
      </c>
      <c r="O65">
        <v>1.6864680000000001</v>
      </c>
      <c r="P65">
        <v>1.6883159999999999</v>
      </c>
      <c r="Q65">
        <v>1.6944159999999999</v>
      </c>
      <c r="R65">
        <v>1.7028669999999999</v>
      </c>
      <c r="S65">
        <v>1.7092149999999999</v>
      </c>
      <c r="T65">
        <v>1.713848</v>
      </c>
      <c r="U65">
        <v>1.7199340000000001</v>
      </c>
      <c r="V65">
        <v>1.7299929999999999</v>
      </c>
      <c r="W65">
        <v>1.7422439999999999</v>
      </c>
      <c r="X65">
        <v>1.7552289999999999</v>
      </c>
      <c r="Y65">
        <v>1.768599</v>
      </c>
      <c r="Z65">
        <v>1.7812730000000001</v>
      </c>
      <c r="AA65">
        <v>1.7932459999999999</v>
      </c>
      <c r="AB65">
        <v>1.8046070000000001</v>
      </c>
      <c r="AC65">
        <v>1.8136920000000001</v>
      </c>
      <c r="AD65">
        <v>1.8249</v>
      </c>
      <c r="AE65" t="s">
        <v>159</v>
      </c>
    </row>
    <row r="66" spans="1:31" x14ac:dyDescent="0.25">
      <c r="A66" t="s">
        <v>74</v>
      </c>
      <c r="B66" t="s">
        <v>515</v>
      </c>
      <c r="C66" t="s">
        <v>516</v>
      </c>
      <c r="D66" t="s">
        <v>70</v>
      </c>
      <c r="E66">
        <v>0.601217</v>
      </c>
      <c r="F66">
        <v>0.60547300000000004</v>
      </c>
      <c r="G66">
        <v>0.59953500000000004</v>
      </c>
      <c r="H66">
        <v>0.59540400000000004</v>
      </c>
      <c r="I66">
        <v>0.59082000000000001</v>
      </c>
      <c r="J66">
        <v>0.58508800000000005</v>
      </c>
      <c r="K66">
        <v>0.5786</v>
      </c>
      <c r="L66">
        <v>0.57577599999999995</v>
      </c>
      <c r="M66">
        <v>0.57469400000000004</v>
      </c>
      <c r="N66">
        <v>0.574326</v>
      </c>
      <c r="O66">
        <v>0.57460999999999995</v>
      </c>
      <c r="P66">
        <v>0.57558299999999996</v>
      </c>
      <c r="Q66">
        <v>0.576878</v>
      </c>
      <c r="R66">
        <v>0.57835700000000001</v>
      </c>
      <c r="S66">
        <v>0.57947700000000002</v>
      </c>
      <c r="T66">
        <v>0.58043299999999998</v>
      </c>
      <c r="U66">
        <v>0.58182400000000001</v>
      </c>
      <c r="V66">
        <v>0.58404900000000004</v>
      </c>
      <c r="W66">
        <v>0.586646</v>
      </c>
      <c r="X66">
        <v>0.58954600000000001</v>
      </c>
      <c r="Y66">
        <v>0.59224200000000005</v>
      </c>
      <c r="Z66">
        <v>0.59411999999999998</v>
      </c>
      <c r="AA66">
        <v>0.59540700000000002</v>
      </c>
      <c r="AB66">
        <v>0.59643599999999997</v>
      </c>
      <c r="AC66">
        <v>0.59724999999999995</v>
      </c>
      <c r="AD66">
        <v>0.59825899999999999</v>
      </c>
      <c r="AE66" t="s">
        <v>188</v>
      </c>
    </row>
    <row r="67" spans="1:31" x14ac:dyDescent="0.25">
      <c r="A67" t="s">
        <v>77</v>
      </c>
      <c r="B67" t="s">
        <v>517</v>
      </c>
      <c r="C67" t="s">
        <v>518</v>
      </c>
      <c r="D67" t="s">
        <v>70</v>
      </c>
      <c r="E67">
        <v>1.3164929999999999</v>
      </c>
      <c r="F67">
        <v>1.281366</v>
      </c>
      <c r="G67">
        <v>1.21069</v>
      </c>
      <c r="H67">
        <v>1.1774309999999999</v>
      </c>
      <c r="I67">
        <v>1.1589210000000001</v>
      </c>
      <c r="J67">
        <v>1.1237220000000001</v>
      </c>
      <c r="K67">
        <v>1.0844910000000001</v>
      </c>
      <c r="L67">
        <v>1.0560929999999999</v>
      </c>
      <c r="M67">
        <v>1.0342709999999999</v>
      </c>
      <c r="N67">
        <v>1.009509</v>
      </c>
      <c r="O67">
        <v>0.98804199999999998</v>
      </c>
      <c r="P67">
        <v>0.96908700000000003</v>
      </c>
      <c r="Q67">
        <v>0.95450699999999999</v>
      </c>
      <c r="R67">
        <v>0.94285200000000002</v>
      </c>
      <c r="S67">
        <v>0.93144099999999996</v>
      </c>
      <c r="T67">
        <v>0.91599200000000003</v>
      </c>
      <c r="U67">
        <v>0.90349500000000005</v>
      </c>
      <c r="V67">
        <v>0.89463300000000001</v>
      </c>
      <c r="W67">
        <v>0.88797300000000001</v>
      </c>
      <c r="X67">
        <v>0.88253099999999995</v>
      </c>
      <c r="Y67">
        <v>0.87800699999999998</v>
      </c>
      <c r="Z67">
        <v>0.87377000000000005</v>
      </c>
      <c r="AA67">
        <v>0.86966299999999996</v>
      </c>
      <c r="AB67">
        <v>0.86543700000000001</v>
      </c>
      <c r="AC67">
        <v>0.860348</v>
      </c>
      <c r="AD67">
        <v>0.85651500000000003</v>
      </c>
      <c r="AE67" t="s">
        <v>208</v>
      </c>
    </row>
    <row r="68" spans="1:31" x14ac:dyDescent="0.25">
      <c r="A68" t="s">
        <v>73</v>
      </c>
      <c r="B68" t="s">
        <v>519</v>
      </c>
      <c r="C68" t="s">
        <v>520</v>
      </c>
      <c r="D68" t="s">
        <v>70</v>
      </c>
      <c r="E68">
        <v>0.85504899999999995</v>
      </c>
      <c r="F68">
        <v>0.84745499999999996</v>
      </c>
      <c r="G68">
        <v>0.80997399999999997</v>
      </c>
      <c r="H68">
        <v>0.79225100000000004</v>
      </c>
      <c r="I68">
        <v>0.78363899999999997</v>
      </c>
      <c r="J68">
        <v>0.77398500000000003</v>
      </c>
      <c r="K68">
        <v>0.75991399999999998</v>
      </c>
      <c r="L68">
        <v>0.75193500000000002</v>
      </c>
      <c r="M68">
        <v>0.74775599999999998</v>
      </c>
      <c r="N68">
        <v>0.74120699999999995</v>
      </c>
      <c r="O68">
        <v>0.73710699999999996</v>
      </c>
      <c r="P68">
        <v>0.73353999999999997</v>
      </c>
      <c r="Q68">
        <v>0.73206599999999999</v>
      </c>
      <c r="R68">
        <v>0.73150499999999996</v>
      </c>
      <c r="S68">
        <v>0.73003499999999999</v>
      </c>
      <c r="T68">
        <v>0.72770400000000002</v>
      </c>
      <c r="U68">
        <v>0.72609299999999999</v>
      </c>
      <c r="V68">
        <v>0.72596799999999995</v>
      </c>
      <c r="W68">
        <v>0.72645700000000002</v>
      </c>
      <c r="X68">
        <v>0.727047</v>
      </c>
      <c r="Y68">
        <v>0.72765100000000005</v>
      </c>
      <c r="Z68">
        <v>0.72807599999999995</v>
      </c>
      <c r="AA68">
        <v>0.72845800000000005</v>
      </c>
      <c r="AB68">
        <v>0.72859099999999999</v>
      </c>
      <c r="AC68">
        <v>0.72753299999999999</v>
      </c>
      <c r="AD68">
        <v>0.72732600000000003</v>
      </c>
      <c r="AE68" t="s">
        <v>344</v>
      </c>
    </row>
    <row r="69" spans="1:31" x14ac:dyDescent="0.25">
      <c r="A69" t="s">
        <v>432</v>
      </c>
      <c r="B69" t="s">
        <v>521</v>
      </c>
      <c r="C69" t="s">
        <v>522</v>
      </c>
      <c r="D69" t="s">
        <v>70</v>
      </c>
      <c r="E69">
        <v>0.83396700000000001</v>
      </c>
      <c r="F69">
        <v>0.93486199999999997</v>
      </c>
      <c r="G69">
        <v>1.0019629999999999</v>
      </c>
      <c r="H69">
        <v>1.0877019999999999</v>
      </c>
      <c r="I69">
        <v>1.1849590000000001</v>
      </c>
      <c r="J69">
        <v>1.283711</v>
      </c>
      <c r="K69">
        <v>1.371591</v>
      </c>
      <c r="L69">
        <v>1.468221</v>
      </c>
      <c r="M69">
        <v>1.570929</v>
      </c>
      <c r="N69">
        <v>1.667252</v>
      </c>
      <c r="O69">
        <v>1.767263</v>
      </c>
      <c r="P69">
        <v>1.8662000000000001</v>
      </c>
      <c r="Q69">
        <v>1.9687140000000001</v>
      </c>
      <c r="R69">
        <v>2.0715349999999999</v>
      </c>
      <c r="S69">
        <v>2.1689479999999999</v>
      </c>
      <c r="T69">
        <v>2.2597740000000002</v>
      </c>
      <c r="U69">
        <v>2.3467039999999999</v>
      </c>
      <c r="V69">
        <v>2.4329209999999999</v>
      </c>
      <c r="W69">
        <v>2.5155810000000001</v>
      </c>
      <c r="X69">
        <v>2.5917659999999998</v>
      </c>
      <c r="Y69">
        <v>2.661403</v>
      </c>
      <c r="Z69">
        <v>2.7226810000000001</v>
      </c>
      <c r="AA69">
        <v>2.7759330000000002</v>
      </c>
      <c r="AB69">
        <v>2.8192360000000001</v>
      </c>
      <c r="AC69">
        <v>2.847931</v>
      </c>
      <c r="AD69">
        <v>2.8760500000000002</v>
      </c>
      <c r="AE69" t="s">
        <v>356</v>
      </c>
    </row>
    <row r="70" spans="1:31" x14ac:dyDescent="0.25">
      <c r="A70" t="s">
        <v>436</v>
      </c>
      <c r="B70" t="s">
        <v>523</v>
      </c>
      <c r="C70" t="s">
        <v>524</v>
      </c>
      <c r="D70" t="s">
        <v>70</v>
      </c>
      <c r="E70">
        <v>0.50583</v>
      </c>
      <c r="F70">
        <v>0.49034699999999998</v>
      </c>
      <c r="G70">
        <v>0.45815400000000001</v>
      </c>
      <c r="H70">
        <v>0.43753900000000001</v>
      </c>
      <c r="I70">
        <v>0.42269200000000001</v>
      </c>
      <c r="J70">
        <v>0.40934999999999999</v>
      </c>
      <c r="K70">
        <v>0.39391399999999999</v>
      </c>
      <c r="L70">
        <v>0.38144099999999997</v>
      </c>
      <c r="M70">
        <v>0.372388</v>
      </c>
      <c r="N70">
        <v>0.36299700000000001</v>
      </c>
      <c r="O70">
        <v>0.35490300000000002</v>
      </c>
      <c r="P70">
        <v>0.34810999999999998</v>
      </c>
      <c r="Q70">
        <v>0.34259899999999999</v>
      </c>
      <c r="R70">
        <v>0.33782699999999999</v>
      </c>
      <c r="S70">
        <v>0.33402199999999999</v>
      </c>
      <c r="T70">
        <v>0.329349</v>
      </c>
      <c r="U70">
        <v>0.324214</v>
      </c>
      <c r="V70">
        <v>0.32134800000000002</v>
      </c>
      <c r="W70">
        <v>0.317249</v>
      </c>
      <c r="X70">
        <v>0.31383299999999997</v>
      </c>
      <c r="Y70">
        <v>0.310029</v>
      </c>
      <c r="Z70">
        <v>0.306946</v>
      </c>
      <c r="AA70">
        <v>0.302373</v>
      </c>
      <c r="AB70">
        <v>0.29731200000000002</v>
      </c>
      <c r="AC70">
        <v>0.29134700000000002</v>
      </c>
      <c r="AD70">
        <v>0.285331</v>
      </c>
      <c r="AE70" t="s">
        <v>525</v>
      </c>
    </row>
    <row r="71" spans="1:31" x14ac:dyDescent="0.25">
      <c r="A71" t="s">
        <v>83</v>
      </c>
      <c r="B71" t="s">
        <v>526</v>
      </c>
      <c r="C71" t="s">
        <v>527</v>
      </c>
      <c r="D71" t="s">
        <v>70</v>
      </c>
      <c r="E71">
        <v>6.8407340000000003</v>
      </c>
      <c r="F71">
        <v>7.1826650000000001</v>
      </c>
      <c r="G71">
        <v>6.9943910000000002</v>
      </c>
      <c r="H71">
        <v>6.8863180000000002</v>
      </c>
      <c r="I71">
        <v>6.8270850000000003</v>
      </c>
      <c r="J71">
        <v>6.7769259999999996</v>
      </c>
      <c r="K71">
        <v>6.6949759999999996</v>
      </c>
      <c r="L71">
        <v>6.651408</v>
      </c>
      <c r="M71">
        <v>6.6287419999999999</v>
      </c>
      <c r="N71">
        <v>6.5949179999999998</v>
      </c>
      <c r="O71">
        <v>6.5750339999999996</v>
      </c>
      <c r="P71">
        <v>6.560918</v>
      </c>
      <c r="Q71">
        <v>6.5592990000000002</v>
      </c>
      <c r="R71">
        <v>6.5639620000000001</v>
      </c>
      <c r="S71">
        <v>6.564362</v>
      </c>
      <c r="T71">
        <v>6.560988</v>
      </c>
      <c r="U71">
        <v>6.5584819999999997</v>
      </c>
      <c r="V71">
        <v>6.5671569999999999</v>
      </c>
      <c r="W71">
        <v>6.580578</v>
      </c>
      <c r="X71">
        <v>6.5957629999999998</v>
      </c>
      <c r="Y71">
        <v>6.6125080000000001</v>
      </c>
      <c r="Z71">
        <v>6.6278990000000002</v>
      </c>
      <c r="AA71">
        <v>6.6440609999999998</v>
      </c>
      <c r="AB71">
        <v>6.6604340000000004</v>
      </c>
      <c r="AC71">
        <v>6.670706</v>
      </c>
      <c r="AD71">
        <v>6.6886380000000001</v>
      </c>
      <c r="AE71" t="s">
        <v>231</v>
      </c>
    </row>
    <row r="72" spans="1:31" x14ac:dyDescent="0.25">
      <c r="A72" t="s">
        <v>95</v>
      </c>
      <c r="B72" t="s">
        <v>528</v>
      </c>
      <c r="C72" t="s">
        <v>529</v>
      </c>
      <c r="D72" t="s">
        <v>70</v>
      </c>
      <c r="E72">
        <v>16.761900000000001</v>
      </c>
      <c r="F72">
        <v>17.171824999999998</v>
      </c>
      <c r="G72">
        <v>16.762159</v>
      </c>
      <c r="H72">
        <v>16.600726999999999</v>
      </c>
      <c r="I72">
        <v>16.550605999999998</v>
      </c>
      <c r="J72">
        <v>16.480719000000001</v>
      </c>
      <c r="K72">
        <v>16.335453000000001</v>
      </c>
      <c r="L72">
        <v>16.297905</v>
      </c>
      <c r="M72">
        <v>16.324348000000001</v>
      </c>
      <c r="N72">
        <v>16.320620999999999</v>
      </c>
      <c r="O72">
        <v>16.352364999999999</v>
      </c>
      <c r="P72">
        <v>16.399066999999999</v>
      </c>
      <c r="Q72">
        <v>16.478168</v>
      </c>
      <c r="R72">
        <v>16.573499999999999</v>
      </c>
      <c r="S72">
        <v>16.653956999999998</v>
      </c>
      <c r="T72">
        <v>16.715320999999999</v>
      </c>
      <c r="U72">
        <v>16.780923999999999</v>
      </c>
      <c r="V72">
        <v>16.876263000000002</v>
      </c>
      <c r="W72">
        <v>16.980440000000002</v>
      </c>
      <c r="X72">
        <v>17.084620999999999</v>
      </c>
      <c r="Y72">
        <v>17.185068000000001</v>
      </c>
      <c r="Z72">
        <v>17.271172</v>
      </c>
      <c r="AA72">
        <v>17.344833000000001</v>
      </c>
      <c r="AB72">
        <v>17.406241999999999</v>
      </c>
      <c r="AC72">
        <v>17.439630999999999</v>
      </c>
      <c r="AD72">
        <v>17.487321999999999</v>
      </c>
      <c r="AE72" t="s">
        <v>234</v>
      </c>
    </row>
    <row r="73" spans="1:31" x14ac:dyDescent="0.25">
      <c r="A73" t="s">
        <v>85</v>
      </c>
      <c r="B73" t="s">
        <v>530</v>
      </c>
      <c r="C73" t="s">
        <v>531</v>
      </c>
      <c r="D73" t="s">
        <v>70</v>
      </c>
      <c r="E73">
        <v>7.5079999999999994E-2</v>
      </c>
      <c r="F73">
        <v>9.7618999999999997E-2</v>
      </c>
      <c r="G73">
        <v>0.119833</v>
      </c>
      <c r="H73">
        <v>0.14593200000000001</v>
      </c>
      <c r="I73">
        <v>0.17319300000000001</v>
      </c>
      <c r="J73">
        <v>0.199409</v>
      </c>
      <c r="K73">
        <v>0.22115000000000001</v>
      </c>
      <c r="L73">
        <v>0.24240800000000001</v>
      </c>
      <c r="M73">
        <v>0.26448199999999999</v>
      </c>
      <c r="N73">
        <v>0.28556500000000001</v>
      </c>
      <c r="O73">
        <v>0.307701</v>
      </c>
      <c r="P73">
        <v>0.32978800000000003</v>
      </c>
      <c r="Q73">
        <v>0.35306599999999999</v>
      </c>
      <c r="R73">
        <v>0.37676500000000002</v>
      </c>
      <c r="S73">
        <v>0.399704</v>
      </c>
      <c r="T73">
        <v>0.42260900000000001</v>
      </c>
      <c r="U73">
        <v>0.44601400000000002</v>
      </c>
      <c r="V73">
        <v>0.47185899999999997</v>
      </c>
      <c r="W73">
        <v>0.49950800000000001</v>
      </c>
      <c r="X73">
        <v>0.52955600000000003</v>
      </c>
      <c r="Y73">
        <v>0.56185099999999999</v>
      </c>
      <c r="Z73">
        <v>0.59497699999999998</v>
      </c>
      <c r="AA73">
        <v>0.62894799999999995</v>
      </c>
      <c r="AB73">
        <v>0.66345500000000002</v>
      </c>
      <c r="AC73">
        <v>0.697079</v>
      </c>
      <c r="AD73">
        <v>0.73172800000000005</v>
      </c>
      <c r="AE73" t="s">
        <v>532</v>
      </c>
    </row>
    <row r="74" spans="1:31" x14ac:dyDescent="0.25">
      <c r="A74" t="s">
        <v>86</v>
      </c>
      <c r="B74" t="s">
        <v>533</v>
      </c>
      <c r="C74" t="s">
        <v>531</v>
      </c>
      <c r="D74" t="s">
        <v>70</v>
      </c>
      <c r="E74">
        <v>0.15950900000000001</v>
      </c>
      <c r="F74">
        <v>0.178677</v>
      </c>
      <c r="G74">
        <v>0.19480600000000001</v>
      </c>
      <c r="H74">
        <v>0.202568</v>
      </c>
      <c r="I74">
        <v>0.20727899999999999</v>
      </c>
      <c r="J74">
        <v>0.212645</v>
      </c>
      <c r="K74">
        <v>0.21679300000000001</v>
      </c>
      <c r="L74">
        <v>0.22007099999999999</v>
      </c>
      <c r="M74">
        <v>0.22375700000000001</v>
      </c>
      <c r="N74">
        <v>0.22936000000000001</v>
      </c>
      <c r="O74">
        <v>0.23388900000000001</v>
      </c>
      <c r="P74">
        <v>0.23771300000000001</v>
      </c>
      <c r="Q74">
        <v>0.24440600000000001</v>
      </c>
      <c r="R74">
        <v>0.25092700000000001</v>
      </c>
      <c r="S74">
        <v>0.25883299999999998</v>
      </c>
      <c r="T74">
        <v>0.26564700000000002</v>
      </c>
      <c r="U74">
        <v>0.26933000000000001</v>
      </c>
      <c r="V74">
        <v>0.27484399999999998</v>
      </c>
      <c r="W74">
        <v>0.27782000000000001</v>
      </c>
      <c r="X74">
        <v>0.281171</v>
      </c>
      <c r="Y74">
        <v>0.28390700000000002</v>
      </c>
      <c r="Z74">
        <v>0.28815800000000003</v>
      </c>
      <c r="AA74">
        <v>0.29341899999999999</v>
      </c>
      <c r="AB74">
        <v>0.29877599999999999</v>
      </c>
      <c r="AC74">
        <v>0.30282900000000001</v>
      </c>
      <c r="AD74">
        <v>0.308056</v>
      </c>
      <c r="AE74" t="s">
        <v>449</v>
      </c>
    </row>
    <row r="75" spans="1:31" x14ac:dyDescent="0.25">
      <c r="A75" t="s">
        <v>96</v>
      </c>
      <c r="B75" t="s">
        <v>534</v>
      </c>
      <c r="C75" t="s">
        <v>535</v>
      </c>
      <c r="D75" t="s">
        <v>70</v>
      </c>
      <c r="E75">
        <v>16.677472999999999</v>
      </c>
      <c r="F75">
        <v>17.090769000000002</v>
      </c>
      <c r="G75">
        <v>16.687184999999999</v>
      </c>
      <c r="H75">
        <v>16.544090000000001</v>
      </c>
      <c r="I75">
        <v>16.51652</v>
      </c>
      <c r="J75">
        <v>16.467483999999999</v>
      </c>
      <c r="K75">
        <v>16.339808999999999</v>
      </c>
      <c r="L75">
        <v>16.320242</v>
      </c>
      <c r="M75">
        <v>16.365074</v>
      </c>
      <c r="N75">
        <v>16.376826999999999</v>
      </c>
      <c r="O75">
        <v>16.426178</v>
      </c>
      <c r="P75">
        <v>16.491142</v>
      </c>
      <c r="Q75">
        <v>16.586828000000001</v>
      </c>
      <c r="R75">
        <v>16.699337</v>
      </c>
      <c r="S75">
        <v>16.794827999999999</v>
      </c>
      <c r="T75">
        <v>16.872284000000001</v>
      </c>
      <c r="U75">
        <v>16.957609000000001</v>
      </c>
      <c r="V75">
        <v>17.073277999999998</v>
      </c>
      <c r="W75">
        <v>17.202127000000001</v>
      </c>
      <c r="X75">
        <v>17.333006000000001</v>
      </c>
      <c r="Y75">
        <v>17.463013</v>
      </c>
      <c r="Z75">
        <v>17.57799</v>
      </c>
      <c r="AA75">
        <v>17.680363</v>
      </c>
      <c r="AB75">
        <v>17.770921999999999</v>
      </c>
      <c r="AC75">
        <v>17.833881000000002</v>
      </c>
      <c r="AD75">
        <v>17.910993999999999</v>
      </c>
      <c r="AE75" t="s">
        <v>164</v>
      </c>
    </row>
    <row r="76" spans="1:31" x14ac:dyDescent="0.25">
      <c r="A76" t="s">
        <v>123</v>
      </c>
    </row>
    <row r="77" spans="1:31" x14ac:dyDescent="0.25">
      <c r="A77" t="s">
        <v>124</v>
      </c>
      <c r="B77" t="s">
        <v>536</v>
      </c>
      <c r="C77" t="s">
        <v>537</v>
      </c>
      <c r="D77" t="s">
        <v>70</v>
      </c>
      <c r="E77">
        <v>6.5494999999999998E-2</v>
      </c>
      <c r="F77">
        <v>6.3335000000000002E-2</v>
      </c>
      <c r="G77">
        <v>6.3611000000000001E-2</v>
      </c>
      <c r="H77">
        <v>6.2602000000000005E-2</v>
      </c>
      <c r="I77">
        <v>6.1894999999999999E-2</v>
      </c>
      <c r="J77">
        <v>6.1556E-2</v>
      </c>
      <c r="K77">
        <v>6.1001E-2</v>
      </c>
      <c r="L77">
        <v>5.9719000000000001E-2</v>
      </c>
      <c r="M77">
        <v>5.9400000000000001E-2</v>
      </c>
      <c r="N77">
        <v>5.9207999999999997E-2</v>
      </c>
      <c r="O77">
        <v>5.8635E-2</v>
      </c>
      <c r="P77">
        <v>5.8118999999999997E-2</v>
      </c>
      <c r="Q77">
        <v>5.7820999999999997E-2</v>
      </c>
      <c r="R77">
        <v>5.7597000000000002E-2</v>
      </c>
      <c r="S77">
        <v>5.7361000000000002E-2</v>
      </c>
      <c r="T77">
        <v>5.7211999999999999E-2</v>
      </c>
      <c r="U77">
        <v>5.6903000000000002E-2</v>
      </c>
      <c r="V77">
        <v>5.6644E-2</v>
      </c>
      <c r="W77">
        <v>5.6244000000000002E-2</v>
      </c>
      <c r="X77">
        <v>5.5780999999999997E-2</v>
      </c>
      <c r="Y77">
        <v>5.5392999999999998E-2</v>
      </c>
      <c r="Z77">
        <v>5.4973000000000001E-2</v>
      </c>
      <c r="AA77">
        <v>5.4613000000000002E-2</v>
      </c>
      <c r="AB77">
        <v>5.4244000000000001E-2</v>
      </c>
      <c r="AC77">
        <v>5.3925000000000001E-2</v>
      </c>
      <c r="AD77">
        <v>5.3518999999999997E-2</v>
      </c>
      <c r="AE77" t="s">
        <v>275</v>
      </c>
    </row>
    <row r="78" spans="1:31" x14ac:dyDescent="0.25">
      <c r="A78" t="s">
        <v>99</v>
      </c>
      <c r="B78" t="s">
        <v>538</v>
      </c>
      <c r="C78" t="s">
        <v>539</v>
      </c>
      <c r="D78" t="s">
        <v>70</v>
      </c>
      <c r="E78">
        <v>0.15757299999999999</v>
      </c>
      <c r="F78">
        <v>0.176538</v>
      </c>
      <c r="G78">
        <v>0.19264600000000001</v>
      </c>
      <c r="H78">
        <v>0.20038900000000001</v>
      </c>
      <c r="I78">
        <v>0.205067</v>
      </c>
      <c r="J78">
        <v>0.210395</v>
      </c>
      <c r="K78">
        <v>0.21450900000000001</v>
      </c>
      <c r="L78">
        <v>0.21775</v>
      </c>
      <c r="M78">
        <v>0.22139800000000001</v>
      </c>
      <c r="N78">
        <v>0.226933</v>
      </c>
      <c r="O78">
        <v>0.23141999999999999</v>
      </c>
      <c r="P78">
        <v>0.23519699999999999</v>
      </c>
      <c r="Q78">
        <v>0.24181900000000001</v>
      </c>
      <c r="R78">
        <v>0.24828800000000001</v>
      </c>
      <c r="S78">
        <v>0.25614199999999998</v>
      </c>
      <c r="T78">
        <v>0.26291700000000001</v>
      </c>
      <c r="U78">
        <v>0.266571</v>
      </c>
      <c r="V78">
        <v>0.27200800000000003</v>
      </c>
      <c r="W78">
        <v>0.27494499999999999</v>
      </c>
      <c r="X78">
        <v>0.27825100000000003</v>
      </c>
      <c r="Y78">
        <v>0.28095700000000001</v>
      </c>
      <c r="Z78">
        <v>0.28517100000000001</v>
      </c>
      <c r="AA78">
        <v>0.29038199999999997</v>
      </c>
      <c r="AB78">
        <v>0.29569099999999998</v>
      </c>
      <c r="AC78">
        <v>0.29971399999999998</v>
      </c>
      <c r="AD78">
        <v>0.30489699999999997</v>
      </c>
      <c r="AE78" t="s">
        <v>449</v>
      </c>
    </row>
    <row r="79" spans="1:31" x14ac:dyDescent="0.25">
      <c r="A79" t="s">
        <v>100</v>
      </c>
      <c r="B79" t="s">
        <v>540</v>
      </c>
      <c r="C79" t="s">
        <v>541</v>
      </c>
      <c r="D79" t="s">
        <v>70</v>
      </c>
      <c r="E79">
        <v>2.5240000000000002E-3</v>
      </c>
      <c r="F79">
        <v>2.5270000000000002E-3</v>
      </c>
      <c r="G79">
        <v>2.5330000000000001E-3</v>
      </c>
      <c r="H79">
        <v>2.5330000000000001E-3</v>
      </c>
      <c r="I79">
        <v>2.5360000000000001E-3</v>
      </c>
      <c r="J79">
        <v>2.5400000000000002E-3</v>
      </c>
      <c r="K79">
        <v>2.542E-3</v>
      </c>
      <c r="L79">
        <v>2.545E-3</v>
      </c>
      <c r="M79">
        <v>2.5490000000000001E-3</v>
      </c>
      <c r="N79">
        <v>2.552E-3</v>
      </c>
      <c r="O79">
        <v>2.5530000000000001E-3</v>
      </c>
      <c r="P79">
        <v>2.5539999999999998E-3</v>
      </c>
      <c r="Q79">
        <v>2.555E-3</v>
      </c>
      <c r="R79">
        <v>2.5569999999999998E-3</v>
      </c>
      <c r="S79">
        <v>2.5579999999999999E-3</v>
      </c>
      <c r="T79">
        <v>2.5600000000000002E-3</v>
      </c>
      <c r="U79">
        <v>2.5609999999999999E-3</v>
      </c>
      <c r="V79">
        <v>2.565E-3</v>
      </c>
      <c r="W79">
        <v>2.5660000000000001E-3</v>
      </c>
      <c r="X79">
        <v>2.568E-3</v>
      </c>
      <c r="Y79">
        <v>2.568E-3</v>
      </c>
      <c r="Z79">
        <v>2.5690000000000001E-3</v>
      </c>
      <c r="AA79">
        <v>2.5720000000000001E-3</v>
      </c>
      <c r="AB79">
        <v>2.5730000000000002E-3</v>
      </c>
      <c r="AC79">
        <v>2.5739999999999999E-3</v>
      </c>
      <c r="AD79">
        <v>2.575E-3</v>
      </c>
      <c r="AE79" t="s">
        <v>159</v>
      </c>
    </row>
    <row r="80" spans="1:31" x14ac:dyDescent="0.25">
      <c r="A80" t="s">
        <v>58</v>
      </c>
      <c r="B80" t="s">
        <v>542</v>
      </c>
      <c r="C80" t="s">
        <v>543</v>
      </c>
      <c r="D80" t="s">
        <v>70</v>
      </c>
      <c r="E80">
        <v>0.22559299999999999</v>
      </c>
      <c r="F80">
        <v>0.24240100000000001</v>
      </c>
      <c r="G80">
        <v>0.25879000000000002</v>
      </c>
      <c r="H80">
        <v>0.26552399999999998</v>
      </c>
      <c r="I80">
        <v>0.26949800000000002</v>
      </c>
      <c r="J80">
        <v>0.27449099999999999</v>
      </c>
      <c r="K80">
        <v>0.27805099999999999</v>
      </c>
      <c r="L80">
        <v>0.28001399999999999</v>
      </c>
      <c r="M80">
        <v>0.28334700000000002</v>
      </c>
      <c r="N80">
        <v>0.28869299999999998</v>
      </c>
      <c r="O80">
        <v>0.29260799999999998</v>
      </c>
      <c r="P80">
        <v>0.29586899999999999</v>
      </c>
      <c r="Q80">
        <v>0.30219499999999999</v>
      </c>
      <c r="R80">
        <v>0.30844100000000002</v>
      </c>
      <c r="S80">
        <v>0.31606099999999998</v>
      </c>
      <c r="T80">
        <v>0.32268999999999998</v>
      </c>
      <c r="U80">
        <v>0.32603500000000002</v>
      </c>
      <c r="V80">
        <v>0.33121699999999998</v>
      </c>
      <c r="W80">
        <v>0.333756</v>
      </c>
      <c r="X80">
        <v>0.33660000000000001</v>
      </c>
      <c r="Y80">
        <v>0.33891900000000003</v>
      </c>
      <c r="Z80">
        <v>0.34271400000000002</v>
      </c>
      <c r="AA80">
        <v>0.34756599999999999</v>
      </c>
      <c r="AB80">
        <v>0.35250900000000002</v>
      </c>
      <c r="AC80">
        <v>0.356213</v>
      </c>
      <c r="AD80">
        <v>0.36099100000000001</v>
      </c>
      <c r="AE80" t="s">
        <v>544</v>
      </c>
    </row>
    <row r="81" spans="1:31" x14ac:dyDescent="0.25">
      <c r="A81" t="s">
        <v>46</v>
      </c>
    </row>
    <row r="82" spans="1:31" x14ac:dyDescent="0.25">
      <c r="A82" t="s">
        <v>101</v>
      </c>
      <c r="B82" t="s">
        <v>545</v>
      </c>
      <c r="C82" t="s">
        <v>546</v>
      </c>
      <c r="D82" t="s">
        <v>102</v>
      </c>
      <c r="E82">
        <v>6045</v>
      </c>
      <c r="F82">
        <v>5873</v>
      </c>
      <c r="G82">
        <v>5850</v>
      </c>
      <c r="H82">
        <v>5826</v>
      </c>
      <c r="I82">
        <v>5803</v>
      </c>
      <c r="J82">
        <v>5779</v>
      </c>
      <c r="K82">
        <v>5755</v>
      </c>
      <c r="L82">
        <v>5732</v>
      </c>
      <c r="M82">
        <v>5708</v>
      </c>
      <c r="N82">
        <v>5684</v>
      </c>
      <c r="O82">
        <v>5661</v>
      </c>
      <c r="P82">
        <v>5637</v>
      </c>
      <c r="Q82">
        <v>5613</v>
      </c>
      <c r="R82">
        <v>5589</v>
      </c>
      <c r="S82">
        <v>5566</v>
      </c>
      <c r="T82">
        <v>5542</v>
      </c>
      <c r="U82">
        <v>5518</v>
      </c>
      <c r="V82">
        <v>5495</v>
      </c>
      <c r="W82">
        <v>5471</v>
      </c>
      <c r="X82">
        <v>5447</v>
      </c>
      <c r="Y82">
        <v>5423</v>
      </c>
      <c r="Z82">
        <v>5400</v>
      </c>
      <c r="AA82">
        <v>5376</v>
      </c>
      <c r="AB82">
        <v>5352</v>
      </c>
      <c r="AC82">
        <v>5328</v>
      </c>
      <c r="AD82">
        <v>5305</v>
      </c>
      <c r="AE82" t="s">
        <v>365</v>
      </c>
    </row>
    <row r="83" spans="1:31" x14ac:dyDescent="0.25">
      <c r="A83" t="s">
        <v>103</v>
      </c>
      <c r="B83" t="s">
        <v>547</v>
      </c>
      <c r="C83" t="s">
        <v>548</v>
      </c>
      <c r="D83" t="s">
        <v>102</v>
      </c>
      <c r="E83">
        <v>5404</v>
      </c>
      <c r="F83">
        <v>5271</v>
      </c>
      <c r="G83">
        <v>5249</v>
      </c>
      <c r="H83">
        <v>5228</v>
      </c>
      <c r="I83">
        <v>5207</v>
      </c>
      <c r="J83">
        <v>5185</v>
      </c>
      <c r="K83">
        <v>5164</v>
      </c>
      <c r="L83">
        <v>5142</v>
      </c>
      <c r="M83">
        <v>5121</v>
      </c>
      <c r="N83">
        <v>5100</v>
      </c>
      <c r="O83">
        <v>5078</v>
      </c>
      <c r="P83">
        <v>5057</v>
      </c>
      <c r="Q83">
        <v>5035</v>
      </c>
      <c r="R83">
        <v>5014</v>
      </c>
      <c r="S83">
        <v>4993</v>
      </c>
      <c r="T83">
        <v>4971</v>
      </c>
      <c r="U83">
        <v>4950</v>
      </c>
      <c r="V83">
        <v>4929</v>
      </c>
      <c r="W83">
        <v>4907</v>
      </c>
      <c r="X83">
        <v>4886</v>
      </c>
      <c r="Y83">
        <v>4865</v>
      </c>
      <c r="Z83">
        <v>4843</v>
      </c>
      <c r="AA83">
        <v>4822</v>
      </c>
      <c r="AB83">
        <v>4801</v>
      </c>
      <c r="AC83">
        <v>4780</v>
      </c>
      <c r="AD83">
        <v>4758</v>
      </c>
      <c r="AE83" t="s">
        <v>365</v>
      </c>
    </row>
    <row r="84" spans="1:31" x14ac:dyDescent="0.25">
      <c r="A84" t="s">
        <v>104</v>
      </c>
      <c r="B84" t="s">
        <v>549</v>
      </c>
      <c r="C84" t="s">
        <v>550</v>
      </c>
      <c r="D84" t="s">
        <v>102</v>
      </c>
      <c r="E84">
        <v>5984</v>
      </c>
      <c r="F84">
        <v>5836</v>
      </c>
      <c r="G84">
        <v>5817</v>
      </c>
      <c r="H84">
        <v>5798</v>
      </c>
      <c r="I84">
        <v>5779</v>
      </c>
      <c r="J84">
        <v>5760</v>
      </c>
      <c r="K84">
        <v>5741</v>
      </c>
      <c r="L84">
        <v>5722</v>
      </c>
      <c r="M84">
        <v>5703</v>
      </c>
      <c r="N84">
        <v>5683</v>
      </c>
      <c r="O84">
        <v>5664</v>
      </c>
      <c r="P84">
        <v>5645</v>
      </c>
      <c r="Q84">
        <v>5626</v>
      </c>
      <c r="R84">
        <v>5607</v>
      </c>
      <c r="S84">
        <v>5588</v>
      </c>
      <c r="T84">
        <v>5569</v>
      </c>
      <c r="U84">
        <v>5549</v>
      </c>
      <c r="V84">
        <v>5530</v>
      </c>
      <c r="W84">
        <v>5511</v>
      </c>
      <c r="X84">
        <v>5492</v>
      </c>
      <c r="Y84">
        <v>5473</v>
      </c>
      <c r="Z84">
        <v>5453</v>
      </c>
      <c r="AA84">
        <v>5434</v>
      </c>
      <c r="AB84">
        <v>5415</v>
      </c>
      <c r="AC84">
        <v>5396</v>
      </c>
      <c r="AD84">
        <v>5377</v>
      </c>
      <c r="AE84" t="s">
        <v>196</v>
      </c>
    </row>
    <row r="85" spans="1:31" x14ac:dyDescent="0.25">
      <c r="A85" t="s">
        <v>105</v>
      </c>
      <c r="B85" t="s">
        <v>551</v>
      </c>
      <c r="C85" t="s">
        <v>552</v>
      </c>
      <c r="D85" t="s">
        <v>102</v>
      </c>
      <c r="E85">
        <v>6267</v>
      </c>
      <c r="F85">
        <v>6263</v>
      </c>
      <c r="G85">
        <v>6251</v>
      </c>
      <c r="H85">
        <v>6239</v>
      </c>
      <c r="I85">
        <v>6227</v>
      </c>
      <c r="J85">
        <v>6215</v>
      </c>
      <c r="K85">
        <v>6203</v>
      </c>
      <c r="L85">
        <v>6191</v>
      </c>
      <c r="M85">
        <v>6178</v>
      </c>
      <c r="N85">
        <v>6166</v>
      </c>
      <c r="O85">
        <v>6153</v>
      </c>
      <c r="P85">
        <v>6141</v>
      </c>
      <c r="Q85">
        <v>6128</v>
      </c>
      <c r="R85">
        <v>6116</v>
      </c>
      <c r="S85">
        <v>6103</v>
      </c>
      <c r="T85">
        <v>6091</v>
      </c>
      <c r="U85">
        <v>6078</v>
      </c>
      <c r="V85">
        <v>6066</v>
      </c>
      <c r="W85">
        <v>6053</v>
      </c>
      <c r="X85">
        <v>6040</v>
      </c>
      <c r="Y85">
        <v>6028</v>
      </c>
      <c r="Z85">
        <v>6015</v>
      </c>
      <c r="AA85">
        <v>6002</v>
      </c>
      <c r="AB85">
        <v>5990</v>
      </c>
      <c r="AC85">
        <v>5977</v>
      </c>
      <c r="AD85">
        <v>5964</v>
      </c>
      <c r="AE85" t="s">
        <v>260</v>
      </c>
    </row>
    <row r="86" spans="1:31" x14ac:dyDescent="0.25">
      <c r="A86" t="s">
        <v>106</v>
      </c>
      <c r="B86" t="s">
        <v>553</v>
      </c>
      <c r="C86" t="s">
        <v>554</v>
      </c>
      <c r="D86" t="s">
        <v>102</v>
      </c>
      <c r="E86">
        <v>2431</v>
      </c>
      <c r="F86">
        <v>2296</v>
      </c>
      <c r="G86">
        <v>2280</v>
      </c>
      <c r="H86">
        <v>2263</v>
      </c>
      <c r="I86">
        <v>2245</v>
      </c>
      <c r="J86">
        <v>2228</v>
      </c>
      <c r="K86">
        <v>2210</v>
      </c>
      <c r="L86">
        <v>2192</v>
      </c>
      <c r="M86">
        <v>2175</v>
      </c>
      <c r="N86">
        <v>2157</v>
      </c>
      <c r="O86">
        <v>2139</v>
      </c>
      <c r="P86">
        <v>2122</v>
      </c>
      <c r="Q86">
        <v>2104</v>
      </c>
      <c r="R86">
        <v>2087</v>
      </c>
      <c r="S86">
        <v>2069</v>
      </c>
      <c r="T86">
        <v>2052</v>
      </c>
      <c r="U86">
        <v>2034</v>
      </c>
      <c r="V86">
        <v>2017</v>
      </c>
      <c r="W86">
        <v>2000</v>
      </c>
      <c r="X86">
        <v>1982</v>
      </c>
      <c r="Y86">
        <v>1965</v>
      </c>
      <c r="Z86">
        <v>1948</v>
      </c>
      <c r="AA86">
        <v>1930</v>
      </c>
      <c r="AB86">
        <v>1913</v>
      </c>
      <c r="AC86">
        <v>1896</v>
      </c>
      <c r="AD86">
        <v>1879</v>
      </c>
      <c r="AE86" t="s">
        <v>167</v>
      </c>
    </row>
    <row r="87" spans="1:31" x14ac:dyDescent="0.25">
      <c r="A87" t="s">
        <v>107</v>
      </c>
      <c r="B87" t="s">
        <v>555</v>
      </c>
      <c r="C87" t="s">
        <v>556</v>
      </c>
      <c r="D87" t="s">
        <v>102</v>
      </c>
      <c r="E87">
        <v>3231</v>
      </c>
      <c r="F87">
        <v>3099</v>
      </c>
      <c r="G87">
        <v>3084</v>
      </c>
      <c r="H87">
        <v>3069</v>
      </c>
      <c r="I87">
        <v>3053</v>
      </c>
      <c r="J87">
        <v>3038</v>
      </c>
      <c r="K87">
        <v>3023</v>
      </c>
      <c r="L87">
        <v>3008</v>
      </c>
      <c r="M87">
        <v>2992</v>
      </c>
      <c r="N87">
        <v>2977</v>
      </c>
      <c r="O87">
        <v>2961</v>
      </c>
      <c r="P87">
        <v>2946</v>
      </c>
      <c r="Q87">
        <v>2930</v>
      </c>
      <c r="R87">
        <v>2915</v>
      </c>
      <c r="S87">
        <v>2900</v>
      </c>
      <c r="T87">
        <v>2884</v>
      </c>
      <c r="U87">
        <v>2869</v>
      </c>
      <c r="V87">
        <v>2853</v>
      </c>
      <c r="W87">
        <v>2838</v>
      </c>
      <c r="X87">
        <v>2822</v>
      </c>
      <c r="Y87">
        <v>2807</v>
      </c>
      <c r="Z87">
        <v>2791</v>
      </c>
      <c r="AA87">
        <v>2776</v>
      </c>
      <c r="AB87">
        <v>2760</v>
      </c>
      <c r="AC87">
        <v>2745</v>
      </c>
      <c r="AD87">
        <v>2730</v>
      </c>
      <c r="AE87" t="s">
        <v>242</v>
      </c>
    </row>
    <row r="88" spans="1:31" x14ac:dyDescent="0.25">
      <c r="A88" t="s">
        <v>108</v>
      </c>
      <c r="B88" t="s">
        <v>557</v>
      </c>
      <c r="C88" t="s">
        <v>558</v>
      </c>
      <c r="D88" t="s">
        <v>102</v>
      </c>
      <c r="E88">
        <v>1966</v>
      </c>
      <c r="F88">
        <v>1889</v>
      </c>
      <c r="G88">
        <v>1880</v>
      </c>
      <c r="H88">
        <v>1870</v>
      </c>
      <c r="I88">
        <v>1860</v>
      </c>
      <c r="J88">
        <v>1851</v>
      </c>
      <c r="K88">
        <v>1841</v>
      </c>
      <c r="L88">
        <v>1831</v>
      </c>
      <c r="M88">
        <v>1822</v>
      </c>
      <c r="N88">
        <v>1812</v>
      </c>
      <c r="O88">
        <v>1803</v>
      </c>
      <c r="P88">
        <v>1793</v>
      </c>
      <c r="Q88">
        <v>1784</v>
      </c>
      <c r="R88">
        <v>1774</v>
      </c>
      <c r="S88">
        <v>1765</v>
      </c>
      <c r="T88">
        <v>1756</v>
      </c>
      <c r="U88">
        <v>1746</v>
      </c>
      <c r="V88">
        <v>1737</v>
      </c>
      <c r="W88">
        <v>1728</v>
      </c>
      <c r="X88">
        <v>1718</v>
      </c>
      <c r="Y88">
        <v>1709</v>
      </c>
      <c r="Z88">
        <v>1700</v>
      </c>
      <c r="AA88">
        <v>1690</v>
      </c>
      <c r="AB88">
        <v>1681</v>
      </c>
      <c r="AC88">
        <v>1672</v>
      </c>
      <c r="AD88">
        <v>1663</v>
      </c>
      <c r="AE88" t="s">
        <v>242</v>
      </c>
    </row>
    <row r="89" spans="1:31" x14ac:dyDescent="0.25">
      <c r="A89" t="s">
        <v>109</v>
      </c>
      <c r="B89" t="s">
        <v>559</v>
      </c>
      <c r="C89" t="s">
        <v>560</v>
      </c>
      <c r="D89" t="s">
        <v>102</v>
      </c>
      <c r="E89">
        <v>4734</v>
      </c>
      <c r="F89">
        <v>4833</v>
      </c>
      <c r="G89">
        <v>4825</v>
      </c>
      <c r="H89">
        <v>4816</v>
      </c>
      <c r="I89">
        <v>4807</v>
      </c>
      <c r="J89">
        <v>4799</v>
      </c>
      <c r="K89">
        <v>4790</v>
      </c>
      <c r="L89">
        <v>4782</v>
      </c>
      <c r="M89">
        <v>4774</v>
      </c>
      <c r="N89">
        <v>4766</v>
      </c>
      <c r="O89">
        <v>4758</v>
      </c>
      <c r="P89">
        <v>4750</v>
      </c>
      <c r="Q89">
        <v>4742</v>
      </c>
      <c r="R89">
        <v>4734</v>
      </c>
      <c r="S89">
        <v>4726</v>
      </c>
      <c r="T89">
        <v>4718</v>
      </c>
      <c r="U89">
        <v>4710</v>
      </c>
      <c r="V89">
        <v>4702</v>
      </c>
      <c r="W89">
        <v>4694</v>
      </c>
      <c r="X89">
        <v>4687</v>
      </c>
      <c r="Y89">
        <v>4679</v>
      </c>
      <c r="Z89">
        <v>4671</v>
      </c>
      <c r="AA89">
        <v>4664</v>
      </c>
      <c r="AB89">
        <v>4656</v>
      </c>
      <c r="AC89">
        <v>4648</v>
      </c>
      <c r="AD89">
        <v>4641</v>
      </c>
      <c r="AE89" t="s">
        <v>231</v>
      </c>
    </row>
    <row r="90" spans="1:31" x14ac:dyDescent="0.25">
      <c r="A90" t="s">
        <v>110</v>
      </c>
      <c r="B90" t="s">
        <v>561</v>
      </c>
      <c r="C90" t="s">
        <v>562</v>
      </c>
      <c r="D90" t="s">
        <v>102</v>
      </c>
      <c r="E90">
        <v>3251</v>
      </c>
      <c r="F90">
        <v>3291</v>
      </c>
      <c r="G90">
        <v>3285</v>
      </c>
      <c r="H90">
        <v>3279</v>
      </c>
      <c r="I90">
        <v>3272</v>
      </c>
      <c r="J90">
        <v>3266</v>
      </c>
      <c r="K90">
        <v>3259</v>
      </c>
      <c r="L90">
        <v>3252</v>
      </c>
      <c r="M90">
        <v>3245</v>
      </c>
      <c r="N90">
        <v>3238</v>
      </c>
      <c r="O90">
        <v>3231</v>
      </c>
      <c r="P90">
        <v>3224</v>
      </c>
      <c r="Q90">
        <v>3216</v>
      </c>
      <c r="R90">
        <v>3209</v>
      </c>
      <c r="S90">
        <v>3202</v>
      </c>
      <c r="T90">
        <v>3195</v>
      </c>
      <c r="U90">
        <v>3187</v>
      </c>
      <c r="V90">
        <v>3180</v>
      </c>
      <c r="W90">
        <v>3173</v>
      </c>
      <c r="X90">
        <v>3165</v>
      </c>
      <c r="Y90">
        <v>3158</v>
      </c>
      <c r="Z90">
        <v>3151</v>
      </c>
      <c r="AA90">
        <v>3143</v>
      </c>
      <c r="AB90">
        <v>3136</v>
      </c>
      <c r="AC90">
        <v>3129</v>
      </c>
      <c r="AD90">
        <v>3122</v>
      </c>
      <c r="AE90" t="s">
        <v>260</v>
      </c>
    </row>
    <row r="91" spans="1:31" x14ac:dyDescent="0.25">
      <c r="A91" t="s">
        <v>111</v>
      </c>
      <c r="B91" t="s">
        <v>563</v>
      </c>
      <c r="C91" t="s">
        <v>564</v>
      </c>
      <c r="D91" t="s">
        <v>102</v>
      </c>
      <c r="E91">
        <v>3989.5722660000001</v>
      </c>
      <c r="F91">
        <v>3910.1059570000002</v>
      </c>
      <c r="G91">
        <v>3891.6015619999998</v>
      </c>
      <c r="H91">
        <v>3872.8251949999999</v>
      </c>
      <c r="I91">
        <v>3853.7155760000001</v>
      </c>
      <c r="J91">
        <v>3835.1279300000001</v>
      </c>
      <c r="K91">
        <v>3816.111328</v>
      </c>
      <c r="L91">
        <v>3797.1376949999999</v>
      </c>
      <c r="M91">
        <v>3778.5009770000001</v>
      </c>
      <c r="N91">
        <v>3759.5527339999999</v>
      </c>
      <c r="O91">
        <v>3740.7109380000002</v>
      </c>
      <c r="P91">
        <v>3722.1608890000002</v>
      </c>
      <c r="Q91">
        <v>3703.157471</v>
      </c>
      <c r="R91">
        <v>3684.6523440000001</v>
      </c>
      <c r="S91">
        <v>3666.0649410000001</v>
      </c>
      <c r="T91">
        <v>3647.5561520000001</v>
      </c>
      <c r="U91">
        <v>3628.524414</v>
      </c>
      <c r="V91">
        <v>3610.1992190000001</v>
      </c>
      <c r="W91">
        <v>3591.7321780000002</v>
      </c>
      <c r="X91">
        <v>3572.9052729999999</v>
      </c>
      <c r="Y91">
        <v>3554.6525879999999</v>
      </c>
      <c r="Z91">
        <v>3536.1577149999998</v>
      </c>
      <c r="AA91">
        <v>3517.584961</v>
      </c>
      <c r="AB91">
        <v>3499.5966800000001</v>
      </c>
      <c r="AC91">
        <v>3481.7885740000002</v>
      </c>
      <c r="AD91">
        <v>3464.116211</v>
      </c>
      <c r="AE91" t="s">
        <v>344</v>
      </c>
    </row>
    <row r="92" spans="1:31" x14ac:dyDescent="0.25">
      <c r="A92" t="s">
        <v>47</v>
      </c>
    </row>
    <row r="93" spans="1:31" x14ac:dyDescent="0.25">
      <c r="A93" t="s">
        <v>101</v>
      </c>
      <c r="B93" t="s">
        <v>565</v>
      </c>
      <c r="C93" t="s">
        <v>566</v>
      </c>
      <c r="D93" t="s">
        <v>112</v>
      </c>
      <c r="E93">
        <v>530</v>
      </c>
      <c r="F93">
        <v>626</v>
      </c>
      <c r="G93">
        <v>633</v>
      </c>
      <c r="H93">
        <v>640</v>
      </c>
      <c r="I93">
        <v>647</v>
      </c>
      <c r="J93">
        <v>654</v>
      </c>
      <c r="K93">
        <v>662</v>
      </c>
      <c r="L93">
        <v>669</v>
      </c>
      <c r="M93">
        <v>676</v>
      </c>
      <c r="N93">
        <v>683</v>
      </c>
      <c r="O93">
        <v>690</v>
      </c>
      <c r="P93">
        <v>697</v>
      </c>
      <c r="Q93">
        <v>704</v>
      </c>
      <c r="R93">
        <v>712</v>
      </c>
      <c r="S93">
        <v>719</v>
      </c>
      <c r="T93">
        <v>726</v>
      </c>
      <c r="U93">
        <v>733</v>
      </c>
      <c r="V93">
        <v>740</v>
      </c>
      <c r="W93">
        <v>747</v>
      </c>
      <c r="X93">
        <v>754</v>
      </c>
      <c r="Y93">
        <v>761</v>
      </c>
      <c r="Z93">
        <v>769</v>
      </c>
      <c r="AA93">
        <v>776</v>
      </c>
      <c r="AB93">
        <v>783</v>
      </c>
      <c r="AC93">
        <v>790</v>
      </c>
      <c r="AD93">
        <v>797</v>
      </c>
      <c r="AE93" t="s">
        <v>386</v>
      </c>
    </row>
    <row r="94" spans="1:31" x14ac:dyDescent="0.25">
      <c r="A94" t="s">
        <v>103</v>
      </c>
      <c r="B94" t="s">
        <v>567</v>
      </c>
      <c r="C94" t="s">
        <v>568</v>
      </c>
      <c r="D94" t="s">
        <v>112</v>
      </c>
      <c r="E94">
        <v>766</v>
      </c>
      <c r="F94">
        <v>858</v>
      </c>
      <c r="G94">
        <v>866</v>
      </c>
      <c r="H94">
        <v>874</v>
      </c>
      <c r="I94">
        <v>883</v>
      </c>
      <c r="J94">
        <v>891</v>
      </c>
      <c r="K94">
        <v>899</v>
      </c>
      <c r="L94">
        <v>907</v>
      </c>
      <c r="M94">
        <v>915</v>
      </c>
      <c r="N94">
        <v>923</v>
      </c>
      <c r="O94">
        <v>932</v>
      </c>
      <c r="P94">
        <v>940</v>
      </c>
      <c r="Q94">
        <v>948</v>
      </c>
      <c r="R94">
        <v>956</v>
      </c>
      <c r="S94">
        <v>964</v>
      </c>
      <c r="T94">
        <v>973</v>
      </c>
      <c r="U94">
        <v>981</v>
      </c>
      <c r="V94">
        <v>989</v>
      </c>
      <c r="W94">
        <v>997</v>
      </c>
      <c r="X94">
        <v>1005</v>
      </c>
      <c r="Y94">
        <v>1014</v>
      </c>
      <c r="Z94">
        <v>1022</v>
      </c>
      <c r="AA94">
        <v>1030</v>
      </c>
      <c r="AB94">
        <v>1038</v>
      </c>
      <c r="AC94">
        <v>1046</v>
      </c>
      <c r="AD94">
        <v>1055</v>
      </c>
      <c r="AE94" t="s">
        <v>237</v>
      </c>
    </row>
    <row r="95" spans="1:31" x14ac:dyDescent="0.25">
      <c r="A95" t="s">
        <v>104</v>
      </c>
      <c r="B95" t="s">
        <v>569</v>
      </c>
      <c r="C95" t="s">
        <v>570</v>
      </c>
      <c r="D95" t="s">
        <v>112</v>
      </c>
      <c r="E95">
        <v>873</v>
      </c>
      <c r="F95">
        <v>857</v>
      </c>
      <c r="G95">
        <v>862</v>
      </c>
      <c r="H95">
        <v>867</v>
      </c>
      <c r="I95">
        <v>871</v>
      </c>
      <c r="J95">
        <v>876</v>
      </c>
      <c r="K95">
        <v>881</v>
      </c>
      <c r="L95">
        <v>886</v>
      </c>
      <c r="M95">
        <v>890</v>
      </c>
      <c r="N95">
        <v>895</v>
      </c>
      <c r="O95">
        <v>900</v>
      </c>
      <c r="P95">
        <v>905</v>
      </c>
      <c r="Q95">
        <v>909</v>
      </c>
      <c r="R95">
        <v>914</v>
      </c>
      <c r="S95">
        <v>919</v>
      </c>
      <c r="T95">
        <v>924</v>
      </c>
      <c r="U95">
        <v>928</v>
      </c>
      <c r="V95">
        <v>933</v>
      </c>
      <c r="W95">
        <v>938</v>
      </c>
      <c r="X95">
        <v>943</v>
      </c>
      <c r="Y95">
        <v>948</v>
      </c>
      <c r="Z95">
        <v>952</v>
      </c>
      <c r="AA95">
        <v>957</v>
      </c>
      <c r="AB95">
        <v>962</v>
      </c>
      <c r="AC95">
        <v>967</v>
      </c>
      <c r="AD95">
        <v>972</v>
      </c>
      <c r="AE95" t="s">
        <v>391</v>
      </c>
    </row>
    <row r="96" spans="1:31" x14ac:dyDescent="0.25">
      <c r="A96" t="s">
        <v>105</v>
      </c>
      <c r="B96" t="s">
        <v>571</v>
      </c>
      <c r="C96" t="s">
        <v>572</v>
      </c>
      <c r="D96" t="s">
        <v>112</v>
      </c>
      <c r="E96">
        <v>1052</v>
      </c>
      <c r="F96">
        <v>1048</v>
      </c>
      <c r="G96">
        <v>1053</v>
      </c>
      <c r="H96">
        <v>1057</v>
      </c>
      <c r="I96">
        <v>1062</v>
      </c>
      <c r="J96">
        <v>1067</v>
      </c>
      <c r="K96">
        <v>1071</v>
      </c>
      <c r="L96">
        <v>1076</v>
      </c>
      <c r="M96">
        <v>1081</v>
      </c>
      <c r="N96">
        <v>1086</v>
      </c>
      <c r="O96">
        <v>1090</v>
      </c>
      <c r="P96">
        <v>1095</v>
      </c>
      <c r="Q96">
        <v>1100</v>
      </c>
      <c r="R96">
        <v>1105</v>
      </c>
      <c r="S96">
        <v>1109</v>
      </c>
      <c r="T96">
        <v>1114</v>
      </c>
      <c r="U96">
        <v>1119</v>
      </c>
      <c r="V96">
        <v>1124</v>
      </c>
      <c r="W96">
        <v>1129</v>
      </c>
      <c r="X96">
        <v>1133</v>
      </c>
      <c r="Y96">
        <v>1138</v>
      </c>
      <c r="Z96">
        <v>1143</v>
      </c>
      <c r="AA96">
        <v>1148</v>
      </c>
      <c r="AB96">
        <v>1153</v>
      </c>
      <c r="AC96">
        <v>1158</v>
      </c>
      <c r="AD96">
        <v>1162</v>
      </c>
      <c r="AE96" t="s">
        <v>391</v>
      </c>
    </row>
    <row r="97" spans="1:31" x14ac:dyDescent="0.25">
      <c r="A97" t="s">
        <v>106</v>
      </c>
      <c r="B97" t="s">
        <v>573</v>
      </c>
      <c r="C97" t="s">
        <v>574</v>
      </c>
      <c r="D97" t="s">
        <v>112</v>
      </c>
      <c r="E97">
        <v>2319</v>
      </c>
      <c r="F97">
        <v>2427</v>
      </c>
      <c r="G97">
        <v>2442</v>
      </c>
      <c r="H97">
        <v>2458</v>
      </c>
      <c r="I97">
        <v>2473</v>
      </c>
      <c r="J97">
        <v>2489</v>
      </c>
      <c r="K97">
        <v>2505</v>
      </c>
      <c r="L97">
        <v>2522</v>
      </c>
      <c r="M97">
        <v>2538</v>
      </c>
      <c r="N97">
        <v>2554</v>
      </c>
      <c r="O97">
        <v>2570</v>
      </c>
      <c r="P97">
        <v>2586</v>
      </c>
      <c r="Q97">
        <v>2603</v>
      </c>
      <c r="R97">
        <v>2619</v>
      </c>
      <c r="S97">
        <v>2635</v>
      </c>
      <c r="T97">
        <v>2652</v>
      </c>
      <c r="U97">
        <v>2668</v>
      </c>
      <c r="V97">
        <v>2684</v>
      </c>
      <c r="W97">
        <v>2701</v>
      </c>
      <c r="X97">
        <v>2717</v>
      </c>
      <c r="Y97">
        <v>2734</v>
      </c>
      <c r="Z97">
        <v>2750</v>
      </c>
      <c r="AA97">
        <v>2767</v>
      </c>
      <c r="AB97">
        <v>2783</v>
      </c>
      <c r="AC97">
        <v>2800</v>
      </c>
      <c r="AD97">
        <v>2816</v>
      </c>
      <c r="AE97" t="s">
        <v>153</v>
      </c>
    </row>
    <row r="98" spans="1:31" x14ac:dyDescent="0.25">
      <c r="A98" t="s">
        <v>107</v>
      </c>
      <c r="B98" t="s">
        <v>575</v>
      </c>
      <c r="C98" t="s">
        <v>576</v>
      </c>
      <c r="D98" t="s">
        <v>112</v>
      </c>
      <c r="E98">
        <v>1790</v>
      </c>
      <c r="F98">
        <v>1783</v>
      </c>
      <c r="G98">
        <v>1790</v>
      </c>
      <c r="H98">
        <v>1797</v>
      </c>
      <c r="I98">
        <v>1804</v>
      </c>
      <c r="J98">
        <v>1811</v>
      </c>
      <c r="K98">
        <v>1819</v>
      </c>
      <c r="L98">
        <v>1826</v>
      </c>
      <c r="M98">
        <v>1833</v>
      </c>
      <c r="N98">
        <v>1840</v>
      </c>
      <c r="O98">
        <v>1847</v>
      </c>
      <c r="P98">
        <v>1854</v>
      </c>
      <c r="Q98">
        <v>1862</v>
      </c>
      <c r="R98">
        <v>1869</v>
      </c>
      <c r="S98">
        <v>1876</v>
      </c>
      <c r="T98">
        <v>1883</v>
      </c>
      <c r="U98">
        <v>1890</v>
      </c>
      <c r="V98">
        <v>1898</v>
      </c>
      <c r="W98">
        <v>1905</v>
      </c>
      <c r="X98">
        <v>1912</v>
      </c>
      <c r="Y98">
        <v>1919</v>
      </c>
      <c r="Z98">
        <v>1926</v>
      </c>
      <c r="AA98">
        <v>1934</v>
      </c>
      <c r="AB98">
        <v>1941</v>
      </c>
      <c r="AC98">
        <v>1948</v>
      </c>
      <c r="AD98">
        <v>1955</v>
      </c>
      <c r="AE98" t="s">
        <v>391</v>
      </c>
    </row>
    <row r="99" spans="1:31" x14ac:dyDescent="0.25">
      <c r="A99" t="s">
        <v>108</v>
      </c>
      <c r="B99" t="s">
        <v>577</v>
      </c>
      <c r="C99" t="s">
        <v>578</v>
      </c>
      <c r="D99" t="s">
        <v>112</v>
      </c>
      <c r="E99">
        <v>2916</v>
      </c>
      <c r="F99">
        <v>2946</v>
      </c>
      <c r="G99">
        <v>2961</v>
      </c>
      <c r="H99">
        <v>2976</v>
      </c>
      <c r="I99">
        <v>2990</v>
      </c>
      <c r="J99">
        <v>3005</v>
      </c>
      <c r="K99">
        <v>3020</v>
      </c>
      <c r="L99">
        <v>3035</v>
      </c>
      <c r="M99">
        <v>3049</v>
      </c>
      <c r="N99">
        <v>3064</v>
      </c>
      <c r="O99">
        <v>3079</v>
      </c>
      <c r="P99">
        <v>3093</v>
      </c>
      <c r="Q99">
        <v>3108</v>
      </c>
      <c r="R99">
        <v>3123</v>
      </c>
      <c r="S99">
        <v>3138</v>
      </c>
      <c r="T99">
        <v>3152</v>
      </c>
      <c r="U99">
        <v>3167</v>
      </c>
      <c r="V99">
        <v>3182</v>
      </c>
      <c r="W99">
        <v>3197</v>
      </c>
      <c r="X99">
        <v>3211</v>
      </c>
      <c r="Y99">
        <v>3226</v>
      </c>
      <c r="Z99">
        <v>3241</v>
      </c>
      <c r="AA99">
        <v>3255</v>
      </c>
      <c r="AB99">
        <v>3270</v>
      </c>
      <c r="AC99">
        <v>3285</v>
      </c>
      <c r="AD99">
        <v>3299</v>
      </c>
      <c r="AE99" t="s">
        <v>216</v>
      </c>
    </row>
    <row r="100" spans="1:31" x14ac:dyDescent="0.25">
      <c r="A100" t="s">
        <v>109</v>
      </c>
      <c r="B100" t="s">
        <v>579</v>
      </c>
      <c r="C100" t="s">
        <v>580</v>
      </c>
      <c r="D100" t="s">
        <v>112</v>
      </c>
      <c r="E100">
        <v>1515</v>
      </c>
      <c r="F100">
        <v>1608</v>
      </c>
      <c r="G100">
        <v>1617</v>
      </c>
      <c r="H100">
        <v>1627</v>
      </c>
      <c r="I100">
        <v>1636</v>
      </c>
      <c r="J100">
        <v>1645</v>
      </c>
      <c r="K100">
        <v>1655</v>
      </c>
      <c r="L100">
        <v>1664</v>
      </c>
      <c r="M100">
        <v>1673</v>
      </c>
      <c r="N100">
        <v>1682</v>
      </c>
      <c r="O100">
        <v>1691</v>
      </c>
      <c r="P100">
        <v>1701</v>
      </c>
      <c r="Q100">
        <v>1710</v>
      </c>
      <c r="R100">
        <v>1719</v>
      </c>
      <c r="S100">
        <v>1728</v>
      </c>
      <c r="T100">
        <v>1737</v>
      </c>
      <c r="U100">
        <v>1746</v>
      </c>
      <c r="V100">
        <v>1755</v>
      </c>
      <c r="W100">
        <v>1764</v>
      </c>
      <c r="X100">
        <v>1773</v>
      </c>
      <c r="Y100">
        <v>1782</v>
      </c>
      <c r="Z100">
        <v>1791</v>
      </c>
      <c r="AA100">
        <v>1800</v>
      </c>
      <c r="AB100">
        <v>1809</v>
      </c>
      <c r="AC100">
        <v>1818</v>
      </c>
      <c r="AD100">
        <v>1827</v>
      </c>
      <c r="AE100" t="s">
        <v>153</v>
      </c>
    </row>
    <row r="101" spans="1:31" x14ac:dyDescent="0.25">
      <c r="A101" t="s">
        <v>110</v>
      </c>
      <c r="B101" t="s">
        <v>581</v>
      </c>
      <c r="C101" t="s">
        <v>582</v>
      </c>
      <c r="D101" t="s">
        <v>112</v>
      </c>
      <c r="E101">
        <v>887</v>
      </c>
      <c r="F101">
        <v>1040</v>
      </c>
      <c r="G101">
        <v>1049</v>
      </c>
      <c r="H101">
        <v>1058</v>
      </c>
      <c r="I101">
        <v>1067</v>
      </c>
      <c r="J101">
        <v>1076</v>
      </c>
      <c r="K101">
        <v>1085</v>
      </c>
      <c r="L101">
        <v>1094</v>
      </c>
      <c r="M101">
        <v>1103</v>
      </c>
      <c r="N101">
        <v>1112</v>
      </c>
      <c r="O101">
        <v>1121</v>
      </c>
      <c r="P101">
        <v>1131</v>
      </c>
      <c r="Q101">
        <v>1140</v>
      </c>
      <c r="R101">
        <v>1149</v>
      </c>
      <c r="S101">
        <v>1158</v>
      </c>
      <c r="T101">
        <v>1167</v>
      </c>
      <c r="U101">
        <v>1177</v>
      </c>
      <c r="V101">
        <v>1186</v>
      </c>
      <c r="W101">
        <v>1195</v>
      </c>
      <c r="X101">
        <v>1204</v>
      </c>
      <c r="Y101">
        <v>1213</v>
      </c>
      <c r="Z101">
        <v>1223</v>
      </c>
      <c r="AA101">
        <v>1232</v>
      </c>
      <c r="AB101">
        <v>1241</v>
      </c>
      <c r="AC101">
        <v>1250</v>
      </c>
      <c r="AD101">
        <v>1259</v>
      </c>
      <c r="AE101" t="s">
        <v>182</v>
      </c>
    </row>
    <row r="102" spans="1:31" x14ac:dyDescent="0.25">
      <c r="A102" t="s">
        <v>111</v>
      </c>
      <c r="B102" t="s">
        <v>583</v>
      </c>
      <c r="C102" t="s">
        <v>584</v>
      </c>
      <c r="D102" t="s">
        <v>112</v>
      </c>
      <c r="E102">
        <v>1516.4235839999999</v>
      </c>
      <c r="F102">
        <v>1589.852905</v>
      </c>
      <c r="G102">
        <v>1602.154053</v>
      </c>
      <c r="H102">
        <v>1614.6899410000001</v>
      </c>
      <c r="I102">
        <v>1626.874268</v>
      </c>
      <c r="J102">
        <v>1639.4291989999999</v>
      </c>
      <c r="K102">
        <v>1652.126587</v>
      </c>
      <c r="L102">
        <v>1664.940918</v>
      </c>
      <c r="M102">
        <v>1677.306885</v>
      </c>
      <c r="N102">
        <v>1689.963013</v>
      </c>
      <c r="O102">
        <v>1702.6976320000001</v>
      </c>
      <c r="P102">
        <v>1715.525879</v>
      </c>
      <c r="Q102">
        <v>1728.3977050000001</v>
      </c>
      <c r="R102">
        <v>1741.1990969999999</v>
      </c>
      <c r="S102">
        <v>1753.922607</v>
      </c>
      <c r="T102">
        <v>1766.9213870000001</v>
      </c>
      <c r="U102">
        <v>1779.796143</v>
      </c>
      <c r="V102">
        <v>1792.7116699999999</v>
      </c>
      <c r="W102">
        <v>1805.8120120000001</v>
      </c>
      <c r="X102">
        <v>1818.5227050000001</v>
      </c>
      <c r="Y102">
        <v>1831.7783199999999</v>
      </c>
      <c r="Z102">
        <v>1844.803101</v>
      </c>
      <c r="AA102">
        <v>1857.8740230000001</v>
      </c>
      <c r="AB102">
        <v>1870.7852780000001</v>
      </c>
      <c r="AC102">
        <v>1883.8203120000001</v>
      </c>
      <c r="AD102">
        <v>1896.4698490000001</v>
      </c>
      <c r="AE102" t="s">
        <v>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67"/>
  <sheetViews>
    <sheetView topLeftCell="A53" workbookViewId="0">
      <selection activeCell="H54" sqref="H54"/>
    </sheetView>
  </sheetViews>
  <sheetFormatPr defaultRowHeight="15" x14ac:dyDescent="0.25"/>
  <cols>
    <col min="1" max="1" width="21" customWidth="1"/>
    <col min="2" max="2" width="13.140625" customWidth="1"/>
    <col min="3" max="3" width="11" customWidth="1"/>
  </cols>
  <sheetData>
    <row r="1" spans="1:28" x14ac:dyDescent="0.25">
      <c r="A1" s="12" t="s">
        <v>125</v>
      </c>
      <c r="B1" s="13"/>
      <c r="C1" s="13"/>
    </row>
    <row r="2" spans="1:28" x14ac:dyDescent="0.25">
      <c r="B2">
        <v>2025</v>
      </c>
      <c r="C2">
        <v>2026</v>
      </c>
      <c r="D2">
        <v>2027</v>
      </c>
      <c r="E2">
        <v>2028</v>
      </c>
      <c r="F2">
        <v>2029</v>
      </c>
      <c r="G2">
        <v>2030</v>
      </c>
      <c r="H2">
        <v>2031</v>
      </c>
      <c r="I2">
        <v>2032</v>
      </c>
      <c r="J2">
        <v>2033</v>
      </c>
      <c r="K2">
        <v>2034</v>
      </c>
      <c r="L2">
        <v>2035</v>
      </c>
      <c r="M2">
        <v>2036</v>
      </c>
      <c r="N2">
        <v>2037</v>
      </c>
      <c r="O2">
        <v>2038</v>
      </c>
      <c r="P2">
        <v>2039</v>
      </c>
      <c r="Q2">
        <v>2040</v>
      </c>
      <c r="R2">
        <v>2041</v>
      </c>
      <c r="S2">
        <v>2042</v>
      </c>
      <c r="T2">
        <v>2043</v>
      </c>
      <c r="U2">
        <v>2044</v>
      </c>
      <c r="V2">
        <v>2045</v>
      </c>
      <c r="W2">
        <v>2046</v>
      </c>
      <c r="X2">
        <v>2047</v>
      </c>
      <c r="Y2">
        <v>2048</v>
      </c>
      <c r="Z2">
        <v>2049</v>
      </c>
      <c r="AA2">
        <v>2050</v>
      </c>
    </row>
    <row r="3" spans="1:28" x14ac:dyDescent="0.25">
      <c r="A3" t="s">
        <v>126</v>
      </c>
      <c r="B3" s="19">
        <f>'AEO 2026 Table 5'!E9/'AEO 2026 Table 5'!E10</f>
        <v>2.6741693205889001E-2</v>
      </c>
      <c r="C3" s="19">
        <f>'AEO 2026 Table 5'!F9/'AEO 2026 Table 5'!F10</f>
        <v>2.6099904036698533E-2</v>
      </c>
      <c r="D3" s="19">
        <f>'AEO 2026 Table 5'!G9/'AEO 2026 Table 5'!G10</f>
        <v>2.5554632641950247E-2</v>
      </c>
      <c r="E3" s="19">
        <f>'AEO 2026 Table 5'!H9/'AEO 2026 Table 5'!H10</f>
        <v>2.521136196661659E-2</v>
      </c>
      <c r="F3" s="19">
        <f>'AEO 2026 Table 5'!I9/'AEO 2026 Table 5'!I10</f>
        <v>2.4947081363934639E-2</v>
      </c>
      <c r="G3" s="19">
        <f>'AEO 2026 Table 5'!J9/'AEO 2026 Table 5'!J10</f>
        <v>2.4921226033067217E-2</v>
      </c>
      <c r="H3" s="19">
        <f>'AEO 2026 Table 5'!K9/'AEO 2026 Table 5'!K10</f>
        <v>2.5026458018279119E-2</v>
      </c>
      <c r="I3" s="19">
        <f>'AEO 2026 Table 5'!L9/'AEO 2026 Table 5'!L10</f>
        <v>2.5154061724379107E-2</v>
      </c>
      <c r="J3" s="19">
        <f>'AEO 2026 Table 5'!M9/'AEO 2026 Table 5'!M10</f>
        <v>2.5330736405169009E-2</v>
      </c>
      <c r="K3" s="19">
        <f>'AEO 2026 Table 5'!N9/'AEO 2026 Table 5'!N10</f>
        <v>2.5511484528548928E-2</v>
      </c>
      <c r="L3" s="19">
        <f>'AEO 2026 Table 5'!O9/'AEO 2026 Table 5'!O10</f>
        <v>2.5686682006078394E-2</v>
      </c>
      <c r="M3" s="19">
        <f>'AEO 2026 Table 5'!P9/'AEO 2026 Table 5'!P10</f>
        <v>2.5843740537441533E-2</v>
      </c>
      <c r="N3" s="19">
        <f>'AEO 2026 Table 5'!Q9/'AEO 2026 Table 5'!Q10</f>
        <v>2.5916405671938005E-2</v>
      </c>
      <c r="O3" s="19">
        <f>'AEO 2026 Table 5'!R9/'AEO 2026 Table 5'!R10</f>
        <v>2.5518488637870481E-2</v>
      </c>
      <c r="P3" s="19">
        <f>'AEO 2026 Table 5'!S9/'AEO 2026 Table 5'!S10</f>
        <v>2.5121291084476527E-2</v>
      </c>
      <c r="Q3" s="19">
        <f>'AEO 2026 Table 5'!T9/'AEO 2026 Table 5'!T10</f>
        <v>2.4755880999502121E-2</v>
      </c>
      <c r="R3" s="19">
        <f>'AEO 2026 Table 5'!U9/'AEO 2026 Table 5'!U10</f>
        <v>2.4210462687021258E-2</v>
      </c>
      <c r="S3" s="19">
        <f>'AEO 2026 Table 5'!V9/'AEO 2026 Table 5'!V10</f>
        <v>2.3749171969605361E-2</v>
      </c>
      <c r="T3" s="19">
        <f>'AEO 2026 Table 5'!W9/'AEO 2026 Table 5'!W10</f>
        <v>2.3417941380397954E-2</v>
      </c>
      <c r="U3" s="19">
        <f>'AEO 2026 Table 5'!X9/'AEO 2026 Table 5'!X10</f>
        <v>2.3148403244066893E-2</v>
      </c>
      <c r="V3" s="19">
        <f>'AEO 2026 Table 5'!Y9/'AEO 2026 Table 5'!Y10</f>
        <v>2.2954231965260814E-2</v>
      </c>
      <c r="W3" s="19">
        <f>'AEO 2026 Table 5'!Z9/'AEO 2026 Table 5'!Z10</f>
        <v>2.2791231851114421E-2</v>
      </c>
      <c r="X3" s="19">
        <f>'AEO 2026 Table 5'!AA9/'AEO 2026 Table 5'!AA10</f>
        <v>2.2642102030918269E-2</v>
      </c>
      <c r="Y3" s="19">
        <f>'AEO 2026 Table 5'!AB9/'AEO 2026 Table 5'!AB10</f>
        <v>2.2507527818295354E-2</v>
      </c>
      <c r="Z3" s="19">
        <f>'AEO 2026 Table 5'!AC9/'AEO 2026 Table 5'!AC10</f>
        <v>2.2381732491055364E-2</v>
      </c>
      <c r="AA3" s="19">
        <f>'AEO 2026 Table 5'!AD9/'AEO 2026 Table 5'!AD10</f>
        <v>2.2266826540019095E-2</v>
      </c>
      <c r="AB3" s="6"/>
    </row>
    <row r="5" spans="1:28" x14ac:dyDescent="0.25">
      <c r="A5" t="s">
        <v>42</v>
      </c>
      <c r="B5" s="8">
        <f>AVERAGE(B3:AA3)</f>
        <v>2.4515798493830544E-2</v>
      </c>
    </row>
    <row r="8" spans="1:28" x14ac:dyDescent="0.25">
      <c r="A8" s="12" t="s">
        <v>127</v>
      </c>
      <c r="B8" s="13"/>
      <c r="C8" s="13"/>
    </row>
    <row r="10" spans="1:28" x14ac:dyDescent="0.25">
      <c r="A10" t="s">
        <v>128</v>
      </c>
    </row>
    <row r="12" spans="1:28" x14ac:dyDescent="0.25">
      <c r="B12" s="9" t="s">
        <v>129</v>
      </c>
      <c r="C12" t="s">
        <v>130</v>
      </c>
    </row>
    <row r="13" spans="1:28" x14ac:dyDescent="0.25">
      <c r="A13" t="s">
        <v>131</v>
      </c>
      <c r="B13">
        <v>0.997</v>
      </c>
    </row>
    <row r="14" spans="1:28" x14ac:dyDescent="0.25">
      <c r="A14" t="s">
        <v>132</v>
      </c>
      <c r="B14">
        <v>0.995</v>
      </c>
    </row>
    <row r="15" spans="1:28" x14ac:dyDescent="0.25">
      <c r="A15" t="s">
        <v>133</v>
      </c>
      <c r="B15">
        <v>0.96599999999999997</v>
      </c>
    </row>
    <row r="17" spans="1:29" x14ac:dyDescent="0.25">
      <c r="A17" s="1" t="s">
        <v>134</v>
      </c>
    </row>
    <row r="18" spans="1:29" x14ac:dyDescent="0.25">
      <c r="B18">
        <v>2025</v>
      </c>
      <c r="C18">
        <v>2026</v>
      </c>
      <c r="D18">
        <v>2027</v>
      </c>
      <c r="E18">
        <v>2028</v>
      </c>
      <c r="F18">
        <v>2029</v>
      </c>
      <c r="G18">
        <v>2030</v>
      </c>
      <c r="H18">
        <v>2031</v>
      </c>
      <c r="I18">
        <v>2032</v>
      </c>
      <c r="J18">
        <v>2033</v>
      </c>
      <c r="K18">
        <v>2034</v>
      </c>
      <c r="L18">
        <v>2035</v>
      </c>
      <c r="M18">
        <v>2036</v>
      </c>
      <c r="N18">
        <v>2037</v>
      </c>
      <c r="O18">
        <v>2038</v>
      </c>
      <c r="P18">
        <v>2039</v>
      </c>
      <c r="Q18">
        <v>2040</v>
      </c>
      <c r="R18">
        <v>2041</v>
      </c>
      <c r="S18">
        <v>2042</v>
      </c>
      <c r="T18">
        <v>2043</v>
      </c>
      <c r="U18">
        <v>2044</v>
      </c>
      <c r="V18">
        <v>2045</v>
      </c>
      <c r="W18">
        <v>2046</v>
      </c>
      <c r="X18">
        <v>2047</v>
      </c>
      <c r="Y18">
        <v>2048</v>
      </c>
      <c r="Z18">
        <v>2049</v>
      </c>
      <c r="AA18">
        <v>2050</v>
      </c>
    </row>
    <row r="19" spans="1:29" x14ac:dyDescent="0.25">
      <c r="A19" t="s">
        <v>131</v>
      </c>
      <c r="B19" s="20">
        <f>'AEO 2026 Table 4'!E8*$B13</f>
        <v>89.283152575999992</v>
      </c>
      <c r="C19" s="20">
        <f>'AEO 2026 Table 4'!F8*$B13</f>
        <v>90.227822039999992</v>
      </c>
      <c r="D19" s="20">
        <f>'AEO 2026 Table 4'!G8*$B13</f>
        <v>91.171614144000003</v>
      </c>
      <c r="E19" s="20">
        <f>'AEO 2026 Table 4'!H8*$B13</f>
        <v>92.098401416000002</v>
      </c>
      <c r="F19" s="20">
        <f>'AEO 2026 Table 4'!I8*$B13</f>
        <v>93.028403015999999</v>
      </c>
      <c r="G19" s="20">
        <f>'AEO 2026 Table 4'!J8*$B13</f>
        <v>93.96039064</v>
      </c>
      <c r="H19" s="20">
        <f>'AEO 2026 Table 4'!K8*$B13</f>
        <v>94.872733375999999</v>
      </c>
      <c r="I19" s="20">
        <f>'AEO 2026 Table 4'!L8*$B13</f>
        <v>95.783361271999993</v>
      </c>
      <c r="J19" s="20">
        <f>'AEO 2026 Table 4'!M8*$B13</f>
        <v>96.682774911999999</v>
      </c>
      <c r="K19" s="20">
        <f>'AEO 2026 Table 4'!N8*$B13</f>
        <v>97.559720159999998</v>
      </c>
      <c r="L19" s="20">
        <f>'AEO 2026 Table 4'!O8*$B13</f>
        <v>98.420290680000008</v>
      </c>
      <c r="M19" s="20">
        <f>'AEO 2026 Table 4'!P8*$B13</f>
        <v>99.256997007999999</v>
      </c>
      <c r="N19" s="20">
        <f>'AEO 2026 Table 4'!Q8*$B13</f>
        <v>100.07846119999999</v>
      </c>
      <c r="O19" s="20">
        <f>'AEO 2026 Table 4'!R8*$B13</f>
        <v>100.876228696</v>
      </c>
      <c r="P19" s="20">
        <f>'AEO 2026 Table 4'!S8*$B13</f>
        <v>101.64269039200001</v>
      </c>
      <c r="Q19" s="20">
        <f>'AEO 2026 Table 4'!T8*$B13</f>
        <v>102.38163488800001</v>
      </c>
      <c r="R19" s="20">
        <f>'AEO 2026 Table 4'!U8*$B13</f>
        <v>103.090055232</v>
      </c>
      <c r="S19" s="20">
        <f>'AEO 2026 Table 4'!V8*$B13</f>
        <v>103.78162228799999</v>
      </c>
      <c r="T19" s="20">
        <f>'AEO 2026 Table 4'!W8*$B13</f>
        <v>104.44674092800001</v>
      </c>
      <c r="U19" s="20">
        <f>'AEO 2026 Table 4'!X8*$B13</f>
        <v>105.088633456</v>
      </c>
      <c r="V19" s="20">
        <f>'AEO 2026 Table 4'!Y8*$B13</f>
        <v>105.73130763200001</v>
      </c>
      <c r="W19" s="20">
        <f>'AEO 2026 Table 4'!Z8*$B13</f>
        <v>106.37832075199999</v>
      </c>
      <c r="X19" s="20">
        <f>'AEO 2026 Table 4'!AA8*$B13</f>
        <v>107.02328404000001</v>
      </c>
      <c r="Y19" s="20">
        <f>'AEO 2026 Table 4'!AB8*$B13</f>
        <v>107.66706687999999</v>
      </c>
      <c r="Z19" s="20">
        <f>'AEO 2026 Table 4'!AC8*$B13</f>
        <v>108.31006807199999</v>
      </c>
      <c r="AA19" s="20">
        <f>'AEO 2026 Table 4'!AD8*$B13</f>
        <v>108.955964552</v>
      </c>
      <c r="AB19" s="11"/>
      <c r="AC19" s="11"/>
    </row>
    <row r="20" spans="1:29" x14ac:dyDescent="0.25">
      <c r="A20" t="s">
        <v>132</v>
      </c>
      <c r="B20" s="20">
        <f>'AEO 2026 Table 4'!E9*$B14</f>
        <v>34.260150440000004</v>
      </c>
      <c r="C20" s="20">
        <f>'AEO 2026 Table 4'!F9*$B14</f>
        <v>34.662484660000004</v>
      </c>
      <c r="D20" s="20">
        <f>'AEO 2026 Table 4'!G9*$B14</f>
        <v>35.066578040000003</v>
      </c>
      <c r="E20" s="20">
        <f>'AEO 2026 Table 4'!H9*$B14</f>
        <v>35.460908480000001</v>
      </c>
      <c r="F20" s="20">
        <f>'AEO 2026 Table 4'!I9*$B14</f>
        <v>35.857010020000004</v>
      </c>
      <c r="G20" s="20">
        <f>'AEO 2026 Table 4'!J9*$B14</f>
        <v>36.271403639999996</v>
      </c>
      <c r="H20" s="20">
        <f>'AEO 2026 Table 4'!K9*$B14</f>
        <v>36.719121800000003</v>
      </c>
      <c r="I20" s="20">
        <f>'AEO 2026 Table 4'!L9*$B14</f>
        <v>37.16875434</v>
      </c>
      <c r="J20" s="20">
        <f>'AEO 2026 Table 4'!M9*$B14</f>
        <v>37.608070720000001</v>
      </c>
      <c r="K20" s="20">
        <f>'AEO 2026 Table 4'!N9*$B14</f>
        <v>38.03165018</v>
      </c>
      <c r="L20" s="20">
        <f>'AEO 2026 Table 4'!O9*$B14</f>
        <v>38.44357222</v>
      </c>
      <c r="M20" s="20">
        <f>'AEO 2026 Table 4'!P9*$B14</f>
        <v>38.844278619999997</v>
      </c>
      <c r="N20" s="20">
        <f>'AEO 2026 Table 4'!Q9*$B14</f>
        <v>39.20085478</v>
      </c>
      <c r="O20" s="20">
        <f>'AEO 2026 Table 4'!R9*$B14</f>
        <v>39.531867399999996</v>
      </c>
      <c r="P20" s="20">
        <f>'AEO 2026 Table 4'!S9*$B14</f>
        <v>39.840269640000002</v>
      </c>
      <c r="Q20" s="20">
        <f>'AEO 2026 Table 4'!T9*$B14</f>
        <v>40.1301609</v>
      </c>
      <c r="R20" s="20">
        <f>'AEO 2026 Table 4'!U9*$B14</f>
        <v>40.398416879999999</v>
      </c>
      <c r="S20" s="20">
        <f>'AEO 2026 Table 4'!V9*$B14</f>
        <v>40.649690200000002</v>
      </c>
      <c r="T20" s="20">
        <f>'AEO 2026 Table 4'!W9*$B14</f>
        <v>40.894356720000005</v>
      </c>
      <c r="U20" s="20">
        <f>'AEO 2026 Table 4'!X9*$B14</f>
        <v>41.140917719999997</v>
      </c>
      <c r="V20" s="20">
        <f>'AEO 2026 Table 4'!Y9*$B14</f>
        <v>41.389022960000005</v>
      </c>
      <c r="W20" s="20">
        <f>'AEO 2026 Table 4'!Z9*$B14</f>
        <v>41.637641620000004</v>
      </c>
      <c r="X20" s="20">
        <f>'AEO 2026 Table 4'!AA9*$B14</f>
        <v>41.884620519999999</v>
      </c>
      <c r="Y20" s="20">
        <f>'AEO 2026 Table 4'!AB9*$B14</f>
        <v>42.13102232</v>
      </c>
      <c r="Z20" s="20">
        <f>'AEO 2026 Table 4'!AC9*$B14</f>
        <v>42.377280839999997</v>
      </c>
      <c r="AA20" s="20">
        <f>'AEO 2026 Table 4'!AD9*$B14</f>
        <v>42.624434860000001</v>
      </c>
      <c r="AB20" s="11"/>
      <c r="AC20" s="11"/>
    </row>
    <row r="21" spans="1:29" x14ac:dyDescent="0.25">
      <c r="A21" t="s">
        <v>133</v>
      </c>
      <c r="B21" s="20">
        <f>'AEO 2026 Table 4'!E10*$B15</f>
        <v>6.5157617700000001</v>
      </c>
      <c r="C21" s="20">
        <f>'AEO 2026 Table 4'!F10*$B15</f>
        <v>6.5296026180000002</v>
      </c>
      <c r="D21" s="20">
        <f>'AEO 2026 Table 4'!G10*$B15</f>
        <v>6.5755533059999998</v>
      </c>
      <c r="E21" s="20">
        <f>'AEO 2026 Table 4'!H10*$B15</f>
        <v>6.6249873899999994</v>
      </c>
      <c r="F21" s="20">
        <f>'AEO 2026 Table 4'!I10*$B15</f>
        <v>6.668984826</v>
      </c>
      <c r="G21" s="20">
        <f>'AEO 2026 Table 4'!J10*$B15</f>
        <v>6.6779715240000002</v>
      </c>
      <c r="H21" s="20">
        <f>'AEO 2026 Table 4'!K10*$B15</f>
        <v>6.6799759739999995</v>
      </c>
      <c r="I21" s="20">
        <f>'AEO 2026 Table 4'!L10*$B15</f>
        <v>6.6830314319999999</v>
      </c>
      <c r="J21" s="20">
        <f>'AEO 2026 Table 4'!M10*$B15</f>
        <v>6.6857700419999997</v>
      </c>
      <c r="K21" s="20">
        <f>'AEO 2026 Table 4'!N10*$B15</f>
        <v>6.6880169579999995</v>
      </c>
      <c r="L21" s="20">
        <f>'AEO 2026 Table 4'!O10*$B15</f>
        <v>6.6914781359999997</v>
      </c>
      <c r="M21" s="20">
        <f>'AEO 2026 Table 4'!P10*$B15</f>
        <v>6.6956898960000002</v>
      </c>
      <c r="N21" s="20">
        <f>'AEO 2026 Table 4'!Q10*$B15</f>
        <v>6.6972770339999999</v>
      </c>
      <c r="O21" s="20">
        <f>'AEO 2026 Table 4'!R10*$B15</f>
        <v>6.6970316699999994</v>
      </c>
      <c r="P21" s="20">
        <f>'AEO 2026 Table 4'!S10*$B15</f>
        <v>6.6920722259999996</v>
      </c>
      <c r="Q21" s="20">
        <f>'AEO 2026 Table 4'!T10*$B15</f>
        <v>6.6887472539999999</v>
      </c>
      <c r="R21" s="20">
        <f>'AEO 2026 Table 4'!U10*$B15</f>
        <v>6.6873117779999998</v>
      </c>
      <c r="S21" s="20">
        <f>'AEO 2026 Table 4'!V10*$B15</f>
        <v>6.686416296</v>
      </c>
      <c r="T21" s="20">
        <f>'AEO 2026 Table 4'!W10*$B15</f>
        <v>6.6867379739999997</v>
      </c>
      <c r="U21" s="20">
        <f>'AEO 2026 Table 4'!X10*$B15</f>
        <v>6.6894311819999999</v>
      </c>
      <c r="V21" s="20">
        <f>'AEO 2026 Table 4'!Y10*$B15</f>
        <v>6.693980075999999</v>
      </c>
      <c r="W21" s="20">
        <f>'AEO 2026 Table 4'!Z10*$B15</f>
        <v>6.6986342639999998</v>
      </c>
      <c r="X21" s="20">
        <f>'AEO 2026 Table 4'!AA10*$B15</f>
        <v>6.7033927799999997</v>
      </c>
      <c r="Y21" s="20">
        <f>'AEO 2026 Table 4'!AB10*$B15</f>
        <v>6.7069553879999999</v>
      </c>
      <c r="Z21" s="20">
        <f>'AEO 2026 Table 4'!AC10*$B15</f>
        <v>6.7103412179999999</v>
      </c>
      <c r="AA21" s="20">
        <f>'AEO 2026 Table 4'!AD10*$B15</f>
        <v>6.7139811059999994</v>
      </c>
      <c r="AB21" s="11"/>
      <c r="AC21" s="11"/>
    </row>
    <row r="23" spans="1:29" x14ac:dyDescent="0.25">
      <c r="A23" s="1" t="s">
        <v>135</v>
      </c>
      <c r="D23" s="11"/>
    </row>
    <row r="24" spans="1:29" x14ac:dyDescent="0.25">
      <c r="B24">
        <v>2025</v>
      </c>
      <c r="C24">
        <v>2026</v>
      </c>
      <c r="D24">
        <v>2027</v>
      </c>
      <c r="E24">
        <v>2028</v>
      </c>
      <c r="F24">
        <v>2029</v>
      </c>
      <c r="G24">
        <v>2030</v>
      </c>
      <c r="H24">
        <v>2031</v>
      </c>
      <c r="I24">
        <v>2032</v>
      </c>
      <c r="J24">
        <v>2033</v>
      </c>
      <c r="K24">
        <v>2034</v>
      </c>
      <c r="L24">
        <v>2035</v>
      </c>
      <c r="M24">
        <v>2036</v>
      </c>
      <c r="N24">
        <v>2037</v>
      </c>
      <c r="O24">
        <v>2038</v>
      </c>
      <c r="P24">
        <v>2039</v>
      </c>
      <c r="Q24">
        <v>2040</v>
      </c>
      <c r="R24">
        <v>2041</v>
      </c>
      <c r="S24">
        <v>2042</v>
      </c>
      <c r="T24">
        <v>2043</v>
      </c>
      <c r="U24">
        <v>2044</v>
      </c>
      <c r="V24">
        <v>2045</v>
      </c>
      <c r="W24">
        <v>2046</v>
      </c>
      <c r="X24">
        <v>2047</v>
      </c>
      <c r="Y24">
        <v>2048</v>
      </c>
      <c r="Z24">
        <v>2049</v>
      </c>
      <c r="AA24">
        <v>2050</v>
      </c>
    </row>
    <row r="25" spans="1:29" x14ac:dyDescent="0.25">
      <c r="A25" t="s">
        <v>131</v>
      </c>
      <c r="B25" s="20">
        <f>'AEO 2026 Table 4'!E8-B19</f>
        <v>0.26865542400000209</v>
      </c>
      <c r="C25" s="20">
        <f>'AEO 2026 Table 4'!F8-C19</f>
        <v>0.27149796000000492</v>
      </c>
      <c r="D25" s="20">
        <f>'AEO 2026 Table 4'!G8-D19</f>
        <v>0.27433785600000249</v>
      </c>
      <c r="E25" s="20">
        <f>'AEO 2026 Table 4'!H8-E19</f>
        <v>0.27712658400000123</v>
      </c>
      <c r="F25" s="20">
        <f>'AEO 2026 Table 4'!I8-F19</f>
        <v>0.27992498400000443</v>
      </c>
      <c r="G25" s="20">
        <f>'AEO 2026 Table 4'!J8-G19</f>
        <v>0.2827293600000047</v>
      </c>
      <c r="H25" s="20">
        <f>'AEO 2026 Table 4'!K8-H19</f>
        <v>0.28547462400000256</v>
      </c>
      <c r="I25" s="20">
        <f>'AEO 2026 Table 4'!L8-I19</f>
        <v>0.28821472799999981</v>
      </c>
      <c r="J25" s="20">
        <f>'AEO 2026 Table 4'!M8-J19</f>
        <v>0.2909210880000046</v>
      </c>
      <c r="K25" s="20">
        <f>'AEO 2026 Table 4'!N8-K19</f>
        <v>0.29355984000000035</v>
      </c>
      <c r="L25" s="20">
        <f>'AEO 2026 Table 4'!O8-L19</f>
        <v>0.29614931999999783</v>
      </c>
      <c r="M25" s="20">
        <f>'AEO 2026 Table 4'!P8-M19</f>
        <v>0.29866699199999402</v>
      </c>
      <c r="N25" s="20">
        <f>'AEO 2026 Table 4'!Q8-N19</f>
        <v>0.30113880000000393</v>
      </c>
      <c r="O25" s="20">
        <f>'AEO 2026 Table 4'!R8-O19</f>
        <v>0.3035393039999974</v>
      </c>
      <c r="P25" s="20">
        <f>'AEO 2026 Table 4'!S8-P19</f>
        <v>0.30584560799999849</v>
      </c>
      <c r="Q25" s="20">
        <f>'AEO 2026 Table 4'!T8-Q19</f>
        <v>0.30806911199999831</v>
      </c>
      <c r="R25" s="20">
        <f>'AEO 2026 Table 4'!U8-R19</f>
        <v>0.3102007680000014</v>
      </c>
      <c r="S25" s="20">
        <f>'AEO 2026 Table 4'!V8-S19</f>
        <v>0.31228171200000077</v>
      </c>
      <c r="T25" s="20">
        <f>'AEO 2026 Table 4'!W8-T19</f>
        <v>0.31428307199999495</v>
      </c>
      <c r="U25" s="20">
        <f>'AEO 2026 Table 4'!X8-U19</f>
        <v>0.31621454400000459</v>
      </c>
      <c r="V25" s="20">
        <f>'AEO 2026 Table 4'!Y8-V19</f>
        <v>0.31814836799999568</v>
      </c>
      <c r="W25" s="20">
        <f>'AEO 2026 Table 4'!Z8-W19</f>
        <v>0.32009524800000122</v>
      </c>
      <c r="X25" s="20">
        <f>'AEO 2026 Table 4'!AA8-X19</f>
        <v>0.32203595999999379</v>
      </c>
      <c r="Y25" s="20">
        <f>'AEO 2026 Table 4'!AB8-Y19</f>
        <v>0.32397312000000511</v>
      </c>
      <c r="Z25" s="20">
        <f>'AEO 2026 Table 4'!AC8-Z19</f>
        <v>0.32590792800000656</v>
      </c>
      <c r="AA25" s="20">
        <f>'AEO 2026 Table 4'!AD8-AA19</f>
        <v>0.3278514480000041</v>
      </c>
      <c r="AB25" s="11"/>
      <c r="AC25" s="11"/>
    </row>
    <row r="26" spans="1:29" x14ac:dyDescent="0.25">
      <c r="A26" t="s">
        <v>132</v>
      </c>
      <c r="B26" s="20">
        <f>'AEO 2026 Table 4'!E9-B20</f>
        <v>0.17216155999999927</v>
      </c>
      <c r="C26" s="20">
        <f>'AEO 2026 Table 4'!F9-C20</f>
        <v>0.17418333999999902</v>
      </c>
      <c r="D26" s="20">
        <f>'AEO 2026 Table 4'!G9-D20</f>
        <v>0.17621395999999834</v>
      </c>
      <c r="E26" s="20">
        <f>'AEO 2026 Table 4'!H9-E20</f>
        <v>0.17819552000000272</v>
      </c>
      <c r="F26" s="20">
        <f>'AEO 2026 Table 4'!I9-F20</f>
        <v>0.18018597999999741</v>
      </c>
      <c r="G26" s="20">
        <f>'AEO 2026 Table 4'!J9-G20</f>
        <v>0.18226836000000191</v>
      </c>
      <c r="H26" s="20">
        <f>'AEO 2026 Table 4'!K9-H20</f>
        <v>0.18451819999999941</v>
      </c>
      <c r="I26" s="20">
        <f>'AEO 2026 Table 4'!L9-I20</f>
        <v>0.18677765999999707</v>
      </c>
      <c r="J26" s="20">
        <f>'AEO 2026 Table 4'!M9-J20</f>
        <v>0.18898527999999715</v>
      </c>
      <c r="K26" s="20">
        <f>'AEO 2026 Table 4'!N9-K20</f>
        <v>0.19111381999999821</v>
      </c>
      <c r="L26" s="20">
        <f>'AEO 2026 Table 4'!O9-L20</f>
        <v>0.19318377999999825</v>
      </c>
      <c r="M26" s="20">
        <f>'AEO 2026 Table 4'!P9-M20</f>
        <v>0.19519738000000331</v>
      </c>
      <c r="N26" s="20">
        <f>'AEO 2026 Table 4'!Q9-N20</f>
        <v>0.19698921999999897</v>
      </c>
      <c r="O26" s="20">
        <f>'AEO 2026 Table 4'!R9-O20</f>
        <v>0.19865260000000262</v>
      </c>
      <c r="P26" s="20">
        <f>'AEO 2026 Table 4'!S9-P20</f>
        <v>0.20020235999999869</v>
      </c>
      <c r="Q26" s="20">
        <f>'AEO 2026 Table 4'!T9-Q20</f>
        <v>0.20165910000000054</v>
      </c>
      <c r="R26" s="20">
        <f>'AEO 2026 Table 4'!U9-R20</f>
        <v>0.20300712000000232</v>
      </c>
      <c r="S26" s="20">
        <f>'AEO 2026 Table 4'!V9-S20</f>
        <v>0.20426979999999872</v>
      </c>
      <c r="T26" s="20">
        <f>'AEO 2026 Table 4'!W9-T20</f>
        <v>0.20549927999999795</v>
      </c>
      <c r="U26" s="20">
        <f>'AEO 2026 Table 4'!X9-U20</f>
        <v>0.20673828000000327</v>
      </c>
      <c r="V26" s="20">
        <f>'AEO 2026 Table 4'!Y9-V20</f>
        <v>0.20798503999999696</v>
      </c>
      <c r="W26" s="20">
        <f>'AEO 2026 Table 4'!Z9-W20</f>
        <v>0.20923437999999805</v>
      </c>
      <c r="X26" s="20">
        <f>'AEO 2026 Table 4'!AA9-X20</f>
        <v>0.21047547999999949</v>
      </c>
      <c r="Y26" s="20">
        <f>'AEO 2026 Table 4'!AB9-Y20</f>
        <v>0.21171368000000257</v>
      </c>
      <c r="Z26" s="20">
        <f>'AEO 2026 Table 4'!AC9-Z20</f>
        <v>0.21295116000000291</v>
      </c>
      <c r="AA26" s="20">
        <f>'AEO 2026 Table 4'!AD9-AA20</f>
        <v>0.214193139999999</v>
      </c>
      <c r="AB26" s="11"/>
      <c r="AC26" s="11"/>
    </row>
    <row r="27" spans="1:29" x14ac:dyDescent="0.25">
      <c r="A27" t="s">
        <v>133</v>
      </c>
      <c r="B27" s="20">
        <f>'AEO 2026 Table 4'!E10-B21</f>
        <v>0.22933322999999994</v>
      </c>
      <c r="C27" s="20">
        <f>'AEO 2026 Table 4'!F10-C21</f>
        <v>0.22982038199999977</v>
      </c>
      <c r="D27" s="20">
        <f>'AEO 2026 Table 4'!G10-D21</f>
        <v>0.23143769400000025</v>
      </c>
      <c r="E27" s="20">
        <f>'AEO 2026 Table 4'!H10-E21</f>
        <v>0.23317761000000026</v>
      </c>
      <c r="F27" s="20">
        <f>'AEO 2026 Table 4'!I10-F21</f>
        <v>0.2347261740000004</v>
      </c>
      <c r="G27" s="20">
        <f>'AEO 2026 Table 4'!J10-G21</f>
        <v>0.23504247600000028</v>
      </c>
      <c r="H27" s="20">
        <f>'AEO 2026 Table 4'!K10-H21</f>
        <v>0.2351130260000005</v>
      </c>
      <c r="I27" s="20">
        <f>'AEO 2026 Table 4'!L10-I21</f>
        <v>0.23522056799999991</v>
      </c>
      <c r="J27" s="20">
        <f>'AEO 2026 Table 4'!M10-J21</f>
        <v>0.2353169580000003</v>
      </c>
      <c r="K27" s="20">
        <f>'AEO 2026 Table 4'!N10-K21</f>
        <v>0.23539604200000053</v>
      </c>
      <c r="L27" s="20">
        <f>'AEO 2026 Table 4'!O10-L21</f>
        <v>0.23551786400000019</v>
      </c>
      <c r="M27" s="20">
        <f>'AEO 2026 Table 4'!P10-M21</f>
        <v>0.23566610399999988</v>
      </c>
      <c r="N27" s="20">
        <f>'AEO 2026 Table 4'!Q10-N21</f>
        <v>0.23572196599999984</v>
      </c>
      <c r="O27" s="20">
        <f>'AEO 2026 Table 4'!R10-O21</f>
        <v>0.23571333000000028</v>
      </c>
      <c r="P27" s="20">
        <f>'AEO 2026 Table 4'!S10-P21</f>
        <v>0.23553877400000012</v>
      </c>
      <c r="Q27" s="20">
        <f>'AEO 2026 Table 4'!T10-Q21</f>
        <v>0.2354217460000001</v>
      </c>
      <c r="R27" s="20">
        <f>'AEO 2026 Table 4'!U10-R21</f>
        <v>0.23537122200000038</v>
      </c>
      <c r="S27" s="20">
        <f>'AEO 2026 Table 4'!V10-S21</f>
        <v>0.23533970400000026</v>
      </c>
      <c r="T27" s="20">
        <f>'AEO 2026 Table 4'!W10-T21</f>
        <v>0.23535102600000002</v>
      </c>
      <c r="U27" s="20">
        <f>'AEO 2026 Table 4'!X10-U21</f>
        <v>0.23544581800000053</v>
      </c>
      <c r="V27" s="20">
        <f>'AEO 2026 Table 4'!Y10-V21</f>
        <v>0.23560592400000058</v>
      </c>
      <c r="W27" s="20">
        <f>'AEO 2026 Table 4'!Z10-W21</f>
        <v>0.23576973599999995</v>
      </c>
      <c r="X27" s="20">
        <f>'AEO 2026 Table 4'!AA10-X21</f>
        <v>0.23593722000000028</v>
      </c>
      <c r="Y27" s="20">
        <f>'AEO 2026 Table 4'!AB10-Y21</f>
        <v>0.23606261200000045</v>
      </c>
      <c r="Z27" s="20">
        <f>'AEO 2026 Table 4'!AC10-Z21</f>
        <v>0.23618178200000006</v>
      </c>
      <c r="AA27" s="20">
        <f>'AEO 2026 Table 4'!AD10-AA21</f>
        <v>0.23630989400000058</v>
      </c>
      <c r="AB27" s="11"/>
      <c r="AC27" s="11"/>
    </row>
    <row r="29" spans="1:29" x14ac:dyDescent="0.25">
      <c r="A29" s="1" t="s">
        <v>136</v>
      </c>
    </row>
    <row r="30" spans="1:29" x14ac:dyDescent="0.25">
      <c r="B30">
        <v>2025</v>
      </c>
      <c r="C30">
        <v>2026</v>
      </c>
      <c r="D30">
        <v>2027</v>
      </c>
      <c r="E30">
        <v>2028</v>
      </c>
      <c r="F30">
        <v>2029</v>
      </c>
      <c r="G30">
        <v>2030</v>
      </c>
      <c r="H30">
        <v>2031</v>
      </c>
      <c r="I30">
        <v>2032</v>
      </c>
      <c r="J30">
        <v>2033</v>
      </c>
      <c r="K30">
        <v>2034</v>
      </c>
      <c r="L30">
        <v>2035</v>
      </c>
      <c r="M30">
        <v>2036</v>
      </c>
      <c r="N30">
        <v>2037</v>
      </c>
      <c r="O30">
        <v>2038</v>
      </c>
      <c r="P30">
        <v>2039</v>
      </c>
      <c r="Q30">
        <v>2040</v>
      </c>
      <c r="R30">
        <v>2041</v>
      </c>
      <c r="S30">
        <v>2042</v>
      </c>
      <c r="T30">
        <v>2043</v>
      </c>
      <c r="U30">
        <v>2044</v>
      </c>
      <c r="V30">
        <v>2045</v>
      </c>
      <c r="W30">
        <v>2046</v>
      </c>
      <c r="X30">
        <v>2047</v>
      </c>
      <c r="Y30">
        <v>2048</v>
      </c>
      <c r="Z30">
        <v>2049</v>
      </c>
      <c r="AA30">
        <v>2050</v>
      </c>
    </row>
    <row r="31" spans="1:29" x14ac:dyDescent="0.25">
      <c r="A31" t="s">
        <v>131</v>
      </c>
      <c r="B31" s="6">
        <f t="shared" ref="B31:AA31" si="0">B25/B19</f>
        <v>3.0090270812437548E-3</v>
      </c>
      <c r="C31" s="6">
        <f t="shared" si="0"/>
        <v>3.0090270812437861E-3</v>
      </c>
      <c r="D31" s="6">
        <f t="shared" si="0"/>
        <v>3.0090270812437583E-3</v>
      </c>
      <c r="E31" s="6">
        <f t="shared" si="0"/>
        <v>3.0090270812437444E-3</v>
      </c>
      <c r="F31" s="6">
        <f t="shared" si="0"/>
        <v>3.0090270812437787E-3</v>
      </c>
      <c r="G31" s="6">
        <f t="shared" si="0"/>
        <v>3.0090270812437813E-3</v>
      </c>
      <c r="H31" s="6">
        <f t="shared" si="0"/>
        <v>3.0090270812437583E-3</v>
      </c>
      <c r="I31" s="6">
        <f t="shared" si="0"/>
        <v>3.0090270812437292E-3</v>
      </c>
      <c r="J31" s="6">
        <f t="shared" si="0"/>
        <v>3.0090270812437787E-3</v>
      </c>
      <c r="K31" s="6">
        <f t="shared" si="0"/>
        <v>3.0090270812437349E-3</v>
      </c>
      <c r="L31" s="6">
        <f t="shared" si="0"/>
        <v>3.0090270812437089E-3</v>
      </c>
      <c r="M31" s="6">
        <f t="shared" si="0"/>
        <v>3.0090270812436711E-3</v>
      </c>
      <c r="N31" s="6">
        <f t="shared" si="0"/>
        <v>3.0090270812437704E-3</v>
      </c>
      <c r="O31" s="6">
        <f t="shared" si="0"/>
        <v>3.0090270812437054E-3</v>
      </c>
      <c r="P31" s="6">
        <f t="shared" si="0"/>
        <v>3.0090270812437162E-3</v>
      </c>
      <c r="Q31" s="6">
        <f t="shared" si="0"/>
        <v>3.0090270812437145E-3</v>
      </c>
      <c r="R31" s="6">
        <f t="shared" si="0"/>
        <v>3.0090270812437449E-3</v>
      </c>
      <c r="S31" s="6">
        <f t="shared" si="0"/>
        <v>3.0090270812437388E-3</v>
      </c>
      <c r="T31" s="6">
        <f t="shared" si="0"/>
        <v>3.0090270812436824E-3</v>
      </c>
      <c r="U31" s="6">
        <f t="shared" si="0"/>
        <v>3.0090270812437752E-3</v>
      </c>
      <c r="V31" s="6">
        <f t="shared" si="0"/>
        <v>3.0090270812436902E-3</v>
      </c>
      <c r="W31" s="6">
        <f t="shared" si="0"/>
        <v>3.0090270812437427E-3</v>
      </c>
      <c r="X31" s="6">
        <f t="shared" si="0"/>
        <v>3.0090270812436729E-3</v>
      </c>
      <c r="Y31" s="6">
        <f t="shared" si="0"/>
        <v>3.0090270812437787E-3</v>
      </c>
      <c r="Z31" s="6">
        <f t="shared" si="0"/>
        <v>3.0090270812437921E-3</v>
      </c>
      <c r="AA31" s="6">
        <f t="shared" si="0"/>
        <v>3.0090270812437687E-3</v>
      </c>
      <c r="AB31" s="6"/>
      <c r="AC31" s="6"/>
    </row>
    <row r="32" spans="1:29" x14ac:dyDescent="0.25">
      <c r="A32" t="s">
        <v>132</v>
      </c>
      <c r="B32" s="6">
        <f t="shared" ref="B32:AA32" si="1">B26/B20</f>
        <v>5.0251256281406819E-3</v>
      </c>
      <c r="C32" s="6">
        <f t="shared" si="1"/>
        <v>5.025125628140675E-3</v>
      </c>
      <c r="D32" s="6">
        <f t="shared" si="1"/>
        <v>5.0251256281406559E-3</v>
      </c>
      <c r="E32" s="6">
        <f t="shared" si="1"/>
        <v>5.0251256281407799E-3</v>
      </c>
      <c r="F32" s="6">
        <f t="shared" si="1"/>
        <v>5.0251256281406307E-3</v>
      </c>
      <c r="G32" s="6">
        <f t="shared" si="1"/>
        <v>5.0251256281407565E-3</v>
      </c>
      <c r="H32" s="6">
        <f t="shared" si="1"/>
        <v>5.0251256281406871E-3</v>
      </c>
      <c r="I32" s="6">
        <f t="shared" si="1"/>
        <v>5.0251256281406247E-3</v>
      </c>
      <c r="J32" s="6">
        <f t="shared" si="1"/>
        <v>5.0251256281406273E-3</v>
      </c>
      <c r="K32" s="6">
        <f t="shared" si="1"/>
        <v>5.0251256281406568E-3</v>
      </c>
      <c r="L32" s="6">
        <f t="shared" si="1"/>
        <v>5.0251256281406576E-3</v>
      </c>
      <c r="M32" s="6">
        <f t="shared" si="1"/>
        <v>5.0251256281407886E-3</v>
      </c>
      <c r="N32" s="6">
        <f t="shared" si="1"/>
        <v>5.0251256281406767E-3</v>
      </c>
      <c r="O32" s="6">
        <f t="shared" si="1"/>
        <v>5.0251256281407704E-3</v>
      </c>
      <c r="P32" s="6">
        <f t="shared" si="1"/>
        <v>5.0251256281406706E-3</v>
      </c>
      <c r="Q32" s="6">
        <f t="shared" si="1"/>
        <v>5.0251256281407166E-3</v>
      </c>
      <c r="R32" s="6">
        <f t="shared" si="1"/>
        <v>5.0251256281407608E-3</v>
      </c>
      <c r="S32" s="6">
        <f t="shared" si="1"/>
        <v>5.0251256281406715E-3</v>
      </c>
      <c r="T32" s="6">
        <f t="shared" si="1"/>
        <v>5.0251256281406533E-3</v>
      </c>
      <c r="U32" s="6">
        <f t="shared" si="1"/>
        <v>5.0251256281407834E-3</v>
      </c>
      <c r="V32" s="6">
        <f t="shared" si="1"/>
        <v>5.025125628140629E-3</v>
      </c>
      <c r="W32" s="6">
        <f t="shared" si="1"/>
        <v>5.0251256281406568E-3</v>
      </c>
      <c r="X32" s="6">
        <f t="shared" si="1"/>
        <v>5.0251256281406914E-3</v>
      </c>
      <c r="Y32" s="6">
        <f t="shared" si="1"/>
        <v>5.0251256281407643E-3</v>
      </c>
      <c r="Z32" s="6">
        <f t="shared" si="1"/>
        <v>5.025125628140773E-3</v>
      </c>
      <c r="AA32" s="6">
        <f t="shared" si="1"/>
        <v>5.0251256281406802E-3</v>
      </c>
      <c r="AB32" s="6"/>
      <c r="AC32" s="6"/>
    </row>
    <row r="33" spans="1:29" x14ac:dyDescent="0.25">
      <c r="A33" t="s">
        <v>133</v>
      </c>
      <c r="B33" s="6">
        <f t="shared" ref="B33:AA33" si="2">B27/B21</f>
        <v>3.5196687370600402E-2</v>
      </c>
      <c r="C33" s="6">
        <f t="shared" si="2"/>
        <v>3.5196687370600374E-2</v>
      </c>
      <c r="D33" s="6">
        <f t="shared" si="2"/>
        <v>3.519668737060045E-2</v>
      </c>
      <c r="E33" s="6">
        <f t="shared" si="2"/>
        <v>3.5196687370600457E-2</v>
      </c>
      <c r="F33" s="6">
        <f t="shared" si="2"/>
        <v>3.5196687370600471E-2</v>
      </c>
      <c r="G33" s="6">
        <f t="shared" si="2"/>
        <v>3.5196687370600457E-2</v>
      </c>
      <c r="H33" s="6">
        <f t="shared" si="2"/>
        <v>3.5196687370600492E-2</v>
      </c>
      <c r="I33" s="6">
        <f t="shared" si="2"/>
        <v>3.5196687370600402E-2</v>
      </c>
      <c r="J33" s="6">
        <f t="shared" si="2"/>
        <v>3.5196687370600457E-2</v>
      </c>
      <c r="K33" s="6">
        <f t="shared" si="2"/>
        <v>3.5196687370600492E-2</v>
      </c>
      <c r="L33" s="6">
        <f t="shared" si="2"/>
        <v>3.5196687370600444E-2</v>
      </c>
      <c r="M33" s="6">
        <f t="shared" si="2"/>
        <v>3.5196687370600395E-2</v>
      </c>
      <c r="N33" s="6">
        <f t="shared" si="2"/>
        <v>3.5196687370600388E-2</v>
      </c>
      <c r="O33" s="6">
        <f t="shared" si="2"/>
        <v>3.5196687370600457E-2</v>
      </c>
      <c r="P33" s="6">
        <f t="shared" si="2"/>
        <v>3.5196687370600437E-2</v>
      </c>
      <c r="Q33" s="6">
        <f t="shared" si="2"/>
        <v>3.519668737060043E-2</v>
      </c>
      <c r="R33" s="6">
        <f t="shared" si="2"/>
        <v>3.5196687370600471E-2</v>
      </c>
      <c r="S33" s="6">
        <f t="shared" si="2"/>
        <v>3.519668737060045E-2</v>
      </c>
      <c r="T33" s="6">
        <f t="shared" si="2"/>
        <v>3.5196687370600416E-2</v>
      </c>
      <c r="U33" s="6">
        <f t="shared" si="2"/>
        <v>3.5196687370600492E-2</v>
      </c>
      <c r="V33" s="6">
        <f t="shared" si="2"/>
        <v>3.5196687370600506E-2</v>
      </c>
      <c r="W33" s="6">
        <f t="shared" si="2"/>
        <v>3.5196687370600409E-2</v>
      </c>
      <c r="X33" s="6">
        <f t="shared" si="2"/>
        <v>3.5196687370600457E-2</v>
      </c>
      <c r="Y33" s="6">
        <f t="shared" si="2"/>
        <v>3.5196687370600478E-2</v>
      </c>
      <c r="Z33" s="6">
        <f t="shared" si="2"/>
        <v>3.5196687370600423E-2</v>
      </c>
      <c r="AA33" s="6">
        <f t="shared" si="2"/>
        <v>3.5196687370600506E-2</v>
      </c>
      <c r="AB33" s="6"/>
      <c r="AC33" s="6"/>
    </row>
    <row r="34" spans="1:29" x14ac:dyDescent="0.25">
      <c r="C34" s="7"/>
    </row>
    <row r="35" spans="1:29" x14ac:dyDescent="0.25">
      <c r="A35" s="1" t="s">
        <v>137</v>
      </c>
    </row>
    <row r="36" spans="1:29" x14ac:dyDescent="0.25">
      <c r="A36" t="s">
        <v>131</v>
      </c>
      <c r="B36" s="8">
        <f>AVERAGE(B31:AA31)</f>
        <v>3.0090270812437414E-3</v>
      </c>
    </row>
    <row r="37" spans="1:29" x14ac:dyDescent="0.25">
      <c r="A37" t="s">
        <v>132</v>
      </c>
      <c r="B37" s="8">
        <f t="shared" ref="B37:B38" si="3">AVERAGE(B32:AA32)</f>
        <v>5.0251256281406967E-3</v>
      </c>
    </row>
    <row r="38" spans="1:29" x14ac:dyDescent="0.25">
      <c r="A38" t="s">
        <v>133</v>
      </c>
      <c r="B38" s="8">
        <f t="shared" si="3"/>
        <v>3.519668737060045E-2</v>
      </c>
    </row>
    <row r="40" spans="1:29" x14ac:dyDescent="0.25">
      <c r="A40" s="1" t="s">
        <v>138</v>
      </c>
    </row>
    <row r="41" spans="1:29" x14ac:dyDescent="0.25">
      <c r="A41" t="s">
        <v>139</v>
      </c>
      <c r="B41" s="21">
        <f>SUMPRODUCT(B36:B38,'AEO 2026 Table 4'!E8:E10)/SUM('AEO 2026 Table 4'!E8:E10)</f>
        <v>5.2007924082897363E-3</v>
      </c>
    </row>
    <row r="44" spans="1:29" x14ac:dyDescent="0.25">
      <c r="A44" s="12" t="s">
        <v>140</v>
      </c>
      <c r="B44" s="13"/>
      <c r="C44" s="13"/>
    </row>
    <row r="46" spans="1:29" x14ac:dyDescent="0.25">
      <c r="A46" t="s">
        <v>141</v>
      </c>
    </row>
    <row r="47" spans="1:29" x14ac:dyDescent="0.25">
      <c r="A47" t="s">
        <v>142</v>
      </c>
    </row>
    <row r="48" spans="1:29" x14ac:dyDescent="0.25">
      <c r="A48" t="s">
        <v>143</v>
      </c>
    </row>
    <row r="50" spans="1:3" x14ac:dyDescent="0.25">
      <c r="A50" s="1" t="s">
        <v>144</v>
      </c>
    </row>
    <row r="51" spans="1:3" x14ac:dyDescent="0.25">
      <c r="A51" t="s">
        <v>145</v>
      </c>
      <c r="B51" s="6">
        <f>1-B5</f>
        <v>0.97548420150616943</v>
      </c>
    </row>
    <row r="52" spans="1:3" x14ac:dyDescent="0.25">
      <c r="A52" t="s">
        <v>146</v>
      </c>
      <c r="B52" s="8">
        <f>1-B41</f>
        <v>0.99479920759171026</v>
      </c>
    </row>
    <row r="54" spans="1:3" x14ac:dyDescent="0.25">
      <c r="A54" s="1" t="s">
        <v>24</v>
      </c>
    </row>
    <row r="55" spans="1:3" x14ac:dyDescent="0.25">
      <c r="A55" t="s">
        <v>4</v>
      </c>
      <c r="B55" s="4">
        <f>1/'Component Lifetimes'!B2</f>
        <v>5.2631578947368418E-2</v>
      </c>
    </row>
    <row r="56" spans="1:3" x14ac:dyDescent="0.25">
      <c r="A56" t="s">
        <v>5</v>
      </c>
      <c r="B56" s="4">
        <f>1/'Component Lifetimes'!B3</f>
        <v>6.3157894736842121E-2</v>
      </c>
    </row>
    <row r="57" spans="1:3" x14ac:dyDescent="0.25">
      <c r="A57" t="s">
        <v>7</v>
      </c>
      <c r="B57" s="4">
        <f>1/'Component Lifetimes'!B5</f>
        <v>0.1095</v>
      </c>
    </row>
    <row r="58" spans="1:3" x14ac:dyDescent="0.25">
      <c r="A58" t="s">
        <v>8</v>
      </c>
      <c r="B58" s="4">
        <f>1/'Component Lifetimes'!B6</f>
        <v>7.3891625615763568E-2</v>
      </c>
    </row>
    <row r="59" spans="1:3" x14ac:dyDescent="0.25">
      <c r="A59" t="s">
        <v>9</v>
      </c>
      <c r="B59" s="4">
        <f>1/'Component Lifetimes'!B7</f>
        <v>6.4935064935064929E-2</v>
      </c>
    </row>
    <row r="61" spans="1:3" x14ac:dyDescent="0.25">
      <c r="A61" s="1" t="s">
        <v>147</v>
      </c>
    </row>
    <row r="62" spans="1:3" x14ac:dyDescent="0.25">
      <c r="B62" t="s">
        <v>145</v>
      </c>
      <c r="C62" t="s">
        <v>146</v>
      </c>
    </row>
    <row r="63" spans="1:3" x14ac:dyDescent="0.25">
      <c r="A63" t="s">
        <v>4</v>
      </c>
      <c r="B63" s="10">
        <f>($B55*$B$51)+B$5</f>
        <v>7.5857072257313141E-2</v>
      </c>
      <c r="C63" s="10">
        <f>($B55*$B$52)+B$41</f>
        <v>5.7558645439432378E-2</v>
      </c>
    </row>
    <row r="64" spans="1:3" x14ac:dyDescent="0.25">
      <c r="A64" t="s">
        <v>5</v>
      </c>
      <c r="B64" s="10">
        <f>($B56*$B$51)+B$5</f>
        <v>8.6125327010009689E-2</v>
      </c>
      <c r="C64" s="10">
        <f>($B56*$B$52)+B$41</f>
        <v>6.8030216045660924E-2</v>
      </c>
    </row>
    <row r="65" spans="1:3" x14ac:dyDescent="0.25">
      <c r="A65" t="s">
        <v>7</v>
      </c>
      <c r="B65" s="10">
        <f>($B57*$B$51)+B$5</f>
        <v>0.1313313185587561</v>
      </c>
      <c r="C65" s="10">
        <f>($B57*$B$52)+B$41</f>
        <v>0.114131305639582</v>
      </c>
    </row>
    <row r="66" spans="1:3" x14ac:dyDescent="0.25">
      <c r="A66" t="s">
        <v>8</v>
      </c>
      <c r="B66" s="10">
        <f>($B58*$B$51)+B$5</f>
        <v>9.6595911905616477E-2</v>
      </c>
      <c r="C66" s="10">
        <f>($B58*$B$52)+B$41</f>
        <v>7.8708123018514653E-2</v>
      </c>
    </row>
    <row r="67" spans="1:3" x14ac:dyDescent="0.25">
      <c r="A67" t="s">
        <v>9</v>
      </c>
      <c r="B67" s="10">
        <f>($B59*$B$51)+B$5</f>
        <v>8.785892846176363E-2</v>
      </c>
      <c r="C67" s="10">
        <f>($B59*$B$52)+B$41</f>
        <v>6.979814355060858E-2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"/>
  <sheetViews>
    <sheetView workbookViewId="0">
      <selection activeCell="B2" sqref="B2"/>
    </sheetView>
  </sheetViews>
  <sheetFormatPr defaultRowHeight="15" x14ac:dyDescent="0.25"/>
  <cols>
    <col min="1" max="1" width="23.7109375" customWidth="1"/>
    <col min="2" max="2" width="17.5703125" customWidth="1"/>
    <col min="3" max="3" width="18.28515625" customWidth="1"/>
    <col min="4" max="4" width="14.85546875" customWidth="1"/>
  </cols>
  <sheetData>
    <row r="1" spans="1:4" x14ac:dyDescent="0.25">
      <c r="B1" s="9" t="s">
        <v>1</v>
      </c>
      <c r="C1" s="9" t="s">
        <v>2</v>
      </c>
      <c r="D1" s="9" t="s">
        <v>3</v>
      </c>
    </row>
    <row r="2" spans="1:4" x14ac:dyDescent="0.25">
      <c r="A2" t="s">
        <v>4</v>
      </c>
      <c r="B2" s="4">
        <f>Calculations!C63</f>
        <v>5.7558645439432378E-2</v>
      </c>
      <c r="C2" s="4">
        <f>B2</f>
        <v>5.7558645439432378E-2</v>
      </c>
      <c r="D2" s="4">
        <f>Calculations!B63</f>
        <v>7.5857072257313141E-2</v>
      </c>
    </row>
    <row r="3" spans="1:4" x14ac:dyDescent="0.25">
      <c r="A3" t="s">
        <v>5</v>
      </c>
      <c r="B3" s="4">
        <f>Calculations!C64</f>
        <v>6.8030216045660924E-2</v>
      </c>
      <c r="C3" s="4">
        <f>B3</f>
        <v>6.8030216045660924E-2</v>
      </c>
      <c r="D3" s="4">
        <f>Calculations!B64</f>
        <v>8.6125327010009689E-2</v>
      </c>
    </row>
    <row r="4" spans="1:4" x14ac:dyDescent="0.25">
      <c r="A4" t="s">
        <v>6</v>
      </c>
      <c r="B4" s="5">
        <v>0</v>
      </c>
      <c r="C4" s="5">
        <v>0</v>
      </c>
      <c r="D4" s="5">
        <v>0</v>
      </c>
    </row>
    <row r="5" spans="1:4" x14ac:dyDescent="0.25">
      <c r="A5" t="s">
        <v>7</v>
      </c>
      <c r="B5" s="4">
        <f>Calculations!C65</f>
        <v>0.114131305639582</v>
      </c>
      <c r="C5" s="4">
        <f>B5</f>
        <v>0.114131305639582</v>
      </c>
      <c r="D5" s="4">
        <f>Calculations!B65</f>
        <v>0.1313313185587561</v>
      </c>
    </row>
    <row r="6" spans="1:4" x14ac:dyDescent="0.25">
      <c r="A6" t="s">
        <v>8</v>
      </c>
      <c r="B6" s="4">
        <f>Calculations!C66</f>
        <v>7.8708123018514653E-2</v>
      </c>
      <c r="C6" s="4">
        <f>B6</f>
        <v>7.8708123018514653E-2</v>
      </c>
      <c r="D6" s="4">
        <f>Calculations!B66</f>
        <v>9.6595911905616477E-2</v>
      </c>
    </row>
    <row r="7" spans="1:4" x14ac:dyDescent="0.25">
      <c r="A7" t="s">
        <v>9</v>
      </c>
      <c r="B7" s="4">
        <f>Calculations!C67</f>
        <v>6.979814355060858E-2</v>
      </c>
      <c r="C7" s="4">
        <f>B7</f>
        <v>6.979814355060858E-2</v>
      </c>
      <c r="D7" s="4">
        <f>Calculations!B67</f>
        <v>8.785892846176363E-2</v>
      </c>
    </row>
    <row r="8" spans="1:4" x14ac:dyDescent="0.25">
      <c r="D8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278CF-7070-4FB8-87D9-CDF5612FB572}">
  <dimension ref="A1:C30"/>
  <sheetViews>
    <sheetView tabSelected="1" workbookViewId="0"/>
  </sheetViews>
  <sheetFormatPr defaultRowHeight="15" x14ac:dyDescent="0.25"/>
  <cols>
    <col min="1" max="1" width="48.7109375" customWidth="1"/>
    <col min="2" max="2" width="12.7109375" customWidth="1"/>
    <col min="3" max="3" width="90.7109375" customWidth="1"/>
  </cols>
  <sheetData>
    <row r="1" spans="1:3" x14ac:dyDescent="0.25">
      <c r="A1" s="1" t="s">
        <v>587</v>
      </c>
    </row>
    <row r="2" spans="1:3" ht="45" customHeight="1" x14ac:dyDescent="0.25">
      <c r="A2" s="23" t="s">
        <v>588</v>
      </c>
      <c r="B2" s="23"/>
      <c r="C2" s="23"/>
    </row>
    <row r="4" spans="1:3" x14ac:dyDescent="0.25">
      <c r="A4" s="1" t="s">
        <v>589</v>
      </c>
      <c r="B4" s="1" t="s">
        <v>590</v>
      </c>
      <c r="C4" s="1" t="s">
        <v>591</v>
      </c>
    </row>
    <row r="5" spans="1:3" ht="30" x14ac:dyDescent="0.25">
      <c r="A5" t="s">
        <v>592</v>
      </c>
      <c r="B5">
        <v>5</v>
      </c>
      <c r="C5" s="22" t="s">
        <v>593</v>
      </c>
    </row>
    <row r="6" spans="1:3" x14ac:dyDescent="0.25">
      <c r="C6" s="22"/>
    </row>
    <row r="7" spans="1:3" x14ac:dyDescent="0.25">
      <c r="C7" s="22"/>
    </row>
    <row r="8" spans="1:3" x14ac:dyDescent="0.25">
      <c r="C8" s="22"/>
    </row>
    <row r="9" spans="1:3" x14ac:dyDescent="0.25">
      <c r="C9" s="22"/>
    </row>
    <row r="10" spans="1:3" x14ac:dyDescent="0.25">
      <c r="C10" s="22"/>
    </row>
    <row r="11" spans="1:3" x14ac:dyDescent="0.25">
      <c r="C11" s="22"/>
    </row>
    <row r="12" spans="1:3" x14ac:dyDescent="0.25">
      <c r="C12" s="22"/>
    </row>
    <row r="13" spans="1:3" x14ac:dyDescent="0.25">
      <c r="C13" s="22"/>
    </row>
    <row r="14" spans="1:3" x14ac:dyDescent="0.25">
      <c r="C14" s="22"/>
    </row>
    <row r="15" spans="1:3" x14ac:dyDescent="0.25">
      <c r="C15" s="22"/>
    </row>
    <row r="16" spans="1:3" x14ac:dyDescent="0.25">
      <c r="C16" s="22"/>
    </row>
    <row r="17" spans="3:3" x14ac:dyDescent="0.25">
      <c r="C17" s="22"/>
    </row>
    <row r="18" spans="3:3" x14ac:dyDescent="0.25">
      <c r="C18" s="22"/>
    </row>
    <row r="19" spans="3:3" x14ac:dyDescent="0.25">
      <c r="C19" s="22"/>
    </row>
    <row r="20" spans="3:3" x14ac:dyDescent="0.25">
      <c r="C20" s="22"/>
    </row>
    <row r="21" spans="3:3" x14ac:dyDescent="0.25">
      <c r="C21" s="22"/>
    </row>
    <row r="22" spans="3:3" x14ac:dyDescent="0.25">
      <c r="C22" s="22"/>
    </row>
    <row r="23" spans="3:3" x14ac:dyDescent="0.25">
      <c r="C23" s="22"/>
    </row>
    <row r="24" spans="3:3" x14ac:dyDescent="0.25">
      <c r="C24" s="22"/>
    </row>
    <row r="25" spans="3:3" x14ac:dyDescent="0.25">
      <c r="C25" s="22"/>
    </row>
    <row r="26" spans="3:3" x14ac:dyDescent="0.25">
      <c r="C26" s="22"/>
    </row>
    <row r="27" spans="3:3" x14ac:dyDescent="0.25">
      <c r="C27" s="22"/>
    </row>
    <row r="28" spans="3:3" x14ac:dyDescent="0.25">
      <c r="C28" s="22"/>
    </row>
    <row r="29" spans="3:3" x14ac:dyDescent="0.25">
      <c r="C29" s="22"/>
    </row>
    <row r="30" spans="3:3" x14ac:dyDescent="0.25">
      <c r="C30" s="22"/>
    </row>
  </sheetData>
  <mergeCells count="1">
    <mergeCell ref="A2:C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E8"/>
  <sheetViews>
    <sheetView workbookViewId="0">
      <selection activeCell="B2" sqref="B2"/>
    </sheetView>
  </sheetViews>
  <sheetFormatPr defaultRowHeight="15" x14ac:dyDescent="0.25"/>
  <cols>
    <col min="1" max="1" width="23.7109375" customWidth="1"/>
    <col min="2" max="2" width="17.5703125" customWidth="1"/>
    <col min="3" max="3" width="18.28515625" customWidth="1"/>
    <col min="4" max="4" width="14.85546875" customWidth="1"/>
  </cols>
  <sheetData>
    <row r="1" spans="1:5" ht="44.25" customHeight="1" x14ac:dyDescent="0.25">
      <c r="A1" s="17" t="s">
        <v>0</v>
      </c>
      <c r="B1" s="9" t="s">
        <v>1</v>
      </c>
      <c r="C1" s="9" t="s">
        <v>2</v>
      </c>
      <c r="D1" s="9" t="s">
        <v>3</v>
      </c>
      <c r="E1" t="s">
        <v>594</v>
      </c>
    </row>
    <row r="2" spans="1:5" x14ac:dyDescent="0.25">
      <c r="A2" t="s">
        <v>4</v>
      </c>
      <c r="B2" s="16">
        <f>1/'Component Lifetimes'!B2</f>
        <v>5.2631578947368418E-2</v>
      </c>
      <c r="C2" s="4">
        <v>5.2999999999999999E-2</v>
      </c>
      <c r="D2" s="16">
        <f>1/'Component Lifetimes'!B2</f>
        <v>5.2631578947368418E-2</v>
      </c>
      <c r="E2" s="4">
        <f>$D2</f>
        <v>5.2631578947368418E-2</v>
      </c>
    </row>
    <row r="3" spans="1:5" x14ac:dyDescent="0.25">
      <c r="A3" t="s">
        <v>5</v>
      </c>
      <c r="B3" s="16">
        <f>1/'Component Lifetimes'!B3</f>
        <v>6.3157894736842121E-2</v>
      </c>
      <c r="C3" s="4">
        <f>B3</f>
        <v>6.3157894736842121E-2</v>
      </c>
      <c r="D3" s="16">
        <f>1/'Component Lifetimes'!B3</f>
        <v>6.3157894736842121E-2</v>
      </c>
      <c r="E3" s="4">
        <f>$D3</f>
        <v>6.3157894736842121E-2</v>
      </c>
    </row>
    <row r="4" spans="1:5" x14ac:dyDescent="0.25">
      <c r="A4" t="s">
        <v>6</v>
      </c>
      <c r="B4" s="5">
        <v>0</v>
      </c>
      <c r="C4" s="5">
        <v>0</v>
      </c>
      <c r="D4" s="5">
        <v>0</v>
      </c>
      <c r="E4">
        <f>$D4</f>
        <v>0</v>
      </c>
    </row>
    <row r="5" spans="1:5" x14ac:dyDescent="0.25">
      <c r="A5" t="s">
        <v>7</v>
      </c>
      <c r="B5" s="16">
        <f>1/'Component Lifetimes'!B5</f>
        <v>0.1095</v>
      </c>
      <c r="C5" s="4">
        <f>B5</f>
        <v>0.1095</v>
      </c>
      <c r="D5" s="16">
        <f>1/'Component Lifetimes'!B5</f>
        <v>0.1095</v>
      </c>
      <c r="E5" s="4">
        <f>$D5</f>
        <v>0.1095</v>
      </c>
    </row>
    <row r="6" spans="1:5" x14ac:dyDescent="0.25">
      <c r="A6" t="s">
        <v>8</v>
      </c>
      <c r="B6" s="16">
        <v>7.0999999999999994E-2</v>
      </c>
      <c r="C6" s="4">
        <f>B6</f>
        <v>7.0999999999999994E-2</v>
      </c>
      <c r="D6" s="16">
        <f>B6</f>
        <v>7.0999999999999994E-2</v>
      </c>
      <c r="E6" s="4">
        <f>$D6</f>
        <v>7.0999999999999994E-2</v>
      </c>
    </row>
    <row r="7" spans="1:5" x14ac:dyDescent="0.25">
      <c r="A7" t="s">
        <v>9</v>
      </c>
      <c r="B7" s="16">
        <v>6.6000000000000003E-2</v>
      </c>
      <c r="C7" s="4">
        <f>B7</f>
        <v>6.6000000000000003E-2</v>
      </c>
      <c r="D7" s="16">
        <v>6.6000000000000003E-2</v>
      </c>
      <c r="E7">
        <f>1/'Data Centers'!$B$5</f>
        <v>0.2</v>
      </c>
    </row>
    <row r="8" spans="1:5" x14ac:dyDescent="0.25">
      <c r="D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source data&gt;</vt:lpstr>
      <vt:lpstr>Component Lifetimes</vt:lpstr>
      <vt:lpstr>AEO 2026 Table 4</vt:lpstr>
      <vt:lpstr>AEO 2026 Table 5</vt:lpstr>
      <vt:lpstr>calcs&gt;</vt:lpstr>
      <vt:lpstr>Calculations</vt:lpstr>
      <vt:lpstr>Pre-Calibration Calculated Vals</vt:lpstr>
      <vt:lpstr>Data Centers</vt:lpstr>
      <vt:lpstr>SoCEUtiNTY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2018-01-10T20:44:14Z</dcterms:created>
  <dcterms:modified xsi:type="dcterms:W3CDTF">2026-10-23T18:37:21Z</dcterms:modified>
</cp:coreProperties>
</file>