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bldgs\SoCEUtiNTY\"/>
    </mc:Choice>
  </mc:AlternateContent>
  <xr:revisionPtr revIDLastSave="0" documentId="13_ncr:1_{4A18EF59-C0D0-4BF3-BA85-06ED1FC5A550}" xr6:coauthVersionLast="47" xr6:coauthVersionMax="47" xr10:uidLastSave="{00000000-0000-0000-0000-000000000000}"/>
  <bookViews>
    <workbookView xWindow="-98" yWindow="-98" windowWidth="21795" windowHeight="12975" tabRatio="908" firstSheet="5" activeTab="8" xr2:uid="{00000000-000D-0000-FFFF-FFFF00000000}"/>
  </bookViews>
  <sheets>
    <sheet name="About" sheetId="1" r:id="rId1"/>
    <sheet name="source data&gt;" sheetId="2" r:id="rId2"/>
    <sheet name="Component Lifetimes" sheetId="3" r:id="rId3"/>
    <sheet name="AEO23 Table 4" sheetId="4" r:id="rId4"/>
    <sheet name="AEO23 Table 5" sheetId="5" r:id="rId5"/>
    <sheet name="AEO 2025 Table 4" sheetId="6" r:id="rId6"/>
    <sheet name="AEO 2025 Table 5" sheetId="7" r:id="rId7"/>
    <sheet name="AEO 2026 Table 4" sheetId="12" r:id="rId8"/>
    <sheet name="AEO 2026 Table 5" sheetId="13" r:id="rId9"/>
    <sheet name="calcs&gt;" sheetId="8" r:id="rId10"/>
    <sheet name="Calculations" sheetId="9" r:id="rId11"/>
    <sheet name="Pre-Calibration Calculated Vals" sheetId="10" r:id="rId12"/>
    <sheet name="SoCEUtiNTY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9" l="1"/>
  <c r="B51" i="9"/>
  <c r="B64" i="9"/>
  <c r="B63" i="9"/>
  <c r="B5" i="9"/>
  <c r="B59" i="9"/>
  <c r="B58" i="9"/>
  <c r="B57" i="9"/>
  <c r="B56" i="9"/>
  <c r="B55" i="9"/>
  <c r="AD21" i="9"/>
  <c r="AD27" i="9" s="1"/>
  <c r="AD33" i="9" s="1"/>
  <c r="AC21" i="9"/>
  <c r="AC27" i="9" s="1"/>
  <c r="AC33" i="9" s="1"/>
  <c r="AB21" i="9"/>
  <c r="AB27" i="9" s="1"/>
  <c r="AB33" i="9" s="1"/>
  <c r="AA21" i="9"/>
  <c r="AA27" i="9" s="1"/>
  <c r="AA33" i="9" s="1"/>
  <c r="Z21" i="9"/>
  <c r="Z27" i="9" s="1"/>
  <c r="Z33" i="9" s="1"/>
  <c r="Y21" i="9"/>
  <c r="Y27" i="9" s="1"/>
  <c r="Y33" i="9" s="1"/>
  <c r="X21" i="9"/>
  <c r="X27" i="9" s="1"/>
  <c r="X33" i="9" s="1"/>
  <c r="W21" i="9"/>
  <c r="W27" i="9" s="1"/>
  <c r="W33" i="9" s="1"/>
  <c r="V21" i="9"/>
  <c r="V27" i="9" s="1"/>
  <c r="V33" i="9" s="1"/>
  <c r="U21" i="9"/>
  <c r="U27" i="9" s="1"/>
  <c r="U33" i="9" s="1"/>
  <c r="T21" i="9"/>
  <c r="T27" i="9" s="1"/>
  <c r="T33" i="9" s="1"/>
  <c r="S21" i="9"/>
  <c r="S27" i="9" s="1"/>
  <c r="S33" i="9" s="1"/>
  <c r="R21" i="9"/>
  <c r="R27" i="9" s="1"/>
  <c r="R33" i="9" s="1"/>
  <c r="Q21" i="9"/>
  <c r="Q27" i="9" s="1"/>
  <c r="Q33" i="9" s="1"/>
  <c r="P21" i="9"/>
  <c r="P27" i="9" s="1"/>
  <c r="P33" i="9" s="1"/>
  <c r="O21" i="9"/>
  <c r="O27" i="9" s="1"/>
  <c r="O33" i="9" s="1"/>
  <c r="N21" i="9"/>
  <c r="N27" i="9" s="1"/>
  <c r="N33" i="9" s="1"/>
  <c r="M21" i="9"/>
  <c r="M27" i="9" s="1"/>
  <c r="M33" i="9" s="1"/>
  <c r="L21" i="9"/>
  <c r="L27" i="9" s="1"/>
  <c r="L33" i="9" s="1"/>
  <c r="K21" i="9"/>
  <c r="K27" i="9" s="1"/>
  <c r="K33" i="9" s="1"/>
  <c r="J21" i="9"/>
  <c r="J27" i="9" s="1"/>
  <c r="J33" i="9" s="1"/>
  <c r="I21" i="9"/>
  <c r="I27" i="9" s="1"/>
  <c r="I33" i="9" s="1"/>
  <c r="H21" i="9"/>
  <c r="H27" i="9" s="1"/>
  <c r="H33" i="9" s="1"/>
  <c r="G21" i="9"/>
  <c r="G27" i="9" s="1"/>
  <c r="G33" i="9" s="1"/>
  <c r="F21" i="9"/>
  <c r="F27" i="9" s="1"/>
  <c r="F33" i="9" s="1"/>
  <c r="E21" i="9"/>
  <c r="E27" i="9" s="1"/>
  <c r="E33" i="9" s="1"/>
  <c r="D21" i="9"/>
  <c r="D27" i="9" s="1"/>
  <c r="D33" i="9" s="1"/>
  <c r="C21" i="9"/>
  <c r="C27" i="9" s="1"/>
  <c r="C33" i="9" s="1"/>
  <c r="B21" i="9"/>
  <c r="B27" i="9" s="1"/>
  <c r="B33" i="9" s="1"/>
  <c r="B38" i="9" s="1"/>
  <c r="AD20" i="9"/>
  <c r="AD26" i="9" s="1"/>
  <c r="AD32" i="9" s="1"/>
  <c r="AC20" i="9"/>
  <c r="AC26" i="9" s="1"/>
  <c r="AC32" i="9" s="1"/>
  <c r="AB20" i="9"/>
  <c r="AB26" i="9" s="1"/>
  <c r="AB32" i="9" s="1"/>
  <c r="AA20" i="9"/>
  <c r="AA26" i="9" s="1"/>
  <c r="AA32" i="9" s="1"/>
  <c r="Z20" i="9"/>
  <c r="Z26" i="9" s="1"/>
  <c r="Z32" i="9" s="1"/>
  <c r="Y20" i="9"/>
  <c r="Y26" i="9" s="1"/>
  <c r="Y32" i="9" s="1"/>
  <c r="X20" i="9"/>
  <c r="X26" i="9" s="1"/>
  <c r="X32" i="9" s="1"/>
  <c r="W20" i="9"/>
  <c r="W26" i="9" s="1"/>
  <c r="W32" i="9" s="1"/>
  <c r="V20" i="9"/>
  <c r="V26" i="9" s="1"/>
  <c r="V32" i="9" s="1"/>
  <c r="U20" i="9"/>
  <c r="U26" i="9" s="1"/>
  <c r="U32" i="9" s="1"/>
  <c r="T20" i="9"/>
  <c r="T26" i="9" s="1"/>
  <c r="T32" i="9" s="1"/>
  <c r="S20" i="9"/>
  <c r="S26" i="9" s="1"/>
  <c r="S32" i="9" s="1"/>
  <c r="R20" i="9"/>
  <c r="R26" i="9" s="1"/>
  <c r="R32" i="9" s="1"/>
  <c r="Q20" i="9"/>
  <c r="Q26" i="9" s="1"/>
  <c r="Q32" i="9" s="1"/>
  <c r="P20" i="9"/>
  <c r="P26" i="9" s="1"/>
  <c r="P32" i="9" s="1"/>
  <c r="O20" i="9"/>
  <c r="O26" i="9" s="1"/>
  <c r="O32" i="9" s="1"/>
  <c r="N20" i="9"/>
  <c r="N26" i="9" s="1"/>
  <c r="N32" i="9" s="1"/>
  <c r="M20" i="9"/>
  <c r="M26" i="9" s="1"/>
  <c r="M32" i="9" s="1"/>
  <c r="L20" i="9"/>
  <c r="L26" i="9" s="1"/>
  <c r="L32" i="9" s="1"/>
  <c r="K20" i="9"/>
  <c r="K26" i="9" s="1"/>
  <c r="K32" i="9" s="1"/>
  <c r="J20" i="9"/>
  <c r="J26" i="9" s="1"/>
  <c r="J32" i="9" s="1"/>
  <c r="I20" i="9"/>
  <c r="I26" i="9" s="1"/>
  <c r="I32" i="9" s="1"/>
  <c r="H20" i="9"/>
  <c r="H26" i="9" s="1"/>
  <c r="H32" i="9" s="1"/>
  <c r="G20" i="9"/>
  <c r="G26" i="9" s="1"/>
  <c r="G32" i="9" s="1"/>
  <c r="F20" i="9"/>
  <c r="F26" i="9" s="1"/>
  <c r="F32" i="9" s="1"/>
  <c r="E20" i="9"/>
  <c r="E26" i="9" s="1"/>
  <c r="E32" i="9" s="1"/>
  <c r="D20" i="9"/>
  <c r="D26" i="9" s="1"/>
  <c r="D32" i="9" s="1"/>
  <c r="C20" i="9"/>
  <c r="C26" i="9" s="1"/>
  <c r="C32" i="9" s="1"/>
  <c r="B20" i="9"/>
  <c r="B26" i="9" s="1"/>
  <c r="B32" i="9" s="1"/>
  <c r="AD19" i="9"/>
  <c r="AD25" i="9" s="1"/>
  <c r="AD31" i="9" s="1"/>
  <c r="AC19" i="9"/>
  <c r="AC25" i="9" s="1"/>
  <c r="AC31" i="9" s="1"/>
  <c r="AB19" i="9"/>
  <c r="AB25" i="9" s="1"/>
  <c r="AB31" i="9" s="1"/>
  <c r="AA19" i="9"/>
  <c r="AA25" i="9" s="1"/>
  <c r="AA31" i="9" s="1"/>
  <c r="Z19" i="9"/>
  <c r="Z25" i="9" s="1"/>
  <c r="Z31" i="9" s="1"/>
  <c r="Y19" i="9"/>
  <c r="Y25" i="9" s="1"/>
  <c r="Y31" i="9" s="1"/>
  <c r="X19" i="9"/>
  <c r="X25" i="9" s="1"/>
  <c r="X31" i="9" s="1"/>
  <c r="W19" i="9"/>
  <c r="W25" i="9" s="1"/>
  <c r="W31" i="9" s="1"/>
  <c r="V19" i="9"/>
  <c r="V25" i="9" s="1"/>
  <c r="V31" i="9" s="1"/>
  <c r="U19" i="9"/>
  <c r="U25" i="9" s="1"/>
  <c r="U31" i="9" s="1"/>
  <c r="T19" i="9"/>
  <c r="T25" i="9" s="1"/>
  <c r="T31" i="9" s="1"/>
  <c r="S19" i="9"/>
  <c r="S25" i="9" s="1"/>
  <c r="S31" i="9" s="1"/>
  <c r="R19" i="9"/>
  <c r="R25" i="9" s="1"/>
  <c r="R31" i="9" s="1"/>
  <c r="Q19" i="9"/>
  <c r="Q25" i="9" s="1"/>
  <c r="Q31" i="9" s="1"/>
  <c r="P19" i="9"/>
  <c r="P25" i="9" s="1"/>
  <c r="P31" i="9" s="1"/>
  <c r="O19" i="9"/>
  <c r="O25" i="9" s="1"/>
  <c r="O31" i="9" s="1"/>
  <c r="N19" i="9"/>
  <c r="N25" i="9" s="1"/>
  <c r="N31" i="9" s="1"/>
  <c r="M19" i="9"/>
  <c r="M25" i="9" s="1"/>
  <c r="M31" i="9" s="1"/>
  <c r="L19" i="9"/>
  <c r="L25" i="9" s="1"/>
  <c r="L31" i="9" s="1"/>
  <c r="K19" i="9"/>
  <c r="K25" i="9" s="1"/>
  <c r="K31" i="9" s="1"/>
  <c r="J19" i="9"/>
  <c r="J25" i="9" s="1"/>
  <c r="J31" i="9" s="1"/>
  <c r="I19" i="9"/>
  <c r="I25" i="9" s="1"/>
  <c r="I31" i="9" s="1"/>
  <c r="H19" i="9"/>
  <c r="H25" i="9" s="1"/>
  <c r="H31" i="9" s="1"/>
  <c r="G19" i="9"/>
  <c r="G25" i="9" s="1"/>
  <c r="G31" i="9" s="1"/>
  <c r="F19" i="9"/>
  <c r="F25" i="9" s="1"/>
  <c r="F31" i="9" s="1"/>
  <c r="E19" i="9"/>
  <c r="E25" i="9" s="1"/>
  <c r="E31" i="9" s="1"/>
  <c r="D19" i="9"/>
  <c r="D25" i="9" s="1"/>
  <c r="D31" i="9" s="1"/>
  <c r="C19" i="9"/>
  <c r="C25" i="9" s="1"/>
  <c r="C31" i="9" s="1"/>
  <c r="B19" i="9"/>
  <c r="B25" i="9" s="1"/>
  <c r="B31" i="9" s="1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C7" i="11"/>
  <c r="D6" i="11"/>
  <c r="C6" i="11"/>
  <c r="D5" i="11"/>
  <c r="B5" i="11"/>
  <c r="C5" i="11" s="1"/>
  <c r="D3" i="11"/>
  <c r="B3" i="11"/>
  <c r="C3" i="11" s="1"/>
  <c r="D2" i="11"/>
  <c r="B2" i="11"/>
  <c r="B66" i="9" l="1"/>
  <c r="D6" i="10" s="1"/>
  <c r="B37" i="9"/>
  <c r="B67" i="9"/>
  <c r="D7" i="10" s="1"/>
  <c r="B36" i="9"/>
  <c r="B41" i="9" s="1"/>
  <c r="B52" i="9" s="1"/>
  <c r="D2" i="10" l="1"/>
  <c r="D3" i="10"/>
  <c r="D5" i="10"/>
  <c r="C63" i="9"/>
  <c r="B2" i="10" s="1"/>
  <c r="C2" i="10" s="1"/>
  <c r="C64" i="9"/>
  <c r="B3" i="10" s="1"/>
  <c r="C3" i="10" s="1"/>
  <c r="C67" i="9"/>
  <c r="B7" i="10" s="1"/>
  <c r="C7" i="10" s="1"/>
  <c r="C66" i="9"/>
  <c r="B6" i="10" s="1"/>
  <c r="C6" i="10" s="1"/>
  <c r="C65" i="9"/>
  <c r="B5" i="10" s="1"/>
  <c r="C5" i="10" s="1"/>
</calcChain>
</file>

<file path=xl/sharedStrings.xml><?xml version="1.0" encoding="utf-8"?>
<sst xmlns="http://schemas.openxmlformats.org/spreadsheetml/2006/main" count="1884" uniqueCount="985">
  <si>
    <t>Share of New Components Energy Use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</si>
  <si>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</si>
  <si>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</si>
  <si>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</si>
  <si>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</si>
  <si>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</si>
  <si>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</si>
  <si>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</si>
  <si>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</si>
  <si>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</si>
  <si>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SoCEUtiNTY Share of Components Energy Use that is New This Year</t>
  </si>
  <si>
    <t>Sources:</t>
  </si>
  <si>
    <t>Share of commercial floorspace that is new</t>
  </si>
  <si>
    <t>U.S. Energy Information Administration</t>
  </si>
  <si>
    <t>Annual Energy Outlook 2025</t>
  </si>
  <si>
    <t>Scenario: High zero-carbon technology cost</t>
  </si>
  <si>
    <t>Table 5</t>
  </si>
  <si>
    <t>https://www.eia.gov/outlooks/aeo/tables_side_xls.php</t>
  </si>
  <si>
    <t>Number of homes</t>
  </si>
  <si>
    <t>Table 4</t>
  </si>
  <si>
    <t>Share of homes that are new</t>
  </si>
  <si>
    <t>EIA</t>
  </si>
  <si>
    <t>Residential Demand Module of the National Energy Modeling System: Model Documentation</t>
  </si>
  <si>
    <t>https://www.eia.gov/outlooks/aeo/nems/documentation/residential/pdf/m067(2020).pdf</t>
  </si>
  <si>
    <t>Page 58, Existing housing evolution rate</t>
  </si>
  <si>
    <t>Replacement rate of components in surviving buildings</t>
  </si>
  <si>
    <t>See bldgs/CL variable</t>
  </si>
  <si>
    <t>About</t>
  </si>
  <si>
    <t>This variable is used to estimate the share of BAU component energy use</t>
  </si>
  <si>
    <t>that is new (i.e. from newly installed components) each year.  This includes</t>
  </si>
  <si>
    <t>both components to serve new buildings (demand growth) and components</t>
  </si>
  <si>
    <t>to replace retiring components.</t>
  </si>
  <si>
    <t>The "envelope" value in this variable does not matter, because envelope</t>
  </si>
  <si>
    <t>does not itself use energy.  To avoid confusion, envelope is assigned</t>
  </si>
  <si>
    <t>a value of zero.</t>
  </si>
  <si>
    <t>We separately estimate the share of buildings that are new (whose components</t>
  </si>
  <si>
    <t>are all new) and the share of components in surviving buildings that are</t>
  </si>
  <si>
    <t>replaced each year.  We consider the share of surviving buildings and</t>
  </si>
  <si>
    <t>new buildings to properly calculate overall component replacement rates.</t>
  </si>
  <si>
    <t>This variable may need to be recalibrated when adapting the model</t>
  </si>
  <si>
    <t>to new regions.</t>
  </si>
  <si>
    <t>Building Component</t>
  </si>
  <si>
    <t>Lifetime (yr)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</si>
  <si>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</si>
  <si>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</si>
  <si>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</si>
  <si>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</si>
  <si>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</si>
  <si>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</si>
  <si>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</si>
  <si>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</si>
  <si>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</si>
  <si>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</si>
  <si>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RKI000</t>
  </si>
  <si>
    <t>4. Residential Sector Key Indicators and Consumption</t>
  </si>
  <si>
    <t>Average</t>
  </si>
  <si>
    <t>(quadrillion Btu, unless otherwise noted)</t>
  </si>
  <si>
    <t>Annual</t>
  </si>
  <si>
    <t>Change</t>
  </si>
  <si>
    <t xml:space="preserve"> Key Indicators and Consumption</t>
  </si>
  <si>
    <t>2022–2050</t>
  </si>
  <si>
    <t>Key Indicators</t>
  </si>
  <si>
    <t xml:space="preserve"> Households (millions)</t>
  </si>
  <si>
    <t>RKI000:ba_Single-Family</t>
  </si>
  <si>
    <t xml:space="preserve">   Single-Family</t>
  </si>
  <si>
    <t>RKI000:ba_Multifamily</t>
  </si>
  <si>
    <t xml:space="preserve">   Multifamily</t>
  </si>
  <si>
    <t>RKI000:ba_MobileHomes</t>
  </si>
  <si>
    <t xml:space="preserve">   Mobile Homes</t>
  </si>
  <si>
    <t>RKI000:ba_Total</t>
  </si>
  <si>
    <t xml:space="preserve">     Total</t>
  </si>
  <si>
    <t>RKI000:ca_AverageHouseS</t>
  </si>
  <si>
    <t xml:space="preserve"> Average House Square Footage</t>
  </si>
  <si>
    <t xml:space="preserve"> Energy Intensity</t>
  </si>
  <si>
    <t xml:space="preserve"> (million Btu per household)</t>
  </si>
  <si>
    <t>RKI000:da_DeliveredEner</t>
  </si>
  <si>
    <t xml:space="preserve">   Gross End-use Consumption 1/</t>
  </si>
  <si>
    <t>RKI000:da_TotalEnergyCo</t>
  </si>
  <si>
    <t xml:space="preserve">   Delivered Energy Consumption</t>
  </si>
  <si>
    <t xml:space="preserve"> (thousand Btu per square foot)</t>
  </si>
  <si>
    <t>RKI000:ea_DeliveredEner</t>
  </si>
  <si>
    <t>RKI000:ea_TotalEnergyCo</t>
  </si>
  <si>
    <t>Energy Consumption by Fuel</t>
  </si>
  <si>
    <t xml:space="preserve"> Electricity 1/</t>
  </si>
  <si>
    <t>RKI000:fa_SpaceHeating</t>
  </si>
  <si>
    <t xml:space="preserve">   Space Heating</t>
  </si>
  <si>
    <t>RKI000:fa_SpaceCooling</t>
  </si>
  <si>
    <t xml:space="preserve">   Space Cooling</t>
  </si>
  <si>
    <t>RKI000:fa_WaterHeating</t>
  </si>
  <si>
    <t xml:space="preserve">   Water Heating</t>
  </si>
  <si>
    <t>RKI000:fa_Refrigeration</t>
  </si>
  <si>
    <t xml:space="preserve">   Refrigeration</t>
  </si>
  <si>
    <t>RKI000:fa_Cooking</t>
  </si>
  <si>
    <t xml:space="preserve">   Cooking</t>
  </si>
  <si>
    <t>RKI000:fa_ClothesDryers</t>
  </si>
  <si>
    <t xml:space="preserve">   Clothes Dryers</t>
  </si>
  <si>
    <t>RKI000:fa_Freezers</t>
  </si>
  <si>
    <t xml:space="preserve">   Freezers</t>
  </si>
  <si>
    <t>RKI000:fa_Lighting</t>
  </si>
  <si>
    <t xml:space="preserve">   Lighting</t>
  </si>
  <si>
    <t>RKI000:fa_ClothesWasher</t>
  </si>
  <si>
    <t xml:space="preserve">   Clothes Washers 2/</t>
  </si>
  <si>
    <t>RKI000:fa_Dishwashers</t>
  </si>
  <si>
    <t xml:space="preserve">   Dishwashers 2/</t>
  </si>
  <si>
    <t>RKI000:fa_ColorTelevisi</t>
  </si>
  <si>
    <t xml:space="preserve">   Televisions and Related Equipment 3/</t>
  </si>
  <si>
    <t>RKI000:fa_PersonalCompu</t>
  </si>
  <si>
    <t xml:space="preserve">   Computers and Related Equipment 4/</t>
  </si>
  <si>
    <t>RKI000:fa_FurnaceFans</t>
  </si>
  <si>
    <t xml:space="preserve">   Furnace Fans and Boiler Circulation Pumps</t>
  </si>
  <si>
    <t>RKI000:fa_OtherUses</t>
  </si>
  <si>
    <t xml:space="preserve">   Other Uses 5/</t>
  </si>
  <si>
    <t>RKI000:fa_DeliveredEner</t>
  </si>
  <si>
    <t xml:space="preserve">     Electricity Subtotal</t>
  </si>
  <si>
    <t>RKI000:fa_OwnGeneration</t>
  </si>
  <si>
    <t xml:space="preserve">   On-site Generation for Own Use</t>
  </si>
  <si>
    <t>RKI000:fa_PurchasedElec</t>
  </si>
  <si>
    <t xml:space="preserve">     Purchased Electricity</t>
  </si>
  <si>
    <t xml:space="preserve"> Natural Gas</t>
  </si>
  <si>
    <t>RKI000:ga_SpaceHeating</t>
  </si>
  <si>
    <t>RKI000:ga_SpaceCooling</t>
  </si>
  <si>
    <t>RKI000:ga_WaterHeating</t>
  </si>
  <si>
    <t>RKI000:ga_Cooking</t>
  </si>
  <si>
    <t>RKI000:ga_ClothesDryers</t>
  </si>
  <si>
    <t>RKI000:ga_OtherNatGas</t>
  </si>
  <si>
    <t xml:space="preserve">   Other Uses 6/</t>
  </si>
  <si>
    <t>RKI000:ga_DeliveredEner</t>
  </si>
  <si>
    <t xml:space="preserve">     Delivered Energy</t>
  </si>
  <si>
    <t xml:space="preserve"> Distillate Fuel Oil 7/</t>
  </si>
  <si>
    <t>RKI000:ha_SpaceHeating</t>
  </si>
  <si>
    <t>RKI000:ha_WaterHeating</t>
  </si>
  <si>
    <t>RKI000:Other_ha_ha</t>
  </si>
  <si>
    <t xml:space="preserve">   Other Uses 8/</t>
  </si>
  <si>
    <t>RKI000:ha_DeliveredEner</t>
  </si>
  <si>
    <t xml:space="preserve"> Propane</t>
  </si>
  <si>
    <t>RKI000:ia_SpaceHeating</t>
  </si>
  <si>
    <t>RKI000:ia_WaterHeating</t>
  </si>
  <si>
    <t>RKI000:ia_Cooking</t>
  </si>
  <si>
    <t>RKI000:ia_OtherUses</t>
  </si>
  <si>
    <t xml:space="preserve">   Other Uses 9/</t>
  </si>
  <si>
    <t>RKI000:ia_DeliveredEner</t>
  </si>
  <si>
    <t>RKI000:ja_MarketedRenew</t>
  </si>
  <si>
    <t xml:space="preserve"> Marketed Renewables (wood) 10/</t>
  </si>
  <si>
    <t>Energy Consumption by End Use 1/</t>
  </si>
  <si>
    <t>RKI000:ka_SpaceHeating</t>
  </si>
  <si>
    <t xml:space="preserve"> Space Heating</t>
  </si>
  <si>
    <t>RKI000:ka_SpaceCooling</t>
  </si>
  <si>
    <t xml:space="preserve"> Space Cooling</t>
  </si>
  <si>
    <t>RKI000:ka_WaterHeating</t>
  </si>
  <si>
    <t xml:space="preserve"> Water Heating</t>
  </si>
  <si>
    <t>RKI000:ka_Refrigeration</t>
  </si>
  <si>
    <t xml:space="preserve"> Refrigeration</t>
  </si>
  <si>
    <t>RKI000:ka_Cooking</t>
  </si>
  <si>
    <t xml:space="preserve"> Cooking</t>
  </si>
  <si>
    <t>RKI000:ka_ClothesDryers</t>
  </si>
  <si>
    <t xml:space="preserve"> Clothes Dryers</t>
  </si>
  <si>
    <t>RKI000:ka_Freezers</t>
  </si>
  <si>
    <t xml:space="preserve"> Freezers</t>
  </si>
  <si>
    <t>RKI000:ka_Lighting</t>
  </si>
  <si>
    <t xml:space="preserve"> Lighting</t>
  </si>
  <si>
    <t>RKI000:ka_ClothesWasher</t>
  </si>
  <si>
    <t xml:space="preserve"> Clothes Washers 2/</t>
  </si>
  <si>
    <t>RKI000:ka_Dishwashers</t>
  </si>
  <si>
    <t xml:space="preserve"> Dishwashers 2/</t>
  </si>
  <si>
    <t>RKI000:ka_ColorTelevisi</t>
  </si>
  <si>
    <t xml:space="preserve"> Televisions and Related Equipment 3/</t>
  </si>
  <si>
    <t>RKI000:ka_PersonalCompu</t>
  </si>
  <si>
    <t xml:space="preserve"> Computers and Related Equipment 4/</t>
  </si>
  <si>
    <t>RKI000:ka_FurnaceFans</t>
  </si>
  <si>
    <t xml:space="preserve"> Furnace Fans and Boiler Circulation Pumps</t>
  </si>
  <si>
    <t>RKI000:ka_OtherUses</t>
  </si>
  <si>
    <t xml:space="preserve"> Other Uses 11/</t>
  </si>
  <si>
    <t>RKI000:ka_GrsEndUseCons</t>
  </si>
  <si>
    <t xml:space="preserve">    Gross End-use Consumption</t>
  </si>
  <si>
    <t>RKI000:ka_OwnGeneration</t>
  </si>
  <si>
    <t xml:space="preserve"> On-site Generation for Own Use</t>
  </si>
  <si>
    <t>RKI000:ka_DeliveredEner</t>
  </si>
  <si>
    <t xml:space="preserve">    Delivered Energy</t>
  </si>
  <si>
    <t>RKI000:la_ElectricityRe</t>
  </si>
  <si>
    <t>Electricity Related Losses</t>
  </si>
  <si>
    <t>Total Energy Consumption by End Use 1/</t>
  </si>
  <si>
    <t>RKI000:ma_SpaceHeating</t>
  </si>
  <si>
    <t>RKI000:ma_SpaceCooling</t>
  </si>
  <si>
    <t>RKI000:ma_WaterHeating</t>
  </si>
  <si>
    <t>RKI000:ma_Refrigeration</t>
  </si>
  <si>
    <t>RKI000:ma_Cooking</t>
  </si>
  <si>
    <t>RKI000:ma_ClothesDryers</t>
  </si>
  <si>
    <t>RKI000:ma_Freezers</t>
  </si>
  <si>
    <t>RKI000:ma_Lighting</t>
  </si>
  <si>
    <t>RKI000:ma_ClothesWasher</t>
  </si>
  <si>
    <t>RKI000:ma_Dishwashers</t>
  </si>
  <si>
    <t>RKI000:ma_ColorTelevisi</t>
  </si>
  <si>
    <t>RKI000:ma_PersonalCompu</t>
  </si>
  <si>
    <t>RKI000:ma_FurnaceFans</t>
  </si>
  <si>
    <t>RKI000:ma_OtherUses</t>
  </si>
  <si>
    <t>RKI000:ma_Total</t>
  </si>
  <si>
    <t xml:space="preserve">   Total Gross End-use Consumption</t>
  </si>
  <si>
    <t>RKI000:ma_OwnGeneration</t>
  </si>
  <si>
    <t xml:space="preserve"> Generation for Own Use</t>
  </si>
  <si>
    <t>RKI000:ma_TtllOwnUseGen</t>
  </si>
  <si>
    <t>Total Net Own-use Generation</t>
  </si>
  <si>
    <t>Nonmarketed Renewables 12/</t>
  </si>
  <si>
    <t>RKI000:na_GeothermalHea</t>
  </si>
  <si>
    <t xml:space="preserve">  Geothermal Heat Pumps</t>
  </si>
  <si>
    <t>RKI000:na_SolarHotWater</t>
  </si>
  <si>
    <t xml:space="preserve">  Solar Hot Water Heating</t>
  </si>
  <si>
    <t>RKI000:na_SolarPhotovol</t>
  </si>
  <si>
    <t xml:space="preserve">  Solar Photovoltaic</t>
  </si>
  <si>
    <t>RKI000:na_WindHuffPuff</t>
  </si>
  <si>
    <t xml:space="preserve">  Wind</t>
  </si>
  <si>
    <t>RKI000:na_Total</t>
  </si>
  <si>
    <t xml:space="preserve">    Total</t>
  </si>
  <si>
    <t>Heating Degree Days</t>
  </si>
  <si>
    <t>RKI000:hdd_NewEngland</t>
  </si>
  <si>
    <t xml:space="preserve">   New England</t>
  </si>
  <si>
    <t>RKI000:hdd_MiddleAtlant</t>
  </si>
  <si>
    <t xml:space="preserve">   Middle Atlantic</t>
  </si>
  <si>
    <t>RKI000:hdd_EastNorthCen</t>
  </si>
  <si>
    <t xml:space="preserve">   East North Central</t>
  </si>
  <si>
    <t>RKI000:hdd_WestNorthCen</t>
  </si>
  <si>
    <t xml:space="preserve">   West North Central</t>
  </si>
  <si>
    <t>RKI000:hdd_SouthAtlantc</t>
  </si>
  <si>
    <t xml:space="preserve">   South Atlantic</t>
  </si>
  <si>
    <t>RKI000:hdd_EastSouthCen</t>
  </si>
  <si>
    <t xml:space="preserve">   East South Central</t>
  </si>
  <si>
    <t>RKI000:hdd_WestSouthCen</t>
  </si>
  <si>
    <t xml:space="preserve">   West South Central</t>
  </si>
  <si>
    <t>RKI000:hdd_Mountain</t>
  </si>
  <si>
    <t xml:space="preserve">   Mountain</t>
  </si>
  <si>
    <t>RKI000:hdd_Pacific</t>
  </si>
  <si>
    <t xml:space="preserve">   Pacific</t>
  </si>
  <si>
    <t>RKI000:hdd_UnitedStates</t>
  </si>
  <si>
    <t xml:space="preserve">      United States</t>
  </si>
  <si>
    <t>Cooling Degree Days</t>
  </si>
  <si>
    <t>RKI000:cdd_NewEngland</t>
  </si>
  <si>
    <t>RKI000:cdd_MiddleAtlant</t>
  </si>
  <si>
    <t>RKI000:cdd_EastNorthCen</t>
  </si>
  <si>
    <t>RKI000:cdd_WestNorthCen</t>
  </si>
  <si>
    <t>RKI000:cdd_SouthAtlantc</t>
  </si>
  <si>
    <t>RKI000:cdd_EastSouthCen</t>
  </si>
  <si>
    <t>RKI000:cdd_WestSouthCen</t>
  </si>
  <si>
    <t>RKI000:cdd_Mountain</t>
  </si>
  <si>
    <t>RKI000:cdd_Pacific</t>
  </si>
  <si>
    <t>RKI000:cdd_UnitedStates</t>
  </si>
  <si>
    <t>1/ Unless otherwise specified, energy consumption by end use includes all electricity consumed for that end use,</t>
  </si>
  <si>
    <t>including purchased electricity and on-site generation for own use.</t>
  </si>
  <si>
    <t>2/ Does not include water heating portion of load.</t>
  </si>
  <si>
    <t>3/ Includes televisions, set-top boxes, home theater systems, over-the-top streaming devices, and video game consoles.</t>
  </si>
  <si>
    <t>4/ Includes desktop and laptop computers, monitors, and networking equipment.</t>
  </si>
  <si>
    <t>5/ Includes (but is not limited to) dehumidifiers, ceiling fans, non-PC rechargeables, smart speakers, smartphones, tablets, microwaves,</t>
  </si>
  <si>
    <t>coffee makers, miscellaneous refrigeration products, other small kitchen appliances, pool heaters, pool pumps, portable electric spas, and</t>
  </si>
  <si>
    <t>security systems, as well as electric and electronic devices, heating elements, and motors not listed above. Electric vehicles are</t>
  </si>
  <si>
    <t>included in the transportation sector.</t>
  </si>
  <si>
    <t>6/ Includes such appliances as outdoor grills, natural gas-fueled lights, pool heaters, spa heaters, and backup electricity generators.</t>
  </si>
  <si>
    <t>7/ Includes kerosene use.</t>
  </si>
  <si>
    <t>8/ Includes such appliances as pool heaters, spa heaters, and backup electricity generators.</t>
  </si>
  <si>
    <t>9/ Includes such appliances as outdoor grills, propane-fueled lights, pool heaters, spa heaters, and backup electricity generators.</t>
  </si>
  <si>
    <t>10/ Includes wood used for primary and secondary heating in wood stoves or fireplaces as reported in the Residential Energy Consumption</t>
  </si>
  <si>
    <t>Survey.</t>
  </si>
  <si>
    <t>11/ Includes (but is not limited to) dehumidifiers, ceiling fans, non-PC rechargeables, smart speakers, smartphones, tables, microwaves,</t>
  </si>
  <si>
    <t>coffee makers, miscellaneous refrigeration products, other small kitchen appliances, pool heaters, pool pumps, portable electric spas,</t>
  </si>
  <si>
    <t>outdoor grills, natural gas- and propane-fueled lights, security systems, and backup electricity generators, as well as electric and</t>
  </si>
  <si>
    <t>electronic devices, heating elements, and motors not listed above. Electric vehicles are included in the transportation sector.</t>
  </si>
  <si>
    <t>12/ Consumption determined by using the average electric power sector net heat rate for fossil fuels.</t>
  </si>
  <si>
    <t>Btu = British thermal unit.</t>
  </si>
  <si>
    <t>- - = Not applicable.</t>
  </si>
  <si>
    <t>Note:  Totals may not equal sum of components due to independent rounding.</t>
  </si>
  <si>
    <t>Data source: 2022:  U.S. Energy Information Administration (EIA), Short-Term Energy Outlook, November 2022 and EIA, AEO2023</t>
  </si>
  <si>
    <t>National Energy Modeling System run ref2023.d020623a.  Projections:  EIA, AEO2023 National Energy Modeling System run ref2023.d020623a.</t>
  </si>
  <si>
    <t>CKI000</t>
  </si>
  <si>
    <t>5. Commercial Sector Key Indicators and Consumption</t>
  </si>
  <si>
    <t xml:space="preserve"> Total Floorspace (billion square feet)</t>
  </si>
  <si>
    <t>CKI000:da_Surviving</t>
  </si>
  <si>
    <t xml:space="preserve">   Surviving</t>
  </si>
  <si>
    <t>CKI000:da_NewAdditions</t>
  </si>
  <si>
    <t xml:space="preserve">   New Additions</t>
  </si>
  <si>
    <t>CKI000:da_Total</t>
  </si>
  <si>
    <t xml:space="preserve"> Energy Consumption Intensity</t>
  </si>
  <si>
    <t>CKI000:ea_DeliveredEner</t>
  </si>
  <si>
    <t>CKI000:ea_ElectricityRe</t>
  </si>
  <si>
    <t>CKI000:ga_SpaceHeating</t>
  </si>
  <si>
    <t xml:space="preserve">   Space Heating 2/</t>
  </si>
  <si>
    <t>CKI000:ga_SpaceCooling</t>
  </si>
  <si>
    <t xml:space="preserve">   Space Cooling 2/</t>
  </si>
  <si>
    <t>CKI000:ga_WaterHeating</t>
  </si>
  <si>
    <t xml:space="preserve">   Water Heating 2/</t>
  </si>
  <si>
    <t>CKI000:ga_Ventilation</t>
  </si>
  <si>
    <t xml:space="preserve">   Ventilation</t>
  </si>
  <si>
    <t>CKI000:ga_Cooking</t>
  </si>
  <si>
    <t>CKI000:ga_Lighting</t>
  </si>
  <si>
    <t>CKI000:ga_Refrigeration</t>
  </si>
  <si>
    <t>CKI000:ga_OfficeEquipme</t>
  </si>
  <si>
    <t xml:space="preserve">   Computing</t>
  </si>
  <si>
    <t>CKI000:ha_OfficeEquipme</t>
  </si>
  <si>
    <t xml:space="preserve">   Office Equipment</t>
  </si>
  <si>
    <t>CKI000:ha_OtherUses</t>
  </si>
  <si>
    <t xml:space="preserve">   Other Uses 3/</t>
  </si>
  <si>
    <t>CKI000:ha_ElecSubtotal</t>
  </si>
  <si>
    <t>CKI000:ha_OwnGeneration</t>
  </si>
  <si>
    <t>CKI000:ha_PurchasedElec</t>
  </si>
  <si>
    <t>CKI000:ia_SpaceHeating</t>
  </si>
  <si>
    <t>CKI000:ia_SpaceCooling</t>
  </si>
  <si>
    <t>CKI000:ia_WaterHeating</t>
  </si>
  <si>
    <t>CKI000:ia_Cooking</t>
  </si>
  <si>
    <t>CKI000:ia_OtherUses</t>
  </si>
  <si>
    <t xml:space="preserve">   Other Uses 4/</t>
  </si>
  <si>
    <t>CKI000:ia_DeliveredEner</t>
  </si>
  <si>
    <t xml:space="preserve"> Distillate Fuel Oil</t>
  </si>
  <si>
    <t>CKI000:ja_SpaceHeating</t>
  </si>
  <si>
    <t>CKI000:ja_WaterHeating</t>
  </si>
  <si>
    <t>CKI000:ja_OtherUses</t>
  </si>
  <si>
    <t>CKI000:ja_DeliveredEner</t>
  </si>
  <si>
    <t>CKI000:ka_MarketedRenew</t>
  </si>
  <si>
    <t xml:space="preserve"> Marketed Renewables (biomass)</t>
  </si>
  <si>
    <t>CKI000:ka_OtherFuels</t>
  </si>
  <si>
    <t xml:space="preserve"> Other Fuels 6/</t>
  </si>
  <si>
    <t>CKI000:la_SpaceHeating</t>
  </si>
  <si>
    <t>CKI000:la_SpaceCooling</t>
  </si>
  <si>
    <t>CKI000:la_WaterHeating</t>
  </si>
  <si>
    <t>CKI000:la_Ventilation</t>
  </si>
  <si>
    <t>CKI000:la_Cooking</t>
  </si>
  <si>
    <t>CKI000:la_Lighting</t>
  </si>
  <si>
    <t>CKI000:la_Refrigeration</t>
  </si>
  <si>
    <t>CKI000:la_OfficeEquipme</t>
  </si>
  <si>
    <t>CKI000:ma_OfficeEquipme</t>
  </si>
  <si>
    <t>CKI000:ma_OtherUses</t>
  </si>
  <si>
    <t xml:space="preserve">   Other Uses 7/</t>
  </si>
  <si>
    <t>CKI000:ma_GrsEndUseCons</t>
  </si>
  <si>
    <t xml:space="preserve">     Gross End-use Consumption</t>
  </si>
  <si>
    <t>CKI000:ma_OwnGeneration</t>
  </si>
  <si>
    <t>CKI000:ma_DeliveredEner</t>
  </si>
  <si>
    <t>CKI000:na_ElectricityRe</t>
  </si>
  <si>
    <t>CKI000:oa_SpaceHeating</t>
  </si>
  <si>
    <t>CKI000:oa_SpaceCooling</t>
  </si>
  <si>
    <t>CKI000:oa_WaterHeating</t>
  </si>
  <si>
    <t>CKI000:oa_Ventilation</t>
  </si>
  <si>
    <t>CKI000:oa_Cooking</t>
  </si>
  <si>
    <t>CKI000:oa_Lighting</t>
  </si>
  <si>
    <t>CKI000:oa_Refrigeration</t>
  </si>
  <si>
    <t>CKI000:oa_OfficeEquipme</t>
  </si>
  <si>
    <t>CKI000:pa_OfficeEquipme</t>
  </si>
  <si>
    <t>CKI000:pa_OtherUses</t>
  </si>
  <si>
    <t>CKI000:pa_Total</t>
  </si>
  <si>
    <t xml:space="preserve">     Total Gross End-use Consumption</t>
  </si>
  <si>
    <t>CKI000:pa_OwnGeneration</t>
  </si>
  <si>
    <t>CKI000:pa_TtllOwnUseGen</t>
  </si>
  <si>
    <t>Nonmarketed Renewable Fuels 8/</t>
  </si>
  <si>
    <t>CKI000:qa_SolarThermal</t>
  </si>
  <si>
    <t xml:space="preserve">  Solar Thermal</t>
  </si>
  <si>
    <t>CKI000:qa_SolarPhotovol</t>
  </si>
  <si>
    <t>CKI000:qa_EKnowitzWindy</t>
  </si>
  <si>
    <t>CKI000:qa_TotalSolar</t>
  </si>
  <si>
    <t>CKI000:hdd_NewEngland</t>
  </si>
  <si>
    <t>CKI000:hdd_MiddleAtlant</t>
  </si>
  <si>
    <t>CKI000:hdd_EastNorthCen</t>
  </si>
  <si>
    <t>CKI000:hdd_WestNorthCen</t>
  </si>
  <si>
    <t>CKI000:hdd_SouthAtlantc</t>
  </si>
  <si>
    <t>CKI000:hdd_EastSouthCen</t>
  </si>
  <si>
    <t>CKI000:hdd_WestSouthCen</t>
  </si>
  <si>
    <t>CKI000:hdd_Mountain</t>
  </si>
  <si>
    <t>CKI000:hdd_Pacific</t>
  </si>
  <si>
    <t>CKI000:hdd_UnitedStates</t>
  </si>
  <si>
    <t>CKI000:cdd_NewEngland</t>
  </si>
  <si>
    <t>CKI000:cdd_MiddleAtlant</t>
  </si>
  <si>
    <t>CKI000:cdd_EastNorthCen</t>
  </si>
  <si>
    <t>CKI000:cdd_WestNorthCen</t>
  </si>
  <si>
    <t>CKI000:cdd_SouthAtlantc</t>
  </si>
  <si>
    <t>CKI000:cdd_EastSouthCen</t>
  </si>
  <si>
    <t>CKI000:cdd_WestSouthCen</t>
  </si>
  <si>
    <t>CKI000:cdd_Mountain</t>
  </si>
  <si>
    <t>CKI000:cdd_Pacific</t>
  </si>
  <si>
    <t>CKI000:cdd_UnitedStates</t>
  </si>
  <si>
    <t>2/ Includes fuel consumption for district services.</t>
  </si>
  <si>
    <t>3/ Includes (but is not limited to) miscellaneous uses such as transformers, medical imaging and other medical equipment, elevators,</t>
  </si>
  <si>
    <t>escalators, off-road electric vehicles, laboratory fume hoods, laundry equipment, coffee brewers, and water services.</t>
  </si>
  <si>
    <t>4/ Includes miscellaneous uses, such as emergency generators, combined heat and power in commercial buildings, and manufacturing</t>
  </si>
  <si>
    <t>performed in commercial buildings.</t>
  </si>
  <si>
    <t>5/ Includes miscellaneous uses, such as cooking, emergency generators, and combined heat and power in commercial buildings.</t>
  </si>
  <si>
    <t>6/ Includes residual fuel oil, propane, coal, motor gasoline, and kerosene.</t>
  </si>
  <si>
    <t>7/ Includes (but is not limited to) miscellaneous uses such as transformers, medical imaging and other medical equipment, elevators,</t>
  </si>
  <si>
    <t>escalators, off-road electric vehicles, laboratory fume hoods, laundry equipment, coffee brewers, water services, emergency generators,</t>
  </si>
  <si>
    <t>combined heat and power in commercial buildings, manufacturing performed in commercial buildings, and cooking (distillate).  Also</t>
  </si>
  <si>
    <t>includes residual fuel oil, propane, coal, motor gasoline, kerosene, and marketed renewable fuels (biomass).</t>
  </si>
  <si>
    <t>8/ Consumption determined by using the average electric power sector net heat rate for fossil fuels.</t>
  </si>
  <si>
    <t>Table 4.  Residential Sector Key Indicators and Consumption</t>
  </si>
  <si>
    <t>https://www.eia.gov/outlooks/aeo/data/browser/#/?id=4-AEO2025&amp;cases=highZTC&amp;sourcekey=0</t>
  </si>
  <si>
    <t>Tue Dec 02 2025 13:13:01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</si>
  <si>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</si>
  <si>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</si>
  <si>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</si>
  <si>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</si>
  <si>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</si>
  <si>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Households (millions)</t>
  </si>
  <si>
    <t>Single-Family</t>
  </si>
  <si>
    <t>Residential: Key Indicators: Households: Single-Family: High Zero-Carbon Technology Cost</t>
  </si>
  <si>
    <t>AEO.2025.HIGHZTC.KEI_HHD_RESD_SFR_NA_NA_USA_MILL.A</t>
  </si>
  <si>
    <t>millions</t>
  </si>
  <si>
    <t>Multifamily</t>
  </si>
  <si>
    <t>Residential: Key Indicators: Households: Multifamily: High Zero-Carbon Technology Cost</t>
  </si>
  <si>
    <t>AEO.2025.HIGHZTC.KEI_HHD_RESD_MFR_NA_NA_USA_MILL.A</t>
  </si>
  <si>
    <t>Mobile Homes</t>
  </si>
  <si>
    <t>Residential: Key Indicators: Households: Mobile Homes: High Zero-Carbon Technology Cost</t>
  </si>
  <si>
    <t>AEO.2025.HIGHZTC.KEI_HHD_RESD_MBH_NA_NA_USA_MILL.A</t>
  </si>
  <si>
    <t>Total</t>
  </si>
  <si>
    <t>Residential: Key Indicators: Households: Total: High Zero-Carbon Technology Cost</t>
  </si>
  <si>
    <t>AEO.2025.HIGHZTC.KEI_HHD_RESD_TEN_NA_NA_USA_MILL.A</t>
  </si>
  <si>
    <t>Average House Square Footage</t>
  </si>
  <si>
    <t>Residential: Key Indicators: Average House Square Footage: High Zero-Carbon Technology Cost</t>
  </si>
  <si>
    <t>AEO.2025.HIGHZTC.KEI_HHD_RESD_NA_NA_NA_USA_SQFT.A</t>
  </si>
  <si>
    <t>sq ft</t>
  </si>
  <si>
    <t>Energy Intensity</t>
  </si>
  <si>
    <t>(MMBtu per household)</t>
  </si>
  <si>
    <t>Gross End-use Consumption</t>
  </si>
  <si>
    <t>Residential: Household Energy Intensity: Gross End-use Consumption: High Zero-Carbon Technology Cost</t>
  </si>
  <si>
    <t>AEO.2025.HIGHZTC.INY_HHD_RESD_DELE_NA_NA_USA_MILLBTUPHOSD.A</t>
  </si>
  <si>
    <t>MMBtu/household</t>
  </si>
  <si>
    <t>Delivered Energy Consumption</t>
  </si>
  <si>
    <t>Residential: Household Energy Intensity: Delivered Energy Consumption: High Zero-Carbon Technology Cost</t>
  </si>
  <si>
    <t>AEO.2025.HIGHZTC.INY_HHD_RESD_TEN_NA_NA_USA_MILLBTUPHOSD.A</t>
  </si>
  <si>
    <t>(thousand Btu per square foot)</t>
  </si>
  <si>
    <t>Residential: Energy Intensity per Square Foot: Gross End-use Consumption: High Zero-Carbon Technology Cost</t>
  </si>
  <si>
    <t>AEO.2025.HIGHZTC.INY_HHD_RESD_DELE_NA_NA_USA_THBTUPSQFT.A</t>
  </si>
  <si>
    <t>thousand Btu/sq ft</t>
  </si>
  <si>
    <t>Residential: Energy Intensity per Square Foot: Delivered Energy Consumption: High Zero-Carbon Technology Cost</t>
  </si>
  <si>
    <t>AEO.2025.HIGHZTC.INY_HHD_RESD_TEN_NA_NA_USA_THBTUPSQFT.A</t>
  </si>
  <si>
    <t>Electricity</t>
  </si>
  <si>
    <t>Space Heating</t>
  </si>
  <si>
    <t>Residential: Electricity: Space Heating: High Zero-Carbon Technology Cost</t>
  </si>
  <si>
    <t>AEO.2025.HIGHZTC.CNSM_HHD_RESD_SPH_ELC_NA_USA_QBTU.A</t>
  </si>
  <si>
    <t>quads</t>
  </si>
  <si>
    <t>Space Cooling</t>
  </si>
  <si>
    <t>Residential: Electricity: Space Cooling: High Zero-Carbon Technology Cost</t>
  </si>
  <si>
    <t>AEO.2025.HIGHZTC.CNSM_NA_RESD_SPC_ELC_NA_USA_QBTU.A</t>
  </si>
  <si>
    <t>Water Heating</t>
  </si>
  <si>
    <t>Residential: Electricity: Water Heating: High Zero-Carbon Technology Cost</t>
  </si>
  <si>
    <t>AEO.2025.HIGHZTC.CNSM_NA_RESD_WTHT_ELC_NA_USA_QBTU.A</t>
  </si>
  <si>
    <t>Refrigeration</t>
  </si>
  <si>
    <t>Residential: Electricity: Refrigeration: High Zero-Carbon Technology Cost</t>
  </si>
  <si>
    <t>AEO.2025.HIGHZTC.CNSM_NA_RESD_REFR_ELC_NA_USA_QBTU.A</t>
  </si>
  <si>
    <t>Cooking</t>
  </si>
  <si>
    <t>Residential: Electricity: Cooking: High Zero-Carbon Technology Cost</t>
  </si>
  <si>
    <t>AEO.2025.HIGHZTC.CNSM_NA_RESD_CGR_ELC_NA_USA_QBTU.A</t>
  </si>
  <si>
    <t>Clothes Dryers</t>
  </si>
  <si>
    <t>Residential: Electricity: Clothes Dryers: High Zero-Carbon Technology Cost</t>
  </si>
  <si>
    <t>AEO.2025.HIGHZTC.CNSM_NA_RESD_CDR_ELC_NA_USA_QBTU.A</t>
  </si>
  <si>
    <t>Freezers</t>
  </si>
  <si>
    <t>Residential: Electricity: Freezers: High Zero-Carbon Technology Cost</t>
  </si>
  <si>
    <t>AEO.2025.HIGHZTC.CNSM_NA_RESD_FRZ_ELC_NA_USA_QBTU.A</t>
  </si>
  <si>
    <t>Lighting</t>
  </si>
  <si>
    <t>Residential: Electricity: Lighting: High Zero-Carbon Technology Cost</t>
  </si>
  <si>
    <t>AEO.2025.HIGHZTC.CNSM_NA_RESD_LGHTNG_ELC_NA_USA_QBTU.A</t>
  </si>
  <si>
    <t>Clothes Washers</t>
  </si>
  <si>
    <t>Residential: Electricity: Clothes Washers: High Zero-Carbon Technology Cost</t>
  </si>
  <si>
    <t>AEO.2025.HIGHZTC.CNSM_NA_RESD_CLW_ELC_NA_USA_QBTU.A</t>
  </si>
  <si>
    <t>Dishwashers</t>
  </si>
  <si>
    <t>Residential: Electricity: Dishwashers: High Zero-Carbon Technology Cost</t>
  </si>
  <si>
    <t>AEO.2025.HIGHZTC.CNSM_NA_RESD_DSW_ELC_NA_USA_QBTU.A</t>
  </si>
  <si>
    <t>Televisions and Related Equipment</t>
  </si>
  <si>
    <t>Residential: Electricity: Televisions: High Zero-Carbon Technology Cost</t>
  </si>
  <si>
    <t>AEO.2025.HIGHZTC.CNSM_NA_RESD_TVR_ELC_NA_USA_QBTU.A</t>
  </si>
  <si>
    <t>Computers and Related Equipment</t>
  </si>
  <si>
    <t>Residential: Electricity: Computers: High Zero-Carbon Technology Cost</t>
  </si>
  <si>
    <t>AEO.2025.HIGHZTC.CNSM_NA_RESD_CMPR_ELC_NA_USA_QBTU.A</t>
  </si>
  <si>
    <t>Furnace Fans and Boiler Circulation Pumps</t>
  </si>
  <si>
    <t>Residential: Electricity: Fans and Pumps: High Zero-Carbon Technology Cost</t>
  </si>
  <si>
    <t>AEO.2025.HIGHZTC.CNSM_NA_RESD_FPR_ELC_NA_USA_QBTU.A</t>
  </si>
  <si>
    <t>Other Uses</t>
  </si>
  <si>
    <t>Residential: Electricity: Other Uses: High Zero-Carbon Technology Cost</t>
  </si>
  <si>
    <t>AEO.2025.HIGHZTC.CNSM_NA_RESD_OTHU_ELC_NA_USA_QBTU.A</t>
  </si>
  <si>
    <t>Gross End-use Electricity Consumption</t>
  </si>
  <si>
    <t>Residential: Electricity: Gross End-use Electricity Consumption: High Zero-Carbon Technology Cost</t>
  </si>
  <si>
    <t>AEO.2025.HIGHZTC.CNSM_NA_RESD_DELE_ELC_NA_USA_QBTU.A</t>
  </si>
  <si>
    <t>Purchased Electricity for Electric Vehicle Charging</t>
  </si>
  <si>
    <t>Residential: Electricity: Purchased Electricity for EV Charging: High Zero-Carbon Technology Cost</t>
  </si>
  <si>
    <t>AEO.2025.HIGHZTC.CNSM_NA_RESD_EVCHRING_ELC_NA_USA_QBTU.A</t>
  </si>
  <si>
    <t>On-site Generation for Own Use</t>
  </si>
  <si>
    <t>Residential: Electricity: Generation for Own Use: High Zero-Carbon Technology Cost</t>
  </si>
  <si>
    <t>AEO.2025.HIGHZTC.GEN_NA_RESD_GFO_ELC_NA_USA_QBTU.A</t>
  </si>
  <si>
    <t>Purchased Electricity at Residential Location</t>
  </si>
  <si>
    <t>Residential: Electricity: Purchased Electricity at Residential Location: High Zero-Carbon Technology Cost</t>
  </si>
  <si>
    <t>AEO.2025.HIGHZTC.CNSM_NA_RESD_PURCHELEC_ELC_NA_USA_QBTU.A</t>
  </si>
  <si>
    <t>Natural Gas</t>
  </si>
  <si>
    <t>Residential: Natural Gas: Space Heating: High Zero-Carbon Technology Cost</t>
  </si>
  <si>
    <t>AEO.2025.HIGHZTC.CNSM_NA_RESD_SPH_NG_NA_USA_QBTU.A</t>
  </si>
  <si>
    <t>Residential: Natural Gas: Space Cooling: High Zero-Carbon Technology Cost</t>
  </si>
  <si>
    <t>AEO.2025.HIGHZTC.CNSM_NA_RESD_SPC_NG_NA_USA_QBTU.A</t>
  </si>
  <si>
    <t>Residential: Natural Gas: Water Heating: High Zero-Carbon Technology Cost</t>
  </si>
  <si>
    <t>AEO.2025.HIGHZTC.CNSM_NA_RESD_WTHT_NG_NA_USA_QBTU.A</t>
  </si>
  <si>
    <t>Residential: Natural Gas: Cooking: High Zero-Carbon Technology Cost</t>
  </si>
  <si>
    <t>AEO.2025.HIGHZTC.CNSM_NA_RESD_CGR_NG_NA_USA_QBTU.A</t>
  </si>
  <si>
    <t>Residential: Natural Gas: Clothes Dryers: High Zero-Carbon Technology Cost</t>
  </si>
  <si>
    <t>AEO.2025.HIGHZTC.CNSM_NA_RESD_CDR_NG_NA_USA_QBTU.A</t>
  </si>
  <si>
    <t>Residential: Natural Gas: Other Uses: High Zero-Carbon Technology Cost</t>
  </si>
  <si>
    <t>AEO.2025.HIGHZTC.CNSM_NA_RESD_OTHU_NG_NA_USA_QBTU.A</t>
  </si>
  <si>
    <t>Delivered Energy</t>
  </si>
  <si>
    <t>Residential: Natural Gas: Delivered Energy: High Zero-Carbon Technology Cost</t>
  </si>
  <si>
    <t>AEO.2025.HIGHZTC.CNSM_NA_RESD_DELE_NG_NA_USA_QBTU.A</t>
  </si>
  <si>
    <t>Distillate Fuel Oil</t>
  </si>
  <si>
    <t>Residential: Distillate Fuel Oil: Space Heating: High Zero-Carbon Technology Cost</t>
  </si>
  <si>
    <t>AEO.2025.HIGHZTC.CNSM_NA_RESD_SPH_DFO_NA_USA_QBTU.A</t>
  </si>
  <si>
    <t>Residential: Distillate Fuel Oil: Water Heating: High Zero-Carbon Technology Cost</t>
  </si>
  <si>
    <t>AEO.2025.HIGHZTC.CNSM_NA_RESD_WTHT_DFO_NA_USA_QBTU.A</t>
  </si>
  <si>
    <t>Residential: Distillate Fuel Oil: Other Uses: High Zero-Carbon Technology Cost</t>
  </si>
  <si>
    <t>AEO.2025.HIGHZTC.CNSM_NA_RESD_OTHU_DFO_NA_USA_QBTU.A</t>
  </si>
  <si>
    <t>Residential: Distillate Fuel Oil: Delivered Energy: High Zero-Carbon Technology Cost</t>
  </si>
  <si>
    <t>AEO.2025.HIGHZTC.CNSM_NA_RESD_NA_DFO_NA_USA_QBTU.A</t>
  </si>
  <si>
    <t>Propane</t>
  </si>
  <si>
    <t>Residential: Propane: Space Heating: High Zero-Carbon Technology Cost</t>
  </si>
  <si>
    <t>AEO.2025.HIGHZTC.CNSM_NA_RESD_SPH_PROP_NA_USA_QBTU.A</t>
  </si>
  <si>
    <t>Residential: Propane: Water Heating: High Zero-Carbon Technology Cost</t>
  </si>
  <si>
    <t>AEO.2025.HIGHZTC.CNSM_NA_RESD_WTHT_PROP_NA_USA_QBTU.A</t>
  </si>
  <si>
    <t>Residential: Propane: Cooking: High Zero-Carbon Technology Cost</t>
  </si>
  <si>
    <t>AEO.2025.HIGHZTC.CNSM_NA_RESD_CGR_PROP_NA_USA_QBTU.A</t>
  </si>
  <si>
    <t>Residential: Propane: Other Uses: High Zero-Carbon Technology Cost</t>
  </si>
  <si>
    <t>AEO.2025.HIGHZTC.CNSM_NA_RESD_OTHU_PROP_NA_USA_QBTU.A</t>
  </si>
  <si>
    <t>Residential: Propane: Delivered Energy: High Zero-Carbon Technology Cost</t>
  </si>
  <si>
    <t>AEO.2025.HIGHZTC.CNSM_NA_RESD_DELE_PROP_NA_USA_QBTU.A</t>
  </si>
  <si>
    <t>Marketed Renewables (wood)</t>
  </si>
  <si>
    <t>Residential: Marketed Renewables (wood): High Zero-Carbon Technology Cost</t>
  </si>
  <si>
    <t>AEO.2025.HIGHZTC.CNSM_NA_RESD_NA_MRW_NA_USA_QBTU.A</t>
  </si>
  <si>
    <t>Energy Consumption by End Use</t>
  </si>
  <si>
    <t>Residential: Delivered Energy Use by End Use: Space Heating: High Zero-Carbon Technology Cost</t>
  </si>
  <si>
    <t>AEO.2025.HIGHZTC.CNSM_NA_RESD_SPH_DEE_NA_USA_QBTU.A</t>
  </si>
  <si>
    <t>Residential: Delivered Energy Use by End Use: Space Cooling: High Zero-Carbon Technology Cost</t>
  </si>
  <si>
    <t>AEO.2025.HIGHZTC.CNSM_NA_RESD_SPC_DEE_NA_USA_QBTU.A</t>
  </si>
  <si>
    <t>Residential: Delivered Energy Use by End Use: Water Heating: High Zero-Carbon Technology Cost</t>
  </si>
  <si>
    <t>AEO.2025.HIGHZTC.CNSM_NA_RESD_WTHT_DEE_NA_USA_QBTU.A</t>
  </si>
  <si>
    <t>Residential: Delivered Energy Use by End Use: Refrigeration: High Zero-Carbon Technology Cost</t>
  </si>
  <si>
    <t>AEO.2025.HIGHZTC.CNSM_NA_RESD_REFR_DEE_NA_USA_QBTU.A</t>
  </si>
  <si>
    <t>Residential: Delivered Energy Use by End Use: Cooking: High Zero-Carbon Technology Cost</t>
  </si>
  <si>
    <t>AEO.2025.HIGHZTC.CNSM_NA_RESD_CGR_DEE_NA_USA_QBTU.A</t>
  </si>
  <si>
    <t>Residential: Delivered Energy Use by End Use: Clothes Dryers: High Zero-Carbon Technology Cost</t>
  </si>
  <si>
    <t>AEO.2025.HIGHZTC.CNSM_NA_RESD_CDR_DEE_NA_USA_QBTU.A</t>
  </si>
  <si>
    <t>Residential: Delivered Energy Use by End Use: Freezers: High Zero-Carbon Technology Cost</t>
  </si>
  <si>
    <t>AEO.2025.HIGHZTC.CNSM_NA_RESD_FRZ_DEE_NA_USA_QBTU.A</t>
  </si>
  <si>
    <t>Residential: Delivered Energy Use by End Use: Lighting: High Zero-Carbon Technology Cost</t>
  </si>
  <si>
    <t>AEO.2025.HIGHZTC.CNSM_NA_RESD_LGHTNG_DEE_NA_USA_QBTU.A</t>
  </si>
  <si>
    <t>Residential: Delivered Energy Use by End Use: Clothes Washers: High Zero-Carbon Technology Cost</t>
  </si>
  <si>
    <t>AEO.2025.HIGHZTC.CNSM_NA_RESD_CLW_DEE_NA_USA_QBTU.A</t>
  </si>
  <si>
    <t>Residential: Delivered Energy Use by End Use: Dishwashers: High Zero-Carbon Technology Cost</t>
  </si>
  <si>
    <t>AEO.2025.HIGHZTC.CNSM_NA_RESD_DSW_DEE_NA_USA_QBTU.A</t>
  </si>
  <si>
    <t>Residential: Delivered Energy Use by End Use: Televisions: High Zero-Carbon Technology Cost</t>
  </si>
  <si>
    <t>AEO.2025.HIGHZTC.CNSM_NA_RESD_TVR_DEE_NA_USA_QBTU.A</t>
  </si>
  <si>
    <t>Residential: Delivered Energy Use by End Use: Computers: High Zero-Carbon Technology Cost</t>
  </si>
  <si>
    <t>AEO.2025.HIGHZTC.CNSM_NA_RESD_CMPR_DEE_NA_USA_QBTU.A</t>
  </si>
  <si>
    <t>Residential: Delivered Energy Use by End Use: Fans and Pumps: High Zero-Carbon Technology Cost</t>
  </si>
  <si>
    <t>AEO.2025.HIGHZTC.CNSM_NA_RESD_FPR_DEE_NA_USA_QBTU.A</t>
  </si>
  <si>
    <t>Residential: Delivered Energy Use by End Use: Other Uses: High Zero-Carbon Technology Cost</t>
  </si>
  <si>
    <t>AEO.2025.HIGHZTC.CNSM_NA_RESD_OTHU_DEE_NA_USA_QBTU.A</t>
  </si>
  <si>
    <t>Residential: Energy Consumption by End Use: Gross End-use Consumption: High Zero-Carbon Technology Cost</t>
  </si>
  <si>
    <t>AEO.2025.HIGHZTC.CNSM_NA_RESD_TUS_DEE_NA_USA_QBTU.A</t>
  </si>
  <si>
    <t>Residential: Energy Consumption by End Use: Purchased Electricity for EV Charging: High Zero-Carbon Technology Cost</t>
  </si>
  <si>
    <t>AEO.2025.HIGHZTC.CNSM_NA_RESD_PUELEVCHRG_DEE_NA_USA_QBTU.A</t>
  </si>
  <si>
    <t>Residential: Energy Consumption by End Use: Generation for Own Use: High Zero-Carbon Technology Cost</t>
  </si>
  <si>
    <t>AEO.2025.HIGHZTC.GEN_NA_RESD_GFO_DEE_NA_USA_QBTU.A</t>
  </si>
  <si>
    <t>Residential: Energy Consumption by End Use: Delivered Energy: High Zero-Carbon Technology Cost</t>
  </si>
  <si>
    <t>AEO.2025.HIGHZTC.CNSM_NA_RESD_DELE_DEE_NA_USA_QBTU.A</t>
  </si>
  <si>
    <t>Residential: Electricity Related Losses: High Zero-Carbon Technology Cost</t>
  </si>
  <si>
    <t>AEO.2025.HIGHZTC.CNSM_LOSSES_RESD_NA_ENRL_NA_USA_QBTU.A</t>
  </si>
  <si>
    <t>Total Energy Consumption by End Use</t>
  </si>
  <si>
    <t>Residential: Total Energy Use by End Use: Space Heating: High Zero-Carbon Technology Cost</t>
  </si>
  <si>
    <t>AEO.2025.HIGHZTC.CNSM_NA_RESD_SPH_TEE_NA_USA_QBTU.A</t>
  </si>
  <si>
    <t>Residential: Total Energy Use by End Use: Space Cooling: High Zero-Carbon Technology Cost</t>
  </si>
  <si>
    <t>AEO.2025.HIGHZTC.CNSM_NA_RESD_SPC_TEE_NA_USA_QBTU.A</t>
  </si>
  <si>
    <t>Residential: Total Energy Use by End Use: Water Heating: High Zero-Carbon Technology Cost</t>
  </si>
  <si>
    <t>AEO.2025.HIGHZTC.CNSM_NA_RESD_WTHT_TEE_NA_USA_QBTU.A</t>
  </si>
  <si>
    <t>Residential: Total Energy Use by End Use: Refrigeration: High Zero-Carbon Technology Cost</t>
  </si>
  <si>
    <t>AEO.2025.HIGHZTC.CNSM_NA_RESD_REFR_TEE_NA_USA_QBTU.A</t>
  </si>
  <si>
    <t>Residential: Total Energy Use by End Use: Cooking: High Zero-Carbon Technology Cost</t>
  </si>
  <si>
    <t>AEO.2025.HIGHZTC.CNSM_NA_RESD_CGR_TEE_NA_USA_QBTU.A</t>
  </si>
  <si>
    <t>Residential: Total Energy Use by End Use: Clothes Dryers: High Zero-Carbon Technology Cost</t>
  </si>
  <si>
    <t>AEO.2025.HIGHZTC.CNSM_NA_RESD_CDR_TEE_NA_USA_QBTU.A</t>
  </si>
  <si>
    <t>Residential: Total Energy Use by End Use: Freezers: High Zero-Carbon Technology Cost</t>
  </si>
  <si>
    <t>AEO.2025.HIGHZTC.CNSM_NA_RESD_FRZ_TEE_NA_USA_QBTU.A</t>
  </si>
  <si>
    <t>Residential: Total Energy Use by End Use: Lighting: High Zero-Carbon Technology Cost</t>
  </si>
  <si>
    <t>AEO.2025.HIGHZTC.CNSM_NA_RESD_LGHTNG_TEE_NA_USA_QBTU.A</t>
  </si>
  <si>
    <t>Residential: Total Energy Use by End Use: Clothes Washers: High Zero-Carbon Technology Cost</t>
  </si>
  <si>
    <t>AEO.2025.HIGHZTC.CNSM_NA_RESD_CLW_TEE_NA_USA_QBTU.A</t>
  </si>
  <si>
    <t>Residential: Total Energy Use by End Use: Dishwashers: High Zero-Carbon Technology Cost</t>
  </si>
  <si>
    <t>AEO.2025.HIGHZTC.CNSM_NA_RESD_DSW_TEE_NA_USA_QBTU.A</t>
  </si>
  <si>
    <t>Residential: Total Energy Use by End Use: Televisions: High Zero-Carbon Technology Cost</t>
  </si>
  <si>
    <t>AEO.2025.HIGHZTC.CNSM_NA_RESD_TVR_TEE_NA_USA_QBTU.A</t>
  </si>
  <si>
    <t>Residential: Total Energy Use by End Use: Computers: High Zero-Carbon Technology Cost</t>
  </si>
  <si>
    <t>AEO.2025.HIGHZTC.CNSM_NA_RESD_CMPR_TEE_NA_USA_QBTU.A</t>
  </si>
  <si>
    <t>Residential: Total Energy Use by End Use: Fans and Pumps: High Zero-Carbon Technology Cost</t>
  </si>
  <si>
    <t>AEO.2025.HIGHZTC.CNSM_NA_RESD_FPR_TEE_NA_USA_QBTU.A</t>
  </si>
  <si>
    <t>Residential: Total Energy Use by End Use: Other Uses: High Zero-Carbon Technology Cost</t>
  </si>
  <si>
    <t>AEO.2025.HIGHZTC.CNSM_NA_RESD_OTHU_TEE_NA_USA_QBTU.A</t>
  </si>
  <si>
    <t>Total Gross End-use Consumption</t>
  </si>
  <si>
    <t>Residential: Total Energy Use by End Use: Total Gross End-use Consumption: High Zero-Carbon Technology Cost</t>
  </si>
  <si>
    <t>AEO.2025.HIGHZTC.CNSM_NA_RESD_TOTENCONS_TEE_NA_USA_QBTU.A</t>
  </si>
  <si>
    <t>Residential: Generation for Own Use: Purchased Electricity for EV Charging: High Zero-Carbon Technology Cost</t>
  </si>
  <si>
    <t>AEO.2025.HIGHZTC.GEN_NA_RESD_PUELEVCHRG_TEE_NA_USA_QBTU.A</t>
  </si>
  <si>
    <t>Residential: Generation for Own Use: Total Gross End-use Consumption: High Zero-Carbon Technology Cost</t>
  </si>
  <si>
    <t>AEO.2025.HIGHZTC.GEN_NA_RESD_GFO_TEE_NA_USA_QBTU.A</t>
  </si>
  <si>
    <t>Total Energy</t>
  </si>
  <si>
    <t>Residential: Total Net Own-use Generation: Total Gross End-use Consumption: High Zero-Carbon Technology Cost</t>
  </si>
  <si>
    <t>AEO.2025.HIGHZTC.GEN_NA_RESD_TTG_TEE_NA_USA_QBTU.A</t>
  </si>
  <si>
    <t>Nonmarketed Renewables</t>
  </si>
  <si>
    <t>Solar Hot Water Heating</t>
  </si>
  <si>
    <t>Residential: Nonmarketed Renewables: Solar Hot Water Heating: High Zero-Carbon Technology Cost</t>
  </si>
  <si>
    <t>AEO.2025.HIGHZTC.CNSM_NA_RESD_SHW_NRW_NA_USA_QBTU.A</t>
  </si>
  <si>
    <t>Solar Photovoltaic</t>
  </si>
  <si>
    <t>Residential: Nonmarketed Renewables: Solar Photovoltaic: High Zero-Carbon Technology Cost</t>
  </si>
  <si>
    <t>AEO.2025.HIGHZTC.CNSM_NA_RESD_SOPH_NRW_NA_USA_QBTU.A</t>
  </si>
  <si>
    <t>Wind</t>
  </si>
  <si>
    <t>Residential: Nonmarketed Renewables: Wind: High Zero-Carbon Technology Cost</t>
  </si>
  <si>
    <t>AEO.2025.HIGHZTC.CNSM_NA_RESD_WND_NRW_NA_USA_QBTU.A</t>
  </si>
  <si>
    <t>Residential: Nonmarketed Renewables: Total: High Zero-Carbon Technology Cost</t>
  </si>
  <si>
    <t>AEO.2025.HIGHZTC.CNSM_NA_RESD_NA_NRW_NA_USA_QBTU.A</t>
  </si>
  <si>
    <t>New England</t>
  </si>
  <si>
    <t>Residential: Heating Degree Days: New England: High Zero-Carbon Technology Cost</t>
  </si>
  <si>
    <t>AEO.2025.HIGHZTC.KEI_HDD_RESD_NA_NA_NA_NENGL_HDD.A</t>
  </si>
  <si>
    <t>HDD</t>
  </si>
  <si>
    <t>Middle Atlantic</t>
  </si>
  <si>
    <t>Residential: Heating Degree Days: Middle Atlantic: High Zero-Carbon Technology Cost</t>
  </si>
  <si>
    <t>AEO.2025.HIGHZTC.KEI_HDD_RESD_NA_NA_NA_MATL_HDD.A</t>
  </si>
  <si>
    <t>East North Central</t>
  </si>
  <si>
    <t>Residential: Heating Degree Days: East North Central: High Zero-Carbon Technology Cost</t>
  </si>
  <si>
    <t>AEO.2025.HIGHZTC.KEI_HDD_RESD_NA_NA_NA_ENC_HDD.A</t>
  </si>
  <si>
    <t>West North Central</t>
  </si>
  <si>
    <t>Residential: Heating Degree Days: West North Central: High Zero-Carbon Technology Cost</t>
  </si>
  <si>
    <t>AEO.2025.HIGHZTC.KEI_HDD_RESD_NA_NA_NA_WNC_HDD.A</t>
  </si>
  <si>
    <t>South Atlantic</t>
  </si>
  <si>
    <t>Residential: Heating Degree Days: South Atlantic: High Zero-Carbon Technology Cost</t>
  </si>
  <si>
    <t>AEO.2025.HIGHZTC.KEI_HDD_RESD_NA_NA_NA_SATL_HDD.A</t>
  </si>
  <si>
    <t>East South Central</t>
  </si>
  <si>
    <t>Residential: Heating Degree Days: East South Central: High Zero-Carbon Technology Cost</t>
  </si>
  <si>
    <t>AEO.2025.HIGHZTC.KEI_HDD_RESD_NA_NA_NA_ESC_HDD.A</t>
  </si>
  <si>
    <t>West South Central</t>
  </si>
  <si>
    <t>Residential: Heating Degree Days: West South Central: High Zero-Carbon Technology Cost</t>
  </si>
  <si>
    <t>AEO.2025.HIGHZTC.KEI_HDD_RESD_NA_NA_NA_WSC_HDD.A</t>
  </si>
  <si>
    <t>Mountain</t>
  </si>
  <si>
    <t>Residential: Heating Degree Days: Mountain: High Zero-Carbon Technology Cost</t>
  </si>
  <si>
    <t>AEO.2025.HIGHZTC.KEI_HDD_RESD_NA_NA_NA_MTN_HDD.A</t>
  </si>
  <si>
    <t>Pacific</t>
  </si>
  <si>
    <t>Residential: Heating Degree Days: Pacific: High Zero-Carbon Technology Cost</t>
  </si>
  <si>
    <t>AEO.2025.HIGHZTC.KEI_HDD_RESD_NA_NA_NA_PCF_HDD.A</t>
  </si>
  <si>
    <t>United States</t>
  </si>
  <si>
    <t>Residential: Heating Degree Days: United States: High Zero-Carbon Technology Cost</t>
  </si>
  <si>
    <t>AEO.2025.HIGHZTC.KEI_HDD_RESD_NA_NA_NA_USA_HDD.A</t>
  </si>
  <si>
    <t>Residential: Cooling Degree Days: New England: High Zero-Carbon Technology Cost</t>
  </si>
  <si>
    <t>AEO.2025.HIGHZTC.KEI_CDD_RESD_NA_NA_NA_NENGL_CDD.A</t>
  </si>
  <si>
    <t>CDD</t>
  </si>
  <si>
    <t>Residential: Cooling Degree Days: Middle Atlantic: High Zero-Carbon Technology Cost</t>
  </si>
  <si>
    <t>AEO.2025.HIGHZTC.KEI_CDD_RESD_NA_NA_NA_MATL_CDD.A</t>
  </si>
  <si>
    <t>Residential: Cooling Degree Days: East North Central: High Zero-Carbon Technology Cost</t>
  </si>
  <si>
    <t>AEO.2025.HIGHZTC.KEI_CDD_RESD_NA_NA_NA_ENC_CDD.A</t>
  </si>
  <si>
    <t>Residential: Cooling Degree Days: West North Central: High Zero-Carbon Technology Cost</t>
  </si>
  <si>
    <t>AEO.2025.HIGHZTC.KEI_CDD_RESD_NA_NA_NA_WNC_CDD.A</t>
  </si>
  <si>
    <t>Residential: Cooling Degree Days: South Atlantic: High Zero-Carbon Technology Cost</t>
  </si>
  <si>
    <t>AEO.2025.HIGHZTC.KEI_CDD_RESD_NA_NA_NA_SATL_CDD.A</t>
  </si>
  <si>
    <t>Residential: Cooling Degree Days: East South Central: High Zero-Carbon Technology Cost</t>
  </si>
  <si>
    <t>AEO.2025.HIGHZTC.KEI_CDD_RESD_NA_NA_NA_ESC_CDD.A</t>
  </si>
  <si>
    <t>Residential: Cooling Degree Days: West South Central: High Zero-Carbon Technology Cost</t>
  </si>
  <si>
    <t>AEO.2025.HIGHZTC.KEI_CDD_RESD_NA_NA_NA_WSC_CDD.A</t>
  </si>
  <si>
    <t>Residential: Cooling Degree Days: Mountain: High Zero-Carbon Technology Cost</t>
  </si>
  <si>
    <t>AEO.2025.HIGHZTC.KEI_CDD_RESD_NA_NA_NA_MTN_CDD.A</t>
  </si>
  <si>
    <t>Residential: Cooling Degree Days: Pacific: High Zero-Carbon Technology Cost</t>
  </si>
  <si>
    <t>AEO.2025.HIGHZTC.KEI_CDD_RESD_NA_NA_NA_PCF_CDD.A</t>
  </si>
  <si>
    <t>Residential: Cooling Degree Days: United States: High Zero-Carbon Technology Cost</t>
  </si>
  <si>
    <t>AEO.2025.HIGHZTC.KEI_CDD_RESD_NA_NA_NA_USA_CDD.A</t>
  </si>
  <si>
    <t>Table 5.  Commercial Sector Key Indicators and Consumption</t>
  </si>
  <si>
    <t>https://www.eia.gov/outlooks/aeo/data/browser/#/?id=5-AEO2025&amp;cases=highZTC&amp;sourcekey=0</t>
  </si>
  <si>
    <t>Tue Dec 02 2025 13:13:07 GMT-0800 (Pacific Standard Time)</t>
  </si>
  <si>
    <t>Total Floorspace (billion square feet)</t>
  </si>
  <si>
    <t>Surviving</t>
  </si>
  <si>
    <t>Commercial: Total Floorspace: Surviving: High Zero-Carbon Technology Cost</t>
  </si>
  <si>
    <t>AEO.2025.HIGHZTC.KEI_NA_COMM_NA_TFP_SURV_USA_BLNSQFT.A</t>
  </si>
  <si>
    <t>billion sq ft</t>
  </si>
  <si>
    <t>New Additions</t>
  </si>
  <si>
    <t>Commercial: Total Floorspace: New Additions: High Zero-Carbon Technology Cost</t>
  </si>
  <si>
    <t>AEO.2025.HIGHZTC.KEI_NA_COMM_NA_TFP_NADN_USA_BLNSQFT.A</t>
  </si>
  <si>
    <t>Commercial: Total Floorspace: Total: High Zero-Carbon Technology Cost</t>
  </si>
  <si>
    <t>AEO.2025.HIGHZTC.KEI_NA_COMM_NA_TFP_TOT_USA_BLNSQFT.A</t>
  </si>
  <si>
    <t>Energy Consumption Intensity</t>
  </si>
  <si>
    <t>Commercial: Energy Use Intensity: Gross End-use Consumption: High Zero-Carbon Technology Cost</t>
  </si>
  <si>
    <t>AEO.2025.HIGHZTC.INY_NA_COMM_NA_EUI_DLENCONS_USA_THBTUPSQFT.A</t>
  </si>
  <si>
    <t>Commercial: Energy Use Intensity: Delivered Energy Consumption: High Zero-Carbon Technology Cost</t>
  </si>
  <si>
    <t>AEO.2025.HIGHZTC.INY_NA_COMM_NA_EUI_ERL_USA_THBTUPSQFT.A</t>
  </si>
  <si>
    <t>Commercial: Purchased Electricity: Space Heating: High Zero-Carbon Technology Cost</t>
  </si>
  <si>
    <t>AEO.2025.HIGHZTC.CNSM_NA_COMM_NA_PRC_SPH_USA_QBTU.A</t>
  </si>
  <si>
    <t>Space Cooling 3/</t>
  </si>
  <si>
    <t>Commercial: Purchased Electricity: Space Cooling: High Zero-Carbon Technology Cost</t>
  </si>
  <si>
    <t>AEO.2025.HIGHZTC.CNSM_NA_COMM_NA_PRC_SPC_USA_QBTU.A</t>
  </si>
  <si>
    <t>Commercial: Purchased Electricity: Water Heating: High Zero-Carbon Technology Cost</t>
  </si>
  <si>
    <t>AEO.2025.HIGHZTC.CNSM_NA_COMM_NA_PRC_WTHT_USA_QBTU.A</t>
  </si>
  <si>
    <t>Ventilation</t>
  </si>
  <si>
    <t>Commercial: Purchased Electricity: Ventilation: High Zero-Carbon Technology Cost</t>
  </si>
  <si>
    <t>AEO.2025.HIGHZTC.CNSM_NA_COMM_NA_PRC_VNTC_USA_QBTU.A</t>
  </si>
  <si>
    <t>Commercial: Purchased Electricity: Cooking: High Zero-Carbon Technology Cost</t>
  </si>
  <si>
    <t>AEO.2025.HIGHZTC.CNSM_NA_COMM_NA_PRC_CGR_USA_QBTU.A</t>
  </si>
  <si>
    <t>Commercial: Purchased Electricity: Lighting: High Zero-Carbon Technology Cost</t>
  </si>
  <si>
    <t>AEO.2025.HIGHZTC.CNSM_NA_COMM_NA_PRC_LGHTNG_USA_QBTU.A</t>
  </si>
  <si>
    <t>Commercial: Purchased Electricity: Refrigeration: High Zero-Carbon Technology Cost</t>
  </si>
  <si>
    <t>AEO.2025.HIGHZTC.CNSM_NA_COMM_NA_PRC_REFR_USA_QBTU.A</t>
  </si>
  <si>
    <t>Computing</t>
  </si>
  <si>
    <t>Commercial: Purchased Electricity: Computing: High Zero-Carbon Technology Cost</t>
  </si>
  <si>
    <t>AEO.2025.HIGHZTC.CNSM_NA_COMM_NA_PRC_OTHEQPPC_USA_QBTU.A</t>
  </si>
  <si>
    <t>Office Equipment</t>
  </si>
  <si>
    <t>Commercial: Purchased Electricity: Office Equipment: High Zero-Carbon Technology Cost</t>
  </si>
  <si>
    <t>AEO.2025.HIGHZTC.CNSM_NA_COMM_NA_PRC_OTHEQPNPC_USA_QBTU.A</t>
  </si>
  <si>
    <t>Commercial: Purchased Electricity: Other Uses: High Zero-Carbon Technology Cost</t>
  </si>
  <si>
    <t>AEO.2025.HIGHZTC.CNSM_NA_COMM_NA_PRC_OTHU_USA_QBTU.A</t>
  </si>
  <si>
    <t>Commercial: Energy Consumption by Fuel: Electricity Subtotal: High Zero-Carbon Technology Cost</t>
  </si>
  <si>
    <t>AEO.2025.HIGHZTC.CNSM_NA_COMM_NA_PRC_DELE_USA_QBTU.A</t>
  </si>
  <si>
    <t>Commercial: Energy Consumption by Fuel: Purchased Electricity for EV Charging: High Zero-Carbon Technology Cost</t>
  </si>
  <si>
    <t>AEO.2025.HIGHZTC.GEN_NA_COMM_NA_PRC_EVCHA_USA_QBTU.A</t>
  </si>
  <si>
    <t>Commercial: Energy Consumption by Fuel: Generation for Own Use: High Zero-Carbon Technology Cost</t>
  </si>
  <si>
    <t>AEO.2025.HIGHZTC.GEN_NA_COMM_NA_GFO_ELC_USA_QBTU.A</t>
  </si>
  <si>
    <t>Purchased Electricity at Commercial Location</t>
  </si>
  <si>
    <t>Commercial: Energy Consumption by Fuel: Purchased Electricity: High Zero-Carbon Technology Cost</t>
  </si>
  <si>
    <t>AEO.2025.HIGHZTC.CNSM_NA_COMM_NA_DELE_ELC_USA_QBTU.A</t>
  </si>
  <si>
    <t>Commercial: Natural Gas: Space Heating: High Zero-Carbon Technology Cost</t>
  </si>
  <si>
    <t>AEO.2025.HIGHZTC.CNSM_NA_COMM_NA_NG_SPH_USA_QBTU.A</t>
  </si>
  <si>
    <t>Commercial: Natural Gas: Space Cooling: High Zero-Carbon Technology Cost</t>
  </si>
  <si>
    <t>AEO.2025.HIGHZTC.CNSM_NA_COMM_NA_NG_SPC_USA_QBTU.A</t>
  </si>
  <si>
    <t>Commercial: Natural Gas: Water Heating: High Zero-Carbon Technology Cost</t>
  </si>
  <si>
    <t>AEO.2025.HIGHZTC.CNSM_NA_COMM_NA_NG_WTHT_USA_QBTU.A</t>
  </si>
  <si>
    <t>Commercial: Natural Gas: Cooking: High Zero-Carbon Technology Cost</t>
  </si>
  <si>
    <t>AEO.2025.HIGHZTC.CNSM_NA_COMM_NA_NG_CGR_USA_QBTU.A</t>
  </si>
  <si>
    <t>Commercial: Natural Gas: Other Uses: High Zero-Carbon Technology Cost</t>
  </si>
  <si>
    <t>AEO.2025.HIGHZTC.CNSM_NA_COMM_NA_NG_OTHU_USA_QBTU.A</t>
  </si>
  <si>
    <t>Commercial: Natural Gas: Delivered Energy: High Zero-Carbon Technology Cost</t>
  </si>
  <si>
    <t>AEO.2025.HIGHZTC.CNSM_NA_COMM_NA_NG_DELE_USA_QBTU.A</t>
  </si>
  <si>
    <t>Commercial: Distillate Fuel Oil: Space Heating: High Zero-Carbon Technology Cost</t>
  </si>
  <si>
    <t>AEO.2025.HIGHZTC.CNSM_NA_COMM_NA_DFO_SPH_USA_QBTU.A</t>
  </si>
  <si>
    <t>Commercial: Distillate Fuel Oil: Water Heating: High Zero-Carbon Technology Cost</t>
  </si>
  <si>
    <t>AEO.2025.HIGHZTC.CNSM_NA_COMM_NA_DFO_WTHT_USA_QBTU.A</t>
  </si>
  <si>
    <t>Commercial: Distillate Fuel Oil: Other Uses: High Zero-Carbon Technology Cost</t>
  </si>
  <si>
    <t>AEO.2025.HIGHZTC.CNSM_NA_COMM_NA_DFO_OTHU_USA_QBTU.A</t>
  </si>
  <si>
    <t>Commercial: Distillate Fuel Oil: Delivered Energy: High Zero-Carbon Technology Cost</t>
  </si>
  <si>
    <t>AEO.2025.HIGHZTC.CNSM_NA_COMM_NA_DFO_DELE_USA_QBTU.A</t>
  </si>
  <si>
    <t>Marketed Renewables (biomass)</t>
  </si>
  <si>
    <t>Commercial: Marketed Renewables (biomass): High Zero-Carbon Technology Cost</t>
  </si>
  <si>
    <t>AEO.2025.HIGHZTC.CNSM_NA_COMM_NA_BMS_NA_USA_QBTU.A</t>
  </si>
  <si>
    <t>Other Fuels</t>
  </si>
  <si>
    <t>Commercial: Other Fuels: High Zero-Carbon Technology Cost</t>
  </si>
  <si>
    <t>AEO.2025.HIGHZTC.CNSM_NA_COMM_NA_OFU_NA_USA_QBTU.A</t>
  </si>
  <si>
    <t>Commercial: Delivered Energy Use by End Use: Space Heating: High Zero-Carbon Technology Cost</t>
  </si>
  <si>
    <t>AEO.2025.HIGHZTC.CNSM_NA_COMM_NA_DEE_SPH_USA_QBTU.A</t>
  </si>
  <si>
    <t>Commercial: Delivered Energy Use by End Use: Space Cooling: High Zero-Carbon Technology Cost</t>
  </si>
  <si>
    <t>AEO.2025.HIGHZTC.CNSM_NA_COMM_NA_DEE_SPC_USA_QBTU.A</t>
  </si>
  <si>
    <t>Commercial: Delivered Energy Use by End Use: Water Heating: High Zero-Carbon Technology Cost</t>
  </si>
  <si>
    <t>AEO.2025.HIGHZTC.CNSM_NA_COMM_NA_DEE_WTHT_USA_QBTU.A</t>
  </si>
  <si>
    <t>Commercial: Delivered Energy Use by End Use: Ventilation: High Zero-Carbon Technology Cost</t>
  </si>
  <si>
    <t>AEO.2025.HIGHZTC.CNSM_NA_COMM_NA_DEE_VNTC_USA_QBTU.A</t>
  </si>
  <si>
    <t>Commercial: Delivered Energy Use by End Use: Cooking: High Zero-Carbon Technology Cost</t>
  </si>
  <si>
    <t>AEO.2025.HIGHZTC.CNSM_NA_COMM_NA_DEE_CGR_USA_QBTU.A</t>
  </si>
  <si>
    <t>Commercial: Delivered Energy Use by End Use: Lighting: High Zero-Carbon Technology Cost</t>
  </si>
  <si>
    <t>AEO.2025.HIGHZTC.CNSM_NA_COMM_NA_DEE_LGHTNG_USA_QBTU.A</t>
  </si>
  <si>
    <t>Commercial: Delivered Energy Use by End Use: Refrigeration: High Zero-Carbon Technology Cost</t>
  </si>
  <si>
    <t>AEO.2025.HIGHZTC.CNSM_NA_COMM_NA_DEE_REFR_USA_QBTU.A</t>
  </si>
  <si>
    <t>Commercial: Delivered Energy Use by End Use: Computing: High Zero-Carbon Technology Cost</t>
  </si>
  <si>
    <t>AEO.2025.HIGHZTC.CNSM_NA_COMM_NA_DEE_OFEQPC_USA_QBTU.A</t>
  </si>
  <si>
    <t>Commercial: Delivered Energy Use by End Use: Office Equipment: High Zero-Carbon Technology Cost</t>
  </si>
  <si>
    <t>AEO.2025.HIGHZTC.CNSM_NA_COMM_NA_DEE_OFEQPNPC_USA_QBTU.A</t>
  </si>
  <si>
    <t>Commercial: Delivered Energy Use by End Use: Other Uses: High Zero-Carbon Technology Cost</t>
  </si>
  <si>
    <t>AEO.2025.HIGHZTC.CNSM_NA_COMM_NA_DEE_OTHU_USA_QBTU.A</t>
  </si>
  <si>
    <t>Commercial: Delivered Energy Use by End Use: Gross End-use Consumption: High Zero-Carbon Technology Cost</t>
  </si>
  <si>
    <t>AEO.2025.HIGHZTC.CNSM_NA_COMM_NA_DEE_NA_USA_QBTU.A</t>
  </si>
  <si>
    <t>Commercial: Energy Consumption by End Use: Purchased Electricity for EV Charging: High Zero-Carbon Technology Cost</t>
  </si>
  <si>
    <t>AEO.2025.HIGHZTC.CNSM_NA_COMM_NA_DEE_EVCHA_USA_QBTU.A</t>
  </si>
  <si>
    <t>Commercial: Energy Consumption by End Use: Generation for Own Use: High Zero-Carbon Technology Cost</t>
  </si>
  <si>
    <t>AEO.2025.HIGHZTC.GEN_NA_COMM_NA_DEE_GFO_USA_QBTU.A</t>
  </si>
  <si>
    <t>Commercial: Energy Consumption by End Use: Delivered Energy: High Zero-Carbon Technology Cost</t>
  </si>
  <si>
    <t>Commercial: Electricity Related Losses: High Zero-Carbon Technology Cost</t>
  </si>
  <si>
    <t>AEO.2025.HIGHZTC.CNSM_NA_COMM_NA_ERL_NA_USA_QBTU.A</t>
  </si>
  <si>
    <t>Commercial: Total Energy Use by End Use: Space Heating: High Zero-Carbon Technology Cost</t>
  </si>
  <si>
    <t>AEO.2025.HIGHZTC.CNSM_NA_COMM_NA_TEE_SPH_USA_QBTU.A</t>
  </si>
  <si>
    <t>Commercial: Total Energy Use by End Use: Space Cooling: High Zero-Carbon Technology Cost</t>
  </si>
  <si>
    <t>AEO.2025.HIGHZTC.CNSM_NA_COMM_NA_TEE_SPC_USA_QBTU.A</t>
  </si>
  <si>
    <t>Commercial: Total Energy Use by End Use: Water Heating: High Zero-Carbon Technology Cost</t>
  </si>
  <si>
    <t>AEO.2025.HIGHZTC.CNSM_NA_COMM_NA_TEE_WTHT_USA_QBTU.A</t>
  </si>
  <si>
    <t>Commercial: Total Energy Use by End Use: Ventilation: High Zero-Carbon Technology Cost</t>
  </si>
  <si>
    <t>AEO.2025.HIGHZTC.CNSM_NA_COMM_NA_TEE_VNTC_USA_QBTU.A</t>
  </si>
  <si>
    <t>Commercial: Total Energy Use by End Use: Cooking: High Zero-Carbon Technology Cost</t>
  </si>
  <si>
    <t>AEO.2025.HIGHZTC.CNSM_NA_COMM_NA_TEE_CGR_USA_QBTU.A</t>
  </si>
  <si>
    <t>Commercial: Total Energy Use by End Use: Lighting: High Zero-Carbon Technology Cost</t>
  </si>
  <si>
    <t>AEO.2025.HIGHZTC.CNSM_NA_COMM_NA_TEE_LGHTNG_USA_QBTU.A</t>
  </si>
  <si>
    <t>Commercial: Total Energy Use by End Use: Refrigeration: High Zero-Carbon Technology Cost</t>
  </si>
  <si>
    <t>AEO.2025.HIGHZTC.CNSM_NA_COMM_NA_TEE_REFR_USA_QBTU.A</t>
  </si>
  <si>
    <t>Commercial: Total Energy Use by End Use: Computing: High Zero-Carbon Technology Cost</t>
  </si>
  <si>
    <t>AEO.2025.HIGHZTC.CNSM_NA_COMM_NA_TEE_OFEQPC_USA_QBTU.A</t>
  </si>
  <si>
    <t>Commercial: Total Energy Use by End Use: Office Equipment: High Zero-Carbon Technology Cost</t>
  </si>
  <si>
    <t>AEO.2025.HIGHZTC.CNSM_NA_COMM_NA_TEE_OFEQPNPC_USA_QBTU.A</t>
  </si>
  <si>
    <t>Commercial: Total Energy Use by End Use: Other Uses: High Zero-Carbon Technology Cost</t>
  </si>
  <si>
    <t>AEO.2025.HIGHZTC.CNSM_NA_COMM_NA_TEE_OTHU_USA_QBTU.A</t>
  </si>
  <si>
    <t>Commercial: Total Energy Use by End Use: Total Gross End-use Consumption: High Zero-Carbon Technology Cost</t>
  </si>
  <si>
    <t>AEO.2025.HIGHZTC.CNSM_NA_COMM_NA_TEE_NA_USA_QBTU.A</t>
  </si>
  <si>
    <t>Commercial: Total Energy Use by End Use: Purchased Electricity for EV Charging: High Zero-Carbon Technology Cost</t>
  </si>
  <si>
    <t>AEO.2025.HIGHZTC.GEN_GFO_COMM_NA_TEE_NA_USA_QBTU.A</t>
  </si>
  <si>
    <t>Commercial: Total Energy Use by End Use: Generation for Own Use: High Zero-Carbon Technology Cost</t>
  </si>
  <si>
    <t>Commercial: Total Energy Use by End Use: Total Net Own-use Generation: High Zero-Carbon Technology Cost</t>
  </si>
  <si>
    <t>AEO.2025.HIGHZTC.GEN_GFO_COMM_NA_TEE_TOT_USA_QBTU.A</t>
  </si>
  <si>
    <t>Nonmarketed Renewable Fuels</t>
  </si>
  <si>
    <t>Solar Thermal</t>
  </si>
  <si>
    <t>Commercial: Nonmarketed Renewable Fuels: Solar Thermal: High Zero-Carbon Technology Cost</t>
  </si>
  <si>
    <t>AEO.2025.HIGHZTC.CNSM_NA_COMM_NA_NRF_SOTH_USA_QBTU.A</t>
  </si>
  <si>
    <t>Commercial: Nonmarketed Renewable Fuels: Solar Photovoltaic: High Zero-Carbon Technology Cost</t>
  </si>
  <si>
    <t>AEO.2025.HIGHZTC.CNSM_NA_COMM_NA_NRF_SOPH_USA_QBTU.A</t>
  </si>
  <si>
    <t>Commercial: Nonmarketed Renewable Fuels: Wind: High Zero-Carbon Technology Cost</t>
  </si>
  <si>
    <t>AEO.2025.HIGHZTC.CNSM_NA_COMM_NA_NRF_WND_USA_QBTU.A</t>
  </si>
  <si>
    <t>Commercial: Nonmarketed Renewable Fuels: Total: High Zero-Carbon Technology Cost</t>
  </si>
  <si>
    <t>AEO.2025.HIGHZTC.CNSM_NA_COMM_NA_NRF_TOT_USA_QBTU.A</t>
  </si>
  <si>
    <t>Commercial: Heating Degree Days: New England: High Zero-Carbon Technology Cost</t>
  </si>
  <si>
    <t>AEO.2025.HIGHZTC.KEI_NA_COMM_NA_NA_NA_NENGL_HDD.A</t>
  </si>
  <si>
    <t>Commercial: Heating Degree Days: Middle Atlantic: High Zero-Carbon Technology Cost</t>
  </si>
  <si>
    <t>AEO.2025.HIGHZTC.KEI_NA_COMM_NA_NA_NA_MATL_HDD.A</t>
  </si>
  <si>
    <t>Commercial: Heating Degree Days: East North Central: High Zero-Carbon Technology Cost</t>
  </si>
  <si>
    <t>AEO.2025.HIGHZTC.KEI_NA_COMM_NA_NA_NA_ENC_HDD.A</t>
  </si>
  <si>
    <t>Commercial: Heating Degree Days: West North Central: High Zero-Carbon Technology Cost</t>
  </si>
  <si>
    <t>AEO.2025.HIGHZTC.KEI_NA_COMM_NA_NA_NA_WNC_HDD.A</t>
  </si>
  <si>
    <t>Commercial: Heating Degree Days: South Atlantic: High Zero-Carbon Technology Cost</t>
  </si>
  <si>
    <t>AEO.2025.HIGHZTC.KEI_NA_COMM_NA_NA_NA_SATL_HDD.A</t>
  </si>
  <si>
    <t>Commercial: Heating Degree Days: East South Central: High Zero-Carbon Technology Cost</t>
  </si>
  <si>
    <t>AEO.2025.HIGHZTC.KEI_NA_COMM_NA_NA_NA_ESC_HDD.A</t>
  </si>
  <si>
    <t>Commercial: Heating Degree Days: West South Central: High Zero-Carbon Technology Cost</t>
  </si>
  <si>
    <t>AEO.2025.HIGHZTC.KEI_NA_COMM_NA_NA_NA_WSC_HDD.A</t>
  </si>
  <si>
    <t>Commercial: Heating Degree Days: Mountain: High Zero-Carbon Technology Cost</t>
  </si>
  <si>
    <t>AEO.2025.HIGHZTC.KEI_NA_COMM_NA_NA_NA_MTN_HDD.A</t>
  </si>
  <si>
    <t>Commercial: Heating Degree Days: Pacific: High Zero-Carbon Technology Cost</t>
  </si>
  <si>
    <t>AEO.2025.HIGHZTC.KEI_NA_COMM_NA_NA_NA_PCF_HDD.A</t>
  </si>
  <si>
    <t>Commercial: Heating Degree Days: United States: High Zero-Carbon Technology Cost</t>
  </si>
  <si>
    <t>AEO.2025.HIGHZTC.KEI_NA_COMM_NA_NA_NA_USA_HDD.A</t>
  </si>
  <si>
    <t>Commercial: Cooling Degree Days: New England: High Zero-Carbon Technology Cost</t>
  </si>
  <si>
    <t>AEO.2025.HIGHZTC.KEI_NA_COMM_NA_NA_NA_NENGL_CDD.A</t>
  </si>
  <si>
    <t>Commercial: Cooling Degree Days: Middle Atlantic: High Zero-Carbon Technology Cost</t>
  </si>
  <si>
    <t>AEO.2025.HIGHZTC.KEI_NA_COMM_NA_NA_NA_MATL_CDD.A</t>
  </si>
  <si>
    <t>Commercial: Cooling Degree Days: East North Central: High Zero-Carbon Technology Cost</t>
  </si>
  <si>
    <t>AEO.2025.HIGHZTC.KEI_NA_COMM_NA_NA_NA_ENC_CDD.A</t>
  </si>
  <si>
    <t>Commercial: Cooling Degree Days: West North Central: High Zero-Carbon Technology Cost</t>
  </si>
  <si>
    <t>AEO.2025.HIGHZTC.KEI_NA_COMM_NA_NA_NA_WNC_CDD.A</t>
  </si>
  <si>
    <t>Commercial: Cooling Degree Days: South Atlantic: High Zero-Carbon Technology Cost</t>
  </si>
  <si>
    <t>AEO.2025.HIGHZTC.KEI_NA_COMM_NA_NA_NA_SATL_CDD.A</t>
  </si>
  <si>
    <t>Commercial: Cooling Degree Days: East South Central: High Zero-Carbon Technology Cost</t>
  </si>
  <si>
    <t>AEO.2025.HIGHZTC.KEI_NA_COMM_NA_NA_NA_ESC_CDD.A</t>
  </si>
  <si>
    <t>Commercial: Cooling Degree Days: West South Central: High Zero-Carbon Technology Cost</t>
  </si>
  <si>
    <t>AEO.2025.HIGHZTC.KEI_NA_COMM_NA_NA_NA_WSC_CDD.A</t>
  </si>
  <si>
    <t>Commercial: Cooling Degree Days: Mountain: High Zero-Carbon Technology Cost</t>
  </si>
  <si>
    <t>AEO.2025.HIGHZTC.KEI_NA_COMM_NA_NA_NA_MTN_CDD.A</t>
  </si>
  <si>
    <t>Commercial: Cooling Degree Days: Pacific: High Zero-Carbon Technology Cost</t>
  </si>
  <si>
    <t>AEO.2025.HIGHZTC.KEI_NA_COMM_NA_NA_NA_PCF_CDD.A</t>
  </si>
  <si>
    <t>Commercial: Cooling Degree Days: United States: High Zero-Carbon Technology Cost</t>
  </si>
  <si>
    <t>AEO.2025.HIGHZTC.KEI_NA_COMM_NA_NA_NA_USA_CDD.A</t>
  </si>
  <si>
    <t>Fraction of Commercial Floorspace that is New</t>
  </si>
  <si>
    <t>Commercial floorspace</t>
  </si>
  <si>
    <t>Fraction of Residential Homes that are New</t>
  </si>
  <si>
    <t>Housing evolution rates from EIA NEMS documentation:</t>
  </si>
  <si>
    <t>HDR value</t>
  </si>
  <si>
    <t>(Fraction of homes that survive each year)</t>
  </si>
  <si>
    <t>Single-family homes</t>
  </si>
  <si>
    <t>Multifamily homes</t>
  </si>
  <si>
    <t>Mobile homes</t>
  </si>
  <si>
    <t>Surviving homes</t>
  </si>
  <si>
    <t>Newly built homes</t>
  </si>
  <si>
    <t>Fraction of homes that are new</t>
  </si>
  <si>
    <t>Average fraction of homes that are new by home type</t>
  </si>
  <si>
    <t>Weighted average fraction of homes that are new</t>
  </si>
  <si>
    <t>All homes</t>
  </si>
  <si>
    <t>Share of Components That is New This Year</t>
  </si>
  <si>
    <t>The share of new components is the share of old components that are replaced in surviving</t>
  </si>
  <si>
    <t>buildings, plus the share of components in new buildings (which equals the share of new</t>
  </si>
  <si>
    <t>buildings, because all components in new buildings are new components).</t>
  </si>
  <si>
    <t>Share of Buildings that are Surviving</t>
  </si>
  <si>
    <t>Commercial</t>
  </si>
  <si>
    <t>Residential</t>
  </si>
  <si>
    <t>Replacement rate of all components</t>
  </si>
  <si>
    <t>electrnp.d021826a</t>
  </si>
  <si>
    <t>Annual Energy Outlook 2026</t>
  </si>
  <si>
    <t>electrnp</t>
  </si>
  <si>
    <t>Alternative Electricity and Transportation</t>
  </si>
  <si>
    <t>d021826a</t>
  </si>
  <si>
    <t>April 2026</t>
  </si>
  <si>
    <t>Avg Annual Change</t>
  </si>
  <si>
    <t>2025-2050</t>
  </si>
  <si>
    <t xml:space="preserve"> (MMBtu per household)</t>
  </si>
  <si>
    <t xml:space="preserve">   Lighting 2/</t>
  </si>
  <si>
    <t xml:space="preserve">   Clothes Washers 3/</t>
  </si>
  <si>
    <t xml:space="preserve">   Dishwashers 3/</t>
  </si>
  <si>
    <t xml:space="preserve">   Televisions and Related Equipment 4/</t>
  </si>
  <si>
    <t xml:space="preserve">   Computers and Related Equipment 5/</t>
  </si>
  <si>
    <t xml:space="preserve">     Gross End-use Electricity Consumption</t>
  </si>
  <si>
    <t>RKI000:fa_PurchElecEVCha</t>
  </si>
  <si>
    <t xml:space="preserve">   Purchased Electricity for Electric Vehicle Charging 7/</t>
  </si>
  <si>
    <t xml:space="preserve">     Purchased Electricity at Residential Location 8/</t>
  </si>
  <si>
    <t xml:space="preserve"> Distillate Fuel Oil 10/</t>
  </si>
  <si>
    <t xml:space="preserve">   Other Uses 11/</t>
  </si>
  <si>
    <t xml:space="preserve">   Other Uses 12/</t>
  </si>
  <si>
    <t xml:space="preserve"> Marketed Renewables (wood) 13/</t>
  </si>
  <si>
    <t xml:space="preserve"> Lighting 2/</t>
  </si>
  <si>
    <t xml:space="preserve"> Clothes Washers 3/</t>
  </si>
  <si>
    <t xml:space="preserve"> Dishwashers 3/</t>
  </si>
  <si>
    <t xml:space="preserve"> Televisions and Related Equipment 4/</t>
  </si>
  <si>
    <t xml:space="preserve"> Computers and Related Equipment 5/</t>
  </si>
  <si>
    <t xml:space="preserve"> Other Uses 14/</t>
  </si>
  <si>
    <t xml:space="preserve">    Gross End-use Electricity Consumption</t>
  </si>
  <si>
    <t>RKI000:ka_PurElecEVCha</t>
  </si>
  <si>
    <t xml:space="preserve"> Purchased Electricity for Electric Vehicle Charging 7/</t>
  </si>
  <si>
    <t xml:space="preserve">    Delivered Energy 8/</t>
  </si>
  <si>
    <t>Electricity Related Losses 15/</t>
  </si>
  <si>
    <t>RKI000:ma_PurElecEVCha</t>
  </si>
  <si>
    <t>Total Energy 8/</t>
  </si>
  <si>
    <t xml:space="preserve">Nonmarketed Renewables </t>
  </si>
  <si>
    <t xml:space="preserve">  Solar Photovoltaic 16/</t>
  </si>
  <si>
    <t xml:space="preserve">  Wind 16/</t>
  </si>
  <si>
    <t>Data source: U.S. Energy Information Administration (EIA), Short-Term Energy Outlook, November 2025, and EIA, Annual Energy Outlook 2026 (AEO2026)</t>
  </si>
  <si>
    <t>National Energy Modeling System (NEMS) run electrnp.d021826a. Projections: EIA, AEO2026 NEMS run electrnp.d021826a.</t>
  </si>
  <si>
    <t xml:space="preserve">Note: Totals may not equal sum of components due to independent rounding. </t>
  </si>
  <si>
    <t xml:space="preserve">1/ Unless otherwise specified, energy consumption by end use includes all electricity consumed for that end use, </t>
  </si>
  <si>
    <t>2/ Does not include Wi-Fi energy consumption associated with smart lighting.</t>
  </si>
  <si>
    <t>3/ Does not include water heating portion of load.</t>
  </si>
  <si>
    <t>4/ Includes televisions, set-top boxes, home theater systems, over-the-top streaming devices, and video game consoles.</t>
  </si>
  <si>
    <t>5/ Includes desktop and laptop computers, monitors, and networking equipment.</t>
  </si>
  <si>
    <t xml:space="preserve">6/ Includes (but is not limited to) dehumidifiers, ceiling fans, non-PC rechargeables, smart speakers, smartphones, tablets, microwaves, </t>
  </si>
  <si>
    <t xml:space="preserve">coffee makers, miscellaneous refrigeration products, other small kitchen appliances, pool heaters, pool pumps, portable electric spas, and </t>
  </si>
  <si>
    <t>security systems, as well as electric and electronic devices, heating elements, and motors not listed above.</t>
  </si>
  <si>
    <t>7/ Electricity consumption when a vehicle is plugged in and charging at a residential location.</t>
  </si>
  <si>
    <t>8/ Equal to gross end-use consumption plus purchased electricity for electric vehicle charging less on-site generation for own use.</t>
  </si>
  <si>
    <t>9/ Includes such appliances as outdoor grills, natural gas-fueled lights, pool heaters, spa heaters, and backup electricity generators.</t>
  </si>
  <si>
    <t>10/ Includes kerosene use.</t>
  </si>
  <si>
    <t>11/ Includes such appliances as pool heaters, spa heaters, and backup electricity generators.</t>
  </si>
  <si>
    <t>12/ Includes such appliances as outdoor grills, propane-fueled lights, pool heaters, spa heaters, and backup electricity generators.</t>
  </si>
  <si>
    <t>13/ Includes wood used for primary and secondary heating in wood stoves or fireplaces as reported in the Residential Energy Consumption</t>
  </si>
  <si>
    <t>14/ Includes (but is not limited to) dehumidifiers, ceiling fans, non-PC rechargeables, smart speakers, smartphones, tables, microwaves,</t>
  </si>
  <si>
    <t>electronic devices, heating elements, and motors not listed above.</t>
  </si>
  <si>
    <t>15/ Includes electricity losses for all electricity consumption at the residential location, including electric vehicle charging.</t>
  </si>
  <si>
    <t>16/ Consumption for solar photovoltaic and wind reflects the generation converted to Btu by multiplying by the heat content of electricity (3,412 Btu/kWh).</t>
  </si>
  <si>
    <t>Btu = British thermal unit</t>
  </si>
  <si>
    <t>kWH = kilowatthour</t>
  </si>
  <si>
    <t>-- = Not applicable</t>
  </si>
  <si>
    <t xml:space="preserve"> Total Floorspace (billion square feet) 1/</t>
  </si>
  <si>
    <t xml:space="preserve">   Gross End-use Consumption  2/</t>
  </si>
  <si>
    <t xml:space="preserve"> Electricity  2/</t>
  </si>
  <si>
    <t xml:space="preserve">   Space Heating 3/</t>
  </si>
  <si>
    <t xml:space="preserve">   Space Cooling 3/ 4/</t>
  </si>
  <si>
    <t xml:space="preserve">   Water Heating 3/</t>
  </si>
  <si>
    <t xml:space="preserve">   Ventilation 4/</t>
  </si>
  <si>
    <t>CKI000:ga_DataCtrServ</t>
  </si>
  <si>
    <t xml:space="preserve">   Data Center Servers 4/</t>
  </si>
  <si>
    <t>CKI000:ha_CompOfficeEquipme</t>
  </si>
  <si>
    <t xml:space="preserve">   Computers and office equipment 5/</t>
  </si>
  <si>
    <t xml:space="preserve">   Other Uses 4/ 6/</t>
  </si>
  <si>
    <t>CKI000:ha_PurchElecEVCha</t>
  </si>
  <si>
    <t xml:space="preserve">     Purchased Electricity at Commercial Location 8/</t>
  </si>
  <si>
    <t xml:space="preserve">   Space Cooling 3/</t>
  </si>
  <si>
    <t xml:space="preserve">   Other Uses 10/</t>
  </si>
  <si>
    <t xml:space="preserve"> Other Fuels 11/</t>
  </si>
  <si>
    <t>Energy Consumption by End Use 2/</t>
  </si>
  <si>
    <t>CKI000:la_DataCtrServ</t>
  </si>
  <si>
    <t>CKI000:ma_CompOfficeEquipme</t>
  </si>
  <si>
    <t xml:space="preserve">   Other Uses 4/ 11/ 12/</t>
  </si>
  <si>
    <t>CKI000:ma_PurchElecEVCha</t>
  </si>
  <si>
    <t xml:space="preserve">     Delivered Energy 8/</t>
  </si>
  <si>
    <t>Electricity Related Losses 13/</t>
  </si>
  <si>
    <t>Total Energy Consumption by End Use 2/</t>
  </si>
  <si>
    <t>CKI000:oa_DataCtrServ</t>
  </si>
  <si>
    <t>CKI000:pa_CompOfficeEquipme</t>
  </si>
  <si>
    <t>CKI000:pa_PurchElecEVCha</t>
  </si>
  <si>
    <t xml:space="preserve">  Solar Photovoltaic 14/</t>
  </si>
  <si>
    <t xml:space="preserve">  Wind 14/</t>
  </si>
  <si>
    <t>1/ Represents all floorspace in the commercial sector, including floorspace operating as on-premise data centers and</t>
  </si>
  <si>
    <t>server rooms within each applicable commercial building type. Standalone data centers are not modeled as a distinct building type in NEMS,</t>
  </si>
  <si>
    <t>but associated floorspace is implicitly represented in the "Other" building type.</t>
  </si>
  <si>
    <t>2/ Unless otherwise specified, energy consumption by end use includes all electricity consumed for that end use,</t>
  </si>
  <si>
    <t>3/ Includes fuel consumption for district services.</t>
  </si>
  <si>
    <t>4/ Includes energy consumed by all commercial buildings, including on-premise data centers and server rooms. Compared with non-data center floorspace,</t>
  </si>
  <si>
    <t>the on-premise data center proportion of floorspace exhibits a higher energy use intensity for space cooling,</t>
  </si>
  <si>
    <t>ventilation (for air exchange), computing, and other uses (miscellaneous electric loads, such as uninterruptible power supplies).</t>
  </si>
  <si>
    <t>5/ Includes energy consumed by desktop computers, monitors, laptops, video displays, copiers, scanners, faxes, printers, and multifunction devices.</t>
  </si>
  <si>
    <t>6/ Includes (but is not limited to) miscellaneous uses such as transformers, medical imaging and other medical equipment, elevators,</t>
  </si>
  <si>
    <t>escalators, off-road electric vehicles, laboratory fume hoods, laundry equipment, and coffee brewers. Also includes non-building uses</t>
  </si>
  <si>
    <t>such as telecommunication equipment, water services, parking garages, street lights, pumps, bridges, and other public services</t>
  </si>
  <si>
    <t>if the establishment operating them is classified as commercial.</t>
  </si>
  <si>
    <t>7/ Electricity consumption when a vehicle is plugged in and charging at a commercial location.</t>
  </si>
  <si>
    <t>9/ Includes miscellaneous uses, such as emergency generators, combined heat and power in commercial buildings, and manufacturing</t>
  </si>
  <si>
    <t>10/ Includes miscellaneous uses, such as cooking, emergency generators, and combined heat and power in commercial buildings.</t>
  </si>
  <si>
    <t>11/ Includes residual fuel oil, propane, coal, motor gasoline, and kerosene.</t>
  </si>
  <si>
    <t>12/ Includes (but is not limited to) miscellaneous uses such as transformers, medical imaging and other medical equipment, elevators,</t>
  </si>
  <si>
    <t>escalators, off-road electric vehicles, laboratory fume hoods, laundry equipment, coffee brewers, emergency generators, combined heat</t>
  </si>
  <si>
    <t>and power in commercial buildings, manufacturing performed in commercial buildings, and cooking (distillate). Also includes</t>
  </si>
  <si>
    <t>non-building uses such as telecommunication equipment, water services, parking garages, street lights, pumps, bridges, and other</t>
  </si>
  <si>
    <t>public services if the establishment operating them is classified as commercial.</t>
  </si>
  <si>
    <t>13/ Includes electricity losses for all electricity consumption at the commercial location, including electric vehicle charging.</t>
  </si>
  <si>
    <t>14/ Consumption for solar photovoltaic and wind reflects the generation converted to Btu by multiplying by the heat content of electricity (3,412 Btu/kWh).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</si>
</sst>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%"/>
    <numFmt numFmtId="166" formatCode="0.000000"/>
    <numFmt numFmtId="167" formatCode="#,##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sz val="9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b/>
      <sz val="12"/>
      <name val="Calibri"/>
      <family val="2"/>
    </font>
    <font>
      <b/>
      <sz val="9"/>
      <name val="Calibri"/>
      <family val="2"/>
    </font>
    <font>
      <sz val="10"/>
      <name val="Calibri"/>
      <family val="2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9" fontId="2" fillId="0" borderId="0"/>
    <xf numFmtId="0" fontId="3" fillId="0" borderId="0"/>
    <xf numFmtId="0" fontId="3" fillId="0" borderId="1">
      <alignment wrapText="1"/>
    </xf>
    <xf numFmtId="0" fontId="5" fillId="0" borderId="2">
      <alignment wrapText="1"/>
    </xf>
    <xf numFmtId="0" fontId="3" fillId="0" borderId="3">
      <alignment wrapText="1"/>
    </xf>
    <xf numFmtId="0" fontId="5" fillId="0" borderId="4">
      <alignment wrapText="1"/>
    </xf>
    <xf numFmtId="0" fontId="3" fillId="0" borderId="0"/>
    <xf numFmtId="0" fontId="7" fillId="0" borderId="0">
      <alignment horizontal="left"/>
    </xf>
    <xf numFmtId="0" fontId="9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3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2" fillId="0" borderId="0"/>
    <xf numFmtId="0" fontId="2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2"/>
    <xf numFmtId="165" fontId="0" fillId="0" borderId="0" xfId="1" applyNumberFormat="1" applyFont="1"/>
    <xf numFmtId="10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0" xfId="0" applyNumberForma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8" fillId="0" borderId="0" xfId="0" applyFont="1"/>
    <xf numFmtId="164" fontId="0" fillId="4" borderId="0" xfId="0" applyNumberFormat="1" applyFill="1"/>
    <xf numFmtId="0" fontId="1" fillId="0" borderId="0" xfId="0" applyFont="1" applyAlignment="1">
      <alignment wrapText="1"/>
    </xf>
    <xf numFmtId="165" fontId="5" fillId="0" borderId="2" xfId="4" applyNumberFormat="1" applyAlignment="1">
      <alignment horizontal="right" wrapText="1"/>
    </xf>
    <xf numFmtId="165" fontId="0" fillId="0" borderId="3" xfId="5" applyNumberFormat="1" applyFont="1" applyAlignment="1">
      <alignment horizontal="right" wrapText="1"/>
    </xf>
    <xf numFmtId="0" fontId="5" fillId="0" borderId="4" xfId="6" applyAlignment="1">
      <alignment horizontal="right" wrapText="1"/>
    </xf>
    <xf numFmtId="0" fontId="5" fillId="0" borderId="0" xfId="2" applyFont="1" applyAlignment="1">
      <alignment horizontal="right"/>
    </xf>
    <xf numFmtId="0" fontId="9" fillId="0" borderId="0" xfId="9"/>
    <xf numFmtId="0" fontId="3" fillId="0" borderId="0" xfId="11"/>
    <xf numFmtId="0" fontId="5" fillId="0" borderId="4" xfId="13">
      <alignment wrapText="1"/>
    </xf>
    <xf numFmtId="0" fontId="6" fillId="0" borderId="0" xfId="2" applyFont="1"/>
    <xf numFmtId="0" fontId="4" fillId="0" borderId="0" xfId="2" applyFont="1"/>
    <xf numFmtId="0" fontId="10" fillId="0" borderId="0" xfId="2" applyFont="1"/>
    <xf numFmtId="0" fontId="11" fillId="0" borderId="0" xfId="15" applyFont="1">
      <alignment horizontal="left"/>
    </xf>
    <xf numFmtId="0" fontId="12" fillId="0" borderId="0" xfId="2" applyFont="1" applyAlignment="1">
      <alignment horizontal="right"/>
    </xf>
    <xf numFmtId="0" fontId="4" fillId="0" borderId="0" xfId="11" applyFont="1"/>
    <xf numFmtId="0" fontId="4" fillId="0" borderId="0" xfId="2" applyFont="1" applyAlignment="1">
      <alignment horizontal="left"/>
    </xf>
    <xf numFmtId="0" fontId="12" fillId="0" borderId="4" xfId="13" applyFont="1">
      <alignment wrapText="1"/>
    </xf>
    <xf numFmtId="0" fontId="12" fillId="0" borderId="4" xfId="13" applyFont="1" applyAlignment="1">
      <alignment horizontal="right"/>
    </xf>
    <xf numFmtId="0" fontId="12" fillId="0" borderId="2" xfId="14" applyFont="1">
      <alignment wrapText="1"/>
    </xf>
    <xf numFmtId="0" fontId="4" fillId="0" borderId="3" xfId="10" applyFont="1">
      <alignment wrapText="1"/>
    </xf>
    <xf numFmtId="4" fontId="4" fillId="0" borderId="3" xfId="10" applyNumberFormat="1" applyFont="1" applyAlignment="1">
      <alignment horizontal="right" wrapText="1"/>
    </xf>
    <xf numFmtId="165" fontId="4" fillId="0" borderId="3" xfId="10" applyNumberFormat="1" applyFont="1" applyAlignment="1">
      <alignment horizontal="right" wrapText="1"/>
    </xf>
    <xf numFmtId="4" fontId="12" fillId="0" borderId="2" xfId="14" applyNumberFormat="1" applyFont="1" applyAlignment="1">
      <alignment horizontal="right" wrapText="1"/>
    </xf>
    <xf numFmtId="165" fontId="12" fillId="0" borderId="2" xfId="14" applyNumberFormat="1" applyFont="1" applyAlignment="1">
      <alignment horizontal="right" wrapText="1"/>
    </xf>
    <xf numFmtId="3" fontId="4" fillId="0" borderId="3" xfId="10" applyNumberFormat="1" applyFont="1" applyAlignment="1">
      <alignment horizontal="right" wrapText="1"/>
    </xf>
    <xf numFmtId="167" fontId="4" fillId="0" borderId="3" xfId="10" applyNumberFormat="1" applyFont="1" applyAlignment="1">
      <alignment horizontal="right" wrapText="1"/>
    </xf>
    <xf numFmtId="3" fontId="12" fillId="0" borderId="2" xfId="14" applyNumberFormat="1" applyFont="1" applyAlignment="1">
      <alignment horizontal="right" wrapText="1"/>
    </xf>
    <xf numFmtId="0" fontId="13" fillId="0" borderId="0" xfId="2" applyFont="1"/>
    <xf numFmtId="0" fontId="3" fillId="0" borderId="1" xfId="2" applyBorder="1"/>
    <xf numFmtId="0" fontId="4" fillId="0" borderId="1" xfId="12" applyFont="1" applyAlignment="1"/>
    <xf numFmtId="4" fontId="12" fillId="0" borderId="2" xfId="14" applyNumberFormat="1" applyFont="1">
      <alignment wrapText="1"/>
    </xf>
    <xf numFmtId="165" fontId="12" fillId="0" borderId="2" xfId="14" applyNumberFormat="1" applyFont="1">
      <alignment wrapText="1"/>
    </xf>
    <xf numFmtId="0" fontId="3" fillId="0" borderId="0" xfId="26"/>
    <xf numFmtId="0" fontId="5" fillId="0" borderId="4" xfId="28">
      <alignment wrapText="1"/>
    </xf>
    <xf numFmtId="0" fontId="11" fillId="0" borderId="0" xfId="30" applyFont="1">
      <alignment horizontal="left"/>
    </xf>
    <xf numFmtId="0" fontId="4" fillId="0" borderId="0" xfId="26" applyFont="1"/>
    <xf numFmtId="0" fontId="12" fillId="0" borderId="4" xfId="28" applyFont="1">
      <alignment wrapText="1"/>
    </xf>
    <xf numFmtId="0" fontId="12" fillId="0" borderId="4" xfId="28" applyFont="1" applyAlignment="1">
      <alignment horizontal="right"/>
    </xf>
    <xf numFmtId="0" fontId="12" fillId="0" borderId="2" xfId="29" applyFont="1">
      <alignment wrapText="1"/>
    </xf>
    <xf numFmtId="0" fontId="4" fillId="0" borderId="3" xfId="25" applyFont="1">
      <alignment wrapText="1"/>
    </xf>
    <xf numFmtId="4" fontId="4" fillId="0" borderId="3" xfId="25" applyNumberFormat="1" applyFont="1" applyAlignment="1">
      <alignment horizontal="right" wrapText="1"/>
    </xf>
    <xf numFmtId="165" fontId="4" fillId="0" borderId="3" xfId="25" applyNumberFormat="1" applyFont="1" applyAlignment="1">
      <alignment horizontal="right" wrapText="1"/>
    </xf>
    <xf numFmtId="4" fontId="12" fillId="0" borderId="2" xfId="29" applyNumberFormat="1" applyFont="1" applyAlignment="1">
      <alignment horizontal="right" wrapText="1"/>
    </xf>
    <xf numFmtId="165" fontId="12" fillId="0" borderId="2" xfId="29" applyNumberFormat="1" applyFont="1" applyAlignment="1">
      <alignment horizontal="right" wrapText="1"/>
    </xf>
    <xf numFmtId="3" fontId="4" fillId="0" borderId="3" xfId="25" applyNumberFormat="1" applyFont="1" applyAlignment="1">
      <alignment horizontal="right" wrapText="1"/>
    </xf>
    <xf numFmtId="167" fontId="4" fillId="0" borderId="3" xfId="25" applyNumberFormat="1" applyFont="1" applyAlignment="1">
      <alignment horizontal="right" wrapText="1"/>
    </xf>
    <xf numFmtId="3" fontId="12" fillId="0" borderId="2" xfId="29" applyNumberFormat="1" applyFont="1" applyAlignment="1">
      <alignment horizontal="right" wrapText="1"/>
    </xf>
    <xf numFmtId="167" fontId="12" fillId="0" borderId="2" xfId="29" applyNumberFormat="1" applyFont="1" applyAlignment="1">
      <alignment horizontal="right" wrapText="1"/>
    </xf>
    <xf numFmtId="3" fontId="4" fillId="0" borderId="3" xfId="25" applyNumberFormat="1" applyFont="1">
      <alignment wrapText="1"/>
    </xf>
    <xf numFmtId="165" fontId="4" fillId="0" borderId="3" xfId="25" applyNumberFormat="1" applyFont="1">
      <alignment wrapText="1"/>
    </xf>
    <xf numFmtId="10" fontId="0" fillId="0" borderId="0" xfId="0" applyNumberFormat="1"/>
    <xf numFmtId="165" fontId="0" fillId="2" borderId="0" xfId="1" applyNumberFormat="1" applyFont="1" applyFill="1"/>
    <xf numFmtId="2" fontId="0" fillId="2" borderId="0" xfId="0" applyNumberFormat="1" applyFill="1"/>
    <xf numFmtId="10" fontId="0" fillId="2" borderId="0" xfId="1" applyNumberFormat="1" applyFont="1" applyFill="1"/>
    <xf numFmtId="0" fontId="3" fillId="0" borderId="0" xfId="2"/>
    <xf numFmtId="0" fontId="14" fillId="0" borderId="1" xfId="27" applyFont="1">
      <alignment wrapText="1"/>
    </xf>
    <xf numFmtId="0" fontId="0" fillId="0" borderId="1" xfId="0" applyBorder="1"/>
  </cellXfs>
  <cellStyles count="34">
    <cellStyle name="Body: normal cell" xfId="5" xr:uid="{00000000-0005-0000-0000-000005000000}"/>
    <cellStyle name="Body: normal cell 2" xfId="25" xr:uid="{00000000-0005-0000-0000-000019000000}"/>
    <cellStyle name="Body: normal cell 3" xfId="18" xr:uid="{00000000-0005-0000-0000-000012000000}"/>
    <cellStyle name="Body: normal cell 4" xfId="10" xr:uid="{00000000-0005-0000-0000-00000A000000}"/>
    <cellStyle name="Font: Calibri, 9pt regular" xfId="7" xr:uid="{00000000-0005-0000-0000-000007000000}"/>
    <cellStyle name="Font: Calibri, 9pt regular 2" xfId="26" xr:uid="{00000000-0005-0000-0000-00001A000000}"/>
    <cellStyle name="Font: Calibri, 9pt regular 3" xfId="19" xr:uid="{00000000-0005-0000-0000-000013000000}"/>
    <cellStyle name="Font: Calibri, 9pt regular 4" xfId="11" xr:uid="{00000000-0005-0000-0000-00000B000000}"/>
    <cellStyle name="Footnotes: top row" xfId="3" xr:uid="{00000000-0005-0000-0000-000003000000}"/>
    <cellStyle name="Footnotes: top row 2" xfId="27" xr:uid="{00000000-0005-0000-0000-00001B000000}"/>
    <cellStyle name="Footnotes: top row 3" xfId="20" xr:uid="{00000000-0005-0000-0000-000014000000}"/>
    <cellStyle name="Footnotes: top row 4" xfId="12" xr:uid="{00000000-0005-0000-0000-00000C000000}"/>
    <cellStyle name="Header: bottom row" xfId="6" xr:uid="{00000000-0005-0000-0000-000006000000}"/>
    <cellStyle name="Header: bottom row 2" xfId="28" xr:uid="{00000000-0005-0000-0000-00001C000000}"/>
    <cellStyle name="Header: bottom row 3" xfId="21" xr:uid="{00000000-0005-0000-0000-000015000000}"/>
    <cellStyle name="Header: bottom row 4" xfId="13" xr:uid="{00000000-0005-0000-0000-00000D000000}"/>
    <cellStyle name="Hyperlink" xfId="9" builtinId="8"/>
    <cellStyle name="Normal" xfId="0" builtinId="0"/>
    <cellStyle name="Normal 2" xfId="2" xr:uid="{00000000-0005-0000-0000-000002000000}"/>
    <cellStyle name="Normal 3" xfId="24" xr:uid="{00000000-0005-0000-0000-000018000000}"/>
    <cellStyle name="Normal 3 2" xfId="32" xr:uid="{00000000-0005-0000-0000-000020000000}"/>
    <cellStyle name="Normal 4" xfId="17" xr:uid="{00000000-0005-0000-0000-000011000000}"/>
    <cellStyle name="Normal 5" xfId="16" xr:uid="{00000000-0005-0000-0000-000010000000}"/>
    <cellStyle name="Normal 5 2" xfId="33" xr:uid="{00000000-0005-0000-0000-000021000000}"/>
    <cellStyle name="Normal 6" xfId="31" xr:uid="{00000000-0005-0000-0000-00001F000000}"/>
    <cellStyle name="Parent row" xfId="4" xr:uid="{00000000-0005-0000-0000-000004000000}"/>
    <cellStyle name="Parent row 2" xfId="29" xr:uid="{00000000-0005-0000-0000-00001D000000}"/>
    <cellStyle name="Parent row 3" xfId="22" xr:uid="{00000000-0005-0000-0000-000016000000}"/>
    <cellStyle name="Parent row 4" xfId="14" xr:uid="{00000000-0005-0000-0000-00000E000000}"/>
    <cellStyle name="Percent" xfId="1" builtinId="5"/>
    <cellStyle name="Table title" xfId="8" xr:uid="{00000000-0005-0000-0000-000008000000}"/>
    <cellStyle name="Table title 2" xfId="30" xr:uid="{00000000-0005-0000-0000-00001E000000}"/>
    <cellStyle name="Table title 3" xfId="23" xr:uid="{00000000-0005-0000-0000-000017000000}"/>
    <cellStyle name="Table title 4" xfId="15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outlooks/aeo/nems/documentation/residential/pdf/m067(2020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5"/>
  <sheetViews>
    <sheetView workbookViewId="0">
      <selection activeCell="D12" sqref="D12"/>
    </sheetView>
  </sheetViews>
  <sheetFormatPr defaultRowHeight="14.25" x14ac:dyDescent="0.45"/>
  <cols>
    <col min="2" max="2" width="52" customWidth="1"/>
  </cols>
  <sheetData>
    <row r="1" spans="1:2" x14ac:dyDescent="0.45">
      <c r="A1" s="1" t="s">
        <v>10</v>
      </c>
    </row>
    <row r="3" spans="1:2" x14ac:dyDescent="0.45">
      <c r="A3" s="1" t="s">
        <v>11</v>
      </c>
      <c r="B3" s="13" t="s">
        <v>12</v>
      </c>
    </row>
    <row r="4" spans="1:2" x14ac:dyDescent="0.45">
      <c r="B4" t="s">
        <v>13</v>
      </c>
    </row>
    <row r="5" spans="1:2" x14ac:dyDescent="0.45">
      <c r="B5" s="15">
        <v>2025</v>
      </c>
    </row>
    <row r="6" spans="1:2" x14ac:dyDescent="0.45">
      <c r="B6" t="s">
        <v>14</v>
      </c>
    </row>
    <row r="7" spans="1:2" x14ac:dyDescent="0.45">
      <c r="B7" t="s">
        <v>15</v>
      </c>
    </row>
    <row r="8" spans="1:2" x14ac:dyDescent="0.45">
      <c r="B8" t="s">
        <v>16</v>
      </c>
    </row>
    <row r="9" spans="1:2" x14ac:dyDescent="0.45">
      <c r="B9" t="s">
        <v>17</v>
      </c>
    </row>
    <row r="11" spans="1:2" x14ac:dyDescent="0.45">
      <c r="B11" s="13" t="s">
        <v>18</v>
      </c>
    </row>
    <row r="12" spans="1:2" x14ac:dyDescent="0.45">
      <c r="B12" t="s">
        <v>13</v>
      </c>
    </row>
    <row r="13" spans="1:2" x14ac:dyDescent="0.45">
      <c r="B13" s="15">
        <v>2025</v>
      </c>
    </row>
    <row r="14" spans="1:2" x14ac:dyDescent="0.45">
      <c r="B14" t="s">
        <v>14</v>
      </c>
    </row>
    <row r="15" spans="1:2" x14ac:dyDescent="0.45">
      <c r="B15" t="s">
        <v>15</v>
      </c>
    </row>
    <row r="16" spans="1:2" x14ac:dyDescent="0.45">
      <c r="B16" t="s">
        <v>19</v>
      </c>
    </row>
    <row r="17" spans="1:2" x14ac:dyDescent="0.45">
      <c r="B17" t="s">
        <v>17</v>
      </c>
    </row>
    <row r="19" spans="1:2" x14ac:dyDescent="0.45">
      <c r="B19" s="13" t="s">
        <v>20</v>
      </c>
    </row>
    <row r="20" spans="1:2" x14ac:dyDescent="0.45">
      <c r="B20" t="s">
        <v>21</v>
      </c>
    </row>
    <row r="21" spans="1:2" x14ac:dyDescent="0.45">
      <c r="B21" s="15">
        <v>2020</v>
      </c>
    </row>
    <row r="22" spans="1:2" x14ac:dyDescent="0.45">
      <c r="B22" t="s">
        <v>22</v>
      </c>
    </row>
    <row r="23" spans="1:2" x14ac:dyDescent="0.45">
      <c r="B23" s="23" t="s">
        <v>23</v>
      </c>
    </row>
    <row r="24" spans="1:2" x14ac:dyDescent="0.45">
      <c r="B24" t="s">
        <v>24</v>
      </c>
    </row>
    <row r="26" spans="1:2" x14ac:dyDescent="0.45">
      <c r="B26" s="13" t="s">
        <v>25</v>
      </c>
    </row>
    <row r="27" spans="1:2" x14ac:dyDescent="0.45">
      <c r="B27" s="16" t="s">
        <v>26</v>
      </c>
    </row>
    <row r="29" spans="1:2" x14ac:dyDescent="0.45">
      <c r="A29" s="1" t="s">
        <v>27</v>
      </c>
    </row>
    <row r="30" spans="1:2" x14ac:dyDescent="0.45">
      <c r="A30" t="s">
        <v>28</v>
      </c>
    </row>
    <row r="31" spans="1:2" x14ac:dyDescent="0.45">
      <c r="A31" t="s">
        <v>29</v>
      </c>
    </row>
    <row r="32" spans="1:2" x14ac:dyDescent="0.45">
      <c r="A32" t="s">
        <v>30</v>
      </c>
    </row>
    <row r="33" spans="1:1" x14ac:dyDescent="0.45">
      <c r="A33" t="s">
        <v>31</v>
      </c>
    </row>
    <row r="35" spans="1:1" x14ac:dyDescent="0.45">
      <c r="A35" t="s">
        <v>32</v>
      </c>
    </row>
    <row r="36" spans="1:1" x14ac:dyDescent="0.45">
      <c r="A36" t="s">
        <v>33</v>
      </c>
    </row>
    <row r="37" spans="1:1" x14ac:dyDescent="0.45">
      <c r="A37" t="s">
        <v>34</v>
      </c>
    </row>
    <row r="39" spans="1:1" x14ac:dyDescent="0.45">
      <c r="A39" t="s">
        <v>35</v>
      </c>
    </row>
    <row r="40" spans="1:1" x14ac:dyDescent="0.45">
      <c r="A40" t="s">
        <v>36</v>
      </c>
    </row>
    <row r="41" spans="1:1" x14ac:dyDescent="0.45">
      <c r="A41" t="s">
        <v>37</v>
      </c>
    </row>
    <row r="42" spans="1:1" x14ac:dyDescent="0.45">
      <c r="A42" t="s">
        <v>38</v>
      </c>
    </row>
    <row r="44" spans="1:1" x14ac:dyDescent="0.45">
      <c r="A44" t="s">
        <v>39</v>
      </c>
    </row>
    <row r="45" spans="1:1" x14ac:dyDescent="0.45">
      <c r="A45" t="s">
        <v>40</v>
      </c>
    </row>
  </sheetData>
  <hyperlinks>
    <hyperlink ref="B23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B8" sqref="B8"/>
    </sheetView>
  </sheetViews>
  <sheetFormatPr defaultRowHeight="14.25" x14ac:dyDescent="0.45"/>
  <cols>
    <col min="1" max="1" width="25.3984375" customWidth="1"/>
    <col min="2" max="2" width="14.3984375" customWidth="1"/>
  </cols>
  <sheetData>
    <row r="1" spans="1:2" x14ac:dyDescent="0.45">
      <c r="A1" s="1" t="s">
        <v>41</v>
      </c>
      <c r="B1" s="2" t="s">
        <v>42</v>
      </c>
    </row>
    <row r="2" spans="1:2" x14ac:dyDescent="0.45">
      <c r="A2" t="s">
        <v>4</v>
      </c>
      <c r="B2" s="3">
        <v>19</v>
      </c>
    </row>
    <row r="3" spans="1:2" x14ac:dyDescent="0.45">
      <c r="A3" t="s">
        <v>5</v>
      </c>
      <c r="B3" s="3">
        <v>15.83333333333333</v>
      </c>
    </row>
    <row r="4" spans="1:2" x14ac:dyDescent="0.45">
      <c r="A4" t="s">
        <v>6</v>
      </c>
      <c r="B4" s="3">
        <v>51.81818181818182</v>
      </c>
    </row>
    <row r="5" spans="1:2" x14ac:dyDescent="0.45">
      <c r="A5" t="s">
        <v>7</v>
      </c>
      <c r="B5" s="3">
        <v>9.1324200913242013</v>
      </c>
    </row>
    <row r="6" spans="1:2" x14ac:dyDescent="0.45">
      <c r="A6" t="s">
        <v>8</v>
      </c>
      <c r="B6" s="3">
        <v>13.53333333333333</v>
      </c>
    </row>
    <row r="7" spans="1:2" x14ac:dyDescent="0.45">
      <c r="A7" t="s">
        <v>9</v>
      </c>
      <c r="B7" s="3">
        <v>15.4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836"/>
  <sheetViews>
    <sheetView workbookViewId="0">
      <pane xSplit="2" ySplit="1" topLeftCell="C157" activePane="bottomRight" state="frozen"/>
      <selection pane="topRight" activeCell="C1" sqref="C1"/>
      <selection pane="bottomLeft" activeCell="A2" sqref="A2"/>
      <selection pane="bottomRight" activeCell="B171" sqref="B171"/>
    </sheetView>
  </sheetViews>
  <sheetFormatPr defaultColWidth="8.73046875" defaultRowHeight="15" customHeight="1" x14ac:dyDescent="0.35"/>
  <cols>
    <col min="1" max="1" width="18.86328125" style="6" customWidth="1"/>
    <col min="2" max="2" width="46.73046875" style="6" customWidth="1"/>
    <col min="3" max="33" width="8.73046875" style="6" customWidth="1"/>
    <col min="34" max="34" width="8.73046875" style="6" bestFit="1" customWidth="1"/>
    <col min="35" max="35" width="8.73046875" style="6" customWidth="1"/>
    <col min="36" max="16384" width="8.73046875" style="6"/>
  </cols>
  <sheetData>
    <row r="1" spans="1:34" ht="15" customHeight="1" thickBot="1" x14ac:dyDescent="0.4">
      <c r="B1" s="24" t="s">
        <v>43</v>
      </c>
      <c r="C1" s="25">
        <v>2022</v>
      </c>
      <c r="D1" s="25">
        <v>2023</v>
      </c>
      <c r="E1" s="25">
        <v>2024</v>
      </c>
      <c r="F1" s="25">
        <v>2025</v>
      </c>
      <c r="G1" s="25">
        <v>2026</v>
      </c>
      <c r="H1" s="25">
        <v>2027</v>
      </c>
      <c r="I1" s="25">
        <v>2028</v>
      </c>
      <c r="J1" s="25">
        <v>2029</v>
      </c>
      <c r="K1" s="25">
        <v>2030</v>
      </c>
      <c r="L1" s="25">
        <v>2031</v>
      </c>
      <c r="M1" s="25">
        <v>2032</v>
      </c>
      <c r="N1" s="25">
        <v>2033</v>
      </c>
      <c r="O1" s="25">
        <v>2034</v>
      </c>
      <c r="P1" s="25">
        <v>2035</v>
      </c>
      <c r="Q1" s="25">
        <v>2036</v>
      </c>
      <c r="R1" s="25">
        <v>2037</v>
      </c>
      <c r="S1" s="25">
        <v>2038</v>
      </c>
      <c r="T1" s="25">
        <v>2039</v>
      </c>
      <c r="U1" s="25">
        <v>2040</v>
      </c>
      <c r="V1" s="25">
        <v>2041</v>
      </c>
      <c r="W1" s="25">
        <v>2042</v>
      </c>
      <c r="X1" s="25">
        <v>2043</v>
      </c>
      <c r="Y1" s="25">
        <v>2044</v>
      </c>
      <c r="Z1" s="25">
        <v>2045</v>
      </c>
      <c r="AA1" s="25">
        <v>2046</v>
      </c>
      <c r="AB1" s="25">
        <v>2047</v>
      </c>
      <c r="AC1" s="25">
        <v>2048</v>
      </c>
      <c r="AD1" s="25">
        <v>2049</v>
      </c>
      <c r="AE1" s="25">
        <v>2050</v>
      </c>
    </row>
    <row r="2" spans="1:34" ht="15" customHeight="1" thickTop="1" x14ac:dyDescent="0.35"/>
    <row r="3" spans="1:34" ht="15" customHeight="1" x14ac:dyDescent="0.4">
      <c r="C3" s="44" t="s">
        <v>44</v>
      </c>
      <c r="D3" s="44" t="s">
        <v>45</v>
      </c>
      <c r="E3" s="28"/>
      <c r="F3" s="28"/>
      <c r="G3" s="28"/>
    </row>
    <row r="4" spans="1:34" ht="15" customHeight="1" x14ac:dyDescent="0.4">
      <c r="C4" s="44" t="s">
        <v>46</v>
      </c>
      <c r="D4" s="44" t="s">
        <v>47</v>
      </c>
      <c r="E4" s="28"/>
      <c r="F4" s="28"/>
      <c r="G4" s="44" t="s">
        <v>48</v>
      </c>
    </row>
    <row r="5" spans="1:34" ht="15" customHeight="1" x14ac:dyDescent="0.4">
      <c r="C5" s="44" t="s">
        <v>49</v>
      </c>
      <c r="D5" s="44" t="s">
        <v>50</v>
      </c>
      <c r="E5" s="28"/>
      <c r="F5" s="28"/>
      <c r="G5" s="28"/>
    </row>
    <row r="6" spans="1:34" ht="15" customHeight="1" x14ac:dyDescent="0.4">
      <c r="C6" s="44" t="s">
        <v>51</v>
      </c>
      <c r="D6" s="28"/>
      <c r="E6" s="44" t="s">
        <v>52</v>
      </c>
      <c r="F6" s="28"/>
      <c r="G6" s="28"/>
    </row>
    <row r="9" spans="1:34" ht="15" customHeight="1" x14ac:dyDescent="0.35"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ht="15" customHeight="1" x14ac:dyDescent="0.5">
      <c r="A10" s="26" t="s">
        <v>53</v>
      </c>
      <c r="B10" s="29" t="s">
        <v>54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30" t="s">
        <v>55</v>
      </c>
      <c r="AG10" s="27"/>
      <c r="AH10" s="22"/>
    </row>
    <row r="11" spans="1:34" ht="15" customHeight="1" x14ac:dyDescent="0.35">
      <c r="B11" s="31" t="s">
        <v>56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30" t="s">
        <v>57</v>
      </c>
      <c r="AG11" s="27"/>
      <c r="AH11" s="22"/>
    </row>
    <row r="12" spans="1:34" ht="15" customHeight="1" x14ac:dyDescent="0.35"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0" t="s">
        <v>58</v>
      </c>
      <c r="AG12" s="27"/>
      <c r="AH12" s="22"/>
    </row>
    <row r="13" spans="1:34" ht="15" customHeight="1" thickBot="1" x14ac:dyDescent="0.4">
      <c r="B13" s="33" t="s">
        <v>59</v>
      </c>
      <c r="C13" s="33">
        <v>2022</v>
      </c>
      <c r="D13" s="33">
        <v>2023</v>
      </c>
      <c r="E13" s="33">
        <v>2024</v>
      </c>
      <c r="F13" s="33">
        <v>2025</v>
      </c>
      <c r="G13" s="33">
        <v>2026</v>
      </c>
      <c r="H13" s="33">
        <v>2027</v>
      </c>
      <c r="I13" s="33">
        <v>2028</v>
      </c>
      <c r="J13" s="33">
        <v>2029</v>
      </c>
      <c r="K13" s="33">
        <v>2030</v>
      </c>
      <c r="L13" s="33">
        <v>2031</v>
      </c>
      <c r="M13" s="33">
        <v>2032</v>
      </c>
      <c r="N13" s="33">
        <v>2033</v>
      </c>
      <c r="O13" s="33">
        <v>2034</v>
      </c>
      <c r="P13" s="33">
        <v>2035</v>
      </c>
      <c r="Q13" s="33">
        <v>2036</v>
      </c>
      <c r="R13" s="33">
        <v>2037</v>
      </c>
      <c r="S13" s="33">
        <v>2038</v>
      </c>
      <c r="T13" s="33">
        <v>2039</v>
      </c>
      <c r="U13" s="33">
        <v>2040</v>
      </c>
      <c r="V13" s="33">
        <v>2041</v>
      </c>
      <c r="W13" s="33">
        <v>2042</v>
      </c>
      <c r="X13" s="33">
        <v>2043</v>
      </c>
      <c r="Y13" s="33">
        <v>2044</v>
      </c>
      <c r="Z13" s="33">
        <v>2045</v>
      </c>
      <c r="AA13" s="33">
        <v>2046</v>
      </c>
      <c r="AB13" s="33">
        <v>2047</v>
      </c>
      <c r="AC13" s="33">
        <v>2048</v>
      </c>
      <c r="AD13" s="33">
        <v>2049</v>
      </c>
      <c r="AE13" s="33">
        <v>2050</v>
      </c>
      <c r="AF13" s="34" t="s">
        <v>60</v>
      </c>
      <c r="AG13" s="27"/>
      <c r="AH13" s="21"/>
    </row>
    <row r="14" spans="1:34" ht="15" customHeight="1" thickTop="1" x14ac:dyDescent="0.35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</row>
    <row r="15" spans="1:34" ht="15" customHeight="1" x14ac:dyDescent="0.35">
      <c r="B15" s="35" t="s">
        <v>61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</row>
    <row r="16" spans="1:34" ht="15" customHeight="1" x14ac:dyDescent="0.35">
      <c r="B16" s="35" t="s">
        <v>62</v>
      </c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</row>
    <row r="17" spans="1:34" ht="15" customHeight="1" x14ac:dyDescent="0.45">
      <c r="A17" s="26" t="s">
        <v>63</v>
      </c>
      <c r="B17" s="36" t="s">
        <v>64</v>
      </c>
      <c r="C17" s="37">
        <v>86.924255000000002</v>
      </c>
      <c r="D17" s="37">
        <v>87.748610999999997</v>
      </c>
      <c r="E17" s="37">
        <v>88.618674999999996</v>
      </c>
      <c r="F17" s="37">
        <v>89.519981000000001</v>
      </c>
      <c r="G17" s="37">
        <v>90.411308000000005</v>
      </c>
      <c r="H17" s="37">
        <v>91.302132</v>
      </c>
      <c r="I17" s="37">
        <v>92.198265000000006</v>
      </c>
      <c r="J17" s="37">
        <v>93.091507000000007</v>
      </c>
      <c r="K17" s="37">
        <v>93.970618999999999</v>
      </c>
      <c r="L17" s="37">
        <v>94.836555000000004</v>
      </c>
      <c r="M17" s="37">
        <v>95.694557000000003</v>
      </c>
      <c r="N17" s="37">
        <v>96.533203</v>
      </c>
      <c r="O17" s="37">
        <v>97.347885000000005</v>
      </c>
      <c r="P17" s="37">
        <v>98.154381000000001</v>
      </c>
      <c r="Q17" s="37">
        <v>98.959145000000007</v>
      </c>
      <c r="R17" s="37">
        <v>99.757239999999996</v>
      </c>
      <c r="S17" s="37">
        <v>100.55006400000001</v>
      </c>
      <c r="T17" s="37">
        <v>101.334656</v>
      </c>
      <c r="U17" s="37">
        <v>102.12499200000001</v>
      </c>
      <c r="V17" s="37">
        <v>102.91761</v>
      </c>
      <c r="W17" s="37">
        <v>103.69783</v>
      </c>
      <c r="X17" s="37">
        <v>104.47331200000001</v>
      </c>
      <c r="Y17" s="37">
        <v>105.24597199999999</v>
      </c>
      <c r="Z17" s="37">
        <v>106.016052</v>
      </c>
      <c r="AA17" s="37">
        <v>106.78051000000001</v>
      </c>
      <c r="AB17" s="37">
        <v>107.538147</v>
      </c>
      <c r="AC17" s="37">
        <v>108.286224</v>
      </c>
      <c r="AD17" s="37">
        <v>109.022423</v>
      </c>
      <c r="AE17" s="37">
        <v>109.74867999999999</v>
      </c>
      <c r="AF17" s="38">
        <v>8.3619999999999996E-3</v>
      </c>
      <c r="AG17" s="27"/>
      <c r="AH17" s="20"/>
    </row>
    <row r="18" spans="1:34" ht="15" customHeight="1" x14ac:dyDescent="0.45">
      <c r="A18" s="26" t="s">
        <v>65</v>
      </c>
      <c r="B18" s="36" t="s">
        <v>66</v>
      </c>
      <c r="C18" s="37">
        <v>32.842151999999999</v>
      </c>
      <c r="D18" s="37">
        <v>33.209229000000001</v>
      </c>
      <c r="E18" s="37">
        <v>33.535468999999999</v>
      </c>
      <c r="F18" s="37">
        <v>33.858150000000002</v>
      </c>
      <c r="G18" s="37">
        <v>34.181629000000001</v>
      </c>
      <c r="H18" s="37">
        <v>34.507632999999998</v>
      </c>
      <c r="I18" s="37">
        <v>34.834254999999999</v>
      </c>
      <c r="J18" s="37">
        <v>35.155056000000002</v>
      </c>
      <c r="K18" s="37">
        <v>35.465130000000002</v>
      </c>
      <c r="L18" s="37">
        <v>35.769081</v>
      </c>
      <c r="M18" s="37">
        <v>36.071800000000003</v>
      </c>
      <c r="N18" s="37">
        <v>36.366607999999999</v>
      </c>
      <c r="O18" s="37">
        <v>36.650593000000001</v>
      </c>
      <c r="P18" s="37">
        <v>36.930110999999997</v>
      </c>
      <c r="Q18" s="37">
        <v>37.212017000000003</v>
      </c>
      <c r="R18" s="37">
        <v>37.496158999999999</v>
      </c>
      <c r="S18" s="37">
        <v>37.783923999999999</v>
      </c>
      <c r="T18" s="37">
        <v>38.073307</v>
      </c>
      <c r="U18" s="37">
        <v>38.36647</v>
      </c>
      <c r="V18" s="37">
        <v>38.656506</v>
      </c>
      <c r="W18" s="37">
        <v>38.941955999999998</v>
      </c>
      <c r="X18" s="37">
        <v>39.223990999999998</v>
      </c>
      <c r="Y18" s="37">
        <v>39.501944999999999</v>
      </c>
      <c r="Z18" s="37">
        <v>39.776778999999998</v>
      </c>
      <c r="AA18" s="37">
        <v>40.048442999999999</v>
      </c>
      <c r="AB18" s="37">
        <v>40.322777000000002</v>
      </c>
      <c r="AC18" s="37">
        <v>40.595905000000002</v>
      </c>
      <c r="AD18" s="37">
        <v>40.869537000000001</v>
      </c>
      <c r="AE18" s="37">
        <v>41.144089000000001</v>
      </c>
      <c r="AF18" s="38">
        <v>8.0809999999999996E-3</v>
      </c>
      <c r="AG18" s="27"/>
      <c r="AH18" s="20"/>
    </row>
    <row r="19" spans="1:34" ht="15" customHeight="1" x14ac:dyDescent="0.45">
      <c r="A19" s="26" t="s">
        <v>67</v>
      </c>
      <c r="B19" s="36" t="s">
        <v>68</v>
      </c>
      <c r="C19" s="37">
        <v>6.6483759999999998</v>
      </c>
      <c r="D19" s="37">
        <v>6.6544350000000003</v>
      </c>
      <c r="E19" s="37">
        <v>6.6577469999999996</v>
      </c>
      <c r="F19" s="37">
        <v>6.6602829999999997</v>
      </c>
      <c r="G19" s="37">
        <v>6.66859</v>
      </c>
      <c r="H19" s="37">
        <v>6.680898</v>
      </c>
      <c r="I19" s="37">
        <v>6.6957050000000002</v>
      </c>
      <c r="J19" s="37">
        <v>6.7098389999999997</v>
      </c>
      <c r="K19" s="37">
        <v>6.7178110000000002</v>
      </c>
      <c r="L19" s="37">
        <v>6.7220909999999998</v>
      </c>
      <c r="M19" s="37">
        <v>6.7270110000000001</v>
      </c>
      <c r="N19" s="37">
        <v>6.7340980000000004</v>
      </c>
      <c r="O19" s="37">
        <v>6.7406730000000001</v>
      </c>
      <c r="P19" s="37">
        <v>6.7449050000000002</v>
      </c>
      <c r="Q19" s="37">
        <v>6.7499500000000001</v>
      </c>
      <c r="R19" s="37">
        <v>6.7524220000000001</v>
      </c>
      <c r="S19" s="37">
        <v>6.7519479999999996</v>
      </c>
      <c r="T19" s="37">
        <v>6.7501660000000001</v>
      </c>
      <c r="U19" s="37">
        <v>6.7508609999999996</v>
      </c>
      <c r="V19" s="37">
        <v>6.7531869999999996</v>
      </c>
      <c r="W19" s="37">
        <v>6.7562660000000001</v>
      </c>
      <c r="X19" s="37">
        <v>6.759341</v>
      </c>
      <c r="Y19" s="37">
        <v>6.7618809999999998</v>
      </c>
      <c r="Z19" s="37">
        <v>6.7638369999999997</v>
      </c>
      <c r="AA19" s="37">
        <v>6.7644349999999998</v>
      </c>
      <c r="AB19" s="37">
        <v>6.7655010000000004</v>
      </c>
      <c r="AC19" s="37">
        <v>6.7664489999999997</v>
      </c>
      <c r="AD19" s="37">
        <v>6.7667669999999998</v>
      </c>
      <c r="AE19" s="37">
        <v>6.7672350000000003</v>
      </c>
      <c r="AF19" s="38">
        <v>6.3299999999999999E-4</v>
      </c>
      <c r="AG19" s="27"/>
      <c r="AH19" s="20"/>
    </row>
    <row r="20" spans="1:34" ht="15" customHeight="1" x14ac:dyDescent="0.35">
      <c r="A20" s="26" t="s">
        <v>69</v>
      </c>
      <c r="B20" s="35" t="s">
        <v>70</v>
      </c>
      <c r="C20" s="39">
        <v>126.41477999999999</v>
      </c>
      <c r="D20" s="39">
        <v>127.612274</v>
      </c>
      <c r="E20" s="39">
        <v>128.81189000000001</v>
      </c>
      <c r="F20" s="39">
        <v>130.03840600000001</v>
      </c>
      <c r="G20" s="39">
        <v>131.26153600000001</v>
      </c>
      <c r="H20" s="39">
        <v>132.49066199999999</v>
      </c>
      <c r="I20" s="39">
        <v>133.72822600000001</v>
      </c>
      <c r="J20" s="39">
        <v>134.95640599999999</v>
      </c>
      <c r="K20" s="39">
        <v>136.153549</v>
      </c>
      <c r="L20" s="39">
        <v>137.32772800000001</v>
      </c>
      <c r="M20" s="39">
        <v>138.49336199999999</v>
      </c>
      <c r="N20" s="39">
        <v>139.63391100000001</v>
      </c>
      <c r="O20" s="39">
        <v>140.73915099999999</v>
      </c>
      <c r="P20" s="39">
        <v>141.82939099999999</v>
      </c>
      <c r="Q20" s="39">
        <v>142.92111199999999</v>
      </c>
      <c r="R20" s="39">
        <v>144.00582900000001</v>
      </c>
      <c r="S20" s="39">
        <v>145.085938</v>
      </c>
      <c r="T20" s="39">
        <v>146.15812700000001</v>
      </c>
      <c r="U20" s="39">
        <v>147.24231</v>
      </c>
      <c r="V20" s="39">
        <v>148.32730100000001</v>
      </c>
      <c r="W20" s="39">
        <v>149.39605700000001</v>
      </c>
      <c r="X20" s="39">
        <v>150.45663500000001</v>
      </c>
      <c r="Y20" s="39">
        <v>151.50981100000001</v>
      </c>
      <c r="Z20" s="39">
        <v>152.55667099999999</v>
      </c>
      <c r="AA20" s="39">
        <v>153.59338399999999</v>
      </c>
      <c r="AB20" s="39">
        <v>154.62643399999999</v>
      </c>
      <c r="AC20" s="39">
        <v>155.64857499999999</v>
      </c>
      <c r="AD20" s="39">
        <v>156.658737</v>
      </c>
      <c r="AE20" s="39">
        <v>157.66000399999999</v>
      </c>
      <c r="AF20" s="40">
        <v>7.92E-3</v>
      </c>
      <c r="AG20" s="27"/>
      <c r="AH20" s="19"/>
    </row>
    <row r="21" spans="1:34" ht="15" customHeight="1" x14ac:dyDescent="0.35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</row>
    <row r="22" spans="1:34" ht="15" customHeight="1" x14ac:dyDescent="0.35">
      <c r="A22" s="26" t="s">
        <v>71</v>
      </c>
      <c r="B22" s="35" t="s">
        <v>72</v>
      </c>
      <c r="C22" s="43">
        <v>1798.9157709999999</v>
      </c>
      <c r="D22" s="43">
        <v>1803.520874</v>
      </c>
      <c r="E22" s="43">
        <v>1808.4263920000001</v>
      </c>
      <c r="F22" s="43">
        <v>1813.318481</v>
      </c>
      <c r="G22" s="43">
        <v>1818.0804439999999</v>
      </c>
      <c r="H22" s="43">
        <v>1822.7229</v>
      </c>
      <c r="I22" s="43">
        <v>1827.2777100000001</v>
      </c>
      <c r="J22" s="43">
        <v>1831.8000489999999</v>
      </c>
      <c r="K22" s="43">
        <v>1836.3393550000001</v>
      </c>
      <c r="L22" s="43">
        <v>1840.849487</v>
      </c>
      <c r="M22" s="43">
        <v>1845.2855219999999</v>
      </c>
      <c r="N22" s="43">
        <v>1849.6773679999999</v>
      </c>
      <c r="O22" s="43">
        <v>1854.0607910000001</v>
      </c>
      <c r="P22" s="43">
        <v>1858.411255</v>
      </c>
      <c r="Q22" s="43">
        <v>1862.6759030000001</v>
      </c>
      <c r="R22" s="43">
        <v>1866.8663329999999</v>
      </c>
      <c r="S22" s="43">
        <v>1870.9754640000001</v>
      </c>
      <c r="T22" s="43">
        <v>1875.0113530000001</v>
      </c>
      <c r="U22" s="43">
        <v>1878.957764</v>
      </c>
      <c r="V22" s="43">
        <v>1882.868408</v>
      </c>
      <c r="W22" s="43">
        <v>1886.739746</v>
      </c>
      <c r="X22" s="43">
        <v>1890.5778809999999</v>
      </c>
      <c r="Y22" s="43">
        <v>1894.3920900000001</v>
      </c>
      <c r="Z22" s="43">
        <v>1898.1798100000001</v>
      </c>
      <c r="AA22" s="43">
        <v>1901.9388429999999</v>
      </c>
      <c r="AB22" s="43">
        <v>1905.62085</v>
      </c>
      <c r="AC22" s="43">
        <v>1909.2523189999999</v>
      </c>
      <c r="AD22" s="43">
        <v>1912.822876</v>
      </c>
      <c r="AE22" s="43">
        <v>1916.330322</v>
      </c>
      <c r="AF22" s="40">
        <v>2.261E-3</v>
      </c>
      <c r="AG22" s="27"/>
      <c r="AH22" s="19"/>
    </row>
    <row r="23" spans="1:34" ht="15" customHeight="1" x14ac:dyDescent="0.35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</row>
    <row r="24" spans="1:34" ht="15" customHeight="1" x14ac:dyDescent="0.35">
      <c r="B24" s="35" t="s">
        <v>73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</row>
    <row r="25" spans="1:34" ht="15" customHeight="1" x14ac:dyDescent="0.35">
      <c r="B25" s="35" t="s">
        <v>74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</row>
    <row r="26" spans="1:34" ht="15" customHeight="1" x14ac:dyDescent="0.45">
      <c r="A26" s="26" t="s">
        <v>75</v>
      </c>
      <c r="B26" s="36" t="s">
        <v>76</v>
      </c>
      <c r="C26" s="42">
        <v>93.909476999999995</v>
      </c>
      <c r="D26" s="42">
        <v>92.769119000000003</v>
      </c>
      <c r="E26" s="42">
        <v>89.479934999999998</v>
      </c>
      <c r="F26" s="42">
        <v>89.052955999999995</v>
      </c>
      <c r="G26" s="42">
        <v>88.647407999999999</v>
      </c>
      <c r="H26" s="42">
        <v>88.231392</v>
      </c>
      <c r="I26" s="42">
        <v>87.719673</v>
      </c>
      <c r="J26" s="42">
        <v>87.082458000000003</v>
      </c>
      <c r="K26" s="42">
        <v>86.372932000000006</v>
      </c>
      <c r="L26" s="42">
        <v>85.637900999999999</v>
      </c>
      <c r="M26" s="42">
        <v>84.930008000000001</v>
      </c>
      <c r="N26" s="42">
        <v>84.330368000000007</v>
      </c>
      <c r="O26" s="42">
        <v>83.726021000000003</v>
      </c>
      <c r="P26" s="42">
        <v>83.229088000000004</v>
      </c>
      <c r="Q26" s="42">
        <v>82.803543000000005</v>
      </c>
      <c r="R26" s="42">
        <v>82.429969999999997</v>
      </c>
      <c r="S26" s="42">
        <v>82.039726000000002</v>
      </c>
      <c r="T26" s="42">
        <v>81.693481000000006</v>
      </c>
      <c r="U26" s="42">
        <v>81.360573000000002</v>
      </c>
      <c r="V26" s="42">
        <v>81.060019999999994</v>
      </c>
      <c r="W26" s="42">
        <v>80.817672999999999</v>
      </c>
      <c r="X26" s="42">
        <v>80.633194000000003</v>
      </c>
      <c r="Y26" s="42">
        <v>80.500007999999994</v>
      </c>
      <c r="Z26" s="42">
        <v>80.389549000000002</v>
      </c>
      <c r="AA26" s="42">
        <v>80.279944999999998</v>
      </c>
      <c r="AB26" s="42">
        <v>80.223388999999997</v>
      </c>
      <c r="AC26" s="42">
        <v>80.211196999999999</v>
      </c>
      <c r="AD26" s="42">
        <v>80.229491999999993</v>
      </c>
      <c r="AE26" s="42">
        <v>80.285049000000001</v>
      </c>
      <c r="AF26" s="38">
        <v>-5.5830000000000003E-3</v>
      </c>
      <c r="AG26" s="27"/>
      <c r="AH26" s="20"/>
    </row>
    <row r="27" spans="1:34" ht="15" customHeight="1" x14ac:dyDescent="0.45">
      <c r="A27" s="26" t="s">
        <v>77</v>
      </c>
      <c r="B27" s="36" t="s">
        <v>78</v>
      </c>
      <c r="C27" s="42">
        <v>93.023323000000005</v>
      </c>
      <c r="D27" s="42">
        <v>91.801674000000006</v>
      </c>
      <c r="E27" s="42">
        <v>88.420021000000006</v>
      </c>
      <c r="F27" s="42">
        <v>87.901168999999996</v>
      </c>
      <c r="G27" s="42">
        <v>87.405547999999996</v>
      </c>
      <c r="H27" s="42">
        <v>86.898582000000005</v>
      </c>
      <c r="I27" s="42">
        <v>86.294922</v>
      </c>
      <c r="J27" s="42">
        <v>85.563857999999996</v>
      </c>
      <c r="K27" s="42">
        <v>84.758437999999998</v>
      </c>
      <c r="L27" s="42">
        <v>83.924873000000005</v>
      </c>
      <c r="M27" s="42">
        <v>83.114104999999995</v>
      </c>
      <c r="N27" s="42">
        <v>82.411513999999997</v>
      </c>
      <c r="O27" s="42">
        <v>81.703484000000003</v>
      </c>
      <c r="P27" s="42">
        <v>81.117576999999997</v>
      </c>
      <c r="Q27" s="42">
        <v>80.600104999999999</v>
      </c>
      <c r="R27" s="42">
        <v>80.131668000000005</v>
      </c>
      <c r="S27" s="42">
        <v>79.641068000000004</v>
      </c>
      <c r="T27" s="42">
        <v>79.188064999999995</v>
      </c>
      <c r="U27" s="42">
        <v>78.743117999999996</v>
      </c>
      <c r="V27" s="42">
        <v>78.324791000000005</v>
      </c>
      <c r="W27" s="42">
        <v>77.958663999999999</v>
      </c>
      <c r="X27" s="42">
        <v>77.644553999999999</v>
      </c>
      <c r="Y27" s="42">
        <v>77.377632000000006</v>
      </c>
      <c r="Z27" s="42">
        <v>77.127983</v>
      </c>
      <c r="AA27" s="42">
        <v>76.874870000000001</v>
      </c>
      <c r="AB27" s="42">
        <v>76.670601000000005</v>
      </c>
      <c r="AC27" s="42">
        <v>76.504470999999995</v>
      </c>
      <c r="AD27" s="42">
        <v>76.365882999999997</v>
      </c>
      <c r="AE27" s="42">
        <v>76.260413999999997</v>
      </c>
      <c r="AF27" s="38">
        <v>-7.071E-3</v>
      </c>
      <c r="AG27" s="27"/>
      <c r="AH27" s="20"/>
    </row>
    <row r="28" spans="1:34" ht="15" customHeight="1" x14ac:dyDescent="0.35">
      <c r="B28" s="35" t="s">
        <v>79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</row>
    <row r="29" spans="1:34" ht="15" customHeight="1" x14ac:dyDescent="0.45">
      <c r="A29" s="26" t="s">
        <v>80</v>
      </c>
      <c r="B29" s="36" t="s">
        <v>76</v>
      </c>
      <c r="C29" s="42">
        <v>52.203377000000003</v>
      </c>
      <c r="D29" s="42">
        <v>51.437781999999999</v>
      </c>
      <c r="E29" s="42">
        <v>49.479443000000003</v>
      </c>
      <c r="F29" s="42">
        <v>49.110489000000001</v>
      </c>
      <c r="G29" s="42">
        <v>48.758792999999997</v>
      </c>
      <c r="H29" s="42">
        <v>48.406364000000004</v>
      </c>
      <c r="I29" s="42">
        <v>48.005661000000003</v>
      </c>
      <c r="J29" s="42">
        <v>47.539284000000002</v>
      </c>
      <c r="K29" s="42">
        <v>47.035389000000002</v>
      </c>
      <c r="L29" s="42">
        <v>46.520859000000002</v>
      </c>
      <c r="M29" s="42">
        <v>46.025402</v>
      </c>
      <c r="N29" s="42">
        <v>45.591934000000002</v>
      </c>
      <c r="O29" s="42">
        <v>45.158183999999999</v>
      </c>
      <c r="P29" s="42">
        <v>44.785075999999997</v>
      </c>
      <c r="Q29" s="42">
        <v>44.454079</v>
      </c>
      <c r="R29" s="42">
        <v>44.15419</v>
      </c>
      <c r="S29" s="42">
        <v>43.848636999999997</v>
      </c>
      <c r="T29" s="42">
        <v>43.569595</v>
      </c>
      <c r="U29" s="42">
        <v>43.300902999999998</v>
      </c>
      <c r="V29" s="42">
        <v>43.051346000000002</v>
      </c>
      <c r="W29" s="42">
        <v>42.834560000000003</v>
      </c>
      <c r="X29" s="42">
        <v>42.650024000000002</v>
      </c>
      <c r="Y29" s="42">
        <v>42.493847000000002</v>
      </c>
      <c r="Z29" s="42">
        <v>42.350861000000002</v>
      </c>
      <c r="AA29" s="42">
        <v>42.209533999999998</v>
      </c>
      <c r="AB29" s="42">
        <v>42.098292999999998</v>
      </c>
      <c r="AC29" s="42">
        <v>42.011837</v>
      </c>
      <c r="AD29" s="42">
        <v>41.942982000000001</v>
      </c>
      <c r="AE29" s="42">
        <v>41.895203000000002</v>
      </c>
      <c r="AF29" s="38">
        <v>-7.8250000000000004E-3</v>
      </c>
      <c r="AG29" s="27"/>
      <c r="AH29" s="20"/>
    </row>
    <row r="30" spans="1:34" ht="15" customHeight="1" x14ac:dyDescent="0.45">
      <c r="A30" s="26" t="s">
        <v>81</v>
      </c>
      <c r="B30" s="36" t="s">
        <v>78</v>
      </c>
      <c r="C30" s="42">
        <v>51.710773000000003</v>
      </c>
      <c r="D30" s="42">
        <v>50.901363000000003</v>
      </c>
      <c r="E30" s="42">
        <v>48.893349000000001</v>
      </c>
      <c r="F30" s="42">
        <v>48.475307000000001</v>
      </c>
      <c r="G30" s="42">
        <v>48.075733</v>
      </c>
      <c r="H30" s="42">
        <v>47.675148</v>
      </c>
      <c r="I30" s="42">
        <v>47.225948000000002</v>
      </c>
      <c r="J30" s="42">
        <v>46.710258000000003</v>
      </c>
      <c r="K30" s="42">
        <v>46.156193000000002</v>
      </c>
      <c r="L30" s="42">
        <v>45.590297999999997</v>
      </c>
      <c r="M30" s="42">
        <v>45.041325000000001</v>
      </c>
      <c r="N30" s="42">
        <v>44.554535000000001</v>
      </c>
      <c r="O30" s="42">
        <v>44.067314000000003</v>
      </c>
      <c r="P30" s="42">
        <v>43.648884000000002</v>
      </c>
      <c r="Q30" s="42">
        <v>43.271141</v>
      </c>
      <c r="R30" s="42">
        <v>42.923088</v>
      </c>
      <c r="S30" s="42">
        <v>42.566600999999999</v>
      </c>
      <c r="T30" s="42">
        <v>42.233378999999999</v>
      </c>
      <c r="U30" s="42">
        <v>41.907867000000003</v>
      </c>
      <c r="V30" s="42">
        <v>41.598655999999998</v>
      </c>
      <c r="W30" s="42">
        <v>41.319248000000002</v>
      </c>
      <c r="X30" s="42">
        <v>41.069217999999999</v>
      </c>
      <c r="Y30" s="42">
        <v>40.845627</v>
      </c>
      <c r="Z30" s="42">
        <v>40.632603000000003</v>
      </c>
      <c r="AA30" s="42">
        <v>40.419212000000002</v>
      </c>
      <c r="AB30" s="42">
        <v>40.233921000000002</v>
      </c>
      <c r="AC30" s="42">
        <v>40.070380999999998</v>
      </c>
      <c r="AD30" s="42">
        <v>39.923133999999997</v>
      </c>
      <c r="AE30" s="42">
        <v>39.795025000000003</v>
      </c>
      <c r="AF30" s="38">
        <v>-9.3109999999999998E-3</v>
      </c>
      <c r="AG30" s="27"/>
      <c r="AH30" s="20"/>
    </row>
    <row r="31" spans="1:34" ht="15" customHeight="1" x14ac:dyDescent="0.35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</row>
    <row r="32" spans="1:34" ht="15" customHeight="1" x14ac:dyDescent="0.35">
      <c r="B32" s="35" t="s">
        <v>82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</row>
    <row r="33" spans="1:34" ht="15" customHeight="1" x14ac:dyDescent="0.35">
      <c r="B33" s="35" t="s">
        <v>83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</row>
    <row r="34" spans="1:34" ht="15" customHeight="1" x14ac:dyDescent="0.45">
      <c r="A34" s="26" t="s">
        <v>84</v>
      </c>
      <c r="B34" s="36" t="s">
        <v>85</v>
      </c>
      <c r="C34" s="37">
        <v>0.74561999999999995</v>
      </c>
      <c r="D34" s="37">
        <v>0.74402500000000005</v>
      </c>
      <c r="E34" s="37">
        <v>0.65757200000000005</v>
      </c>
      <c r="F34" s="37">
        <v>0.65694900000000001</v>
      </c>
      <c r="G34" s="37">
        <v>0.65573199999999998</v>
      </c>
      <c r="H34" s="37">
        <v>0.65321499999999999</v>
      </c>
      <c r="I34" s="37">
        <v>0.64940799999999999</v>
      </c>
      <c r="J34" s="37">
        <v>0.64433799999999997</v>
      </c>
      <c r="K34" s="37">
        <v>0.63785099999999995</v>
      </c>
      <c r="L34" s="37">
        <v>0.63049299999999997</v>
      </c>
      <c r="M34" s="37">
        <v>0.62302299999999999</v>
      </c>
      <c r="N34" s="37">
        <v>0.61513200000000001</v>
      </c>
      <c r="O34" s="37">
        <v>0.606908</v>
      </c>
      <c r="P34" s="37">
        <v>0.59983799999999998</v>
      </c>
      <c r="Q34" s="37">
        <v>0.59312200000000004</v>
      </c>
      <c r="R34" s="37">
        <v>0.58654700000000004</v>
      </c>
      <c r="S34" s="37">
        <v>0.57942300000000002</v>
      </c>
      <c r="T34" s="37">
        <v>0.57227499999999998</v>
      </c>
      <c r="U34" s="37">
        <v>0.56561099999999997</v>
      </c>
      <c r="V34" s="37">
        <v>0.55932499999999996</v>
      </c>
      <c r="W34" s="37">
        <v>0.55341399999999996</v>
      </c>
      <c r="X34" s="37">
        <v>0.54783000000000004</v>
      </c>
      <c r="Y34" s="37">
        <v>0.54221399999999997</v>
      </c>
      <c r="Z34" s="37">
        <v>0.53667600000000004</v>
      </c>
      <c r="AA34" s="37">
        <v>0.53138099999999999</v>
      </c>
      <c r="AB34" s="37">
        <v>0.526393</v>
      </c>
      <c r="AC34" s="37">
        <v>0.52143200000000001</v>
      </c>
      <c r="AD34" s="37">
        <v>0.51668800000000004</v>
      </c>
      <c r="AE34" s="37">
        <v>0.51238399999999995</v>
      </c>
      <c r="AF34" s="38">
        <v>-1.3309E-2</v>
      </c>
      <c r="AG34" s="27"/>
      <c r="AH34" s="20"/>
    </row>
    <row r="35" spans="1:34" ht="15" customHeight="1" x14ac:dyDescent="0.45">
      <c r="A35" s="26" t="s">
        <v>86</v>
      </c>
      <c r="B35" s="36" t="s">
        <v>87</v>
      </c>
      <c r="C35" s="37">
        <v>0.85358699999999998</v>
      </c>
      <c r="D35" s="37">
        <v>0.73519199999999996</v>
      </c>
      <c r="E35" s="37">
        <v>0.89090899999999995</v>
      </c>
      <c r="F35" s="37">
        <v>0.91105000000000003</v>
      </c>
      <c r="G35" s="37">
        <v>0.93018100000000004</v>
      </c>
      <c r="H35" s="37">
        <v>0.95014200000000004</v>
      </c>
      <c r="I35" s="37">
        <v>0.96970900000000004</v>
      </c>
      <c r="J35" s="37">
        <v>0.98822399999999999</v>
      </c>
      <c r="K35" s="37">
        <v>1.0044709999999999</v>
      </c>
      <c r="L35" s="37">
        <v>1.019774</v>
      </c>
      <c r="M35" s="37">
        <v>1.0362020000000001</v>
      </c>
      <c r="N35" s="37">
        <v>1.052583</v>
      </c>
      <c r="O35" s="37">
        <v>1.069291</v>
      </c>
      <c r="P35" s="37">
        <v>1.088333</v>
      </c>
      <c r="Q35" s="37">
        <v>1.1091219999999999</v>
      </c>
      <c r="R35" s="37">
        <v>1.130924</v>
      </c>
      <c r="S35" s="37">
        <v>1.152515</v>
      </c>
      <c r="T35" s="37">
        <v>1.1745490000000001</v>
      </c>
      <c r="U35" s="37">
        <v>1.1969080000000001</v>
      </c>
      <c r="V35" s="37">
        <v>1.2194160000000001</v>
      </c>
      <c r="W35" s="37">
        <v>1.2425580000000001</v>
      </c>
      <c r="X35" s="37">
        <v>1.266365</v>
      </c>
      <c r="Y35" s="37">
        <v>1.29112</v>
      </c>
      <c r="Z35" s="37">
        <v>1.3168</v>
      </c>
      <c r="AA35" s="37">
        <v>1.344624</v>
      </c>
      <c r="AB35" s="37">
        <v>1.373569</v>
      </c>
      <c r="AC35" s="37">
        <v>1.4030819999999999</v>
      </c>
      <c r="AD35" s="37">
        <v>1.4325289999999999</v>
      </c>
      <c r="AE35" s="37">
        <v>1.4631479999999999</v>
      </c>
      <c r="AF35" s="38">
        <v>1.9432999999999999E-2</v>
      </c>
      <c r="AG35" s="27"/>
      <c r="AH35" s="20"/>
    </row>
    <row r="36" spans="1:34" ht="15" customHeight="1" x14ac:dyDescent="0.45">
      <c r="A36" s="26" t="s">
        <v>88</v>
      </c>
      <c r="B36" s="36" t="s">
        <v>89</v>
      </c>
      <c r="C36" s="37">
        <v>0.59979700000000002</v>
      </c>
      <c r="D36" s="37">
        <v>0.59884499999999996</v>
      </c>
      <c r="E36" s="37">
        <v>0.59878600000000004</v>
      </c>
      <c r="F36" s="37">
        <v>0.59958199999999995</v>
      </c>
      <c r="G36" s="37">
        <v>0.59953599999999996</v>
      </c>
      <c r="H36" s="37">
        <v>0.59912500000000002</v>
      </c>
      <c r="I36" s="37">
        <v>0.59802</v>
      </c>
      <c r="J36" s="37">
        <v>0.596113</v>
      </c>
      <c r="K36" s="37">
        <v>0.59322299999999994</v>
      </c>
      <c r="L36" s="37">
        <v>0.58991099999999996</v>
      </c>
      <c r="M36" s="37">
        <v>0.58684700000000001</v>
      </c>
      <c r="N36" s="37">
        <v>0.58612399999999998</v>
      </c>
      <c r="O36" s="37">
        <v>0.58614599999999994</v>
      </c>
      <c r="P36" s="37">
        <v>0.58855199999999996</v>
      </c>
      <c r="Q36" s="37">
        <v>0.59146399999999999</v>
      </c>
      <c r="R36" s="37">
        <v>0.59436500000000003</v>
      </c>
      <c r="S36" s="37">
        <v>0.59693099999999999</v>
      </c>
      <c r="T36" s="37">
        <v>0.59932099999999999</v>
      </c>
      <c r="U36" s="37">
        <v>0.60179499999999997</v>
      </c>
      <c r="V36" s="37">
        <v>0.604464</v>
      </c>
      <c r="W36" s="37">
        <v>0.60740400000000005</v>
      </c>
      <c r="X36" s="37">
        <v>0.61058400000000002</v>
      </c>
      <c r="Y36" s="37">
        <v>0.61373800000000001</v>
      </c>
      <c r="Z36" s="37">
        <v>0.61683500000000002</v>
      </c>
      <c r="AA36" s="37">
        <v>0.620251</v>
      </c>
      <c r="AB36" s="37">
        <v>0.62392099999999995</v>
      </c>
      <c r="AC36" s="37">
        <v>0.62766699999999997</v>
      </c>
      <c r="AD36" s="37">
        <v>0.63161800000000001</v>
      </c>
      <c r="AE36" s="37">
        <v>0.63607999999999998</v>
      </c>
      <c r="AF36" s="38">
        <v>2.0999999999999999E-3</v>
      </c>
      <c r="AG36" s="27"/>
      <c r="AH36" s="20"/>
    </row>
    <row r="37" spans="1:34" ht="15" customHeight="1" x14ac:dyDescent="0.45">
      <c r="A37" s="26" t="s">
        <v>90</v>
      </c>
      <c r="B37" s="36" t="s">
        <v>91</v>
      </c>
      <c r="C37" s="37">
        <v>0.29555799999999999</v>
      </c>
      <c r="D37" s="37">
        <v>0.293987</v>
      </c>
      <c r="E37" s="37">
        <v>0.29266799999999998</v>
      </c>
      <c r="F37" s="37">
        <v>0.29163</v>
      </c>
      <c r="G37" s="37">
        <v>0.29078300000000001</v>
      </c>
      <c r="H37" s="37">
        <v>0.29015800000000003</v>
      </c>
      <c r="I37" s="37">
        <v>0.28977799999999998</v>
      </c>
      <c r="J37" s="37">
        <v>0.28961500000000001</v>
      </c>
      <c r="K37" s="37">
        <v>0.289659</v>
      </c>
      <c r="L37" s="37">
        <v>0.28998600000000002</v>
      </c>
      <c r="M37" s="37">
        <v>0.29063</v>
      </c>
      <c r="N37" s="37">
        <v>0.29157</v>
      </c>
      <c r="O37" s="37">
        <v>0.29279500000000003</v>
      </c>
      <c r="P37" s="37">
        <v>0.29434300000000002</v>
      </c>
      <c r="Q37" s="37">
        <v>0.29624200000000001</v>
      </c>
      <c r="R37" s="37">
        <v>0.29844700000000002</v>
      </c>
      <c r="S37" s="37">
        <v>0.30096000000000001</v>
      </c>
      <c r="T37" s="37">
        <v>0.30374499999999999</v>
      </c>
      <c r="U37" s="37">
        <v>0.30684800000000001</v>
      </c>
      <c r="V37" s="37">
        <v>0.310249</v>
      </c>
      <c r="W37" s="37">
        <v>0.313888</v>
      </c>
      <c r="X37" s="37">
        <v>0.31748199999999999</v>
      </c>
      <c r="Y37" s="37">
        <v>0.32102399999999998</v>
      </c>
      <c r="Z37" s="37">
        <v>0.32450699999999999</v>
      </c>
      <c r="AA37" s="37">
        <v>0.32791500000000001</v>
      </c>
      <c r="AB37" s="37">
        <v>0.33124999999999999</v>
      </c>
      <c r="AC37" s="37">
        <v>0.33449600000000002</v>
      </c>
      <c r="AD37" s="37">
        <v>0.33764499999999997</v>
      </c>
      <c r="AE37" s="37">
        <v>0.340702</v>
      </c>
      <c r="AF37" s="38">
        <v>5.0899999999999999E-3</v>
      </c>
      <c r="AG37" s="27"/>
      <c r="AH37" s="20"/>
    </row>
    <row r="38" spans="1:34" ht="15" customHeight="1" x14ac:dyDescent="0.45">
      <c r="A38" s="26" t="s">
        <v>92</v>
      </c>
      <c r="B38" s="36" t="s">
        <v>93</v>
      </c>
      <c r="C38" s="37">
        <v>5.5863000000000003E-2</v>
      </c>
      <c r="D38" s="37">
        <v>5.6202000000000002E-2</v>
      </c>
      <c r="E38" s="37">
        <v>5.6536000000000003E-2</v>
      </c>
      <c r="F38" s="37">
        <v>5.6875000000000002E-2</v>
      </c>
      <c r="G38" s="37">
        <v>5.7204999999999999E-2</v>
      </c>
      <c r="H38" s="37">
        <v>5.7529999999999998E-2</v>
      </c>
      <c r="I38" s="37">
        <v>5.7847999999999997E-2</v>
      </c>
      <c r="J38" s="37">
        <v>5.8138000000000002E-2</v>
      </c>
      <c r="K38" s="37">
        <v>5.8390999999999998E-2</v>
      </c>
      <c r="L38" s="37">
        <v>5.8604000000000003E-2</v>
      </c>
      <c r="M38" s="37">
        <v>5.8781E-2</v>
      </c>
      <c r="N38" s="37">
        <v>5.8965999999999998E-2</v>
      </c>
      <c r="O38" s="37">
        <v>5.917E-2</v>
      </c>
      <c r="P38" s="37">
        <v>5.9403999999999998E-2</v>
      </c>
      <c r="Q38" s="37">
        <v>5.9679999999999997E-2</v>
      </c>
      <c r="R38" s="37">
        <v>5.9996000000000001E-2</v>
      </c>
      <c r="S38" s="37">
        <v>6.0304000000000003E-2</v>
      </c>
      <c r="T38" s="37">
        <v>6.0601000000000002E-2</v>
      </c>
      <c r="U38" s="37">
        <v>6.0894999999999998E-2</v>
      </c>
      <c r="V38" s="37">
        <v>6.1182E-2</v>
      </c>
      <c r="W38" s="37">
        <v>6.1454000000000002E-2</v>
      </c>
      <c r="X38" s="37">
        <v>6.1713999999999998E-2</v>
      </c>
      <c r="Y38" s="37">
        <v>6.1963999999999998E-2</v>
      </c>
      <c r="Z38" s="37">
        <v>6.2203000000000001E-2</v>
      </c>
      <c r="AA38" s="37">
        <v>6.2434000000000003E-2</v>
      </c>
      <c r="AB38" s="37">
        <v>6.2659000000000006E-2</v>
      </c>
      <c r="AC38" s="37">
        <v>6.2880000000000005E-2</v>
      </c>
      <c r="AD38" s="37">
        <v>6.3098000000000001E-2</v>
      </c>
      <c r="AE38" s="37">
        <v>6.3319E-2</v>
      </c>
      <c r="AF38" s="38">
        <v>4.4850000000000003E-3</v>
      </c>
      <c r="AG38" s="27"/>
      <c r="AH38" s="20"/>
    </row>
    <row r="39" spans="1:34" ht="15" customHeight="1" x14ac:dyDescent="0.45">
      <c r="A39" s="26" t="s">
        <v>94</v>
      </c>
      <c r="B39" s="36" t="s">
        <v>95</v>
      </c>
      <c r="C39" s="37">
        <v>0.222467</v>
      </c>
      <c r="D39" s="37">
        <v>0.227024</v>
      </c>
      <c r="E39" s="37">
        <v>0.23189100000000001</v>
      </c>
      <c r="F39" s="37">
        <v>0.23729500000000001</v>
      </c>
      <c r="G39" s="37">
        <v>0.242448</v>
      </c>
      <c r="H39" s="37">
        <v>0.24726600000000001</v>
      </c>
      <c r="I39" s="37">
        <v>0.25179299999999999</v>
      </c>
      <c r="J39" s="37">
        <v>0.25596000000000002</v>
      </c>
      <c r="K39" s="37">
        <v>0.25967099999999999</v>
      </c>
      <c r="L39" s="37">
        <v>0.263071</v>
      </c>
      <c r="M39" s="37">
        <v>0.26643600000000001</v>
      </c>
      <c r="N39" s="37">
        <v>0.26939200000000002</v>
      </c>
      <c r="O39" s="37">
        <v>0.27234199999999997</v>
      </c>
      <c r="P39" s="37">
        <v>0.275723</v>
      </c>
      <c r="Q39" s="37">
        <v>0.27934199999999998</v>
      </c>
      <c r="R39" s="37">
        <v>0.28279900000000002</v>
      </c>
      <c r="S39" s="37">
        <v>0.28596300000000002</v>
      </c>
      <c r="T39" s="37">
        <v>0.28907500000000003</v>
      </c>
      <c r="U39" s="37">
        <v>0.29220600000000002</v>
      </c>
      <c r="V39" s="37">
        <v>0.29541099999999998</v>
      </c>
      <c r="W39" s="37">
        <v>0.29872300000000002</v>
      </c>
      <c r="X39" s="37">
        <v>0.30215999999999998</v>
      </c>
      <c r="Y39" s="37">
        <v>0.30563499999999999</v>
      </c>
      <c r="Z39" s="37">
        <v>0.30910900000000002</v>
      </c>
      <c r="AA39" s="37">
        <v>0.31273000000000001</v>
      </c>
      <c r="AB39" s="37">
        <v>0.31651000000000001</v>
      </c>
      <c r="AC39" s="37">
        <v>0.32030700000000001</v>
      </c>
      <c r="AD39" s="37">
        <v>0.32417200000000002</v>
      </c>
      <c r="AE39" s="37">
        <v>0.32827800000000001</v>
      </c>
      <c r="AF39" s="38">
        <v>1.3993E-2</v>
      </c>
      <c r="AG39" s="27"/>
      <c r="AH39" s="20"/>
    </row>
    <row r="40" spans="1:34" ht="15" customHeight="1" x14ac:dyDescent="0.45">
      <c r="A40" s="26" t="s">
        <v>96</v>
      </c>
      <c r="B40" s="36" t="s">
        <v>97</v>
      </c>
      <c r="C40" s="37">
        <v>6.9006999999999999E-2</v>
      </c>
      <c r="D40" s="37">
        <v>6.8849999999999995E-2</v>
      </c>
      <c r="E40" s="37">
        <v>6.8686999999999998E-2</v>
      </c>
      <c r="F40" s="37">
        <v>6.8515999999999994E-2</v>
      </c>
      <c r="G40" s="37">
        <v>6.8318000000000004E-2</v>
      </c>
      <c r="H40" s="37">
        <v>6.8104999999999999E-2</v>
      </c>
      <c r="I40" s="37">
        <v>6.7921999999999996E-2</v>
      </c>
      <c r="J40" s="37">
        <v>6.7761000000000002E-2</v>
      </c>
      <c r="K40" s="37">
        <v>6.7614999999999995E-2</v>
      </c>
      <c r="L40" s="37">
        <v>6.7486000000000004E-2</v>
      </c>
      <c r="M40" s="37">
        <v>6.7377000000000006E-2</v>
      </c>
      <c r="N40" s="37">
        <v>6.7287E-2</v>
      </c>
      <c r="O40" s="37">
        <v>6.7215999999999998E-2</v>
      </c>
      <c r="P40" s="37">
        <v>6.7169000000000006E-2</v>
      </c>
      <c r="Q40" s="37">
        <v>6.7158999999999996E-2</v>
      </c>
      <c r="R40" s="37">
        <v>6.7178000000000002E-2</v>
      </c>
      <c r="S40" s="37">
        <v>6.7228999999999997E-2</v>
      </c>
      <c r="T40" s="37">
        <v>6.7310999999999996E-2</v>
      </c>
      <c r="U40" s="37">
        <v>6.7431000000000005E-2</v>
      </c>
      <c r="V40" s="37">
        <v>6.7596000000000003E-2</v>
      </c>
      <c r="W40" s="37">
        <v>6.7793999999999993E-2</v>
      </c>
      <c r="X40" s="37">
        <v>6.8035999999999999E-2</v>
      </c>
      <c r="Y40" s="37">
        <v>6.8325999999999998E-2</v>
      </c>
      <c r="Z40" s="37">
        <v>6.8666000000000005E-2</v>
      </c>
      <c r="AA40" s="37">
        <v>6.9053000000000003E-2</v>
      </c>
      <c r="AB40" s="37">
        <v>6.9481000000000001E-2</v>
      </c>
      <c r="AC40" s="37">
        <v>6.9903999999999994E-2</v>
      </c>
      <c r="AD40" s="37">
        <v>7.0319000000000007E-2</v>
      </c>
      <c r="AE40" s="37">
        <v>7.0729E-2</v>
      </c>
      <c r="AF40" s="38">
        <v>8.8099999999999995E-4</v>
      </c>
      <c r="AG40" s="27"/>
      <c r="AH40" s="20"/>
    </row>
    <row r="41" spans="1:34" ht="15" customHeight="1" x14ac:dyDescent="0.45">
      <c r="A41" s="26" t="s">
        <v>98</v>
      </c>
      <c r="B41" s="36" t="s">
        <v>99</v>
      </c>
      <c r="C41" s="37">
        <v>0.22927</v>
      </c>
      <c r="D41" s="37">
        <v>0.21315999999999999</v>
      </c>
      <c r="E41" s="37">
        <v>0.20679400000000001</v>
      </c>
      <c r="F41" s="37">
        <v>0.20512900000000001</v>
      </c>
      <c r="G41" s="37">
        <v>0.20519999999999999</v>
      </c>
      <c r="H41" s="37">
        <v>0.206404</v>
      </c>
      <c r="I41" s="37">
        <v>0.20832999999999999</v>
      </c>
      <c r="J41" s="37">
        <v>0.210226</v>
      </c>
      <c r="K41" s="37">
        <v>0.209704</v>
      </c>
      <c r="L41" s="37">
        <v>0.20916399999999999</v>
      </c>
      <c r="M41" s="37">
        <v>0.20885500000000001</v>
      </c>
      <c r="N41" s="37">
        <v>0.208568</v>
      </c>
      <c r="O41" s="37">
        <v>0.208536</v>
      </c>
      <c r="P41" s="37">
        <v>0.20901600000000001</v>
      </c>
      <c r="Q41" s="37">
        <v>0.20962700000000001</v>
      </c>
      <c r="R41" s="37">
        <v>0.210178</v>
      </c>
      <c r="S41" s="37">
        <v>0.210558</v>
      </c>
      <c r="T41" s="37">
        <v>0.210954</v>
      </c>
      <c r="U41" s="37">
        <v>0.207703</v>
      </c>
      <c r="V41" s="37">
        <v>0.205012</v>
      </c>
      <c r="W41" s="37">
        <v>0.20291100000000001</v>
      </c>
      <c r="X41" s="37">
        <v>0.20146700000000001</v>
      </c>
      <c r="Y41" s="37">
        <v>0.200848</v>
      </c>
      <c r="Z41" s="37">
        <v>0.20064000000000001</v>
      </c>
      <c r="AA41" s="37">
        <v>0.20059199999999999</v>
      </c>
      <c r="AB41" s="37">
        <v>0.20072999999999999</v>
      </c>
      <c r="AC41" s="37">
        <v>0.200991</v>
      </c>
      <c r="AD41" s="37">
        <v>0.20142299999999999</v>
      </c>
      <c r="AE41" s="37">
        <v>0.20205600000000001</v>
      </c>
      <c r="AF41" s="38">
        <v>-4.5030000000000001E-3</v>
      </c>
      <c r="AG41" s="27"/>
      <c r="AH41" s="20"/>
    </row>
    <row r="42" spans="1:34" ht="15" customHeight="1" x14ac:dyDescent="0.45">
      <c r="A42" s="26" t="s">
        <v>100</v>
      </c>
      <c r="B42" s="36" t="s">
        <v>101</v>
      </c>
      <c r="C42" s="37">
        <v>3.7489000000000001E-2</v>
      </c>
      <c r="D42" s="37">
        <v>3.7812999999999999E-2</v>
      </c>
      <c r="E42" s="37">
        <v>3.8143999999999997E-2</v>
      </c>
      <c r="F42" s="37">
        <v>3.8485999999999999E-2</v>
      </c>
      <c r="G42" s="37">
        <v>3.8827E-2</v>
      </c>
      <c r="H42" s="37">
        <v>3.9168000000000001E-2</v>
      </c>
      <c r="I42" s="37">
        <v>3.9518999999999999E-2</v>
      </c>
      <c r="J42" s="37">
        <v>3.9875000000000001E-2</v>
      </c>
      <c r="K42" s="37">
        <v>4.0245999999999997E-2</v>
      </c>
      <c r="L42" s="37">
        <v>4.0617E-2</v>
      </c>
      <c r="M42" s="37">
        <v>4.0992000000000001E-2</v>
      </c>
      <c r="N42" s="37">
        <v>4.1364999999999999E-2</v>
      </c>
      <c r="O42" s="37">
        <v>4.1732999999999999E-2</v>
      </c>
      <c r="P42" s="37">
        <v>4.2098999999999998E-2</v>
      </c>
      <c r="Q42" s="37">
        <v>4.2465000000000003E-2</v>
      </c>
      <c r="R42" s="37">
        <v>4.2827999999999998E-2</v>
      </c>
      <c r="S42" s="37">
        <v>4.3187000000000003E-2</v>
      </c>
      <c r="T42" s="37">
        <v>4.3541999999999997E-2</v>
      </c>
      <c r="U42" s="37">
        <v>4.3898E-2</v>
      </c>
      <c r="V42" s="37">
        <v>4.4252E-2</v>
      </c>
      <c r="W42" s="37">
        <v>4.4599E-2</v>
      </c>
      <c r="X42" s="37">
        <v>4.4942000000000003E-2</v>
      </c>
      <c r="Y42" s="37">
        <v>4.5282000000000003E-2</v>
      </c>
      <c r="Z42" s="37">
        <v>4.5619E-2</v>
      </c>
      <c r="AA42" s="37">
        <v>4.5952E-2</v>
      </c>
      <c r="AB42" s="37">
        <v>4.6282999999999998E-2</v>
      </c>
      <c r="AC42" s="37">
        <v>4.6611E-2</v>
      </c>
      <c r="AD42" s="37">
        <v>4.6935999999999999E-2</v>
      </c>
      <c r="AE42" s="37">
        <v>4.7258000000000001E-2</v>
      </c>
      <c r="AF42" s="38">
        <v>8.3049999999999999E-3</v>
      </c>
      <c r="AG42" s="27"/>
      <c r="AH42" s="20"/>
    </row>
    <row r="43" spans="1:34" ht="15" customHeight="1" x14ac:dyDescent="0.45">
      <c r="A43" s="26" t="s">
        <v>102</v>
      </c>
      <c r="B43" s="36" t="s">
        <v>103</v>
      </c>
      <c r="C43" s="37">
        <v>2.7618E-2</v>
      </c>
      <c r="D43" s="37">
        <v>2.8063999999999999E-2</v>
      </c>
      <c r="E43" s="37">
        <v>2.8506E-2</v>
      </c>
      <c r="F43" s="37">
        <v>2.8944999999999999E-2</v>
      </c>
      <c r="G43" s="37">
        <v>2.937E-2</v>
      </c>
      <c r="H43" s="37">
        <v>2.9781999999999999E-2</v>
      </c>
      <c r="I43" s="37">
        <v>3.0232999999999999E-2</v>
      </c>
      <c r="J43" s="37">
        <v>3.0721999999999999E-2</v>
      </c>
      <c r="K43" s="37">
        <v>3.1241999999999999E-2</v>
      </c>
      <c r="L43" s="37">
        <v>3.1796999999999999E-2</v>
      </c>
      <c r="M43" s="37">
        <v>3.2391999999999997E-2</v>
      </c>
      <c r="N43" s="37">
        <v>3.3027000000000001E-2</v>
      </c>
      <c r="O43" s="37">
        <v>3.3702000000000003E-2</v>
      </c>
      <c r="P43" s="37">
        <v>3.4373000000000001E-2</v>
      </c>
      <c r="Q43" s="37">
        <v>3.5042999999999998E-2</v>
      </c>
      <c r="R43" s="37">
        <v>3.5709999999999999E-2</v>
      </c>
      <c r="S43" s="37">
        <v>3.6374999999999998E-2</v>
      </c>
      <c r="T43" s="37">
        <v>3.7035999999999999E-2</v>
      </c>
      <c r="U43" s="37">
        <v>3.7698000000000002E-2</v>
      </c>
      <c r="V43" s="37">
        <v>3.8358999999999997E-2</v>
      </c>
      <c r="W43" s="37">
        <v>3.9015000000000001E-2</v>
      </c>
      <c r="X43" s="37">
        <v>3.9667000000000001E-2</v>
      </c>
      <c r="Y43" s="37">
        <v>4.0315999999999998E-2</v>
      </c>
      <c r="Z43" s="37">
        <v>4.0961999999999998E-2</v>
      </c>
      <c r="AA43" s="37">
        <v>4.1605000000000003E-2</v>
      </c>
      <c r="AB43" s="37">
        <v>4.2244999999999998E-2</v>
      </c>
      <c r="AC43" s="37">
        <v>4.2882000000000003E-2</v>
      </c>
      <c r="AD43" s="37">
        <v>4.3513999999999997E-2</v>
      </c>
      <c r="AE43" s="37">
        <v>4.4143000000000002E-2</v>
      </c>
      <c r="AF43" s="38">
        <v>1.6889999999999999E-2</v>
      </c>
      <c r="AG43" s="27"/>
      <c r="AH43" s="20"/>
    </row>
    <row r="44" spans="1:34" ht="15" customHeight="1" x14ac:dyDescent="0.45">
      <c r="A44" s="26" t="s">
        <v>104</v>
      </c>
      <c r="B44" s="36" t="s">
        <v>105</v>
      </c>
      <c r="C44" s="37">
        <v>0.18509200000000001</v>
      </c>
      <c r="D44" s="37">
        <v>0.181559</v>
      </c>
      <c r="E44" s="37">
        <v>0.178365</v>
      </c>
      <c r="F44" s="37">
        <v>0.17569199999999999</v>
      </c>
      <c r="G44" s="37">
        <v>0.17295099999999999</v>
      </c>
      <c r="H44" s="37">
        <v>0.17014299999999999</v>
      </c>
      <c r="I44" s="37">
        <v>0.16719800000000001</v>
      </c>
      <c r="J44" s="37">
        <v>0.16413900000000001</v>
      </c>
      <c r="K44" s="37">
        <v>0.16098699999999999</v>
      </c>
      <c r="L44" s="37">
        <v>0.15786700000000001</v>
      </c>
      <c r="M44" s="37">
        <v>0.154866</v>
      </c>
      <c r="N44" s="37">
        <v>0.151867</v>
      </c>
      <c r="O44" s="37">
        <v>0.14899799999999999</v>
      </c>
      <c r="P44" s="37">
        <v>0.14658499999999999</v>
      </c>
      <c r="Q44" s="37">
        <v>0.14447299999999999</v>
      </c>
      <c r="R44" s="37">
        <v>0.142566</v>
      </c>
      <c r="S44" s="37">
        <v>0.14076</v>
      </c>
      <c r="T44" s="37">
        <v>0.13918900000000001</v>
      </c>
      <c r="U44" s="37">
        <v>0.13791</v>
      </c>
      <c r="V44" s="37">
        <v>0.136911</v>
      </c>
      <c r="W44" s="37">
        <v>0.13620699999999999</v>
      </c>
      <c r="X44" s="37">
        <v>0.13575499999999999</v>
      </c>
      <c r="Y44" s="37">
        <v>0.13553699999999999</v>
      </c>
      <c r="Z44" s="37">
        <v>0.13555200000000001</v>
      </c>
      <c r="AA44" s="37">
        <v>0.13580200000000001</v>
      </c>
      <c r="AB44" s="37">
        <v>0.136265</v>
      </c>
      <c r="AC44" s="37">
        <v>0.13685</v>
      </c>
      <c r="AD44" s="37">
        <v>0.13759299999999999</v>
      </c>
      <c r="AE44" s="37">
        <v>0.13852700000000001</v>
      </c>
      <c r="AF44" s="38">
        <v>-1.0296E-2</v>
      </c>
      <c r="AG44" s="27"/>
      <c r="AH44" s="20"/>
    </row>
    <row r="45" spans="1:34" ht="15" customHeight="1" x14ac:dyDescent="0.45">
      <c r="A45" s="26" t="s">
        <v>106</v>
      </c>
      <c r="B45" s="36" t="s">
        <v>107</v>
      </c>
      <c r="C45" s="37">
        <v>0.120106</v>
      </c>
      <c r="D45" s="37">
        <v>0.118562</v>
      </c>
      <c r="E45" s="37">
        <v>0.11693099999999999</v>
      </c>
      <c r="F45" s="37">
        <v>0.11536299999999999</v>
      </c>
      <c r="G45" s="37">
        <v>0.113493</v>
      </c>
      <c r="H45" s="37">
        <v>0.111328</v>
      </c>
      <c r="I45" s="37">
        <v>0.108857</v>
      </c>
      <c r="J45" s="37">
        <v>0.106117</v>
      </c>
      <c r="K45" s="37">
        <v>0.103168</v>
      </c>
      <c r="L45" s="37">
        <v>0.100088</v>
      </c>
      <c r="M45" s="37">
        <v>9.6979999999999997E-2</v>
      </c>
      <c r="N45" s="37">
        <v>9.3785999999999994E-2</v>
      </c>
      <c r="O45" s="37">
        <v>9.0609999999999996E-2</v>
      </c>
      <c r="P45" s="37">
        <v>8.7647000000000003E-2</v>
      </c>
      <c r="Q45" s="37">
        <v>8.4848000000000007E-2</v>
      </c>
      <c r="R45" s="37">
        <v>8.2132999999999998E-2</v>
      </c>
      <c r="S45" s="37">
        <v>7.9492999999999994E-2</v>
      </c>
      <c r="T45" s="37">
        <v>7.7007999999999993E-2</v>
      </c>
      <c r="U45" s="37">
        <v>7.4726000000000001E-2</v>
      </c>
      <c r="V45" s="37">
        <v>7.2651999999999994E-2</v>
      </c>
      <c r="W45" s="37">
        <v>7.0824999999999999E-2</v>
      </c>
      <c r="X45" s="37">
        <v>6.9226999999999997E-2</v>
      </c>
      <c r="Y45" s="37">
        <v>6.7875000000000005E-2</v>
      </c>
      <c r="Z45" s="37">
        <v>6.6753000000000007E-2</v>
      </c>
      <c r="AA45" s="37">
        <v>6.5956000000000001E-2</v>
      </c>
      <c r="AB45" s="37">
        <v>6.5417000000000003E-2</v>
      </c>
      <c r="AC45" s="37">
        <v>6.5087000000000006E-2</v>
      </c>
      <c r="AD45" s="37">
        <v>6.4992999999999995E-2</v>
      </c>
      <c r="AE45" s="37">
        <v>6.5106999999999998E-2</v>
      </c>
      <c r="AF45" s="38">
        <v>-2.1631999999999998E-2</v>
      </c>
      <c r="AG45" s="27"/>
      <c r="AH45" s="20"/>
    </row>
    <row r="46" spans="1:34" ht="15" customHeight="1" x14ac:dyDescent="0.45">
      <c r="A46" s="26" t="s">
        <v>108</v>
      </c>
      <c r="B46" s="36" t="s">
        <v>109</v>
      </c>
      <c r="C46" s="37">
        <v>8.9175000000000004E-2</v>
      </c>
      <c r="D46" s="37">
        <v>8.8249999999999995E-2</v>
      </c>
      <c r="E46" s="37">
        <v>7.9128000000000004E-2</v>
      </c>
      <c r="F46" s="37">
        <v>8.0093999999999999E-2</v>
      </c>
      <c r="G46" s="37">
        <v>8.0979999999999996E-2</v>
      </c>
      <c r="H46" s="37">
        <v>8.1729999999999997E-2</v>
      </c>
      <c r="I46" s="37">
        <v>8.2280000000000006E-2</v>
      </c>
      <c r="J46" s="37">
        <v>8.2540000000000002E-2</v>
      </c>
      <c r="K46" s="37">
        <v>8.2561999999999997E-2</v>
      </c>
      <c r="L46" s="37">
        <v>8.2343E-2</v>
      </c>
      <c r="M46" s="37">
        <v>8.1923999999999997E-2</v>
      </c>
      <c r="N46" s="37">
        <v>8.1309000000000006E-2</v>
      </c>
      <c r="O46" s="37">
        <v>8.0431000000000002E-2</v>
      </c>
      <c r="P46" s="37">
        <v>7.9390000000000002E-2</v>
      </c>
      <c r="Q46" s="37">
        <v>7.8254000000000004E-2</v>
      </c>
      <c r="R46" s="37">
        <v>7.7045000000000002E-2</v>
      </c>
      <c r="S46" s="37">
        <v>7.5693999999999997E-2</v>
      </c>
      <c r="T46" s="37">
        <v>7.4348999999999998E-2</v>
      </c>
      <c r="U46" s="37">
        <v>7.3050000000000004E-2</v>
      </c>
      <c r="V46" s="37">
        <v>7.1817000000000006E-2</v>
      </c>
      <c r="W46" s="37">
        <v>7.0639999999999994E-2</v>
      </c>
      <c r="X46" s="37">
        <v>6.9587999999999997E-2</v>
      </c>
      <c r="Y46" s="37">
        <v>6.8662000000000001E-2</v>
      </c>
      <c r="Z46" s="37">
        <v>6.7822999999999994E-2</v>
      </c>
      <c r="AA46" s="37">
        <v>6.7005999999999996E-2</v>
      </c>
      <c r="AB46" s="37">
        <v>6.6321000000000005E-2</v>
      </c>
      <c r="AC46" s="37">
        <v>6.5775E-2</v>
      </c>
      <c r="AD46" s="37">
        <v>6.5343999999999999E-2</v>
      </c>
      <c r="AE46" s="37">
        <v>6.4996999999999999E-2</v>
      </c>
      <c r="AF46" s="38">
        <v>-1.1231E-2</v>
      </c>
      <c r="AG46" s="27"/>
      <c r="AH46" s="20"/>
    </row>
    <row r="47" spans="1:34" ht="15" customHeight="1" x14ac:dyDescent="0.45">
      <c r="A47" s="26" t="s">
        <v>110</v>
      </c>
      <c r="B47" s="36" t="s">
        <v>111</v>
      </c>
      <c r="C47" s="37">
        <v>1.7289920000000001</v>
      </c>
      <c r="D47" s="37">
        <v>1.778594</v>
      </c>
      <c r="E47" s="37">
        <v>1.805526</v>
      </c>
      <c r="F47" s="37">
        <v>1.8416680000000001</v>
      </c>
      <c r="G47" s="37">
        <v>1.877618</v>
      </c>
      <c r="H47" s="37">
        <v>1.9181360000000001</v>
      </c>
      <c r="I47" s="37">
        <v>1.9534260000000001</v>
      </c>
      <c r="J47" s="37">
        <v>1.984526</v>
      </c>
      <c r="K47" s="37">
        <v>2.015298</v>
      </c>
      <c r="L47" s="37">
        <v>2.045995</v>
      </c>
      <c r="M47" s="37">
        <v>2.0771999999999999</v>
      </c>
      <c r="N47" s="37">
        <v>2.1083090000000002</v>
      </c>
      <c r="O47" s="37">
        <v>2.1370680000000002</v>
      </c>
      <c r="P47" s="37">
        <v>2.1696040000000001</v>
      </c>
      <c r="Q47" s="37">
        <v>2.2045029999999999</v>
      </c>
      <c r="R47" s="37">
        <v>2.2416749999999999</v>
      </c>
      <c r="S47" s="37">
        <v>2.277666</v>
      </c>
      <c r="T47" s="37">
        <v>2.3144999999999998</v>
      </c>
      <c r="U47" s="37">
        <v>2.3536220000000001</v>
      </c>
      <c r="V47" s="37">
        <v>2.393605</v>
      </c>
      <c r="W47" s="37">
        <v>2.4362240000000002</v>
      </c>
      <c r="X47" s="37">
        <v>2.4803709999999999</v>
      </c>
      <c r="Y47" s="37">
        <v>2.5261019999999998</v>
      </c>
      <c r="Z47" s="37">
        <v>2.5735540000000001</v>
      </c>
      <c r="AA47" s="37">
        <v>2.6229239999999998</v>
      </c>
      <c r="AB47" s="37">
        <v>2.6745640000000002</v>
      </c>
      <c r="AC47" s="37">
        <v>2.727255</v>
      </c>
      <c r="AD47" s="37">
        <v>2.7817340000000002</v>
      </c>
      <c r="AE47" s="37">
        <v>2.8402690000000002</v>
      </c>
      <c r="AF47" s="38">
        <v>1.7885000000000002E-2</v>
      </c>
      <c r="AG47" s="27"/>
      <c r="AH47" s="20"/>
    </row>
    <row r="48" spans="1:34" ht="15" customHeight="1" x14ac:dyDescent="0.35">
      <c r="A48" s="26" t="s">
        <v>112</v>
      </c>
      <c r="B48" s="35" t="s">
        <v>113</v>
      </c>
      <c r="C48" s="39">
        <v>5.2596420000000004</v>
      </c>
      <c r="D48" s="39">
        <v>5.1701290000000002</v>
      </c>
      <c r="E48" s="39">
        <v>5.2504400000000002</v>
      </c>
      <c r="F48" s="39">
        <v>5.3072759999999999</v>
      </c>
      <c r="G48" s="39">
        <v>5.3626420000000001</v>
      </c>
      <c r="H48" s="39">
        <v>5.4222320000000002</v>
      </c>
      <c r="I48" s="39">
        <v>5.4743199999999996</v>
      </c>
      <c r="J48" s="39">
        <v>5.5182950000000002</v>
      </c>
      <c r="K48" s="39">
        <v>5.5540880000000001</v>
      </c>
      <c r="L48" s="39">
        <v>5.5871940000000002</v>
      </c>
      <c r="M48" s="39">
        <v>5.6225040000000002</v>
      </c>
      <c r="N48" s="39">
        <v>5.6592840000000004</v>
      </c>
      <c r="O48" s="39">
        <v>5.694947</v>
      </c>
      <c r="P48" s="39">
        <v>5.742076</v>
      </c>
      <c r="Q48" s="39">
        <v>5.7953429999999999</v>
      </c>
      <c r="R48" s="39">
        <v>5.8523889999999996</v>
      </c>
      <c r="S48" s="39">
        <v>5.9070590000000003</v>
      </c>
      <c r="T48" s="39">
        <v>5.9634539999999996</v>
      </c>
      <c r="U48" s="39">
        <v>6.0202999999999998</v>
      </c>
      <c r="V48" s="39">
        <v>6.0802500000000004</v>
      </c>
      <c r="W48" s="39">
        <v>6.1456559999999998</v>
      </c>
      <c r="X48" s="39">
        <v>6.2151889999999996</v>
      </c>
      <c r="Y48" s="39">
        <v>6.2886449999999998</v>
      </c>
      <c r="Z48" s="39">
        <v>6.3656980000000001</v>
      </c>
      <c r="AA48" s="39">
        <v>6.4482220000000003</v>
      </c>
      <c r="AB48" s="39">
        <v>6.5356100000000001</v>
      </c>
      <c r="AC48" s="39">
        <v>6.6252180000000003</v>
      </c>
      <c r="AD48" s="39">
        <v>6.7176070000000001</v>
      </c>
      <c r="AE48" s="39">
        <v>6.816999</v>
      </c>
      <c r="AF48" s="40">
        <v>9.306E-3</v>
      </c>
      <c r="AG48" s="27"/>
      <c r="AH48" s="19"/>
    </row>
    <row r="49" spans="1:34" ht="15" customHeight="1" x14ac:dyDescent="0.45">
      <c r="A49" s="26" t="s">
        <v>114</v>
      </c>
      <c r="B49" s="36" t="s">
        <v>115</v>
      </c>
      <c r="C49" s="37">
        <v>0.112023</v>
      </c>
      <c r="D49" s="37">
        <v>0.123458</v>
      </c>
      <c r="E49" s="37">
        <v>0.13652900000000001</v>
      </c>
      <c r="F49" s="37">
        <v>0.14977699999999999</v>
      </c>
      <c r="G49" s="37">
        <v>0.16300899999999999</v>
      </c>
      <c r="H49" s="37">
        <v>0.17658499999999999</v>
      </c>
      <c r="I49" s="37">
        <v>0.19053</v>
      </c>
      <c r="J49" s="37">
        <v>0.20494499999999999</v>
      </c>
      <c r="K49" s="37">
        <v>0.21981999999999999</v>
      </c>
      <c r="L49" s="37">
        <v>0.23524600000000001</v>
      </c>
      <c r="M49" s="37">
        <v>0.25148999999999999</v>
      </c>
      <c r="N49" s="37">
        <v>0.26793699999999998</v>
      </c>
      <c r="O49" s="37">
        <v>0.28465000000000001</v>
      </c>
      <c r="P49" s="37">
        <v>0.29947400000000002</v>
      </c>
      <c r="Q49" s="37">
        <v>0.31491799999999998</v>
      </c>
      <c r="R49" s="37">
        <v>0.33096799999999998</v>
      </c>
      <c r="S49" s="37">
        <v>0.34801199999999999</v>
      </c>
      <c r="T49" s="37">
        <v>0.36618699999999998</v>
      </c>
      <c r="U49" s="37">
        <v>0.38540000000000002</v>
      </c>
      <c r="V49" s="37">
        <v>0.40570899999999999</v>
      </c>
      <c r="W49" s="37">
        <v>0.427124</v>
      </c>
      <c r="X49" s="37">
        <v>0.44966</v>
      </c>
      <c r="Y49" s="37">
        <v>0.47307100000000002</v>
      </c>
      <c r="Z49" s="37">
        <v>0.49757400000000002</v>
      </c>
      <c r="AA49" s="37">
        <v>0.52299700000000005</v>
      </c>
      <c r="AB49" s="37">
        <v>0.54935500000000004</v>
      </c>
      <c r="AC49" s="37">
        <v>0.57694599999999996</v>
      </c>
      <c r="AD49" s="37">
        <v>0.60526800000000003</v>
      </c>
      <c r="AE49" s="37">
        <v>0.63452399999999998</v>
      </c>
      <c r="AF49" s="38">
        <v>6.3893000000000005E-2</v>
      </c>
      <c r="AG49" s="27"/>
      <c r="AH49" s="20"/>
    </row>
    <row r="50" spans="1:34" ht="15" customHeight="1" x14ac:dyDescent="0.35">
      <c r="A50" s="26" t="s">
        <v>116</v>
      </c>
      <c r="B50" s="35" t="s">
        <v>117</v>
      </c>
      <c r="C50" s="39">
        <v>5.1476179999999996</v>
      </c>
      <c r="D50" s="39">
        <v>5.0466709999999999</v>
      </c>
      <c r="E50" s="39">
        <v>5.1139109999999999</v>
      </c>
      <c r="F50" s="39">
        <v>5.1574989999999996</v>
      </c>
      <c r="G50" s="39">
        <v>5.1996339999999996</v>
      </c>
      <c r="H50" s="39">
        <v>5.2456469999999999</v>
      </c>
      <c r="I50" s="39">
        <v>5.2837899999999998</v>
      </c>
      <c r="J50" s="39">
        <v>5.3133499999999998</v>
      </c>
      <c r="K50" s="39">
        <v>5.3342679999999998</v>
      </c>
      <c r="L50" s="39">
        <v>5.3519490000000003</v>
      </c>
      <c r="M50" s="39">
        <v>5.3710139999999997</v>
      </c>
      <c r="N50" s="39">
        <v>5.3913460000000004</v>
      </c>
      <c r="O50" s="39">
        <v>5.4102969999999999</v>
      </c>
      <c r="P50" s="39">
        <v>5.4426019999999999</v>
      </c>
      <c r="Q50" s="39">
        <v>5.4804250000000003</v>
      </c>
      <c r="R50" s="39">
        <v>5.5214210000000001</v>
      </c>
      <c r="S50" s="39">
        <v>5.5590469999999996</v>
      </c>
      <c r="T50" s="39">
        <v>5.5972670000000004</v>
      </c>
      <c r="U50" s="39">
        <v>5.6349</v>
      </c>
      <c r="V50" s="39">
        <v>5.6745409999999996</v>
      </c>
      <c r="W50" s="39">
        <v>5.7185319999999997</v>
      </c>
      <c r="X50" s="39">
        <v>5.7655289999999999</v>
      </c>
      <c r="Y50" s="39">
        <v>5.8155739999999998</v>
      </c>
      <c r="Z50" s="39">
        <v>5.8681239999999999</v>
      </c>
      <c r="AA50" s="39">
        <v>5.9252250000000002</v>
      </c>
      <c r="AB50" s="39">
        <v>5.9862549999999999</v>
      </c>
      <c r="AC50" s="39">
        <v>6.0482719999999999</v>
      </c>
      <c r="AD50" s="39">
        <v>6.1123390000000004</v>
      </c>
      <c r="AE50" s="39">
        <v>6.1824750000000002</v>
      </c>
      <c r="AF50" s="40">
        <v>6.5640000000000004E-3</v>
      </c>
      <c r="AG50" s="27"/>
      <c r="AH50" s="19"/>
    </row>
    <row r="51" spans="1:34" ht="15" customHeight="1" x14ac:dyDescent="0.35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</row>
    <row r="52" spans="1:34" ht="15" customHeight="1" x14ac:dyDescent="0.35">
      <c r="B52" s="35" t="s">
        <v>118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</row>
    <row r="53" spans="1:34" ht="15" customHeight="1" x14ac:dyDescent="0.45">
      <c r="A53" s="26" t="s">
        <v>119</v>
      </c>
      <c r="B53" s="36" t="s">
        <v>85</v>
      </c>
      <c r="C53" s="37">
        <v>3.7369300000000001</v>
      </c>
      <c r="D53" s="37">
        <v>3.7861340000000001</v>
      </c>
      <c r="E53" s="37">
        <v>3.5242059999999999</v>
      </c>
      <c r="F53" s="37">
        <v>3.5347719999999998</v>
      </c>
      <c r="G53" s="37">
        <v>3.5407920000000002</v>
      </c>
      <c r="H53" s="37">
        <v>3.5382799999999999</v>
      </c>
      <c r="I53" s="37">
        <v>3.5293040000000002</v>
      </c>
      <c r="J53" s="37">
        <v>3.510945</v>
      </c>
      <c r="K53" s="37">
        <v>3.4878969999999998</v>
      </c>
      <c r="L53" s="37">
        <v>3.4622350000000002</v>
      </c>
      <c r="M53" s="37">
        <v>3.4365359999999998</v>
      </c>
      <c r="N53" s="37">
        <v>3.41919</v>
      </c>
      <c r="O53" s="37">
        <v>3.3989539999999998</v>
      </c>
      <c r="P53" s="37">
        <v>3.379413</v>
      </c>
      <c r="Q53" s="37">
        <v>3.362053</v>
      </c>
      <c r="R53" s="37">
        <v>3.3461120000000002</v>
      </c>
      <c r="S53" s="37">
        <v>3.3294380000000001</v>
      </c>
      <c r="T53" s="37">
        <v>3.3147989999999998</v>
      </c>
      <c r="U53" s="37">
        <v>3.3015089999999998</v>
      </c>
      <c r="V53" s="37">
        <v>3.2886820000000001</v>
      </c>
      <c r="W53" s="37">
        <v>3.2766220000000001</v>
      </c>
      <c r="X53" s="37">
        <v>3.2663669999999998</v>
      </c>
      <c r="Y53" s="37">
        <v>3.2576480000000001</v>
      </c>
      <c r="Z53" s="37">
        <v>3.2478159999999998</v>
      </c>
      <c r="AA53" s="37">
        <v>3.2346270000000001</v>
      </c>
      <c r="AB53" s="37">
        <v>3.2227749999999999</v>
      </c>
      <c r="AC53" s="37">
        <v>3.212637</v>
      </c>
      <c r="AD53" s="37">
        <v>3.2025510000000001</v>
      </c>
      <c r="AE53" s="37">
        <v>3.191122</v>
      </c>
      <c r="AF53" s="38">
        <v>-5.6230000000000004E-3</v>
      </c>
      <c r="AG53" s="27"/>
      <c r="AH53" s="20"/>
    </row>
    <row r="54" spans="1:34" ht="15" customHeight="1" x14ac:dyDescent="0.45">
      <c r="A54" s="26" t="s">
        <v>120</v>
      </c>
      <c r="B54" s="36" t="s">
        <v>87</v>
      </c>
      <c r="C54" s="37">
        <v>5.8888000000000003E-2</v>
      </c>
      <c r="D54" s="37">
        <v>5.0529999999999999E-2</v>
      </c>
      <c r="E54" s="37">
        <v>5.9461E-2</v>
      </c>
      <c r="F54" s="37">
        <v>5.9824000000000002E-2</v>
      </c>
      <c r="G54" s="37">
        <v>6.0086000000000001E-2</v>
      </c>
      <c r="H54" s="37">
        <v>6.0236999999999999E-2</v>
      </c>
      <c r="I54" s="37">
        <v>6.0283000000000003E-2</v>
      </c>
      <c r="J54" s="37">
        <v>6.0234999999999997E-2</v>
      </c>
      <c r="K54" s="37">
        <v>6.0099E-2</v>
      </c>
      <c r="L54" s="37">
        <v>5.9889999999999999E-2</v>
      </c>
      <c r="M54" s="37">
        <v>5.9665999999999997E-2</v>
      </c>
      <c r="N54" s="37">
        <v>5.9420000000000001E-2</v>
      </c>
      <c r="O54" s="37">
        <v>5.9214999999999997E-2</v>
      </c>
      <c r="P54" s="37">
        <v>5.9098999999999999E-2</v>
      </c>
      <c r="Q54" s="37">
        <v>5.9116000000000002E-2</v>
      </c>
      <c r="R54" s="37">
        <v>5.9265999999999999E-2</v>
      </c>
      <c r="S54" s="37">
        <v>5.9430999999999998E-2</v>
      </c>
      <c r="T54" s="37">
        <v>5.9636000000000002E-2</v>
      </c>
      <c r="U54" s="37">
        <v>5.9840999999999998E-2</v>
      </c>
      <c r="V54" s="37">
        <v>6.0023E-2</v>
      </c>
      <c r="W54" s="37">
        <v>6.0231E-2</v>
      </c>
      <c r="X54" s="37">
        <v>6.0454000000000001E-2</v>
      </c>
      <c r="Y54" s="37">
        <v>6.0706000000000003E-2</v>
      </c>
      <c r="Z54" s="37">
        <v>6.0935999999999997E-2</v>
      </c>
      <c r="AA54" s="37">
        <v>6.1136999999999997E-2</v>
      </c>
      <c r="AB54" s="37">
        <v>6.1339999999999999E-2</v>
      </c>
      <c r="AC54" s="37">
        <v>6.1596999999999999E-2</v>
      </c>
      <c r="AD54" s="37">
        <v>6.1870000000000001E-2</v>
      </c>
      <c r="AE54" s="37">
        <v>6.2121999999999997E-2</v>
      </c>
      <c r="AF54" s="38">
        <v>1.9109999999999999E-3</v>
      </c>
      <c r="AG54" s="27"/>
      <c r="AH54" s="20"/>
    </row>
    <row r="55" spans="1:34" ht="15" customHeight="1" x14ac:dyDescent="0.45">
      <c r="A55" s="26" t="s">
        <v>121</v>
      </c>
      <c r="B55" s="36" t="s">
        <v>89</v>
      </c>
      <c r="C55" s="37">
        <v>0.98298799999999997</v>
      </c>
      <c r="D55" s="37">
        <v>0.980209</v>
      </c>
      <c r="E55" s="37">
        <v>0.98977099999999996</v>
      </c>
      <c r="F55" s="37">
        <v>1.0055149999999999</v>
      </c>
      <c r="G55" s="37">
        <v>1.0222389999999999</v>
      </c>
      <c r="H55" s="37">
        <v>1.038243</v>
      </c>
      <c r="I55" s="37">
        <v>1.0537510000000001</v>
      </c>
      <c r="J55" s="37">
        <v>1.066705</v>
      </c>
      <c r="K55" s="37">
        <v>1.078192</v>
      </c>
      <c r="L55" s="37">
        <v>1.087593</v>
      </c>
      <c r="M55" s="37">
        <v>1.096298</v>
      </c>
      <c r="N55" s="37">
        <v>1.1049169999999999</v>
      </c>
      <c r="O55" s="37">
        <v>1.1131009999999999</v>
      </c>
      <c r="P55" s="37">
        <v>1.121259</v>
      </c>
      <c r="Q55" s="37">
        <v>1.1294930000000001</v>
      </c>
      <c r="R55" s="37">
        <v>1.13727</v>
      </c>
      <c r="S55" s="37">
        <v>1.1440520000000001</v>
      </c>
      <c r="T55" s="37">
        <v>1.1511439999999999</v>
      </c>
      <c r="U55" s="37">
        <v>1.158029</v>
      </c>
      <c r="V55" s="37">
        <v>1.1645909999999999</v>
      </c>
      <c r="W55" s="37">
        <v>1.1712849999999999</v>
      </c>
      <c r="X55" s="37">
        <v>1.178668</v>
      </c>
      <c r="Y55" s="37">
        <v>1.186804</v>
      </c>
      <c r="Z55" s="37">
        <v>1.1945509999999999</v>
      </c>
      <c r="AA55" s="37">
        <v>1.1994590000000001</v>
      </c>
      <c r="AB55" s="37">
        <v>1.205508</v>
      </c>
      <c r="AC55" s="37">
        <v>1.2130890000000001</v>
      </c>
      <c r="AD55" s="37">
        <v>1.221263</v>
      </c>
      <c r="AE55" s="37">
        <v>1.2289669999999999</v>
      </c>
      <c r="AF55" s="38">
        <v>8.0079999999999995E-3</v>
      </c>
      <c r="AG55" s="27"/>
      <c r="AH55" s="20"/>
    </row>
    <row r="56" spans="1:34" ht="15" customHeight="1" x14ac:dyDescent="0.45">
      <c r="A56" s="26" t="s">
        <v>122</v>
      </c>
      <c r="B56" s="36" t="s">
        <v>93</v>
      </c>
      <c r="C56" s="37">
        <v>0.10353900000000001</v>
      </c>
      <c r="D56" s="37">
        <v>0.10372099999999999</v>
      </c>
      <c r="E56" s="37">
        <v>0.10392999999999999</v>
      </c>
      <c r="F56" s="37">
        <v>0.104173</v>
      </c>
      <c r="G56" s="37">
        <v>0.104412</v>
      </c>
      <c r="H56" s="37">
        <v>0.10465000000000001</v>
      </c>
      <c r="I56" s="37">
        <v>0.10492</v>
      </c>
      <c r="J56" s="37">
        <v>0.105265</v>
      </c>
      <c r="K56" s="37">
        <v>0.10567799999999999</v>
      </c>
      <c r="L56" s="37">
        <v>0.10617600000000001</v>
      </c>
      <c r="M56" s="37">
        <v>0.10677300000000001</v>
      </c>
      <c r="N56" s="37">
        <v>0.107469</v>
      </c>
      <c r="O56" s="37">
        <v>0.108208</v>
      </c>
      <c r="P56" s="37">
        <v>0.109004</v>
      </c>
      <c r="Q56" s="37">
        <v>0.10985200000000001</v>
      </c>
      <c r="R56" s="37">
        <v>0.11074299999999999</v>
      </c>
      <c r="S56" s="37">
        <v>0.111655</v>
      </c>
      <c r="T56" s="37">
        <v>0.11258700000000001</v>
      </c>
      <c r="U56" s="37">
        <v>0.113552</v>
      </c>
      <c r="V56" s="37">
        <v>0.11454499999999999</v>
      </c>
      <c r="W56" s="37">
        <v>0.11555799999999999</v>
      </c>
      <c r="X56" s="37">
        <v>0.116595</v>
      </c>
      <c r="Y56" s="37">
        <v>0.117656</v>
      </c>
      <c r="Z56" s="37">
        <v>0.11873599999999999</v>
      </c>
      <c r="AA56" s="37">
        <v>0.119822</v>
      </c>
      <c r="AB56" s="37">
        <v>0.120911</v>
      </c>
      <c r="AC56" s="37">
        <v>0.121992</v>
      </c>
      <c r="AD56" s="37">
        <v>0.123053</v>
      </c>
      <c r="AE56" s="37">
        <v>0.12409000000000001</v>
      </c>
      <c r="AF56" s="38">
        <v>6.4869999999999997E-3</v>
      </c>
      <c r="AG56" s="27"/>
      <c r="AH56" s="20"/>
    </row>
    <row r="57" spans="1:34" ht="15" customHeight="1" x14ac:dyDescent="0.45">
      <c r="A57" s="26" t="s">
        <v>123</v>
      </c>
      <c r="B57" s="36" t="s">
        <v>95</v>
      </c>
      <c r="C57" s="37">
        <v>3.9712999999999998E-2</v>
      </c>
      <c r="D57" s="37">
        <v>4.0030999999999997E-2</v>
      </c>
      <c r="E57" s="37">
        <v>4.0827000000000002E-2</v>
      </c>
      <c r="F57" s="37">
        <v>4.1871999999999999E-2</v>
      </c>
      <c r="G57" s="37">
        <v>4.2965000000000003E-2</v>
      </c>
      <c r="H57" s="37">
        <v>4.4041999999999998E-2</v>
      </c>
      <c r="I57" s="37">
        <v>4.5060000000000003E-2</v>
      </c>
      <c r="J57" s="37">
        <v>4.5927000000000003E-2</v>
      </c>
      <c r="K57" s="37">
        <v>4.6698000000000003E-2</v>
      </c>
      <c r="L57" s="37">
        <v>4.7412999999999997E-2</v>
      </c>
      <c r="M57" s="37">
        <v>4.8115999999999999E-2</v>
      </c>
      <c r="N57" s="37">
        <v>4.879E-2</v>
      </c>
      <c r="O57" s="37">
        <v>4.9444000000000002E-2</v>
      </c>
      <c r="P57" s="37">
        <v>5.008E-2</v>
      </c>
      <c r="Q57" s="37">
        <v>5.0721000000000002E-2</v>
      </c>
      <c r="R57" s="37">
        <v>5.1386000000000001E-2</v>
      </c>
      <c r="S57" s="37">
        <v>5.2047999999999997E-2</v>
      </c>
      <c r="T57" s="37">
        <v>5.2755000000000003E-2</v>
      </c>
      <c r="U57" s="37">
        <v>5.3475000000000002E-2</v>
      </c>
      <c r="V57" s="37">
        <v>5.4198000000000003E-2</v>
      </c>
      <c r="W57" s="37">
        <v>5.4938000000000001E-2</v>
      </c>
      <c r="X57" s="37">
        <v>5.5710999999999997E-2</v>
      </c>
      <c r="Y57" s="37">
        <v>5.6512E-2</v>
      </c>
      <c r="Z57" s="37">
        <v>5.7282E-2</v>
      </c>
      <c r="AA57" s="37">
        <v>5.7895000000000002E-2</v>
      </c>
      <c r="AB57" s="37">
        <v>5.8550999999999999E-2</v>
      </c>
      <c r="AC57" s="37">
        <v>5.9274E-2</v>
      </c>
      <c r="AD57" s="37">
        <v>6.0025000000000002E-2</v>
      </c>
      <c r="AE57" s="37">
        <v>6.0749999999999998E-2</v>
      </c>
      <c r="AF57" s="38">
        <v>1.5298000000000001E-2</v>
      </c>
      <c r="AG57" s="27"/>
      <c r="AH57" s="20"/>
    </row>
    <row r="58" spans="1:34" ht="15" customHeight="1" x14ac:dyDescent="0.45">
      <c r="A58" s="26" t="s">
        <v>124</v>
      </c>
      <c r="B58" s="36" t="s">
        <v>125</v>
      </c>
      <c r="C58" s="37">
        <v>0.22733500000000001</v>
      </c>
      <c r="D58" s="37">
        <v>0.225826</v>
      </c>
      <c r="E58" s="37">
        <v>0.22627800000000001</v>
      </c>
      <c r="F58" s="37">
        <v>0.22780500000000001</v>
      </c>
      <c r="G58" s="37">
        <v>0.22943</v>
      </c>
      <c r="H58" s="37">
        <v>0.23081199999999999</v>
      </c>
      <c r="I58" s="37">
        <v>0.23187099999999999</v>
      </c>
      <c r="J58" s="37">
        <v>0.23214099999999999</v>
      </c>
      <c r="K58" s="37">
        <v>0.23191100000000001</v>
      </c>
      <c r="L58" s="37">
        <v>0.23139599999999999</v>
      </c>
      <c r="M58" s="37">
        <v>0.23083100000000001</v>
      </c>
      <c r="N58" s="37">
        <v>0.23017299999999999</v>
      </c>
      <c r="O58" s="37">
        <v>0.22950300000000001</v>
      </c>
      <c r="P58" s="37">
        <v>0.22885800000000001</v>
      </c>
      <c r="Q58" s="37">
        <v>0.22833500000000001</v>
      </c>
      <c r="R58" s="37">
        <v>0.22784299999999999</v>
      </c>
      <c r="S58" s="37">
        <v>0.227266</v>
      </c>
      <c r="T58" s="37">
        <v>0.22681899999999999</v>
      </c>
      <c r="U58" s="37">
        <v>0.226353</v>
      </c>
      <c r="V58" s="37">
        <v>0.225855</v>
      </c>
      <c r="W58" s="37">
        <v>0.225413</v>
      </c>
      <c r="X58" s="37">
        <v>0.22509299999999999</v>
      </c>
      <c r="Y58" s="37">
        <v>0.22487799999999999</v>
      </c>
      <c r="Z58" s="37">
        <v>0.22455700000000001</v>
      </c>
      <c r="AA58" s="37">
        <v>0.22354599999999999</v>
      </c>
      <c r="AB58" s="37">
        <v>0.222772</v>
      </c>
      <c r="AC58" s="37">
        <v>0.22233800000000001</v>
      </c>
      <c r="AD58" s="37">
        <v>0.22208800000000001</v>
      </c>
      <c r="AE58" s="37">
        <v>0.22178899999999999</v>
      </c>
      <c r="AF58" s="38">
        <v>-8.8199999999999997E-4</v>
      </c>
      <c r="AG58" s="27"/>
      <c r="AH58" s="20"/>
    </row>
    <row r="59" spans="1:34" ht="15" customHeight="1" x14ac:dyDescent="0.35">
      <c r="A59" s="26" t="s">
        <v>126</v>
      </c>
      <c r="B59" s="35" t="s">
        <v>127</v>
      </c>
      <c r="C59" s="39">
        <v>5.1493919999999997</v>
      </c>
      <c r="D59" s="39">
        <v>5.1864509999999999</v>
      </c>
      <c r="E59" s="39">
        <v>4.9444739999999996</v>
      </c>
      <c r="F59" s="39">
        <v>4.9739610000000001</v>
      </c>
      <c r="G59" s="39">
        <v>4.9999250000000002</v>
      </c>
      <c r="H59" s="39">
        <v>5.0162659999999999</v>
      </c>
      <c r="I59" s="39">
        <v>5.0251890000000001</v>
      </c>
      <c r="J59" s="39">
        <v>5.021217</v>
      </c>
      <c r="K59" s="39">
        <v>5.0104759999999997</v>
      </c>
      <c r="L59" s="39">
        <v>4.9947030000000003</v>
      </c>
      <c r="M59" s="39">
        <v>4.9782209999999996</v>
      </c>
      <c r="N59" s="39">
        <v>4.9699590000000002</v>
      </c>
      <c r="O59" s="39">
        <v>4.9584260000000002</v>
      </c>
      <c r="P59" s="39">
        <v>4.9477130000000002</v>
      </c>
      <c r="Q59" s="39">
        <v>4.9395699999999998</v>
      </c>
      <c r="R59" s="39">
        <v>4.9326210000000001</v>
      </c>
      <c r="S59" s="39">
        <v>4.9238910000000002</v>
      </c>
      <c r="T59" s="39">
        <v>4.9177400000000002</v>
      </c>
      <c r="U59" s="39">
        <v>4.9127590000000003</v>
      </c>
      <c r="V59" s="39">
        <v>4.9078949999999999</v>
      </c>
      <c r="W59" s="39">
        <v>4.9040470000000003</v>
      </c>
      <c r="X59" s="39">
        <v>4.9028879999999999</v>
      </c>
      <c r="Y59" s="39">
        <v>4.904204</v>
      </c>
      <c r="Z59" s="39">
        <v>4.9038760000000003</v>
      </c>
      <c r="AA59" s="39">
        <v>4.8964850000000002</v>
      </c>
      <c r="AB59" s="39">
        <v>4.8918569999999999</v>
      </c>
      <c r="AC59" s="39">
        <v>4.8909269999999996</v>
      </c>
      <c r="AD59" s="39">
        <v>4.8908509999999996</v>
      </c>
      <c r="AE59" s="39">
        <v>4.8888410000000002</v>
      </c>
      <c r="AF59" s="40">
        <v>-1.853E-3</v>
      </c>
      <c r="AG59" s="27"/>
      <c r="AH59" s="19"/>
    </row>
    <row r="60" spans="1:34" ht="15" customHeight="1" x14ac:dyDescent="0.35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1:34" ht="15" customHeight="1" x14ac:dyDescent="0.35">
      <c r="B61" s="35" t="s">
        <v>128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</row>
    <row r="62" spans="1:34" ht="15" customHeight="1" x14ac:dyDescent="0.45">
      <c r="A62" s="26" t="s">
        <v>129</v>
      </c>
      <c r="B62" s="36" t="s">
        <v>85</v>
      </c>
      <c r="C62" s="37">
        <v>0.38192500000000001</v>
      </c>
      <c r="D62" s="37">
        <v>0.38353599999999999</v>
      </c>
      <c r="E62" s="37">
        <v>0.32749</v>
      </c>
      <c r="F62" s="37">
        <v>0.323264</v>
      </c>
      <c r="G62" s="37">
        <v>0.31815500000000002</v>
      </c>
      <c r="H62" s="37">
        <v>0.31265199999999999</v>
      </c>
      <c r="I62" s="37">
        <v>0.30687900000000001</v>
      </c>
      <c r="J62" s="37">
        <v>0.300867</v>
      </c>
      <c r="K62" s="37">
        <v>0.29493999999999998</v>
      </c>
      <c r="L62" s="37">
        <v>0.289076</v>
      </c>
      <c r="M62" s="37">
        <v>0.28336600000000001</v>
      </c>
      <c r="N62" s="37">
        <v>0.27821800000000002</v>
      </c>
      <c r="O62" s="37">
        <v>0.273003</v>
      </c>
      <c r="P62" s="37">
        <v>0.26784599999999997</v>
      </c>
      <c r="Q62" s="37">
        <v>0.26289899999999999</v>
      </c>
      <c r="R62" s="37">
        <v>0.25812299999999999</v>
      </c>
      <c r="S62" s="37">
        <v>0.25350699999999998</v>
      </c>
      <c r="T62" s="37">
        <v>0.24901699999999999</v>
      </c>
      <c r="U62" s="37">
        <v>0.24471499999999999</v>
      </c>
      <c r="V62" s="37">
        <v>0.240453</v>
      </c>
      <c r="W62" s="37">
        <v>0.236259</v>
      </c>
      <c r="X62" s="37">
        <v>0.232016</v>
      </c>
      <c r="Y62" s="37">
        <v>0.22792000000000001</v>
      </c>
      <c r="Z62" s="37">
        <v>0.223829</v>
      </c>
      <c r="AA62" s="37">
        <v>0.219666</v>
      </c>
      <c r="AB62" s="37">
        <v>0.21551799999999999</v>
      </c>
      <c r="AC62" s="37">
        <v>0.21145800000000001</v>
      </c>
      <c r="AD62" s="37">
        <v>0.20741999999999999</v>
      </c>
      <c r="AE62" s="37">
        <v>0.203485</v>
      </c>
      <c r="AF62" s="38">
        <v>-2.2235999999999999E-2</v>
      </c>
      <c r="AG62" s="27"/>
      <c r="AH62" s="20"/>
    </row>
    <row r="63" spans="1:34" ht="15" customHeight="1" x14ac:dyDescent="0.45">
      <c r="A63" s="26" t="s">
        <v>130</v>
      </c>
      <c r="B63" s="36" t="s">
        <v>89</v>
      </c>
      <c r="C63" s="37">
        <v>4.3041000000000003E-2</v>
      </c>
      <c r="D63" s="37">
        <v>4.0314999999999997E-2</v>
      </c>
      <c r="E63" s="37">
        <v>3.8573000000000003E-2</v>
      </c>
      <c r="F63" s="37">
        <v>3.7465999999999999E-2</v>
      </c>
      <c r="G63" s="37">
        <v>3.6442000000000002E-2</v>
      </c>
      <c r="H63" s="37">
        <v>3.5552E-2</v>
      </c>
      <c r="I63" s="37">
        <v>3.4810000000000001E-2</v>
      </c>
      <c r="J63" s="37">
        <v>3.4218999999999999E-2</v>
      </c>
      <c r="K63" s="37">
        <v>3.3803E-2</v>
      </c>
      <c r="L63" s="37">
        <v>3.3316999999999999E-2</v>
      </c>
      <c r="M63" s="37">
        <v>3.2805000000000001E-2</v>
      </c>
      <c r="N63" s="37">
        <v>3.227E-2</v>
      </c>
      <c r="O63" s="37">
        <v>3.1734999999999999E-2</v>
      </c>
      <c r="P63" s="37">
        <v>3.1182000000000001E-2</v>
      </c>
      <c r="Q63" s="37">
        <v>3.0637000000000001E-2</v>
      </c>
      <c r="R63" s="37">
        <v>3.0092000000000001E-2</v>
      </c>
      <c r="S63" s="37">
        <v>2.9555999999999999E-2</v>
      </c>
      <c r="T63" s="37">
        <v>2.9034000000000001E-2</v>
      </c>
      <c r="U63" s="37">
        <v>2.8531000000000001E-2</v>
      </c>
      <c r="V63" s="37">
        <v>2.8038E-2</v>
      </c>
      <c r="W63" s="37">
        <v>2.7574000000000001E-2</v>
      </c>
      <c r="X63" s="37">
        <v>2.7129E-2</v>
      </c>
      <c r="Y63" s="37">
        <v>2.6714999999999999E-2</v>
      </c>
      <c r="Z63" s="37">
        <v>2.6321000000000001E-2</v>
      </c>
      <c r="AA63" s="37">
        <v>2.5933000000000001E-2</v>
      </c>
      <c r="AB63" s="37">
        <v>2.5562999999999999E-2</v>
      </c>
      <c r="AC63" s="37">
        <v>2.5212999999999999E-2</v>
      </c>
      <c r="AD63" s="37">
        <v>2.4871000000000001E-2</v>
      </c>
      <c r="AE63" s="37">
        <v>2.4542000000000001E-2</v>
      </c>
      <c r="AF63" s="38">
        <v>-1.9862999999999999E-2</v>
      </c>
      <c r="AG63" s="27"/>
      <c r="AH63" s="20"/>
    </row>
    <row r="64" spans="1:34" ht="15" customHeight="1" x14ac:dyDescent="0.45">
      <c r="A64" s="26" t="s">
        <v>131</v>
      </c>
      <c r="B64" s="36" t="s">
        <v>132</v>
      </c>
      <c r="C64" s="37">
        <v>7.5310000000000004E-3</v>
      </c>
      <c r="D64" s="37">
        <v>7.3670000000000003E-3</v>
      </c>
      <c r="E64" s="37">
        <v>7.3299999999999997E-3</v>
      </c>
      <c r="F64" s="37">
        <v>7.3689999999999997E-3</v>
      </c>
      <c r="G64" s="37">
        <v>7.3889999999999997E-3</v>
      </c>
      <c r="H64" s="37">
        <v>7.3969999999999999E-3</v>
      </c>
      <c r="I64" s="37">
        <v>7.3959999999999998E-3</v>
      </c>
      <c r="J64" s="37">
        <v>7.3850000000000001E-3</v>
      </c>
      <c r="K64" s="37">
        <v>7.3699999999999998E-3</v>
      </c>
      <c r="L64" s="37">
        <v>7.3499999999999998E-3</v>
      </c>
      <c r="M64" s="37">
        <v>7.3309999999999998E-3</v>
      </c>
      <c r="N64" s="37">
        <v>7.3119999999999999E-3</v>
      </c>
      <c r="O64" s="37">
        <v>7.293E-3</v>
      </c>
      <c r="P64" s="37">
        <v>7.2750000000000002E-3</v>
      </c>
      <c r="Q64" s="37">
        <v>7.2570000000000004E-3</v>
      </c>
      <c r="R64" s="37">
        <v>7.2389999999999998E-3</v>
      </c>
      <c r="S64" s="37">
        <v>7.2220000000000001E-3</v>
      </c>
      <c r="T64" s="37">
        <v>7.2049999999999996E-3</v>
      </c>
      <c r="U64" s="37">
        <v>7.1890000000000001E-3</v>
      </c>
      <c r="V64" s="37">
        <v>7.1710000000000003E-3</v>
      </c>
      <c r="W64" s="37">
        <v>7.1549999999999999E-3</v>
      </c>
      <c r="X64" s="37">
        <v>7.1390000000000004E-3</v>
      </c>
      <c r="Y64" s="37">
        <v>7.1250000000000003E-3</v>
      </c>
      <c r="Z64" s="37">
        <v>7.1110000000000001E-3</v>
      </c>
      <c r="AA64" s="37">
        <v>7.0930000000000003E-3</v>
      </c>
      <c r="AB64" s="37">
        <v>7.0759999999999998E-3</v>
      </c>
      <c r="AC64" s="37">
        <v>7.0609999999999996E-3</v>
      </c>
      <c r="AD64" s="37">
        <v>7.0470000000000003E-3</v>
      </c>
      <c r="AE64" s="37">
        <v>7.0330000000000002E-3</v>
      </c>
      <c r="AF64" s="38">
        <v>-2.4420000000000002E-3</v>
      </c>
      <c r="AG64" s="27"/>
      <c r="AH64" s="20"/>
    </row>
    <row r="65" spans="1:34" ht="15" customHeight="1" x14ac:dyDescent="0.35">
      <c r="A65" s="26" t="s">
        <v>133</v>
      </c>
      <c r="B65" s="35" t="s">
        <v>127</v>
      </c>
      <c r="C65" s="39">
        <v>0.43249700000000002</v>
      </c>
      <c r="D65" s="39">
        <v>0.43121700000000002</v>
      </c>
      <c r="E65" s="39">
        <v>0.37339299999999997</v>
      </c>
      <c r="F65" s="39">
        <v>0.36809900000000001</v>
      </c>
      <c r="G65" s="39">
        <v>0.36198599999999997</v>
      </c>
      <c r="H65" s="39">
        <v>0.355601</v>
      </c>
      <c r="I65" s="39">
        <v>0.34908499999999998</v>
      </c>
      <c r="J65" s="39">
        <v>0.34247100000000003</v>
      </c>
      <c r="K65" s="39">
        <v>0.336113</v>
      </c>
      <c r="L65" s="39">
        <v>0.32974399999999998</v>
      </c>
      <c r="M65" s="39">
        <v>0.32350200000000001</v>
      </c>
      <c r="N65" s="39">
        <v>0.317799</v>
      </c>
      <c r="O65" s="39">
        <v>0.31203199999999998</v>
      </c>
      <c r="P65" s="39">
        <v>0.30630299999999999</v>
      </c>
      <c r="Q65" s="39">
        <v>0.30079400000000001</v>
      </c>
      <c r="R65" s="39">
        <v>0.29545399999999999</v>
      </c>
      <c r="S65" s="39">
        <v>0.29028399999999999</v>
      </c>
      <c r="T65" s="39">
        <v>0.28525600000000001</v>
      </c>
      <c r="U65" s="39">
        <v>0.28043400000000002</v>
      </c>
      <c r="V65" s="39">
        <v>0.27566299999999999</v>
      </c>
      <c r="W65" s="39">
        <v>0.27098800000000001</v>
      </c>
      <c r="X65" s="39">
        <v>0.26628299999999999</v>
      </c>
      <c r="Y65" s="39">
        <v>0.26175999999999999</v>
      </c>
      <c r="Z65" s="39">
        <v>0.25726100000000002</v>
      </c>
      <c r="AA65" s="39">
        <v>0.25269200000000003</v>
      </c>
      <c r="AB65" s="39">
        <v>0.24818499999999999</v>
      </c>
      <c r="AC65" s="39">
        <v>0.24379000000000001</v>
      </c>
      <c r="AD65" s="39">
        <v>0.239424</v>
      </c>
      <c r="AE65" s="39">
        <v>0.23517399999999999</v>
      </c>
      <c r="AF65" s="40">
        <v>-2.1524000000000001E-2</v>
      </c>
      <c r="AG65" s="27"/>
      <c r="AH65" s="19"/>
    </row>
    <row r="66" spans="1:34" ht="15" customHeight="1" x14ac:dyDescent="0.35"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</row>
    <row r="67" spans="1:34" ht="15" customHeight="1" x14ac:dyDescent="0.35">
      <c r="B67" s="35" t="s">
        <v>134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</row>
    <row r="68" spans="1:34" ht="15" customHeight="1" x14ac:dyDescent="0.45">
      <c r="A68" s="26" t="s">
        <v>135</v>
      </c>
      <c r="B68" s="36" t="s">
        <v>85</v>
      </c>
      <c r="C68" s="37">
        <v>0.340393</v>
      </c>
      <c r="D68" s="37">
        <v>0.32860299999999998</v>
      </c>
      <c r="E68" s="37">
        <v>0.298348</v>
      </c>
      <c r="F68" s="37">
        <v>0.29450799999999999</v>
      </c>
      <c r="G68" s="37">
        <v>0.29172100000000001</v>
      </c>
      <c r="H68" s="37">
        <v>0.28928799999999999</v>
      </c>
      <c r="I68" s="37">
        <v>0.28668399999999999</v>
      </c>
      <c r="J68" s="37">
        <v>0.283808</v>
      </c>
      <c r="K68" s="37">
        <v>0.28064499999999998</v>
      </c>
      <c r="L68" s="37">
        <v>0.27730500000000002</v>
      </c>
      <c r="M68" s="37">
        <v>0.27384999999999998</v>
      </c>
      <c r="N68" s="37">
        <v>0.27067099999999999</v>
      </c>
      <c r="O68" s="37">
        <v>0.26741599999999999</v>
      </c>
      <c r="P68" s="37">
        <v>0.26435500000000001</v>
      </c>
      <c r="Q68" s="37">
        <v>0.26152700000000001</v>
      </c>
      <c r="R68" s="37">
        <v>0.25891500000000001</v>
      </c>
      <c r="S68" s="37">
        <v>0.25636999999999999</v>
      </c>
      <c r="T68" s="37">
        <v>0.25396800000000003</v>
      </c>
      <c r="U68" s="37">
        <v>0.25170300000000001</v>
      </c>
      <c r="V68" s="37">
        <v>0.24954599999999999</v>
      </c>
      <c r="W68" s="37">
        <v>0.247417</v>
      </c>
      <c r="X68" s="37">
        <v>0.24538499999999999</v>
      </c>
      <c r="Y68" s="37">
        <v>0.24345900000000001</v>
      </c>
      <c r="Z68" s="37">
        <v>0.241594</v>
      </c>
      <c r="AA68" s="37">
        <v>0.239707</v>
      </c>
      <c r="AB68" s="37">
        <v>0.23788400000000001</v>
      </c>
      <c r="AC68" s="37">
        <v>0.23608100000000001</v>
      </c>
      <c r="AD68" s="37">
        <v>0.23432800000000001</v>
      </c>
      <c r="AE68" s="37">
        <v>0.23263400000000001</v>
      </c>
      <c r="AF68" s="38">
        <v>-1.3502E-2</v>
      </c>
      <c r="AG68" s="27"/>
      <c r="AH68" s="20"/>
    </row>
    <row r="69" spans="1:34" ht="15" customHeight="1" x14ac:dyDescent="0.45">
      <c r="A69" s="26" t="s">
        <v>136</v>
      </c>
      <c r="B69" s="36" t="s">
        <v>89</v>
      </c>
      <c r="C69" s="37">
        <v>6.0220999999999997E-2</v>
      </c>
      <c r="D69" s="37">
        <v>5.7038999999999999E-2</v>
      </c>
      <c r="E69" s="37">
        <v>5.4758000000000001E-2</v>
      </c>
      <c r="F69" s="37">
        <v>5.3261999999999997E-2</v>
      </c>
      <c r="G69" s="37">
        <v>5.2171000000000002E-2</v>
      </c>
      <c r="H69" s="37">
        <v>5.1295E-2</v>
      </c>
      <c r="I69" s="37">
        <v>5.0535999999999998E-2</v>
      </c>
      <c r="J69" s="37">
        <v>4.9869999999999998E-2</v>
      </c>
      <c r="K69" s="37">
        <v>4.9292999999999997E-2</v>
      </c>
      <c r="L69" s="37">
        <v>4.8556000000000002E-2</v>
      </c>
      <c r="M69" s="37">
        <v>4.7706999999999999E-2</v>
      </c>
      <c r="N69" s="37">
        <v>4.6803999999999998E-2</v>
      </c>
      <c r="O69" s="37">
        <v>4.5865999999999997E-2</v>
      </c>
      <c r="P69" s="37">
        <v>4.4928000000000003E-2</v>
      </c>
      <c r="Q69" s="37">
        <v>4.4021999999999999E-2</v>
      </c>
      <c r="R69" s="37">
        <v>4.3145000000000003E-2</v>
      </c>
      <c r="S69" s="37">
        <v>4.2285999999999997E-2</v>
      </c>
      <c r="T69" s="37">
        <v>4.1473000000000003E-2</v>
      </c>
      <c r="U69" s="37">
        <v>4.0703999999999997E-2</v>
      </c>
      <c r="V69" s="37">
        <v>3.9976999999999999E-2</v>
      </c>
      <c r="W69" s="37">
        <v>3.9300000000000002E-2</v>
      </c>
      <c r="X69" s="37">
        <v>3.8684999999999997E-2</v>
      </c>
      <c r="Y69" s="37">
        <v>3.8130999999999998E-2</v>
      </c>
      <c r="Z69" s="37">
        <v>3.7622999999999997E-2</v>
      </c>
      <c r="AA69" s="37">
        <v>3.7130000000000003E-2</v>
      </c>
      <c r="AB69" s="37">
        <v>3.6677000000000001E-2</v>
      </c>
      <c r="AC69" s="37">
        <v>3.6255999999999997E-2</v>
      </c>
      <c r="AD69" s="37">
        <v>3.5862999999999999E-2</v>
      </c>
      <c r="AE69" s="37">
        <v>3.5496E-2</v>
      </c>
      <c r="AF69" s="38">
        <v>-1.8702E-2</v>
      </c>
      <c r="AG69" s="27"/>
      <c r="AH69" s="20"/>
    </row>
    <row r="70" spans="1:34" ht="15" customHeight="1" x14ac:dyDescent="0.45">
      <c r="A70" s="26" t="s">
        <v>137</v>
      </c>
      <c r="B70" s="36" t="s">
        <v>93</v>
      </c>
      <c r="C70" s="37">
        <v>1.6931000000000002E-2</v>
      </c>
      <c r="D70" s="37">
        <v>1.6749E-2</v>
      </c>
      <c r="E70" s="37">
        <v>1.6560999999999999E-2</v>
      </c>
      <c r="F70" s="37">
        <v>1.6368000000000001E-2</v>
      </c>
      <c r="G70" s="37">
        <v>1.6164999999999999E-2</v>
      </c>
      <c r="H70" s="37">
        <v>1.5948E-2</v>
      </c>
      <c r="I70" s="37">
        <v>1.5723000000000001E-2</v>
      </c>
      <c r="J70" s="37">
        <v>1.5488999999999999E-2</v>
      </c>
      <c r="K70" s="37">
        <v>1.5245E-2</v>
      </c>
      <c r="L70" s="37">
        <v>1.4994E-2</v>
      </c>
      <c r="M70" s="37">
        <v>1.4737E-2</v>
      </c>
      <c r="N70" s="37">
        <v>1.4520999999999999E-2</v>
      </c>
      <c r="O70" s="37">
        <v>1.4345E-2</v>
      </c>
      <c r="P70" s="37">
        <v>1.421E-2</v>
      </c>
      <c r="Q70" s="37">
        <v>1.4119E-2</v>
      </c>
      <c r="R70" s="37">
        <v>1.4071E-2</v>
      </c>
      <c r="S70" s="37">
        <v>1.4016000000000001E-2</v>
      </c>
      <c r="T70" s="37">
        <v>1.3956E-2</v>
      </c>
      <c r="U70" s="37">
        <v>1.389E-2</v>
      </c>
      <c r="V70" s="37">
        <v>1.3818E-2</v>
      </c>
      <c r="W70" s="37">
        <v>1.3741E-2</v>
      </c>
      <c r="X70" s="37">
        <v>1.3661E-2</v>
      </c>
      <c r="Y70" s="37">
        <v>1.3580999999999999E-2</v>
      </c>
      <c r="Z70" s="37">
        <v>1.3502E-2</v>
      </c>
      <c r="AA70" s="37">
        <v>1.3427E-2</v>
      </c>
      <c r="AB70" s="37">
        <v>1.3357000000000001E-2</v>
      </c>
      <c r="AC70" s="37">
        <v>1.3292999999999999E-2</v>
      </c>
      <c r="AD70" s="37">
        <v>1.3233E-2</v>
      </c>
      <c r="AE70" s="37">
        <v>1.3174999999999999E-2</v>
      </c>
      <c r="AF70" s="38">
        <v>-8.9169999999999996E-3</v>
      </c>
      <c r="AG70" s="27"/>
      <c r="AH70" s="20"/>
    </row>
    <row r="71" spans="1:34" ht="15" customHeight="1" x14ac:dyDescent="0.45">
      <c r="A71" s="26" t="s">
        <v>138</v>
      </c>
      <c r="B71" s="36" t="s">
        <v>139</v>
      </c>
      <c r="C71" s="37">
        <v>7.3539999999999994E-2</v>
      </c>
      <c r="D71" s="37">
        <v>7.3881000000000002E-2</v>
      </c>
      <c r="E71" s="37">
        <v>7.5037999999999994E-2</v>
      </c>
      <c r="F71" s="37">
        <v>7.6966999999999994E-2</v>
      </c>
      <c r="G71" s="37">
        <v>7.9217999999999997E-2</v>
      </c>
      <c r="H71" s="37">
        <v>8.1564999999999999E-2</v>
      </c>
      <c r="I71" s="37">
        <v>8.3859000000000003E-2</v>
      </c>
      <c r="J71" s="37">
        <v>8.6046999999999998E-2</v>
      </c>
      <c r="K71" s="37">
        <v>8.8106000000000004E-2</v>
      </c>
      <c r="L71" s="37">
        <v>9.0053999999999995E-2</v>
      </c>
      <c r="M71" s="37">
        <v>9.1918E-2</v>
      </c>
      <c r="N71" s="37">
        <v>9.3709000000000001E-2</v>
      </c>
      <c r="O71" s="37">
        <v>9.5459000000000002E-2</v>
      </c>
      <c r="P71" s="37">
        <v>9.7230999999999998E-2</v>
      </c>
      <c r="Q71" s="37">
        <v>9.9066000000000001E-2</v>
      </c>
      <c r="R71" s="37">
        <v>0.10094500000000001</v>
      </c>
      <c r="S71" s="37">
        <v>0.102823</v>
      </c>
      <c r="T71" s="37">
        <v>0.104744</v>
      </c>
      <c r="U71" s="37">
        <v>0.10668800000000001</v>
      </c>
      <c r="V71" s="37">
        <v>0.10864500000000001</v>
      </c>
      <c r="W71" s="37">
        <v>0.110621</v>
      </c>
      <c r="X71" s="37">
        <v>0.112653</v>
      </c>
      <c r="Y71" s="37">
        <v>0.114748</v>
      </c>
      <c r="Z71" s="37">
        <v>0.116869</v>
      </c>
      <c r="AA71" s="37">
        <v>0.118934</v>
      </c>
      <c r="AB71" s="37">
        <v>0.121035</v>
      </c>
      <c r="AC71" s="37">
        <v>0.12316199999999999</v>
      </c>
      <c r="AD71" s="37">
        <v>0.12532199999999999</v>
      </c>
      <c r="AE71" s="37">
        <v>0.12750900000000001</v>
      </c>
      <c r="AF71" s="38">
        <v>1.985E-2</v>
      </c>
      <c r="AG71" s="27"/>
      <c r="AH71" s="20"/>
    </row>
    <row r="72" spans="1:34" ht="15" customHeight="1" x14ac:dyDescent="0.35">
      <c r="A72" s="26" t="s">
        <v>140</v>
      </c>
      <c r="B72" s="35" t="s">
        <v>127</v>
      </c>
      <c r="C72" s="39">
        <v>0.49108499999999999</v>
      </c>
      <c r="D72" s="39">
        <v>0.47627199999999997</v>
      </c>
      <c r="E72" s="39">
        <v>0.44470500000000002</v>
      </c>
      <c r="F72" s="39">
        <v>0.44110500000000002</v>
      </c>
      <c r="G72" s="39">
        <v>0.43927500000000003</v>
      </c>
      <c r="H72" s="39">
        <v>0.43809599999999999</v>
      </c>
      <c r="I72" s="39">
        <v>0.43680099999999999</v>
      </c>
      <c r="J72" s="39">
        <v>0.43521399999999999</v>
      </c>
      <c r="K72" s="39">
        <v>0.43328899999999998</v>
      </c>
      <c r="L72" s="39">
        <v>0.43090899999999999</v>
      </c>
      <c r="M72" s="39">
        <v>0.42821300000000001</v>
      </c>
      <c r="N72" s="39">
        <v>0.425705</v>
      </c>
      <c r="O72" s="39">
        <v>0.42308499999999999</v>
      </c>
      <c r="P72" s="39">
        <v>0.42072399999999999</v>
      </c>
      <c r="Q72" s="39">
        <v>0.418734</v>
      </c>
      <c r="R72" s="39">
        <v>0.417076</v>
      </c>
      <c r="S72" s="39">
        <v>0.415495</v>
      </c>
      <c r="T72" s="39">
        <v>0.41414200000000001</v>
      </c>
      <c r="U72" s="39">
        <v>0.41298400000000002</v>
      </c>
      <c r="V72" s="39">
        <v>0.41198600000000002</v>
      </c>
      <c r="W72" s="39">
        <v>0.41108</v>
      </c>
      <c r="X72" s="39">
        <v>0.410385</v>
      </c>
      <c r="Y72" s="39">
        <v>0.40991899999999998</v>
      </c>
      <c r="Z72" s="39">
        <v>0.40958800000000001</v>
      </c>
      <c r="AA72" s="39">
        <v>0.40919800000000001</v>
      </c>
      <c r="AB72" s="39">
        <v>0.40895199999999998</v>
      </c>
      <c r="AC72" s="39">
        <v>0.40879199999999999</v>
      </c>
      <c r="AD72" s="39">
        <v>0.408746</v>
      </c>
      <c r="AE72" s="39">
        <v>0.40881400000000001</v>
      </c>
      <c r="AF72" s="40">
        <v>-6.5269999999999998E-3</v>
      </c>
      <c r="AG72" s="27"/>
      <c r="AH72" s="19"/>
    </row>
    <row r="73" spans="1:34" ht="15" customHeight="1" x14ac:dyDescent="0.35"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</row>
    <row r="74" spans="1:34" ht="15" customHeight="1" x14ac:dyDescent="0.45">
      <c r="A74" s="26" t="s">
        <v>141</v>
      </c>
      <c r="B74" s="36" t="s">
        <v>142</v>
      </c>
      <c r="C74" s="37">
        <v>0.53893199999999997</v>
      </c>
      <c r="D74" s="37">
        <v>0.57440999999999998</v>
      </c>
      <c r="E74" s="37">
        <v>0.51306799999999997</v>
      </c>
      <c r="F74" s="37">
        <v>0.48986400000000002</v>
      </c>
      <c r="G74" s="37">
        <v>0.47216399999999997</v>
      </c>
      <c r="H74" s="37">
        <v>0.45763999999999999</v>
      </c>
      <c r="I74" s="37">
        <v>0.44519999999999998</v>
      </c>
      <c r="J74" s="37">
        <v>0.435137</v>
      </c>
      <c r="K74" s="37">
        <v>0.42601699999999998</v>
      </c>
      <c r="L74" s="37">
        <v>0.41790899999999997</v>
      </c>
      <c r="M74" s="37">
        <v>0.409804</v>
      </c>
      <c r="N74" s="37">
        <v>0.40263100000000002</v>
      </c>
      <c r="O74" s="37">
        <v>0.39503899999999997</v>
      </c>
      <c r="P74" s="37">
        <v>0.38751400000000003</v>
      </c>
      <c r="Q74" s="37">
        <v>0.37993500000000002</v>
      </c>
      <c r="R74" s="37">
        <v>0.37285699999999999</v>
      </c>
      <c r="S74" s="37">
        <v>0.36608299999999999</v>
      </c>
      <c r="T74" s="37">
        <v>0.35957499999999998</v>
      </c>
      <c r="U74" s="37">
        <v>0.35324100000000003</v>
      </c>
      <c r="V74" s="37">
        <v>0.34762199999999999</v>
      </c>
      <c r="W74" s="37">
        <v>0.34207100000000001</v>
      </c>
      <c r="X74" s="37">
        <v>0.33705400000000002</v>
      </c>
      <c r="Y74" s="37">
        <v>0.332011</v>
      </c>
      <c r="Z74" s="37">
        <v>0.327538</v>
      </c>
      <c r="AA74" s="37">
        <v>0.32387199999999999</v>
      </c>
      <c r="AB74" s="37">
        <v>0.32008300000000001</v>
      </c>
      <c r="AC74" s="37">
        <v>0.31608900000000001</v>
      </c>
      <c r="AD74" s="37">
        <v>0.31211100000000003</v>
      </c>
      <c r="AE74" s="37">
        <v>0.30802400000000002</v>
      </c>
      <c r="AF74" s="38">
        <v>-1.9781E-2</v>
      </c>
      <c r="AG74" s="27"/>
      <c r="AH74" s="20"/>
    </row>
    <row r="75" spans="1:34" ht="15" customHeight="1" x14ac:dyDescent="0.35"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</row>
    <row r="76" spans="1:34" ht="15" customHeight="1" x14ac:dyDescent="0.35">
      <c r="B76" s="35" t="s">
        <v>143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</row>
    <row r="77" spans="1:34" ht="15" customHeight="1" x14ac:dyDescent="0.45">
      <c r="A77" s="26" t="s">
        <v>144</v>
      </c>
      <c r="B77" s="36" t="s">
        <v>145</v>
      </c>
      <c r="C77" s="37">
        <v>5.7437990000000001</v>
      </c>
      <c r="D77" s="37">
        <v>5.8167090000000004</v>
      </c>
      <c r="E77" s="37">
        <v>5.3206829999999998</v>
      </c>
      <c r="F77" s="37">
        <v>5.2993560000000004</v>
      </c>
      <c r="G77" s="37">
        <v>5.2785640000000003</v>
      </c>
      <c r="H77" s="37">
        <v>5.2510760000000003</v>
      </c>
      <c r="I77" s="37">
        <v>5.2174740000000002</v>
      </c>
      <c r="J77" s="37">
        <v>5.1750949999999998</v>
      </c>
      <c r="K77" s="37">
        <v>5.127351</v>
      </c>
      <c r="L77" s="37">
        <v>5.0770179999999998</v>
      </c>
      <c r="M77" s="37">
        <v>5.02658</v>
      </c>
      <c r="N77" s="37">
        <v>4.9858409999999997</v>
      </c>
      <c r="O77" s="37">
        <v>4.9413200000000002</v>
      </c>
      <c r="P77" s="37">
        <v>4.8989659999999997</v>
      </c>
      <c r="Q77" s="37">
        <v>4.8595360000000003</v>
      </c>
      <c r="R77" s="37">
        <v>4.8225550000000004</v>
      </c>
      <c r="S77" s="37">
        <v>4.784821</v>
      </c>
      <c r="T77" s="37">
        <v>4.7496340000000004</v>
      </c>
      <c r="U77" s="37">
        <v>4.7167779999999997</v>
      </c>
      <c r="V77" s="37">
        <v>4.6856280000000003</v>
      </c>
      <c r="W77" s="37">
        <v>4.6557829999999996</v>
      </c>
      <c r="X77" s="37">
        <v>4.628654</v>
      </c>
      <c r="Y77" s="37">
        <v>4.6032520000000003</v>
      </c>
      <c r="Z77" s="37">
        <v>4.5774530000000002</v>
      </c>
      <c r="AA77" s="37">
        <v>4.5492520000000001</v>
      </c>
      <c r="AB77" s="37">
        <v>4.522653</v>
      </c>
      <c r="AC77" s="37">
        <v>4.4976979999999998</v>
      </c>
      <c r="AD77" s="37">
        <v>4.4730980000000002</v>
      </c>
      <c r="AE77" s="37">
        <v>4.4476490000000002</v>
      </c>
      <c r="AF77" s="38">
        <v>-9.0919999999999994E-3</v>
      </c>
      <c r="AG77" s="27"/>
      <c r="AH77" s="20"/>
    </row>
    <row r="78" spans="1:34" ht="15" customHeight="1" x14ac:dyDescent="0.45">
      <c r="A78" s="26" t="s">
        <v>146</v>
      </c>
      <c r="B78" s="36" t="s">
        <v>147</v>
      </c>
      <c r="C78" s="37">
        <v>0.91247500000000004</v>
      </c>
      <c r="D78" s="37">
        <v>0.78572200000000003</v>
      </c>
      <c r="E78" s="37">
        <v>0.95037000000000005</v>
      </c>
      <c r="F78" s="37">
        <v>0.97087400000000001</v>
      </c>
      <c r="G78" s="37">
        <v>0.99026800000000004</v>
      </c>
      <c r="H78" s="37">
        <v>1.0103789999999999</v>
      </c>
      <c r="I78" s="37">
        <v>1.029992</v>
      </c>
      <c r="J78" s="37">
        <v>1.048459</v>
      </c>
      <c r="K78" s="37">
        <v>1.0645690000000001</v>
      </c>
      <c r="L78" s="37">
        <v>1.079664</v>
      </c>
      <c r="M78" s="37">
        <v>1.0958680000000001</v>
      </c>
      <c r="N78" s="37">
        <v>1.1120030000000001</v>
      </c>
      <c r="O78" s="37">
        <v>1.1285069999999999</v>
      </c>
      <c r="P78" s="37">
        <v>1.147432</v>
      </c>
      <c r="Q78" s="37">
        <v>1.1682380000000001</v>
      </c>
      <c r="R78" s="37">
        <v>1.1901900000000001</v>
      </c>
      <c r="S78" s="37">
        <v>1.2119450000000001</v>
      </c>
      <c r="T78" s="37">
        <v>1.2341850000000001</v>
      </c>
      <c r="U78" s="37">
        <v>1.2567489999999999</v>
      </c>
      <c r="V78" s="37">
        <v>1.279439</v>
      </c>
      <c r="W78" s="37">
        <v>1.302789</v>
      </c>
      <c r="X78" s="37">
        <v>1.326819</v>
      </c>
      <c r="Y78" s="37">
        <v>1.351826</v>
      </c>
      <c r="Z78" s="37">
        <v>1.3777349999999999</v>
      </c>
      <c r="AA78" s="37">
        <v>1.405762</v>
      </c>
      <c r="AB78" s="37">
        <v>1.434909</v>
      </c>
      <c r="AC78" s="37">
        <v>1.4646790000000001</v>
      </c>
      <c r="AD78" s="37">
        <v>1.494399</v>
      </c>
      <c r="AE78" s="37">
        <v>1.5252699999999999</v>
      </c>
      <c r="AF78" s="38">
        <v>1.8518E-2</v>
      </c>
      <c r="AG78" s="27"/>
      <c r="AH78" s="20"/>
    </row>
    <row r="79" spans="1:34" ht="15" customHeight="1" x14ac:dyDescent="0.45">
      <c r="A79" s="26" t="s">
        <v>148</v>
      </c>
      <c r="B79" s="36" t="s">
        <v>149</v>
      </c>
      <c r="C79" s="37">
        <v>1.6860470000000001</v>
      </c>
      <c r="D79" s="37">
        <v>1.6764079999999999</v>
      </c>
      <c r="E79" s="37">
        <v>1.681888</v>
      </c>
      <c r="F79" s="37">
        <v>1.6958260000000001</v>
      </c>
      <c r="G79" s="37">
        <v>1.710388</v>
      </c>
      <c r="H79" s="37">
        <v>1.7242150000000001</v>
      </c>
      <c r="I79" s="37">
        <v>1.737117</v>
      </c>
      <c r="J79" s="37">
        <v>1.746907</v>
      </c>
      <c r="K79" s="37">
        <v>1.75451</v>
      </c>
      <c r="L79" s="37">
        <v>1.759377</v>
      </c>
      <c r="M79" s="37">
        <v>1.763657</v>
      </c>
      <c r="N79" s="37">
        <v>1.7701150000000001</v>
      </c>
      <c r="O79" s="37">
        <v>1.776848</v>
      </c>
      <c r="P79" s="37">
        <v>1.7859210000000001</v>
      </c>
      <c r="Q79" s="37">
        <v>1.7956160000000001</v>
      </c>
      <c r="R79" s="37">
        <v>1.8048709999999999</v>
      </c>
      <c r="S79" s="37">
        <v>1.8128249999999999</v>
      </c>
      <c r="T79" s="37">
        <v>1.820973</v>
      </c>
      <c r="U79" s="37">
        <v>1.8290569999999999</v>
      </c>
      <c r="V79" s="37">
        <v>1.8370709999999999</v>
      </c>
      <c r="W79" s="37">
        <v>1.8455630000000001</v>
      </c>
      <c r="X79" s="37">
        <v>1.8550660000000001</v>
      </c>
      <c r="Y79" s="37">
        <v>1.865388</v>
      </c>
      <c r="Z79" s="37">
        <v>1.8753299999999999</v>
      </c>
      <c r="AA79" s="37">
        <v>1.8827719999999999</v>
      </c>
      <c r="AB79" s="37">
        <v>1.891669</v>
      </c>
      <c r="AC79" s="37">
        <v>1.9022250000000001</v>
      </c>
      <c r="AD79" s="37">
        <v>1.9136150000000001</v>
      </c>
      <c r="AE79" s="37">
        <v>1.9250860000000001</v>
      </c>
      <c r="AF79" s="38">
        <v>4.7460000000000002E-3</v>
      </c>
      <c r="AG79" s="27"/>
      <c r="AH79" s="20"/>
    </row>
    <row r="80" spans="1:34" ht="15" customHeight="1" x14ac:dyDescent="0.45">
      <c r="A80" s="26" t="s">
        <v>150</v>
      </c>
      <c r="B80" s="36" t="s">
        <v>151</v>
      </c>
      <c r="C80" s="37">
        <v>0.29555799999999999</v>
      </c>
      <c r="D80" s="37">
        <v>0.293987</v>
      </c>
      <c r="E80" s="37">
        <v>0.29266799999999998</v>
      </c>
      <c r="F80" s="37">
        <v>0.29163</v>
      </c>
      <c r="G80" s="37">
        <v>0.29078300000000001</v>
      </c>
      <c r="H80" s="37">
        <v>0.29015800000000003</v>
      </c>
      <c r="I80" s="37">
        <v>0.28977799999999998</v>
      </c>
      <c r="J80" s="37">
        <v>0.28961500000000001</v>
      </c>
      <c r="K80" s="37">
        <v>0.289659</v>
      </c>
      <c r="L80" s="37">
        <v>0.28998600000000002</v>
      </c>
      <c r="M80" s="37">
        <v>0.29063</v>
      </c>
      <c r="N80" s="37">
        <v>0.29157</v>
      </c>
      <c r="O80" s="37">
        <v>0.29279500000000003</v>
      </c>
      <c r="P80" s="37">
        <v>0.29434300000000002</v>
      </c>
      <c r="Q80" s="37">
        <v>0.29624200000000001</v>
      </c>
      <c r="R80" s="37">
        <v>0.29844700000000002</v>
      </c>
      <c r="S80" s="37">
        <v>0.30096000000000001</v>
      </c>
      <c r="T80" s="37">
        <v>0.30374499999999999</v>
      </c>
      <c r="U80" s="37">
        <v>0.30684800000000001</v>
      </c>
      <c r="V80" s="37">
        <v>0.310249</v>
      </c>
      <c r="W80" s="37">
        <v>0.313888</v>
      </c>
      <c r="X80" s="37">
        <v>0.31748199999999999</v>
      </c>
      <c r="Y80" s="37">
        <v>0.32102399999999998</v>
      </c>
      <c r="Z80" s="37">
        <v>0.32450699999999999</v>
      </c>
      <c r="AA80" s="37">
        <v>0.32791500000000001</v>
      </c>
      <c r="AB80" s="37">
        <v>0.33124999999999999</v>
      </c>
      <c r="AC80" s="37">
        <v>0.33449600000000002</v>
      </c>
      <c r="AD80" s="37">
        <v>0.33764499999999997</v>
      </c>
      <c r="AE80" s="37">
        <v>0.340702</v>
      </c>
      <c r="AF80" s="38">
        <v>5.0899999999999999E-3</v>
      </c>
      <c r="AG80" s="27"/>
      <c r="AH80" s="20"/>
    </row>
    <row r="81" spans="1:34" ht="15" customHeight="1" x14ac:dyDescent="0.45">
      <c r="A81" s="26" t="s">
        <v>152</v>
      </c>
      <c r="B81" s="36" t="s">
        <v>153</v>
      </c>
      <c r="C81" s="37">
        <v>0.17633199999999999</v>
      </c>
      <c r="D81" s="37">
        <v>0.176672</v>
      </c>
      <c r="E81" s="37">
        <v>0.17702799999999999</v>
      </c>
      <c r="F81" s="37">
        <v>0.17741699999999999</v>
      </c>
      <c r="G81" s="37">
        <v>0.177783</v>
      </c>
      <c r="H81" s="37">
        <v>0.17812800000000001</v>
      </c>
      <c r="I81" s="37">
        <v>0.17849000000000001</v>
      </c>
      <c r="J81" s="37">
        <v>0.178893</v>
      </c>
      <c r="K81" s="37">
        <v>0.179315</v>
      </c>
      <c r="L81" s="37">
        <v>0.17977399999999999</v>
      </c>
      <c r="M81" s="37">
        <v>0.18029100000000001</v>
      </c>
      <c r="N81" s="37">
        <v>0.18095600000000001</v>
      </c>
      <c r="O81" s="37">
        <v>0.181724</v>
      </c>
      <c r="P81" s="37">
        <v>0.182619</v>
      </c>
      <c r="Q81" s="37">
        <v>0.18365200000000001</v>
      </c>
      <c r="R81" s="37">
        <v>0.18481</v>
      </c>
      <c r="S81" s="37">
        <v>0.185975</v>
      </c>
      <c r="T81" s="37">
        <v>0.187144</v>
      </c>
      <c r="U81" s="37">
        <v>0.188336</v>
      </c>
      <c r="V81" s="37">
        <v>0.18954399999999999</v>
      </c>
      <c r="W81" s="37">
        <v>0.190752</v>
      </c>
      <c r="X81" s="37">
        <v>0.191971</v>
      </c>
      <c r="Y81" s="37">
        <v>0.19320100000000001</v>
      </c>
      <c r="Z81" s="37">
        <v>0.194441</v>
      </c>
      <c r="AA81" s="37">
        <v>0.19568199999999999</v>
      </c>
      <c r="AB81" s="37">
        <v>0.19692699999999999</v>
      </c>
      <c r="AC81" s="37">
        <v>0.19816400000000001</v>
      </c>
      <c r="AD81" s="37">
        <v>0.19938400000000001</v>
      </c>
      <c r="AE81" s="37">
        <v>0.20058400000000001</v>
      </c>
      <c r="AF81" s="38">
        <v>4.6129999999999999E-3</v>
      </c>
      <c r="AG81" s="27"/>
      <c r="AH81" s="20"/>
    </row>
    <row r="82" spans="1:34" ht="15" customHeight="1" x14ac:dyDescent="0.45">
      <c r="A82" s="26" t="s">
        <v>154</v>
      </c>
      <c r="B82" s="36" t="s">
        <v>155</v>
      </c>
      <c r="C82" s="37">
        <v>0.262179</v>
      </c>
      <c r="D82" s="37">
        <v>0.26705499999999999</v>
      </c>
      <c r="E82" s="37">
        <v>0.27271800000000002</v>
      </c>
      <c r="F82" s="37">
        <v>0.27916600000000003</v>
      </c>
      <c r="G82" s="37">
        <v>0.28541299999999997</v>
      </c>
      <c r="H82" s="37">
        <v>0.29130800000000001</v>
      </c>
      <c r="I82" s="37">
        <v>0.29685299999999998</v>
      </c>
      <c r="J82" s="37">
        <v>0.30188700000000002</v>
      </c>
      <c r="K82" s="37">
        <v>0.306369</v>
      </c>
      <c r="L82" s="37">
        <v>0.31048399999999998</v>
      </c>
      <c r="M82" s="37">
        <v>0.314552</v>
      </c>
      <c r="N82" s="37">
        <v>0.31818200000000002</v>
      </c>
      <c r="O82" s="37">
        <v>0.32178600000000002</v>
      </c>
      <c r="P82" s="37">
        <v>0.32580300000000001</v>
      </c>
      <c r="Q82" s="37">
        <v>0.330063</v>
      </c>
      <c r="R82" s="37">
        <v>0.33418500000000001</v>
      </c>
      <c r="S82" s="37">
        <v>0.33801199999999998</v>
      </c>
      <c r="T82" s="37">
        <v>0.34182899999999999</v>
      </c>
      <c r="U82" s="37">
        <v>0.34568100000000002</v>
      </c>
      <c r="V82" s="37">
        <v>0.349609</v>
      </c>
      <c r="W82" s="37">
        <v>0.353661</v>
      </c>
      <c r="X82" s="37">
        <v>0.35787099999999999</v>
      </c>
      <c r="Y82" s="37">
        <v>0.362147</v>
      </c>
      <c r="Z82" s="37">
        <v>0.36639100000000002</v>
      </c>
      <c r="AA82" s="37">
        <v>0.37062499999999998</v>
      </c>
      <c r="AB82" s="37">
        <v>0.37506099999999998</v>
      </c>
      <c r="AC82" s="37">
        <v>0.379581</v>
      </c>
      <c r="AD82" s="37">
        <v>0.38419700000000001</v>
      </c>
      <c r="AE82" s="37">
        <v>0.38902799999999998</v>
      </c>
      <c r="AF82" s="38">
        <v>1.4194E-2</v>
      </c>
      <c r="AG82" s="27"/>
      <c r="AH82" s="20"/>
    </row>
    <row r="83" spans="1:34" ht="15" customHeight="1" x14ac:dyDescent="0.45">
      <c r="A83" s="26" t="s">
        <v>156</v>
      </c>
      <c r="B83" s="36" t="s">
        <v>157</v>
      </c>
      <c r="C83" s="37">
        <v>6.9006999999999999E-2</v>
      </c>
      <c r="D83" s="37">
        <v>6.8849999999999995E-2</v>
      </c>
      <c r="E83" s="37">
        <v>6.8686999999999998E-2</v>
      </c>
      <c r="F83" s="37">
        <v>6.8515999999999994E-2</v>
      </c>
      <c r="G83" s="37">
        <v>6.8318000000000004E-2</v>
      </c>
      <c r="H83" s="37">
        <v>6.8104999999999999E-2</v>
      </c>
      <c r="I83" s="37">
        <v>6.7921999999999996E-2</v>
      </c>
      <c r="J83" s="37">
        <v>6.7761000000000002E-2</v>
      </c>
      <c r="K83" s="37">
        <v>6.7614999999999995E-2</v>
      </c>
      <c r="L83" s="37">
        <v>6.7486000000000004E-2</v>
      </c>
      <c r="M83" s="37">
        <v>6.7377000000000006E-2</v>
      </c>
      <c r="N83" s="37">
        <v>6.7287E-2</v>
      </c>
      <c r="O83" s="37">
        <v>6.7215999999999998E-2</v>
      </c>
      <c r="P83" s="37">
        <v>6.7169000000000006E-2</v>
      </c>
      <c r="Q83" s="37">
        <v>6.7158999999999996E-2</v>
      </c>
      <c r="R83" s="37">
        <v>6.7178000000000002E-2</v>
      </c>
      <c r="S83" s="37">
        <v>6.7228999999999997E-2</v>
      </c>
      <c r="T83" s="37">
        <v>6.7310999999999996E-2</v>
      </c>
      <c r="U83" s="37">
        <v>6.7431000000000005E-2</v>
      </c>
      <c r="V83" s="37">
        <v>6.7596000000000003E-2</v>
      </c>
      <c r="W83" s="37">
        <v>6.7793999999999993E-2</v>
      </c>
      <c r="X83" s="37">
        <v>6.8035999999999999E-2</v>
      </c>
      <c r="Y83" s="37">
        <v>6.8325999999999998E-2</v>
      </c>
      <c r="Z83" s="37">
        <v>6.8666000000000005E-2</v>
      </c>
      <c r="AA83" s="37">
        <v>6.9053000000000003E-2</v>
      </c>
      <c r="AB83" s="37">
        <v>6.9481000000000001E-2</v>
      </c>
      <c r="AC83" s="37">
        <v>6.9903999999999994E-2</v>
      </c>
      <c r="AD83" s="37">
        <v>7.0319000000000007E-2</v>
      </c>
      <c r="AE83" s="37">
        <v>7.0729E-2</v>
      </c>
      <c r="AF83" s="38">
        <v>8.8099999999999995E-4</v>
      </c>
      <c r="AG83" s="27"/>
      <c r="AH83" s="20"/>
    </row>
    <row r="84" spans="1:34" ht="15" customHeight="1" x14ac:dyDescent="0.45">
      <c r="A84" s="26" t="s">
        <v>158</v>
      </c>
      <c r="B84" s="36" t="s">
        <v>159</v>
      </c>
      <c r="C84" s="37">
        <v>0.22927</v>
      </c>
      <c r="D84" s="37">
        <v>0.21315999999999999</v>
      </c>
      <c r="E84" s="37">
        <v>0.20679400000000001</v>
      </c>
      <c r="F84" s="37">
        <v>0.20512900000000001</v>
      </c>
      <c r="G84" s="37">
        <v>0.20519999999999999</v>
      </c>
      <c r="H84" s="37">
        <v>0.206404</v>
      </c>
      <c r="I84" s="37">
        <v>0.20832999999999999</v>
      </c>
      <c r="J84" s="37">
        <v>0.210226</v>
      </c>
      <c r="K84" s="37">
        <v>0.209704</v>
      </c>
      <c r="L84" s="37">
        <v>0.20916399999999999</v>
      </c>
      <c r="M84" s="37">
        <v>0.20885500000000001</v>
      </c>
      <c r="N84" s="37">
        <v>0.208568</v>
      </c>
      <c r="O84" s="37">
        <v>0.208536</v>
      </c>
      <c r="P84" s="37">
        <v>0.20901600000000001</v>
      </c>
      <c r="Q84" s="37">
        <v>0.20962700000000001</v>
      </c>
      <c r="R84" s="37">
        <v>0.210178</v>
      </c>
      <c r="S84" s="37">
        <v>0.210558</v>
      </c>
      <c r="T84" s="37">
        <v>0.210954</v>
      </c>
      <c r="U84" s="37">
        <v>0.207703</v>
      </c>
      <c r="V84" s="37">
        <v>0.205012</v>
      </c>
      <c r="W84" s="37">
        <v>0.20291100000000001</v>
      </c>
      <c r="X84" s="37">
        <v>0.20146700000000001</v>
      </c>
      <c r="Y84" s="37">
        <v>0.200848</v>
      </c>
      <c r="Z84" s="37">
        <v>0.20064000000000001</v>
      </c>
      <c r="AA84" s="37">
        <v>0.20059199999999999</v>
      </c>
      <c r="AB84" s="37">
        <v>0.20072999999999999</v>
      </c>
      <c r="AC84" s="37">
        <v>0.200991</v>
      </c>
      <c r="AD84" s="37">
        <v>0.20142299999999999</v>
      </c>
      <c r="AE84" s="37">
        <v>0.20205600000000001</v>
      </c>
      <c r="AF84" s="38">
        <v>-4.5030000000000001E-3</v>
      </c>
      <c r="AG84" s="27"/>
      <c r="AH84" s="20"/>
    </row>
    <row r="85" spans="1:34" ht="15" customHeight="1" x14ac:dyDescent="0.45">
      <c r="A85" s="26" t="s">
        <v>160</v>
      </c>
      <c r="B85" s="36" t="s">
        <v>161</v>
      </c>
      <c r="C85" s="37">
        <v>3.7489000000000001E-2</v>
      </c>
      <c r="D85" s="37">
        <v>3.7812999999999999E-2</v>
      </c>
      <c r="E85" s="37">
        <v>3.8143999999999997E-2</v>
      </c>
      <c r="F85" s="37">
        <v>3.8485999999999999E-2</v>
      </c>
      <c r="G85" s="37">
        <v>3.8827E-2</v>
      </c>
      <c r="H85" s="37">
        <v>3.9168000000000001E-2</v>
      </c>
      <c r="I85" s="37">
        <v>3.9518999999999999E-2</v>
      </c>
      <c r="J85" s="37">
        <v>3.9875000000000001E-2</v>
      </c>
      <c r="K85" s="37">
        <v>4.0245999999999997E-2</v>
      </c>
      <c r="L85" s="37">
        <v>4.0617E-2</v>
      </c>
      <c r="M85" s="37">
        <v>4.0992000000000001E-2</v>
      </c>
      <c r="N85" s="37">
        <v>4.1364999999999999E-2</v>
      </c>
      <c r="O85" s="37">
        <v>4.1732999999999999E-2</v>
      </c>
      <c r="P85" s="37">
        <v>4.2098999999999998E-2</v>
      </c>
      <c r="Q85" s="37">
        <v>4.2465000000000003E-2</v>
      </c>
      <c r="R85" s="37">
        <v>4.2827999999999998E-2</v>
      </c>
      <c r="S85" s="37">
        <v>4.3187000000000003E-2</v>
      </c>
      <c r="T85" s="37">
        <v>4.3541999999999997E-2</v>
      </c>
      <c r="U85" s="37">
        <v>4.3898E-2</v>
      </c>
      <c r="V85" s="37">
        <v>4.4252E-2</v>
      </c>
      <c r="W85" s="37">
        <v>4.4599E-2</v>
      </c>
      <c r="X85" s="37">
        <v>4.4942000000000003E-2</v>
      </c>
      <c r="Y85" s="37">
        <v>4.5282000000000003E-2</v>
      </c>
      <c r="Z85" s="37">
        <v>4.5619E-2</v>
      </c>
      <c r="AA85" s="37">
        <v>4.5952E-2</v>
      </c>
      <c r="AB85" s="37">
        <v>4.6282999999999998E-2</v>
      </c>
      <c r="AC85" s="37">
        <v>4.6611E-2</v>
      </c>
      <c r="AD85" s="37">
        <v>4.6935999999999999E-2</v>
      </c>
      <c r="AE85" s="37">
        <v>4.7258000000000001E-2</v>
      </c>
      <c r="AF85" s="38">
        <v>8.3049999999999999E-3</v>
      </c>
      <c r="AG85" s="27"/>
      <c r="AH85" s="20"/>
    </row>
    <row r="86" spans="1:34" ht="15" customHeight="1" x14ac:dyDescent="0.45">
      <c r="A86" s="26" t="s">
        <v>162</v>
      </c>
      <c r="B86" s="36" t="s">
        <v>163</v>
      </c>
      <c r="C86" s="37">
        <v>2.7618E-2</v>
      </c>
      <c r="D86" s="37">
        <v>2.8063999999999999E-2</v>
      </c>
      <c r="E86" s="37">
        <v>2.8506E-2</v>
      </c>
      <c r="F86" s="37">
        <v>2.8944999999999999E-2</v>
      </c>
      <c r="G86" s="37">
        <v>2.937E-2</v>
      </c>
      <c r="H86" s="37">
        <v>2.9781999999999999E-2</v>
      </c>
      <c r="I86" s="37">
        <v>3.0232999999999999E-2</v>
      </c>
      <c r="J86" s="37">
        <v>3.0721999999999999E-2</v>
      </c>
      <c r="K86" s="37">
        <v>3.1241999999999999E-2</v>
      </c>
      <c r="L86" s="37">
        <v>3.1796999999999999E-2</v>
      </c>
      <c r="M86" s="37">
        <v>3.2391999999999997E-2</v>
      </c>
      <c r="N86" s="37">
        <v>3.3027000000000001E-2</v>
      </c>
      <c r="O86" s="37">
        <v>3.3702000000000003E-2</v>
      </c>
      <c r="P86" s="37">
        <v>3.4373000000000001E-2</v>
      </c>
      <c r="Q86" s="37">
        <v>3.5042999999999998E-2</v>
      </c>
      <c r="R86" s="37">
        <v>3.5709999999999999E-2</v>
      </c>
      <c r="S86" s="37">
        <v>3.6374999999999998E-2</v>
      </c>
      <c r="T86" s="37">
        <v>3.7035999999999999E-2</v>
      </c>
      <c r="U86" s="37">
        <v>3.7698000000000002E-2</v>
      </c>
      <c r="V86" s="37">
        <v>3.8358999999999997E-2</v>
      </c>
      <c r="W86" s="37">
        <v>3.9015000000000001E-2</v>
      </c>
      <c r="X86" s="37">
        <v>3.9667000000000001E-2</v>
      </c>
      <c r="Y86" s="37">
        <v>4.0315999999999998E-2</v>
      </c>
      <c r="Z86" s="37">
        <v>4.0961999999999998E-2</v>
      </c>
      <c r="AA86" s="37">
        <v>4.1605000000000003E-2</v>
      </c>
      <c r="AB86" s="37">
        <v>4.2244999999999998E-2</v>
      </c>
      <c r="AC86" s="37">
        <v>4.2882000000000003E-2</v>
      </c>
      <c r="AD86" s="37">
        <v>4.3513999999999997E-2</v>
      </c>
      <c r="AE86" s="37">
        <v>4.4143000000000002E-2</v>
      </c>
      <c r="AF86" s="38">
        <v>1.6889999999999999E-2</v>
      </c>
      <c r="AG86" s="27"/>
      <c r="AH86" s="20"/>
    </row>
    <row r="87" spans="1:34" ht="15" customHeight="1" x14ac:dyDescent="0.45">
      <c r="A87" s="26" t="s">
        <v>164</v>
      </c>
      <c r="B87" s="36" t="s">
        <v>165</v>
      </c>
      <c r="C87" s="37">
        <v>0.18509200000000001</v>
      </c>
      <c r="D87" s="37">
        <v>0.181559</v>
      </c>
      <c r="E87" s="37">
        <v>0.178365</v>
      </c>
      <c r="F87" s="37">
        <v>0.17569199999999999</v>
      </c>
      <c r="G87" s="37">
        <v>0.17295099999999999</v>
      </c>
      <c r="H87" s="37">
        <v>0.17014299999999999</v>
      </c>
      <c r="I87" s="37">
        <v>0.16719800000000001</v>
      </c>
      <c r="J87" s="37">
        <v>0.16413900000000001</v>
      </c>
      <c r="K87" s="37">
        <v>0.16098699999999999</v>
      </c>
      <c r="L87" s="37">
        <v>0.15786700000000001</v>
      </c>
      <c r="M87" s="37">
        <v>0.154866</v>
      </c>
      <c r="N87" s="37">
        <v>0.151867</v>
      </c>
      <c r="O87" s="37">
        <v>0.14899799999999999</v>
      </c>
      <c r="P87" s="37">
        <v>0.14658499999999999</v>
      </c>
      <c r="Q87" s="37">
        <v>0.14447299999999999</v>
      </c>
      <c r="R87" s="37">
        <v>0.142566</v>
      </c>
      <c r="S87" s="37">
        <v>0.14076</v>
      </c>
      <c r="T87" s="37">
        <v>0.13918900000000001</v>
      </c>
      <c r="U87" s="37">
        <v>0.13791</v>
      </c>
      <c r="V87" s="37">
        <v>0.136911</v>
      </c>
      <c r="W87" s="37">
        <v>0.13620699999999999</v>
      </c>
      <c r="X87" s="37">
        <v>0.13575499999999999</v>
      </c>
      <c r="Y87" s="37">
        <v>0.13553699999999999</v>
      </c>
      <c r="Z87" s="37">
        <v>0.13555200000000001</v>
      </c>
      <c r="AA87" s="37">
        <v>0.13580200000000001</v>
      </c>
      <c r="AB87" s="37">
        <v>0.136265</v>
      </c>
      <c r="AC87" s="37">
        <v>0.13685</v>
      </c>
      <c r="AD87" s="37">
        <v>0.13759299999999999</v>
      </c>
      <c r="AE87" s="37">
        <v>0.13852700000000001</v>
      </c>
      <c r="AF87" s="38">
        <v>-1.0296E-2</v>
      </c>
      <c r="AG87" s="27"/>
      <c r="AH87" s="20"/>
    </row>
    <row r="88" spans="1:34" ht="15" customHeight="1" x14ac:dyDescent="0.45">
      <c r="A88" s="26" t="s">
        <v>166</v>
      </c>
      <c r="B88" s="36" t="s">
        <v>167</v>
      </c>
      <c r="C88" s="37">
        <v>0.120106</v>
      </c>
      <c r="D88" s="37">
        <v>0.118562</v>
      </c>
      <c r="E88" s="37">
        <v>0.11693099999999999</v>
      </c>
      <c r="F88" s="37">
        <v>0.11536299999999999</v>
      </c>
      <c r="G88" s="37">
        <v>0.113493</v>
      </c>
      <c r="H88" s="37">
        <v>0.111328</v>
      </c>
      <c r="I88" s="37">
        <v>0.108857</v>
      </c>
      <c r="J88" s="37">
        <v>0.106117</v>
      </c>
      <c r="K88" s="37">
        <v>0.103168</v>
      </c>
      <c r="L88" s="37">
        <v>0.100088</v>
      </c>
      <c r="M88" s="37">
        <v>9.6979999999999997E-2</v>
      </c>
      <c r="N88" s="37">
        <v>9.3785999999999994E-2</v>
      </c>
      <c r="O88" s="37">
        <v>9.0609999999999996E-2</v>
      </c>
      <c r="P88" s="37">
        <v>8.7647000000000003E-2</v>
      </c>
      <c r="Q88" s="37">
        <v>8.4848000000000007E-2</v>
      </c>
      <c r="R88" s="37">
        <v>8.2132999999999998E-2</v>
      </c>
      <c r="S88" s="37">
        <v>7.9492999999999994E-2</v>
      </c>
      <c r="T88" s="37">
        <v>7.7007999999999993E-2</v>
      </c>
      <c r="U88" s="37">
        <v>7.4726000000000001E-2</v>
      </c>
      <c r="V88" s="37">
        <v>7.2651999999999994E-2</v>
      </c>
      <c r="W88" s="37">
        <v>7.0824999999999999E-2</v>
      </c>
      <c r="X88" s="37">
        <v>6.9226999999999997E-2</v>
      </c>
      <c r="Y88" s="37">
        <v>6.7875000000000005E-2</v>
      </c>
      <c r="Z88" s="37">
        <v>6.6753000000000007E-2</v>
      </c>
      <c r="AA88" s="37">
        <v>6.5956000000000001E-2</v>
      </c>
      <c r="AB88" s="37">
        <v>6.5417000000000003E-2</v>
      </c>
      <c r="AC88" s="37">
        <v>6.5087000000000006E-2</v>
      </c>
      <c r="AD88" s="37">
        <v>6.4992999999999995E-2</v>
      </c>
      <c r="AE88" s="37">
        <v>6.5106999999999998E-2</v>
      </c>
      <c r="AF88" s="38">
        <v>-2.1631999999999998E-2</v>
      </c>
      <c r="AG88" s="27"/>
      <c r="AH88" s="20"/>
    </row>
    <row r="89" spans="1:34" ht="15" customHeight="1" x14ac:dyDescent="0.45">
      <c r="A89" s="26" t="s">
        <v>168</v>
      </c>
      <c r="B89" s="36" t="s">
        <v>169</v>
      </c>
      <c r="C89" s="37">
        <v>8.9175000000000004E-2</v>
      </c>
      <c r="D89" s="37">
        <v>8.8249999999999995E-2</v>
      </c>
      <c r="E89" s="37">
        <v>7.9128000000000004E-2</v>
      </c>
      <c r="F89" s="37">
        <v>8.0093999999999999E-2</v>
      </c>
      <c r="G89" s="37">
        <v>8.0979999999999996E-2</v>
      </c>
      <c r="H89" s="37">
        <v>8.1729999999999997E-2</v>
      </c>
      <c r="I89" s="37">
        <v>8.2280000000000006E-2</v>
      </c>
      <c r="J89" s="37">
        <v>8.2540000000000002E-2</v>
      </c>
      <c r="K89" s="37">
        <v>8.2561999999999997E-2</v>
      </c>
      <c r="L89" s="37">
        <v>8.2343E-2</v>
      </c>
      <c r="M89" s="37">
        <v>8.1923999999999997E-2</v>
      </c>
      <c r="N89" s="37">
        <v>8.1309000000000006E-2</v>
      </c>
      <c r="O89" s="37">
        <v>8.0431000000000002E-2</v>
      </c>
      <c r="P89" s="37">
        <v>7.9390000000000002E-2</v>
      </c>
      <c r="Q89" s="37">
        <v>7.8254000000000004E-2</v>
      </c>
      <c r="R89" s="37">
        <v>7.7045000000000002E-2</v>
      </c>
      <c r="S89" s="37">
        <v>7.5693999999999997E-2</v>
      </c>
      <c r="T89" s="37">
        <v>7.4348999999999998E-2</v>
      </c>
      <c r="U89" s="37">
        <v>7.3050000000000004E-2</v>
      </c>
      <c r="V89" s="37">
        <v>7.1817000000000006E-2</v>
      </c>
      <c r="W89" s="37">
        <v>7.0639999999999994E-2</v>
      </c>
      <c r="X89" s="37">
        <v>6.9587999999999997E-2</v>
      </c>
      <c r="Y89" s="37">
        <v>6.8662000000000001E-2</v>
      </c>
      <c r="Z89" s="37">
        <v>6.7822999999999994E-2</v>
      </c>
      <c r="AA89" s="37">
        <v>6.7005999999999996E-2</v>
      </c>
      <c r="AB89" s="37">
        <v>6.6321000000000005E-2</v>
      </c>
      <c r="AC89" s="37">
        <v>6.5775E-2</v>
      </c>
      <c r="AD89" s="37">
        <v>6.5343999999999999E-2</v>
      </c>
      <c r="AE89" s="37">
        <v>6.4996999999999999E-2</v>
      </c>
      <c r="AF89" s="38">
        <v>-1.1231E-2</v>
      </c>
      <c r="AG89" s="27"/>
      <c r="AH89" s="20"/>
    </row>
    <row r="90" spans="1:34" ht="15" customHeight="1" x14ac:dyDescent="0.45">
      <c r="A90" s="26" t="s">
        <v>170</v>
      </c>
      <c r="B90" s="36" t="s">
        <v>171</v>
      </c>
      <c r="C90" s="37">
        <v>2.037398</v>
      </c>
      <c r="D90" s="37">
        <v>2.0856680000000001</v>
      </c>
      <c r="E90" s="37">
        <v>2.1141719999999999</v>
      </c>
      <c r="F90" s="37">
        <v>2.15381</v>
      </c>
      <c r="G90" s="37">
        <v>2.1936559999999998</v>
      </c>
      <c r="H90" s="37">
        <v>2.237911</v>
      </c>
      <c r="I90" s="37">
        <v>2.2765520000000001</v>
      </c>
      <c r="J90" s="37">
        <v>2.3100990000000001</v>
      </c>
      <c r="K90" s="37">
        <v>2.3426849999999999</v>
      </c>
      <c r="L90" s="37">
        <v>2.3747950000000002</v>
      </c>
      <c r="M90" s="37">
        <v>2.4072800000000001</v>
      </c>
      <c r="N90" s="37">
        <v>2.4395030000000002</v>
      </c>
      <c r="O90" s="37">
        <v>2.4693230000000002</v>
      </c>
      <c r="P90" s="37">
        <v>2.5029680000000001</v>
      </c>
      <c r="Q90" s="37">
        <v>2.5391620000000001</v>
      </c>
      <c r="R90" s="37">
        <v>2.5777019999999999</v>
      </c>
      <c r="S90" s="37">
        <v>2.614976</v>
      </c>
      <c r="T90" s="37">
        <v>2.6532680000000002</v>
      </c>
      <c r="U90" s="37">
        <v>2.693851</v>
      </c>
      <c r="V90" s="37">
        <v>2.7352759999999998</v>
      </c>
      <c r="W90" s="37">
        <v>2.7794129999999999</v>
      </c>
      <c r="X90" s="37">
        <v>2.825256</v>
      </c>
      <c r="Y90" s="37">
        <v>2.8728530000000001</v>
      </c>
      <c r="Z90" s="37">
        <v>2.9220899999999999</v>
      </c>
      <c r="AA90" s="37">
        <v>2.9724970000000002</v>
      </c>
      <c r="AB90" s="37">
        <v>3.0254470000000002</v>
      </c>
      <c r="AC90" s="37">
        <v>3.079815</v>
      </c>
      <c r="AD90" s="37">
        <v>3.1361910000000002</v>
      </c>
      <c r="AE90" s="37">
        <v>3.196599</v>
      </c>
      <c r="AF90" s="38">
        <v>1.6216000000000001E-2</v>
      </c>
      <c r="AG90" s="27"/>
      <c r="AH90" s="20"/>
    </row>
    <row r="91" spans="1:34" ht="15" customHeight="1" x14ac:dyDescent="0.35">
      <c r="A91" s="26" t="s">
        <v>172</v>
      </c>
      <c r="B91" s="35" t="s">
        <v>173</v>
      </c>
      <c r="C91" s="39">
        <v>11.871544999999999</v>
      </c>
      <c r="D91" s="39">
        <v>11.838481</v>
      </c>
      <c r="E91" s="39">
        <v>11.526081</v>
      </c>
      <c r="F91" s="39">
        <v>11.580304999999999</v>
      </c>
      <c r="G91" s="39">
        <v>11.635992999999999</v>
      </c>
      <c r="H91" s="39">
        <v>11.689837000000001</v>
      </c>
      <c r="I91" s="39">
        <v>11.730596</v>
      </c>
      <c r="J91" s="39">
        <v>11.752335</v>
      </c>
      <c r="K91" s="39">
        <v>11.759981</v>
      </c>
      <c r="L91" s="39">
        <v>11.76046</v>
      </c>
      <c r="M91" s="39">
        <v>11.762243</v>
      </c>
      <c r="N91" s="39">
        <v>11.775377000000001</v>
      </c>
      <c r="O91" s="39">
        <v>11.783529</v>
      </c>
      <c r="P91" s="39">
        <v>11.804330999999999</v>
      </c>
      <c r="Q91" s="39">
        <v>11.834376000000001</v>
      </c>
      <c r="R91" s="39">
        <v>11.870398</v>
      </c>
      <c r="S91" s="39">
        <v>11.902811</v>
      </c>
      <c r="T91" s="39">
        <v>11.940166</v>
      </c>
      <c r="U91" s="39">
        <v>11.979717000000001</v>
      </c>
      <c r="V91" s="39">
        <v>12.023415</v>
      </c>
      <c r="W91" s="39">
        <v>12.073841</v>
      </c>
      <c r="X91" s="39">
        <v>12.131802</v>
      </c>
      <c r="Y91" s="39">
        <v>12.196539</v>
      </c>
      <c r="Z91" s="39">
        <v>12.263961999999999</v>
      </c>
      <c r="AA91" s="39">
        <v>12.330469000000001</v>
      </c>
      <c r="AB91" s="39">
        <v>12.404661000000001</v>
      </c>
      <c r="AC91" s="39">
        <v>12.484757999999999</v>
      </c>
      <c r="AD91" s="39">
        <v>12.568652999999999</v>
      </c>
      <c r="AE91" s="39">
        <v>12.657738</v>
      </c>
      <c r="AF91" s="40">
        <v>2.2929999999999999E-3</v>
      </c>
      <c r="AG91" s="27"/>
      <c r="AH91" s="19"/>
    </row>
    <row r="92" spans="1:34" ht="15" customHeight="1" x14ac:dyDescent="0.45">
      <c r="A92" s="26" t="s">
        <v>174</v>
      </c>
      <c r="B92" s="36" t="s">
        <v>175</v>
      </c>
      <c r="C92" s="37">
        <v>0.112023</v>
      </c>
      <c r="D92" s="37">
        <v>0.123458</v>
      </c>
      <c r="E92" s="37">
        <v>0.13652900000000001</v>
      </c>
      <c r="F92" s="37">
        <v>0.14977699999999999</v>
      </c>
      <c r="G92" s="37">
        <v>0.16300899999999999</v>
      </c>
      <c r="H92" s="37">
        <v>0.17658499999999999</v>
      </c>
      <c r="I92" s="37">
        <v>0.19053</v>
      </c>
      <c r="J92" s="37">
        <v>0.20494499999999999</v>
      </c>
      <c r="K92" s="37">
        <v>0.21981999999999999</v>
      </c>
      <c r="L92" s="37">
        <v>0.23524600000000001</v>
      </c>
      <c r="M92" s="37">
        <v>0.25148999999999999</v>
      </c>
      <c r="N92" s="37">
        <v>0.26793699999999998</v>
      </c>
      <c r="O92" s="37">
        <v>0.28465000000000001</v>
      </c>
      <c r="P92" s="37">
        <v>0.29947400000000002</v>
      </c>
      <c r="Q92" s="37">
        <v>0.31491799999999998</v>
      </c>
      <c r="R92" s="37">
        <v>0.33096799999999998</v>
      </c>
      <c r="S92" s="37">
        <v>0.34801199999999999</v>
      </c>
      <c r="T92" s="37">
        <v>0.36618699999999998</v>
      </c>
      <c r="U92" s="37">
        <v>0.38540000000000002</v>
      </c>
      <c r="V92" s="37">
        <v>0.40570899999999999</v>
      </c>
      <c r="W92" s="37">
        <v>0.427124</v>
      </c>
      <c r="X92" s="37">
        <v>0.44966</v>
      </c>
      <c r="Y92" s="37">
        <v>0.47307100000000002</v>
      </c>
      <c r="Z92" s="37">
        <v>0.49757400000000002</v>
      </c>
      <c r="AA92" s="37">
        <v>0.52299700000000005</v>
      </c>
      <c r="AB92" s="37">
        <v>0.54935500000000004</v>
      </c>
      <c r="AC92" s="37">
        <v>0.57694599999999996</v>
      </c>
      <c r="AD92" s="37">
        <v>0.60526800000000003</v>
      </c>
      <c r="AE92" s="37">
        <v>0.63452399999999998</v>
      </c>
      <c r="AF92" s="38">
        <v>6.3893000000000005E-2</v>
      </c>
      <c r="AG92" s="27"/>
      <c r="AH92" s="20"/>
    </row>
    <row r="93" spans="1:34" ht="15" customHeight="1" x14ac:dyDescent="0.35">
      <c r="A93" s="26" t="s">
        <v>176</v>
      </c>
      <c r="B93" s="35" t="s">
        <v>177</v>
      </c>
      <c r="C93" s="39">
        <v>11.759520999999999</v>
      </c>
      <c r="D93" s="39">
        <v>11.715023</v>
      </c>
      <c r="E93" s="39">
        <v>11.389552</v>
      </c>
      <c r="F93" s="39">
        <v>11.430529</v>
      </c>
      <c r="G93" s="39">
        <v>11.472984</v>
      </c>
      <c r="H93" s="39">
        <v>11.513251</v>
      </c>
      <c r="I93" s="39">
        <v>11.540065999999999</v>
      </c>
      <c r="J93" s="39">
        <v>11.547389000000001</v>
      </c>
      <c r="K93" s="39">
        <v>11.540160999999999</v>
      </c>
      <c r="L93" s="39">
        <v>11.525214</v>
      </c>
      <c r="M93" s="39">
        <v>11.510754</v>
      </c>
      <c r="N93" s="39">
        <v>11.507440000000001</v>
      </c>
      <c r="O93" s="39">
        <v>11.498879000000001</v>
      </c>
      <c r="P93" s="39">
        <v>11.504856</v>
      </c>
      <c r="Q93" s="39">
        <v>11.519458999999999</v>
      </c>
      <c r="R93" s="39">
        <v>11.539429</v>
      </c>
      <c r="S93" s="39">
        <v>11.554798999999999</v>
      </c>
      <c r="T93" s="39">
        <v>11.573979</v>
      </c>
      <c r="U93" s="39">
        <v>11.594315999999999</v>
      </c>
      <c r="V93" s="39">
        <v>11.617705000000001</v>
      </c>
      <c r="W93" s="39">
        <v>11.646717000000001</v>
      </c>
      <c r="X93" s="39">
        <v>11.682141</v>
      </c>
      <c r="Y93" s="39">
        <v>11.723468</v>
      </c>
      <c r="Z93" s="39">
        <v>11.766387999999999</v>
      </c>
      <c r="AA93" s="39">
        <v>11.807472000000001</v>
      </c>
      <c r="AB93" s="39">
        <v>11.855307</v>
      </c>
      <c r="AC93" s="39">
        <v>11.907812</v>
      </c>
      <c r="AD93" s="39">
        <v>11.963385000000001</v>
      </c>
      <c r="AE93" s="39">
        <v>12.023213</v>
      </c>
      <c r="AF93" s="40">
        <v>7.9199999999999995E-4</v>
      </c>
      <c r="AG93" s="27"/>
      <c r="AH93" s="19"/>
    </row>
    <row r="94" spans="1:34" ht="15" customHeight="1" x14ac:dyDescent="0.35"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</row>
    <row r="95" spans="1:34" ht="15" customHeight="1" x14ac:dyDescent="0.35">
      <c r="A95" s="26" t="s">
        <v>178</v>
      </c>
      <c r="B95" s="35" t="s">
        <v>179</v>
      </c>
      <c r="C95" s="39">
        <v>9.4318840000000002</v>
      </c>
      <c r="D95" s="39">
        <v>9.0614460000000001</v>
      </c>
      <c r="E95" s="39">
        <v>9.2159829999999996</v>
      </c>
      <c r="F95" s="39">
        <v>9.2775800000000004</v>
      </c>
      <c r="G95" s="39">
        <v>9.2647940000000002</v>
      </c>
      <c r="H95" s="39">
        <v>9.2480410000000006</v>
      </c>
      <c r="I95" s="39">
        <v>9.2045560000000002</v>
      </c>
      <c r="J95" s="39">
        <v>9.1618700000000004</v>
      </c>
      <c r="K95" s="39">
        <v>9.1329999999999991</v>
      </c>
      <c r="L95" s="39">
        <v>9.1532210000000003</v>
      </c>
      <c r="M95" s="39">
        <v>9.2185980000000001</v>
      </c>
      <c r="N95" s="39">
        <v>9.2462999999999997</v>
      </c>
      <c r="O95" s="39">
        <v>9.3134979999999992</v>
      </c>
      <c r="P95" s="39">
        <v>9.3774160000000002</v>
      </c>
      <c r="Q95" s="39">
        <v>9.4475390000000008</v>
      </c>
      <c r="R95" s="39">
        <v>9.487012</v>
      </c>
      <c r="S95" s="39">
        <v>9.4913959999999999</v>
      </c>
      <c r="T95" s="39">
        <v>9.4915699999999994</v>
      </c>
      <c r="U95" s="39">
        <v>9.5147720000000007</v>
      </c>
      <c r="V95" s="39">
        <v>9.5577690000000004</v>
      </c>
      <c r="W95" s="39">
        <v>9.6436150000000005</v>
      </c>
      <c r="X95" s="39">
        <v>9.717905</v>
      </c>
      <c r="Y95" s="39">
        <v>9.8050350000000002</v>
      </c>
      <c r="Z95" s="39">
        <v>9.9067640000000008</v>
      </c>
      <c r="AA95" s="39">
        <v>9.9749020000000002</v>
      </c>
      <c r="AB95" s="39">
        <v>10.062101999999999</v>
      </c>
      <c r="AC95" s="39">
        <v>10.154728</v>
      </c>
      <c r="AD95" s="39">
        <v>10.235389</v>
      </c>
      <c r="AE95" s="39">
        <v>10.336385</v>
      </c>
      <c r="AF95" s="40">
        <v>3.2759999999999998E-3</v>
      </c>
      <c r="AG95" s="27"/>
      <c r="AH95" s="19"/>
    </row>
    <row r="96" spans="1:34" ht="15" customHeight="1" x14ac:dyDescent="0.35"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</row>
    <row r="97" spans="1:34" ht="15" customHeight="1" x14ac:dyDescent="0.35">
      <c r="B97" s="35" t="s">
        <v>180</v>
      </c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</row>
    <row r="98" spans="1:34" ht="15" customHeight="1" x14ac:dyDescent="0.45">
      <c r="A98" s="26" t="s">
        <v>181</v>
      </c>
      <c r="B98" s="36" t="s">
        <v>145</v>
      </c>
      <c r="C98" s="37">
        <v>7.1100149999999998</v>
      </c>
      <c r="D98" s="37">
        <v>7.1526610000000002</v>
      </c>
      <c r="E98" s="37">
        <v>6.5057520000000002</v>
      </c>
      <c r="F98" s="37">
        <v>6.4811459999999999</v>
      </c>
      <c r="G98" s="37">
        <v>6.4469950000000003</v>
      </c>
      <c r="H98" s="37">
        <v>6.4027279999999998</v>
      </c>
      <c r="I98" s="37">
        <v>6.3488069999999999</v>
      </c>
      <c r="J98" s="37">
        <v>6.2861770000000003</v>
      </c>
      <c r="K98" s="37">
        <v>6.2194839999999996</v>
      </c>
      <c r="L98" s="37">
        <v>6.1553719999999998</v>
      </c>
      <c r="M98" s="37">
        <v>6.0959630000000002</v>
      </c>
      <c r="N98" s="37">
        <v>6.0408600000000003</v>
      </c>
      <c r="O98" s="37">
        <v>5.9861310000000003</v>
      </c>
      <c r="P98" s="37">
        <v>5.9325229999999998</v>
      </c>
      <c r="Q98" s="37">
        <v>5.8820589999999999</v>
      </c>
      <c r="R98" s="37">
        <v>5.8304309999999999</v>
      </c>
      <c r="S98" s="37">
        <v>5.774178</v>
      </c>
      <c r="T98" s="37">
        <v>5.7201329999999997</v>
      </c>
      <c r="U98" s="37">
        <v>5.6719030000000004</v>
      </c>
      <c r="V98" s="37">
        <v>5.6277799999999996</v>
      </c>
      <c r="W98" s="37">
        <v>5.5891190000000002</v>
      </c>
      <c r="X98" s="37">
        <v>5.5521039999999999</v>
      </c>
      <c r="Y98" s="37">
        <v>5.5174979999999998</v>
      </c>
      <c r="Z98" s="37">
        <v>5.4835640000000003</v>
      </c>
      <c r="AA98" s="37">
        <v>5.4438909999999998</v>
      </c>
      <c r="AB98" s="37">
        <v>5.4075309999999996</v>
      </c>
      <c r="AC98" s="37">
        <v>5.3732379999999997</v>
      </c>
      <c r="AD98" s="37">
        <v>5.3384010000000002</v>
      </c>
      <c r="AE98" s="37">
        <v>5.3043849999999999</v>
      </c>
      <c r="AF98" s="38">
        <v>-1.0409E-2</v>
      </c>
      <c r="AG98" s="27"/>
      <c r="AH98" s="20"/>
    </row>
    <row r="99" spans="1:34" ht="15" customHeight="1" x14ac:dyDescent="0.45">
      <c r="A99" s="26" t="s">
        <v>182</v>
      </c>
      <c r="B99" s="36" t="s">
        <v>147</v>
      </c>
      <c r="C99" s="37">
        <v>2.4765199999999998</v>
      </c>
      <c r="D99" s="37">
        <v>2.1058129999999999</v>
      </c>
      <c r="E99" s="37">
        <v>2.555955</v>
      </c>
      <c r="F99" s="37">
        <v>2.6097670000000002</v>
      </c>
      <c r="G99" s="37">
        <v>2.647732</v>
      </c>
      <c r="H99" s="37">
        <v>2.6855289999999998</v>
      </c>
      <c r="I99" s="37">
        <v>2.7193200000000002</v>
      </c>
      <c r="J99" s="37">
        <v>2.7525309999999998</v>
      </c>
      <c r="K99" s="37">
        <v>2.7844319999999998</v>
      </c>
      <c r="L99" s="37">
        <v>2.8238189999999999</v>
      </c>
      <c r="M99" s="37">
        <v>2.8744489999999998</v>
      </c>
      <c r="N99" s="37">
        <v>2.9172989999999999</v>
      </c>
      <c r="O99" s="37">
        <v>2.9693239999999999</v>
      </c>
      <c r="P99" s="37">
        <v>3.0226950000000001</v>
      </c>
      <c r="Q99" s="37">
        <v>3.0803289999999999</v>
      </c>
      <c r="R99" s="37">
        <v>3.1334810000000002</v>
      </c>
      <c r="S99" s="37">
        <v>3.1798470000000001</v>
      </c>
      <c r="T99" s="37">
        <v>3.226057</v>
      </c>
      <c r="U99" s="37">
        <v>3.2779180000000001</v>
      </c>
      <c r="V99" s="37">
        <v>3.3334779999999999</v>
      </c>
      <c r="W99" s="37">
        <v>3.3983690000000002</v>
      </c>
      <c r="X99" s="37">
        <v>3.461468</v>
      </c>
      <c r="Y99" s="37">
        <v>3.5288270000000002</v>
      </c>
      <c r="Z99" s="37">
        <v>3.6009890000000002</v>
      </c>
      <c r="AA99" s="37">
        <v>3.6695880000000001</v>
      </c>
      <c r="AB99" s="37">
        <v>3.7439070000000001</v>
      </c>
      <c r="AC99" s="37">
        <v>3.820605</v>
      </c>
      <c r="AD99" s="37">
        <v>3.8934709999999999</v>
      </c>
      <c r="AE99" s="37">
        <v>3.9717359999999999</v>
      </c>
      <c r="AF99" s="38">
        <v>1.7013E-2</v>
      </c>
      <c r="AG99" s="27"/>
      <c r="AH99" s="20"/>
    </row>
    <row r="100" spans="1:34" ht="15" customHeight="1" x14ac:dyDescent="0.45">
      <c r="A100" s="26" t="s">
        <v>183</v>
      </c>
      <c r="B100" s="36" t="s">
        <v>149</v>
      </c>
      <c r="C100" s="37">
        <v>2.785069</v>
      </c>
      <c r="D100" s="37">
        <v>2.7516790000000002</v>
      </c>
      <c r="E100" s="37">
        <v>2.7610139999999999</v>
      </c>
      <c r="F100" s="37">
        <v>2.7744179999999998</v>
      </c>
      <c r="G100" s="37">
        <v>2.778686</v>
      </c>
      <c r="H100" s="37">
        <v>2.7805049999999998</v>
      </c>
      <c r="I100" s="37">
        <v>2.7789269999999999</v>
      </c>
      <c r="J100" s="37">
        <v>2.7748309999999998</v>
      </c>
      <c r="K100" s="37">
        <v>2.7702309999999999</v>
      </c>
      <c r="L100" s="37">
        <v>2.7683219999999999</v>
      </c>
      <c r="M100" s="37">
        <v>2.770947</v>
      </c>
      <c r="N100" s="37">
        <v>2.7753830000000002</v>
      </c>
      <c r="O100" s="37">
        <v>2.7859159999999998</v>
      </c>
      <c r="P100" s="37">
        <v>2.8000310000000002</v>
      </c>
      <c r="Q100" s="37">
        <v>2.8152810000000001</v>
      </c>
      <c r="R100" s="37">
        <v>2.8261799999999999</v>
      </c>
      <c r="S100" s="37">
        <v>2.832077</v>
      </c>
      <c r="T100" s="37">
        <v>2.8373390000000001</v>
      </c>
      <c r="U100" s="37">
        <v>2.8452839999999999</v>
      </c>
      <c r="V100" s="37">
        <v>2.8552569999999999</v>
      </c>
      <c r="W100" s="37">
        <v>2.8699539999999999</v>
      </c>
      <c r="X100" s="37">
        <v>2.884296</v>
      </c>
      <c r="Y100" s="37">
        <v>2.9002319999999999</v>
      </c>
      <c r="Z100" s="37">
        <v>2.9167800000000002</v>
      </c>
      <c r="AA100" s="37">
        <v>2.9270330000000002</v>
      </c>
      <c r="AB100" s="37">
        <v>2.9404949999999999</v>
      </c>
      <c r="AC100" s="37">
        <v>2.9561459999999999</v>
      </c>
      <c r="AD100" s="37">
        <v>2.971393</v>
      </c>
      <c r="AE100" s="37">
        <v>2.988648</v>
      </c>
      <c r="AF100" s="38">
        <v>2.5230000000000001E-3</v>
      </c>
      <c r="AG100" s="27"/>
      <c r="AH100" s="20"/>
    </row>
    <row r="101" spans="1:34" ht="15" customHeight="1" x14ac:dyDescent="0.45">
      <c r="A101" s="26" t="s">
        <v>184</v>
      </c>
      <c r="B101" s="36" t="s">
        <v>151</v>
      </c>
      <c r="C101" s="37">
        <v>0.83711599999999997</v>
      </c>
      <c r="D101" s="37">
        <v>0.82186300000000001</v>
      </c>
      <c r="E101" s="37">
        <v>0.82011000000000001</v>
      </c>
      <c r="F101" s="37">
        <v>0.81624399999999997</v>
      </c>
      <c r="G101" s="37">
        <v>0.80891999999999997</v>
      </c>
      <c r="H101" s="37">
        <v>0.80172299999999996</v>
      </c>
      <c r="I101" s="37">
        <v>0.79459900000000006</v>
      </c>
      <c r="J101" s="37">
        <v>0.78902099999999997</v>
      </c>
      <c r="K101" s="37">
        <v>0.78561499999999995</v>
      </c>
      <c r="L101" s="37">
        <v>0.78595899999999996</v>
      </c>
      <c r="M101" s="37">
        <v>0.78947999999999996</v>
      </c>
      <c r="N101" s="37">
        <v>0.79164599999999996</v>
      </c>
      <c r="O101" s="37">
        <v>0.79685099999999998</v>
      </c>
      <c r="P101" s="37">
        <v>0.80151399999999995</v>
      </c>
      <c r="Q101" s="37">
        <v>0.80695399999999995</v>
      </c>
      <c r="R101" s="37">
        <v>0.81127400000000005</v>
      </c>
      <c r="S101" s="37">
        <v>0.81484500000000004</v>
      </c>
      <c r="T101" s="37">
        <v>0.818855</v>
      </c>
      <c r="U101" s="37">
        <v>0.82500899999999999</v>
      </c>
      <c r="V101" s="37">
        <v>0.83284599999999998</v>
      </c>
      <c r="W101" s="37">
        <v>0.84326100000000004</v>
      </c>
      <c r="X101" s="37">
        <v>0.85264499999999999</v>
      </c>
      <c r="Y101" s="37">
        <v>0.862313</v>
      </c>
      <c r="Z101" s="37">
        <v>0.87239699999999998</v>
      </c>
      <c r="AA101" s="37">
        <v>0.879996</v>
      </c>
      <c r="AB101" s="37">
        <v>0.88808900000000002</v>
      </c>
      <c r="AC101" s="37">
        <v>0.89615100000000003</v>
      </c>
      <c r="AD101" s="37">
        <v>0.90310299999999999</v>
      </c>
      <c r="AE101" s="37">
        <v>0.91037599999999996</v>
      </c>
      <c r="AF101" s="38">
        <v>3.0010000000000002E-3</v>
      </c>
      <c r="AG101" s="27"/>
      <c r="AH101" s="20"/>
    </row>
    <row r="102" spans="1:34" ht="15" customHeight="1" x14ac:dyDescent="0.45">
      <c r="A102" s="26" t="s">
        <v>185</v>
      </c>
      <c r="B102" s="36" t="s">
        <v>153</v>
      </c>
      <c r="C102" s="37">
        <v>0.27869100000000002</v>
      </c>
      <c r="D102" s="37">
        <v>0.277586</v>
      </c>
      <c r="E102" s="37">
        <v>0.278916</v>
      </c>
      <c r="F102" s="37">
        <v>0.27972900000000001</v>
      </c>
      <c r="G102" s="37">
        <v>0.27971499999999999</v>
      </c>
      <c r="H102" s="37">
        <v>0.27955600000000003</v>
      </c>
      <c r="I102" s="37">
        <v>0.27926699999999999</v>
      </c>
      <c r="J102" s="37">
        <v>0.27914499999999998</v>
      </c>
      <c r="K102" s="37">
        <v>0.27929199999999998</v>
      </c>
      <c r="L102" s="37">
        <v>0.28000700000000001</v>
      </c>
      <c r="M102" s="37">
        <v>0.28118500000000002</v>
      </c>
      <c r="N102" s="37">
        <v>0.28208899999999998</v>
      </c>
      <c r="O102" s="37">
        <v>0.28358800000000001</v>
      </c>
      <c r="P102" s="37">
        <v>0.28497600000000001</v>
      </c>
      <c r="Q102" s="37">
        <v>0.28653800000000001</v>
      </c>
      <c r="R102" s="37">
        <v>0.28790199999999999</v>
      </c>
      <c r="S102" s="37">
        <v>0.28894199999999998</v>
      </c>
      <c r="T102" s="37">
        <v>0.28991400000000001</v>
      </c>
      <c r="U102" s="37">
        <v>0.29116700000000001</v>
      </c>
      <c r="V102" s="37">
        <v>0.292601</v>
      </c>
      <c r="W102" s="37">
        <v>0.29439500000000002</v>
      </c>
      <c r="X102" s="37">
        <v>0.29599999999999999</v>
      </c>
      <c r="Y102" s="37">
        <v>0.29768</v>
      </c>
      <c r="Z102" s="37">
        <v>0.29946400000000001</v>
      </c>
      <c r="AA102" s="37">
        <v>0.30079600000000001</v>
      </c>
      <c r="AB102" s="37">
        <v>0.30225800000000003</v>
      </c>
      <c r="AC102" s="37">
        <v>0.30374600000000002</v>
      </c>
      <c r="AD102" s="37">
        <v>0.30505599999999999</v>
      </c>
      <c r="AE102" s="37">
        <v>0.30645699999999998</v>
      </c>
      <c r="AF102" s="38">
        <v>3.398E-3</v>
      </c>
      <c r="AG102" s="27"/>
      <c r="AH102" s="20"/>
    </row>
    <row r="103" spans="1:34" ht="15" customHeight="1" x14ac:dyDescent="0.45">
      <c r="A103" s="26" t="s">
        <v>186</v>
      </c>
      <c r="B103" s="36" t="s">
        <v>155</v>
      </c>
      <c r="C103" s="37">
        <v>0.66981000000000002</v>
      </c>
      <c r="D103" s="37">
        <v>0.67469400000000002</v>
      </c>
      <c r="E103" s="37">
        <v>0.69062800000000002</v>
      </c>
      <c r="F103" s="37">
        <v>0.70603700000000003</v>
      </c>
      <c r="G103" s="37">
        <v>0.71742399999999995</v>
      </c>
      <c r="H103" s="37">
        <v>0.72725099999999998</v>
      </c>
      <c r="I103" s="37">
        <v>0.73550199999999999</v>
      </c>
      <c r="J103" s="37">
        <v>0.743259</v>
      </c>
      <c r="K103" s="37">
        <v>0.75097999999999998</v>
      </c>
      <c r="L103" s="37">
        <v>0.76042200000000004</v>
      </c>
      <c r="M103" s="37">
        <v>0.77187300000000003</v>
      </c>
      <c r="N103" s="37">
        <v>0.780219</v>
      </c>
      <c r="O103" s="37">
        <v>0.79063000000000005</v>
      </c>
      <c r="P103" s="37">
        <v>0.80088999999999999</v>
      </c>
      <c r="Q103" s="37">
        <v>0.811639</v>
      </c>
      <c r="R103" s="37">
        <v>0.82012600000000002</v>
      </c>
      <c r="S103" s="37">
        <v>0.82628999999999997</v>
      </c>
      <c r="T103" s="37">
        <v>0.83206000000000002</v>
      </c>
      <c r="U103" s="37">
        <v>0.839117</v>
      </c>
      <c r="V103" s="37">
        <v>0.84721199999999997</v>
      </c>
      <c r="W103" s="37">
        <v>0.85745899999999997</v>
      </c>
      <c r="X103" s="37">
        <v>0.86720699999999995</v>
      </c>
      <c r="Y103" s="37">
        <v>0.87748899999999996</v>
      </c>
      <c r="Z103" s="37">
        <v>0.88828300000000004</v>
      </c>
      <c r="AA103" s="37">
        <v>0.89714099999999997</v>
      </c>
      <c r="AB103" s="37">
        <v>0.90712099999999996</v>
      </c>
      <c r="AC103" s="37">
        <v>0.91741099999999998</v>
      </c>
      <c r="AD103" s="37">
        <v>0.927091</v>
      </c>
      <c r="AE103" s="37">
        <v>0.93792699999999996</v>
      </c>
      <c r="AF103" s="38">
        <v>1.2097E-2</v>
      </c>
      <c r="AG103" s="27"/>
      <c r="AH103" s="20"/>
    </row>
    <row r="104" spans="1:34" ht="15" customHeight="1" x14ac:dyDescent="0.45">
      <c r="A104" s="26" t="s">
        <v>187</v>
      </c>
      <c r="B104" s="36" t="s">
        <v>157</v>
      </c>
      <c r="C104" s="37">
        <v>0.19544900000000001</v>
      </c>
      <c r="D104" s="37">
        <v>0.19247400000000001</v>
      </c>
      <c r="E104" s="37">
        <v>0.19247300000000001</v>
      </c>
      <c r="F104" s="37">
        <v>0.191769</v>
      </c>
      <c r="G104" s="37">
        <v>0.190053</v>
      </c>
      <c r="H104" s="37">
        <v>0.18817800000000001</v>
      </c>
      <c r="I104" s="37">
        <v>0.186248</v>
      </c>
      <c r="J104" s="37">
        <v>0.18460599999999999</v>
      </c>
      <c r="K104" s="37">
        <v>0.18338699999999999</v>
      </c>
      <c r="L104" s="37">
        <v>0.18290899999999999</v>
      </c>
      <c r="M104" s="37">
        <v>0.18302499999999999</v>
      </c>
      <c r="N104" s="37">
        <v>0.18269299999999999</v>
      </c>
      <c r="O104" s="37">
        <v>0.18293100000000001</v>
      </c>
      <c r="P104" s="37">
        <v>0.18290400000000001</v>
      </c>
      <c r="Q104" s="37">
        <v>0.18293799999999999</v>
      </c>
      <c r="R104" s="37">
        <v>0.18260999999999999</v>
      </c>
      <c r="S104" s="37">
        <v>0.18202199999999999</v>
      </c>
      <c r="T104" s="37">
        <v>0.18146000000000001</v>
      </c>
      <c r="U104" s="37">
        <v>0.18129899999999999</v>
      </c>
      <c r="V104" s="37">
        <v>0.18145800000000001</v>
      </c>
      <c r="W104" s="37">
        <v>0.18212900000000001</v>
      </c>
      <c r="X104" s="37">
        <v>0.18271999999999999</v>
      </c>
      <c r="Y104" s="37">
        <v>0.183532</v>
      </c>
      <c r="Z104" s="37">
        <v>0.18459900000000001</v>
      </c>
      <c r="AA104" s="37">
        <v>0.185312</v>
      </c>
      <c r="AB104" s="37">
        <v>0.186281</v>
      </c>
      <c r="AC104" s="37">
        <v>0.18728</v>
      </c>
      <c r="AD104" s="37">
        <v>0.188084</v>
      </c>
      <c r="AE104" s="37">
        <v>0.18899299999999999</v>
      </c>
      <c r="AF104" s="38">
        <v>-1.199E-3</v>
      </c>
      <c r="AG104" s="27"/>
      <c r="AH104" s="20"/>
    </row>
    <row r="105" spans="1:34" ht="15" customHeight="1" x14ac:dyDescent="0.45">
      <c r="A105" s="26" t="s">
        <v>188</v>
      </c>
      <c r="B105" s="36" t="s">
        <v>159</v>
      </c>
      <c r="C105" s="37">
        <v>0.64936700000000003</v>
      </c>
      <c r="D105" s="37">
        <v>0.59590500000000002</v>
      </c>
      <c r="E105" s="37">
        <v>0.57947400000000004</v>
      </c>
      <c r="F105" s="37">
        <v>0.57413700000000001</v>
      </c>
      <c r="G105" s="37">
        <v>0.57083899999999999</v>
      </c>
      <c r="H105" s="37">
        <v>0.57030599999999998</v>
      </c>
      <c r="I105" s="37">
        <v>0.57125999999999999</v>
      </c>
      <c r="J105" s="37">
        <v>0.57273600000000002</v>
      </c>
      <c r="K105" s="37">
        <v>0.56876000000000004</v>
      </c>
      <c r="L105" s="37">
        <v>0.56690600000000002</v>
      </c>
      <c r="M105" s="37">
        <v>0.56734200000000001</v>
      </c>
      <c r="N105" s="37">
        <v>0.56628500000000004</v>
      </c>
      <c r="O105" s="37">
        <v>0.56753699999999996</v>
      </c>
      <c r="P105" s="37">
        <v>0.56916199999999995</v>
      </c>
      <c r="Q105" s="37">
        <v>0.57101800000000003</v>
      </c>
      <c r="R105" s="37">
        <v>0.57133199999999995</v>
      </c>
      <c r="S105" s="37">
        <v>0.57008400000000004</v>
      </c>
      <c r="T105" s="37">
        <v>0.56870299999999996</v>
      </c>
      <c r="U105" s="37">
        <v>0.55844300000000002</v>
      </c>
      <c r="V105" s="37">
        <v>0.550342</v>
      </c>
      <c r="W105" s="37">
        <v>0.545122</v>
      </c>
      <c r="X105" s="37">
        <v>0.54107000000000005</v>
      </c>
      <c r="Y105" s="37">
        <v>0.53950600000000004</v>
      </c>
      <c r="Z105" s="37">
        <v>0.53939599999999999</v>
      </c>
      <c r="AA105" s="37">
        <v>0.53831099999999998</v>
      </c>
      <c r="AB105" s="37">
        <v>0.53816200000000003</v>
      </c>
      <c r="AC105" s="37">
        <v>0.53847599999999995</v>
      </c>
      <c r="AD105" s="37">
        <v>0.53874900000000003</v>
      </c>
      <c r="AE105" s="37">
        <v>0.539906</v>
      </c>
      <c r="AF105" s="38">
        <v>-6.5709999999999996E-3</v>
      </c>
      <c r="AG105" s="27"/>
      <c r="AH105" s="20"/>
    </row>
    <row r="106" spans="1:34" ht="15" customHeight="1" x14ac:dyDescent="0.45">
      <c r="A106" s="26" t="s">
        <v>189</v>
      </c>
      <c r="B106" s="36" t="s">
        <v>161</v>
      </c>
      <c r="C106" s="37">
        <v>0.106182</v>
      </c>
      <c r="D106" s="37">
        <v>0.105708</v>
      </c>
      <c r="E106" s="37">
        <v>0.10688499999999999</v>
      </c>
      <c r="F106" s="37">
        <v>0.107719</v>
      </c>
      <c r="G106" s="37">
        <v>0.108011</v>
      </c>
      <c r="H106" s="37">
        <v>0.108223</v>
      </c>
      <c r="I106" s="37">
        <v>0.108365</v>
      </c>
      <c r="J106" s="37">
        <v>0.10863399999999999</v>
      </c>
      <c r="K106" s="37">
        <v>0.109156</v>
      </c>
      <c r="L106" s="37">
        <v>0.110086</v>
      </c>
      <c r="M106" s="37">
        <v>0.11135200000000001</v>
      </c>
      <c r="N106" s="37">
        <v>0.11230999999999999</v>
      </c>
      <c r="O106" s="37">
        <v>0.113578</v>
      </c>
      <c r="P106" s="37">
        <v>0.114638</v>
      </c>
      <c r="Q106" s="37">
        <v>0.115674</v>
      </c>
      <c r="R106" s="37">
        <v>0.11642</v>
      </c>
      <c r="S106" s="37">
        <v>0.11692900000000001</v>
      </c>
      <c r="T106" s="37">
        <v>0.117383</v>
      </c>
      <c r="U106" s="37">
        <v>0.11802600000000001</v>
      </c>
      <c r="V106" s="37">
        <v>0.11879199999999999</v>
      </c>
      <c r="W106" s="37">
        <v>0.11981600000000001</v>
      </c>
      <c r="X106" s="37">
        <v>0.1207</v>
      </c>
      <c r="Y106" s="37">
        <v>0.12163400000000001</v>
      </c>
      <c r="Z106" s="37">
        <v>0.12264</v>
      </c>
      <c r="AA106" s="37">
        <v>0.123317</v>
      </c>
      <c r="AB106" s="37">
        <v>0.124087</v>
      </c>
      <c r="AC106" s="37">
        <v>0.124877</v>
      </c>
      <c r="AD106" s="37">
        <v>0.12554000000000001</v>
      </c>
      <c r="AE106" s="37">
        <v>0.126277</v>
      </c>
      <c r="AF106" s="38">
        <v>6.2090000000000001E-3</v>
      </c>
      <c r="AG106" s="27"/>
      <c r="AH106" s="20"/>
    </row>
    <row r="107" spans="1:34" ht="15" customHeight="1" x14ac:dyDescent="0.45">
      <c r="A107" s="26" t="s">
        <v>190</v>
      </c>
      <c r="B107" s="36" t="s">
        <v>163</v>
      </c>
      <c r="C107" s="37">
        <v>7.8223000000000001E-2</v>
      </c>
      <c r="D107" s="37">
        <v>7.8455999999999998E-2</v>
      </c>
      <c r="E107" s="37">
        <v>7.9879000000000006E-2</v>
      </c>
      <c r="F107" s="37">
        <v>8.1015000000000004E-2</v>
      </c>
      <c r="G107" s="37">
        <v>8.1703999999999999E-2</v>
      </c>
      <c r="H107" s="37">
        <v>8.2288E-2</v>
      </c>
      <c r="I107" s="37">
        <v>8.2902000000000003E-2</v>
      </c>
      <c r="J107" s="37">
        <v>8.3697999999999995E-2</v>
      </c>
      <c r="K107" s="37">
        <v>8.4734000000000004E-2</v>
      </c>
      <c r="L107" s="37">
        <v>8.6179000000000006E-2</v>
      </c>
      <c r="M107" s="37">
        <v>8.7991E-2</v>
      </c>
      <c r="N107" s="37">
        <v>8.9672000000000002E-2</v>
      </c>
      <c r="O107" s="37">
        <v>9.1721999999999998E-2</v>
      </c>
      <c r="P107" s="37">
        <v>9.3600000000000003E-2</v>
      </c>
      <c r="Q107" s="37">
        <v>9.5455999999999999E-2</v>
      </c>
      <c r="R107" s="37">
        <v>9.7072000000000006E-2</v>
      </c>
      <c r="S107" s="37">
        <v>9.8484000000000002E-2</v>
      </c>
      <c r="T107" s="37">
        <v>9.9843000000000001E-2</v>
      </c>
      <c r="U107" s="37">
        <v>0.101357</v>
      </c>
      <c r="V107" s="37">
        <v>0.102973</v>
      </c>
      <c r="W107" s="37">
        <v>0.104813</v>
      </c>
      <c r="X107" s="37">
        <v>0.106531</v>
      </c>
      <c r="Y107" s="37">
        <v>0.108293</v>
      </c>
      <c r="Z107" s="37">
        <v>0.110121</v>
      </c>
      <c r="AA107" s="37">
        <v>0.111651</v>
      </c>
      <c r="AB107" s="37">
        <v>0.11326</v>
      </c>
      <c r="AC107" s="37">
        <v>0.114884</v>
      </c>
      <c r="AD107" s="37">
        <v>0.116387</v>
      </c>
      <c r="AE107" s="37">
        <v>0.117952</v>
      </c>
      <c r="AF107" s="38">
        <v>1.4777E-2</v>
      </c>
      <c r="AG107" s="27"/>
      <c r="AH107" s="20"/>
    </row>
    <row r="108" spans="1:34" ht="15" customHeight="1" x14ac:dyDescent="0.45">
      <c r="A108" s="26" t="s">
        <v>191</v>
      </c>
      <c r="B108" s="36" t="s">
        <v>165</v>
      </c>
      <c r="C108" s="37">
        <v>0.52424099999999996</v>
      </c>
      <c r="D108" s="37">
        <v>0.50756000000000001</v>
      </c>
      <c r="E108" s="37">
        <v>0.49981199999999998</v>
      </c>
      <c r="F108" s="37">
        <v>0.49174499999999999</v>
      </c>
      <c r="G108" s="37">
        <v>0.48112700000000003</v>
      </c>
      <c r="H108" s="37">
        <v>0.47011500000000001</v>
      </c>
      <c r="I108" s="37">
        <v>0.45847399999999999</v>
      </c>
      <c r="J108" s="37">
        <v>0.44717800000000002</v>
      </c>
      <c r="K108" s="37">
        <v>0.43663000000000002</v>
      </c>
      <c r="L108" s="37">
        <v>0.42787199999999997</v>
      </c>
      <c r="M108" s="37">
        <v>0.42068299999999997</v>
      </c>
      <c r="N108" s="37">
        <v>0.41233599999999998</v>
      </c>
      <c r="O108" s="37">
        <v>0.40550199999999997</v>
      </c>
      <c r="P108" s="37">
        <v>0.39916000000000001</v>
      </c>
      <c r="Q108" s="37">
        <v>0.39354099999999997</v>
      </c>
      <c r="R108" s="37">
        <v>0.38753900000000002</v>
      </c>
      <c r="S108" s="37">
        <v>0.381106</v>
      </c>
      <c r="T108" s="37">
        <v>0.37523499999999999</v>
      </c>
      <c r="U108" s="37">
        <v>0.37079299999999998</v>
      </c>
      <c r="V108" s="37">
        <v>0.36753000000000002</v>
      </c>
      <c r="W108" s="37">
        <v>0.36592000000000002</v>
      </c>
      <c r="X108" s="37">
        <v>0.36459000000000003</v>
      </c>
      <c r="Y108" s="37">
        <v>0.36407099999999998</v>
      </c>
      <c r="Z108" s="37">
        <v>0.36441600000000002</v>
      </c>
      <c r="AA108" s="37">
        <v>0.36443900000000001</v>
      </c>
      <c r="AB108" s="37">
        <v>0.36532999999999999</v>
      </c>
      <c r="AC108" s="37">
        <v>0.36663499999999999</v>
      </c>
      <c r="AD108" s="37">
        <v>0.36802099999999999</v>
      </c>
      <c r="AE108" s="37">
        <v>0.37015199999999998</v>
      </c>
      <c r="AF108" s="38">
        <v>-1.2352999999999999E-2</v>
      </c>
      <c r="AG108" s="27"/>
      <c r="AH108" s="20"/>
    </row>
    <row r="109" spans="1:34" ht="15" customHeight="1" x14ac:dyDescent="0.45">
      <c r="A109" s="26" t="s">
        <v>192</v>
      </c>
      <c r="B109" s="36" t="s">
        <v>167</v>
      </c>
      <c r="C109" s="37">
        <v>0.34017799999999998</v>
      </c>
      <c r="D109" s="37">
        <v>0.33145000000000002</v>
      </c>
      <c r="E109" s="37">
        <v>0.32766200000000001</v>
      </c>
      <c r="F109" s="37">
        <v>0.32289099999999998</v>
      </c>
      <c r="G109" s="37">
        <v>0.31572299999999998</v>
      </c>
      <c r="H109" s="37">
        <v>0.30760500000000002</v>
      </c>
      <c r="I109" s="37">
        <v>0.29849799999999999</v>
      </c>
      <c r="J109" s="37">
        <v>0.28910400000000003</v>
      </c>
      <c r="K109" s="37">
        <v>0.27981200000000001</v>
      </c>
      <c r="L109" s="37">
        <v>0.27127299999999999</v>
      </c>
      <c r="M109" s="37">
        <v>0.26343899999999998</v>
      </c>
      <c r="N109" s="37">
        <v>0.25463999999999998</v>
      </c>
      <c r="O109" s="37">
        <v>0.24659700000000001</v>
      </c>
      <c r="P109" s="37">
        <v>0.23866799999999999</v>
      </c>
      <c r="Q109" s="37">
        <v>0.23112199999999999</v>
      </c>
      <c r="R109" s="37">
        <v>0.22326399999999999</v>
      </c>
      <c r="S109" s="37">
        <v>0.215225</v>
      </c>
      <c r="T109" s="37">
        <v>0.20760400000000001</v>
      </c>
      <c r="U109" s="37">
        <v>0.20091200000000001</v>
      </c>
      <c r="V109" s="37">
        <v>0.19502900000000001</v>
      </c>
      <c r="W109" s="37">
        <v>0.190272</v>
      </c>
      <c r="X109" s="37">
        <v>0.18592</v>
      </c>
      <c r="Y109" s="37">
        <v>0.18232200000000001</v>
      </c>
      <c r="Z109" s="37">
        <v>0.17945700000000001</v>
      </c>
      <c r="AA109" s="37">
        <v>0.17699999999999999</v>
      </c>
      <c r="AB109" s="37">
        <v>0.17538599999999999</v>
      </c>
      <c r="AC109" s="37">
        <v>0.174376</v>
      </c>
      <c r="AD109" s="37">
        <v>0.17383799999999999</v>
      </c>
      <c r="AE109" s="37">
        <v>0.17397000000000001</v>
      </c>
      <c r="AF109" s="38">
        <v>-2.3664999999999999E-2</v>
      </c>
      <c r="AG109" s="27"/>
      <c r="AH109" s="20"/>
    </row>
    <row r="110" spans="1:34" ht="15" customHeight="1" x14ac:dyDescent="0.45">
      <c r="A110" s="26" t="s">
        <v>193</v>
      </c>
      <c r="B110" s="36" t="s">
        <v>169</v>
      </c>
      <c r="C110" s="37">
        <v>0.25257299999999999</v>
      </c>
      <c r="D110" s="37">
        <v>0.24671000000000001</v>
      </c>
      <c r="E110" s="37">
        <v>0.22173100000000001</v>
      </c>
      <c r="F110" s="37">
        <v>0.22417599999999999</v>
      </c>
      <c r="G110" s="37">
        <v>0.225276</v>
      </c>
      <c r="H110" s="37">
        <v>0.225825</v>
      </c>
      <c r="I110" s="37">
        <v>0.22562099999999999</v>
      </c>
      <c r="J110" s="37">
        <v>0.22486900000000001</v>
      </c>
      <c r="K110" s="37">
        <v>0.22392599999999999</v>
      </c>
      <c r="L110" s="37">
        <v>0.22317799999999999</v>
      </c>
      <c r="M110" s="37">
        <v>0.22254199999999999</v>
      </c>
      <c r="N110" s="37">
        <v>0.22076200000000001</v>
      </c>
      <c r="O110" s="37">
        <v>0.21889700000000001</v>
      </c>
      <c r="P110" s="37">
        <v>0.21618299999999999</v>
      </c>
      <c r="Q110" s="37">
        <v>0.21316199999999999</v>
      </c>
      <c r="R110" s="37">
        <v>0.20943300000000001</v>
      </c>
      <c r="S110" s="37">
        <v>0.20494000000000001</v>
      </c>
      <c r="T110" s="37">
        <v>0.200434</v>
      </c>
      <c r="U110" s="37">
        <v>0.196406</v>
      </c>
      <c r="V110" s="37">
        <v>0.19278899999999999</v>
      </c>
      <c r="W110" s="37">
        <v>0.189775</v>
      </c>
      <c r="X110" s="37">
        <v>0.18689</v>
      </c>
      <c r="Y110" s="37">
        <v>0.18443599999999999</v>
      </c>
      <c r="Z110" s="37">
        <v>0.182334</v>
      </c>
      <c r="AA110" s="37">
        <v>0.17981900000000001</v>
      </c>
      <c r="AB110" s="37">
        <v>0.17780699999999999</v>
      </c>
      <c r="AC110" s="37">
        <v>0.17621899999999999</v>
      </c>
      <c r="AD110" s="37">
        <v>0.17477599999999999</v>
      </c>
      <c r="AE110" s="37">
        <v>0.173677</v>
      </c>
      <c r="AF110" s="38">
        <v>-1.3285999999999999E-2</v>
      </c>
      <c r="AG110" s="27"/>
      <c r="AH110" s="20"/>
    </row>
    <row r="111" spans="1:34" ht="15" customHeight="1" x14ac:dyDescent="0.45">
      <c r="A111" s="26" t="s">
        <v>194</v>
      </c>
      <c r="B111" s="36" t="s">
        <v>171</v>
      </c>
      <c r="C111" s="37">
        <v>5.2054660000000004</v>
      </c>
      <c r="D111" s="37">
        <v>5.2792649999999997</v>
      </c>
      <c r="E111" s="37">
        <v>5.3680680000000001</v>
      </c>
      <c r="F111" s="37">
        <v>5.4667950000000003</v>
      </c>
      <c r="G111" s="37">
        <v>5.5393330000000001</v>
      </c>
      <c r="H111" s="37">
        <v>5.6196859999999997</v>
      </c>
      <c r="I111" s="37">
        <v>5.6796139999999999</v>
      </c>
      <c r="J111" s="37">
        <v>5.7321720000000003</v>
      </c>
      <c r="K111" s="37">
        <v>5.7932949999999996</v>
      </c>
      <c r="L111" s="37">
        <v>5.8741300000000001</v>
      </c>
      <c r="M111" s="37">
        <v>5.9726720000000002</v>
      </c>
      <c r="N111" s="37">
        <v>6.0554870000000003</v>
      </c>
      <c r="O111" s="37">
        <v>6.1483489999999996</v>
      </c>
      <c r="P111" s="37">
        <v>6.2413259999999999</v>
      </c>
      <c r="Q111" s="37">
        <v>6.3396559999999997</v>
      </c>
      <c r="R111" s="37">
        <v>6.4296220000000002</v>
      </c>
      <c r="S111" s="37">
        <v>6.5040570000000004</v>
      </c>
      <c r="T111" s="37">
        <v>6.5783399999999999</v>
      </c>
      <c r="U111" s="37">
        <v>6.6683149999999998</v>
      </c>
      <c r="V111" s="37">
        <v>6.7671700000000001</v>
      </c>
      <c r="W111" s="37">
        <v>6.8881180000000004</v>
      </c>
      <c r="X111" s="37">
        <v>7.0062930000000003</v>
      </c>
      <c r="Y111" s="37">
        <v>7.1321969999999997</v>
      </c>
      <c r="Z111" s="37">
        <v>7.2672169999999996</v>
      </c>
      <c r="AA111" s="37">
        <v>7.3884829999999999</v>
      </c>
      <c r="AB111" s="37">
        <v>7.5214470000000002</v>
      </c>
      <c r="AC111" s="37">
        <v>7.6591680000000002</v>
      </c>
      <c r="AD111" s="37">
        <v>7.7947930000000003</v>
      </c>
      <c r="AE111" s="37">
        <v>7.9456879999999996</v>
      </c>
      <c r="AF111" s="38">
        <v>1.5219E-2</v>
      </c>
      <c r="AG111" s="27"/>
      <c r="AH111" s="20"/>
    </row>
    <row r="112" spans="1:34" ht="15" customHeight="1" x14ac:dyDescent="0.35">
      <c r="A112" s="26" t="s">
        <v>195</v>
      </c>
      <c r="B112" s="35" t="s">
        <v>196</v>
      </c>
      <c r="C112" s="47">
        <v>21.508896</v>
      </c>
      <c r="D112" s="47">
        <v>21.121822000000002</v>
      </c>
      <c r="E112" s="47">
        <v>20.988358000000002</v>
      </c>
      <c r="F112" s="47">
        <v>21.127586000000001</v>
      </c>
      <c r="G112" s="47">
        <v>21.191535999999999</v>
      </c>
      <c r="H112" s="47">
        <v>21.249516</v>
      </c>
      <c r="I112" s="47">
        <v>21.267403000000002</v>
      </c>
      <c r="J112" s="47">
        <v>21.267963000000002</v>
      </c>
      <c r="K112" s="47">
        <v>21.269732999999999</v>
      </c>
      <c r="L112" s="47">
        <v>21.316433</v>
      </c>
      <c r="M112" s="47">
        <v>21.412941</v>
      </c>
      <c r="N112" s="47">
        <v>21.481677999999999</v>
      </c>
      <c r="O112" s="47">
        <v>21.587553</v>
      </c>
      <c r="P112" s="47">
        <v>21.698273</v>
      </c>
      <c r="Q112" s="47">
        <v>21.825367</v>
      </c>
      <c r="R112" s="47">
        <v>21.926689</v>
      </c>
      <c r="S112" s="47">
        <v>21.989027</v>
      </c>
      <c r="T112" s="47">
        <v>22.053360000000001</v>
      </c>
      <c r="U112" s="47">
        <v>22.145949999999999</v>
      </c>
      <c r="V112" s="47">
        <v>22.265259</v>
      </c>
      <c r="W112" s="47">
        <v>22.438521999999999</v>
      </c>
      <c r="X112" s="47">
        <v>22.608433000000002</v>
      </c>
      <c r="Y112" s="47">
        <v>22.800034</v>
      </c>
      <c r="Z112" s="47">
        <v>23.011658000000001</v>
      </c>
      <c r="AA112" s="47">
        <v>23.186775000000001</v>
      </c>
      <c r="AB112" s="47">
        <v>23.391161</v>
      </c>
      <c r="AC112" s="47">
        <v>23.609210999999998</v>
      </c>
      <c r="AD112" s="47">
        <v>23.818702999999999</v>
      </c>
      <c r="AE112" s="47">
        <v>24.056145000000001</v>
      </c>
      <c r="AF112" s="48">
        <v>4.0049999999999999E-3</v>
      </c>
      <c r="AG112" s="27"/>
      <c r="AH112" s="19"/>
    </row>
    <row r="113" spans="1:34" ht="15" customHeight="1" x14ac:dyDescent="0.45">
      <c r="A113" s="26" t="s">
        <v>197</v>
      </c>
      <c r="B113" s="36" t="s">
        <v>198</v>
      </c>
      <c r="C113" s="37">
        <v>0.112023</v>
      </c>
      <c r="D113" s="37">
        <v>0.123458</v>
      </c>
      <c r="E113" s="37">
        <v>0.13652900000000001</v>
      </c>
      <c r="F113" s="37">
        <v>0.14977699999999999</v>
      </c>
      <c r="G113" s="37">
        <v>0.16300899999999999</v>
      </c>
      <c r="H113" s="37">
        <v>0.17658499999999999</v>
      </c>
      <c r="I113" s="37">
        <v>0.19053</v>
      </c>
      <c r="J113" s="37">
        <v>0.20494499999999999</v>
      </c>
      <c r="K113" s="37">
        <v>0.21981999999999999</v>
      </c>
      <c r="L113" s="37">
        <v>0.23524600000000001</v>
      </c>
      <c r="M113" s="37">
        <v>0.25148999999999999</v>
      </c>
      <c r="N113" s="37">
        <v>0.26793699999999998</v>
      </c>
      <c r="O113" s="37">
        <v>0.28465000000000001</v>
      </c>
      <c r="P113" s="37">
        <v>0.29947400000000002</v>
      </c>
      <c r="Q113" s="37">
        <v>0.31491799999999998</v>
      </c>
      <c r="R113" s="37">
        <v>0.33096799999999998</v>
      </c>
      <c r="S113" s="37">
        <v>0.34801199999999999</v>
      </c>
      <c r="T113" s="37">
        <v>0.36618699999999998</v>
      </c>
      <c r="U113" s="37">
        <v>0.38540000000000002</v>
      </c>
      <c r="V113" s="37">
        <v>0.40570899999999999</v>
      </c>
      <c r="W113" s="37">
        <v>0.427124</v>
      </c>
      <c r="X113" s="37">
        <v>0.44966</v>
      </c>
      <c r="Y113" s="37">
        <v>0.47307100000000002</v>
      </c>
      <c r="Z113" s="37">
        <v>0.49757400000000002</v>
      </c>
      <c r="AA113" s="37">
        <v>0.52299700000000005</v>
      </c>
      <c r="AB113" s="37">
        <v>0.54935500000000004</v>
      </c>
      <c r="AC113" s="37">
        <v>0.57694599999999996</v>
      </c>
      <c r="AD113" s="37">
        <v>0.60526800000000003</v>
      </c>
      <c r="AE113" s="37">
        <v>0.63452399999999998</v>
      </c>
      <c r="AF113" s="38">
        <v>6.3893000000000005E-2</v>
      </c>
      <c r="AG113" s="27"/>
      <c r="AH113" s="20"/>
    </row>
    <row r="114" spans="1:34" ht="15" customHeight="1" x14ac:dyDescent="0.35">
      <c r="A114" s="26" t="s">
        <v>199</v>
      </c>
      <c r="B114" s="35" t="s">
        <v>200</v>
      </c>
      <c r="C114" s="39">
        <v>21.396872999999999</v>
      </c>
      <c r="D114" s="39">
        <v>20.998363000000001</v>
      </c>
      <c r="E114" s="39">
        <v>20.851828000000001</v>
      </c>
      <c r="F114" s="39">
        <v>20.977810000000002</v>
      </c>
      <c r="G114" s="39">
        <v>21.028528000000001</v>
      </c>
      <c r="H114" s="39">
        <v>21.072931000000001</v>
      </c>
      <c r="I114" s="39">
        <v>21.076872000000002</v>
      </c>
      <c r="J114" s="39">
        <v>21.063019000000001</v>
      </c>
      <c r="K114" s="39">
        <v>21.049913</v>
      </c>
      <c r="L114" s="39">
        <v>21.081185999999999</v>
      </c>
      <c r="M114" s="39">
        <v>21.161451</v>
      </c>
      <c r="N114" s="39">
        <v>21.213740999999999</v>
      </c>
      <c r="O114" s="39">
        <v>21.302902</v>
      </c>
      <c r="P114" s="39">
        <v>21.398797999999999</v>
      </c>
      <c r="Q114" s="39">
        <v>21.510448</v>
      </c>
      <c r="R114" s="39">
        <v>21.59572</v>
      </c>
      <c r="S114" s="39">
        <v>21.641013999999998</v>
      </c>
      <c r="T114" s="39">
        <v>21.687172</v>
      </c>
      <c r="U114" s="39">
        <v>21.760549999999999</v>
      </c>
      <c r="V114" s="39">
        <v>21.859549000000001</v>
      </c>
      <c r="W114" s="39">
        <v>22.011398</v>
      </c>
      <c r="X114" s="39">
        <v>22.158773</v>
      </c>
      <c r="Y114" s="39">
        <v>22.326962999999999</v>
      </c>
      <c r="Z114" s="39">
        <v>22.514084</v>
      </c>
      <c r="AA114" s="39">
        <v>22.663778000000001</v>
      </c>
      <c r="AB114" s="39">
        <v>22.841805999999998</v>
      </c>
      <c r="AC114" s="39">
        <v>23.032264999999999</v>
      </c>
      <c r="AD114" s="39">
        <v>23.213433999999999</v>
      </c>
      <c r="AE114" s="39">
        <v>23.421619</v>
      </c>
      <c r="AF114" s="40">
        <v>3.2339999999999999E-3</v>
      </c>
      <c r="AG114" s="27"/>
      <c r="AH114" s="19"/>
    </row>
    <row r="115" spans="1:34" ht="15" customHeight="1" x14ac:dyDescent="0.35"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</row>
    <row r="116" spans="1:34" ht="15" customHeight="1" x14ac:dyDescent="0.35">
      <c r="B116" s="35" t="s">
        <v>201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</row>
    <row r="117" spans="1:34" ht="15" customHeight="1" x14ac:dyDescent="0.45">
      <c r="A117" s="26" t="s">
        <v>202</v>
      </c>
      <c r="B117" s="36" t="s">
        <v>203</v>
      </c>
      <c r="C117" s="37">
        <v>1.4845000000000001E-2</v>
      </c>
      <c r="D117" s="37">
        <v>1.5337E-2</v>
      </c>
      <c r="E117" s="37">
        <v>1.7392999999999999E-2</v>
      </c>
      <c r="F117" s="37">
        <v>1.9101E-2</v>
      </c>
      <c r="G117" s="37">
        <v>2.0705000000000001E-2</v>
      </c>
      <c r="H117" s="37">
        <v>2.2252999999999998E-2</v>
      </c>
      <c r="I117" s="37">
        <v>2.3747000000000001E-2</v>
      </c>
      <c r="J117" s="37">
        <v>2.5304E-2</v>
      </c>
      <c r="K117" s="37">
        <v>2.6698E-2</v>
      </c>
      <c r="L117" s="37">
        <v>2.8160000000000001E-2</v>
      </c>
      <c r="M117" s="37">
        <v>2.9547E-2</v>
      </c>
      <c r="N117" s="37">
        <v>3.0886E-2</v>
      </c>
      <c r="O117" s="37">
        <v>3.2044999999999997E-2</v>
      </c>
      <c r="P117" s="37">
        <v>3.2747999999999999E-2</v>
      </c>
      <c r="Q117" s="37">
        <v>3.3270000000000001E-2</v>
      </c>
      <c r="R117" s="37">
        <v>3.3674000000000003E-2</v>
      </c>
      <c r="S117" s="37">
        <v>3.3866E-2</v>
      </c>
      <c r="T117" s="37">
        <v>3.424E-2</v>
      </c>
      <c r="U117" s="37">
        <v>3.4597999999999997E-2</v>
      </c>
      <c r="V117" s="37">
        <v>3.5140999999999999E-2</v>
      </c>
      <c r="W117" s="37">
        <v>3.5660999999999998E-2</v>
      </c>
      <c r="X117" s="37">
        <v>3.6152999999999998E-2</v>
      </c>
      <c r="Y117" s="37">
        <v>3.6614000000000001E-2</v>
      </c>
      <c r="Z117" s="37">
        <v>3.7157999999999997E-2</v>
      </c>
      <c r="AA117" s="37">
        <v>3.7769999999999998E-2</v>
      </c>
      <c r="AB117" s="37">
        <v>3.8505999999999999E-2</v>
      </c>
      <c r="AC117" s="37">
        <v>3.9142999999999997E-2</v>
      </c>
      <c r="AD117" s="37">
        <v>3.9898999999999997E-2</v>
      </c>
      <c r="AE117" s="37">
        <v>4.0578000000000003E-2</v>
      </c>
      <c r="AF117" s="38">
        <v>3.6565E-2</v>
      </c>
      <c r="AG117" s="27"/>
      <c r="AH117" s="20"/>
    </row>
    <row r="118" spans="1:34" ht="15" customHeight="1" x14ac:dyDescent="0.45">
      <c r="A118" s="26" t="s">
        <v>204</v>
      </c>
      <c r="B118" s="36" t="s">
        <v>205</v>
      </c>
      <c r="C118" s="37">
        <v>5.7070999999999997E-2</v>
      </c>
      <c r="D118" s="37">
        <v>6.5246999999999999E-2</v>
      </c>
      <c r="E118" s="37">
        <v>7.4490000000000001E-2</v>
      </c>
      <c r="F118" s="37">
        <v>8.2332000000000002E-2</v>
      </c>
      <c r="G118" s="37">
        <v>8.9647000000000004E-2</v>
      </c>
      <c r="H118" s="37">
        <v>9.6698999999999993E-2</v>
      </c>
      <c r="I118" s="37">
        <v>0.103424</v>
      </c>
      <c r="J118" s="37">
        <v>0.110056</v>
      </c>
      <c r="K118" s="37">
        <v>0.11708300000000001</v>
      </c>
      <c r="L118" s="37">
        <v>0.1244</v>
      </c>
      <c r="M118" s="37">
        <v>0.13175400000000001</v>
      </c>
      <c r="N118" s="37">
        <v>0.136737</v>
      </c>
      <c r="O118" s="37">
        <v>0.13999400000000001</v>
      </c>
      <c r="P118" s="37">
        <v>0.13961699999999999</v>
      </c>
      <c r="Q118" s="37">
        <v>0.13946500000000001</v>
      </c>
      <c r="R118" s="37">
        <v>0.13922100000000001</v>
      </c>
      <c r="S118" s="37">
        <v>0.13922000000000001</v>
      </c>
      <c r="T118" s="37">
        <v>0.139213</v>
      </c>
      <c r="U118" s="37">
        <v>0.139127</v>
      </c>
      <c r="V118" s="37">
        <v>0.139539</v>
      </c>
      <c r="W118" s="37">
        <v>0.13955999999999999</v>
      </c>
      <c r="X118" s="37">
        <v>0.13979800000000001</v>
      </c>
      <c r="Y118" s="37">
        <v>0.139983</v>
      </c>
      <c r="Z118" s="37">
        <v>0.14035800000000001</v>
      </c>
      <c r="AA118" s="37">
        <v>0.140489</v>
      </c>
      <c r="AB118" s="37">
        <v>0.140678</v>
      </c>
      <c r="AC118" s="37">
        <v>0.140518</v>
      </c>
      <c r="AD118" s="37">
        <v>0.14077500000000001</v>
      </c>
      <c r="AE118" s="37">
        <v>0.140678</v>
      </c>
      <c r="AF118" s="38">
        <v>3.2745000000000003E-2</v>
      </c>
      <c r="AG118" s="27"/>
      <c r="AH118" s="20"/>
    </row>
    <row r="119" spans="1:34" ht="15" customHeight="1" x14ac:dyDescent="0.45">
      <c r="A119" s="26" t="s">
        <v>206</v>
      </c>
      <c r="B119" s="36" t="s">
        <v>207</v>
      </c>
      <c r="C119" s="37">
        <v>0.32074200000000003</v>
      </c>
      <c r="D119" s="37">
        <v>0.35317799999999999</v>
      </c>
      <c r="E119" s="37">
        <v>0.39725199999999999</v>
      </c>
      <c r="F119" s="37">
        <v>0.43442599999999998</v>
      </c>
      <c r="G119" s="37">
        <v>0.47073300000000001</v>
      </c>
      <c r="H119" s="37">
        <v>0.50977799999999995</v>
      </c>
      <c r="I119" s="37">
        <v>0.54817300000000002</v>
      </c>
      <c r="J119" s="37">
        <v>0.58955800000000003</v>
      </c>
      <c r="K119" s="37">
        <v>0.63500900000000005</v>
      </c>
      <c r="L119" s="37">
        <v>0.682952</v>
      </c>
      <c r="M119" s="37">
        <v>0.73329999999999995</v>
      </c>
      <c r="N119" s="37">
        <v>0.78193000000000001</v>
      </c>
      <c r="O119" s="37">
        <v>0.83591400000000005</v>
      </c>
      <c r="P119" s="37">
        <v>0.88302199999999997</v>
      </c>
      <c r="Q119" s="37">
        <v>0.92925899999999995</v>
      </c>
      <c r="R119" s="37">
        <v>0.97457099999999997</v>
      </c>
      <c r="S119" s="37">
        <v>1.022575</v>
      </c>
      <c r="T119" s="37">
        <v>1.0770759999999999</v>
      </c>
      <c r="U119" s="37">
        <v>1.132468</v>
      </c>
      <c r="V119" s="37">
        <v>1.1976089999999999</v>
      </c>
      <c r="W119" s="37">
        <v>1.2617700000000001</v>
      </c>
      <c r="X119" s="37">
        <v>1.3309089999999999</v>
      </c>
      <c r="Y119" s="37">
        <v>1.4054310000000001</v>
      </c>
      <c r="Z119" s="37">
        <v>1.4835309999999999</v>
      </c>
      <c r="AA119" s="37">
        <v>1.559299</v>
      </c>
      <c r="AB119" s="37">
        <v>1.639516</v>
      </c>
      <c r="AC119" s="37">
        <v>1.7206680000000001</v>
      </c>
      <c r="AD119" s="37">
        <v>1.8081609999999999</v>
      </c>
      <c r="AE119" s="37">
        <v>1.890247</v>
      </c>
      <c r="AF119" s="38">
        <v>6.5401000000000001E-2</v>
      </c>
      <c r="AG119" s="27"/>
      <c r="AH119" s="20"/>
    </row>
    <row r="120" spans="1:34" ht="15" customHeight="1" x14ac:dyDescent="0.45">
      <c r="A120" s="26" t="s">
        <v>208</v>
      </c>
      <c r="B120" s="36" t="s">
        <v>209</v>
      </c>
      <c r="C120" s="37">
        <v>5.6099999999999998E-4</v>
      </c>
      <c r="D120" s="37">
        <v>6.0300000000000002E-4</v>
      </c>
      <c r="E120" s="37">
        <v>6.5899999999999997E-4</v>
      </c>
      <c r="F120" s="37">
        <v>7.0500000000000001E-4</v>
      </c>
      <c r="G120" s="37">
        <v>7.4799999999999997E-4</v>
      </c>
      <c r="H120" s="37">
        <v>8.0099999999999995E-4</v>
      </c>
      <c r="I120" s="37">
        <v>8.5400000000000005E-4</v>
      </c>
      <c r="J120" s="37">
        <v>9.0700000000000004E-4</v>
      </c>
      <c r="K120" s="37">
        <v>9.6000000000000002E-4</v>
      </c>
      <c r="L120" s="37">
        <v>1.0169999999999999E-3</v>
      </c>
      <c r="M120" s="37">
        <v>1.072E-3</v>
      </c>
      <c r="N120" s="37">
        <v>1.122E-3</v>
      </c>
      <c r="O120" s="37">
        <v>1.122E-3</v>
      </c>
      <c r="P120" s="37">
        <v>1.127E-3</v>
      </c>
      <c r="Q120" s="37">
        <v>1.126E-3</v>
      </c>
      <c r="R120" s="37">
        <v>1.1280000000000001E-3</v>
      </c>
      <c r="S120" s="37">
        <v>1.1280000000000001E-3</v>
      </c>
      <c r="T120" s="37">
        <v>1.1299999999999999E-3</v>
      </c>
      <c r="U120" s="37">
        <v>1.1349999999999999E-3</v>
      </c>
      <c r="V120" s="37">
        <v>1.1440000000000001E-3</v>
      </c>
      <c r="W120" s="37">
        <v>1.1460000000000001E-3</v>
      </c>
      <c r="X120" s="37">
        <v>1.1540000000000001E-3</v>
      </c>
      <c r="Y120" s="37">
        <v>1.1620000000000001E-3</v>
      </c>
      <c r="Z120" s="37">
        <v>1.17E-3</v>
      </c>
      <c r="AA120" s="37">
        <v>1.1770000000000001E-3</v>
      </c>
      <c r="AB120" s="37">
        <v>1.183E-3</v>
      </c>
      <c r="AC120" s="37">
        <v>1.1869999999999999E-3</v>
      </c>
      <c r="AD120" s="37">
        <v>1.194E-3</v>
      </c>
      <c r="AE120" s="37">
        <v>1.1919999999999999E-3</v>
      </c>
      <c r="AF120" s="38">
        <v>2.7265000000000001E-2</v>
      </c>
      <c r="AG120" s="27"/>
      <c r="AH120" s="20"/>
    </row>
    <row r="121" spans="1:34" ht="15" customHeight="1" x14ac:dyDescent="0.35">
      <c r="A121" s="26" t="s">
        <v>210</v>
      </c>
      <c r="B121" s="35" t="s">
        <v>211</v>
      </c>
      <c r="C121" s="39">
        <v>0.39321899999999999</v>
      </c>
      <c r="D121" s="39">
        <v>0.43436599999999997</v>
      </c>
      <c r="E121" s="39">
        <v>0.48979299999999998</v>
      </c>
      <c r="F121" s="39">
        <v>0.53656400000000004</v>
      </c>
      <c r="G121" s="39">
        <v>0.58183300000000004</v>
      </c>
      <c r="H121" s="39">
        <v>0.62953099999999995</v>
      </c>
      <c r="I121" s="39">
        <v>0.67619799999999997</v>
      </c>
      <c r="J121" s="39">
        <v>0.72582400000000002</v>
      </c>
      <c r="K121" s="39">
        <v>0.77975099999999997</v>
      </c>
      <c r="L121" s="39">
        <v>0.83652899999999997</v>
      </c>
      <c r="M121" s="39">
        <v>0.89567300000000005</v>
      </c>
      <c r="N121" s="39">
        <v>0.95067500000000005</v>
      </c>
      <c r="O121" s="39">
        <v>1.0090749999999999</v>
      </c>
      <c r="P121" s="39">
        <v>1.056513</v>
      </c>
      <c r="Q121" s="39">
        <v>1.103119</v>
      </c>
      <c r="R121" s="39">
        <v>1.148593</v>
      </c>
      <c r="S121" s="39">
        <v>1.1967890000000001</v>
      </c>
      <c r="T121" s="39">
        <v>1.2516590000000001</v>
      </c>
      <c r="U121" s="39">
        <v>1.307328</v>
      </c>
      <c r="V121" s="39">
        <v>1.3734329999999999</v>
      </c>
      <c r="W121" s="39">
        <v>1.438137</v>
      </c>
      <c r="X121" s="39">
        <v>1.508014</v>
      </c>
      <c r="Y121" s="39">
        <v>1.5831900000000001</v>
      </c>
      <c r="Z121" s="39">
        <v>1.662218</v>
      </c>
      <c r="AA121" s="39">
        <v>1.7387349999999999</v>
      </c>
      <c r="AB121" s="39">
        <v>1.8198840000000001</v>
      </c>
      <c r="AC121" s="39">
        <v>1.9015150000000001</v>
      </c>
      <c r="AD121" s="39">
        <v>1.990029</v>
      </c>
      <c r="AE121" s="39">
        <v>2.072695</v>
      </c>
      <c r="AF121" s="40">
        <v>6.1163000000000002E-2</v>
      </c>
      <c r="AG121" s="27"/>
      <c r="AH121" s="19"/>
    </row>
    <row r="122" spans="1:34" ht="15" customHeight="1" x14ac:dyDescent="0.35"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</row>
    <row r="123" spans="1:34" ht="15" customHeight="1" x14ac:dyDescent="0.35">
      <c r="B123" s="35" t="s">
        <v>212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</row>
    <row r="124" spans="1:34" ht="15" customHeight="1" x14ac:dyDescent="0.45">
      <c r="A124" s="26" t="s">
        <v>213</v>
      </c>
      <c r="B124" s="36" t="s">
        <v>214</v>
      </c>
      <c r="C124" s="41">
        <v>6198</v>
      </c>
      <c r="D124" s="41">
        <v>6420</v>
      </c>
      <c r="E124" s="41">
        <v>5972</v>
      </c>
      <c r="F124" s="41">
        <v>5949</v>
      </c>
      <c r="G124" s="41">
        <v>5925</v>
      </c>
      <c r="H124" s="41">
        <v>5902</v>
      </c>
      <c r="I124" s="41">
        <v>5878</v>
      </c>
      <c r="J124" s="41">
        <v>5854</v>
      </c>
      <c r="K124" s="41">
        <v>5830</v>
      </c>
      <c r="L124" s="41">
        <v>5807</v>
      </c>
      <c r="M124" s="41">
        <v>5783</v>
      </c>
      <c r="N124" s="41">
        <v>5759</v>
      </c>
      <c r="O124" s="41">
        <v>5735</v>
      </c>
      <c r="P124" s="41">
        <v>5711</v>
      </c>
      <c r="Q124" s="41">
        <v>5687</v>
      </c>
      <c r="R124" s="41">
        <v>5663</v>
      </c>
      <c r="S124" s="41">
        <v>5639</v>
      </c>
      <c r="T124" s="41">
        <v>5615</v>
      </c>
      <c r="U124" s="41">
        <v>5591</v>
      </c>
      <c r="V124" s="41">
        <v>5567</v>
      </c>
      <c r="W124" s="41">
        <v>5543</v>
      </c>
      <c r="X124" s="41">
        <v>5519</v>
      </c>
      <c r="Y124" s="41">
        <v>5495</v>
      </c>
      <c r="Z124" s="41">
        <v>5471</v>
      </c>
      <c r="AA124" s="41">
        <v>5447</v>
      </c>
      <c r="AB124" s="41">
        <v>5423</v>
      </c>
      <c r="AC124" s="41">
        <v>5399</v>
      </c>
      <c r="AD124" s="41">
        <v>5374</v>
      </c>
      <c r="AE124" s="41">
        <v>5350</v>
      </c>
      <c r="AF124" s="38">
        <v>-5.241E-3</v>
      </c>
      <c r="AG124" s="27"/>
      <c r="AH124" s="20"/>
    </row>
    <row r="125" spans="1:34" ht="15" customHeight="1" x14ac:dyDescent="0.45">
      <c r="A125" s="26" t="s">
        <v>215</v>
      </c>
      <c r="B125" s="36" t="s">
        <v>216</v>
      </c>
      <c r="C125" s="41">
        <v>5742</v>
      </c>
      <c r="D125" s="41">
        <v>5779</v>
      </c>
      <c r="E125" s="41">
        <v>5348</v>
      </c>
      <c r="F125" s="41">
        <v>5325</v>
      </c>
      <c r="G125" s="41">
        <v>5303</v>
      </c>
      <c r="H125" s="41">
        <v>5281</v>
      </c>
      <c r="I125" s="41">
        <v>5259</v>
      </c>
      <c r="J125" s="41">
        <v>5236</v>
      </c>
      <c r="K125" s="41">
        <v>5214</v>
      </c>
      <c r="L125" s="41">
        <v>5192</v>
      </c>
      <c r="M125" s="41">
        <v>5169</v>
      </c>
      <c r="N125" s="41">
        <v>5147</v>
      </c>
      <c r="O125" s="41">
        <v>5125</v>
      </c>
      <c r="P125" s="41">
        <v>5102</v>
      </c>
      <c r="Q125" s="41">
        <v>5080</v>
      </c>
      <c r="R125" s="41">
        <v>5058</v>
      </c>
      <c r="S125" s="41">
        <v>5036</v>
      </c>
      <c r="T125" s="41">
        <v>5013</v>
      </c>
      <c r="U125" s="41">
        <v>4991</v>
      </c>
      <c r="V125" s="41">
        <v>4969</v>
      </c>
      <c r="W125" s="41">
        <v>4947</v>
      </c>
      <c r="X125" s="41">
        <v>4924</v>
      </c>
      <c r="Y125" s="41">
        <v>4902</v>
      </c>
      <c r="Z125" s="41">
        <v>4880</v>
      </c>
      <c r="AA125" s="41">
        <v>4858</v>
      </c>
      <c r="AB125" s="41">
        <v>4835</v>
      </c>
      <c r="AC125" s="41">
        <v>4813</v>
      </c>
      <c r="AD125" s="41">
        <v>4791</v>
      </c>
      <c r="AE125" s="41">
        <v>4769</v>
      </c>
      <c r="AF125" s="38">
        <v>-6.6090000000000003E-3</v>
      </c>
      <c r="AG125" s="27"/>
      <c r="AH125" s="20"/>
    </row>
    <row r="126" spans="1:34" ht="15" customHeight="1" x14ac:dyDescent="0.45">
      <c r="A126" s="26" t="s">
        <v>217</v>
      </c>
      <c r="B126" s="36" t="s">
        <v>218</v>
      </c>
      <c r="C126" s="41">
        <v>6427</v>
      </c>
      <c r="D126" s="41">
        <v>6306</v>
      </c>
      <c r="E126" s="41">
        <v>5982</v>
      </c>
      <c r="F126" s="41">
        <v>5967</v>
      </c>
      <c r="G126" s="41">
        <v>5953</v>
      </c>
      <c r="H126" s="41">
        <v>5938</v>
      </c>
      <c r="I126" s="41">
        <v>5923</v>
      </c>
      <c r="J126" s="41">
        <v>5908</v>
      </c>
      <c r="K126" s="41">
        <v>5893</v>
      </c>
      <c r="L126" s="41">
        <v>5879</v>
      </c>
      <c r="M126" s="41">
        <v>5864</v>
      </c>
      <c r="N126" s="41">
        <v>5849</v>
      </c>
      <c r="O126" s="41">
        <v>5834</v>
      </c>
      <c r="P126" s="41">
        <v>5819</v>
      </c>
      <c r="Q126" s="41">
        <v>5804</v>
      </c>
      <c r="R126" s="41">
        <v>5790</v>
      </c>
      <c r="S126" s="41">
        <v>5775</v>
      </c>
      <c r="T126" s="41">
        <v>5760</v>
      </c>
      <c r="U126" s="41">
        <v>5745</v>
      </c>
      <c r="V126" s="41">
        <v>5730</v>
      </c>
      <c r="W126" s="41">
        <v>5715</v>
      </c>
      <c r="X126" s="41">
        <v>5701</v>
      </c>
      <c r="Y126" s="41">
        <v>5686</v>
      </c>
      <c r="Z126" s="41">
        <v>5671</v>
      </c>
      <c r="AA126" s="41">
        <v>5656</v>
      </c>
      <c r="AB126" s="41">
        <v>5641</v>
      </c>
      <c r="AC126" s="41">
        <v>5626</v>
      </c>
      <c r="AD126" s="41">
        <v>5611</v>
      </c>
      <c r="AE126" s="41">
        <v>5597</v>
      </c>
      <c r="AF126" s="38">
        <v>-4.9259999999999998E-3</v>
      </c>
      <c r="AG126" s="27"/>
      <c r="AH126" s="20"/>
    </row>
    <row r="127" spans="1:34" ht="15" customHeight="1" x14ac:dyDescent="0.45">
      <c r="A127" s="26" t="s">
        <v>219</v>
      </c>
      <c r="B127" s="36" t="s">
        <v>220</v>
      </c>
      <c r="C127" s="41">
        <v>6845</v>
      </c>
      <c r="D127" s="41">
        <v>6601</v>
      </c>
      <c r="E127" s="41">
        <v>6349</v>
      </c>
      <c r="F127" s="41">
        <v>6340</v>
      </c>
      <c r="G127" s="41">
        <v>6330</v>
      </c>
      <c r="H127" s="41">
        <v>6321</v>
      </c>
      <c r="I127" s="41">
        <v>6311</v>
      </c>
      <c r="J127" s="41">
        <v>6301</v>
      </c>
      <c r="K127" s="41">
        <v>6291</v>
      </c>
      <c r="L127" s="41">
        <v>6281</v>
      </c>
      <c r="M127" s="41">
        <v>6271</v>
      </c>
      <c r="N127" s="41">
        <v>6261</v>
      </c>
      <c r="O127" s="41">
        <v>6250</v>
      </c>
      <c r="P127" s="41">
        <v>6240</v>
      </c>
      <c r="Q127" s="41">
        <v>6230</v>
      </c>
      <c r="R127" s="41">
        <v>6219</v>
      </c>
      <c r="S127" s="41">
        <v>6209</v>
      </c>
      <c r="T127" s="41">
        <v>6198</v>
      </c>
      <c r="U127" s="41">
        <v>6188</v>
      </c>
      <c r="V127" s="41">
        <v>6177</v>
      </c>
      <c r="W127" s="41">
        <v>6167</v>
      </c>
      <c r="X127" s="41">
        <v>6156</v>
      </c>
      <c r="Y127" s="41">
        <v>6145</v>
      </c>
      <c r="Z127" s="41">
        <v>6135</v>
      </c>
      <c r="AA127" s="41">
        <v>6124</v>
      </c>
      <c r="AB127" s="41">
        <v>6113</v>
      </c>
      <c r="AC127" s="41">
        <v>6103</v>
      </c>
      <c r="AD127" s="41">
        <v>6092</v>
      </c>
      <c r="AE127" s="41">
        <v>6081</v>
      </c>
      <c r="AF127" s="38">
        <v>-4.2180000000000004E-3</v>
      </c>
      <c r="AG127" s="27"/>
      <c r="AH127" s="20"/>
    </row>
    <row r="128" spans="1:34" ht="15" customHeight="1" x14ac:dyDescent="0.45">
      <c r="A128" s="26" t="s">
        <v>221</v>
      </c>
      <c r="B128" s="36" t="s">
        <v>222</v>
      </c>
      <c r="C128" s="41">
        <v>2566</v>
      </c>
      <c r="D128" s="41">
        <v>2600</v>
      </c>
      <c r="E128" s="41">
        <v>2375</v>
      </c>
      <c r="F128" s="41">
        <v>2358</v>
      </c>
      <c r="G128" s="41">
        <v>2342</v>
      </c>
      <c r="H128" s="41">
        <v>2326</v>
      </c>
      <c r="I128" s="41">
        <v>2310</v>
      </c>
      <c r="J128" s="41">
        <v>2294</v>
      </c>
      <c r="K128" s="41">
        <v>2277</v>
      </c>
      <c r="L128" s="41">
        <v>2261</v>
      </c>
      <c r="M128" s="41">
        <v>2245</v>
      </c>
      <c r="N128" s="41">
        <v>2229</v>
      </c>
      <c r="O128" s="41">
        <v>2213</v>
      </c>
      <c r="P128" s="41">
        <v>2197</v>
      </c>
      <c r="Q128" s="41">
        <v>2180</v>
      </c>
      <c r="R128" s="41">
        <v>2164</v>
      </c>
      <c r="S128" s="41">
        <v>2148</v>
      </c>
      <c r="T128" s="41">
        <v>2132</v>
      </c>
      <c r="U128" s="41">
        <v>2116</v>
      </c>
      <c r="V128" s="41">
        <v>2100</v>
      </c>
      <c r="W128" s="41">
        <v>2084</v>
      </c>
      <c r="X128" s="41">
        <v>2068</v>
      </c>
      <c r="Y128" s="41">
        <v>2052</v>
      </c>
      <c r="Z128" s="41">
        <v>2036</v>
      </c>
      <c r="AA128" s="41">
        <v>2020</v>
      </c>
      <c r="AB128" s="41">
        <v>2005</v>
      </c>
      <c r="AC128" s="41">
        <v>1989</v>
      </c>
      <c r="AD128" s="41">
        <v>1973</v>
      </c>
      <c r="AE128" s="41">
        <v>1957</v>
      </c>
      <c r="AF128" s="38">
        <v>-9.6299999999999997E-3</v>
      </c>
      <c r="AG128" s="27"/>
      <c r="AH128" s="20"/>
    </row>
    <row r="129" spans="1:34" ht="15" customHeight="1" x14ac:dyDescent="0.45">
      <c r="A129" s="26" t="s">
        <v>223</v>
      </c>
      <c r="B129" s="36" t="s">
        <v>224</v>
      </c>
      <c r="C129" s="41">
        <v>3487</v>
      </c>
      <c r="D129" s="41">
        <v>3442</v>
      </c>
      <c r="E129" s="41">
        <v>3180</v>
      </c>
      <c r="F129" s="41">
        <v>3168</v>
      </c>
      <c r="G129" s="41">
        <v>3156</v>
      </c>
      <c r="H129" s="41">
        <v>3144</v>
      </c>
      <c r="I129" s="41">
        <v>3131</v>
      </c>
      <c r="J129" s="41">
        <v>3119</v>
      </c>
      <c r="K129" s="41">
        <v>3106</v>
      </c>
      <c r="L129" s="41">
        <v>3094</v>
      </c>
      <c r="M129" s="41">
        <v>3081</v>
      </c>
      <c r="N129" s="41">
        <v>3069</v>
      </c>
      <c r="O129" s="41">
        <v>3056</v>
      </c>
      <c r="P129" s="41">
        <v>3043</v>
      </c>
      <c r="Q129" s="41">
        <v>3031</v>
      </c>
      <c r="R129" s="41">
        <v>3018</v>
      </c>
      <c r="S129" s="41">
        <v>3005</v>
      </c>
      <c r="T129" s="41">
        <v>2992</v>
      </c>
      <c r="U129" s="41">
        <v>2980</v>
      </c>
      <c r="V129" s="41">
        <v>2967</v>
      </c>
      <c r="W129" s="41">
        <v>2954</v>
      </c>
      <c r="X129" s="41">
        <v>2941</v>
      </c>
      <c r="Y129" s="41">
        <v>2929</v>
      </c>
      <c r="Z129" s="41">
        <v>2916</v>
      </c>
      <c r="AA129" s="41">
        <v>2903</v>
      </c>
      <c r="AB129" s="41">
        <v>2890</v>
      </c>
      <c r="AC129" s="41">
        <v>2877</v>
      </c>
      <c r="AD129" s="41">
        <v>2865</v>
      </c>
      <c r="AE129" s="41">
        <v>2852</v>
      </c>
      <c r="AF129" s="38">
        <v>-7.1539999999999998E-3</v>
      </c>
      <c r="AG129" s="27"/>
      <c r="AH129" s="20"/>
    </row>
    <row r="130" spans="1:34" ht="15" customHeight="1" x14ac:dyDescent="0.45">
      <c r="A130" s="26" t="s">
        <v>225</v>
      </c>
      <c r="B130" s="36" t="s">
        <v>226</v>
      </c>
      <c r="C130" s="41">
        <v>2195</v>
      </c>
      <c r="D130" s="41">
        <v>2056</v>
      </c>
      <c r="E130" s="41">
        <v>1942</v>
      </c>
      <c r="F130" s="41">
        <v>1934</v>
      </c>
      <c r="G130" s="41">
        <v>1925</v>
      </c>
      <c r="H130" s="41">
        <v>1916</v>
      </c>
      <c r="I130" s="41">
        <v>1908</v>
      </c>
      <c r="J130" s="41">
        <v>1899</v>
      </c>
      <c r="K130" s="41">
        <v>1891</v>
      </c>
      <c r="L130" s="41">
        <v>1882</v>
      </c>
      <c r="M130" s="41">
        <v>1874</v>
      </c>
      <c r="N130" s="41">
        <v>1865</v>
      </c>
      <c r="O130" s="41">
        <v>1857</v>
      </c>
      <c r="P130" s="41">
        <v>1849</v>
      </c>
      <c r="Q130" s="41">
        <v>1840</v>
      </c>
      <c r="R130" s="41">
        <v>1832</v>
      </c>
      <c r="S130" s="41">
        <v>1824</v>
      </c>
      <c r="T130" s="41">
        <v>1815</v>
      </c>
      <c r="U130" s="41">
        <v>1807</v>
      </c>
      <c r="V130" s="41">
        <v>1799</v>
      </c>
      <c r="W130" s="41">
        <v>1791</v>
      </c>
      <c r="X130" s="41">
        <v>1783</v>
      </c>
      <c r="Y130" s="41">
        <v>1774</v>
      </c>
      <c r="Z130" s="41">
        <v>1766</v>
      </c>
      <c r="AA130" s="41">
        <v>1758</v>
      </c>
      <c r="AB130" s="41">
        <v>1750</v>
      </c>
      <c r="AC130" s="41">
        <v>1742</v>
      </c>
      <c r="AD130" s="41">
        <v>1734</v>
      </c>
      <c r="AE130" s="41">
        <v>1726</v>
      </c>
      <c r="AF130" s="38">
        <v>-8.548E-3</v>
      </c>
      <c r="AG130" s="27"/>
      <c r="AH130" s="20"/>
    </row>
    <row r="131" spans="1:34" ht="15" customHeight="1" x14ac:dyDescent="0.45">
      <c r="A131" s="26" t="s">
        <v>227</v>
      </c>
      <c r="B131" s="36" t="s">
        <v>228</v>
      </c>
      <c r="C131" s="41">
        <v>4970</v>
      </c>
      <c r="D131" s="41">
        <v>4978</v>
      </c>
      <c r="E131" s="41">
        <v>4789</v>
      </c>
      <c r="F131" s="41">
        <v>4776</v>
      </c>
      <c r="G131" s="41">
        <v>4763</v>
      </c>
      <c r="H131" s="41">
        <v>4751</v>
      </c>
      <c r="I131" s="41">
        <v>4738</v>
      </c>
      <c r="J131" s="41">
        <v>4725</v>
      </c>
      <c r="K131" s="41">
        <v>4712</v>
      </c>
      <c r="L131" s="41">
        <v>4698</v>
      </c>
      <c r="M131" s="41">
        <v>4685</v>
      </c>
      <c r="N131" s="41">
        <v>4672</v>
      </c>
      <c r="O131" s="41">
        <v>4658</v>
      </c>
      <c r="P131" s="41">
        <v>4645</v>
      </c>
      <c r="Q131" s="41">
        <v>4632</v>
      </c>
      <c r="R131" s="41">
        <v>4619</v>
      </c>
      <c r="S131" s="41">
        <v>4606</v>
      </c>
      <c r="T131" s="41">
        <v>4593</v>
      </c>
      <c r="U131" s="41">
        <v>4580</v>
      </c>
      <c r="V131" s="41">
        <v>4568</v>
      </c>
      <c r="W131" s="41">
        <v>4555</v>
      </c>
      <c r="X131" s="41">
        <v>4542</v>
      </c>
      <c r="Y131" s="41">
        <v>4530</v>
      </c>
      <c r="Z131" s="41">
        <v>4517</v>
      </c>
      <c r="AA131" s="41">
        <v>4504</v>
      </c>
      <c r="AB131" s="41">
        <v>4492</v>
      </c>
      <c r="AC131" s="41">
        <v>4479</v>
      </c>
      <c r="AD131" s="41">
        <v>4467</v>
      </c>
      <c r="AE131" s="41">
        <v>4454</v>
      </c>
      <c r="AF131" s="38">
        <v>-3.9069999999999999E-3</v>
      </c>
      <c r="AG131" s="27"/>
      <c r="AH131" s="20"/>
    </row>
    <row r="132" spans="1:34" ht="15" customHeight="1" x14ac:dyDescent="0.45">
      <c r="A132" s="26" t="s">
        <v>229</v>
      </c>
      <c r="B132" s="36" t="s">
        <v>230</v>
      </c>
      <c r="C132" s="41">
        <v>3212</v>
      </c>
      <c r="D132" s="41">
        <v>3503</v>
      </c>
      <c r="E132" s="41">
        <v>3250</v>
      </c>
      <c r="F132" s="41">
        <v>3241</v>
      </c>
      <c r="G132" s="41">
        <v>3232</v>
      </c>
      <c r="H132" s="41">
        <v>3223</v>
      </c>
      <c r="I132" s="41">
        <v>3213</v>
      </c>
      <c r="J132" s="41">
        <v>3204</v>
      </c>
      <c r="K132" s="41">
        <v>3195</v>
      </c>
      <c r="L132" s="41">
        <v>3185</v>
      </c>
      <c r="M132" s="41">
        <v>3176</v>
      </c>
      <c r="N132" s="41">
        <v>3166</v>
      </c>
      <c r="O132" s="41">
        <v>3157</v>
      </c>
      <c r="P132" s="41">
        <v>3147</v>
      </c>
      <c r="Q132" s="41">
        <v>3137</v>
      </c>
      <c r="R132" s="41">
        <v>3128</v>
      </c>
      <c r="S132" s="41">
        <v>3118</v>
      </c>
      <c r="T132" s="41">
        <v>3108</v>
      </c>
      <c r="U132" s="41">
        <v>3098</v>
      </c>
      <c r="V132" s="41">
        <v>3089</v>
      </c>
      <c r="W132" s="41">
        <v>3079</v>
      </c>
      <c r="X132" s="41">
        <v>3069</v>
      </c>
      <c r="Y132" s="41">
        <v>3059</v>
      </c>
      <c r="Z132" s="41">
        <v>3049</v>
      </c>
      <c r="AA132" s="41">
        <v>3040</v>
      </c>
      <c r="AB132" s="41">
        <v>3030</v>
      </c>
      <c r="AC132" s="41">
        <v>3020</v>
      </c>
      <c r="AD132" s="41">
        <v>3010</v>
      </c>
      <c r="AE132" s="41">
        <v>3000</v>
      </c>
      <c r="AF132" s="38">
        <v>-2.4359999999999998E-3</v>
      </c>
      <c r="AG132" s="27"/>
      <c r="AH132" s="20"/>
    </row>
    <row r="133" spans="1:34" ht="15" customHeight="1" x14ac:dyDescent="0.35">
      <c r="A133" s="26" t="s">
        <v>231</v>
      </c>
      <c r="B133" s="35" t="s">
        <v>232</v>
      </c>
      <c r="C133" s="43">
        <v>4234.6137699999999</v>
      </c>
      <c r="D133" s="43">
        <v>4246.6186520000001</v>
      </c>
      <c r="E133" s="43">
        <v>3976.1059570000002</v>
      </c>
      <c r="F133" s="43">
        <v>3957.180664</v>
      </c>
      <c r="G133" s="43">
        <v>3938.5415039999998</v>
      </c>
      <c r="H133" s="43">
        <v>3920.0117190000001</v>
      </c>
      <c r="I133" s="43">
        <v>3901.2561040000001</v>
      </c>
      <c r="J133" s="43">
        <v>3882.5219729999999</v>
      </c>
      <c r="K133" s="43">
        <v>3863.8103030000002</v>
      </c>
      <c r="L133" s="43">
        <v>3845.1889649999998</v>
      </c>
      <c r="M133" s="43">
        <v>3826.626221</v>
      </c>
      <c r="N133" s="43">
        <v>3807.9733890000002</v>
      </c>
      <c r="O133" s="43">
        <v>3789.4521479999999</v>
      </c>
      <c r="P133" s="43">
        <v>3770.821289</v>
      </c>
      <c r="Q133" s="43">
        <v>3752.0329590000001</v>
      </c>
      <c r="R133" s="43">
        <v>3733.780029</v>
      </c>
      <c r="S133" s="43">
        <v>3715.305664</v>
      </c>
      <c r="T133" s="43">
        <v>3696.5273440000001</v>
      </c>
      <c r="U133" s="43">
        <v>3678.117432</v>
      </c>
      <c r="V133" s="43">
        <v>3659.850586</v>
      </c>
      <c r="W133" s="43">
        <v>3641.3955080000001</v>
      </c>
      <c r="X133" s="43">
        <v>3622.8991700000001</v>
      </c>
      <c r="Y133" s="43">
        <v>3604.398682</v>
      </c>
      <c r="Z133" s="43">
        <v>3585.969482</v>
      </c>
      <c r="AA133" s="43">
        <v>3567.7004390000002</v>
      </c>
      <c r="AB133" s="43">
        <v>3549.5581050000001</v>
      </c>
      <c r="AC133" s="43">
        <v>3531.4091800000001</v>
      </c>
      <c r="AD133" s="43">
        <v>3513.482422</v>
      </c>
      <c r="AE133" s="43">
        <v>3495.6748050000001</v>
      </c>
      <c r="AF133" s="40">
        <v>-6.8250000000000003E-3</v>
      </c>
      <c r="AG133" s="27"/>
      <c r="AH133" s="19"/>
    </row>
    <row r="134" spans="1:34" ht="15" customHeight="1" x14ac:dyDescent="0.35"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</row>
    <row r="135" spans="1:34" ht="15" customHeight="1" x14ac:dyDescent="0.35">
      <c r="B135" s="35" t="s">
        <v>233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</row>
    <row r="136" spans="1:34" ht="15" customHeight="1" x14ac:dyDescent="0.45">
      <c r="A136" s="26" t="s">
        <v>234</v>
      </c>
      <c r="B136" s="36" t="s">
        <v>214</v>
      </c>
      <c r="C136" s="41">
        <v>639</v>
      </c>
      <c r="D136" s="41">
        <v>500</v>
      </c>
      <c r="E136" s="41">
        <v>614</v>
      </c>
      <c r="F136" s="41">
        <v>621</v>
      </c>
      <c r="G136" s="41">
        <v>629</v>
      </c>
      <c r="H136" s="41">
        <v>636</v>
      </c>
      <c r="I136" s="41">
        <v>643</v>
      </c>
      <c r="J136" s="41">
        <v>651</v>
      </c>
      <c r="K136" s="41">
        <v>658</v>
      </c>
      <c r="L136" s="41">
        <v>665</v>
      </c>
      <c r="M136" s="41">
        <v>673</v>
      </c>
      <c r="N136" s="41">
        <v>680</v>
      </c>
      <c r="O136" s="41">
        <v>687</v>
      </c>
      <c r="P136" s="41">
        <v>695</v>
      </c>
      <c r="Q136" s="41">
        <v>702</v>
      </c>
      <c r="R136" s="41">
        <v>710</v>
      </c>
      <c r="S136" s="41">
        <v>717</v>
      </c>
      <c r="T136" s="41">
        <v>724</v>
      </c>
      <c r="U136" s="41">
        <v>732</v>
      </c>
      <c r="V136" s="41">
        <v>739</v>
      </c>
      <c r="W136" s="41">
        <v>747</v>
      </c>
      <c r="X136" s="41">
        <v>754</v>
      </c>
      <c r="Y136" s="41">
        <v>761</v>
      </c>
      <c r="Z136" s="41">
        <v>769</v>
      </c>
      <c r="AA136" s="41">
        <v>776</v>
      </c>
      <c r="AB136" s="41">
        <v>784</v>
      </c>
      <c r="AC136" s="41">
        <v>791</v>
      </c>
      <c r="AD136" s="41">
        <v>799</v>
      </c>
      <c r="AE136" s="41">
        <v>806</v>
      </c>
      <c r="AF136" s="38">
        <v>8.3269999999999993E-3</v>
      </c>
      <c r="AG136" s="27"/>
      <c r="AH136" s="20"/>
    </row>
    <row r="137" spans="1:34" ht="15" customHeight="1" x14ac:dyDescent="0.45">
      <c r="A137" s="26" t="s">
        <v>235</v>
      </c>
      <c r="B137" s="36" t="s">
        <v>216</v>
      </c>
      <c r="C137" s="41">
        <v>835</v>
      </c>
      <c r="D137" s="41">
        <v>692</v>
      </c>
      <c r="E137" s="41">
        <v>864</v>
      </c>
      <c r="F137" s="41">
        <v>874</v>
      </c>
      <c r="G137" s="41">
        <v>883</v>
      </c>
      <c r="H137" s="41">
        <v>893</v>
      </c>
      <c r="I137" s="41">
        <v>902</v>
      </c>
      <c r="J137" s="41">
        <v>912</v>
      </c>
      <c r="K137" s="41">
        <v>922</v>
      </c>
      <c r="L137" s="41">
        <v>931</v>
      </c>
      <c r="M137" s="41">
        <v>941</v>
      </c>
      <c r="N137" s="41">
        <v>950</v>
      </c>
      <c r="O137" s="41">
        <v>960</v>
      </c>
      <c r="P137" s="41">
        <v>970</v>
      </c>
      <c r="Q137" s="41">
        <v>979</v>
      </c>
      <c r="R137" s="41">
        <v>989</v>
      </c>
      <c r="S137" s="41">
        <v>999</v>
      </c>
      <c r="T137" s="41">
        <v>1008</v>
      </c>
      <c r="U137" s="41">
        <v>1018</v>
      </c>
      <c r="V137" s="41">
        <v>1027</v>
      </c>
      <c r="W137" s="41">
        <v>1037</v>
      </c>
      <c r="X137" s="41">
        <v>1047</v>
      </c>
      <c r="Y137" s="41">
        <v>1056</v>
      </c>
      <c r="Z137" s="41">
        <v>1066</v>
      </c>
      <c r="AA137" s="41">
        <v>1076</v>
      </c>
      <c r="AB137" s="41">
        <v>1085</v>
      </c>
      <c r="AC137" s="41">
        <v>1095</v>
      </c>
      <c r="AD137" s="41">
        <v>1104</v>
      </c>
      <c r="AE137" s="41">
        <v>1114</v>
      </c>
      <c r="AF137" s="38">
        <v>1.0349000000000001E-2</v>
      </c>
      <c r="AG137" s="27"/>
      <c r="AH137" s="20"/>
    </row>
    <row r="138" spans="1:34" ht="15" customHeight="1" x14ac:dyDescent="0.45">
      <c r="A138" s="26" t="s">
        <v>236</v>
      </c>
      <c r="B138" s="36" t="s">
        <v>218</v>
      </c>
      <c r="C138" s="41">
        <v>813</v>
      </c>
      <c r="D138" s="41">
        <v>752</v>
      </c>
      <c r="E138" s="41">
        <v>892</v>
      </c>
      <c r="F138" s="41">
        <v>900</v>
      </c>
      <c r="G138" s="41">
        <v>908</v>
      </c>
      <c r="H138" s="41">
        <v>916</v>
      </c>
      <c r="I138" s="41">
        <v>924</v>
      </c>
      <c r="J138" s="41">
        <v>932</v>
      </c>
      <c r="K138" s="41">
        <v>939</v>
      </c>
      <c r="L138" s="41">
        <v>947</v>
      </c>
      <c r="M138" s="41">
        <v>955</v>
      </c>
      <c r="N138" s="41">
        <v>963</v>
      </c>
      <c r="O138" s="41">
        <v>971</v>
      </c>
      <c r="P138" s="41">
        <v>979</v>
      </c>
      <c r="Q138" s="41">
        <v>987</v>
      </c>
      <c r="R138" s="41">
        <v>994</v>
      </c>
      <c r="S138" s="41">
        <v>1002</v>
      </c>
      <c r="T138" s="41">
        <v>1010</v>
      </c>
      <c r="U138" s="41">
        <v>1018</v>
      </c>
      <c r="V138" s="41">
        <v>1026</v>
      </c>
      <c r="W138" s="41">
        <v>1034</v>
      </c>
      <c r="X138" s="41">
        <v>1042</v>
      </c>
      <c r="Y138" s="41">
        <v>1050</v>
      </c>
      <c r="Z138" s="41">
        <v>1058</v>
      </c>
      <c r="AA138" s="41">
        <v>1066</v>
      </c>
      <c r="AB138" s="41">
        <v>1073</v>
      </c>
      <c r="AC138" s="41">
        <v>1081</v>
      </c>
      <c r="AD138" s="41">
        <v>1089</v>
      </c>
      <c r="AE138" s="41">
        <v>1097</v>
      </c>
      <c r="AF138" s="38">
        <v>1.0758E-2</v>
      </c>
      <c r="AG138" s="27"/>
      <c r="AH138" s="20"/>
    </row>
    <row r="139" spans="1:34" ht="15" customHeight="1" x14ac:dyDescent="0.45">
      <c r="A139" s="26" t="s">
        <v>237</v>
      </c>
      <c r="B139" s="36" t="s">
        <v>220</v>
      </c>
      <c r="C139" s="41">
        <v>1050</v>
      </c>
      <c r="D139" s="41">
        <v>944</v>
      </c>
      <c r="E139" s="41">
        <v>1069</v>
      </c>
      <c r="F139" s="41">
        <v>1077</v>
      </c>
      <c r="G139" s="41">
        <v>1084</v>
      </c>
      <c r="H139" s="41">
        <v>1091</v>
      </c>
      <c r="I139" s="41">
        <v>1099</v>
      </c>
      <c r="J139" s="41">
        <v>1106</v>
      </c>
      <c r="K139" s="41">
        <v>1114</v>
      </c>
      <c r="L139" s="41">
        <v>1121</v>
      </c>
      <c r="M139" s="41">
        <v>1129</v>
      </c>
      <c r="N139" s="41">
        <v>1136</v>
      </c>
      <c r="O139" s="41">
        <v>1144</v>
      </c>
      <c r="P139" s="41">
        <v>1151</v>
      </c>
      <c r="Q139" s="41">
        <v>1159</v>
      </c>
      <c r="R139" s="41">
        <v>1166</v>
      </c>
      <c r="S139" s="41">
        <v>1174</v>
      </c>
      <c r="T139" s="41">
        <v>1182</v>
      </c>
      <c r="U139" s="41">
        <v>1189</v>
      </c>
      <c r="V139" s="41">
        <v>1197</v>
      </c>
      <c r="W139" s="41">
        <v>1204</v>
      </c>
      <c r="X139" s="41">
        <v>1212</v>
      </c>
      <c r="Y139" s="41">
        <v>1220</v>
      </c>
      <c r="Z139" s="41">
        <v>1227</v>
      </c>
      <c r="AA139" s="41">
        <v>1235</v>
      </c>
      <c r="AB139" s="41">
        <v>1243</v>
      </c>
      <c r="AC139" s="41">
        <v>1250</v>
      </c>
      <c r="AD139" s="41">
        <v>1258</v>
      </c>
      <c r="AE139" s="41">
        <v>1266</v>
      </c>
      <c r="AF139" s="38">
        <v>6.7029999999999998E-3</v>
      </c>
      <c r="AG139" s="27"/>
      <c r="AH139" s="20"/>
    </row>
    <row r="140" spans="1:34" ht="15" customHeight="1" x14ac:dyDescent="0.45">
      <c r="A140" s="26" t="s">
        <v>238</v>
      </c>
      <c r="B140" s="36" t="s">
        <v>222</v>
      </c>
      <c r="C140" s="41">
        <v>2264</v>
      </c>
      <c r="D140" s="41">
        <v>2150</v>
      </c>
      <c r="E140" s="41">
        <v>2408</v>
      </c>
      <c r="F140" s="41">
        <v>2426</v>
      </c>
      <c r="G140" s="41">
        <v>2442</v>
      </c>
      <c r="H140" s="41">
        <v>2459</v>
      </c>
      <c r="I140" s="41">
        <v>2476</v>
      </c>
      <c r="J140" s="41">
        <v>2494</v>
      </c>
      <c r="K140" s="41">
        <v>2511</v>
      </c>
      <c r="L140" s="41">
        <v>2528</v>
      </c>
      <c r="M140" s="41">
        <v>2545</v>
      </c>
      <c r="N140" s="41">
        <v>2562</v>
      </c>
      <c r="O140" s="41">
        <v>2579</v>
      </c>
      <c r="P140" s="41">
        <v>2597</v>
      </c>
      <c r="Q140" s="41">
        <v>2614</v>
      </c>
      <c r="R140" s="41">
        <v>2632</v>
      </c>
      <c r="S140" s="41">
        <v>2649</v>
      </c>
      <c r="T140" s="41">
        <v>2666</v>
      </c>
      <c r="U140" s="41">
        <v>2684</v>
      </c>
      <c r="V140" s="41">
        <v>2701</v>
      </c>
      <c r="W140" s="41">
        <v>2719</v>
      </c>
      <c r="X140" s="41">
        <v>2736</v>
      </c>
      <c r="Y140" s="41">
        <v>2754</v>
      </c>
      <c r="Z140" s="41">
        <v>2771</v>
      </c>
      <c r="AA140" s="41">
        <v>2789</v>
      </c>
      <c r="AB140" s="41">
        <v>2806</v>
      </c>
      <c r="AC140" s="41">
        <v>2824</v>
      </c>
      <c r="AD140" s="41">
        <v>2842</v>
      </c>
      <c r="AE140" s="41">
        <v>2859</v>
      </c>
      <c r="AF140" s="38">
        <v>8.3680000000000004E-3</v>
      </c>
      <c r="AG140" s="27"/>
      <c r="AH140" s="20"/>
    </row>
    <row r="141" spans="1:34" ht="15" customHeight="1" x14ac:dyDescent="0.45">
      <c r="A141" s="26" t="s">
        <v>239</v>
      </c>
      <c r="B141" s="36" t="s">
        <v>224</v>
      </c>
      <c r="C141" s="41">
        <v>1730</v>
      </c>
      <c r="D141" s="41">
        <v>1637</v>
      </c>
      <c r="E141" s="41">
        <v>1805</v>
      </c>
      <c r="F141" s="41">
        <v>1814</v>
      </c>
      <c r="G141" s="41">
        <v>1824</v>
      </c>
      <c r="H141" s="41">
        <v>1834</v>
      </c>
      <c r="I141" s="41">
        <v>1844</v>
      </c>
      <c r="J141" s="41">
        <v>1854</v>
      </c>
      <c r="K141" s="41">
        <v>1864</v>
      </c>
      <c r="L141" s="41">
        <v>1874</v>
      </c>
      <c r="M141" s="41">
        <v>1884</v>
      </c>
      <c r="N141" s="41">
        <v>1894</v>
      </c>
      <c r="O141" s="41">
        <v>1904</v>
      </c>
      <c r="P141" s="41">
        <v>1914</v>
      </c>
      <c r="Q141" s="41">
        <v>1924</v>
      </c>
      <c r="R141" s="41">
        <v>1934</v>
      </c>
      <c r="S141" s="41">
        <v>1944</v>
      </c>
      <c r="T141" s="41">
        <v>1954</v>
      </c>
      <c r="U141" s="41">
        <v>1964</v>
      </c>
      <c r="V141" s="41">
        <v>1974</v>
      </c>
      <c r="W141" s="41">
        <v>1984</v>
      </c>
      <c r="X141" s="41">
        <v>1994</v>
      </c>
      <c r="Y141" s="41">
        <v>2004</v>
      </c>
      <c r="Z141" s="41">
        <v>2014</v>
      </c>
      <c r="AA141" s="41">
        <v>2024</v>
      </c>
      <c r="AB141" s="41">
        <v>2034</v>
      </c>
      <c r="AC141" s="41">
        <v>2044</v>
      </c>
      <c r="AD141" s="41">
        <v>2054</v>
      </c>
      <c r="AE141" s="41">
        <v>2064</v>
      </c>
      <c r="AF141" s="38">
        <v>6.3239999999999998E-3</v>
      </c>
      <c r="AG141" s="27"/>
      <c r="AH141" s="20"/>
    </row>
    <row r="142" spans="1:34" ht="15" customHeight="1" x14ac:dyDescent="0.45">
      <c r="A142" s="26" t="s">
        <v>240</v>
      </c>
      <c r="B142" s="36" t="s">
        <v>226</v>
      </c>
      <c r="C142" s="41">
        <v>3000</v>
      </c>
      <c r="D142" s="41">
        <v>2658</v>
      </c>
      <c r="E142" s="41">
        <v>2860</v>
      </c>
      <c r="F142" s="41">
        <v>2874</v>
      </c>
      <c r="G142" s="41">
        <v>2887</v>
      </c>
      <c r="H142" s="41">
        <v>2901</v>
      </c>
      <c r="I142" s="41">
        <v>2915</v>
      </c>
      <c r="J142" s="41">
        <v>2928</v>
      </c>
      <c r="K142" s="41">
        <v>2942</v>
      </c>
      <c r="L142" s="41">
        <v>2955</v>
      </c>
      <c r="M142" s="41">
        <v>2969</v>
      </c>
      <c r="N142" s="41">
        <v>2982</v>
      </c>
      <c r="O142" s="41">
        <v>2996</v>
      </c>
      <c r="P142" s="41">
        <v>3009</v>
      </c>
      <c r="Q142" s="41">
        <v>3023</v>
      </c>
      <c r="R142" s="41">
        <v>3036</v>
      </c>
      <c r="S142" s="41">
        <v>3050</v>
      </c>
      <c r="T142" s="41">
        <v>3063</v>
      </c>
      <c r="U142" s="41">
        <v>3076</v>
      </c>
      <c r="V142" s="41">
        <v>3090</v>
      </c>
      <c r="W142" s="41">
        <v>3103</v>
      </c>
      <c r="X142" s="41">
        <v>3117</v>
      </c>
      <c r="Y142" s="41">
        <v>3130</v>
      </c>
      <c r="Z142" s="41">
        <v>3144</v>
      </c>
      <c r="AA142" s="41">
        <v>3157</v>
      </c>
      <c r="AB142" s="41">
        <v>3170</v>
      </c>
      <c r="AC142" s="41">
        <v>3184</v>
      </c>
      <c r="AD142" s="41">
        <v>3197</v>
      </c>
      <c r="AE142" s="41">
        <v>3210</v>
      </c>
      <c r="AF142" s="38">
        <v>2.4190000000000001E-3</v>
      </c>
      <c r="AG142" s="27"/>
      <c r="AH142" s="20"/>
    </row>
    <row r="143" spans="1:34" ht="15" customHeight="1" x14ac:dyDescent="0.45">
      <c r="A143" s="26" t="s">
        <v>241</v>
      </c>
      <c r="B143" s="36" t="s">
        <v>228</v>
      </c>
      <c r="C143" s="41">
        <v>1578</v>
      </c>
      <c r="D143" s="41">
        <v>1415</v>
      </c>
      <c r="E143" s="41">
        <v>1580</v>
      </c>
      <c r="F143" s="41">
        <v>1589</v>
      </c>
      <c r="G143" s="41">
        <v>1599</v>
      </c>
      <c r="H143" s="41">
        <v>1608</v>
      </c>
      <c r="I143" s="41">
        <v>1618</v>
      </c>
      <c r="J143" s="41">
        <v>1628</v>
      </c>
      <c r="K143" s="41">
        <v>1638</v>
      </c>
      <c r="L143" s="41">
        <v>1647</v>
      </c>
      <c r="M143" s="41">
        <v>1657</v>
      </c>
      <c r="N143" s="41">
        <v>1667</v>
      </c>
      <c r="O143" s="41">
        <v>1677</v>
      </c>
      <c r="P143" s="41">
        <v>1687</v>
      </c>
      <c r="Q143" s="41">
        <v>1697</v>
      </c>
      <c r="R143" s="41">
        <v>1706</v>
      </c>
      <c r="S143" s="41">
        <v>1716</v>
      </c>
      <c r="T143" s="41">
        <v>1726</v>
      </c>
      <c r="U143" s="41">
        <v>1735</v>
      </c>
      <c r="V143" s="41">
        <v>1745</v>
      </c>
      <c r="W143" s="41">
        <v>1755</v>
      </c>
      <c r="X143" s="41">
        <v>1764</v>
      </c>
      <c r="Y143" s="41">
        <v>1774</v>
      </c>
      <c r="Z143" s="41">
        <v>1783</v>
      </c>
      <c r="AA143" s="41">
        <v>1793</v>
      </c>
      <c r="AB143" s="41">
        <v>1802</v>
      </c>
      <c r="AC143" s="41">
        <v>1812</v>
      </c>
      <c r="AD143" s="41">
        <v>1822</v>
      </c>
      <c r="AE143" s="41">
        <v>1831</v>
      </c>
      <c r="AF143" s="38">
        <v>5.3249999999999999E-3</v>
      </c>
      <c r="AG143" s="27"/>
      <c r="AH143" s="20"/>
    </row>
    <row r="144" spans="1:34" ht="15" customHeight="1" x14ac:dyDescent="0.45">
      <c r="A144" s="26" t="s">
        <v>242</v>
      </c>
      <c r="B144" s="36" t="s">
        <v>230</v>
      </c>
      <c r="C144" s="41">
        <v>1098</v>
      </c>
      <c r="D144" s="41">
        <v>825</v>
      </c>
      <c r="E144" s="41">
        <v>1006</v>
      </c>
      <c r="F144" s="41">
        <v>1013</v>
      </c>
      <c r="G144" s="41">
        <v>1020</v>
      </c>
      <c r="H144" s="41">
        <v>1028</v>
      </c>
      <c r="I144" s="41">
        <v>1035</v>
      </c>
      <c r="J144" s="41">
        <v>1043</v>
      </c>
      <c r="K144" s="41">
        <v>1050</v>
      </c>
      <c r="L144" s="41">
        <v>1058</v>
      </c>
      <c r="M144" s="41">
        <v>1066</v>
      </c>
      <c r="N144" s="41">
        <v>1073</v>
      </c>
      <c r="O144" s="41">
        <v>1081</v>
      </c>
      <c r="P144" s="41">
        <v>1088</v>
      </c>
      <c r="Q144" s="41">
        <v>1096</v>
      </c>
      <c r="R144" s="41">
        <v>1104</v>
      </c>
      <c r="S144" s="41">
        <v>1111</v>
      </c>
      <c r="T144" s="41">
        <v>1119</v>
      </c>
      <c r="U144" s="41">
        <v>1127</v>
      </c>
      <c r="V144" s="41">
        <v>1134</v>
      </c>
      <c r="W144" s="41">
        <v>1142</v>
      </c>
      <c r="X144" s="41">
        <v>1150</v>
      </c>
      <c r="Y144" s="41">
        <v>1157</v>
      </c>
      <c r="Z144" s="41">
        <v>1165</v>
      </c>
      <c r="AA144" s="41">
        <v>1173</v>
      </c>
      <c r="AB144" s="41">
        <v>1181</v>
      </c>
      <c r="AC144" s="41">
        <v>1188</v>
      </c>
      <c r="AD144" s="41">
        <v>1196</v>
      </c>
      <c r="AE144" s="41">
        <v>1204</v>
      </c>
      <c r="AF144" s="38">
        <v>3.297E-3</v>
      </c>
      <c r="AG144" s="27"/>
      <c r="AH144" s="20"/>
    </row>
    <row r="145" spans="1:34" ht="15" customHeight="1" x14ac:dyDescent="0.35">
      <c r="A145" s="26" t="s">
        <v>243</v>
      </c>
      <c r="B145" s="35" t="s">
        <v>232</v>
      </c>
      <c r="C145" s="43">
        <v>1549.955811</v>
      </c>
      <c r="D145" s="43">
        <v>1383.8479</v>
      </c>
      <c r="E145" s="43">
        <v>1570.0424800000001</v>
      </c>
      <c r="F145" s="43">
        <v>1583.3448490000001</v>
      </c>
      <c r="G145" s="43">
        <v>1596.1142580000001</v>
      </c>
      <c r="H145" s="43">
        <v>1609.38501</v>
      </c>
      <c r="I145" s="43">
        <v>1622.5207519999999</v>
      </c>
      <c r="J145" s="43">
        <v>1636.0070800000001</v>
      </c>
      <c r="K145" s="43">
        <v>1649.149048</v>
      </c>
      <c r="L145" s="43">
        <v>1662.2188719999999</v>
      </c>
      <c r="M145" s="43">
        <v>1675.7426760000001</v>
      </c>
      <c r="N145" s="43">
        <v>1688.762207</v>
      </c>
      <c r="O145" s="43">
        <v>1702.278198</v>
      </c>
      <c r="P145" s="43">
        <v>1715.7017820000001</v>
      </c>
      <c r="Q145" s="43">
        <v>1729.1450199999999</v>
      </c>
      <c r="R145" s="43">
        <v>1742.5604249999999</v>
      </c>
      <c r="S145" s="43">
        <v>1755.9835210000001</v>
      </c>
      <c r="T145" s="43">
        <v>1769.3446039999999</v>
      </c>
      <c r="U145" s="43">
        <v>1782.940063</v>
      </c>
      <c r="V145" s="43">
        <v>1796.302124</v>
      </c>
      <c r="W145" s="43">
        <v>1810.015259</v>
      </c>
      <c r="X145" s="43">
        <v>1823.60437</v>
      </c>
      <c r="Y145" s="43">
        <v>1837.094971</v>
      </c>
      <c r="Z145" s="43">
        <v>1850.6906739999999</v>
      </c>
      <c r="AA145" s="43">
        <v>1864.471436</v>
      </c>
      <c r="AB145" s="43">
        <v>1877.7441409999999</v>
      </c>
      <c r="AC145" s="43">
        <v>1891.3885499999999</v>
      </c>
      <c r="AD145" s="43">
        <v>1904.9642329999999</v>
      </c>
      <c r="AE145" s="43">
        <v>1918.225586</v>
      </c>
      <c r="AF145" s="40">
        <v>7.6420000000000004E-3</v>
      </c>
      <c r="AG145" s="27"/>
    </row>
    <row r="146" spans="1:34" ht="15" customHeight="1" thickBot="1" x14ac:dyDescent="0.4"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</row>
    <row r="147" spans="1:34" ht="15" customHeight="1" x14ac:dyDescent="0.35">
      <c r="B147" s="46" t="s">
        <v>244</v>
      </c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</row>
    <row r="148" spans="1:34" ht="15" customHeight="1" x14ac:dyDescent="0.35">
      <c r="B148" s="27" t="s">
        <v>245</v>
      </c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</row>
    <row r="149" spans="1:34" ht="15" customHeight="1" x14ac:dyDescent="0.35">
      <c r="B149" s="27" t="s">
        <v>246</v>
      </c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</row>
    <row r="150" spans="1:34" ht="15" customHeight="1" x14ac:dyDescent="0.35">
      <c r="B150" s="27" t="s">
        <v>247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</row>
    <row r="151" spans="1:34" ht="15" customHeight="1" x14ac:dyDescent="0.35">
      <c r="B151" s="27" t="s">
        <v>248</v>
      </c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</row>
    <row r="152" spans="1:34" ht="15" customHeight="1" x14ac:dyDescent="0.35">
      <c r="B152" s="27" t="s">
        <v>249</v>
      </c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</row>
    <row r="153" spans="1:34" ht="15" customHeight="1" x14ac:dyDescent="0.35">
      <c r="B153" s="27" t="s">
        <v>250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</row>
    <row r="154" spans="1:34" ht="15" customHeight="1" x14ac:dyDescent="0.35">
      <c r="B154" s="27" t="s">
        <v>251</v>
      </c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</row>
    <row r="155" spans="1:34" ht="15" customHeight="1" x14ac:dyDescent="0.35">
      <c r="B155" s="27" t="s">
        <v>252</v>
      </c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</row>
    <row r="156" spans="1:34" ht="15" customHeight="1" x14ac:dyDescent="0.35">
      <c r="B156" s="27" t="s">
        <v>253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</row>
    <row r="157" spans="1:34" ht="15" customHeight="1" x14ac:dyDescent="0.35">
      <c r="B157" s="27" t="s">
        <v>254</v>
      </c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</row>
    <row r="158" spans="1:34" ht="15" customHeight="1" x14ac:dyDescent="0.35">
      <c r="B158" s="27" t="s">
        <v>255</v>
      </c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</row>
    <row r="159" spans="1:34" ht="15" customHeight="1" x14ac:dyDescent="0.35">
      <c r="B159" s="27" t="s">
        <v>256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</row>
    <row r="160" spans="1:34" ht="15" customHeight="1" x14ac:dyDescent="0.35">
      <c r="B160" s="27" t="s">
        <v>257</v>
      </c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</row>
    <row r="161" spans="2:33" ht="15" customHeight="1" x14ac:dyDescent="0.35">
      <c r="B161" s="27" t="s">
        <v>258</v>
      </c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</row>
    <row r="162" spans="2:33" ht="15" customHeight="1" x14ac:dyDescent="0.35">
      <c r="B162" s="27" t="s">
        <v>259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</row>
    <row r="163" spans="2:33" ht="15" customHeight="1" x14ac:dyDescent="0.35">
      <c r="B163" s="27" t="s">
        <v>260</v>
      </c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</row>
    <row r="164" spans="2:33" ht="15" customHeight="1" x14ac:dyDescent="0.35">
      <c r="B164" s="27" t="s">
        <v>261</v>
      </c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</row>
    <row r="165" spans="2:33" ht="15" customHeight="1" x14ac:dyDescent="0.35">
      <c r="B165" s="27" t="s">
        <v>262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</row>
    <row r="166" spans="2:33" ht="15" customHeight="1" x14ac:dyDescent="0.35">
      <c r="B166" s="27" t="s">
        <v>263</v>
      </c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</row>
    <row r="167" spans="2:33" ht="15" customHeight="1" x14ac:dyDescent="0.35">
      <c r="B167" s="27" t="s">
        <v>264</v>
      </c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</row>
    <row r="168" spans="2:33" ht="15" customHeight="1" x14ac:dyDescent="0.35">
      <c r="B168" s="27" t="s">
        <v>265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</row>
    <row r="169" spans="2:33" ht="15" customHeight="1" x14ac:dyDescent="0.35">
      <c r="B169" s="27" t="s">
        <v>266</v>
      </c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</row>
    <row r="170" spans="2:33" ht="15" customHeight="1" x14ac:dyDescent="0.35">
      <c r="B170" s="27" t="s">
        <v>267</v>
      </c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</row>
    <row r="171" spans="2:33" ht="15" customHeight="1" x14ac:dyDescent="0.35">
      <c r="B171" s="27" t="s">
        <v>268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</row>
    <row r="172" spans="2:33" ht="15" customHeight="1" x14ac:dyDescent="0.35"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</row>
    <row r="173" spans="2:33" ht="15" customHeight="1" x14ac:dyDescent="0.35"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</row>
    <row r="174" spans="2:33" ht="15" customHeight="1" x14ac:dyDescent="0.35"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</row>
    <row r="175" spans="2:33" ht="15" customHeight="1" x14ac:dyDescent="0.35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</row>
    <row r="176" spans="2:33" ht="15" customHeight="1" x14ac:dyDescent="0.35"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</row>
    <row r="177" spans="2:33" ht="15" customHeight="1" x14ac:dyDescent="0.35"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</row>
    <row r="178" spans="2:33" ht="15" customHeight="1" x14ac:dyDescent="0.35"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</row>
    <row r="179" spans="2:33" ht="15" customHeight="1" x14ac:dyDescent="0.35"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</row>
    <row r="180" spans="2:33" ht="15" customHeight="1" x14ac:dyDescent="0.35"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</row>
    <row r="181" spans="2:33" ht="15" customHeight="1" x14ac:dyDescent="0.35"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</row>
    <row r="182" spans="2:33" ht="15" customHeight="1" x14ac:dyDescent="0.35"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</row>
    <row r="183" spans="2:33" ht="15" customHeight="1" x14ac:dyDescent="0.35"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</row>
    <row r="184" spans="2:33" ht="15" customHeight="1" x14ac:dyDescent="0.35"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</row>
    <row r="185" spans="2:33" ht="15" customHeight="1" x14ac:dyDescent="0.35"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</row>
    <row r="186" spans="2:33" ht="15" customHeight="1" x14ac:dyDescent="0.35"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</row>
    <row r="187" spans="2:33" ht="15" customHeight="1" x14ac:dyDescent="0.35"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</row>
    <row r="188" spans="2:33" ht="15" customHeight="1" x14ac:dyDescent="0.35"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</row>
    <row r="189" spans="2:33" ht="15" customHeight="1" x14ac:dyDescent="0.35"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</row>
    <row r="190" spans="2:33" ht="15" customHeight="1" x14ac:dyDescent="0.35"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</row>
    <row r="191" spans="2:33" ht="15" customHeight="1" x14ac:dyDescent="0.35"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</row>
    <row r="192" spans="2:33" ht="15" customHeight="1" x14ac:dyDescent="0.35"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</row>
    <row r="193" spans="2:33" ht="15" customHeight="1" x14ac:dyDescent="0.35"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</row>
    <row r="194" spans="2:33" ht="15" customHeight="1" x14ac:dyDescent="0.35"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</row>
    <row r="195" spans="2:33" ht="15" customHeight="1" x14ac:dyDescent="0.35"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</row>
    <row r="196" spans="2:33" ht="15" customHeight="1" x14ac:dyDescent="0.35"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</row>
    <row r="197" spans="2:33" ht="15" customHeight="1" x14ac:dyDescent="0.35"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</row>
    <row r="198" spans="2:33" ht="15" customHeight="1" x14ac:dyDescent="0.35"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</row>
    <row r="199" spans="2:33" ht="15" customHeight="1" x14ac:dyDescent="0.35"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</row>
    <row r="200" spans="2:33" ht="15" customHeight="1" x14ac:dyDescent="0.35"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</row>
    <row r="201" spans="2:33" ht="15" customHeight="1" x14ac:dyDescent="0.35"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</row>
    <row r="202" spans="2:33" ht="15" customHeight="1" x14ac:dyDescent="0.35"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</row>
    <row r="203" spans="2:33" ht="15" customHeight="1" x14ac:dyDescent="0.35"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</row>
    <row r="204" spans="2:33" ht="15" customHeight="1" x14ac:dyDescent="0.35"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</row>
    <row r="205" spans="2:33" ht="15" customHeight="1" x14ac:dyDescent="0.35"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</row>
    <row r="206" spans="2:33" ht="15" customHeight="1" x14ac:dyDescent="0.35"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</row>
    <row r="207" spans="2:33" ht="15" customHeight="1" x14ac:dyDescent="0.35"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</row>
    <row r="208" spans="2:33" ht="15" customHeight="1" x14ac:dyDescent="0.35"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</row>
    <row r="307" spans="2:32" ht="15" customHeight="1" x14ac:dyDescent="0.35"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</row>
    <row r="510" spans="2:32" ht="15" customHeight="1" x14ac:dyDescent="0.35"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  <c r="AA510" s="71"/>
      <c r="AB510" s="71"/>
      <c r="AC510" s="71"/>
      <c r="AD510" s="71"/>
      <c r="AE510" s="71"/>
      <c r="AF510" s="71"/>
    </row>
    <row r="711" spans="2:32" ht="15" customHeight="1" x14ac:dyDescent="0.35"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  <c r="AA711" s="71"/>
      <c r="AB711" s="71"/>
      <c r="AC711" s="71"/>
      <c r="AD711" s="71"/>
      <c r="AE711" s="71"/>
      <c r="AF711" s="71"/>
    </row>
    <row r="886" spans="2:32" ht="15" customHeight="1" x14ac:dyDescent="0.35"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  <c r="AA886" s="71"/>
      <c r="AB886" s="71"/>
      <c r="AC886" s="71"/>
      <c r="AD886" s="71"/>
      <c r="AE886" s="71"/>
      <c r="AF886" s="71"/>
    </row>
    <row r="1100" spans="2:32" ht="15" customHeight="1" x14ac:dyDescent="0.35">
      <c r="B1100" s="71"/>
      <c r="C1100" s="71"/>
      <c r="D1100" s="71"/>
      <c r="E1100" s="71"/>
      <c r="F1100" s="71"/>
      <c r="G1100" s="71"/>
      <c r="H1100" s="71"/>
      <c r="I1100" s="71"/>
      <c r="J1100" s="71"/>
      <c r="K1100" s="71"/>
      <c r="L1100" s="71"/>
      <c r="M1100" s="71"/>
      <c r="N1100" s="71"/>
      <c r="O1100" s="71"/>
      <c r="P1100" s="71"/>
      <c r="Q1100" s="71"/>
      <c r="R1100" s="71"/>
      <c r="S1100" s="71"/>
      <c r="T1100" s="71"/>
      <c r="U1100" s="71"/>
      <c r="V1100" s="71"/>
      <c r="W1100" s="71"/>
      <c r="X1100" s="71"/>
      <c r="Y1100" s="71"/>
      <c r="Z1100" s="71"/>
      <c r="AA1100" s="71"/>
      <c r="AB1100" s="71"/>
      <c r="AC1100" s="71"/>
      <c r="AD1100" s="71"/>
      <c r="AE1100" s="71"/>
      <c r="AF1100" s="71"/>
    </row>
    <row r="1228" spans="2:32" ht="15" customHeight="1" x14ac:dyDescent="0.35">
      <c r="B1228" s="71"/>
      <c r="C1228" s="71"/>
      <c r="D1228" s="71"/>
      <c r="E1228" s="71"/>
      <c r="F1228" s="71"/>
      <c r="G1228" s="71"/>
      <c r="H1228" s="71"/>
      <c r="I1228" s="71"/>
      <c r="J1228" s="71"/>
      <c r="K1228" s="71"/>
      <c r="L1228" s="71"/>
      <c r="M1228" s="71"/>
      <c r="N1228" s="71"/>
      <c r="O1228" s="71"/>
      <c r="P1228" s="71"/>
      <c r="Q1228" s="71"/>
      <c r="R1228" s="71"/>
      <c r="S1228" s="71"/>
      <c r="T1228" s="71"/>
      <c r="U1228" s="71"/>
      <c r="V1228" s="71"/>
      <c r="W1228" s="71"/>
      <c r="X1228" s="71"/>
      <c r="Y1228" s="71"/>
      <c r="Z1228" s="71"/>
      <c r="AA1228" s="71"/>
      <c r="AB1228" s="71"/>
      <c r="AC1228" s="71"/>
      <c r="AD1228" s="71"/>
      <c r="AE1228" s="71"/>
      <c r="AF1228" s="71"/>
    </row>
    <row r="1389" spans="2:32" ht="15" customHeight="1" x14ac:dyDescent="0.35">
      <c r="B1389" s="71"/>
      <c r="C1389" s="71"/>
      <c r="D1389" s="71"/>
      <c r="E1389" s="71"/>
      <c r="F1389" s="71"/>
      <c r="G1389" s="71"/>
      <c r="H1389" s="71"/>
      <c r="I1389" s="71"/>
      <c r="J1389" s="71"/>
      <c r="K1389" s="71"/>
      <c r="L1389" s="71"/>
      <c r="M1389" s="71"/>
      <c r="N1389" s="71"/>
      <c r="O1389" s="71"/>
      <c r="P1389" s="71"/>
      <c r="Q1389" s="71"/>
      <c r="R1389" s="71"/>
      <c r="S1389" s="71"/>
      <c r="T1389" s="71"/>
      <c r="U1389" s="71"/>
      <c r="V1389" s="71"/>
      <c r="W1389" s="71"/>
      <c r="X1389" s="71"/>
      <c r="Y1389" s="71"/>
      <c r="Z1389" s="71"/>
      <c r="AA1389" s="71"/>
      <c r="AB1389" s="71"/>
      <c r="AC1389" s="71"/>
      <c r="AD1389" s="71"/>
      <c r="AE1389" s="71"/>
      <c r="AF1389" s="71"/>
    </row>
    <row r="1501" spans="2:32" ht="15" customHeight="1" x14ac:dyDescent="0.35">
      <c r="B1501" s="71"/>
      <c r="C1501" s="71"/>
      <c r="D1501" s="71"/>
      <c r="E1501" s="71"/>
      <c r="F1501" s="71"/>
      <c r="G1501" s="71"/>
      <c r="H1501" s="71"/>
      <c r="I1501" s="71"/>
      <c r="J1501" s="71"/>
      <c r="K1501" s="71"/>
      <c r="L1501" s="71"/>
      <c r="M1501" s="71"/>
      <c r="N1501" s="71"/>
      <c r="O1501" s="71"/>
      <c r="P1501" s="71"/>
      <c r="Q1501" s="71"/>
      <c r="R1501" s="71"/>
      <c r="S1501" s="71"/>
      <c r="T1501" s="71"/>
      <c r="U1501" s="71"/>
      <c r="V1501" s="71"/>
      <c r="W1501" s="71"/>
      <c r="X1501" s="71"/>
      <c r="Y1501" s="71"/>
      <c r="Z1501" s="71"/>
      <c r="AA1501" s="71"/>
      <c r="AB1501" s="71"/>
      <c r="AC1501" s="71"/>
      <c r="AD1501" s="71"/>
      <c r="AE1501" s="71"/>
      <c r="AF1501" s="71"/>
    </row>
    <row r="1603" spans="2:32" ht="15" customHeight="1" x14ac:dyDescent="0.35">
      <c r="B1603" s="71"/>
      <c r="C1603" s="71"/>
      <c r="D1603" s="71"/>
      <c r="E1603" s="71"/>
      <c r="F1603" s="71"/>
      <c r="G1603" s="71"/>
      <c r="H1603" s="71"/>
      <c r="I1603" s="71"/>
      <c r="J1603" s="71"/>
      <c r="K1603" s="71"/>
      <c r="L1603" s="71"/>
      <c r="M1603" s="71"/>
      <c r="N1603" s="71"/>
      <c r="O1603" s="71"/>
      <c r="P1603" s="71"/>
      <c r="Q1603" s="71"/>
      <c r="R1603" s="71"/>
      <c r="S1603" s="71"/>
      <c r="T1603" s="71"/>
      <c r="U1603" s="71"/>
      <c r="V1603" s="71"/>
      <c r="W1603" s="71"/>
      <c r="X1603" s="71"/>
      <c r="Y1603" s="71"/>
      <c r="Z1603" s="71"/>
      <c r="AA1603" s="71"/>
      <c r="AB1603" s="71"/>
      <c r="AC1603" s="71"/>
      <c r="AD1603" s="71"/>
      <c r="AE1603" s="71"/>
      <c r="AF1603" s="71"/>
    </row>
    <row r="1698" spans="2:32" ht="15" customHeight="1" x14ac:dyDescent="0.35">
      <c r="B1698" s="71"/>
      <c r="C1698" s="71"/>
      <c r="D1698" s="71"/>
      <c r="E1698" s="71"/>
      <c r="F1698" s="71"/>
      <c r="G1698" s="71"/>
      <c r="H1698" s="71"/>
      <c r="I1698" s="71"/>
      <c r="J1698" s="71"/>
      <c r="K1698" s="71"/>
      <c r="L1698" s="71"/>
      <c r="M1698" s="71"/>
      <c r="N1698" s="71"/>
      <c r="O1698" s="71"/>
      <c r="P1698" s="71"/>
      <c r="Q1698" s="71"/>
      <c r="R1698" s="71"/>
      <c r="S1698" s="71"/>
      <c r="T1698" s="71"/>
      <c r="U1698" s="71"/>
      <c r="V1698" s="71"/>
      <c r="W1698" s="71"/>
      <c r="X1698" s="71"/>
      <c r="Y1698" s="71"/>
      <c r="Z1698" s="71"/>
      <c r="AA1698" s="71"/>
      <c r="AB1698" s="71"/>
      <c r="AC1698" s="71"/>
      <c r="AD1698" s="71"/>
      <c r="AE1698" s="71"/>
      <c r="AF1698" s="71"/>
    </row>
    <row r="1944" spans="2:32" ht="15" customHeight="1" x14ac:dyDescent="0.35">
      <c r="B1944" s="71"/>
      <c r="C1944" s="71"/>
      <c r="D1944" s="71"/>
      <c r="E1944" s="71"/>
      <c r="F1944" s="71"/>
      <c r="G1944" s="71"/>
      <c r="H1944" s="71"/>
      <c r="I1944" s="71"/>
      <c r="J1944" s="71"/>
      <c r="K1944" s="71"/>
      <c r="L1944" s="71"/>
      <c r="M1944" s="71"/>
      <c r="N1944" s="71"/>
      <c r="O1944" s="71"/>
      <c r="P1944" s="71"/>
      <c r="Q1944" s="71"/>
      <c r="R1944" s="71"/>
      <c r="S1944" s="71"/>
      <c r="T1944" s="71"/>
      <c r="U1944" s="71"/>
      <c r="V1944" s="71"/>
      <c r="W1944" s="71"/>
      <c r="X1944" s="71"/>
      <c r="Y1944" s="71"/>
      <c r="Z1944" s="71"/>
      <c r="AA1944" s="71"/>
      <c r="AB1944" s="71"/>
      <c r="AC1944" s="71"/>
      <c r="AD1944" s="71"/>
      <c r="AE1944" s="71"/>
      <c r="AF1944" s="71"/>
    </row>
    <row r="2030" spans="2:32" ht="15" customHeight="1" x14ac:dyDescent="0.35">
      <c r="B2030" s="71"/>
      <c r="C2030" s="71"/>
      <c r="D2030" s="71"/>
      <c r="E2030" s="71"/>
      <c r="F2030" s="71"/>
      <c r="G2030" s="71"/>
      <c r="H2030" s="71"/>
      <c r="I2030" s="71"/>
      <c r="J2030" s="71"/>
      <c r="K2030" s="71"/>
      <c r="L2030" s="71"/>
      <c r="M2030" s="71"/>
      <c r="N2030" s="71"/>
      <c r="O2030" s="71"/>
      <c r="P2030" s="71"/>
      <c r="Q2030" s="71"/>
      <c r="R2030" s="71"/>
      <c r="S2030" s="71"/>
      <c r="T2030" s="71"/>
      <c r="U2030" s="71"/>
      <c r="V2030" s="71"/>
      <c r="W2030" s="71"/>
      <c r="X2030" s="71"/>
      <c r="Y2030" s="71"/>
      <c r="Z2030" s="71"/>
      <c r="AA2030" s="71"/>
      <c r="AB2030" s="71"/>
      <c r="AC2030" s="71"/>
      <c r="AD2030" s="71"/>
      <c r="AE2030" s="71"/>
      <c r="AF2030" s="71"/>
    </row>
    <row r="2152" spans="2:32" ht="15" customHeight="1" x14ac:dyDescent="0.35">
      <c r="B2152" s="71"/>
      <c r="C2152" s="71"/>
      <c r="D2152" s="71"/>
      <c r="E2152" s="71"/>
      <c r="F2152" s="71"/>
      <c r="G2152" s="71"/>
      <c r="H2152" s="71"/>
      <c r="I2152" s="71"/>
      <c r="J2152" s="71"/>
      <c r="K2152" s="71"/>
      <c r="L2152" s="71"/>
      <c r="M2152" s="71"/>
      <c r="N2152" s="71"/>
      <c r="O2152" s="71"/>
      <c r="P2152" s="71"/>
      <c r="Q2152" s="71"/>
      <c r="R2152" s="71"/>
      <c r="S2152" s="71"/>
      <c r="T2152" s="71"/>
      <c r="U2152" s="71"/>
      <c r="V2152" s="71"/>
      <c r="W2152" s="71"/>
      <c r="X2152" s="71"/>
      <c r="Y2152" s="71"/>
      <c r="Z2152" s="71"/>
      <c r="AA2152" s="71"/>
      <c r="AB2152" s="71"/>
      <c r="AC2152" s="71"/>
      <c r="AD2152" s="71"/>
      <c r="AE2152" s="71"/>
      <c r="AF2152" s="71"/>
    </row>
    <row r="2316" spans="2:32" ht="15" customHeight="1" x14ac:dyDescent="0.35">
      <c r="B2316" s="71"/>
      <c r="C2316" s="71"/>
      <c r="D2316" s="71"/>
      <c r="E2316" s="71"/>
      <c r="F2316" s="71"/>
      <c r="G2316" s="71"/>
      <c r="H2316" s="71"/>
      <c r="I2316" s="71"/>
      <c r="J2316" s="71"/>
      <c r="K2316" s="71"/>
      <c r="L2316" s="71"/>
      <c r="M2316" s="71"/>
      <c r="N2316" s="71"/>
      <c r="O2316" s="71"/>
      <c r="P2316" s="71"/>
      <c r="Q2316" s="71"/>
      <c r="R2316" s="71"/>
      <c r="S2316" s="71"/>
      <c r="T2316" s="71"/>
      <c r="U2316" s="71"/>
      <c r="V2316" s="71"/>
      <c r="W2316" s="71"/>
      <c r="X2316" s="71"/>
      <c r="Y2316" s="71"/>
      <c r="Z2316" s="71"/>
      <c r="AA2316" s="71"/>
      <c r="AB2316" s="71"/>
      <c r="AC2316" s="71"/>
      <c r="AD2316" s="71"/>
      <c r="AE2316" s="71"/>
      <c r="AF2316" s="71"/>
    </row>
    <row r="2418" spans="2:32" ht="15" customHeight="1" x14ac:dyDescent="0.35">
      <c r="B2418" s="71"/>
      <c r="C2418" s="71"/>
      <c r="D2418" s="71"/>
      <c r="E2418" s="71"/>
      <c r="F2418" s="71"/>
      <c r="G2418" s="71"/>
      <c r="H2418" s="71"/>
      <c r="I2418" s="71"/>
      <c r="J2418" s="71"/>
      <c r="K2418" s="71"/>
      <c r="L2418" s="71"/>
      <c r="M2418" s="71"/>
      <c r="N2418" s="71"/>
      <c r="O2418" s="71"/>
      <c r="P2418" s="71"/>
      <c r="Q2418" s="71"/>
      <c r="R2418" s="71"/>
      <c r="S2418" s="71"/>
      <c r="T2418" s="71"/>
      <c r="U2418" s="71"/>
      <c r="V2418" s="71"/>
      <c r="W2418" s="71"/>
      <c r="X2418" s="71"/>
      <c r="Y2418" s="71"/>
      <c r="Z2418" s="71"/>
      <c r="AA2418" s="71"/>
      <c r="AB2418" s="71"/>
      <c r="AC2418" s="71"/>
      <c r="AD2418" s="71"/>
      <c r="AE2418" s="71"/>
      <c r="AF2418" s="71"/>
    </row>
    <row r="2508" spans="2:32" ht="15" customHeight="1" x14ac:dyDescent="0.35">
      <c r="B2508" s="71"/>
      <c r="C2508" s="71"/>
      <c r="D2508" s="71"/>
      <c r="E2508" s="71"/>
      <c r="F2508" s="71"/>
      <c r="G2508" s="71"/>
      <c r="H2508" s="71"/>
      <c r="I2508" s="71"/>
      <c r="J2508" s="71"/>
      <c r="K2508" s="71"/>
      <c r="L2508" s="71"/>
      <c r="M2508" s="71"/>
      <c r="N2508" s="71"/>
      <c r="O2508" s="71"/>
      <c r="P2508" s="71"/>
      <c r="Q2508" s="71"/>
      <c r="R2508" s="71"/>
      <c r="S2508" s="71"/>
      <c r="T2508" s="71"/>
      <c r="U2508" s="71"/>
      <c r="V2508" s="71"/>
      <c r="W2508" s="71"/>
      <c r="X2508" s="71"/>
      <c r="Y2508" s="71"/>
      <c r="Z2508" s="71"/>
      <c r="AA2508" s="71"/>
      <c r="AB2508" s="71"/>
      <c r="AC2508" s="71"/>
      <c r="AD2508" s="71"/>
      <c r="AE2508" s="71"/>
      <c r="AF2508" s="71"/>
    </row>
    <row r="2597" spans="2:32" ht="15" customHeight="1" x14ac:dyDescent="0.35">
      <c r="B2597" s="71"/>
      <c r="C2597" s="71"/>
      <c r="D2597" s="71"/>
      <c r="E2597" s="71"/>
      <c r="F2597" s="71"/>
      <c r="G2597" s="71"/>
      <c r="H2597" s="71"/>
      <c r="I2597" s="71"/>
      <c r="J2597" s="71"/>
      <c r="K2597" s="71"/>
      <c r="L2597" s="71"/>
      <c r="M2597" s="71"/>
      <c r="N2597" s="71"/>
      <c r="O2597" s="71"/>
      <c r="P2597" s="71"/>
      <c r="Q2597" s="71"/>
      <c r="R2597" s="71"/>
      <c r="S2597" s="71"/>
      <c r="T2597" s="71"/>
      <c r="U2597" s="71"/>
      <c r="V2597" s="71"/>
      <c r="W2597" s="71"/>
      <c r="X2597" s="71"/>
      <c r="Y2597" s="71"/>
      <c r="Z2597" s="71"/>
      <c r="AA2597" s="71"/>
      <c r="AB2597" s="71"/>
      <c r="AC2597" s="71"/>
      <c r="AD2597" s="71"/>
      <c r="AE2597" s="71"/>
      <c r="AF2597" s="71"/>
    </row>
    <row r="2718" spans="2:32" ht="15" customHeight="1" x14ac:dyDescent="0.35">
      <c r="B2718" s="71"/>
      <c r="C2718" s="71"/>
      <c r="D2718" s="71"/>
      <c r="E2718" s="71"/>
      <c r="F2718" s="71"/>
      <c r="G2718" s="71"/>
      <c r="H2718" s="71"/>
      <c r="I2718" s="71"/>
      <c r="J2718" s="71"/>
      <c r="K2718" s="71"/>
      <c r="L2718" s="71"/>
      <c r="M2718" s="71"/>
      <c r="N2718" s="71"/>
      <c r="O2718" s="71"/>
      <c r="P2718" s="71"/>
      <c r="Q2718" s="71"/>
      <c r="R2718" s="71"/>
      <c r="S2718" s="71"/>
      <c r="T2718" s="71"/>
      <c r="U2718" s="71"/>
      <c r="V2718" s="71"/>
      <c r="W2718" s="71"/>
      <c r="X2718" s="71"/>
      <c r="Y2718" s="71"/>
      <c r="Z2718" s="71"/>
      <c r="AA2718" s="71"/>
      <c r="AB2718" s="71"/>
      <c r="AC2718" s="71"/>
      <c r="AD2718" s="71"/>
      <c r="AE2718" s="71"/>
      <c r="AF2718" s="71"/>
    </row>
    <row r="2836" spans="2:32" ht="15" customHeight="1" x14ac:dyDescent="0.35">
      <c r="B2836" s="71"/>
      <c r="C2836" s="71"/>
      <c r="D2836" s="71"/>
      <c r="E2836" s="71"/>
      <c r="F2836" s="71"/>
      <c r="G2836" s="71"/>
      <c r="H2836" s="71"/>
      <c r="I2836" s="71"/>
      <c r="J2836" s="71"/>
      <c r="K2836" s="71"/>
      <c r="L2836" s="71"/>
      <c r="M2836" s="71"/>
      <c r="N2836" s="71"/>
      <c r="O2836" s="71"/>
      <c r="P2836" s="71"/>
      <c r="Q2836" s="71"/>
      <c r="R2836" s="71"/>
      <c r="S2836" s="71"/>
      <c r="T2836" s="71"/>
      <c r="U2836" s="71"/>
      <c r="V2836" s="71"/>
      <c r="W2836" s="71"/>
      <c r="X2836" s="71"/>
      <c r="Y2836" s="71"/>
      <c r="Z2836" s="71"/>
      <c r="AA2836" s="71"/>
      <c r="AB2836" s="71"/>
      <c r="AC2836" s="71"/>
      <c r="AD2836" s="71"/>
      <c r="AE2836" s="71"/>
      <c r="AF2836" s="71"/>
    </row>
  </sheetData>
  <mergeCells count="19">
    <mergeCell ref="B2836:AF2836"/>
    <mergeCell ref="B1944:AF1944"/>
    <mergeCell ref="B1698:AF1698"/>
    <mergeCell ref="B2152:AF2152"/>
    <mergeCell ref="B2508:AF2508"/>
    <mergeCell ref="B307:AF307"/>
    <mergeCell ref="B711:AF711"/>
    <mergeCell ref="B2718:AF2718"/>
    <mergeCell ref="B2316:AF2316"/>
    <mergeCell ref="B1603:AF1603"/>
    <mergeCell ref="B2030:AF2030"/>
    <mergeCell ref="B1501:AF1501"/>
    <mergeCell ref="B2418:AF2418"/>
    <mergeCell ref="B1100:AF1100"/>
    <mergeCell ref="B2597:AF2597"/>
    <mergeCell ref="B1389:AF1389"/>
    <mergeCell ref="B510:AF510"/>
    <mergeCell ref="B1228:AF1228"/>
    <mergeCell ref="B886:AF886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2837"/>
  <sheetViews>
    <sheetView workbookViewId="0">
      <pane xSplit="2" ySplit="1" topLeftCell="C126" activePane="bottomRight" state="frozen"/>
      <selection pane="topRight" activeCell="C1" sqref="C1"/>
      <selection pane="bottomLeft" activeCell="A2" sqref="A2"/>
      <selection pane="bottomRight" activeCell="B140" sqref="B140"/>
    </sheetView>
  </sheetViews>
  <sheetFormatPr defaultColWidth="8.73046875" defaultRowHeight="15" customHeight="1" x14ac:dyDescent="0.35"/>
  <cols>
    <col min="1" max="1" width="15.73046875" style="6" customWidth="1"/>
    <col min="2" max="2" width="46.73046875" style="6" customWidth="1"/>
    <col min="3" max="33" width="8.73046875" style="6" customWidth="1"/>
    <col min="34" max="34" width="8.73046875" style="6" bestFit="1" customWidth="1"/>
    <col min="35" max="35" width="8.73046875" style="6" customWidth="1"/>
    <col min="36" max="16384" width="8.73046875" style="6"/>
  </cols>
  <sheetData>
    <row r="1" spans="1:34" ht="15" customHeight="1" thickBot="1" x14ac:dyDescent="0.4">
      <c r="B1" s="49" t="s">
        <v>43</v>
      </c>
      <c r="C1" s="50">
        <v>2022</v>
      </c>
      <c r="D1" s="50">
        <v>2023</v>
      </c>
      <c r="E1" s="50">
        <v>2024</v>
      </c>
      <c r="F1" s="50">
        <v>2025</v>
      </c>
      <c r="G1" s="50">
        <v>2026</v>
      </c>
      <c r="H1" s="50">
        <v>2027</v>
      </c>
      <c r="I1" s="50">
        <v>2028</v>
      </c>
      <c r="J1" s="50">
        <v>2029</v>
      </c>
      <c r="K1" s="50">
        <v>2030</v>
      </c>
      <c r="L1" s="50">
        <v>2031</v>
      </c>
      <c r="M1" s="50">
        <v>2032</v>
      </c>
      <c r="N1" s="50">
        <v>2033</v>
      </c>
      <c r="O1" s="50">
        <v>2034</v>
      </c>
      <c r="P1" s="50">
        <v>2035</v>
      </c>
      <c r="Q1" s="50">
        <v>2036</v>
      </c>
      <c r="R1" s="50">
        <v>2037</v>
      </c>
      <c r="S1" s="50">
        <v>2038</v>
      </c>
      <c r="T1" s="50">
        <v>2039</v>
      </c>
      <c r="U1" s="50">
        <v>2040</v>
      </c>
      <c r="V1" s="50">
        <v>2041</v>
      </c>
      <c r="W1" s="50">
        <v>2042</v>
      </c>
      <c r="X1" s="50">
        <v>2043</v>
      </c>
      <c r="Y1" s="50">
        <v>2044</v>
      </c>
      <c r="Z1" s="50">
        <v>2045</v>
      </c>
      <c r="AA1" s="50">
        <v>2046</v>
      </c>
      <c r="AB1" s="50">
        <v>2047</v>
      </c>
      <c r="AC1" s="50">
        <v>2048</v>
      </c>
      <c r="AD1" s="50">
        <v>2049</v>
      </c>
      <c r="AE1" s="50">
        <v>2050</v>
      </c>
    </row>
    <row r="2" spans="1:34" ht="15" customHeight="1" thickTop="1" x14ac:dyDescent="0.35"/>
    <row r="3" spans="1:34" ht="15" customHeight="1" x14ac:dyDescent="0.4">
      <c r="C3" s="44" t="s">
        <v>44</v>
      </c>
      <c r="D3" s="44" t="s">
        <v>45</v>
      </c>
      <c r="E3" s="28"/>
      <c r="F3" s="28"/>
      <c r="G3" s="28"/>
    </row>
    <row r="4" spans="1:34" ht="15" customHeight="1" x14ac:dyDescent="0.4">
      <c r="C4" s="44" t="s">
        <v>46</v>
      </c>
      <c r="D4" s="44" t="s">
        <v>47</v>
      </c>
      <c r="E4" s="28"/>
      <c r="F4" s="28"/>
      <c r="G4" s="44" t="s">
        <v>48</v>
      </c>
    </row>
    <row r="5" spans="1:34" ht="15" customHeight="1" x14ac:dyDescent="0.4">
      <c r="C5" s="44" t="s">
        <v>49</v>
      </c>
      <c r="D5" s="44" t="s">
        <v>50</v>
      </c>
      <c r="E5" s="28"/>
      <c r="F5" s="28"/>
      <c r="G5" s="28"/>
    </row>
    <row r="6" spans="1:34" ht="15" customHeight="1" x14ac:dyDescent="0.4">
      <c r="C6" s="44" t="s">
        <v>51</v>
      </c>
      <c r="D6" s="28"/>
      <c r="E6" s="44" t="s">
        <v>52</v>
      </c>
      <c r="F6" s="28"/>
      <c r="G6" s="28"/>
    </row>
    <row r="9" spans="1:34" ht="15" customHeight="1" x14ac:dyDescent="0.35"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ht="15" customHeight="1" x14ac:dyDescent="0.5">
      <c r="A10" s="26" t="s">
        <v>269</v>
      </c>
      <c r="B10" s="51" t="s">
        <v>270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30" t="s">
        <v>55</v>
      </c>
      <c r="AG10" s="27"/>
      <c r="AH10" s="22"/>
    </row>
    <row r="11" spans="1:34" ht="15" customHeight="1" x14ac:dyDescent="0.35">
      <c r="B11" s="52" t="s">
        <v>56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30" t="s">
        <v>57</v>
      </c>
      <c r="AG11" s="27"/>
      <c r="AH11" s="22"/>
    </row>
    <row r="12" spans="1:34" ht="15" customHeight="1" x14ac:dyDescent="0.35">
      <c r="B12" s="5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0" t="s">
        <v>58</v>
      </c>
      <c r="AG12" s="27"/>
      <c r="AH12" s="22"/>
    </row>
    <row r="13" spans="1:34" ht="15" customHeight="1" thickBot="1" x14ac:dyDescent="0.4">
      <c r="B13" s="53" t="s">
        <v>59</v>
      </c>
      <c r="C13" s="53">
        <v>2022</v>
      </c>
      <c r="D13" s="53">
        <v>2023</v>
      </c>
      <c r="E13" s="53">
        <v>2024</v>
      </c>
      <c r="F13" s="53">
        <v>2025</v>
      </c>
      <c r="G13" s="53">
        <v>2026</v>
      </c>
      <c r="H13" s="53">
        <v>2027</v>
      </c>
      <c r="I13" s="53">
        <v>2028</v>
      </c>
      <c r="J13" s="53">
        <v>2029</v>
      </c>
      <c r="K13" s="53">
        <v>2030</v>
      </c>
      <c r="L13" s="53">
        <v>2031</v>
      </c>
      <c r="M13" s="53">
        <v>2032</v>
      </c>
      <c r="N13" s="53">
        <v>2033</v>
      </c>
      <c r="O13" s="53">
        <v>2034</v>
      </c>
      <c r="P13" s="53">
        <v>2035</v>
      </c>
      <c r="Q13" s="53">
        <v>2036</v>
      </c>
      <c r="R13" s="53">
        <v>2037</v>
      </c>
      <c r="S13" s="53">
        <v>2038</v>
      </c>
      <c r="T13" s="53">
        <v>2039</v>
      </c>
      <c r="U13" s="53">
        <v>2040</v>
      </c>
      <c r="V13" s="53">
        <v>2041</v>
      </c>
      <c r="W13" s="53">
        <v>2042</v>
      </c>
      <c r="X13" s="53">
        <v>2043</v>
      </c>
      <c r="Y13" s="53">
        <v>2044</v>
      </c>
      <c r="Z13" s="53">
        <v>2045</v>
      </c>
      <c r="AA13" s="53">
        <v>2046</v>
      </c>
      <c r="AB13" s="53">
        <v>2047</v>
      </c>
      <c r="AC13" s="53">
        <v>2048</v>
      </c>
      <c r="AD13" s="53">
        <v>2049</v>
      </c>
      <c r="AE13" s="53">
        <v>2050</v>
      </c>
      <c r="AF13" s="54" t="s">
        <v>60</v>
      </c>
      <c r="AG13" s="27"/>
      <c r="AH13" s="21"/>
    </row>
    <row r="14" spans="1:34" ht="15" customHeight="1" thickTop="1" x14ac:dyDescent="0.35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</row>
    <row r="15" spans="1:34" ht="15" customHeight="1" x14ac:dyDescent="0.35">
      <c r="B15" s="55" t="s">
        <v>61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</row>
    <row r="16" spans="1:34" ht="15" customHeight="1" x14ac:dyDescent="0.35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</row>
    <row r="17" spans="1:34" ht="15" customHeight="1" x14ac:dyDescent="0.35">
      <c r="B17" s="55" t="s">
        <v>271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</row>
    <row r="18" spans="1:34" ht="15" customHeight="1" x14ac:dyDescent="0.45">
      <c r="A18" s="26" t="s">
        <v>272</v>
      </c>
      <c r="B18" s="56" t="s">
        <v>273</v>
      </c>
      <c r="C18" s="62">
        <v>93.44426</v>
      </c>
      <c r="D18" s="62">
        <v>94.366943000000006</v>
      </c>
      <c r="E18" s="62">
        <v>95.261948000000004</v>
      </c>
      <c r="F18" s="62">
        <v>96.233695999999995</v>
      </c>
      <c r="G18" s="62">
        <v>97.372681</v>
      </c>
      <c r="H18" s="62">
        <v>98.426238999999995</v>
      </c>
      <c r="I18" s="62">
        <v>99.435837000000006</v>
      </c>
      <c r="J18" s="62">
        <v>100.540588</v>
      </c>
      <c r="K18" s="62">
        <v>101.747238</v>
      </c>
      <c r="L18" s="62">
        <v>103.031937</v>
      </c>
      <c r="M18" s="62">
        <v>104.36438800000001</v>
      </c>
      <c r="N18" s="62">
        <v>105.67115800000001</v>
      </c>
      <c r="O18" s="62">
        <v>106.90464</v>
      </c>
      <c r="P18" s="62">
        <v>108.064949</v>
      </c>
      <c r="Q18" s="62">
        <v>109.148827</v>
      </c>
      <c r="R18" s="62">
        <v>110.16222399999999</v>
      </c>
      <c r="S18" s="62">
        <v>111.118996</v>
      </c>
      <c r="T18" s="62">
        <v>112.02248400000001</v>
      </c>
      <c r="U18" s="62">
        <v>112.878952</v>
      </c>
      <c r="V18" s="62">
        <v>113.69973</v>
      </c>
      <c r="W18" s="62">
        <v>114.495079</v>
      </c>
      <c r="X18" s="62">
        <v>115.27697000000001</v>
      </c>
      <c r="Y18" s="62">
        <v>116.05735</v>
      </c>
      <c r="Z18" s="62">
        <v>116.844925</v>
      </c>
      <c r="AA18" s="62">
        <v>117.64614899999999</v>
      </c>
      <c r="AB18" s="62">
        <v>118.46553</v>
      </c>
      <c r="AC18" s="62">
        <v>119.305115</v>
      </c>
      <c r="AD18" s="62">
        <v>120.165375</v>
      </c>
      <c r="AE18" s="62">
        <v>121.045486</v>
      </c>
      <c r="AF18" s="58">
        <v>9.2860000000000009E-3</v>
      </c>
      <c r="AG18" s="27"/>
      <c r="AH18" s="20"/>
    </row>
    <row r="19" spans="1:34" ht="15" customHeight="1" x14ac:dyDescent="0.45">
      <c r="A19" s="26" t="s">
        <v>274</v>
      </c>
      <c r="B19" s="56" t="s">
        <v>275</v>
      </c>
      <c r="C19" s="62">
        <v>2.0272770000000002</v>
      </c>
      <c r="D19" s="62">
        <v>2.0085120000000001</v>
      </c>
      <c r="E19" s="62">
        <v>2.0945999999999998</v>
      </c>
      <c r="F19" s="62">
        <v>2.2721680000000002</v>
      </c>
      <c r="G19" s="62">
        <v>2.1971470000000002</v>
      </c>
      <c r="H19" s="62">
        <v>2.1634509999999998</v>
      </c>
      <c r="I19" s="62">
        <v>2.269371</v>
      </c>
      <c r="J19" s="62">
        <v>2.382768</v>
      </c>
      <c r="K19" s="62">
        <v>2.473055</v>
      </c>
      <c r="L19" s="62">
        <v>2.5336780000000001</v>
      </c>
      <c r="M19" s="62">
        <v>2.5211169999999998</v>
      </c>
      <c r="N19" s="62">
        <v>2.4608279999999998</v>
      </c>
      <c r="O19" s="62">
        <v>2.4002910000000002</v>
      </c>
      <c r="P19" s="62">
        <v>2.3361079999999999</v>
      </c>
      <c r="Q19" s="62">
        <v>2.2773340000000002</v>
      </c>
      <c r="R19" s="62">
        <v>2.2319089999999999</v>
      </c>
      <c r="S19" s="62">
        <v>2.1893440000000002</v>
      </c>
      <c r="T19" s="62">
        <v>2.1525660000000002</v>
      </c>
      <c r="U19" s="62">
        <v>2.1266379999999998</v>
      </c>
      <c r="V19" s="62">
        <v>2.1106319999999998</v>
      </c>
      <c r="W19" s="62">
        <v>2.106252</v>
      </c>
      <c r="X19" s="62">
        <v>2.1136330000000001</v>
      </c>
      <c r="Y19" s="62">
        <v>2.129588</v>
      </c>
      <c r="Z19" s="62">
        <v>2.1519349999999999</v>
      </c>
      <c r="AA19" s="62">
        <v>2.1788129999999999</v>
      </c>
      <c r="AB19" s="62">
        <v>2.2077830000000001</v>
      </c>
      <c r="AC19" s="62">
        <v>2.2373090000000002</v>
      </c>
      <c r="AD19" s="62">
        <v>2.2661419999999999</v>
      </c>
      <c r="AE19" s="62">
        <v>2.2929360000000001</v>
      </c>
      <c r="AF19" s="58">
        <v>4.4079999999999996E-3</v>
      </c>
      <c r="AG19" s="27"/>
      <c r="AH19" s="20"/>
    </row>
    <row r="20" spans="1:34" ht="15" customHeight="1" x14ac:dyDescent="0.35">
      <c r="A20" s="26" t="s">
        <v>276</v>
      </c>
      <c r="B20" s="55" t="s">
        <v>70</v>
      </c>
      <c r="C20" s="64">
        <v>95.471535000000003</v>
      </c>
      <c r="D20" s="64">
        <v>96.375457999999995</v>
      </c>
      <c r="E20" s="64">
        <v>97.356544</v>
      </c>
      <c r="F20" s="64">
        <v>98.505866999999995</v>
      </c>
      <c r="G20" s="64">
        <v>99.569823999999997</v>
      </c>
      <c r="H20" s="64">
        <v>100.589691</v>
      </c>
      <c r="I20" s="64">
        <v>101.705208</v>
      </c>
      <c r="J20" s="64">
        <v>102.923355</v>
      </c>
      <c r="K20" s="64">
        <v>104.220291</v>
      </c>
      <c r="L20" s="64">
        <v>105.565613</v>
      </c>
      <c r="M20" s="64">
        <v>106.88550600000001</v>
      </c>
      <c r="N20" s="64">
        <v>108.131989</v>
      </c>
      <c r="O20" s="64">
        <v>109.30493199999999</v>
      </c>
      <c r="P20" s="64">
        <v>110.401054</v>
      </c>
      <c r="Q20" s="64">
        <v>111.426163</v>
      </c>
      <c r="R20" s="64">
        <v>112.39413500000001</v>
      </c>
      <c r="S20" s="64">
        <v>113.308342</v>
      </c>
      <c r="T20" s="64">
        <v>114.175049</v>
      </c>
      <c r="U20" s="64">
        <v>115.00559199999999</v>
      </c>
      <c r="V20" s="64">
        <v>115.81036400000001</v>
      </c>
      <c r="W20" s="64">
        <v>116.60133399999999</v>
      </c>
      <c r="X20" s="64">
        <v>117.390602</v>
      </c>
      <c r="Y20" s="64">
        <v>118.18693500000001</v>
      </c>
      <c r="Z20" s="64">
        <v>118.99685700000001</v>
      </c>
      <c r="AA20" s="64">
        <v>119.82495900000001</v>
      </c>
      <c r="AB20" s="64">
        <v>120.673317</v>
      </c>
      <c r="AC20" s="64">
        <v>121.542419</v>
      </c>
      <c r="AD20" s="64">
        <v>122.43151899999999</v>
      </c>
      <c r="AE20" s="64">
        <v>123.338425</v>
      </c>
      <c r="AF20" s="60">
        <v>9.1889999999999993E-3</v>
      </c>
      <c r="AG20" s="27"/>
      <c r="AH20" s="19"/>
    </row>
    <row r="21" spans="1:34" ht="15" customHeight="1" x14ac:dyDescent="0.35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</row>
    <row r="22" spans="1:34" ht="15" customHeight="1" x14ac:dyDescent="0.35">
      <c r="B22" s="55" t="s">
        <v>277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</row>
    <row r="23" spans="1:34" ht="15" customHeight="1" x14ac:dyDescent="0.35">
      <c r="B23" s="55" t="s">
        <v>79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</row>
    <row r="24" spans="1:34" ht="15" customHeight="1" x14ac:dyDescent="0.45">
      <c r="A24" s="26" t="s">
        <v>278</v>
      </c>
      <c r="B24" s="56" t="s">
        <v>76</v>
      </c>
      <c r="C24" s="62">
        <v>97.783371000000002</v>
      </c>
      <c r="D24" s="62">
        <v>96.373679999999993</v>
      </c>
      <c r="E24" s="62">
        <v>94.586517000000001</v>
      </c>
      <c r="F24" s="62">
        <v>93.941353000000007</v>
      </c>
      <c r="G24" s="62">
        <v>93.461242999999996</v>
      </c>
      <c r="H24" s="62">
        <v>92.806595000000002</v>
      </c>
      <c r="I24" s="62">
        <v>92.461997999999994</v>
      </c>
      <c r="J24" s="62">
        <v>91.902512000000002</v>
      </c>
      <c r="K24" s="62">
        <v>91.177718999999996</v>
      </c>
      <c r="L24" s="62">
        <v>90.426102</v>
      </c>
      <c r="M24" s="62">
        <v>89.704482999999996</v>
      </c>
      <c r="N24" s="62">
        <v>88.942779999999999</v>
      </c>
      <c r="O24" s="62">
        <v>88.203415000000007</v>
      </c>
      <c r="P24" s="62">
        <v>87.533478000000002</v>
      </c>
      <c r="Q24" s="62">
        <v>86.942824999999999</v>
      </c>
      <c r="R24" s="62">
        <v>86.362342999999996</v>
      </c>
      <c r="S24" s="62">
        <v>85.767792</v>
      </c>
      <c r="T24" s="62">
        <v>85.219443999999996</v>
      </c>
      <c r="U24" s="62">
        <v>84.720359999999999</v>
      </c>
      <c r="V24" s="62">
        <v>84.269615000000002</v>
      </c>
      <c r="W24" s="62">
        <v>83.864127999999994</v>
      </c>
      <c r="X24" s="62">
        <v>83.519119000000003</v>
      </c>
      <c r="Y24" s="62">
        <v>83.214995999999999</v>
      </c>
      <c r="Z24" s="62">
        <v>82.896759000000003</v>
      </c>
      <c r="AA24" s="62">
        <v>82.531181000000004</v>
      </c>
      <c r="AB24" s="62">
        <v>82.224677999999997</v>
      </c>
      <c r="AC24" s="62">
        <v>81.96669</v>
      </c>
      <c r="AD24" s="62">
        <v>81.719336999999996</v>
      </c>
      <c r="AE24" s="62">
        <v>81.461876000000004</v>
      </c>
      <c r="AF24" s="58">
        <v>-6.5009999999999998E-3</v>
      </c>
      <c r="AG24" s="27"/>
      <c r="AH24" s="20"/>
    </row>
    <row r="25" spans="1:34" ht="15" customHeight="1" x14ac:dyDescent="0.45">
      <c r="A25" s="26" t="s">
        <v>279</v>
      </c>
      <c r="B25" s="56" t="s">
        <v>78</v>
      </c>
      <c r="C25" s="62">
        <v>96.520187000000007</v>
      </c>
      <c r="D25" s="62">
        <v>94.907600000000002</v>
      </c>
      <c r="E25" s="62">
        <v>92.965705999999997</v>
      </c>
      <c r="F25" s="62">
        <v>92.204841999999999</v>
      </c>
      <c r="G25" s="62">
        <v>91.668807999999999</v>
      </c>
      <c r="H25" s="62">
        <v>90.945740000000001</v>
      </c>
      <c r="I25" s="62">
        <v>90.547614999999993</v>
      </c>
      <c r="J25" s="62">
        <v>89.897819999999996</v>
      </c>
      <c r="K25" s="62">
        <v>89.117981</v>
      </c>
      <c r="L25" s="62">
        <v>88.313621999999995</v>
      </c>
      <c r="M25" s="62">
        <v>87.548271</v>
      </c>
      <c r="N25" s="62">
        <v>86.710746999999998</v>
      </c>
      <c r="O25" s="62">
        <v>85.890129000000002</v>
      </c>
      <c r="P25" s="62">
        <v>85.181640999999999</v>
      </c>
      <c r="Q25" s="62">
        <v>84.502601999999996</v>
      </c>
      <c r="R25" s="62">
        <v>83.877906999999993</v>
      </c>
      <c r="S25" s="62">
        <v>83.211494000000002</v>
      </c>
      <c r="T25" s="62">
        <v>82.597617999999997</v>
      </c>
      <c r="U25" s="62">
        <v>82.042580000000001</v>
      </c>
      <c r="V25" s="62">
        <v>81.545753000000005</v>
      </c>
      <c r="W25" s="62">
        <v>81.104857999999993</v>
      </c>
      <c r="X25" s="62">
        <v>80.731537000000003</v>
      </c>
      <c r="Y25" s="62">
        <v>80.403251999999995</v>
      </c>
      <c r="Z25" s="62">
        <v>80.062279000000004</v>
      </c>
      <c r="AA25" s="62">
        <v>79.645531000000005</v>
      </c>
      <c r="AB25" s="62">
        <v>79.335136000000006</v>
      </c>
      <c r="AC25" s="62">
        <v>79.057586999999998</v>
      </c>
      <c r="AD25" s="62">
        <v>78.810997</v>
      </c>
      <c r="AE25" s="62">
        <v>78.560989000000006</v>
      </c>
      <c r="AF25" s="58">
        <v>-7.326E-3</v>
      </c>
      <c r="AG25" s="27"/>
      <c r="AH25" s="20"/>
    </row>
    <row r="26" spans="1:34" ht="15" customHeight="1" x14ac:dyDescent="0.35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</row>
    <row r="27" spans="1:34" ht="15" customHeight="1" x14ac:dyDescent="0.35">
      <c r="B27" s="55" t="s">
        <v>82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</row>
    <row r="28" spans="1:34" ht="15" customHeight="1" x14ac:dyDescent="0.35">
      <c r="B28" s="55" t="s">
        <v>83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</row>
    <row r="29" spans="1:34" ht="15" customHeight="1" x14ac:dyDescent="0.45">
      <c r="A29" s="26" t="s">
        <v>280</v>
      </c>
      <c r="B29" s="56" t="s">
        <v>281</v>
      </c>
      <c r="C29" s="57">
        <v>0.119273</v>
      </c>
      <c r="D29" s="57">
        <v>0.11836099999999999</v>
      </c>
      <c r="E29" s="57">
        <v>0.110862</v>
      </c>
      <c r="F29" s="57">
        <v>0.111099</v>
      </c>
      <c r="G29" s="57">
        <v>0.111147</v>
      </c>
      <c r="H29" s="57">
        <v>0.11085399999999999</v>
      </c>
      <c r="I29" s="57">
        <v>0.110384</v>
      </c>
      <c r="J29" s="57">
        <v>0.109759</v>
      </c>
      <c r="K29" s="57">
        <v>0.108987</v>
      </c>
      <c r="L29" s="57">
        <v>0.10828500000000001</v>
      </c>
      <c r="M29" s="57">
        <v>0.10747900000000001</v>
      </c>
      <c r="N29" s="57">
        <v>0.106449</v>
      </c>
      <c r="O29" s="57">
        <v>0.10527499999999999</v>
      </c>
      <c r="P29" s="57">
        <v>0.104142</v>
      </c>
      <c r="Q29" s="57">
        <v>0.10298300000000001</v>
      </c>
      <c r="R29" s="57">
        <v>0.10173699999999999</v>
      </c>
      <c r="S29" s="57">
        <v>0.10034700000000001</v>
      </c>
      <c r="T29" s="57">
        <v>9.8874000000000004E-2</v>
      </c>
      <c r="U29" s="57">
        <v>9.7414000000000001E-2</v>
      </c>
      <c r="V29" s="57">
        <v>9.6060000000000006E-2</v>
      </c>
      <c r="W29" s="57">
        <v>9.4757999999999995E-2</v>
      </c>
      <c r="X29" s="57">
        <v>9.3488000000000002E-2</v>
      </c>
      <c r="Y29" s="57">
        <v>9.2216000000000006E-2</v>
      </c>
      <c r="Z29" s="57">
        <v>9.0939000000000006E-2</v>
      </c>
      <c r="AA29" s="57">
        <v>8.9707999999999996E-2</v>
      </c>
      <c r="AB29" s="57">
        <v>8.8523000000000004E-2</v>
      </c>
      <c r="AC29" s="57">
        <v>8.7315000000000004E-2</v>
      </c>
      <c r="AD29" s="57">
        <v>8.6134000000000002E-2</v>
      </c>
      <c r="AE29" s="57">
        <v>8.4989999999999996E-2</v>
      </c>
      <c r="AF29" s="58">
        <v>-1.2030000000000001E-2</v>
      </c>
      <c r="AG29" s="27"/>
      <c r="AH29" s="20"/>
    </row>
    <row r="30" spans="1:34" ht="15" customHeight="1" x14ac:dyDescent="0.45">
      <c r="A30" s="26" t="s">
        <v>282</v>
      </c>
      <c r="B30" s="56" t="s">
        <v>283</v>
      </c>
      <c r="C30" s="57">
        <v>0.54288000000000003</v>
      </c>
      <c r="D30" s="57">
        <v>0.477379</v>
      </c>
      <c r="E30" s="57">
        <v>0.55079100000000003</v>
      </c>
      <c r="F30" s="57">
        <v>0.56004500000000002</v>
      </c>
      <c r="G30" s="57">
        <v>0.56774999999999998</v>
      </c>
      <c r="H30" s="57">
        <v>0.57508499999999996</v>
      </c>
      <c r="I30" s="57">
        <v>0.58246200000000004</v>
      </c>
      <c r="J30" s="57">
        <v>0.58957300000000001</v>
      </c>
      <c r="K30" s="57">
        <v>0.59539600000000004</v>
      </c>
      <c r="L30" s="57">
        <v>0.601495</v>
      </c>
      <c r="M30" s="57">
        <v>0.60778500000000002</v>
      </c>
      <c r="N30" s="57">
        <v>0.61240499999999998</v>
      </c>
      <c r="O30" s="57">
        <v>0.61662799999999995</v>
      </c>
      <c r="P30" s="57">
        <v>0.62129199999999996</v>
      </c>
      <c r="Q30" s="57">
        <v>0.62604599999999999</v>
      </c>
      <c r="R30" s="57">
        <v>0.63073500000000005</v>
      </c>
      <c r="S30" s="57">
        <v>0.63493599999999994</v>
      </c>
      <c r="T30" s="57">
        <v>0.63913600000000004</v>
      </c>
      <c r="U30" s="57">
        <v>0.64287499999999997</v>
      </c>
      <c r="V30" s="57">
        <v>0.647011</v>
      </c>
      <c r="W30" s="57">
        <v>0.65148700000000004</v>
      </c>
      <c r="X30" s="57">
        <v>0.65618699999999996</v>
      </c>
      <c r="Y30" s="57">
        <v>0.66127499999999995</v>
      </c>
      <c r="Z30" s="57">
        <v>0.66691500000000004</v>
      </c>
      <c r="AA30" s="57">
        <v>0.67370399999999997</v>
      </c>
      <c r="AB30" s="57">
        <v>0.68126399999999998</v>
      </c>
      <c r="AC30" s="57">
        <v>0.68905400000000006</v>
      </c>
      <c r="AD30" s="57">
        <v>0.696994</v>
      </c>
      <c r="AE30" s="57">
        <v>0.70569899999999997</v>
      </c>
      <c r="AF30" s="58">
        <v>9.4120000000000002E-3</v>
      </c>
      <c r="AG30" s="27"/>
      <c r="AH30" s="20"/>
    </row>
    <row r="31" spans="1:34" ht="15" customHeight="1" x14ac:dyDescent="0.45">
      <c r="A31" s="26" t="s">
        <v>284</v>
      </c>
      <c r="B31" s="56" t="s">
        <v>285</v>
      </c>
      <c r="C31" s="57">
        <v>2.4215E-2</v>
      </c>
      <c r="D31" s="57">
        <v>2.3555E-2</v>
      </c>
      <c r="E31" s="57">
        <v>2.3130000000000001E-2</v>
      </c>
      <c r="F31" s="57">
        <v>2.2870000000000001E-2</v>
      </c>
      <c r="G31" s="57">
        <v>2.2631999999999999E-2</v>
      </c>
      <c r="H31" s="57">
        <v>2.2556E-2</v>
      </c>
      <c r="I31" s="57">
        <v>2.2463E-2</v>
      </c>
      <c r="J31" s="57">
        <v>2.2349999999999998E-2</v>
      </c>
      <c r="K31" s="57">
        <v>2.2206E-2</v>
      </c>
      <c r="L31" s="57">
        <v>2.2058999999999999E-2</v>
      </c>
      <c r="M31" s="57">
        <v>2.1898999999999998E-2</v>
      </c>
      <c r="N31" s="57">
        <v>2.1687999999999999E-2</v>
      </c>
      <c r="O31" s="57">
        <v>2.1453E-2</v>
      </c>
      <c r="P31" s="57">
        <v>2.1236000000000001E-2</v>
      </c>
      <c r="Q31" s="57">
        <v>2.1016E-2</v>
      </c>
      <c r="R31" s="57">
        <v>2.0782999999999999E-2</v>
      </c>
      <c r="S31" s="57">
        <v>2.0525999999999999E-2</v>
      </c>
      <c r="T31" s="57">
        <v>2.0267E-2</v>
      </c>
      <c r="U31" s="57">
        <v>2.001E-2</v>
      </c>
      <c r="V31" s="57">
        <v>1.9778E-2</v>
      </c>
      <c r="W31" s="57">
        <v>1.9556E-2</v>
      </c>
      <c r="X31" s="57">
        <v>1.9342000000000002E-2</v>
      </c>
      <c r="Y31" s="57">
        <v>1.9133000000000001E-2</v>
      </c>
      <c r="Z31" s="57">
        <v>1.8929999999999999E-2</v>
      </c>
      <c r="AA31" s="57">
        <v>1.8741000000000001E-2</v>
      </c>
      <c r="AB31" s="57">
        <v>1.857E-2</v>
      </c>
      <c r="AC31" s="57">
        <v>1.84E-2</v>
      </c>
      <c r="AD31" s="57">
        <v>1.8238999999999998E-2</v>
      </c>
      <c r="AE31" s="57">
        <v>1.8093999999999999E-2</v>
      </c>
      <c r="AF31" s="58">
        <v>-1.0354E-2</v>
      </c>
      <c r="AG31" s="27"/>
      <c r="AH31" s="20"/>
    </row>
    <row r="32" spans="1:34" ht="15" customHeight="1" x14ac:dyDescent="0.45">
      <c r="A32" s="26" t="s">
        <v>286</v>
      </c>
      <c r="B32" s="56" t="s">
        <v>287</v>
      </c>
      <c r="C32" s="57">
        <v>0.41879300000000003</v>
      </c>
      <c r="D32" s="57">
        <v>0.407891</v>
      </c>
      <c r="E32" s="57">
        <v>0.40001900000000001</v>
      </c>
      <c r="F32" s="57">
        <v>0.394285</v>
      </c>
      <c r="G32" s="57">
        <v>0.38813999999999999</v>
      </c>
      <c r="H32" s="57">
        <v>0.38119500000000001</v>
      </c>
      <c r="I32" s="57">
        <v>0.37394899999999998</v>
      </c>
      <c r="J32" s="57">
        <v>0.36649399999999999</v>
      </c>
      <c r="K32" s="57">
        <v>0.35841099999999998</v>
      </c>
      <c r="L32" s="57">
        <v>0.35066599999999998</v>
      </c>
      <c r="M32" s="57">
        <v>0.34295799999999999</v>
      </c>
      <c r="N32" s="57">
        <v>0.33487299999999998</v>
      </c>
      <c r="O32" s="57">
        <v>0.32677299999999998</v>
      </c>
      <c r="P32" s="57">
        <v>0.31914799999999999</v>
      </c>
      <c r="Q32" s="57">
        <v>0.311811</v>
      </c>
      <c r="R32" s="57">
        <v>0.30456</v>
      </c>
      <c r="S32" s="57">
        <v>0.29719499999999999</v>
      </c>
      <c r="T32" s="57">
        <v>0.28995700000000002</v>
      </c>
      <c r="U32" s="57">
        <v>0.28303099999999998</v>
      </c>
      <c r="V32" s="57">
        <v>0.276615</v>
      </c>
      <c r="W32" s="57">
        <v>0.270569</v>
      </c>
      <c r="X32" s="57">
        <v>0.26481399999999999</v>
      </c>
      <c r="Y32" s="57">
        <v>0.25929200000000002</v>
      </c>
      <c r="Z32" s="57">
        <v>0.25397799999999998</v>
      </c>
      <c r="AA32" s="57">
        <v>0.24892300000000001</v>
      </c>
      <c r="AB32" s="57">
        <v>0.24418300000000001</v>
      </c>
      <c r="AC32" s="57">
        <v>0.239593</v>
      </c>
      <c r="AD32" s="57">
        <v>0.23527899999999999</v>
      </c>
      <c r="AE32" s="57">
        <v>0.23125899999999999</v>
      </c>
      <c r="AF32" s="58">
        <v>-2.0985E-2</v>
      </c>
      <c r="AG32" s="27"/>
      <c r="AH32" s="20"/>
    </row>
    <row r="33" spans="1:34" ht="15" customHeight="1" x14ac:dyDescent="0.45">
      <c r="A33" s="26" t="s">
        <v>288</v>
      </c>
      <c r="B33" s="56" t="s">
        <v>93</v>
      </c>
      <c r="C33" s="57">
        <v>8.2377000000000006E-2</v>
      </c>
      <c r="D33" s="57">
        <v>8.1711000000000006E-2</v>
      </c>
      <c r="E33" s="57">
        <v>8.1786999999999999E-2</v>
      </c>
      <c r="F33" s="57">
        <v>8.2300999999999999E-2</v>
      </c>
      <c r="G33" s="57">
        <v>8.2629999999999995E-2</v>
      </c>
      <c r="H33" s="57">
        <v>8.2722000000000004E-2</v>
      </c>
      <c r="I33" s="57">
        <v>8.2723000000000005E-2</v>
      </c>
      <c r="J33" s="57">
        <v>8.2640000000000005E-2</v>
      </c>
      <c r="K33" s="57">
        <v>8.2437999999999997E-2</v>
      </c>
      <c r="L33" s="57">
        <v>8.2239999999999994E-2</v>
      </c>
      <c r="M33" s="57">
        <v>8.1999000000000002E-2</v>
      </c>
      <c r="N33" s="57">
        <v>8.1576999999999997E-2</v>
      </c>
      <c r="O33" s="57">
        <v>8.1060999999999994E-2</v>
      </c>
      <c r="P33" s="57">
        <v>8.0576999999999996E-2</v>
      </c>
      <c r="Q33" s="57">
        <v>8.0064999999999997E-2</v>
      </c>
      <c r="R33" s="57">
        <v>7.9491000000000006E-2</v>
      </c>
      <c r="S33" s="57">
        <v>7.8826999999999994E-2</v>
      </c>
      <c r="T33" s="57">
        <v>7.8130000000000005E-2</v>
      </c>
      <c r="U33" s="57">
        <v>7.7412999999999996E-2</v>
      </c>
      <c r="V33" s="57">
        <v>7.6771000000000006E-2</v>
      </c>
      <c r="W33" s="57">
        <v>7.6152999999999998E-2</v>
      </c>
      <c r="X33" s="57">
        <v>7.5556999999999999E-2</v>
      </c>
      <c r="Y33" s="57">
        <v>7.4978000000000003E-2</v>
      </c>
      <c r="Z33" s="57">
        <v>7.4414999999999995E-2</v>
      </c>
      <c r="AA33" s="57">
        <v>7.3903999999999997E-2</v>
      </c>
      <c r="AB33" s="57">
        <v>7.3455999999999994E-2</v>
      </c>
      <c r="AC33" s="57">
        <v>7.2993000000000002E-2</v>
      </c>
      <c r="AD33" s="57">
        <v>7.2537000000000004E-2</v>
      </c>
      <c r="AE33" s="57">
        <v>7.2122000000000006E-2</v>
      </c>
      <c r="AF33" s="58">
        <v>-4.7369999999999999E-3</v>
      </c>
      <c r="AG33" s="27"/>
      <c r="AH33" s="20"/>
    </row>
    <row r="34" spans="1:34" ht="15" customHeight="1" x14ac:dyDescent="0.45">
      <c r="A34" s="26" t="s">
        <v>289</v>
      </c>
      <c r="B34" s="56" t="s">
        <v>99</v>
      </c>
      <c r="C34" s="57">
        <v>0.49728099999999997</v>
      </c>
      <c r="D34" s="57">
        <v>0.48855999999999999</v>
      </c>
      <c r="E34" s="57">
        <v>0.48579499999999998</v>
      </c>
      <c r="F34" s="57">
        <v>0.48757200000000001</v>
      </c>
      <c r="G34" s="57">
        <v>0.48936600000000002</v>
      </c>
      <c r="H34" s="57">
        <v>0.490566</v>
      </c>
      <c r="I34" s="57">
        <v>0.49202499999999999</v>
      </c>
      <c r="J34" s="57">
        <v>0.49368899999999999</v>
      </c>
      <c r="K34" s="57">
        <v>0.49101899999999998</v>
      </c>
      <c r="L34" s="57">
        <v>0.48896099999999998</v>
      </c>
      <c r="M34" s="57">
        <v>0.48697299999999999</v>
      </c>
      <c r="N34" s="57">
        <v>0.48422700000000002</v>
      </c>
      <c r="O34" s="57">
        <v>0.48097899999999999</v>
      </c>
      <c r="P34" s="57">
        <v>0.47800999999999999</v>
      </c>
      <c r="Q34" s="57">
        <v>0.474966</v>
      </c>
      <c r="R34" s="57">
        <v>0.47095500000000001</v>
      </c>
      <c r="S34" s="57">
        <v>0.46600999999999998</v>
      </c>
      <c r="T34" s="57">
        <v>0.45994200000000002</v>
      </c>
      <c r="U34" s="57">
        <v>0.45792899999999997</v>
      </c>
      <c r="V34" s="57">
        <v>0.45681100000000002</v>
      </c>
      <c r="W34" s="57">
        <v>0.45597100000000002</v>
      </c>
      <c r="X34" s="57">
        <v>0.45552999999999999</v>
      </c>
      <c r="Y34" s="57">
        <v>0.455459</v>
      </c>
      <c r="Z34" s="57">
        <v>0.45567999999999997</v>
      </c>
      <c r="AA34" s="57">
        <v>0.45632899999999998</v>
      </c>
      <c r="AB34" s="57">
        <v>0.45772200000000002</v>
      </c>
      <c r="AC34" s="57">
        <v>0.45915800000000001</v>
      </c>
      <c r="AD34" s="57">
        <v>0.460843</v>
      </c>
      <c r="AE34" s="57">
        <v>0.46300400000000003</v>
      </c>
      <c r="AF34" s="58">
        <v>-2.5469999999999998E-3</v>
      </c>
      <c r="AG34" s="27"/>
      <c r="AH34" s="20"/>
    </row>
    <row r="35" spans="1:34" ht="15" customHeight="1" x14ac:dyDescent="0.45">
      <c r="A35" s="26" t="s">
        <v>290</v>
      </c>
      <c r="B35" s="56" t="s">
        <v>91</v>
      </c>
      <c r="C35" s="57">
        <v>0.603352</v>
      </c>
      <c r="D35" s="57">
        <v>0.60135499999999997</v>
      </c>
      <c r="E35" s="57">
        <v>0.60267999999999999</v>
      </c>
      <c r="F35" s="57">
        <v>0.60644600000000004</v>
      </c>
      <c r="G35" s="57">
        <v>0.60968599999999995</v>
      </c>
      <c r="H35" s="57">
        <v>0.61227900000000002</v>
      </c>
      <c r="I35" s="57">
        <v>0.61520399999999997</v>
      </c>
      <c r="J35" s="57">
        <v>0.61849299999999996</v>
      </c>
      <c r="K35" s="57">
        <v>0.62074799999999997</v>
      </c>
      <c r="L35" s="57">
        <v>0.62390000000000001</v>
      </c>
      <c r="M35" s="57">
        <v>0.62699000000000005</v>
      </c>
      <c r="N35" s="57">
        <v>0.62938700000000003</v>
      </c>
      <c r="O35" s="57">
        <v>0.63132500000000003</v>
      </c>
      <c r="P35" s="57">
        <v>0.63321400000000005</v>
      </c>
      <c r="Q35" s="57">
        <v>0.63485499999999995</v>
      </c>
      <c r="R35" s="57">
        <v>0.63615500000000003</v>
      </c>
      <c r="S35" s="57">
        <v>0.636938</v>
      </c>
      <c r="T35" s="57">
        <v>0.63747399999999999</v>
      </c>
      <c r="U35" s="57">
        <v>0.63791900000000001</v>
      </c>
      <c r="V35" s="57">
        <v>0.63905800000000001</v>
      </c>
      <c r="W35" s="57">
        <v>0.64029400000000003</v>
      </c>
      <c r="X35" s="57">
        <v>0.64160899999999998</v>
      </c>
      <c r="Y35" s="57">
        <v>0.642984</v>
      </c>
      <c r="Z35" s="57">
        <v>0.64441700000000002</v>
      </c>
      <c r="AA35" s="57">
        <v>0.64599600000000001</v>
      </c>
      <c r="AB35" s="57">
        <v>0.64779299999999995</v>
      </c>
      <c r="AC35" s="57">
        <v>0.64965700000000004</v>
      </c>
      <c r="AD35" s="57">
        <v>0.65169699999999997</v>
      </c>
      <c r="AE35" s="57">
        <v>0.65393400000000002</v>
      </c>
      <c r="AF35" s="58">
        <v>2.879E-3</v>
      </c>
      <c r="AG35" s="27"/>
      <c r="AH35" s="20"/>
    </row>
    <row r="36" spans="1:34" ht="15" customHeight="1" x14ac:dyDescent="0.45">
      <c r="A36" s="26" t="s">
        <v>291</v>
      </c>
      <c r="B36" s="56" t="s">
        <v>292</v>
      </c>
      <c r="C36" s="57">
        <v>0.43073600000000001</v>
      </c>
      <c r="D36" s="57">
        <v>0.434585</v>
      </c>
      <c r="E36" s="57">
        <v>0.43993500000000002</v>
      </c>
      <c r="F36" s="57">
        <v>0.447378</v>
      </c>
      <c r="G36" s="57">
        <v>0.45436900000000002</v>
      </c>
      <c r="H36" s="57">
        <v>0.46098600000000001</v>
      </c>
      <c r="I36" s="57">
        <v>0.46887200000000001</v>
      </c>
      <c r="J36" s="57">
        <v>0.477159</v>
      </c>
      <c r="K36" s="57">
        <v>0.48619699999999999</v>
      </c>
      <c r="L36" s="57">
        <v>0.49543300000000001</v>
      </c>
      <c r="M36" s="57">
        <v>0.50508200000000003</v>
      </c>
      <c r="N36" s="57">
        <v>0.51431199999999999</v>
      </c>
      <c r="O36" s="57">
        <v>0.52371100000000004</v>
      </c>
      <c r="P36" s="57">
        <v>0.53291500000000003</v>
      </c>
      <c r="Q36" s="57">
        <v>0.54290400000000005</v>
      </c>
      <c r="R36" s="57">
        <v>0.55216500000000002</v>
      </c>
      <c r="S36" s="57">
        <v>0.56217499999999998</v>
      </c>
      <c r="T36" s="57">
        <v>0.57200700000000004</v>
      </c>
      <c r="U36" s="57">
        <v>0.58174599999999999</v>
      </c>
      <c r="V36" s="57">
        <v>0.59145400000000004</v>
      </c>
      <c r="W36" s="57">
        <v>0.60173699999999997</v>
      </c>
      <c r="X36" s="57">
        <v>0.61264799999999997</v>
      </c>
      <c r="Y36" s="57">
        <v>0.62317100000000003</v>
      </c>
      <c r="Z36" s="57">
        <v>0.63440600000000003</v>
      </c>
      <c r="AA36" s="57">
        <v>0.64643499999999998</v>
      </c>
      <c r="AB36" s="57">
        <v>0.65822099999999995</v>
      </c>
      <c r="AC36" s="57">
        <v>0.67073700000000003</v>
      </c>
      <c r="AD36" s="57">
        <v>0.68349800000000005</v>
      </c>
      <c r="AE36" s="57">
        <v>0.69654000000000005</v>
      </c>
      <c r="AF36" s="58">
        <v>1.7312999999999999E-2</v>
      </c>
      <c r="AG36" s="27"/>
      <c r="AH36" s="20"/>
    </row>
    <row r="37" spans="1:34" ht="15" customHeight="1" x14ac:dyDescent="0.45">
      <c r="A37" s="26" t="s">
        <v>293</v>
      </c>
      <c r="B37" s="56" t="s">
        <v>294</v>
      </c>
      <c r="C37" s="57">
        <v>0.174708</v>
      </c>
      <c r="D37" s="57">
        <v>0.173262</v>
      </c>
      <c r="E37" s="57">
        <v>0.17277699999999999</v>
      </c>
      <c r="F37" s="57">
        <v>0.17319300000000001</v>
      </c>
      <c r="G37" s="57">
        <v>0.17386399999999999</v>
      </c>
      <c r="H37" s="57">
        <v>0.174594</v>
      </c>
      <c r="I37" s="57">
        <v>0.17566599999999999</v>
      </c>
      <c r="J37" s="57">
        <v>0.17710699999999999</v>
      </c>
      <c r="K37" s="57">
        <v>0.17887400000000001</v>
      </c>
      <c r="L37" s="57">
        <v>0.180673</v>
      </c>
      <c r="M37" s="57">
        <v>0.18267900000000001</v>
      </c>
      <c r="N37" s="57">
        <v>0.184498</v>
      </c>
      <c r="O37" s="57">
        <v>0.185888</v>
      </c>
      <c r="P37" s="57">
        <v>0.18745700000000001</v>
      </c>
      <c r="Q37" s="57">
        <v>0.18862699999999999</v>
      </c>
      <c r="R37" s="57">
        <v>0.18968199999999999</v>
      </c>
      <c r="S37" s="57">
        <v>0.190608</v>
      </c>
      <c r="T37" s="57">
        <v>0.190859</v>
      </c>
      <c r="U37" s="57">
        <v>0.19103999999999999</v>
      </c>
      <c r="V37" s="57">
        <v>0.19087699999999999</v>
      </c>
      <c r="W37" s="57">
        <v>0.19009000000000001</v>
      </c>
      <c r="X37" s="57">
        <v>0.18897900000000001</v>
      </c>
      <c r="Y37" s="57">
        <v>0.18754999999999999</v>
      </c>
      <c r="Z37" s="57">
        <v>0.1855</v>
      </c>
      <c r="AA37" s="57">
        <v>0.183143</v>
      </c>
      <c r="AB37" s="57">
        <v>0.180174</v>
      </c>
      <c r="AC37" s="57">
        <v>0.176542</v>
      </c>
      <c r="AD37" s="57">
        <v>0.17224400000000001</v>
      </c>
      <c r="AE37" s="57">
        <v>0.16695299999999999</v>
      </c>
      <c r="AF37" s="58">
        <v>-1.6199999999999999E-3</v>
      </c>
      <c r="AG37" s="27"/>
      <c r="AH37" s="20"/>
    </row>
    <row r="38" spans="1:34" ht="15" customHeight="1" x14ac:dyDescent="0.45">
      <c r="A38" s="26" t="s">
        <v>295</v>
      </c>
      <c r="B38" s="56" t="s">
        <v>296</v>
      </c>
      <c r="C38" s="57">
        <v>1.8214999999999999</v>
      </c>
      <c r="D38" s="57">
        <v>1.853537</v>
      </c>
      <c r="E38" s="57">
        <v>1.8354539999999999</v>
      </c>
      <c r="F38" s="57">
        <v>1.821644</v>
      </c>
      <c r="G38" s="57">
        <v>1.820174</v>
      </c>
      <c r="H38" s="57">
        <v>1.8173820000000001</v>
      </c>
      <c r="I38" s="57">
        <v>1.8377559999999999</v>
      </c>
      <c r="J38" s="57">
        <v>1.8595930000000001</v>
      </c>
      <c r="K38" s="57">
        <v>1.882188</v>
      </c>
      <c r="L38" s="57">
        <v>1.9058200000000001</v>
      </c>
      <c r="M38" s="57">
        <v>1.9294819999999999</v>
      </c>
      <c r="N38" s="57">
        <v>1.951943</v>
      </c>
      <c r="O38" s="57">
        <v>1.9733750000000001</v>
      </c>
      <c r="P38" s="57">
        <v>1.994686</v>
      </c>
      <c r="Q38" s="57">
        <v>2.0159479999999999</v>
      </c>
      <c r="R38" s="57">
        <v>2.0364469999999999</v>
      </c>
      <c r="S38" s="57">
        <v>2.0566209999999998</v>
      </c>
      <c r="T38" s="57">
        <v>2.0767880000000001</v>
      </c>
      <c r="U38" s="57">
        <v>2.096851</v>
      </c>
      <c r="V38" s="57">
        <v>2.1177489999999999</v>
      </c>
      <c r="W38" s="57">
        <v>2.1392600000000002</v>
      </c>
      <c r="X38" s="57">
        <v>2.1619060000000001</v>
      </c>
      <c r="Y38" s="57">
        <v>2.1855560000000001</v>
      </c>
      <c r="Z38" s="57">
        <v>2.21069</v>
      </c>
      <c r="AA38" s="57">
        <v>2.236834</v>
      </c>
      <c r="AB38" s="57">
        <v>2.2647439999999999</v>
      </c>
      <c r="AC38" s="57">
        <v>2.2939790000000002</v>
      </c>
      <c r="AD38" s="57">
        <v>2.3243649999999998</v>
      </c>
      <c r="AE38" s="57">
        <v>2.3563890000000001</v>
      </c>
      <c r="AF38" s="58">
        <v>9.2379999999999997E-3</v>
      </c>
      <c r="AG38" s="27"/>
      <c r="AH38" s="20"/>
    </row>
    <row r="39" spans="1:34" ht="15" customHeight="1" x14ac:dyDescent="0.35">
      <c r="A39" s="26" t="s">
        <v>297</v>
      </c>
      <c r="B39" s="55" t="s">
        <v>113</v>
      </c>
      <c r="C39" s="59">
        <v>4.7151149999999999</v>
      </c>
      <c r="D39" s="59">
        <v>4.660196</v>
      </c>
      <c r="E39" s="59">
        <v>4.7032290000000003</v>
      </c>
      <c r="F39" s="59">
        <v>4.7068329999999996</v>
      </c>
      <c r="G39" s="59">
        <v>4.7197579999999997</v>
      </c>
      <c r="H39" s="59">
        <v>4.7282190000000002</v>
      </c>
      <c r="I39" s="59">
        <v>4.7615030000000003</v>
      </c>
      <c r="J39" s="59">
        <v>4.796856</v>
      </c>
      <c r="K39" s="59">
        <v>4.8264649999999998</v>
      </c>
      <c r="L39" s="59">
        <v>4.8595329999999999</v>
      </c>
      <c r="M39" s="59">
        <v>4.8933260000000001</v>
      </c>
      <c r="N39" s="59">
        <v>4.92136</v>
      </c>
      <c r="O39" s="59">
        <v>4.9464670000000002</v>
      </c>
      <c r="P39" s="59">
        <v>4.9726759999999999</v>
      </c>
      <c r="Q39" s="59">
        <v>4.9992200000000002</v>
      </c>
      <c r="R39" s="59">
        <v>5.0227110000000001</v>
      </c>
      <c r="S39" s="59">
        <v>5.0441830000000003</v>
      </c>
      <c r="T39" s="59">
        <v>5.063434</v>
      </c>
      <c r="U39" s="59">
        <v>5.0862280000000002</v>
      </c>
      <c r="V39" s="59">
        <v>5.1121850000000002</v>
      </c>
      <c r="W39" s="59">
        <v>5.139875</v>
      </c>
      <c r="X39" s="59">
        <v>5.1700590000000002</v>
      </c>
      <c r="Y39" s="59">
        <v>5.201613</v>
      </c>
      <c r="Z39" s="59">
        <v>5.2358710000000004</v>
      </c>
      <c r="AA39" s="59">
        <v>5.2737179999999997</v>
      </c>
      <c r="AB39" s="59">
        <v>5.3146490000000002</v>
      </c>
      <c r="AC39" s="59">
        <v>5.3574289999999998</v>
      </c>
      <c r="AD39" s="59">
        <v>5.4018309999999996</v>
      </c>
      <c r="AE39" s="59">
        <v>5.448982</v>
      </c>
      <c r="AF39" s="60">
        <v>5.1799999999999997E-3</v>
      </c>
      <c r="AG39" s="27"/>
      <c r="AH39" s="19"/>
    </row>
    <row r="40" spans="1:34" ht="15" customHeight="1" x14ac:dyDescent="0.45">
      <c r="A40" s="26" t="s">
        <v>298</v>
      </c>
      <c r="B40" s="56" t="s">
        <v>115</v>
      </c>
      <c r="C40" s="57">
        <v>0.120598</v>
      </c>
      <c r="D40" s="57">
        <v>0.141293</v>
      </c>
      <c r="E40" s="57">
        <v>0.15779599999999999</v>
      </c>
      <c r="F40" s="57">
        <v>0.17105699999999999</v>
      </c>
      <c r="G40" s="57">
        <v>0.17847299999999999</v>
      </c>
      <c r="H40" s="57">
        <v>0.18718199999999999</v>
      </c>
      <c r="I40" s="57">
        <v>0.19470299999999999</v>
      </c>
      <c r="J40" s="57">
        <v>0.20632900000000001</v>
      </c>
      <c r="K40" s="57">
        <v>0.214666</v>
      </c>
      <c r="L40" s="57">
        <v>0.22300600000000001</v>
      </c>
      <c r="M40" s="57">
        <v>0.23046800000000001</v>
      </c>
      <c r="N40" s="57">
        <v>0.24135400000000001</v>
      </c>
      <c r="O40" s="57">
        <v>0.25285299999999999</v>
      </c>
      <c r="P40" s="57">
        <v>0.25964599999999999</v>
      </c>
      <c r="Q40" s="57">
        <v>0.27190500000000001</v>
      </c>
      <c r="R40" s="57">
        <v>0.27923599999999998</v>
      </c>
      <c r="S40" s="57">
        <v>0.28964899999999999</v>
      </c>
      <c r="T40" s="57">
        <v>0.299346</v>
      </c>
      <c r="U40" s="57">
        <v>0.30795899999999998</v>
      </c>
      <c r="V40" s="57">
        <v>0.31545000000000001</v>
      </c>
      <c r="W40" s="57">
        <v>0.32173499999999999</v>
      </c>
      <c r="X40" s="57">
        <v>0.32723600000000003</v>
      </c>
      <c r="Y40" s="57">
        <v>0.33231100000000002</v>
      </c>
      <c r="Z40" s="57">
        <v>0.33729500000000001</v>
      </c>
      <c r="AA40" s="57">
        <v>0.34577400000000003</v>
      </c>
      <c r="AB40" s="57">
        <v>0.34869</v>
      </c>
      <c r="AC40" s="57">
        <v>0.35358000000000001</v>
      </c>
      <c r="AD40" s="57">
        <v>0.35607299999999997</v>
      </c>
      <c r="AE40" s="57">
        <v>0.35779100000000003</v>
      </c>
      <c r="AF40" s="58">
        <v>3.9602999999999999E-2</v>
      </c>
      <c r="AG40" s="27"/>
      <c r="AH40" s="20"/>
    </row>
    <row r="41" spans="1:34" ht="15" customHeight="1" x14ac:dyDescent="0.35">
      <c r="A41" s="26" t="s">
        <v>299</v>
      </c>
      <c r="B41" s="55" t="s">
        <v>117</v>
      </c>
      <c r="C41" s="59">
        <v>4.5945159999999996</v>
      </c>
      <c r="D41" s="59">
        <v>4.5189029999999999</v>
      </c>
      <c r="E41" s="59">
        <v>4.5454340000000002</v>
      </c>
      <c r="F41" s="59">
        <v>4.5357770000000004</v>
      </c>
      <c r="G41" s="59">
        <v>4.5412850000000002</v>
      </c>
      <c r="H41" s="59">
        <v>4.5410360000000001</v>
      </c>
      <c r="I41" s="59">
        <v>4.5667999999999997</v>
      </c>
      <c r="J41" s="59">
        <v>4.5905269999999998</v>
      </c>
      <c r="K41" s="59">
        <v>4.6117980000000003</v>
      </c>
      <c r="L41" s="59">
        <v>4.6365270000000001</v>
      </c>
      <c r="M41" s="59">
        <v>4.6628579999999999</v>
      </c>
      <c r="N41" s="59">
        <v>4.6800059999999997</v>
      </c>
      <c r="O41" s="59">
        <v>4.6936140000000002</v>
      </c>
      <c r="P41" s="59">
        <v>4.7130299999999998</v>
      </c>
      <c r="Q41" s="59">
        <v>4.7273149999999999</v>
      </c>
      <c r="R41" s="59">
        <v>4.7434750000000001</v>
      </c>
      <c r="S41" s="59">
        <v>4.7545330000000003</v>
      </c>
      <c r="T41" s="59">
        <v>4.7640880000000001</v>
      </c>
      <c r="U41" s="59">
        <v>4.77827</v>
      </c>
      <c r="V41" s="59">
        <v>4.796735</v>
      </c>
      <c r="W41" s="59">
        <v>4.8181409999999998</v>
      </c>
      <c r="X41" s="59">
        <v>4.8428240000000002</v>
      </c>
      <c r="Y41" s="59">
        <v>4.8693020000000002</v>
      </c>
      <c r="Z41" s="59">
        <v>4.8985760000000003</v>
      </c>
      <c r="AA41" s="59">
        <v>4.9279440000000001</v>
      </c>
      <c r="AB41" s="59">
        <v>4.9659589999999998</v>
      </c>
      <c r="AC41" s="59">
        <v>5.0038489999999998</v>
      </c>
      <c r="AD41" s="59">
        <v>5.045757</v>
      </c>
      <c r="AE41" s="59">
        <v>5.0911910000000002</v>
      </c>
      <c r="AF41" s="60">
        <v>3.673E-3</v>
      </c>
      <c r="AG41" s="27"/>
      <c r="AH41" s="19"/>
    </row>
    <row r="42" spans="1:34" ht="15" customHeight="1" x14ac:dyDescent="0.35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</row>
    <row r="43" spans="1:34" ht="15" customHeight="1" x14ac:dyDescent="0.35">
      <c r="B43" s="55" t="s">
        <v>118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</row>
    <row r="44" spans="1:34" ht="15" customHeight="1" x14ac:dyDescent="0.45">
      <c r="A44" s="26" t="s">
        <v>300</v>
      </c>
      <c r="B44" s="56" t="s">
        <v>281</v>
      </c>
      <c r="C44" s="57">
        <v>1.8254539999999999</v>
      </c>
      <c r="D44" s="57">
        <v>1.7947</v>
      </c>
      <c r="E44" s="57">
        <v>1.7061729999999999</v>
      </c>
      <c r="F44" s="57">
        <v>1.7385660000000001</v>
      </c>
      <c r="G44" s="57">
        <v>1.7639400000000001</v>
      </c>
      <c r="H44" s="57">
        <v>1.779544</v>
      </c>
      <c r="I44" s="57">
        <v>1.788921</v>
      </c>
      <c r="J44" s="57">
        <v>1.79061</v>
      </c>
      <c r="K44" s="57">
        <v>1.7890999999999999</v>
      </c>
      <c r="L44" s="57">
        <v>1.787161</v>
      </c>
      <c r="M44" s="57">
        <v>1.7835300000000001</v>
      </c>
      <c r="N44" s="57">
        <v>1.776289</v>
      </c>
      <c r="O44" s="57">
        <v>1.7674780000000001</v>
      </c>
      <c r="P44" s="57">
        <v>1.757646</v>
      </c>
      <c r="Q44" s="57">
        <v>1.748321</v>
      </c>
      <c r="R44" s="57">
        <v>1.738137</v>
      </c>
      <c r="S44" s="57">
        <v>1.7250220000000001</v>
      </c>
      <c r="T44" s="57">
        <v>1.7127330000000001</v>
      </c>
      <c r="U44" s="57">
        <v>1.699783</v>
      </c>
      <c r="V44" s="57">
        <v>1.686558</v>
      </c>
      <c r="W44" s="57">
        <v>1.6739850000000001</v>
      </c>
      <c r="X44" s="57">
        <v>1.6631689999999999</v>
      </c>
      <c r="Y44" s="57">
        <v>1.6539790000000001</v>
      </c>
      <c r="Z44" s="57">
        <v>1.642917</v>
      </c>
      <c r="AA44" s="57">
        <v>1.629286</v>
      </c>
      <c r="AB44" s="57">
        <v>1.6173420000000001</v>
      </c>
      <c r="AC44" s="57">
        <v>1.6073139999999999</v>
      </c>
      <c r="AD44" s="57">
        <v>1.5970869999999999</v>
      </c>
      <c r="AE44" s="57">
        <v>1.5851690000000001</v>
      </c>
      <c r="AF44" s="58">
        <v>-5.0280000000000004E-3</v>
      </c>
      <c r="AG44" s="27"/>
      <c r="AH44" s="20"/>
    </row>
    <row r="45" spans="1:34" ht="15" customHeight="1" x14ac:dyDescent="0.45">
      <c r="A45" s="26" t="s">
        <v>301</v>
      </c>
      <c r="B45" s="56" t="s">
        <v>283</v>
      </c>
      <c r="C45" s="57">
        <v>2.4829E-2</v>
      </c>
      <c r="D45" s="57">
        <v>1.9927E-2</v>
      </c>
      <c r="E45" s="57">
        <v>2.5627E-2</v>
      </c>
      <c r="F45" s="57">
        <v>2.5995000000000001E-2</v>
      </c>
      <c r="G45" s="57">
        <v>2.6231999999999998E-2</v>
      </c>
      <c r="H45" s="57">
        <v>2.6372E-2</v>
      </c>
      <c r="I45" s="57">
        <v>2.6435E-2</v>
      </c>
      <c r="J45" s="57">
        <v>2.6429000000000001E-2</v>
      </c>
      <c r="K45" s="57">
        <v>2.6391000000000001E-2</v>
      </c>
      <c r="L45" s="57">
        <v>2.6353000000000001E-2</v>
      </c>
      <c r="M45" s="57">
        <v>2.6314000000000001E-2</v>
      </c>
      <c r="N45" s="57">
        <v>2.6221000000000001E-2</v>
      </c>
      <c r="O45" s="57">
        <v>2.6134999999999999E-2</v>
      </c>
      <c r="P45" s="57">
        <v>2.6053E-2</v>
      </c>
      <c r="Q45" s="57">
        <v>2.5982000000000002E-2</v>
      </c>
      <c r="R45" s="57">
        <v>2.5909000000000001E-2</v>
      </c>
      <c r="S45" s="57">
        <v>2.5794000000000001E-2</v>
      </c>
      <c r="T45" s="57">
        <v>2.5696E-2</v>
      </c>
      <c r="U45" s="57">
        <v>2.5607000000000001E-2</v>
      </c>
      <c r="V45" s="57">
        <v>2.5509E-2</v>
      </c>
      <c r="W45" s="57">
        <v>2.5444000000000001E-2</v>
      </c>
      <c r="X45" s="57">
        <v>2.5413000000000002E-2</v>
      </c>
      <c r="Y45" s="57">
        <v>2.5411E-2</v>
      </c>
      <c r="Z45" s="57">
        <v>2.5387E-2</v>
      </c>
      <c r="AA45" s="57">
        <v>2.5342E-2</v>
      </c>
      <c r="AB45" s="57">
        <v>2.5319000000000001E-2</v>
      </c>
      <c r="AC45" s="57">
        <v>2.5354999999999999E-2</v>
      </c>
      <c r="AD45" s="57">
        <v>2.5378999999999999E-2</v>
      </c>
      <c r="AE45" s="57">
        <v>2.5378000000000001E-2</v>
      </c>
      <c r="AF45" s="58">
        <v>7.8100000000000001E-4</v>
      </c>
      <c r="AG45" s="27"/>
      <c r="AH45" s="20"/>
    </row>
    <row r="46" spans="1:34" ht="15" customHeight="1" x14ac:dyDescent="0.45">
      <c r="A46" s="26" t="s">
        <v>302</v>
      </c>
      <c r="B46" s="56" t="s">
        <v>285</v>
      </c>
      <c r="C46" s="57">
        <v>0.59203799999999995</v>
      </c>
      <c r="D46" s="57">
        <v>0.58703300000000003</v>
      </c>
      <c r="E46" s="57">
        <v>0.59738000000000002</v>
      </c>
      <c r="F46" s="57">
        <v>0.61275100000000005</v>
      </c>
      <c r="G46" s="57">
        <v>0.62566299999999997</v>
      </c>
      <c r="H46" s="57">
        <v>0.63552900000000001</v>
      </c>
      <c r="I46" s="57">
        <v>0.64377899999999999</v>
      </c>
      <c r="J46" s="57">
        <v>0.65003599999999995</v>
      </c>
      <c r="K46" s="57">
        <v>0.65564</v>
      </c>
      <c r="L46" s="57">
        <v>0.66110400000000002</v>
      </c>
      <c r="M46" s="57">
        <v>0.666126</v>
      </c>
      <c r="N46" s="57">
        <v>0.66992099999999999</v>
      </c>
      <c r="O46" s="57">
        <v>0.67317300000000002</v>
      </c>
      <c r="P46" s="57">
        <v>0.67610800000000004</v>
      </c>
      <c r="Q46" s="57">
        <v>0.67931799999999998</v>
      </c>
      <c r="R46" s="57">
        <v>0.68217899999999998</v>
      </c>
      <c r="S46" s="57">
        <v>0.68396299999999999</v>
      </c>
      <c r="T46" s="57">
        <v>0.68618299999999999</v>
      </c>
      <c r="U46" s="57">
        <v>0.68806199999999995</v>
      </c>
      <c r="V46" s="57">
        <v>0.68995600000000001</v>
      </c>
      <c r="W46" s="57">
        <v>0.69216299999999997</v>
      </c>
      <c r="X46" s="57">
        <v>0.69516</v>
      </c>
      <c r="Y46" s="57">
        <v>0.69893400000000006</v>
      </c>
      <c r="Z46" s="57">
        <v>0.70184299999999999</v>
      </c>
      <c r="AA46" s="57">
        <v>0.70256200000000002</v>
      </c>
      <c r="AB46" s="57">
        <v>0.70452400000000004</v>
      </c>
      <c r="AC46" s="57">
        <v>0.70795699999999995</v>
      </c>
      <c r="AD46" s="57">
        <v>0.71178200000000003</v>
      </c>
      <c r="AE46" s="57">
        <v>0.71499199999999996</v>
      </c>
      <c r="AF46" s="58">
        <v>6.7619999999999998E-3</v>
      </c>
      <c r="AG46" s="27"/>
      <c r="AH46" s="20"/>
    </row>
    <row r="47" spans="1:34" ht="15" customHeight="1" x14ac:dyDescent="0.45">
      <c r="A47" s="26" t="s">
        <v>303</v>
      </c>
      <c r="B47" s="56" t="s">
        <v>93</v>
      </c>
      <c r="C47" s="57">
        <v>0.33065699999999998</v>
      </c>
      <c r="D47" s="57">
        <v>0.330951</v>
      </c>
      <c r="E47" s="57">
        <v>0.33943200000000001</v>
      </c>
      <c r="F47" s="57">
        <v>0.35031800000000002</v>
      </c>
      <c r="G47" s="57">
        <v>0.359456</v>
      </c>
      <c r="H47" s="57">
        <v>0.366753</v>
      </c>
      <c r="I47" s="57">
        <v>0.37310100000000002</v>
      </c>
      <c r="J47" s="57">
        <v>0.37848399999999999</v>
      </c>
      <c r="K47" s="57">
        <v>0.38350299999999998</v>
      </c>
      <c r="L47" s="57">
        <v>0.38850400000000002</v>
      </c>
      <c r="M47" s="57">
        <v>0.39315099999999997</v>
      </c>
      <c r="N47" s="57">
        <v>0.39700400000000002</v>
      </c>
      <c r="O47" s="57">
        <v>0.40042499999999998</v>
      </c>
      <c r="P47" s="57">
        <v>0.403553</v>
      </c>
      <c r="Q47" s="57">
        <v>0.406752</v>
      </c>
      <c r="R47" s="57">
        <v>0.40969699999999998</v>
      </c>
      <c r="S47" s="57">
        <v>0.41197600000000001</v>
      </c>
      <c r="T47" s="57">
        <v>0.41444500000000001</v>
      </c>
      <c r="U47" s="57">
        <v>0.41658800000000001</v>
      </c>
      <c r="V47" s="57">
        <v>0.41879499999999997</v>
      </c>
      <c r="W47" s="57">
        <v>0.42112500000000003</v>
      </c>
      <c r="X47" s="57">
        <v>0.42386699999999999</v>
      </c>
      <c r="Y47" s="57">
        <v>0.426979</v>
      </c>
      <c r="Z47" s="57">
        <v>0.42966399999999999</v>
      </c>
      <c r="AA47" s="57">
        <v>0.43059999999999998</v>
      </c>
      <c r="AB47" s="57">
        <v>0.43231700000000001</v>
      </c>
      <c r="AC47" s="57">
        <v>0.43499399999999999</v>
      </c>
      <c r="AD47" s="57">
        <v>0.43802200000000002</v>
      </c>
      <c r="AE47" s="57">
        <v>0.44072099999999997</v>
      </c>
      <c r="AF47" s="58">
        <v>1.0315E-2</v>
      </c>
      <c r="AG47" s="27"/>
      <c r="AH47" s="20"/>
    </row>
    <row r="48" spans="1:34" ht="15" customHeight="1" x14ac:dyDescent="0.45">
      <c r="A48" s="26" t="s">
        <v>304</v>
      </c>
      <c r="B48" s="56" t="s">
        <v>305</v>
      </c>
      <c r="C48" s="57">
        <v>0.82970500000000003</v>
      </c>
      <c r="D48" s="57">
        <v>0.87751900000000005</v>
      </c>
      <c r="E48" s="57">
        <v>0.83412200000000003</v>
      </c>
      <c r="F48" s="57">
        <v>0.81346600000000002</v>
      </c>
      <c r="G48" s="57">
        <v>0.80361899999999997</v>
      </c>
      <c r="H48" s="57">
        <v>0.790551</v>
      </c>
      <c r="I48" s="57">
        <v>0.79605400000000004</v>
      </c>
      <c r="J48" s="57">
        <v>0.79901800000000001</v>
      </c>
      <c r="K48" s="57">
        <v>0.80105199999999999</v>
      </c>
      <c r="L48" s="57">
        <v>0.80231799999999998</v>
      </c>
      <c r="M48" s="57">
        <v>0.80347900000000005</v>
      </c>
      <c r="N48" s="57">
        <v>0.80382399999999998</v>
      </c>
      <c r="O48" s="57">
        <v>0.80393400000000004</v>
      </c>
      <c r="P48" s="57">
        <v>0.80400700000000003</v>
      </c>
      <c r="Q48" s="57">
        <v>0.80449499999999996</v>
      </c>
      <c r="R48" s="57">
        <v>0.80487200000000003</v>
      </c>
      <c r="S48" s="57">
        <v>0.80477799999999999</v>
      </c>
      <c r="T48" s="57">
        <v>0.80544700000000002</v>
      </c>
      <c r="U48" s="57">
        <v>0.80568399999999996</v>
      </c>
      <c r="V48" s="57">
        <v>0.80564000000000002</v>
      </c>
      <c r="W48" s="57">
        <v>0.80598599999999998</v>
      </c>
      <c r="X48" s="57">
        <v>0.80713400000000002</v>
      </c>
      <c r="Y48" s="57">
        <v>0.80882299999999996</v>
      </c>
      <c r="Z48" s="57">
        <v>0.80998599999999998</v>
      </c>
      <c r="AA48" s="57">
        <v>0.81049899999999997</v>
      </c>
      <c r="AB48" s="57">
        <v>0.81148799999999999</v>
      </c>
      <c r="AC48" s="57">
        <v>0.81317700000000004</v>
      </c>
      <c r="AD48" s="57">
        <v>0.814774</v>
      </c>
      <c r="AE48" s="57">
        <v>0.81596199999999997</v>
      </c>
      <c r="AF48" s="58">
        <v>-5.9599999999999996E-4</v>
      </c>
      <c r="AG48" s="27"/>
      <c r="AH48" s="20"/>
    </row>
    <row r="49" spans="1:34" ht="15" customHeight="1" x14ac:dyDescent="0.35">
      <c r="A49" s="26" t="s">
        <v>306</v>
      </c>
      <c r="B49" s="55" t="s">
        <v>127</v>
      </c>
      <c r="C49" s="59">
        <v>3.602684</v>
      </c>
      <c r="D49" s="59">
        <v>3.610131</v>
      </c>
      <c r="E49" s="59">
        <v>3.5027339999999998</v>
      </c>
      <c r="F49" s="59">
        <v>3.5410949999999999</v>
      </c>
      <c r="G49" s="59">
        <v>3.5789089999999999</v>
      </c>
      <c r="H49" s="59">
        <v>3.5987490000000002</v>
      </c>
      <c r="I49" s="59">
        <v>3.6282909999999999</v>
      </c>
      <c r="J49" s="59">
        <v>3.6445759999999998</v>
      </c>
      <c r="K49" s="59">
        <v>3.6556850000000001</v>
      </c>
      <c r="L49" s="59">
        <v>3.6654399999999998</v>
      </c>
      <c r="M49" s="59">
        <v>3.6726009999999998</v>
      </c>
      <c r="N49" s="59">
        <v>3.6732589999999998</v>
      </c>
      <c r="O49" s="59">
        <v>3.6711459999999998</v>
      </c>
      <c r="P49" s="59">
        <v>3.667367</v>
      </c>
      <c r="Q49" s="59">
        <v>3.6648679999999998</v>
      </c>
      <c r="R49" s="59">
        <v>3.6607940000000001</v>
      </c>
      <c r="S49" s="59">
        <v>3.6515330000000001</v>
      </c>
      <c r="T49" s="59">
        <v>3.644504</v>
      </c>
      <c r="U49" s="59">
        <v>3.6357249999999999</v>
      </c>
      <c r="V49" s="59">
        <v>3.626458</v>
      </c>
      <c r="W49" s="59">
        <v>3.6187040000000001</v>
      </c>
      <c r="X49" s="59">
        <v>3.6147429999999998</v>
      </c>
      <c r="Y49" s="59">
        <v>3.6141260000000002</v>
      </c>
      <c r="Z49" s="59">
        <v>3.6097969999999999</v>
      </c>
      <c r="AA49" s="59">
        <v>3.5982889999999998</v>
      </c>
      <c r="AB49" s="59">
        <v>3.5909900000000001</v>
      </c>
      <c r="AC49" s="59">
        <v>3.588797</v>
      </c>
      <c r="AD49" s="59">
        <v>3.5870440000000001</v>
      </c>
      <c r="AE49" s="59">
        <v>3.5822229999999999</v>
      </c>
      <c r="AF49" s="60">
        <v>-2.03E-4</v>
      </c>
      <c r="AG49" s="27"/>
      <c r="AH49" s="19"/>
    </row>
    <row r="50" spans="1:34" ht="15" customHeight="1" x14ac:dyDescent="0.35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</row>
    <row r="51" spans="1:34" ht="15" customHeight="1" x14ac:dyDescent="0.35">
      <c r="B51" s="55" t="s">
        <v>307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</row>
    <row r="52" spans="1:34" ht="15" customHeight="1" x14ac:dyDescent="0.45">
      <c r="A52" s="26" t="s">
        <v>308</v>
      </c>
      <c r="B52" s="56" t="s">
        <v>281</v>
      </c>
      <c r="C52" s="57">
        <v>0.21207100000000001</v>
      </c>
      <c r="D52" s="57">
        <v>0.20616000000000001</v>
      </c>
      <c r="E52" s="57">
        <v>0.189944</v>
      </c>
      <c r="F52" s="57">
        <v>0.191777</v>
      </c>
      <c r="G52" s="57">
        <v>0.193137</v>
      </c>
      <c r="H52" s="57">
        <v>0.194076</v>
      </c>
      <c r="I52" s="57">
        <v>0.19486300000000001</v>
      </c>
      <c r="J52" s="57">
        <v>0.19411800000000001</v>
      </c>
      <c r="K52" s="57">
        <v>0.19242799999999999</v>
      </c>
      <c r="L52" s="57">
        <v>0.19037799999999999</v>
      </c>
      <c r="M52" s="57">
        <v>0.18828600000000001</v>
      </c>
      <c r="N52" s="57">
        <v>0.18609100000000001</v>
      </c>
      <c r="O52" s="57">
        <v>0.18387200000000001</v>
      </c>
      <c r="P52" s="57">
        <v>0.18149599999999999</v>
      </c>
      <c r="Q52" s="57">
        <v>0.17910799999999999</v>
      </c>
      <c r="R52" s="57">
        <v>0.176649</v>
      </c>
      <c r="S52" s="57">
        <v>0.17415</v>
      </c>
      <c r="T52" s="57">
        <v>0.17161699999999999</v>
      </c>
      <c r="U52" s="57">
        <v>0.16906099999999999</v>
      </c>
      <c r="V52" s="57">
        <v>0.16651299999999999</v>
      </c>
      <c r="W52" s="57">
        <v>0.16403699999999999</v>
      </c>
      <c r="X52" s="57">
        <v>0.161519</v>
      </c>
      <c r="Y52" s="57">
        <v>0.159163</v>
      </c>
      <c r="Z52" s="57">
        <v>0.15679599999999999</v>
      </c>
      <c r="AA52" s="57">
        <v>0.154307</v>
      </c>
      <c r="AB52" s="57">
        <v>0.15187</v>
      </c>
      <c r="AC52" s="57">
        <v>0.149531</v>
      </c>
      <c r="AD52" s="57">
        <v>0.1472</v>
      </c>
      <c r="AE52" s="57">
        <v>0.14493500000000001</v>
      </c>
      <c r="AF52" s="58">
        <v>-1.3502E-2</v>
      </c>
      <c r="AG52" s="27"/>
      <c r="AH52" s="20"/>
    </row>
    <row r="53" spans="1:34" ht="15" customHeight="1" x14ac:dyDescent="0.45">
      <c r="A53" s="26" t="s">
        <v>309</v>
      </c>
      <c r="B53" s="56" t="s">
        <v>285</v>
      </c>
      <c r="C53" s="57">
        <v>6.1390000000000004E-3</v>
      </c>
      <c r="D53" s="57">
        <v>5.8989999999999997E-3</v>
      </c>
      <c r="E53" s="57">
        <v>5.8729999999999997E-3</v>
      </c>
      <c r="F53" s="57">
        <v>5.9800000000000001E-3</v>
      </c>
      <c r="G53" s="57">
        <v>6.0720000000000001E-3</v>
      </c>
      <c r="H53" s="57">
        <v>6.1510000000000002E-3</v>
      </c>
      <c r="I53" s="57">
        <v>6.2319999999999997E-3</v>
      </c>
      <c r="J53" s="57">
        <v>6.2690000000000003E-3</v>
      </c>
      <c r="K53" s="57">
        <v>6.2769999999999996E-3</v>
      </c>
      <c r="L53" s="57">
        <v>6.2700000000000004E-3</v>
      </c>
      <c r="M53" s="57">
        <v>6.2620000000000002E-3</v>
      </c>
      <c r="N53" s="57">
        <v>6.2490000000000002E-3</v>
      </c>
      <c r="O53" s="57">
        <v>6.2350000000000001E-3</v>
      </c>
      <c r="P53" s="57">
        <v>6.215E-3</v>
      </c>
      <c r="Q53" s="57">
        <v>6.1929999999999997E-3</v>
      </c>
      <c r="R53" s="57">
        <v>6.1669999999999997E-3</v>
      </c>
      <c r="S53" s="57">
        <v>6.1390000000000004E-3</v>
      </c>
      <c r="T53" s="57">
        <v>6.1089999999999998E-3</v>
      </c>
      <c r="U53" s="57">
        <v>6.0800000000000003E-3</v>
      </c>
      <c r="V53" s="57">
        <v>6.0480000000000004E-3</v>
      </c>
      <c r="W53" s="57">
        <v>6.0179999999999999E-3</v>
      </c>
      <c r="X53" s="57">
        <v>5.986E-3</v>
      </c>
      <c r="Y53" s="57">
        <v>5.96E-3</v>
      </c>
      <c r="Z53" s="57">
        <v>5.9329999999999999E-3</v>
      </c>
      <c r="AA53" s="57">
        <v>5.901E-3</v>
      </c>
      <c r="AB53" s="57">
        <v>5.8710000000000004E-3</v>
      </c>
      <c r="AC53" s="57">
        <v>5.8389999999999996E-3</v>
      </c>
      <c r="AD53" s="57">
        <v>5.8089999999999999E-3</v>
      </c>
      <c r="AE53" s="57">
        <v>5.7800000000000004E-3</v>
      </c>
      <c r="AF53" s="58">
        <v>-2.1540000000000001E-3</v>
      </c>
      <c r="AG53" s="27"/>
      <c r="AH53" s="20"/>
    </row>
    <row r="54" spans="1:34" ht="15" customHeight="1" x14ac:dyDescent="0.45">
      <c r="A54" s="26" t="s">
        <v>310</v>
      </c>
      <c r="B54" s="56" t="s">
        <v>111</v>
      </c>
      <c r="C54" s="57">
        <v>7.9482999999999998E-2</v>
      </c>
      <c r="D54" s="57">
        <v>8.0017000000000005E-2</v>
      </c>
      <c r="E54" s="57">
        <v>8.1899E-2</v>
      </c>
      <c r="F54" s="57">
        <v>8.2917000000000005E-2</v>
      </c>
      <c r="G54" s="57">
        <v>8.3774000000000001E-2</v>
      </c>
      <c r="H54" s="57">
        <v>8.4482000000000002E-2</v>
      </c>
      <c r="I54" s="57">
        <v>8.6216000000000001E-2</v>
      </c>
      <c r="J54" s="57">
        <v>8.7276000000000006E-2</v>
      </c>
      <c r="K54" s="57">
        <v>8.7908E-2</v>
      </c>
      <c r="L54" s="57">
        <v>8.8286000000000003E-2</v>
      </c>
      <c r="M54" s="57">
        <v>8.8641999999999999E-2</v>
      </c>
      <c r="N54" s="57">
        <v>8.8950000000000001E-2</v>
      </c>
      <c r="O54" s="57">
        <v>8.9274000000000006E-2</v>
      </c>
      <c r="P54" s="57">
        <v>8.9539999999999995E-2</v>
      </c>
      <c r="Q54" s="57">
        <v>8.9810000000000001E-2</v>
      </c>
      <c r="R54" s="57">
        <v>9.0051999999999993E-2</v>
      </c>
      <c r="S54" s="57">
        <v>9.0277999999999997E-2</v>
      </c>
      <c r="T54" s="57">
        <v>9.0495999999999993E-2</v>
      </c>
      <c r="U54" s="57">
        <v>9.0717000000000006E-2</v>
      </c>
      <c r="V54" s="57">
        <v>9.0885999999999995E-2</v>
      </c>
      <c r="W54" s="57">
        <v>9.1095999999999996E-2</v>
      </c>
      <c r="X54" s="57">
        <v>9.1273999999999994E-2</v>
      </c>
      <c r="Y54" s="57">
        <v>9.1533000000000003E-2</v>
      </c>
      <c r="Z54" s="57">
        <v>9.1760999999999995E-2</v>
      </c>
      <c r="AA54" s="57">
        <v>9.1551999999999994E-2</v>
      </c>
      <c r="AB54" s="57">
        <v>9.1488E-2</v>
      </c>
      <c r="AC54" s="57">
        <v>9.1622999999999996E-2</v>
      </c>
      <c r="AD54" s="57">
        <v>9.1867000000000004E-2</v>
      </c>
      <c r="AE54" s="57">
        <v>9.2141000000000001E-2</v>
      </c>
      <c r="AF54" s="58">
        <v>5.2919999999999998E-3</v>
      </c>
      <c r="AG54" s="27"/>
      <c r="AH54" s="20"/>
    </row>
    <row r="55" spans="1:34" ht="15" customHeight="1" x14ac:dyDescent="0.35">
      <c r="A55" s="26" t="s">
        <v>311</v>
      </c>
      <c r="B55" s="55" t="s">
        <v>127</v>
      </c>
      <c r="C55" s="59">
        <v>0.29769400000000001</v>
      </c>
      <c r="D55" s="59">
        <v>0.292076</v>
      </c>
      <c r="E55" s="59">
        <v>0.27771600000000002</v>
      </c>
      <c r="F55" s="59">
        <v>0.28067399999999998</v>
      </c>
      <c r="G55" s="59">
        <v>0.28298299999999998</v>
      </c>
      <c r="H55" s="59">
        <v>0.28470800000000002</v>
      </c>
      <c r="I55" s="59">
        <v>0.28731099999999998</v>
      </c>
      <c r="J55" s="59">
        <v>0.287663</v>
      </c>
      <c r="K55" s="59">
        <v>0.28661300000000001</v>
      </c>
      <c r="L55" s="59">
        <v>0.28493400000000002</v>
      </c>
      <c r="M55" s="59">
        <v>0.28319</v>
      </c>
      <c r="N55" s="59">
        <v>0.28128999999999998</v>
      </c>
      <c r="O55" s="59">
        <v>0.27938000000000002</v>
      </c>
      <c r="P55" s="59">
        <v>0.27725100000000003</v>
      </c>
      <c r="Q55" s="59">
        <v>0.27511099999999999</v>
      </c>
      <c r="R55" s="59">
        <v>0.272868</v>
      </c>
      <c r="S55" s="59">
        <v>0.27056799999999998</v>
      </c>
      <c r="T55" s="59">
        <v>0.26822299999999999</v>
      </c>
      <c r="U55" s="59">
        <v>0.26585700000000001</v>
      </c>
      <c r="V55" s="59">
        <v>0.26344699999999999</v>
      </c>
      <c r="W55" s="59">
        <v>0.26114999999999999</v>
      </c>
      <c r="X55" s="59">
        <v>0.25877899999999998</v>
      </c>
      <c r="Y55" s="59">
        <v>0.25665500000000002</v>
      </c>
      <c r="Z55" s="59">
        <v>0.25448999999999999</v>
      </c>
      <c r="AA55" s="59">
        <v>0.25175900000000001</v>
      </c>
      <c r="AB55" s="59">
        <v>0.24922900000000001</v>
      </c>
      <c r="AC55" s="59">
        <v>0.24699299999999999</v>
      </c>
      <c r="AD55" s="59">
        <v>0.24487600000000001</v>
      </c>
      <c r="AE55" s="59">
        <v>0.24285599999999999</v>
      </c>
      <c r="AF55" s="60">
        <v>-7.2449999999999997E-3</v>
      </c>
      <c r="AG55" s="27"/>
      <c r="AH55" s="19"/>
    </row>
    <row r="56" spans="1:34" ht="15" customHeight="1" x14ac:dyDescent="0.35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</row>
    <row r="57" spans="1:34" ht="15" customHeight="1" x14ac:dyDescent="0.45">
      <c r="A57" s="26" t="s">
        <v>312</v>
      </c>
      <c r="B57" s="56" t="s">
        <v>313</v>
      </c>
      <c r="C57" s="57">
        <v>0.120805</v>
      </c>
      <c r="D57" s="57">
        <v>0.120805</v>
      </c>
      <c r="E57" s="57">
        <v>0.120805</v>
      </c>
      <c r="F57" s="57">
        <v>0.120805</v>
      </c>
      <c r="G57" s="57">
        <v>0.120805</v>
      </c>
      <c r="H57" s="57">
        <v>0.120805</v>
      </c>
      <c r="I57" s="57">
        <v>0.120805</v>
      </c>
      <c r="J57" s="57">
        <v>0.120805</v>
      </c>
      <c r="K57" s="57">
        <v>0.120805</v>
      </c>
      <c r="L57" s="57">
        <v>0.120805</v>
      </c>
      <c r="M57" s="57">
        <v>0.120805</v>
      </c>
      <c r="N57" s="57">
        <v>0.120805</v>
      </c>
      <c r="O57" s="57">
        <v>0.120805</v>
      </c>
      <c r="P57" s="57">
        <v>0.120805</v>
      </c>
      <c r="Q57" s="57">
        <v>0.120805</v>
      </c>
      <c r="R57" s="57">
        <v>0.120805</v>
      </c>
      <c r="S57" s="57">
        <v>0.120805</v>
      </c>
      <c r="T57" s="57">
        <v>0.120805</v>
      </c>
      <c r="U57" s="57">
        <v>0.120805</v>
      </c>
      <c r="V57" s="57">
        <v>0.120805</v>
      </c>
      <c r="W57" s="57">
        <v>0.120805</v>
      </c>
      <c r="X57" s="57">
        <v>0.120805</v>
      </c>
      <c r="Y57" s="57">
        <v>0.120805</v>
      </c>
      <c r="Z57" s="57">
        <v>0.120805</v>
      </c>
      <c r="AA57" s="57">
        <v>0.120805</v>
      </c>
      <c r="AB57" s="57">
        <v>0.120805</v>
      </c>
      <c r="AC57" s="57">
        <v>0.120805</v>
      </c>
      <c r="AD57" s="57">
        <v>0.120805</v>
      </c>
      <c r="AE57" s="57">
        <v>0.120805</v>
      </c>
      <c r="AF57" s="58">
        <v>0</v>
      </c>
      <c r="AG57" s="27"/>
      <c r="AH57" s="20"/>
    </row>
    <row r="58" spans="1:34" ht="15" customHeight="1" x14ac:dyDescent="0.45">
      <c r="A58" s="26" t="s">
        <v>314</v>
      </c>
      <c r="B58" s="56" t="s">
        <v>315</v>
      </c>
      <c r="C58" s="57">
        <v>0.59923199999999999</v>
      </c>
      <c r="D58" s="57">
        <v>0.60484899999999997</v>
      </c>
      <c r="E58" s="57">
        <v>0.60413099999999997</v>
      </c>
      <c r="F58" s="57">
        <v>0.60436699999999999</v>
      </c>
      <c r="G58" s="57">
        <v>0.60346599999999995</v>
      </c>
      <c r="H58" s="57">
        <v>0.60290500000000002</v>
      </c>
      <c r="I58" s="57">
        <v>0.60595600000000005</v>
      </c>
      <c r="J58" s="57">
        <v>0.60901499999999997</v>
      </c>
      <c r="K58" s="57">
        <v>0.61300100000000002</v>
      </c>
      <c r="L58" s="57">
        <v>0.61517599999999995</v>
      </c>
      <c r="M58" s="57">
        <v>0.61818700000000004</v>
      </c>
      <c r="N58" s="57">
        <v>0.62084499999999998</v>
      </c>
      <c r="O58" s="57">
        <v>0.62326899999999996</v>
      </c>
      <c r="P58" s="57">
        <v>0.62568900000000005</v>
      </c>
      <c r="Q58" s="57">
        <v>0.62770099999999995</v>
      </c>
      <c r="R58" s="57">
        <v>0.62944199999999995</v>
      </c>
      <c r="S58" s="57">
        <v>0.63111700000000004</v>
      </c>
      <c r="T58" s="57">
        <v>0.63296799999999998</v>
      </c>
      <c r="U58" s="57">
        <v>0.63469799999999998</v>
      </c>
      <c r="V58" s="57">
        <v>0.63639999999999997</v>
      </c>
      <c r="W58" s="57">
        <v>0.63813500000000001</v>
      </c>
      <c r="X58" s="57">
        <v>0.63997199999999999</v>
      </c>
      <c r="Y58" s="57">
        <v>0.64172499999999999</v>
      </c>
      <c r="Z58" s="57">
        <v>0.64349199999999995</v>
      </c>
      <c r="AA58" s="57">
        <v>0.64472399999999996</v>
      </c>
      <c r="AB58" s="57">
        <v>0.64665099999999998</v>
      </c>
      <c r="AC58" s="57">
        <v>0.64840600000000004</v>
      </c>
      <c r="AD58" s="57">
        <v>0.65046800000000005</v>
      </c>
      <c r="AE58" s="57">
        <v>0.65251300000000001</v>
      </c>
      <c r="AF58" s="58">
        <v>3.0469999999999998E-3</v>
      </c>
      <c r="AG58" s="27"/>
      <c r="AH58" s="20"/>
    </row>
    <row r="59" spans="1:34" ht="15" customHeight="1" x14ac:dyDescent="0.35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</row>
    <row r="60" spans="1:34" ht="15" customHeight="1" x14ac:dyDescent="0.35">
      <c r="B60" s="55" t="s">
        <v>143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1:34" ht="15" customHeight="1" x14ac:dyDescent="0.45">
      <c r="A61" s="26" t="s">
        <v>316</v>
      </c>
      <c r="B61" s="56" t="s">
        <v>281</v>
      </c>
      <c r="C61" s="57">
        <v>2.1567989999999999</v>
      </c>
      <c r="D61" s="57">
        <v>2.119221</v>
      </c>
      <c r="E61" s="57">
        <v>2.0069789999999998</v>
      </c>
      <c r="F61" s="57">
        <v>2.0414409999999998</v>
      </c>
      <c r="G61" s="57">
        <v>2.0682239999999998</v>
      </c>
      <c r="H61" s="57">
        <v>2.0844740000000002</v>
      </c>
      <c r="I61" s="57">
        <v>2.0941689999999999</v>
      </c>
      <c r="J61" s="57">
        <v>2.0944859999999998</v>
      </c>
      <c r="K61" s="57">
        <v>2.0905140000000002</v>
      </c>
      <c r="L61" s="57">
        <v>2.0858240000000001</v>
      </c>
      <c r="M61" s="57">
        <v>2.0792950000000001</v>
      </c>
      <c r="N61" s="57">
        <v>2.0688300000000002</v>
      </c>
      <c r="O61" s="57">
        <v>2.0566239999999998</v>
      </c>
      <c r="P61" s="57">
        <v>2.0432839999999999</v>
      </c>
      <c r="Q61" s="57">
        <v>2.0304120000000001</v>
      </c>
      <c r="R61" s="57">
        <v>2.0165229999999998</v>
      </c>
      <c r="S61" s="57">
        <v>1.999519</v>
      </c>
      <c r="T61" s="57">
        <v>1.9832240000000001</v>
      </c>
      <c r="U61" s="57">
        <v>1.9662580000000001</v>
      </c>
      <c r="V61" s="57">
        <v>1.9491309999999999</v>
      </c>
      <c r="W61" s="57">
        <v>1.9327799999999999</v>
      </c>
      <c r="X61" s="57">
        <v>1.9181760000000001</v>
      </c>
      <c r="Y61" s="57">
        <v>1.905357</v>
      </c>
      <c r="Z61" s="57">
        <v>1.8906529999999999</v>
      </c>
      <c r="AA61" s="57">
        <v>1.8733</v>
      </c>
      <c r="AB61" s="57">
        <v>1.8577349999999999</v>
      </c>
      <c r="AC61" s="57">
        <v>1.84416</v>
      </c>
      <c r="AD61" s="57">
        <v>1.8304210000000001</v>
      </c>
      <c r="AE61" s="57">
        <v>1.815094</v>
      </c>
      <c r="AF61" s="58">
        <v>-6.1409999999999998E-3</v>
      </c>
      <c r="AG61" s="27"/>
      <c r="AH61" s="20"/>
    </row>
    <row r="62" spans="1:34" ht="15" customHeight="1" x14ac:dyDescent="0.45">
      <c r="A62" s="26" t="s">
        <v>317</v>
      </c>
      <c r="B62" s="56" t="s">
        <v>283</v>
      </c>
      <c r="C62" s="57">
        <v>0.56770900000000002</v>
      </c>
      <c r="D62" s="57">
        <v>0.497307</v>
      </c>
      <c r="E62" s="57">
        <v>0.57641799999999999</v>
      </c>
      <c r="F62" s="57">
        <v>0.58604000000000001</v>
      </c>
      <c r="G62" s="57">
        <v>0.59398200000000001</v>
      </c>
      <c r="H62" s="57">
        <v>0.60145700000000002</v>
      </c>
      <c r="I62" s="57">
        <v>0.60889700000000002</v>
      </c>
      <c r="J62" s="57">
        <v>0.61600200000000005</v>
      </c>
      <c r="K62" s="57">
        <v>0.62178699999999998</v>
      </c>
      <c r="L62" s="57">
        <v>0.62784799999999996</v>
      </c>
      <c r="M62" s="57">
        <v>0.63409899999999997</v>
      </c>
      <c r="N62" s="57">
        <v>0.63862600000000003</v>
      </c>
      <c r="O62" s="57">
        <v>0.64276299999999997</v>
      </c>
      <c r="P62" s="57">
        <v>0.64734499999999995</v>
      </c>
      <c r="Q62" s="57">
        <v>0.65202800000000005</v>
      </c>
      <c r="R62" s="57">
        <v>0.65664400000000001</v>
      </c>
      <c r="S62" s="57">
        <v>0.66073000000000004</v>
      </c>
      <c r="T62" s="57">
        <v>0.66483199999999998</v>
      </c>
      <c r="U62" s="57">
        <v>0.66848200000000002</v>
      </c>
      <c r="V62" s="57">
        <v>0.67252000000000001</v>
      </c>
      <c r="W62" s="57">
        <v>0.67693099999999995</v>
      </c>
      <c r="X62" s="57">
        <v>0.68160100000000001</v>
      </c>
      <c r="Y62" s="57">
        <v>0.68668499999999999</v>
      </c>
      <c r="Z62" s="57">
        <v>0.69230199999999997</v>
      </c>
      <c r="AA62" s="57">
        <v>0.69904699999999997</v>
      </c>
      <c r="AB62" s="57">
        <v>0.70658299999999996</v>
      </c>
      <c r="AC62" s="57">
        <v>0.71440800000000004</v>
      </c>
      <c r="AD62" s="57">
        <v>0.72237300000000004</v>
      </c>
      <c r="AE62" s="57">
        <v>0.73107699999999998</v>
      </c>
      <c r="AF62" s="58">
        <v>9.0729999999999995E-3</v>
      </c>
      <c r="AG62" s="27"/>
      <c r="AH62" s="20"/>
    </row>
    <row r="63" spans="1:34" ht="15" customHeight="1" x14ac:dyDescent="0.45">
      <c r="A63" s="26" t="s">
        <v>318</v>
      </c>
      <c r="B63" s="56" t="s">
        <v>285</v>
      </c>
      <c r="C63" s="57">
        <v>0.62239199999999995</v>
      </c>
      <c r="D63" s="57">
        <v>0.61648700000000001</v>
      </c>
      <c r="E63" s="57">
        <v>0.62638199999999999</v>
      </c>
      <c r="F63" s="57">
        <v>0.64160099999999998</v>
      </c>
      <c r="G63" s="57">
        <v>0.65436700000000003</v>
      </c>
      <c r="H63" s="57">
        <v>0.66423600000000005</v>
      </c>
      <c r="I63" s="57">
        <v>0.67247500000000004</v>
      </c>
      <c r="J63" s="57">
        <v>0.67865399999999998</v>
      </c>
      <c r="K63" s="57">
        <v>0.68412200000000001</v>
      </c>
      <c r="L63" s="57">
        <v>0.68943200000000004</v>
      </c>
      <c r="M63" s="57">
        <v>0.69428699999999999</v>
      </c>
      <c r="N63" s="57">
        <v>0.69785900000000001</v>
      </c>
      <c r="O63" s="57">
        <v>0.70086000000000004</v>
      </c>
      <c r="P63" s="57">
        <v>0.70355900000000005</v>
      </c>
      <c r="Q63" s="57">
        <v>0.70652700000000002</v>
      </c>
      <c r="R63" s="57">
        <v>0.70912900000000001</v>
      </c>
      <c r="S63" s="57">
        <v>0.71062800000000004</v>
      </c>
      <c r="T63" s="57">
        <v>0.71255900000000005</v>
      </c>
      <c r="U63" s="57">
        <v>0.71415200000000001</v>
      </c>
      <c r="V63" s="57">
        <v>0.71578200000000003</v>
      </c>
      <c r="W63" s="57">
        <v>0.71773699999999996</v>
      </c>
      <c r="X63" s="57">
        <v>0.72048800000000002</v>
      </c>
      <c r="Y63" s="57">
        <v>0.72402699999999998</v>
      </c>
      <c r="Z63" s="57">
        <v>0.72670500000000005</v>
      </c>
      <c r="AA63" s="57">
        <v>0.72720399999999996</v>
      </c>
      <c r="AB63" s="57">
        <v>0.72896399999999995</v>
      </c>
      <c r="AC63" s="57">
        <v>0.73219699999999999</v>
      </c>
      <c r="AD63" s="57">
        <v>0.73582999999999998</v>
      </c>
      <c r="AE63" s="57">
        <v>0.73886499999999999</v>
      </c>
      <c r="AF63" s="58">
        <v>6.1450000000000003E-3</v>
      </c>
      <c r="AG63" s="27"/>
      <c r="AH63" s="20"/>
    </row>
    <row r="64" spans="1:34" ht="15" customHeight="1" x14ac:dyDescent="0.45">
      <c r="A64" s="26" t="s">
        <v>319</v>
      </c>
      <c r="B64" s="56" t="s">
        <v>287</v>
      </c>
      <c r="C64" s="57">
        <v>0.41879300000000003</v>
      </c>
      <c r="D64" s="57">
        <v>0.407891</v>
      </c>
      <c r="E64" s="57">
        <v>0.40001900000000001</v>
      </c>
      <c r="F64" s="57">
        <v>0.394285</v>
      </c>
      <c r="G64" s="57">
        <v>0.38813999999999999</v>
      </c>
      <c r="H64" s="57">
        <v>0.38119500000000001</v>
      </c>
      <c r="I64" s="57">
        <v>0.37394899999999998</v>
      </c>
      <c r="J64" s="57">
        <v>0.36649399999999999</v>
      </c>
      <c r="K64" s="57">
        <v>0.35841099999999998</v>
      </c>
      <c r="L64" s="57">
        <v>0.35066599999999998</v>
      </c>
      <c r="M64" s="57">
        <v>0.34295799999999999</v>
      </c>
      <c r="N64" s="57">
        <v>0.33487299999999998</v>
      </c>
      <c r="O64" s="57">
        <v>0.32677299999999998</v>
      </c>
      <c r="P64" s="57">
        <v>0.31914799999999999</v>
      </c>
      <c r="Q64" s="57">
        <v>0.311811</v>
      </c>
      <c r="R64" s="57">
        <v>0.30456</v>
      </c>
      <c r="S64" s="57">
        <v>0.29719499999999999</v>
      </c>
      <c r="T64" s="57">
        <v>0.28995700000000002</v>
      </c>
      <c r="U64" s="57">
        <v>0.28303099999999998</v>
      </c>
      <c r="V64" s="57">
        <v>0.276615</v>
      </c>
      <c r="W64" s="57">
        <v>0.270569</v>
      </c>
      <c r="X64" s="57">
        <v>0.26481399999999999</v>
      </c>
      <c r="Y64" s="57">
        <v>0.25929200000000002</v>
      </c>
      <c r="Z64" s="57">
        <v>0.25397799999999998</v>
      </c>
      <c r="AA64" s="57">
        <v>0.24892300000000001</v>
      </c>
      <c r="AB64" s="57">
        <v>0.24418300000000001</v>
      </c>
      <c r="AC64" s="57">
        <v>0.239593</v>
      </c>
      <c r="AD64" s="57">
        <v>0.23527899999999999</v>
      </c>
      <c r="AE64" s="57">
        <v>0.23125899999999999</v>
      </c>
      <c r="AF64" s="58">
        <v>-2.0985E-2</v>
      </c>
      <c r="AG64" s="27"/>
      <c r="AH64" s="20"/>
    </row>
    <row r="65" spans="1:34" ht="15" customHeight="1" x14ac:dyDescent="0.45">
      <c r="A65" s="26" t="s">
        <v>320</v>
      </c>
      <c r="B65" s="56" t="s">
        <v>93</v>
      </c>
      <c r="C65" s="57">
        <v>0.41303499999999999</v>
      </c>
      <c r="D65" s="57">
        <v>0.41266199999999997</v>
      </c>
      <c r="E65" s="57">
        <v>0.42121900000000001</v>
      </c>
      <c r="F65" s="57">
        <v>0.43261899999999998</v>
      </c>
      <c r="G65" s="57">
        <v>0.44208500000000001</v>
      </c>
      <c r="H65" s="57">
        <v>0.44947500000000001</v>
      </c>
      <c r="I65" s="57">
        <v>0.45582400000000001</v>
      </c>
      <c r="J65" s="57">
        <v>0.46112399999999998</v>
      </c>
      <c r="K65" s="57">
        <v>0.46594099999999999</v>
      </c>
      <c r="L65" s="57">
        <v>0.470744</v>
      </c>
      <c r="M65" s="57">
        <v>0.47515000000000002</v>
      </c>
      <c r="N65" s="57">
        <v>0.47858099999999998</v>
      </c>
      <c r="O65" s="57">
        <v>0.48148600000000003</v>
      </c>
      <c r="P65" s="57">
        <v>0.48413</v>
      </c>
      <c r="Q65" s="57">
        <v>0.486817</v>
      </c>
      <c r="R65" s="57">
        <v>0.48918800000000001</v>
      </c>
      <c r="S65" s="57">
        <v>0.49080400000000002</v>
      </c>
      <c r="T65" s="57">
        <v>0.49257499999999999</v>
      </c>
      <c r="U65" s="57">
        <v>0.49400100000000002</v>
      </c>
      <c r="V65" s="57">
        <v>0.49556600000000001</v>
      </c>
      <c r="W65" s="57">
        <v>0.497278</v>
      </c>
      <c r="X65" s="57">
        <v>0.49942399999999998</v>
      </c>
      <c r="Y65" s="57">
        <v>0.50195699999999999</v>
      </c>
      <c r="Z65" s="57">
        <v>0.50407800000000003</v>
      </c>
      <c r="AA65" s="57">
        <v>0.50450399999999995</v>
      </c>
      <c r="AB65" s="57">
        <v>0.50577300000000003</v>
      </c>
      <c r="AC65" s="57">
        <v>0.50798699999999997</v>
      </c>
      <c r="AD65" s="57">
        <v>0.51055899999999999</v>
      </c>
      <c r="AE65" s="57">
        <v>0.51284300000000005</v>
      </c>
      <c r="AF65" s="58">
        <v>7.7600000000000004E-3</v>
      </c>
      <c r="AG65" s="27"/>
      <c r="AH65" s="20"/>
    </row>
    <row r="66" spans="1:34" ht="15" customHeight="1" x14ac:dyDescent="0.45">
      <c r="A66" s="26" t="s">
        <v>321</v>
      </c>
      <c r="B66" s="56" t="s">
        <v>99</v>
      </c>
      <c r="C66" s="57">
        <v>0.49728099999999997</v>
      </c>
      <c r="D66" s="57">
        <v>0.48855999999999999</v>
      </c>
      <c r="E66" s="57">
        <v>0.48579499999999998</v>
      </c>
      <c r="F66" s="57">
        <v>0.48757200000000001</v>
      </c>
      <c r="G66" s="57">
        <v>0.48936600000000002</v>
      </c>
      <c r="H66" s="57">
        <v>0.490566</v>
      </c>
      <c r="I66" s="57">
        <v>0.49202499999999999</v>
      </c>
      <c r="J66" s="57">
        <v>0.49368899999999999</v>
      </c>
      <c r="K66" s="57">
        <v>0.49101899999999998</v>
      </c>
      <c r="L66" s="57">
        <v>0.48896099999999998</v>
      </c>
      <c r="M66" s="57">
        <v>0.48697299999999999</v>
      </c>
      <c r="N66" s="57">
        <v>0.48422700000000002</v>
      </c>
      <c r="O66" s="57">
        <v>0.48097899999999999</v>
      </c>
      <c r="P66" s="57">
        <v>0.47800999999999999</v>
      </c>
      <c r="Q66" s="57">
        <v>0.474966</v>
      </c>
      <c r="R66" s="57">
        <v>0.47095500000000001</v>
      </c>
      <c r="S66" s="57">
        <v>0.46600999999999998</v>
      </c>
      <c r="T66" s="57">
        <v>0.45994200000000002</v>
      </c>
      <c r="U66" s="57">
        <v>0.45792899999999997</v>
      </c>
      <c r="V66" s="57">
        <v>0.45681100000000002</v>
      </c>
      <c r="W66" s="57">
        <v>0.45597100000000002</v>
      </c>
      <c r="X66" s="57">
        <v>0.45552999999999999</v>
      </c>
      <c r="Y66" s="57">
        <v>0.455459</v>
      </c>
      <c r="Z66" s="57">
        <v>0.45567999999999997</v>
      </c>
      <c r="AA66" s="57">
        <v>0.45632899999999998</v>
      </c>
      <c r="AB66" s="57">
        <v>0.45772200000000002</v>
      </c>
      <c r="AC66" s="57">
        <v>0.45915800000000001</v>
      </c>
      <c r="AD66" s="57">
        <v>0.460843</v>
      </c>
      <c r="AE66" s="57">
        <v>0.46300400000000003</v>
      </c>
      <c r="AF66" s="58">
        <v>-2.5469999999999998E-3</v>
      </c>
      <c r="AG66" s="27"/>
      <c r="AH66" s="20"/>
    </row>
    <row r="67" spans="1:34" ht="15" customHeight="1" x14ac:dyDescent="0.45">
      <c r="A67" s="26" t="s">
        <v>322</v>
      </c>
      <c r="B67" s="56" t="s">
        <v>91</v>
      </c>
      <c r="C67" s="57">
        <v>0.603352</v>
      </c>
      <c r="D67" s="57">
        <v>0.60135499999999997</v>
      </c>
      <c r="E67" s="57">
        <v>0.60267999999999999</v>
      </c>
      <c r="F67" s="57">
        <v>0.60644600000000004</v>
      </c>
      <c r="G67" s="57">
        <v>0.60968599999999995</v>
      </c>
      <c r="H67" s="57">
        <v>0.61227900000000002</v>
      </c>
      <c r="I67" s="57">
        <v>0.61520399999999997</v>
      </c>
      <c r="J67" s="57">
        <v>0.61849299999999996</v>
      </c>
      <c r="K67" s="57">
        <v>0.62074799999999997</v>
      </c>
      <c r="L67" s="57">
        <v>0.62390000000000001</v>
      </c>
      <c r="M67" s="57">
        <v>0.62699000000000005</v>
      </c>
      <c r="N67" s="57">
        <v>0.62938700000000003</v>
      </c>
      <c r="O67" s="57">
        <v>0.63132500000000003</v>
      </c>
      <c r="P67" s="57">
        <v>0.63321400000000005</v>
      </c>
      <c r="Q67" s="57">
        <v>0.63485499999999995</v>
      </c>
      <c r="R67" s="57">
        <v>0.63615500000000003</v>
      </c>
      <c r="S67" s="57">
        <v>0.636938</v>
      </c>
      <c r="T67" s="57">
        <v>0.63747399999999999</v>
      </c>
      <c r="U67" s="57">
        <v>0.63791900000000001</v>
      </c>
      <c r="V67" s="57">
        <v>0.63905800000000001</v>
      </c>
      <c r="W67" s="57">
        <v>0.64029400000000003</v>
      </c>
      <c r="X67" s="57">
        <v>0.64160899999999998</v>
      </c>
      <c r="Y67" s="57">
        <v>0.642984</v>
      </c>
      <c r="Z67" s="57">
        <v>0.64441700000000002</v>
      </c>
      <c r="AA67" s="57">
        <v>0.64599600000000001</v>
      </c>
      <c r="AB67" s="57">
        <v>0.64779299999999995</v>
      </c>
      <c r="AC67" s="57">
        <v>0.64965700000000004</v>
      </c>
      <c r="AD67" s="57">
        <v>0.65169699999999997</v>
      </c>
      <c r="AE67" s="57">
        <v>0.65393400000000002</v>
      </c>
      <c r="AF67" s="58">
        <v>2.879E-3</v>
      </c>
      <c r="AG67" s="27"/>
      <c r="AH67" s="20"/>
    </row>
    <row r="68" spans="1:34" ht="15" customHeight="1" x14ac:dyDescent="0.45">
      <c r="A68" s="26" t="s">
        <v>323</v>
      </c>
      <c r="B68" s="56" t="s">
        <v>292</v>
      </c>
      <c r="C68" s="57">
        <v>0.43073600000000001</v>
      </c>
      <c r="D68" s="57">
        <v>0.434585</v>
      </c>
      <c r="E68" s="57">
        <v>0.43993500000000002</v>
      </c>
      <c r="F68" s="57">
        <v>0.447378</v>
      </c>
      <c r="G68" s="57">
        <v>0.45436900000000002</v>
      </c>
      <c r="H68" s="57">
        <v>0.46098600000000001</v>
      </c>
      <c r="I68" s="57">
        <v>0.46887200000000001</v>
      </c>
      <c r="J68" s="57">
        <v>0.477159</v>
      </c>
      <c r="K68" s="57">
        <v>0.48619699999999999</v>
      </c>
      <c r="L68" s="57">
        <v>0.49543300000000001</v>
      </c>
      <c r="M68" s="57">
        <v>0.50508200000000003</v>
      </c>
      <c r="N68" s="57">
        <v>0.51431199999999999</v>
      </c>
      <c r="O68" s="57">
        <v>0.52371100000000004</v>
      </c>
      <c r="P68" s="57">
        <v>0.53291500000000003</v>
      </c>
      <c r="Q68" s="57">
        <v>0.54290400000000005</v>
      </c>
      <c r="R68" s="57">
        <v>0.55216500000000002</v>
      </c>
      <c r="S68" s="57">
        <v>0.56217499999999998</v>
      </c>
      <c r="T68" s="57">
        <v>0.57200700000000004</v>
      </c>
      <c r="U68" s="57">
        <v>0.58174599999999999</v>
      </c>
      <c r="V68" s="57">
        <v>0.59145400000000004</v>
      </c>
      <c r="W68" s="57">
        <v>0.60173699999999997</v>
      </c>
      <c r="X68" s="57">
        <v>0.61264799999999997</v>
      </c>
      <c r="Y68" s="57">
        <v>0.62317100000000003</v>
      </c>
      <c r="Z68" s="57">
        <v>0.63440600000000003</v>
      </c>
      <c r="AA68" s="57">
        <v>0.64643499999999998</v>
      </c>
      <c r="AB68" s="57">
        <v>0.65822099999999995</v>
      </c>
      <c r="AC68" s="57">
        <v>0.67073700000000003</v>
      </c>
      <c r="AD68" s="57">
        <v>0.68349800000000005</v>
      </c>
      <c r="AE68" s="57">
        <v>0.69654000000000005</v>
      </c>
      <c r="AF68" s="58">
        <v>1.7312999999999999E-2</v>
      </c>
      <c r="AG68" s="27"/>
      <c r="AH68" s="20"/>
    </row>
    <row r="69" spans="1:34" ht="15" customHeight="1" x14ac:dyDescent="0.45">
      <c r="A69" s="26" t="s">
        <v>324</v>
      </c>
      <c r="B69" s="56" t="s">
        <v>294</v>
      </c>
      <c r="C69" s="57">
        <v>0.174708</v>
      </c>
      <c r="D69" s="57">
        <v>0.173262</v>
      </c>
      <c r="E69" s="57">
        <v>0.17277699999999999</v>
      </c>
      <c r="F69" s="57">
        <v>0.17319300000000001</v>
      </c>
      <c r="G69" s="57">
        <v>0.17386399999999999</v>
      </c>
      <c r="H69" s="57">
        <v>0.174594</v>
      </c>
      <c r="I69" s="57">
        <v>0.17566599999999999</v>
      </c>
      <c r="J69" s="57">
        <v>0.17710699999999999</v>
      </c>
      <c r="K69" s="57">
        <v>0.17887400000000001</v>
      </c>
      <c r="L69" s="57">
        <v>0.180673</v>
      </c>
      <c r="M69" s="57">
        <v>0.18267900000000001</v>
      </c>
      <c r="N69" s="57">
        <v>0.184498</v>
      </c>
      <c r="O69" s="57">
        <v>0.185888</v>
      </c>
      <c r="P69" s="57">
        <v>0.18745700000000001</v>
      </c>
      <c r="Q69" s="57">
        <v>0.18862699999999999</v>
      </c>
      <c r="R69" s="57">
        <v>0.18968199999999999</v>
      </c>
      <c r="S69" s="57">
        <v>0.190608</v>
      </c>
      <c r="T69" s="57">
        <v>0.190859</v>
      </c>
      <c r="U69" s="57">
        <v>0.19103999999999999</v>
      </c>
      <c r="V69" s="57">
        <v>0.19087699999999999</v>
      </c>
      <c r="W69" s="57">
        <v>0.19009000000000001</v>
      </c>
      <c r="X69" s="57">
        <v>0.18897900000000001</v>
      </c>
      <c r="Y69" s="57">
        <v>0.18754999999999999</v>
      </c>
      <c r="Z69" s="57">
        <v>0.1855</v>
      </c>
      <c r="AA69" s="57">
        <v>0.183143</v>
      </c>
      <c r="AB69" s="57">
        <v>0.180174</v>
      </c>
      <c r="AC69" s="57">
        <v>0.176542</v>
      </c>
      <c r="AD69" s="57">
        <v>0.17224400000000001</v>
      </c>
      <c r="AE69" s="57">
        <v>0.16695299999999999</v>
      </c>
      <c r="AF69" s="58">
        <v>-1.6199999999999999E-3</v>
      </c>
      <c r="AG69" s="27"/>
      <c r="AH69" s="20"/>
    </row>
    <row r="70" spans="1:34" ht="15" customHeight="1" x14ac:dyDescent="0.45">
      <c r="A70" s="26" t="s">
        <v>325</v>
      </c>
      <c r="B70" s="56" t="s">
        <v>326</v>
      </c>
      <c r="C70" s="57">
        <v>3.4507249999999998</v>
      </c>
      <c r="D70" s="57">
        <v>3.536727</v>
      </c>
      <c r="E70" s="57">
        <v>3.4764119999999998</v>
      </c>
      <c r="F70" s="57">
        <v>3.4431989999999999</v>
      </c>
      <c r="G70" s="57">
        <v>3.4318369999999998</v>
      </c>
      <c r="H70" s="57">
        <v>3.4161250000000001</v>
      </c>
      <c r="I70" s="57">
        <v>3.446787</v>
      </c>
      <c r="J70" s="57">
        <v>3.4757069999999999</v>
      </c>
      <c r="K70" s="57">
        <v>3.5049540000000001</v>
      </c>
      <c r="L70" s="57">
        <v>3.5324049999999998</v>
      </c>
      <c r="M70" s="57">
        <v>3.5605950000000002</v>
      </c>
      <c r="N70" s="57">
        <v>3.5863670000000001</v>
      </c>
      <c r="O70" s="57">
        <v>3.6106569999999998</v>
      </c>
      <c r="P70" s="57">
        <v>3.6347269999999998</v>
      </c>
      <c r="Q70" s="57">
        <v>3.658757</v>
      </c>
      <c r="R70" s="57">
        <v>3.6816170000000001</v>
      </c>
      <c r="S70" s="57">
        <v>3.7035990000000001</v>
      </c>
      <c r="T70" s="57">
        <v>3.7265060000000001</v>
      </c>
      <c r="U70" s="57">
        <v>3.7487550000000001</v>
      </c>
      <c r="V70" s="57">
        <v>3.7714799999999999</v>
      </c>
      <c r="W70" s="57">
        <v>3.7952819999999998</v>
      </c>
      <c r="X70" s="57">
        <v>3.821091</v>
      </c>
      <c r="Y70" s="57">
        <v>3.8484419999999999</v>
      </c>
      <c r="Z70" s="57">
        <v>3.876735</v>
      </c>
      <c r="AA70" s="57">
        <v>3.9044140000000001</v>
      </c>
      <c r="AB70" s="57">
        <v>3.9351759999999998</v>
      </c>
      <c r="AC70" s="57">
        <v>3.967991</v>
      </c>
      <c r="AD70" s="57">
        <v>4.0022770000000003</v>
      </c>
      <c r="AE70" s="57">
        <v>4.0378090000000002</v>
      </c>
      <c r="AF70" s="58">
        <v>5.6270000000000001E-3</v>
      </c>
      <c r="AG70" s="27"/>
      <c r="AH70" s="20"/>
    </row>
    <row r="71" spans="1:34" ht="15" customHeight="1" x14ac:dyDescent="0.35">
      <c r="A71" s="26" t="s">
        <v>327</v>
      </c>
      <c r="B71" s="55" t="s">
        <v>328</v>
      </c>
      <c r="C71" s="59">
        <v>9.335528</v>
      </c>
      <c r="D71" s="59">
        <v>9.2880570000000002</v>
      </c>
      <c r="E71" s="59">
        <v>9.2086159999999992</v>
      </c>
      <c r="F71" s="59">
        <v>9.2537749999999992</v>
      </c>
      <c r="G71" s="59">
        <v>9.3059200000000004</v>
      </c>
      <c r="H71" s="59">
        <v>9.3353859999999997</v>
      </c>
      <c r="I71" s="59">
        <v>9.403867</v>
      </c>
      <c r="J71" s="59">
        <v>9.4589149999999993</v>
      </c>
      <c r="K71" s="59">
        <v>9.5025680000000001</v>
      </c>
      <c r="L71" s="59">
        <v>9.5458870000000005</v>
      </c>
      <c r="M71" s="59">
        <v>9.5881089999999993</v>
      </c>
      <c r="N71" s="59">
        <v>9.617559</v>
      </c>
      <c r="O71" s="59">
        <v>9.6410680000000006</v>
      </c>
      <c r="P71" s="59">
        <v>9.6637880000000003</v>
      </c>
      <c r="Q71" s="59">
        <v>9.6877049999999993</v>
      </c>
      <c r="R71" s="59">
        <v>9.7066199999999991</v>
      </c>
      <c r="S71" s="59">
        <v>9.7182060000000003</v>
      </c>
      <c r="T71" s="59">
        <v>9.7299340000000001</v>
      </c>
      <c r="U71" s="59">
        <v>9.7433150000000008</v>
      </c>
      <c r="V71" s="59">
        <v>9.7592949999999998</v>
      </c>
      <c r="W71" s="59">
        <v>9.7786690000000007</v>
      </c>
      <c r="X71" s="59">
        <v>9.8043589999999998</v>
      </c>
      <c r="Y71" s="59">
        <v>9.8349259999999994</v>
      </c>
      <c r="Z71" s="59">
        <v>9.8644540000000003</v>
      </c>
      <c r="AA71" s="59">
        <v>9.8892959999999999</v>
      </c>
      <c r="AB71" s="59">
        <v>9.9223239999999997</v>
      </c>
      <c r="AC71" s="59">
        <v>9.9624299999999995</v>
      </c>
      <c r="AD71" s="59">
        <v>10.005023</v>
      </c>
      <c r="AE71" s="59">
        <v>10.047378999999999</v>
      </c>
      <c r="AF71" s="60">
        <v>2.6280000000000001E-3</v>
      </c>
      <c r="AG71" s="27"/>
      <c r="AH71" s="19"/>
    </row>
    <row r="72" spans="1:34" ht="15" customHeight="1" x14ac:dyDescent="0.45">
      <c r="A72" s="26" t="s">
        <v>329</v>
      </c>
      <c r="B72" s="56" t="s">
        <v>175</v>
      </c>
      <c r="C72" s="57">
        <v>0.120598</v>
      </c>
      <c r="D72" s="57">
        <v>0.141293</v>
      </c>
      <c r="E72" s="57">
        <v>0.15779599999999999</v>
      </c>
      <c r="F72" s="57">
        <v>0.17105699999999999</v>
      </c>
      <c r="G72" s="57">
        <v>0.17847299999999999</v>
      </c>
      <c r="H72" s="57">
        <v>0.18718199999999999</v>
      </c>
      <c r="I72" s="57">
        <v>0.19470299999999999</v>
      </c>
      <c r="J72" s="57">
        <v>0.20632900000000001</v>
      </c>
      <c r="K72" s="57">
        <v>0.214666</v>
      </c>
      <c r="L72" s="57">
        <v>0.22300600000000001</v>
      </c>
      <c r="M72" s="57">
        <v>0.23046800000000001</v>
      </c>
      <c r="N72" s="57">
        <v>0.24135400000000001</v>
      </c>
      <c r="O72" s="57">
        <v>0.25285299999999999</v>
      </c>
      <c r="P72" s="57">
        <v>0.25964599999999999</v>
      </c>
      <c r="Q72" s="57">
        <v>0.27190500000000001</v>
      </c>
      <c r="R72" s="57">
        <v>0.27923599999999998</v>
      </c>
      <c r="S72" s="57">
        <v>0.28964899999999999</v>
      </c>
      <c r="T72" s="57">
        <v>0.299346</v>
      </c>
      <c r="U72" s="57">
        <v>0.30795899999999998</v>
      </c>
      <c r="V72" s="57">
        <v>0.31545000000000001</v>
      </c>
      <c r="W72" s="57">
        <v>0.32173499999999999</v>
      </c>
      <c r="X72" s="57">
        <v>0.32723600000000003</v>
      </c>
      <c r="Y72" s="57">
        <v>0.33231100000000002</v>
      </c>
      <c r="Z72" s="57">
        <v>0.33729500000000001</v>
      </c>
      <c r="AA72" s="57">
        <v>0.34577400000000003</v>
      </c>
      <c r="AB72" s="57">
        <v>0.34869</v>
      </c>
      <c r="AC72" s="57">
        <v>0.35358000000000001</v>
      </c>
      <c r="AD72" s="57">
        <v>0.35607299999999997</v>
      </c>
      <c r="AE72" s="57">
        <v>0.35779100000000003</v>
      </c>
      <c r="AF72" s="58">
        <v>3.9602999999999999E-2</v>
      </c>
      <c r="AG72" s="27"/>
      <c r="AH72" s="20"/>
    </row>
    <row r="73" spans="1:34" ht="15" customHeight="1" x14ac:dyDescent="0.35">
      <c r="A73" s="26" t="s">
        <v>330</v>
      </c>
      <c r="B73" s="55" t="s">
        <v>127</v>
      </c>
      <c r="C73" s="59">
        <v>9.214931</v>
      </c>
      <c r="D73" s="59">
        <v>9.1467639999999992</v>
      </c>
      <c r="E73" s="59">
        <v>9.0508199999999999</v>
      </c>
      <c r="F73" s="59">
        <v>9.0827179999999998</v>
      </c>
      <c r="G73" s="59">
        <v>9.1274470000000001</v>
      </c>
      <c r="H73" s="59">
        <v>9.1482039999999998</v>
      </c>
      <c r="I73" s="59">
        <v>9.2091639999999995</v>
      </c>
      <c r="J73" s="59">
        <v>9.2525849999999998</v>
      </c>
      <c r="K73" s="59">
        <v>9.2879020000000008</v>
      </c>
      <c r="L73" s="59">
        <v>9.3228819999999999</v>
      </c>
      <c r="M73" s="59">
        <v>9.3576409999999992</v>
      </c>
      <c r="N73" s="59">
        <v>9.3762050000000006</v>
      </c>
      <c r="O73" s="59">
        <v>9.3882150000000006</v>
      </c>
      <c r="P73" s="59">
        <v>9.4041420000000002</v>
      </c>
      <c r="Q73" s="59">
        <v>9.4158000000000008</v>
      </c>
      <c r="R73" s="59">
        <v>9.427384</v>
      </c>
      <c r="S73" s="59">
        <v>9.4285560000000004</v>
      </c>
      <c r="T73" s="59">
        <v>9.4305880000000002</v>
      </c>
      <c r="U73" s="59">
        <v>9.4353560000000005</v>
      </c>
      <c r="V73" s="59">
        <v>9.4438440000000003</v>
      </c>
      <c r="W73" s="59">
        <v>9.4569349999999996</v>
      </c>
      <c r="X73" s="59">
        <v>9.4771230000000006</v>
      </c>
      <c r="Y73" s="59">
        <v>9.5026139999999995</v>
      </c>
      <c r="Z73" s="59">
        <v>9.5271600000000003</v>
      </c>
      <c r="AA73" s="59">
        <v>9.5435219999999994</v>
      </c>
      <c r="AB73" s="59">
        <v>9.5736340000000002</v>
      </c>
      <c r="AC73" s="59">
        <v>9.6088500000000003</v>
      </c>
      <c r="AD73" s="59">
        <v>9.6489499999999992</v>
      </c>
      <c r="AE73" s="59">
        <v>9.6895889999999998</v>
      </c>
      <c r="AF73" s="60">
        <v>1.7949999999999999E-3</v>
      </c>
      <c r="AG73" s="27"/>
      <c r="AH73" s="19"/>
    </row>
    <row r="74" spans="1:34" ht="15" customHeight="1" x14ac:dyDescent="0.35"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</row>
    <row r="75" spans="1:34" ht="15" customHeight="1" x14ac:dyDescent="0.35">
      <c r="A75" s="26" t="s">
        <v>331</v>
      </c>
      <c r="B75" s="55" t="s">
        <v>179</v>
      </c>
      <c r="C75" s="59">
        <v>8.418628</v>
      </c>
      <c r="D75" s="59">
        <v>8.1140220000000003</v>
      </c>
      <c r="E75" s="59">
        <v>8.1917259999999992</v>
      </c>
      <c r="F75" s="59">
        <v>8.1594289999999994</v>
      </c>
      <c r="G75" s="59">
        <v>8.0919919999999994</v>
      </c>
      <c r="H75" s="59">
        <v>8.0060850000000006</v>
      </c>
      <c r="I75" s="59">
        <v>7.955819</v>
      </c>
      <c r="J75" s="59">
        <v>7.9158020000000002</v>
      </c>
      <c r="K75" s="59">
        <v>7.8963580000000002</v>
      </c>
      <c r="L75" s="59">
        <v>7.9300129999999998</v>
      </c>
      <c r="M75" s="59">
        <v>8.0035220000000002</v>
      </c>
      <c r="N75" s="59">
        <v>8.0267309999999998</v>
      </c>
      <c r="O75" s="59">
        <v>8.0801970000000001</v>
      </c>
      <c r="P75" s="59">
        <v>8.1208340000000003</v>
      </c>
      <c r="Q75" s="59">
        <v>8.1497419999999998</v>
      </c>
      <c r="R75" s="59">
        <v>8.1508179999999992</v>
      </c>
      <c r="S75" s="59">
        <v>8.1182960000000008</v>
      </c>
      <c r="T75" s="59">
        <v>8.0792339999999996</v>
      </c>
      <c r="U75" s="59">
        <v>8.0688680000000002</v>
      </c>
      <c r="V75" s="59">
        <v>8.0798349999999992</v>
      </c>
      <c r="W75" s="59">
        <v>8.1258210000000002</v>
      </c>
      <c r="X75" s="59">
        <v>8.1633040000000001</v>
      </c>
      <c r="Y75" s="59">
        <v>8.2102930000000001</v>
      </c>
      <c r="Z75" s="59">
        <v>8.2706389999999992</v>
      </c>
      <c r="AA75" s="59">
        <v>8.2967460000000006</v>
      </c>
      <c r="AB75" s="59">
        <v>8.3478860000000008</v>
      </c>
      <c r="AC75" s="59">
        <v>8.401999</v>
      </c>
      <c r="AD75" s="59">
        <v>8.4501869999999997</v>
      </c>
      <c r="AE75" s="59">
        <v>8.5127570000000006</v>
      </c>
      <c r="AF75" s="60">
        <v>3.97E-4</v>
      </c>
      <c r="AG75" s="27"/>
      <c r="AH75" s="19"/>
    </row>
    <row r="76" spans="1:34" ht="15" customHeight="1" x14ac:dyDescent="0.35"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</row>
    <row r="77" spans="1:34" ht="15" customHeight="1" x14ac:dyDescent="0.35">
      <c r="B77" s="55" t="s">
        <v>180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</row>
    <row r="78" spans="1:34" ht="15" customHeight="1" x14ac:dyDescent="0.45">
      <c r="A78" s="26" t="s">
        <v>332</v>
      </c>
      <c r="B78" s="56" t="s">
        <v>281</v>
      </c>
      <c r="C78" s="57">
        <v>2.3697560000000002</v>
      </c>
      <c r="D78" s="57">
        <v>2.3253029999999999</v>
      </c>
      <c r="E78" s="57">
        <v>2.2000709999999999</v>
      </c>
      <c r="F78" s="57">
        <v>2.2340339999999999</v>
      </c>
      <c r="G78" s="57">
        <v>2.258785</v>
      </c>
      <c r="H78" s="57">
        <v>2.2721779999999998</v>
      </c>
      <c r="I78" s="57">
        <v>2.2786050000000002</v>
      </c>
      <c r="J78" s="57">
        <v>2.2756099999999999</v>
      </c>
      <c r="K78" s="57">
        <v>2.2688220000000001</v>
      </c>
      <c r="L78" s="57">
        <v>2.2625299999999999</v>
      </c>
      <c r="M78" s="57">
        <v>2.2550870000000001</v>
      </c>
      <c r="N78" s="57">
        <v>2.242448</v>
      </c>
      <c r="O78" s="57">
        <v>2.2285940000000002</v>
      </c>
      <c r="P78" s="57">
        <v>2.2133579999999999</v>
      </c>
      <c r="Q78" s="57">
        <v>2.1982949999999999</v>
      </c>
      <c r="R78" s="57">
        <v>2.181622</v>
      </c>
      <c r="S78" s="57">
        <v>2.1610209999999999</v>
      </c>
      <c r="T78" s="57">
        <v>2.140987</v>
      </c>
      <c r="U78" s="57">
        <v>2.120797</v>
      </c>
      <c r="V78" s="57">
        <v>2.1009540000000002</v>
      </c>
      <c r="W78" s="57">
        <v>2.0825870000000002</v>
      </c>
      <c r="X78" s="57">
        <v>2.0657890000000001</v>
      </c>
      <c r="Y78" s="57">
        <v>2.0509119999999998</v>
      </c>
      <c r="Z78" s="57">
        <v>2.0343010000000001</v>
      </c>
      <c r="AA78" s="57">
        <v>2.0144310000000001</v>
      </c>
      <c r="AB78" s="57">
        <v>1.9967809999999999</v>
      </c>
      <c r="AC78" s="57">
        <v>1.981096</v>
      </c>
      <c r="AD78" s="57">
        <v>1.9651620000000001</v>
      </c>
      <c r="AE78" s="57">
        <v>1.94787</v>
      </c>
      <c r="AF78" s="58">
        <v>-6.9769999999999997E-3</v>
      </c>
      <c r="AG78" s="27"/>
      <c r="AH78" s="20"/>
    </row>
    <row r="79" spans="1:34" ht="15" customHeight="1" x14ac:dyDescent="0.45">
      <c r="A79" s="26" t="s">
        <v>333</v>
      </c>
      <c r="B79" s="56" t="s">
        <v>283</v>
      </c>
      <c r="C79" s="57">
        <v>1.5369969999999999</v>
      </c>
      <c r="D79" s="57">
        <v>1.328487</v>
      </c>
      <c r="E79" s="57">
        <v>1.535744</v>
      </c>
      <c r="F79" s="57">
        <v>1.556894</v>
      </c>
      <c r="G79" s="57">
        <v>1.567385</v>
      </c>
      <c r="H79" s="57">
        <v>1.575223</v>
      </c>
      <c r="I79" s="57">
        <v>1.582111</v>
      </c>
      <c r="J79" s="57">
        <v>1.588919</v>
      </c>
      <c r="K79" s="57">
        <v>1.5958870000000001</v>
      </c>
      <c r="L79" s="57">
        <v>1.609396</v>
      </c>
      <c r="M79" s="57">
        <v>1.6281920000000001</v>
      </c>
      <c r="N79" s="57">
        <v>1.6374580000000001</v>
      </c>
      <c r="O79" s="57">
        <v>1.650042</v>
      </c>
      <c r="P79" s="57">
        <v>1.6619710000000001</v>
      </c>
      <c r="Q79" s="57">
        <v>1.672609</v>
      </c>
      <c r="R79" s="57">
        <v>1.680196</v>
      </c>
      <c r="S79" s="57">
        <v>1.6826190000000001</v>
      </c>
      <c r="T79" s="57">
        <v>1.684639</v>
      </c>
      <c r="U79" s="57">
        <v>1.6883490000000001</v>
      </c>
      <c r="V79" s="57">
        <v>1.695125</v>
      </c>
      <c r="W79" s="57">
        <v>1.7068909999999999</v>
      </c>
      <c r="X79" s="57">
        <v>1.717692</v>
      </c>
      <c r="Y79" s="57">
        <v>1.73045</v>
      </c>
      <c r="Z79" s="57">
        <v>1.7457689999999999</v>
      </c>
      <c r="AA79" s="57">
        <v>1.7589360000000001</v>
      </c>
      <c r="AB79" s="57">
        <v>1.7766649999999999</v>
      </c>
      <c r="AC79" s="57">
        <v>1.7950440000000001</v>
      </c>
      <c r="AD79" s="57">
        <v>1.812694</v>
      </c>
      <c r="AE79" s="57">
        <v>1.833566</v>
      </c>
      <c r="AF79" s="58">
        <v>6.3210000000000002E-3</v>
      </c>
      <c r="AG79" s="27"/>
      <c r="AH79" s="20"/>
    </row>
    <row r="80" spans="1:34" ht="15" customHeight="1" x14ac:dyDescent="0.45">
      <c r="A80" s="26" t="s">
        <v>334</v>
      </c>
      <c r="B80" s="56" t="s">
        <v>285</v>
      </c>
      <c r="C80" s="57">
        <v>0.66562699999999997</v>
      </c>
      <c r="D80" s="57">
        <v>0.65749899999999994</v>
      </c>
      <c r="E80" s="57">
        <v>0.66666899999999996</v>
      </c>
      <c r="F80" s="57">
        <v>0.68124700000000005</v>
      </c>
      <c r="G80" s="57">
        <v>0.69316900000000004</v>
      </c>
      <c r="H80" s="57">
        <v>0.70242899999999997</v>
      </c>
      <c r="I80" s="57">
        <v>0.71000700000000005</v>
      </c>
      <c r="J80" s="57">
        <v>0.71553599999999995</v>
      </c>
      <c r="K80" s="57">
        <v>0.72045199999999998</v>
      </c>
      <c r="L80" s="57">
        <v>0.72542899999999999</v>
      </c>
      <c r="M80" s="57">
        <v>0.730105</v>
      </c>
      <c r="N80" s="57">
        <v>0.73323199999999999</v>
      </c>
      <c r="O80" s="57">
        <v>0.735904</v>
      </c>
      <c r="P80" s="57">
        <v>0.73823899999999998</v>
      </c>
      <c r="Q80" s="57">
        <v>0.740788</v>
      </c>
      <c r="R80" s="57">
        <v>0.74285599999999996</v>
      </c>
      <c r="S80" s="57">
        <v>0.74366299999999996</v>
      </c>
      <c r="T80" s="57">
        <v>0.74489700000000003</v>
      </c>
      <c r="U80" s="57">
        <v>0.74589700000000003</v>
      </c>
      <c r="V80" s="57">
        <v>0.74704199999999998</v>
      </c>
      <c r="W80" s="57">
        <v>0.74865400000000004</v>
      </c>
      <c r="X80" s="57">
        <v>0.75102800000000003</v>
      </c>
      <c r="Y80" s="57">
        <v>0.75422599999999995</v>
      </c>
      <c r="Z80" s="57">
        <v>0.756606</v>
      </c>
      <c r="AA80" s="57">
        <v>0.75668800000000003</v>
      </c>
      <c r="AB80" s="57">
        <v>0.75813200000000003</v>
      </c>
      <c r="AC80" s="57">
        <v>0.76105400000000001</v>
      </c>
      <c r="AD80" s="57">
        <v>0.76436300000000001</v>
      </c>
      <c r="AE80" s="57">
        <v>0.76713299999999995</v>
      </c>
      <c r="AF80" s="58">
        <v>5.0819999999999997E-3</v>
      </c>
      <c r="AG80" s="27"/>
      <c r="AH80" s="20"/>
    </row>
    <row r="81" spans="1:34" ht="15" customHeight="1" x14ac:dyDescent="0.45">
      <c r="A81" s="26" t="s">
        <v>335</v>
      </c>
      <c r="B81" s="56" t="s">
        <v>287</v>
      </c>
      <c r="C81" s="57">
        <v>1.1665289999999999</v>
      </c>
      <c r="D81" s="57">
        <v>1.1180840000000001</v>
      </c>
      <c r="E81" s="57">
        <v>1.0967420000000001</v>
      </c>
      <c r="F81" s="57">
        <v>1.0777890000000001</v>
      </c>
      <c r="G81" s="57">
        <v>1.053604</v>
      </c>
      <c r="H81" s="57">
        <v>1.026656</v>
      </c>
      <c r="I81" s="57">
        <v>0.99876600000000004</v>
      </c>
      <c r="J81" s="57">
        <v>0.97128400000000004</v>
      </c>
      <c r="K81" s="57">
        <v>0.94479100000000005</v>
      </c>
      <c r="L81" s="57">
        <v>0.92290000000000005</v>
      </c>
      <c r="M81" s="57">
        <v>0.90390099999999995</v>
      </c>
      <c r="N81" s="57">
        <v>0.88105</v>
      </c>
      <c r="O81" s="57">
        <v>0.86056600000000005</v>
      </c>
      <c r="P81" s="57">
        <v>0.84034600000000004</v>
      </c>
      <c r="Q81" s="57">
        <v>0.82012499999999999</v>
      </c>
      <c r="R81" s="57">
        <v>0.79879900000000004</v>
      </c>
      <c r="S81" s="57">
        <v>0.77551099999999995</v>
      </c>
      <c r="T81" s="57">
        <v>0.75261400000000001</v>
      </c>
      <c r="U81" s="57">
        <v>0.73203600000000002</v>
      </c>
      <c r="V81" s="57">
        <v>0.71380699999999997</v>
      </c>
      <c r="W81" s="57">
        <v>0.69832300000000003</v>
      </c>
      <c r="X81" s="57">
        <v>0.68294299999999997</v>
      </c>
      <c r="Y81" s="57">
        <v>0.66856300000000002</v>
      </c>
      <c r="Z81" s="57">
        <v>0.65516399999999997</v>
      </c>
      <c r="AA81" s="57">
        <v>0.64053499999999997</v>
      </c>
      <c r="AB81" s="57">
        <v>0.62772799999999995</v>
      </c>
      <c r="AC81" s="57">
        <v>0.61534299999999997</v>
      </c>
      <c r="AD81" s="57">
        <v>0.60333199999999998</v>
      </c>
      <c r="AE81" s="57">
        <v>0.59254700000000005</v>
      </c>
      <c r="AF81" s="58">
        <v>-2.3900999999999999E-2</v>
      </c>
      <c r="AG81" s="27"/>
      <c r="AH81" s="20"/>
    </row>
    <row r="82" spans="1:34" ht="15" customHeight="1" x14ac:dyDescent="0.45">
      <c r="A82" s="26" t="s">
        <v>336</v>
      </c>
      <c r="B82" s="56" t="s">
        <v>93</v>
      </c>
      <c r="C82" s="57">
        <v>0.56011500000000003</v>
      </c>
      <c r="D82" s="57">
        <v>0.55493300000000001</v>
      </c>
      <c r="E82" s="57">
        <v>0.56366799999999995</v>
      </c>
      <c r="F82" s="57">
        <v>0.57528999999999997</v>
      </c>
      <c r="G82" s="57">
        <v>0.583754</v>
      </c>
      <c r="H82" s="57">
        <v>0.58954399999999996</v>
      </c>
      <c r="I82" s="57">
        <v>0.59404199999999996</v>
      </c>
      <c r="J82" s="57">
        <v>0.59749699999999994</v>
      </c>
      <c r="K82" s="57">
        <v>0.60081499999999999</v>
      </c>
      <c r="L82" s="57">
        <v>0.60494700000000001</v>
      </c>
      <c r="M82" s="57">
        <v>0.60926800000000003</v>
      </c>
      <c r="N82" s="57">
        <v>0.61163299999999998</v>
      </c>
      <c r="O82" s="57">
        <v>0.61390199999999995</v>
      </c>
      <c r="P82" s="57">
        <v>0.61572099999999996</v>
      </c>
      <c r="Q82" s="57">
        <v>0.61733800000000005</v>
      </c>
      <c r="R82" s="57">
        <v>0.61818600000000001</v>
      </c>
      <c r="S82" s="57">
        <v>0.617672</v>
      </c>
      <c r="T82" s="57">
        <v>0.61723899999999998</v>
      </c>
      <c r="U82" s="57">
        <v>0.61680999999999997</v>
      </c>
      <c r="V82" s="57">
        <v>0.61690299999999998</v>
      </c>
      <c r="W82" s="57">
        <v>0.61767099999999997</v>
      </c>
      <c r="X82" s="57">
        <v>0.618726</v>
      </c>
      <c r="Y82" s="57">
        <v>0.62030300000000005</v>
      </c>
      <c r="Z82" s="57">
        <v>0.62162399999999995</v>
      </c>
      <c r="AA82" s="57">
        <v>0.62077099999999996</v>
      </c>
      <c r="AB82" s="57">
        <v>0.62115200000000004</v>
      </c>
      <c r="AC82" s="57">
        <v>0.62246100000000004</v>
      </c>
      <c r="AD82" s="57">
        <v>0.62402999999999997</v>
      </c>
      <c r="AE82" s="57">
        <v>0.62551599999999996</v>
      </c>
      <c r="AF82" s="58">
        <v>3.9519999999999998E-3</v>
      </c>
      <c r="AG82" s="27"/>
      <c r="AH82" s="20"/>
    </row>
    <row r="83" spans="1:34" ht="15" customHeight="1" x14ac:dyDescent="0.45">
      <c r="A83" s="26" t="s">
        <v>337</v>
      </c>
      <c r="B83" s="56" t="s">
        <v>99</v>
      </c>
      <c r="C83" s="57">
        <v>1.3851530000000001</v>
      </c>
      <c r="D83" s="57">
        <v>1.339207</v>
      </c>
      <c r="E83" s="57">
        <v>1.331915</v>
      </c>
      <c r="F83" s="57">
        <v>1.332792</v>
      </c>
      <c r="G83" s="57">
        <v>1.3283799999999999</v>
      </c>
      <c r="H83" s="57">
        <v>1.3212189999999999</v>
      </c>
      <c r="I83" s="57">
        <v>1.3141320000000001</v>
      </c>
      <c r="J83" s="57">
        <v>1.308378</v>
      </c>
      <c r="K83" s="57">
        <v>1.2943530000000001</v>
      </c>
      <c r="L83" s="57">
        <v>1.2868710000000001</v>
      </c>
      <c r="M83" s="57">
        <v>1.2834669999999999</v>
      </c>
      <c r="N83" s="57">
        <v>1.2740020000000001</v>
      </c>
      <c r="O83" s="57">
        <v>1.2666729999999999</v>
      </c>
      <c r="P83" s="57">
        <v>1.258643</v>
      </c>
      <c r="Q83" s="57">
        <v>1.249258</v>
      </c>
      <c r="R83" s="57">
        <v>1.235217</v>
      </c>
      <c r="S83" s="57">
        <v>1.2160230000000001</v>
      </c>
      <c r="T83" s="57">
        <v>1.1938260000000001</v>
      </c>
      <c r="U83" s="57">
        <v>1.1843950000000001</v>
      </c>
      <c r="V83" s="57">
        <v>1.178803</v>
      </c>
      <c r="W83" s="57">
        <v>1.176833</v>
      </c>
      <c r="X83" s="57">
        <v>1.1747920000000001</v>
      </c>
      <c r="Y83" s="57">
        <v>1.1743619999999999</v>
      </c>
      <c r="Z83" s="57">
        <v>1.175478</v>
      </c>
      <c r="AA83" s="57">
        <v>1.174237</v>
      </c>
      <c r="AB83" s="57">
        <v>1.1766799999999999</v>
      </c>
      <c r="AC83" s="57">
        <v>1.179251</v>
      </c>
      <c r="AD83" s="57">
        <v>1.181748</v>
      </c>
      <c r="AE83" s="57">
        <v>1.186339</v>
      </c>
      <c r="AF83" s="58">
        <v>-5.5180000000000003E-3</v>
      </c>
      <c r="AG83" s="27"/>
      <c r="AH83" s="20"/>
    </row>
    <row r="84" spans="1:34" ht="15" customHeight="1" x14ac:dyDescent="0.45">
      <c r="A84" s="26" t="s">
        <v>338</v>
      </c>
      <c r="B84" s="56" t="s">
        <v>91</v>
      </c>
      <c r="C84" s="57">
        <v>1.680609</v>
      </c>
      <c r="D84" s="57">
        <v>1.6483950000000001</v>
      </c>
      <c r="E84" s="57">
        <v>1.652382</v>
      </c>
      <c r="F84" s="57">
        <v>1.6577379999999999</v>
      </c>
      <c r="G84" s="57">
        <v>1.6549879999999999</v>
      </c>
      <c r="H84" s="57">
        <v>1.6490229999999999</v>
      </c>
      <c r="I84" s="57">
        <v>1.643127</v>
      </c>
      <c r="J84" s="57">
        <v>1.6391340000000001</v>
      </c>
      <c r="K84" s="57">
        <v>1.6363259999999999</v>
      </c>
      <c r="L84" s="57">
        <v>1.6420090000000001</v>
      </c>
      <c r="M84" s="57">
        <v>1.652495</v>
      </c>
      <c r="N84" s="57">
        <v>1.6559159999999999</v>
      </c>
      <c r="O84" s="57">
        <v>1.6626129999999999</v>
      </c>
      <c r="P84" s="57">
        <v>1.6673100000000001</v>
      </c>
      <c r="Q84" s="57">
        <v>1.6697979999999999</v>
      </c>
      <c r="R84" s="57">
        <v>1.6685019999999999</v>
      </c>
      <c r="S84" s="57">
        <v>1.66205</v>
      </c>
      <c r="T84" s="57">
        <v>1.654631</v>
      </c>
      <c r="U84" s="57">
        <v>1.6499239999999999</v>
      </c>
      <c r="V84" s="57">
        <v>1.649092</v>
      </c>
      <c r="W84" s="57">
        <v>1.65256</v>
      </c>
      <c r="X84" s="57">
        <v>1.6546829999999999</v>
      </c>
      <c r="Y84" s="57">
        <v>1.657877</v>
      </c>
      <c r="Z84" s="57">
        <v>1.662347</v>
      </c>
      <c r="AA84" s="57">
        <v>1.6622939999999999</v>
      </c>
      <c r="AB84" s="57">
        <v>1.6653009999999999</v>
      </c>
      <c r="AC84" s="57">
        <v>1.668507</v>
      </c>
      <c r="AD84" s="57">
        <v>1.6711590000000001</v>
      </c>
      <c r="AE84" s="57">
        <v>1.6755519999999999</v>
      </c>
      <c r="AF84" s="58">
        <v>-1.08E-4</v>
      </c>
      <c r="AG84" s="27"/>
      <c r="AH84" s="20"/>
    </row>
    <row r="85" spans="1:34" ht="15" customHeight="1" x14ac:dyDescent="0.45">
      <c r="A85" s="26" t="s">
        <v>339</v>
      </c>
      <c r="B85" s="56" t="s">
        <v>292</v>
      </c>
      <c r="C85" s="57">
        <v>1.199797</v>
      </c>
      <c r="D85" s="57">
        <v>1.191255</v>
      </c>
      <c r="E85" s="57">
        <v>1.2061809999999999</v>
      </c>
      <c r="F85" s="57">
        <v>1.22292</v>
      </c>
      <c r="G85" s="57">
        <v>1.2333810000000001</v>
      </c>
      <c r="H85" s="57">
        <v>1.241554</v>
      </c>
      <c r="I85" s="57">
        <v>1.252292</v>
      </c>
      <c r="J85" s="57">
        <v>1.26457</v>
      </c>
      <c r="K85" s="57">
        <v>1.2816419999999999</v>
      </c>
      <c r="L85" s="57">
        <v>1.303904</v>
      </c>
      <c r="M85" s="57">
        <v>1.3311930000000001</v>
      </c>
      <c r="N85" s="57">
        <v>1.353154</v>
      </c>
      <c r="O85" s="57">
        <v>1.3792089999999999</v>
      </c>
      <c r="P85" s="57">
        <v>1.403213</v>
      </c>
      <c r="Q85" s="57">
        <v>1.427948</v>
      </c>
      <c r="R85" s="57">
        <v>1.4482139999999999</v>
      </c>
      <c r="S85" s="57">
        <v>1.466961</v>
      </c>
      <c r="T85" s="57">
        <v>1.4847030000000001</v>
      </c>
      <c r="U85" s="57">
        <v>1.5046360000000001</v>
      </c>
      <c r="V85" s="57">
        <v>1.526249</v>
      </c>
      <c r="W85" s="57">
        <v>1.553045</v>
      </c>
      <c r="X85" s="57">
        <v>1.579993</v>
      </c>
      <c r="Y85" s="57">
        <v>1.606792</v>
      </c>
      <c r="Z85" s="57">
        <v>1.6365209999999999</v>
      </c>
      <c r="AA85" s="57">
        <v>1.663424</v>
      </c>
      <c r="AB85" s="57">
        <v>1.69211</v>
      </c>
      <c r="AC85" s="57">
        <v>1.722647</v>
      </c>
      <c r="AD85" s="57">
        <v>1.7527060000000001</v>
      </c>
      <c r="AE85" s="57">
        <v>1.784721</v>
      </c>
      <c r="AF85" s="58">
        <v>1.4284E-2</v>
      </c>
      <c r="AG85" s="27"/>
      <c r="AH85" s="20"/>
    </row>
    <row r="86" spans="1:34" ht="15" customHeight="1" x14ac:dyDescent="0.45">
      <c r="A86" s="26" t="s">
        <v>340</v>
      </c>
      <c r="B86" s="56" t="s">
        <v>294</v>
      </c>
      <c r="C86" s="57">
        <v>0.48664099999999999</v>
      </c>
      <c r="D86" s="57">
        <v>0.47493299999999999</v>
      </c>
      <c r="E86" s="57">
        <v>0.47370600000000002</v>
      </c>
      <c r="F86" s="57">
        <v>0.47342800000000002</v>
      </c>
      <c r="G86" s="57">
        <v>0.47195300000000001</v>
      </c>
      <c r="H86" s="57">
        <v>0.47022799999999998</v>
      </c>
      <c r="I86" s="57">
        <v>0.46917999999999999</v>
      </c>
      <c r="J86" s="57">
        <v>0.46936899999999998</v>
      </c>
      <c r="K86" s="57">
        <v>0.47152100000000002</v>
      </c>
      <c r="L86" s="57">
        <v>0.47550500000000001</v>
      </c>
      <c r="M86" s="57">
        <v>0.48146899999999998</v>
      </c>
      <c r="N86" s="57">
        <v>0.48541499999999999</v>
      </c>
      <c r="O86" s="57">
        <v>0.489541</v>
      </c>
      <c r="P86" s="57">
        <v>0.49359199999999998</v>
      </c>
      <c r="Q86" s="57">
        <v>0.49612699999999998</v>
      </c>
      <c r="R86" s="57">
        <v>0.49749599999999999</v>
      </c>
      <c r="S86" s="57">
        <v>0.49737999999999999</v>
      </c>
      <c r="T86" s="57">
        <v>0.49539499999999997</v>
      </c>
      <c r="U86" s="57">
        <v>0.49410900000000002</v>
      </c>
      <c r="V86" s="57">
        <v>0.49255900000000002</v>
      </c>
      <c r="W86" s="57">
        <v>0.49060900000000002</v>
      </c>
      <c r="X86" s="57">
        <v>0.48736800000000002</v>
      </c>
      <c r="Y86" s="57">
        <v>0.48358099999999998</v>
      </c>
      <c r="Z86" s="57">
        <v>0.47851700000000003</v>
      </c>
      <c r="AA86" s="57">
        <v>0.47126899999999999</v>
      </c>
      <c r="AB86" s="57">
        <v>0.46317900000000001</v>
      </c>
      <c r="AC86" s="57">
        <v>0.45341199999999998</v>
      </c>
      <c r="AD86" s="57">
        <v>0.44169000000000003</v>
      </c>
      <c r="AE86" s="57">
        <v>0.42777799999999999</v>
      </c>
      <c r="AF86" s="58">
        <v>-4.594E-3</v>
      </c>
      <c r="AG86" s="27"/>
      <c r="AH86" s="20"/>
    </row>
    <row r="87" spans="1:34" ht="15" customHeight="1" x14ac:dyDescent="0.45">
      <c r="A87" s="26" t="s">
        <v>341</v>
      </c>
      <c r="B87" s="56" t="s">
        <v>326</v>
      </c>
      <c r="C87" s="57">
        <v>6.7029329999999998</v>
      </c>
      <c r="D87" s="57">
        <v>6.7639820000000004</v>
      </c>
      <c r="E87" s="57">
        <v>6.6732649999999998</v>
      </c>
      <c r="F87" s="57">
        <v>6.6010710000000001</v>
      </c>
      <c r="G87" s="57">
        <v>6.5525130000000003</v>
      </c>
      <c r="H87" s="57">
        <v>6.4934190000000003</v>
      </c>
      <c r="I87" s="57">
        <v>6.5174250000000002</v>
      </c>
      <c r="J87" s="57">
        <v>6.5444190000000004</v>
      </c>
      <c r="K87" s="57">
        <v>6.5843160000000003</v>
      </c>
      <c r="L87" s="57">
        <v>6.6424099999999999</v>
      </c>
      <c r="M87" s="57">
        <v>6.7164539999999997</v>
      </c>
      <c r="N87" s="57">
        <v>6.7699829999999999</v>
      </c>
      <c r="O87" s="57">
        <v>6.8342210000000003</v>
      </c>
      <c r="P87" s="57">
        <v>6.8922309999999998</v>
      </c>
      <c r="Q87" s="57">
        <v>6.9451619999999998</v>
      </c>
      <c r="R87" s="57">
        <v>6.9863479999999996</v>
      </c>
      <c r="S87" s="57">
        <v>7.0136019999999997</v>
      </c>
      <c r="T87" s="57">
        <v>7.0402370000000003</v>
      </c>
      <c r="U87" s="57">
        <v>7.0752300000000004</v>
      </c>
      <c r="V87" s="57">
        <v>7.1185939999999999</v>
      </c>
      <c r="W87" s="57">
        <v>7.1773170000000004</v>
      </c>
      <c r="X87" s="57">
        <v>7.2346490000000001</v>
      </c>
      <c r="Y87" s="57">
        <v>7.2981509999999998</v>
      </c>
      <c r="Z87" s="57">
        <v>7.3687659999999999</v>
      </c>
      <c r="AA87" s="57">
        <v>7.423457</v>
      </c>
      <c r="AB87" s="57">
        <v>7.4924809999999997</v>
      </c>
      <c r="AC87" s="57">
        <v>7.5656140000000001</v>
      </c>
      <c r="AD87" s="57">
        <v>7.6383260000000002</v>
      </c>
      <c r="AE87" s="57">
        <v>7.7191140000000003</v>
      </c>
      <c r="AF87" s="58">
        <v>5.0540000000000003E-3</v>
      </c>
      <c r="AG87" s="27"/>
      <c r="AH87" s="20"/>
    </row>
    <row r="88" spans="1:34" ht="15" customHeight="1" x14ac:dyDescent="0.35">
      <c r="A88" s="26" t="s">
        <v>342</v>
      </c>
      <c r="B88" s="55" t="s">
        <v>343</v>
      </c>
      <c r="C88" s="59">
        <v>17.754155999999998</v>
      </c>
      <c r="D88" s="59">
        <v>17.402080999999999</v>
      </c>
      <c r="E88" s="59">
        <v>17.400341000000001</v>
      </c>
      <c r="F88" s="59">
        <v>17.413204</v>
      </c>
      <c r="G88" s="59">
        <v>17.397911000000001</v>
      </c>
      <c r="H88" s="59">
        <v>17.341473000000001</v>
      </c>
      <c r="I88" s="59">
        <v>17.359686</v>
      </c>
      <c r="J88" s="59">
        <v>17.374718000000001</v>
      </c>
      <c r="K88" s="59">
        <v>17.398925999999999</v>
      </c>
      <c r="L88" s="59">
        <v>17.475898999999998</v>
      </c>
      <c r="M88" s="59">
        <v>17.591631</v>
      </c>
      <c r="N88" s="59">
        <v>17.644290999999999</v>
      </c>
      <c r="O88" s="59">
        <v>17.721266</v>
      </c>
      <c r="P88" s="59">
        <v>17.784621999999999</v>
      </c>
      <c r="Q88" s="59">
        <v>17.837447999999998</v>
      </c>
      <c r="R88" s="59">
        <v>17.857437000000001</v>
      </c>
      <c r="S88" s="59">
        <v>17.836501999999999</v>
      </c>
      <c r="T88" s="59">
        <v>17.809168</v>
      </c>
      <c r="U88" s="59">
        <v>17.812183000000001</v>
      </c>
      <c r="V88" s="59">
        <v>17.839130000000001</v>
      </c>
      <c r="W88" s="59">
        <v>17.904491</v>
      </c>
      <c r="X88" s="59">
        <v>17.967663000000002</v>
      </c>
      <c r="Y88" s="59">
        <v>18.045218999999999</v>
      </c>
      <c r="Z88" s="59">
        <v>18.135093999999999</v>
      </c>
      <c r="AA88" s="59">
        <v>18.186043000000002</v>
      </c>
      <c r="AB88" s="59">
        <v>18.270209999999999</v>
      </c>
      <c r="AC88" s="59">
        <v>18.364429000000001</v>
      </c>
      <c r="AD88" s="59">
        <v>18.455210000000001</v>
      </c>
      <c r="AE88" s="59">
        <v>18.560137000000001</v>
      </c>
      <c r="AF88" s="60">
        <v>1.5870000000000001E-3</v>
      </c>
      <c r="AG88" s="27"/>
      <c r="AH88" s="19"/>
    </row>
    <row r="89" spans="1:34" ht="15" customHeight="1" x14ac:dyDescent="0.45">
      <c r="A89" s="26" t="s">
        <v>344</v>
      </c>
      <c r="B89" s="56" t="s">
        <v>175</v>
      </c>
      <c r="C89" s="57">
        <v>0.120598</v>
      </c>
      <c r="D89" s="57">
        <v>0.141293</v>
      </c>
      <c r="E89" s="57">
        <v>0.15779599999999999</v>
      </c>
      <c r="F89" s="57">
        <v>0.17105699999999999</v>
      </c>
      <c r="G89" s="57">
        <v>0.17847299999999999</v>
      </c>
      <c r="H89" s="57">
        <v>0.18718199999999999</v>
      </c>
      <c r="I89" s="57">
        <v>0.19470299999999999</v>
      </c>
      <c r="J89" s="57">
        <v>0.20632900000000001</v>
      </c>
      <c r="K89" s="57">
        <v>0.214666</v>
      </c>
      <c r="L89" s="57">
        <v>0.22300600000000001</v>
      </c>
      <c r="M89" s="57">
        <v>0.23046800000000001</v>
      </c>
      <c r="N89" s="57">
        <v>0.24135400000000001</v>
      </c>
      <c r="O89" s="57">
        <v>0.25285299999999999</v>
      </c>
      <c r="P89" s="57">
        <v>0.25964599999999999</v>
      </c>
      <c r="Q89" s="57">
        <v>0.27190500000000001</v>
      </c>
      <c r="R89" s="57">
        <v>0.27923599999999998</v>
      </c>
      <c r="S89" s="57">
        <v>0.28964899999999999</v>
      </c>
      <c r="T89" s="57">
        <v>0.299346</v>
      </c>
      <c r="U89" s="57">
        <v>0.30795899999999998</v>
      </c>
      <c r="V89" s="57">
        <v>0.31545000000000001</v>
      </c>
      <c r="W89" s="57">
        <v>0.32173499999999999</v>
      </c>
      <c r="X89" s="57">
        <v>0.32723600000000003</v>
      </c>
      <c r="Y89" s="57">
        <v>0.33231100000000002</v>
      </c>
      <c r="Z89" s="57">
        <v>0.33729500000000001</v>
      </c>
      <c r="AA89" s="57">
        <v>0.34577400000000003</v>
      </c>
      <c r="AB89" s="57">
        <v>0.34869</v>
      </c>
      <c r="AC89" s="57">
        <v>0.35358000000000001</v>
      </c>
      <c r="AD89" s="57">
        <v>0.35607299999999997</v>
      </c>
      <c r="AE89" s="57">
        <v>0.35779100000000003</v>
      </c>
      <c r="AF89" s="58">
        <v>3.9602999999999999E-2</v>
      </c>
      <c r="AG89" s="27"/>
      <c r="AH89" s="20"/>
    </row>
    <row r="90" spans="1:34" ht="15" customHeight="1" x14ac:dyDescent="0.35">
      <c r="A90" s="26" t="s">
        <v>345</v>
      </c>
      <c r="B90" s="55" t="s">
        <v>200</v>
      </c>
      <c r="C90" s="59">
        <v>17.633558000000001</v>
      </c>
      <c r="D90" s="59">
        <v>17.260786</v>
      </c>
      <c r="E90" s="59">
        <v>17.242546000000001</v>
      </c>
      <c r="F90" s="59">
        <v>17.242146000000002</v>
      </c>
      <c r="G90" s="59">
        <v>17.219439999999999</v>
      </c>
      <c r="H90" s="59">
        <v>17.154288999999999</v>
      </c>
      <c r="I90" s="59">
        <v>17.164981999999998</v>
      </c>
      <c r="J90" s="59">
        <v>17.168388</v>
      </c>
      <c r="K90" s="59">
        <v>17.184260999999999</v>
      </c>
      <c r="L90" s="59">
        <v>17.252894999999999</v>
      </c>
      <c r="M90" s="59">
        <v>17.361163999999999</v>
      </c>
      <c r="N90" s="59">
        <v>17.402934999999999</v>
      </c>
      <c r="O90" s="59">
        <v>17.468412000000001</v>
      </c>
      <c r="P90" s="59">
        <v>17.524977</v>
      </c>
      <c r="Q90" s="59">
        <v>17.565542000000001</v>
      </c>
      <c r="R90" s="59">
        <v>17.578201</v>
      </c>
      <c r="S90" s="59">
        <v>17.546852000000001</v>
      </c>
      <c r="T90" s="59">
        <v>17.509823000000001</v>
      </c>
      <c r="U90" s="59">
        <v>17.504223</v>
      </c>
      <c r="V90" s="59">
        <v>17.523678</v>
      </c>
      <c r="W90" s="59">
        <v>17.582756</v>
      </c>
      <c r="X90" s="59">
        <v>17.640426999999999</v>
      </c>
      <c r="Y90" s="59">
        <v>17.712906</v>
      </c>
      <c r="Z90" s="59">
        <v>17.797798</v>
      </c>
      <c r="AA90" s="59">
        <v>17.840267000000001</v>
      </c>
      <c r="AB90" s="59">
        <v>17.921520000000001</v>
      </c>
      <c r="AC90" s="59">
        <v>18.010849</v>
      </c>
      <c r="AD90" s="59">
        <v>18.099136000000001</v>
      </c>
      <c r="AE90" s="59">
        <v>18.202347</v>
      </c>
      <c r="AF90" s="60">
        <v>1.134E-3</v>
      </c>
      <c r="AG90" s="27"/>
      <c r="AH90" s="19"/>
    </row>
    <row r="91" spans="1:34" ht="15" customHeight="1" x14ac:dyDescent="0.35"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</row>
    <row r="92" spans="1:34" ht="15" customHeight="1" x14ac:dyDescent="0.35">
      <c r="B92" s="55" t="s">
        <v>346</v>
      </c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</row>
    <row r="93" spans="1:34" ht="15" customHeight="1" x14ac:dyDescent="0.45">
      <c r="A93" s="26" t="s">
        <v>347</v>
      </c>
      <c r="B93" s="56" t="s">
        <v>348</v>
      </c>
      <c r="C93" s="57">
        <v>7.3909000000000002E-2</v>
      </c>
      <c r="D93" s="57">
        <v>7.4150999999999995E-2</v>
      </c>
      <c r="E93" s="57">
        <v>7.5856999999999994E-2</v>
      </c>
      <c r="F93" s="57">
        <v>7.6402999999999999E-2</v>
      </c>
      <c r="G93" s="57">
        <v>7.6691999999999996E-2</v>
      </c>
      <c r="H93" s="57">
        <v>7.6408000000000004E-2</v>
      </c>
      <c r="I93" s="57">
        <v>7.5979000000000005E-2</v>
      </c>
      <c r="J93" s="57">
        <v>7.5915999999999997E-2</v>
      </c>
      <c r="K93" s="57">
        <v>7.5720999999999997E-2</v>
      </c>
      <c r="L93" s="57">
        <v>7.5837000000000002E-2</v>
      </c>
      <c r="M93" s="57">
        <v>7.5840000000000005E-2</v>
      </c>
      <c r="N93" s="57">
        <v>7.5718999999999995E-2</v>
      </c>
      <c r="O93" s="57">
        <v>7.5756000000000004E-2</v>
      </c>
      <c r="P93" s="57">
        <v>7.5952000000000006E-2</v>
      </c>
      <c r="Q93" s="57">
        <v>7.5837000000000002E-2</v>
      </c>
      <c r="R93" s="57">
        <v>7.5588000000000002E-2</v>
      </c>
      <c r="S93" s="57">
        <v>7.4880000000000002E-2</v>
      </c>
      <c r="T93" s="57">
        <v>7.4638999999999997E-2</v>
      </c>
      <c r="U93" s="57">
        <v>7.4340000000000003E-2</v>
      </c>
      <c r="V93" s="57">
        <v>7.4428999999999995E-2</v>
      </c>
      <c r="W93" s="57">
        <v>7.4297000000000002E-2</v>
      </c>
      <c r="X93" s="57">
        <v>7.4152999999999997E-2</v>
      </c>
      <c r="Y93" s="57">
        <v>7.4107000000000006E-2</v>
      </c>
      <c r="Z93" s="57">
        <v>7.4011999999999994E-2</v>
      </c>
      <c r="AA93" s="57">
        <v>7.3801000000000005E-2</v>
      </c>
      <c r="AB93" s="57">
        <v>7.3764999999999997E-2</v>
      </c>
      <c r="AC93" s="57">
        <v>7.3537000000000005E-2</v>
      </c>
      <c r="AD93" s="57">
        <v>7.3493000000000003E-2</v>
      </c>
      <c r="AE93" s="57">
        <v>7.3126999999999998E-2</v>
      </c>
      <c r="AF93" s="58">
        <v>-3.8000000000000002E-4</v>
      </c>
      <c r="AG93" s="27"/>
      <c r="AH93" s="20"/>
    </row>
    <row r="94" spans="1:34" ht="15" customHeight="1" x14ac:dyDescent="0.45">
      <c r="A94" s="26" t="s">
        <v>349</v>
      </c>
      <c r="B94" s="56" t="s">
        <v>207</v>
      </c>
      <c r="C94" s="57">
        <v>0.26181500000000002</v>
      </c>
      <c r="D94" s="57">
        <v>0.30804399999999998</v>
      </c>
      <c r="E94" s="57">
        <v>0.34912500000000002</v>
      </c>
      <c r="F94" s="57">
        <v>0.37846299999999999</v>
      </c>
      <c r="G94" s="57">
        <v>0.39390900000000001</v>
      </c>
      <c r="H94" s="57">
        <v>0.41461999999999999</v>
      </c>
      <c r="I94" s="57">
        <v>0.43187599999999998</v>
      </c>
      <c r="J94" s="57">
        <v>0.46030500000000002</v>
      </c>
      <c r="K94" s="57">
        <v>0.480624</v>
      </c>
      <c r="L94" s="57">
        <v>0.50182800000000005</v>
      </c>
      <c r="M94" s="57">
        <v>0.51975400000000005</v>
      </c>
      <c r="N94" s="57">
        <v>0.54557999999999995</v>
      </c>
      <c r="O94" s="57">
        <v>0.57357999999999998</v>
      </c>
      <c r="P94" s="57">
        <v>0.59170900000000004</v>
      </c>
      <c r="Q94" s="57">
        <v>0.62073800000000001</v>
      </c>
      <c r="R94" s="57">
        <v>0.63733600000000001</v>
      </c>
      <c r="S94" s="57">
        <v>0.65883999999999998</v>
      </c>
      <c r="T94" s="57">
        <v>0.68191400000000002</v>
      </c>
      <c r="U94" s="57">
        <v>0.70109399999999999</v>
      </c>
      <c r="V94" s="57">
        <v>0.72085200000000005</v>
      </c>
      <c r="W94" s="57">
        <v>0.73541500000000004</v>
      </c>
      <c r="X94" s="57">
        <v>0.74840499999999999</v>
      </c>
      <c r="Y94" s="57">
        <v>0.76118200000000003</v>
      </c>
      <c r="Z94" s="57">
        <v>0.77283400000000002</v>
      </c>
      <c r="AA94" s="57">
        <v>0.79308599999999996</v>
      </c>
      <c r="AB94" s="57">
        <v>0.80096900000000004</v>
      </c>
      <c r="AC94" s="57">
        <v>0.81140100000000004</v>
      </c>
      <c r="AD94" s="57">
        <v>0.818581</v>
      </c>
      <c r="AE94" s="57">
        <v>0.81918100000000005</v>
      </c>
      <c r="AF94" s="58">
        <v>4.1578999999999998E-2</v>
      </c>
      <c r="AG94" s="27"/>
      <c r="AH94" s="20"/>
    </row>
    <row r="95" spans="1:34" ht="15" customHeight="1" x14ac:dyDescent="0.45">
      <c r="A95" s="26" t="s">
        <v>350</v>
      </c>
      <c r="B95" s="56" t="s">
        <v>209</v>
      </c>
      <c r="C95" s="57">
        <v>6.7920000000000003E-3</v>
      </c>
      <c r="D95" s="57">
        <v>6.7889999999999999E-3</v>
      </c>
      <c r="E95" s="57">
        <v>6.8490000000000001E-3</v>
      </c>
      <c r="F95" s="57">
        <v>6.7939999999999997E-3</v>
      </c>
      <c r="G95" s="57">
        <v>6.7299999999999999E-3</v>
      </c>
      <c r="H95" s="57">
        <v>6.7140000000000003E-3</v>
      </c>
      <c r="I95" s="57">
        <v>6.7320000000000001E-3</v>
      </c>
      <c r="J95" s="57">
        <v>6.796E-3</v>
      </c>
      <c r="K95" s="57">
        <v>6.7819999999999998E-3</v>
      </c>
      <c r="L95" s="57">
        <v>6.8199999999999997E-3</v>
      </c>
      <c r="M95" s="57">
        <v>6.8349999999999999E-3</v>
      </c>
      <c r="N95" s="57">
        <v>6.8360000000000001E-3</v>
      </c>
      <c r="O95" s="57">
        <v>6.8570000000000002E-3</v>
      </c>
      <c r="P95" s="57">
        <v>6.9030000000000003E-3</v>
      </c>
      <c r="Q95" s="57">
        <v>6.914E-3</v>
      </c>
      <c r="R95" s="57">
        <v>6.8830000000000002E-3</v>
      </c>
      <c r="S95" s="57">
        <v>6.7999999999999996E-3</v>
      </c>
      <c r="T95" s="57">
        <v>6.8079999999999998E-3</v>
      </c>
      <c r="U95" s="57">
        <v>6.7809999999999997E-3</v>
      </c>
      <c r="V95" s="57">
        <v>6.8040000000000002E-3</v>
      </c>
      <c r="W95" s="57">
        <v>6.803E-3</v>
      </c>
      <c r="X95" s="57">
        <v>6.7920000000000003E-3</v>
      </c>
      <c r="Y95" s="57">
        <v>6.783E-3</v>
      </c>
      <c r="Z95" s="57">
        <v>6.7689999999999998E-3</v>
      </c>
      <c r="AA95" s="57">
        <v>6.7650000000000002E-3</v>
      </c>
      <c r="AB95" s="57">
        <v>6.7669999999999996E-3</v>
      </c>
      <c r="AC95" s="57">
        <v>6.7600000000000004E-3</v>
      </c>
      <c r="AD95" s="57">
        <v>6.7539999999999996E-3</v>
      </c>
      <c r="AE95" s="57">
        <v>6.7429999999999999E-3</v>
      </c>
      <c r="AF95" s="58">
        <v>-2.5700000000000001E-4</v>
      </c>
      <c r="AG95" s="27"/>
      <c r="AH95" s="20"/>
    </row>
    <row r="96" spans="1:34" ht="15" customHeight="1" x14ac:dyDescent="0.35">
      <c r="A96" s="26" t="s">
        <v>351</v>
      </c>
      <c r="B96" s="55" t="s">
        <v>211</v>
      </c>
      <c r="C96" s="59">
        <v>0.34251599999999999</v>
      </c>
      <c r="D96" s="59">
        <v>0.388984</v>
      </c>
      <c r="E96" s="59">
        <v>0.43183100000000002</v>
      </c>
      <c r="F96" s="59">
        <v>0.46165899999999999</v>
      </c>
      <c r="G96" s="59">
        <v>0.47733100000000001</v>
      </c>
      <c r="H96" s="59">
        <v>0.49774299999999999</v>
      </c>
      <c r="I96" s="59">
        <v>0.51458599999999999</v>
      </c>
      <c r="J96" s="59">
        <v>0.54301699999999997</v>
      </c>
      <c r="K96" s="59">
        <v>0.56312700000000004</v>
      </c>
      <c r="L96" s="59">
        <v>0.584484</v>
      </c>
      <c r="M96" s="59">
        <v>0.60242899999999999</v>
      </c>
      <c r="N96" s="59">
        <v>0.628135</v>
      </c>
      <c r="O96" s="59">
        <v>0.65619300000000003</v>
      </c>
      <c r="P96" s="59">
        <v>0.67456300000000002</v>
      </c>
      <c r="Q96" s="59">
        <v>0.70348900000000003</v>
      </c>
      <c r="R96" s="59">
        <v>0.71980699999999997</v>
      </c>
      <c r="S96" s="59">
        <v>0.74051999999999996</v>
      </c>
      <c r="T96" s="59">
        <v>0.76336199999999999</v>
      </c>
      <c r="U96" s="59">
        <v>0.78221499999999999</v>
      </c>
      <c r="V96" s="59">
        <v>0.80208500000000005</v>
      </c>
      <c r="W96" s="59">
        <v>0.81651499999999999</v>
      </c>
      <c r="X96" s="59">
        <v>0.829349</v>
      </c>
      <c r="Y96" s="59">
        <v>0.84207200000000004</v>
      </c>
      <c r="Z96" s="59">
        <v>0.85361600000000004</v>
      </c>
      <c r="AA96" s="59">
        <v>0.87365199999999998</v>
      </c>
      <c r="AB96" s="59">
        <v>0.88150099999999998</v>
      </c>
      <c r="AC96" s="59">
        <v>0.89169900000000002</v>
      </c>
      <c r="AD96" s="59">
        <v>0.89882799999999996</v>
      </c>
      <c r="AE96" s="59">
        <v>0.89905100000000004</v>
      </c>
      <c r="AF96" s="60">
        <v>3.5066E-2</v>
      </c>
      <c r="AG96" s="27"/>
      <c r="AH96" s="19"/>
    </row>
    <row r="97" spans="1:34" ht="15" customHeight="1" x14ac:dyDescent="0.35"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</row>
    <row r="98" spans="1:34" ht="15" customHeight="1" x14ac:dyDescent="0.35">
      <c r="B98" s="55" t="s">
        <v>212</v>
      </c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</row>
    <row r="99" spans="1:34" ht="15" customHeight="1" x14ac:dyDescent="0.45">
      <c r="A99" s="26" t="s">
        <v>352</v>
      </c>
      <c r="B99" s="56" t="s">
        <v>214</v>
      </c>
      <c r="C99" s="61">
        <v>6198</v>
      </c>
      <c r="D99" s="61">
        <v>6420</v>
      </c>
      <c r="E99" s="61">
        <v>5972</v>
      </c>
      <c r="F99" s="61">
        <v>5949</v>
      </c>
      <c r="G99" s="61">
        <v>5925</v>
      </c>
      <c r="H99" s="61">
        <v>5902</v>
      </c>
      <c r="I99" s="61">
        <v>5878</v>
      </c>
      <c r="J99" s="61">
        <v>5854</v>
      </c>
      <c r="K99" s="61">
        <v>5830</v>
      </c>
      <c r="L99" s="61">
        <v>5807</v>
      </c>
      <c r="M99" s="61">
        <v>5783</v>
      </c>
      <c r="N99" s="61">
        <v>5759</v>
      </c>
      <c r="O99" s="61">
        <v>5735</v>
      </c>
      <c r="P99" s="61">
        <v>5711</v>
      </c>
      <c r="Q99" s="61">
        <v>5687</v>
      </c>
      <c r="R99" s="61">
        <v>5663</v>
      </c>
      <c r="S99" s="61">
        <v>5639</v>
      </c>
      <c r="T99" s="61">
        <v>5615</v>
      </c>
      <c r="U99" s="61">
        <v>5591</v>
      </c>
      <c r="V99" s="61">
        <v>5567</v>
      </c>
      <c r="W99" s="61">
        <v>5543</v>
      </c>
      <c r="X99" s="61">
        <v>5519</v>
      </c>
      <c r="Y99" s="61">
        <v>5495</v>
      </c>
      <c r="Z99" s="61">
        <v>5471</v>
      </c>
      <c r="AA99" s="61">
        <v>5447</v>
      </c>
      <c r="AB99" s="61">
        <v>5423</v>
      </c>
      <c r="AC99" s="61">
        <v>5399</v>
      </c>
      <c r="AD99" s="61">
        <v>5374</v>
      </c>
      <c r="AE99" s="61">
        <v>5350</v>
      </c>
      <c r="AF99" s="58">
        <v>-5.241E-3</v>
      </c>
      <c r="AG99" s="27"/>
      <c r="AH99" s="20"/>
    </row>
    <row r="100" spans="1:34" ht="15" customHeight="1" x14ac:dyDescent="0.45">
      <c r="A100" s="26" t="s">
        <v>353</v>
      </c>
      <c r="B100" s="56" t="s">
        <v>216</v>
      </c>
      <c r="C100" s="61">
        <v>5742</v>
      </c>
      <c r="D100" s="61">
        <v>5779</v>
      </c>
      <c r="E100" s="61">
        <v>5348</v>
      </c>
      <c r="F100" s="61">
        <v>5325</v>
      </c>
      <c r="G100" s="61">
        <v>5303</v>
      </c>
      <c r="H100" s="61">
        <v>5281</v>
      </c>
      <c r="I100" s="61">
        <v>5259</v>
      </c>
      <c r="J100" s="61">
        <v>5236</v>
      </c>
      <c r="K100" s="61">
        <v>5214</v>
      </c>
      <c r="L100" s="61">
        <v>5192</v>
      </c>
      <c r="M100" s="61">
        <v>5169</v>
      </c>
      <c r="N100" s="61">
        <v>5147</v>
      </c>
      <c r="O100" s="61">
        <v>5125</v>
      </c>
      <c r="P100" s="61">
        <v>5102</v>
      </c>
      <c r="Q100" s="61">
        <v>5080</v>
      </c>
      <c r="R100" s="61">
        <v>5058</v>
      </c>
      <c r="S100" s="61">
        <v>5036</v>
      </c>
      <c r="T100" s="61">
        <v>5013</v>
      </c>
      <c r="U100" s="61">
        <v>4991</v>
      </c>
      <c r="V100" s="61">
        <v>4969</v>
      </c>
      <c r="W100" s="61">
        <v>4947</v>
      </c>
      <c r="X100" s="61">
        <v>4924</v>
      </c>
      <c r="Y100" s="61">
        <v>4902</v>
      </c>
      <c r="Z100" s="61">
        <v>4880</v>
      </c>
      <c r="AA100" s="61">
        <v>4858</v>
      </c>
      <c r="AB100" s="61">
        <v>4835</v>
      </c>
      <c r="AC100" s="61">
        <v>4813</v>
      </c>
      <c r="AD100" s="61">
        <v>4791</v>
      </c>
      <c r="AE100" s="61">
        <v>4769</v>
      </c>
      <c r="AF100" s="58">
        <v>-6.6090000000000003E-3</v>
      </c>
      <c r="AG100" s="27"/>
      <c r="AH100" s="20"/>
    </row>
    <row r="101" spans="1:34" ht="15" customHeight="1" x14ac:dyDescent="0.45">
      <c r="A101" s="26" t="s">
        <v>354</v>
      </c>
      <c r="B101" s="56" t="s">
        <v>218</v>
      </c>
      <c r="C101" s="61">
        <v>6427</v>
      </c>
      <c r="D101" s="61">
        <v>6306</v>
      </c>
      <c r="E101" s="61">
        <v>5982</v>
      </c>
      <c r="F101" s="61">
        <v>5967</v>
      </c>
      <c r="G101" s="61">
        <v>5953</v>
      </c>
      <c r="H101" s="61">
        <v>5938</v>
      </c>
      <c r="I101" s="61">
        <v>5923</v>
      </c>
      <c r="J101" s="61">
        <v>5908</v>
      </c>
      <c r="K101" s="61">
        <v>5893</v>
      </c>
      <c r="L101" s="61">
        <v>5879</v>
      </c>
      <c r="M101" s="61">
        <v>5864</v>
      </c>
      <c r="N101" s="61">
        <v>5849</v>
      </c>
      <c r="O101" s="61">
        <v>5834</v>
      </c>
      <c r="P101" s="61">
        <v>5819</v>
      </c>
      <c r="Q101" s="61">
        <v>5804</v>
      </c>
      <c r="R101" s="61">
        <v>5790</v>
      </c>
      <c r="S101" s="61">
        <v>5775</v>
      </c>
      <c r="T101" s="61">
        <v>5760</v>
      </c>
      <c r="U101" s="61">
        <v>5745</v>
      </c>
      <c r="V101" s="61">
        <v>5730</v>
      </c>
      <c r="W101" s="61">
        <v>5715</v>
      </c>
      <c r="X101" s="61">
        <v>5701</v>
      </c>
      <c r="Y101" s="61">
        <v>5686</v>
      </c>
      <c r="Z101" s="61">
        <v>5671</v>
      </c>
      <c r="AA101" s="61">
        <v>5656</v>
      </c>
      <c r="AB101" s="61">
        <v>5641</v>
      </c>
      <c r="AC101" s="61">
        <v>5626</v>
      </c>
      <c r="AD101" s="61">
        <v>5611</v>
      </c>
      <c r="AE101" s="61">
        <v>5597</v>
      </c>
      <c r="AF101" s="58">
        <v>-4.9259999999999998E-3</v>
      </c>
      <c r="AG101" s="27"/>
      <c r="AH101" s="20"/>
    </row>
    <row r="102" spans="1:34" ht="15" customHeight="1" x14ac:dyDescent="0.45">
      <c r="A102" s="26" t="s">
        <v>355</v>
      </c>
      <c r="B102" s="56" t="s">
        <v>220</v>
      </c>
      <c r="C102" s="61">
        <v>6845</v>
      </c>
      <c r="D102" s="61">
        <v>6601</v>
      </c>
      <c r="E102" s="61">
        <v>6349</v>
      </c>
      <c r="F102" s="61">
        <v>6340</v>
      </c>
      <c r="G102" s="61">
        <v>6330</v>
      </c>
      <c r="H102" s="61">
        <v>6321</v>
      </c>
      <c r="I102" s="61">
        <v>6311</v>
      </c>
      <c r="J102" s="61">
        <v>6301</v>
      </c>
      <c r="K102" s="61">
        <v>6291</v>
      </c>
      <c r="L102" s="61">
        <v>6281</v>
      </c>
      <c r="M102" s="61">
        <v>6271</v>
      </c>
      <c r="N102" s="61">
        <v>6261</v>
      </c>
      <c r="O102" s="61">
        <v>6250</v>
      </c>
      <c r="P102" s="61">
        <v>6240</v>
      </c>
      <c r="Q102" s="61">
        <v>6230</v>
      </c>
      <c r="R102" s="61">
        <v>6219</v>
      </c>
      <c r="S102" s="61">
        <v>6209</v>
      </c>
      <c r="T102" s="61">
        <v>6198</v>
      </c>
      <c r="U102" s="61">
        <v>6188</v>
      </c>
      <c r="V102" s="61">
        <v>6177</v>
      </c>
      <c r="W102" s="61">
        <v>6167</v>
      </c>
      <c r="X102" s="61">
        <v>6156</v>
      </c>
      <c r="Y102" s="61">
        <v>6145</v>
      </c>
      <c r="Z102" s="61">
        <v>6135</v>
      </c>
      <c r="AA102" s="61">
        <v>6124</v>
      </c>
      <c r="AB102" s="61">
        <v>6113</v>
      </c>
      <c r="AC102" s="61">
        <v>6103</v>
      </c>
      <c r="AD102" s="61">
        <v>6092</v>
      </c>
      <c r="AE102" s="61">
        <v>6081</v>
      </c>
      <c r="AF102" s="58">
        <v>-4.2180000000000004E-3</v>
      </c>
      <c r="AG102" s="27"/>
      <c r="AH102" s="20"/>
    </row>
    <row r="103" spans="1:34" ht="15" customHeight="1" x14ac:dyDescent="0.45">
      <c r="A103" s="26" t="s">
        <v>356</v>
      </c>
      <c r="B103" s="56" t="s">
        <v>222</v>
      </c>
      <c r="C103" s="61">
        <v>2566</v>
      </c>
      <c r="D103" s="61">
        <v>2600</v>
      </c>
      <c r="E103" s="61">
        <v>2375</v>
      </c>
      <c r="F103" s="61">
        <v>2358</v>
      </c>
      <c r="G103" s="61">
        <v>2342</v>
      </c>
      <c r="H103" s="61">
        <v>2326</v>
      </c>
      <c r="I103" s="61">
        <v>2310</v>
      </c>
      <c r="J103" s="61">
        <v>2294</v>
      </c>
      <c r="K103" s="61">
        <v>2277</v>
      </c>
      <c r="L103" s="61">
        <v>2261</v>
      </c>
      <c r="M103" s="61">
        <v>2245</v>
      </c>
      <c r="N103" s="61">
        <v>2229</v>
      </c>
      <c r="O103" s="61">
        <v>2213</v>
      </c>
      <c r="P103" s="61">
        <v>2197</v>
      </c>
      <c r="Q103" s="61">
        <v>2180</v>
      </c>
      <c r="R103" s="61">
        <v>2164</v>
      </c>
      <c r="S103" s="61">
        <v>2148</v>
      </c>
      <c r="T103" s="61">
        <v>2132</v>
      </c>
      <c r="U103" s="61">
        <v>2116</v>
      </c>
      <c r="V103" s="61">
        <v>2100</v>
      </c>
      <c r="W103" s="61">
        <v>2084</v>
      </c>
      <c r="X103" s="61">
        <v>2068</v>
      </c>
      <c r="Y103" s="61">
        <v>2052</v>
      </c>
      <c r="Z103" s="61">
        <v>2036</v>
      </c>
      <c r="AA103" s="61">
        <v>2020</v>
      </c>
      <c r="AB103" s="61">
        <v>2005</v>
      </c>
      <c r="AC103" s="61">
        <v>1989</v>
      </c>
      <c r="AD103" s="61">
        <v>1973</v>
      </c>
      <c r="AE103" s="61">
        <v>1957</v>
      </c>
      <c r="AF103" s="58">
        <v>-9.6299999999999997E-3</v>
      </c>
      <c r="AG103" s="27"/>
      <c r="AH103" s="20"/>
    </row>
    <row r="104" spans="1:34" ht="15" customHeight="1" x14ac:dyDescent="0.45">
      <c r="A104" s="26" t="s">
        <v>357</v>
      </c>
      <c r="B104" s="56" t="s">
        <v>224</v>
      </c>
      <c r="C104" s="61">
        <v>3487</v>
      </c>
      <c r="D104" s="61">
        <v>3442</v>
      </c>
      <c r="E104" s="61">
        <v>3180</v>
      </c>
      <c r="F104" s="61">
        <v>3168</v>
      </c>
      <c r="G104" s="61">
        <v>3156</v>
      </c>
      <c r="H104" s="61">
        <v>3144</v>
      </c>
      <c r="I104" s="61">
        <v>3131</v>
      </c>
      <c r="J104" s="61">
        <v>3119</v>
      </c>
      <c r="K104" s="61">
        <v>3106</v>
      </c>
      <c r="L104" s="61">
        <v>3094</v>
      </c>
      <c r="M104" s="61">
        <v>3081</v>
      </c>
      <c r="N104" s="61">
        <v>3069</v>
      </c>
      <c r="O104" s="61">
        <v>3056</v>
      </c>
      <c r="P104" s="61">
        <v>3043</v>
      </c>
      <c r="Q104" s="61">
        <v>3031</v>
      </c>
      <c r="R104" s="61">
        <v>3018</v>
      </c>
      <c r="S104" s="61">
        <v>3005</v>
      </c>
      <c r="T104" s="61">
        <v>2992</v>
      </c>
      <c r="U104" s="61">
        <v>2980</v>
      </c>
      <c r="V104" s="61">
        <v>2967</v>
      </c>
      <c r="W104" s="61">
        <v>2954</v>
      </c>
      <c r="X104" s="61">
        <v>2941</v>
      </c>
      <c r="Y104" s="61">
        <v>2929</v>
      </c>
      <c r="Z104" s="61">
        <v>2916</v>
      </c>
      <c r="AA104" s="61">
        <v>2903</v>
      </c>
      <c r="AB104" s="61">
        <v>2890</v>
      </c>
      <c r="AC104" s="61">
        <v>2877</v>
      </c>
      <c r="AD104" s="61">
        <v>2865</v>
      </c>
      <c r="AE104" s="61">
        <v>2852</v>
      </c>
      <c r="AF104" s="58">
        <v>-7.1539999999999998E-3</v>
      </c>
      <c r="AG104" s="27"/>
      <c r="AH104" s="20"/>
    </row>
    <row r="105" spans="1:34" ht="15" customHeight="1" x14ac:dyDescent="0.45">
      <c r="A105" s="26" t="s">
        <v>358</v>
      </c>
      <c r="B105" s="56" t="s">
        <v>226</v>
      </c>
      <c r="C105" s="61">
        <v>2195</v>
      </c>
      <c r="D105" s="61">
        <v>2056</v>
      </c>
      <c r="E105" s="61">
        <v>1942</v>
      </c>
      <c r="F105" s="61">
        <v>1934</v>
      </c>
      <c r="G105" s="61">
        <v>1925</v>
      </c>
      <c r="H105" s="61">
        <v>1916</v>
      </c>
      <c r="I105" s="61">
        <v>1908</v>
      </c>
      <c r="J105" s="61">
        <v>1899</v>
      </c>
      <c r="K105" s="61">
        <v>1891</v>
      </c>
      <c r="L105" s="61">
        <v>1882</v>
      </c>
      <c r="M105" s="61">
        <v>1874</v>
      </c>
      <c r="N105" s="61">
        <v>1865</v>
      </c>
      <c r="O105" s="61">
        <v>1857</v>
      </c>
      <c r="P105" s="61">
        <v>1849</v>
      </c>
      <c r="Q105" s="61">
        <v>1840</v>
      </c>
      <c r="R105" s="61">
        <v>1832</v>
      </c>
      <c r="S105" s="61">
        <v>1824</v>
      </c>
      <c r="T105" s="61">
        <v>1815</v>
      </c>
      <c r="U105" s="61">
        <v>1807</v>
      </c>
      <c r="V105" s="61">
        <v>1799</v>
      </c>
      <c r="W105" s="61">
        <v>1791</v>
      </c>
      <c r="X105" s="61">
        <v>1783</v>
      </c>
      <c r="Y105" s="61">
        <v>1774</v>
      </c>
      <c r="Z105" s="61">
        <v>1766</v>
      </c>
      <c r="AA105" s="61">
        <v>1758</v>
      </c>
      <c r="AB105" s="61">
        <v>1750</v>
      </c>
      <c r="AC105" s="61">
        <v>1742</v>
      </c>
      <c r="AD105" s="61">
        <v>1734</v>
      </c>
      <c r="AE105" s="61">
        <v>1726</v>
      </c>
      <c r="AF105" s="58">
        <v>-8.548E-3</v>
      </c>
      <c r="AG105" s="27"/>
      <c r="AH105" s="20"/>
    </row>
    <row r="106" spans="1:34" ht="15" customHeight="1" x14ac:dyDescent="0.45">
      <c r="A106" s="26" t="s">
        <v>359</v>
      </c>
      <c r="B106" s="56" t="s">
        <v>228</v>
      </c>
      <c r="C106" s="61">
        <v>4970</v>
      </c>
      <c r="D106" s="61">
        <v>4978</v>
      </c>
      <c r="E106" s="61">
        <v>4789</v>
      </c>
      <c r="F106" s="61">
        <v>4776</v>
      </c>
      <c r="G106" s="61">
        <v>4763</v>
      </c>
      <c r="H106" s="61">
        <v>4751</v>
      </c>
      <c r="I106" s="61">
        <v>4738</v>
      </c>
      <c r="J106" s="61">
        <v>4725</v>
      </c>
      <c r="K106" s="61">
        <v>4712</v>
      </c>
      <c r="L106" s="61">
        <v>4698</v>
      </c>
      <c r="M106" s="61">
        <v>4685</v>
      </c>
      <c r="N106" s="61">
        <v>4672</v>
      </c>
      <c r="O106" s="61">
        <v>4658</v>
      </c>
      <c r="P106" s="61">
        <v>4645</v>
      </c>
      <c r="Q106" s="61">
        <v>4632</v>
      </c>
      <c r="R106" s="61">
        <v>4619</v>
      </c>
      <c r="S106" s="61">
        <v>4606</v>
      </c>
      <c r="T106" s="61">
        <v>4593</v>
      </c>
      <c r="U106" s="61">
        <v>4580</v>
      </c>
      <c r="V106" s="61">
        <v>4568</v>
      </c>
      <c r="W106" s="61">
        <v>4555</v>
      </c>
      <c r="X106" s="61">
        <v>4542</v>
      </c>
      <c r="Y106" s="61">
        <v>4530</v>
      </c>
      <c r="Z106" s="61">
        <v>4517</v>
      </c>
      <c r="AA106" s="61">
        <v>4504</v>
      </c>
      <c r="AB106" s="61">
        <v>4492</v>
      </c>
      <c r="AC106" s="61">
        <v>4479</v>
      </c>
      <c r="AD106" s="61">
        <v>4467</v>
      </c>
      <c r="AE106" s="61">
        <v>4454</v>
      </c>
      <c r="AF106" s="58">
        <v>-3.9069999999999999E-3</v>
      </c>
      <c r="AG106" s="27"/>
      <c r="AH106" s="20"/>
    </row>
    <row r="107" spans="1:34" ht="15" customHeight="1" x14ac:dyDescent="0.45">
      <c r="A107" s="26" t="s">
        <v>360</v>
      </c>
      <c r="B107" s="56" t="s">
        <v>230</v>
      </c>
      <c r="C107" s="61">
        <v>3212</v>
      </c>
      <c r="D107" s="61">
        <v>3503</v>
      </c>
      <c r="E107" s="61">
        <v>3250</v>
      </c>
      <c r="F107" s="61">
        <v>3241</v>
      </c>
      <c r="G107" s="61">
        <v>3232</v>
      </c>
      <c r="H107" s="61">
        <v>3223</v>
      </c>
      <c r="I107" s="61">
        <v>3213</v>
      </c>
      <c r="J107" s="61">
        <v>3204</v>
      </c>
      <c r="K107" s="61">
        <v>3195</v>
      </c>
      <c r="L107" s="61">
        <v>3185</v>
      </c>
      <c r="M107" s="61">
        <v>3176</v>
      </c>
      <c r="N107" s="61">
        <v>3166</v>
      </c>
      <c r="O107" s="61">
        <v>3157</v>
      </c>
      <c r="P107" s="61">
        <v>3147</v>
      </c>
      <c r="Q107" s="61">
        <v>3137</v>
      </c>
      <c r="R107" s="61">
        <v>3128</v>
      </c>
      <c r="S107" s="61">
        <v>3118</v>
      </c>
      <c r="T107" s="61">
        <v>3108</v>
      </c>
      <c r="U107" s="61">
        <v>3098</v>
      </c>
      <c r="V107" s="61">
        <v>3089</v>
      </c>
      <c r="W107" s="61">
        <v>3079</v>
      </c>
      <c r="X107" s="61">
        <v>3069</v>
      </c>
      <c r="Y107" s="61">
        <v>3059</v>
      </c>
      <c r="Z107" s="61">
        <v>3049</v>
      </c>
      <c r="AA107" s="61">
        <v>3040</v>
      </c>
      <c r="AB107" s="61">
        <v>3030</v>
      </c>
      <c r="AC107" s="61">
        <v>3020</v>
      </c>
      <c r="AD107" s="61">
        <v>3010</v>
      </c>
      <c r="AE107" s="61">
        <v>3000</v>
      </c>
      <c r="AF107" s="58">
        <v>-2.4359999999999998E-3</v>
      </c>
      <c r="AG107" s="27"/>
      <c r="AH107" s="20"/>
    </row>
    <row r="108" spans="1:34" ht="15" customHeight="1" x14ac:dyDescent="0.35">
      <c r="A108" s="26" t="s">
        <v>361</v>
      </c>
      <c r="B108" s="55" t="s">
        <v>232</v>
      </c>
      <c r="C108" s="63">
        <v>4234.6137699999999</v>
      </c>
      <c r="D108" s="63">
        <v>4246.6186520000001</v>
      </c>
      <c r="E108" s="63">
        <v>3976.1059570000002</v>
      </c>
      <c r="F108" s="63">
        <v>3957.180664</v>
      </c>
      <c r="G108" s="63">
        <v>3938.5415039999998</v>
      </c>
      <c r="H108" s="63">
        <v>3920.0117190000001</v>
      </c>
      <c r="I108" s="63">
        <v>3901.2561040000001</v>
      </c>
      <c r="J108" s="63">
        <v>3882.5219729999999</v>
      </c>
      <c r="K108" s="63">
        <v>3863.8103030000002</v>
      </c>
      <c r="L108" s="63">
        <v>3845.1889649999998</v>
      </c>
      <c r="M108" s="63">
        <v>3826.626221</v>
      </c>
      <c r="N108" s="63">
        <v>3807.9733890000002</v>
      </c>
      <c r="O108" s="63">
        <v>3789.4521479999999</v>
      </c>
      <c r="P108" s="63">
        <v>3770.821289</v>
      </c>
      <c r="Q108" s="63">
        <v>3752.0329590000001</v>
      </c>
      <c r="R108" s="63">
        <v>3733.780029</v>
      </c>
      <c r="S108" s="63">
        <v>3715.305664</v>
      </c>
      <c r="T108" s="63">
        <v>3696.5273440000001</v>
      </c>
      <c r="U108" s="63">
        <v>3678.117432</v>
      </c>
      <c r="V108" s="63">
        <v>3659.850586</v>
      </c>
      <c r="W108" s="63">
        <v>3641.3955080000001</v>
      </c>
      <c r="X108" s="63">
        <v>3622.8991700000001</v>
      </c>
      <c r="Y108" s="63">
        <v>3604.398682</v>
      </c>
      <c r="Z108" s="63">
        <v>3585.969482</v>
      </c>
      <c r="AA108" s="63">
        <v>3567.7004390000002</v>
      </c>
      <c r="AB108" s="63">
        <v>3549.5581050000001</v>
      </c>
      <c r="AC108" s="63">
        <v>3531.4091800000001</v>
      </c>
      <c r="AD108" s="63">
        <v>3513.482422</v>
      </c>
      <c r="AE108" s="63">
        <v>3495.6748050000001</v>
      </c>
      <c r="AF108" s="60">
        <v>-6.8250000000000003E-3</v>
      </c>
      <c r="AG108" s="27"/>
      <c r="AH108" s="19"/>
    </row>
    <row r="109" spans="1:34" ht="15" customHeight="1" x14ac:dyDescent="0.35"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</row>
    <row r="110" spans="1:34" ht="15" customHeight="1" x14ac:dyDescent="0.35">
      <c r="B110" s="55" t="s">
        <v>233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</row>
    <row r="111" spans="1:34" ht="15" customHeight="1" x14ac:dyDescent="0.45">
      <c r="A111" s="26" t="s">
        <v>362</v>
      </c>
      <c r="B111" s="56" t="s">
        <v>214</v>
      </c>
      <c r="C111" s="61">
        <v>639</v>
      </c>
      <c r="D111" s="61">
        <v>500</v>
      </c>
      <c r="E111" s="61">
        <v>614</v>
      </c>
      <c r="F111" s="61">
        <v>621</v>
      </c>
      <c r="G111" s="61">
        <v>629</v>
      </c>
      <c r="H111" s="61">
        <v>636</v>
      </c>
      <c r="I111" s="61">
        <v>643</v>
      </c>
      <c r="J111" s="61">
        <v>651</v>
      </c>
      <c r="K111" s="61">
        <v>658</v>
      </c>
      <c r="L111" s="61">
        <v>665</v>
      </c>
      <c r="M111" s="61">
        <v>673</v>
      </c>
      <c r="N111" s="61">
        <v>680</v>
      </c>
      <c r="O111" s="61">
        <v>687</v>
      </c>
      <c r="P111" s="61">
        <v>695</v>
      </c>
      <c r="Q111" s="61">
        <v>702</v>
      </c>
      <c r="R111" s="61">
        <v>710</v>
      </c>
      <c r="S111" s="61">
        <v>717</v>
      </c>
      <c r="T111" s="61">
        <v>724</v>
      </c>
      <c r="U111" s="61">
        <v>732</v>
      </c>
      <c r="V111" s="61">
        <v>739</v>
      </c>
      <c r="W111" s="61">
        <v>747</v>
      </c>
      <c r="X111" s="61">
        <v>754</v>
      </c>
      <c r="Y111" s="61">
        <v>761</v>
      </c>
      <c r="Z111" s="61">
        <v>769</v>
      </c>
      <c r="AA111" s="61">
        <v>776</v>
      </c>
      <c r="AB111" s="61">
        <v>784</v>
      </c>
      <c r="AC111" s="61">
        <v>791</v>
      </c>
      <c r="AD111" s="61">
        <v>799</v>
      </c>
      <c r="AE111" s="61">
        <v>806</v>
      </c>
      <c r="AF111" s="58">
        <v>8.3269999999999993E-3</v>
      </c>
      <c r="AG111" s="27"/>
      <c r="AH111" s="20"/>
    </row>
    <row r="112" spans="1:34" ht="15" customHeight="1" x14ac:dyDescent="0.45">
      <c r="A112" s="26" t="s">
        <v>363</v>
      </c>
      <c r="B112" s="56" t="s">
        <v>216</v>
      </c>
      <c r="C112" s="65">
        <v>835</v>
      </c>
      <c r="D112" s="65">
        <v>692</v>
      </c>
      <c r="E112" s="65">
        <v>864</v>
      </c>
      <c r="F112" s="65">
        <v>874</v>
      </c>
      <c r="G112" s="65">
        <v>883</v>
      </c>
      <c r="H112" s="65">
        <v>893</v>
      </c>
      <c r="I112" s="65">
        <v>902</v>
      </c>
      <c r="J112" s="65">
        <v>912</v>
      </c>
      <c r="K112" s="65">
        <v>922</v>
      </c>
      <c r="L112" s="65">
        <v>931</v>
      </c>
      <c r="M112" s="65">
        <v>941</v>
      </c>
      <c r="N112" s="65">
        <v>950</v>
      </c>
      <c r="O112" s="65">
        <v>960</v>
      </c>
      <c r="P112" s="65">
        <v>970</v>
      </c>
      <c r="Q112" s="65">
        <v>979</v>
      </c>
      <c r="R112" s="65">
        <v>989</v>
      </c>
      <c r="S112" s="65">
        <v>999</v>
      </c>
      <c r="T112" s="65">
        <v>1008</v>
      </c>
      <c r="U112" s="65">
        <v>1018</v>
      </c>
      <c r="V112" s="65">
        <v>1027</v>
      </c>
      <c r="W112" s="65">
        <v>1037</v>
      </c>
      <c r="X112" s="65">
        <v>1047</v>
      </c>
      <c r="Y112" s="65">
        <v>1056</v>
      </c>
      <c r="Z112" s="65">
        <v>1066</v>
      </c>
      <c r="AA112" s="65">
        <v>1076</v>
      </c>
      <c r="AB112" s="65">
        <v>1085</v>
      </c>
      <c r="AC112" s="65">
        <v>1095</v>
      </c>
      <c r="AD112" s="65">
        <v>1104</v>
      </c>
      <c r="AE112" s="65">
        <v>1114</v>
      </c>
      <c r="AF112" s="66">
        <v>1.0349000000000001E-2</v>
      </c>
      <c r="AG112" s="27"/>
      <c r="AH112" s="20"/>
    </row>
    <row r="113" spans="1:34" ht="15" customHeight="1" x14ac:dyDescent="0.35">
      <c r="A113" s="26" t="s">
        <v>364</v>
      </c>
      <c r="B113" s="56" t="s">
        <v>218</v>
      </c>
      <c r="C113" s="61">
        <v>813</v>
      </c>
      <c r="D113" s="61">
        <v>752</v>
      </c>
      <c r="E113" s="61">
        <v>892</v>
      </c>
      <c r="F113" s="61">
        <v>900</v>
      </c>
      <c r="G113" s="61">
        <v>908</v>
      </c>
      <c r="H113" s="61">
        <v>916</v>
      </c>
      <c r="I113" s="61">
        <v>924</v>
      </c>
      <c r="J113" s="61">
        <v>932</v>
      </c>
      <c r="K113" s="61">
        <v>939</v>
      </c>
      <c r="L113" s="61">
        <v>947</v>
      </c>
      <c r="M113" s="61">
        <v>955</v>
      </c>
      <c r="N113" s="61">
        <v>963</v>
      </c>
      <c r="O113" s="61">
        <v>971</v>
      </c>
      <c r="P113" s="61">
        <v>979</v>
      </c>
      <c r="Q113" s="61">
        <v>987</v>
      </c>
      <c r="R113" s="61">
        <v>994</v>
      </c>
      <c r="S113" s="61">
        <v>1002</v>
      </c>
      <c r="T113" s="61">
        <v>1010</v>
      </c>
      <c r="U113" s="61">
        <v>1018</v>
      </c>
      <c r="V113" s="61">
        <v>1026</v>
      </c>
      <c r="W113" s="61">
        <v>1034</v>
      </c>
      <c r="X113" s="61">
        <v>1042</v>
      </c>
      <c r="Y113" s="61">
        <v>1050</v>
      </c>
      <c r="Z113" s="61">
        <v>1058</v>
      </c>
      <c r="AA113" s="61">
        <v>1066</v>
      </c>
      <c r="AB113" s="61">
        <v>1073</v>
      </c>
      <c r="AC113" s="61">
        <v>1081</v>
      </c>
      <c r="AD113" s="61">
        <v>1089</v>
      </c>
      <c r="AE113" s="61">
        <v>1097</v>
      </c>
      <c r="AF113" s="58">
        <v>1.0758E-2</v>
      </c>
      <c r="AG113" s="27"/>
    </row>
    <row r="114" spans="1:34" ht="15" customHeight="1" x14ac:dyDescent="0.35">
      <c r="A114" s="26" t="s">
        <v>365</v>
      </c>
      <c r="B114" s="56" t="s">
        <v>220</v>
      </c>
      <c r="C114" s="61">
        <v>1050</v>
      </c>
      <c r="D114" s="61">
        <v>944</v>
      </c>
      <c r="E114" s="61">
        <v>1069</v>
      </c>
      <c r="F114" s="61">
        <v>1077</v>
      </c>
      <c r="G114" s="61">
        <v>1084</v>
      </c>
      <c r="H114" s="61">
        <v>1091</v>
      </c>
      <c r="I114" s="61">
        <v>1099</v>
      </c>
      <c r="J114" s="61">
        <v>1106</v>
      </c>
      <c r="K114" s="61">
        <v>1114</v>
      </c>
      <c r="L114" s="61">
        <v>1121</v>
      </c>
      <c r="M114" s="61">
        <v>1129</v>
      </c>
      <c r="N114" s="61">
        <v>1136</v>
      </c>
      <c r="O114" s="61">
        <v>1144</v>
      </c>
      <c r="P114" s="61">
        <v>1151</v>
      </c>
      <c r="Q114" s="61">
        <v>1159</v>
      </c>
      <c r="R114" s="61">
        <v>1166</v>
      </c>
      <c r="S114" s="61">
        <v>1174</v>
      </c>
      <c r="T114" s="61">
        <v>1182</v>
      </c>
      <c r="U114" s="61">
        <v>1189</v>
      </c>
      <c r="V114" s="61">
        <v>1197</v>
      </c>
      <c r="W114" s="61">
        <v>1204</v>
      </c>
      <c r="X114" s="61">
        <v>1212</v>
      </c>
      <c r="Y114" s="61">
        <v>1220</v>
      </c>
      <c r="Z114" s="61">
        <v>1227</v>
      </c>
      <c r="AA114" s="61">
        <v>1235</v>
      </c>
      <c r="AB114" s="61">
        <v>1243</v>
      </c>
      <c r="AC114" s="61">
        <v>1250</v>
      </c>
      <c r="AD114" s="61">
        <v>1258</v>
      </c>
      <c r="AE114" s="61">
        <v>1266</v>
      </c>
      <c r="AF114" s="58">
        <v>6.7029999999999998E-3</v>
      </c>
      <c r="AG114" s="27"/>
    </row>
    <row r="115" spans="1:34" ht="15" customHeight="1" x14ac:dyDescent="0.35">
      <c r="A115" s="26" t="s">
        <v>366</v>
      </c>
      <c r="B115" s="56" t="s">
        <v>222</v>
      </c>
      <c r="C115" s="61">
        <v>2264</v>
      </c>
      <c r="D115" s="61">
        <v>2150</v>
      </c>
      <c r="E115" s="61">
        <v>2408</v>
      </c>
      <c r="F115" s="61">
        <v>2426</v>
      </c>
      <c r="G115" s="61">
        <v>2442</v>
      </c>
      <c r="H115" s="61">
        <v>2459</v>
      </c>
      <c r="I115" s="61">
        <v>2476</v>
      </c>
      <c r="J115" s="61">
        <v>2494</v>
      </c>
      <c r="K115" s="61">
        <v>2511</v>
      </c>
      <c r="L115" s="61">
        <v>2528</v>
      </c>
      <c r="M115" s="61">
        <v>2545</v>
      </c>
      <c r="N115" s="61">
        <v>2562</v>
      </c>
      <c r="O115" s="61">
        <v>2579</v>
      </c>
      <c r="P115" s="61">
        <v>2597</v>
      </c>
      <c r="Q115" s="61">
        <v>2614</v>
      </c>
      <c r="R115" s="61">
        <v>2632</v>
      </c>
      <c r="S115" s="61">
        <v>2649</v>
      </c>
      <c r="T115" s="61">
        <v>2666</v>
      </c>
      <c r="U115" s="61">
        <v>2684</v>
      </c>
      <c r="V115" s="61">
        <v>2701</v>
      </c>
      <c r="W115" s="61">
        <v>2719</v>
      </c>
      <c r="X115" s="61">
        <v>2736</v>
      </c>
      <c r="Y115" s="61">
        <v>2754</v>
      </c>
      <c r="Z115" s="61">
        <v>2771</v>
      </c>
      <c r="AA115" s="61">
        <v>2789</v>
      </c>
      <c r="AB115" s="61">
        <v>2806</v>
      </c>
      <c r="AC115" s="61">
        <v>2824</v>
      </c>
      <c r="AD115" s="61">
        <v>2842</v>
      </c>
      <c r="AE115" s="61">
        <v>2859</v>
      </c>
      <c r="AF115" s="58">
        <v>8.3680000000000004E-3</v>
      </c>
      <c r="AG115" s="27"/>
    </row>
    <row r="116" spans="1:34" ht="15" customHeight="1" x14ac:dyDescent="0.35">
      <c r="A116" s="26" t="s">
        <v>367</v>
      </c>
      <c r="B116" s="56" t="s">
        <v>224</v>
      </c>
      <c r="C116" s="61">
        <v>1730</v>
      </c>
      <c r="D116" s="61">
        <v>1637</v>
      </c>
      <c r="E116" s="61">
        <v>1805</v>
      </c>
      <c r="F116" s="61">
        <v>1814</v>
      </c>
      <c r="G116" s="61">
        <v>1824</v>
      </c>
      <c r="H116" s="61">
        <v>1834</v>
      </c>
      <c r="I116" s="61">
        <v>1844</v>
      </c>
      <c r="J116" s="61">
        <v>1854</v>
      </c>
      <c r="K116" s="61">
        <v>1864</v>
      </c>
      <c r="L116" s="61">
        <v>1874</v>
      </c>
      <c r="M116" s="61">
        <v>1884</v>
      </c>
      <c r="N116" s="61">
        <v>1894</v>
      </c>
      <c r="O116" s="61">
        <v>1904</v>
      </c>
      <c r="P116" s="61">
        <v>1914</v>
      </c>
      <c r="Q116" s="61">
        <v>1924</v>
      </c>
      <c r="R116" s="61">
        <v>1934</v>
      </c>
      <c r="S116" s="61">
        <v>1944</v>
      </c>
      <c r="T116" s="61">
        <v>1954</v>
      </c>
      <c r="U116" s="61">
        <v>1964</v>
      </c>
      <c r="V116" s="61">
        <v>1974</v>
      </c>
      <c r="W116" s="61">
        <v>1984</v>
      </c>
      <c r="X116" s="61">
        <v>1994</v>
      </c>
      <c r="Y116" s="61">
        <v>2004</v>
      </c>
      <c r="Z116" s="61">
        <v>2014</v>
      </c>
      <c r="AA116" s="61">
        <v>2024</v>
      </c>
      <c r="AB116" s="61">
        <v>2034</v>
      </c>
      <c r="AC116" s="61">
        <v>2044</v>
      </c>
      <c r="AD116" s="61">
        <v>2054</v>
      </c>
      <c r="AE116" s="61">
        <v>2064</v>
      </c>
      <c r="AF116" s="58">
        <v>6.3239999999999998E-3</v>
      </c>
      <c r="AG116" s="27"/>
    </row>
    <row r="117" spans="1:34" ht="15" customHeight="1" x14ac:dyDescent="0.35">
      <c r="A117" s="26" t="s">
        <v>368</v>
      </c>
      <c r="B117" s="56" t="s">
        <v>226</v>
      </c>
      <c r="C117" s="61">
        <v>3000</v>
      </c>
      <c r="D117" s="61">
        <v>2658</v>
      </c>
      <c r="E117" s="61">
        <v>2860</v>
      </c>
      <c r="F117" s="61">
        <v>2874</v>
      </c>
      <c r="G117" s="61">
        <v>2887</v>
      </c>
      <c r="H117" s="61">
        <v>2901</v>
      </c>
      <c r="I117" s="61">
        <v>2915</v>
      </c>
      <c r="J117" s="61">
        <v>2928</v>
      </c>
      <c r="K117" s="61">
        <v>2942</v>
      </c>
      <c r="L117" s="61">
        <v>2955</v>
      </c>
      <c r="M117" s="61">
        <v>2969</v>
      </c>
      <c r="N117" s="61">
        <v>2982</v>
      </c>
      <c r="O117" s="61">
        <v>2996</v>
      </c>
      <c r="P117" s="61">
        <v>3009</v>
      </c>
      <c r="Q117" s="61">
        <v>3023</v>
      </c>
      <c r="R117" s="61">
        <v>3036</v>
      </c>
      <c r="S117" s="61">
        <v>3050</v>
      </c>
      <c r="T117" s="61">
        <v>3063</v>
      </c>
      <c r="U117" s="61">
        <v>3076</v>
      </c>
      <c r="V117" s="61">
        <v>3090</v>
      </c>
      <c r="W117" s="61">
        <v>3103</v>
      </c>
      <c r="X117" s="61">
        <v>3117</v>
      </c>
      <c r="Y117" s="61">
        <v>3130</v>
      </c>
      <c r="Z117" s="61">
        <v>3144</v>
      </c>
      <c r="AA117" s="61">
        <v>3157</v>
      </c>
      <c r="AB117" s="61">
        <v>3170</v>
      </c>
      <c r="AC117" s="61">
        <v>3184</v>
      </c>
      <c r="AD117" s="61">
        <v>3197</v>
      </c>
      <c r="AE117" s="61">
        <v>3210</v>
      </c>
      <c r="AF117" s="58">
        <v>2.4190000000000001E-3</v>
      </c>
      <c r="AG117" s="27"/>
    </row>
    <row r="118" spans="1:34" ht="15" customHeight="1" x14ac:dyDescent="0.35">
      <c r="A118" s="26" t="s">
        <v>369</v>
      </c>
      <c r="B118" s="56" t="s">
        <v>228</v>
      </c>
      <c r="C118" s="61">
        <v>1578</v>
      </c>
      <c r="D118" s="61">
        <v>1415</v>
      </c>
      <c r="E118" s="61">
        <v>1580</v>
      </c>
      <c r="F118" s="61">
        <v>1589</v>
      </c>
      <c r="G118" s="61">
        <v>1599</v>
      </c>
      <c r="H118" s="61">
        <v>1608</v>
      </c>
      <c r="I118" s="61">
        <v>1618</v>
      </c>
      <c r="J118" s="61">
        <v>1628</v>
      </c>
      <c r="K118" s="61">
        <v>1638</v>
      </c>
      <c r="L118" s="61">
        <v>1647</v>
      </c>
      <c r="M118" s="61">
        <v>1657</v>
      </c>
      <c r="N118" s="61">
        <v>1667</v>
      </c>
      <c r="O118" s="61">
        <v>1677</v>
      </c>
      <c r="P118" s="61">
        <v>1687</v>
      </c>
      <c r="Q118" s="61">
        <v>1697</v>
      </c>
      <c r="R118" s="61">
        <v>1706</v>
      </c>
      <c r="S118" s="61">
        <v>1716</v>
      </c>
      <c r="T118" s="61">
        <v>1726</v>
      </c>
      <c r="U118" s="61">
        <v>1735</v>
      </c>
      <c r="V118" s="61">
        <v>1745</v>
      </c>
      <c r="W118" s="61">
        <v>1755</v>
      </c>
      <c r="X118" s="61">
        <v>1764</v>
      </c>
      <c r="Y118" s="61">
        <v>1774</v>
      </c>
      <c r="Z118" s="61">
        <v>1783</v>
      </c>
      <c r="AA118" s="61">
        <v>1793</v>
      </c>
      <c r="AB118" s="61">
        <v>1802</v>
      </c>
      <c r="AC118" s="61">
        <v>1812</v>
      </c>
      <c r="AD118" s="61">
        <v>1822</v>
      </c>
      <c r="AE118" s="61">
        <v>1831</v>
      </c>
      <c r="AF118" s="58">
        <v>5.3249999999999999E-3</v>
      </c>
      <c r="AG118" s="27"/>
    </row>
    <row r="119" spans="1:34" ht="15" customHeight="1" x14ac:dyDescent="0.35">
      <c r="A119" s="26" t="s">
        <v>370</v>
      </c>
      <c r="B119" s="56" t="s">
        <v>230</v>
      </c>
      <c r="C119" s="61">
        <v>1098</v>
      </c>
      <c r="D119" s="61">
        <v>825</v>
      </c>
      <c r="E119" s="61">
        <v>1006</v>
      </c>
      <c r="F119" s="61">
        <v>1013</v>
      </c>
      <c r="G119" s="61">
        <v>1020</v>
      </c>
      <c r="H119" s="61">
        <v>1028</v>
      </c>
      <c r="I119" s="61">
        <v>1035</v>
      </c>
      <c r="J119" s="61">
        <v>1043</v>
      </c>
      <c r="K119" s="61">
        <v>1050</v>
      </c>
      <c r="L119" s="61">
        <v>1058</v>
      </c>
      <c r="M119" s="61">
        <v>1066</v>
      </c>
      <c r="N119" s="61">
        <v>1073</v>
      </c>
      <c r="O119" s="61">
        <v>1081</v>
      </c>
      <c r="P119" s="61">
        <v>1088</v>
      </c>
      <c r="Q119" s="61">
        <v>1096</v>
      </c>
      <c r="R119" s="61">
        <v>1104</v>
      </c>
      <c r="S119" s="61">
        <v>1111</v>
      </c>
      <c r="T119" s="61">
        <v>1119</v>
      </c>
      <c r="U119" s="61">
        <v>1127</v>
      </c>
      <c r="V119" s="61">
        <v>1134</v>
      </c>
      <c r="W119" s="61">
        <v>1142</v>
      </c>
      <c r="X119" s="61">
        <v>1150</v>
      </c>
      <c r="Y119" s="61">
        <v>1157</v>
      </c>
      <c r="Z119" s="61">
        <v>1165</v>
      </c>
      <c r="AA119" s="61">
        <v>1173</v>
      </c>
      <c r="AB119" s="61">
        <v>1181</v>
      </c>
      <c r="AC119" s="61">
        <v>1188</v>
      </c>
      <c r="AD119" s="61">
        <v>1196</v>
      </c>
      <c r="AE119" s="61">
        <v>1204</v>
      </c>
      <c r="AF119" s="58">
        <v>3.297E-3</v>
      </c>
      <c r="AG119" s="27"/>
    </row>
    <row r="120" spans="1:34" ht="15" customHeight="1" x14ac:dyDescent="0.35">
      <c r="A120" s="26" t="s">
        <v>371</v>
      </c>
      <c r="B120" s="55" t="s">
        <v>232</v>
      </c>
      <c r="C120" s="63">
        <v>1549.955811</v>
      </c>
      <c r="D120" s="63">
        <v>1383.8479</v>
      </c>
      <c r="E120" s="63">
        <v>1570.0424800000001</v>
      </c>
      <c r="F120" s="63">
        <v>1583.3448490000001</v>
      </c>
      <c r="G120" s="63">
        <v>1596.1142580000001</v>
      </c>
      <c r="H120" s="63">
        <v>1609.38501</v>
      </c>
      <c r="I120" s="63">
        <v>1622.5207519999999</v>
      </c>
      <c r="J120" s="63">
        <v>1636.0070800000001</v>
      </c>
      <c r="K120" s="63">
        <v>1649.149048</v>
      </c>
      <c r="L120" s="63">
        <v>1662.2188719999999</v>
      </c>
      <c r="M120" s="63">
        <v>1675.7426760000001</v>
      </c>
      <c r="N120" s="63">
        <v>1688.762207</v>
      </c>
      <c r="O120" s="63">
        <v>1702.278198</v>
      </c>
      <c r="P120" s="63">
        <v>1715.7017820000001</v>
      </c>
      <c r="Q120" s="63">
        <v>1729.1450199999999</v>
      </c>
      <c r="R120" s="63">
        <v>1742.5604249999999</v>
      </c>
      <c r="S120" s="63">
        <v>1755.9835210000001</v>
      </c>
      <c r="T120" s="63">
        <v>1769.3446039999999</v>
      </c>
      <c r="U120" s="63">
        <v>1782.940063</v>
      </c>
      <c r="V120" s="63">
        <v>1796.302124</v>
      </c>
      <c r="W120" s="63">
        <v>1810.015259</v>
      </c>
      <c r="X120" s="63">
        <v>1823.60437</v>
      </c>
      <c r="Y120" s="63">
        <v>1837.094971</v>
      </c>
      <c r="Z120" s="63">
        <v>1850.6906739999999</v>
      </c>
      <c r="AA120" s="63">
        <v>1864.471436</v>
      </c>
      <c r="AB120" s="63">
        <v>1877.7441409999999</v>
      </c>
      <c r="AC120" s="63">
        <v>1891.3885499999999</v>
      </c>
      <c r="AD120" s="63">
        <v>1904.9642329999999</v>
      </c>
      <c r="AE120" s="63">
        <v>1918.225586</v>
      </c>
      <c r="AF120" s="60">
        <v>7.6420000000000004E-3</v>
      </c>
      <c r="AG120" s="27"/>
    </row>
    <row r="121" spans="1:34" ht="15" customHeight="1" thickBot="1" x14ac:dyDescent="0.4"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</row>
    <row r="122" spans="1:34" ht="15" customHeight="1" x14ac:dyDescent="0.45">
      <c r="B122" s="72" t="s">
        <v>244</v>
      </c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45"/>
    </row>
    <row r="123" spans="1:34" ht="15" customHeight="1" x14ac:dyDescent="0.35">
      <c r="B123" s="27" t="s">
        <v>245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</row>
    <row r="124" spans="1:34" ht="15" customHeight="1" x14ac:dyDescent="0.35">
      <c r="B124" s="27" t="s">
        <v>372</v>
      </c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</row>
    <row r="125" spans="1:34" ht="15" customHeight="1" x14ac:dyDescent="0.35">
      <c r="B125" s="27" t="s">
        <v>373</v>
      </c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</row>
    <row r="126" spans="1:34" ht="15" customHeight="1" x14ac:dyDescent="0.35">
      <c r="B126" s="27" t="s">
        <v>374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</row>
    <row r="127" spans="1:34" ht="15" customHeight="1" x14ac:dyDescent="0.35">
      <c r="B127" s="27" t="s">
        <v>375</v>
      </c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</row>
    <row r="128" spans="1:34" ht="15" customHeight="1" x14ac:dyDescent="0.35">
      <c r="B128" s="27" t="s">
        <v>376</v>
      </c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</row>
    <row r="129" spans="2:33" ht="15" customHeight="1" x14ac:dyDescent="0.35">
      <c r="B129" s="27" t="s">
        <v>377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</row>
    <row r="130" spans="2:33" ht="15" customHeight="1" x14ac:dyDescent="0.35">
      <c r="B130" s="27" t="s">
        <v>378</v>
      </c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</row>
    <row r="131" spans="2:33" ht="15" customHeight="1" x14ac:dyDescent="0.35">
      <c r="B131" s="27" t="s">
        <v>379</v>
      </c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</row>
    <row r="132" spans="2:33" ht="15" customHeight="1" x14ac:dyDescent="0.35">
      <c r="B132" s="27" t="s">
        <v>380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</row>
    <row r="133" spans="2:33" ht="15" customHeight="1" x14ac:dyDescent="0.35">
      <c r="B133" s="27" t="s">
        <v>381</v>
      </c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</row>
    <row r="134" spans="2:33" ht="15" customHeight="1" x14ac:dyDescent="0.35">
      <c r="B134" s="27" t="s">
        <v>382</v>
      </c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</row>
    <row r="135" spans="2:33" ht="15" customHeight="1" x14ac:dyDescent="0.35">
      <c r="B135" s="27" t="s">
        <v>383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</row>
    <row r="136" spans="2:33" ht="15" customHeight="1" x14ac:dyDescent="0.35">
      <c r="B136" s="27" t="s">
        <v>264</v>
      </c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</row>
    <row r="137" spans="2:33" ht="15" customHeight="1" x14ac:dyDescent="0.35">
      <c r="B137" s="27" t="s">
        <v>265</v>
      </c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</row>
    <row r="138" spans="2:33" ht="15" customHeight="1" x14ac:dyDescent="0.35">
      <c r="B138" s="27" t="s">
        <v>266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</row>
    <row r="139" spans="2:33" ht="15" customHeight="1" x14ac:dyDescent="0.35">
      <c r="B139" s="27" t="s">
        <v>267</v>
      </c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</row>
    <row r="140" spans="2:33" ht="15" customHeight="1" x14ac:dyDescent="0.35">
      <c r="B140" s="27" t="s">
        <v>268</v>
      </c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</row>
    <row r="141" spans="2:33" ht="15" customHeight="1" x14ac:dyDescent="0.35"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</row>
    <row r="142" spans="2:33" ht="15" customHeight="1" x14ac:dyDescent="0.35"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</row>
    <row r="143" spans="2:33" ht="15" customHeight="1" x14ac:dyDescent="0.35"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</row>
    <row r="144" spans="2:33" ht="15" customHeight="1" x14ac:dyDescent="0.35"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</row>
    <row r="145" spans="2:33" ht="15" customHeight="1" x14ac:dyDescent="0.35"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</row>
    <row r="146" spans="2:33" ht="15" customHeight="1" x14ac:dyDescent="0.35"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</row>
    <row r="147" spans="2:33" ht="15" customHeight="1" x14ac:dyDescent="0.35"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</row>
    <row r="148" spans="2:33" ht="15" customHeight="1" x14ac:dyDescent="0.35"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</row>
    <row r="149" spans="2:33" ht="15" customHeight="1" x14ac:dyDescent="0.35"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</row>
    <row r="150" spans="2:33" ht="15" customHeight="1" x14ac:dyDescent="0.35"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</row>
    <row r="151" spans="2:33" ht="15" customHeight="1" x14ac:dyDescent="0.35"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</row>
    <row r="152" spans="2:33" ht="15" customHeight="1" x14ac:dyDescent="0.35"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</row>
    <row r="153" spans="2:33" ht="15" customHeight="1" x14ac:dyDescent="0.35"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</row>
    <row r="154" spans="2:33" ht="15" customHeight="1" x14ac:dyDescent="0.35"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</row>
    <row r="155" spans="2:33" ht="15" customHeight="1" x14ac:dyDescent="0.35"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</row>
    <row r="156" spans="2:33" ht="15" customHeight="1" x14ac:dyDescent="0.35"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</row>
    <row r="157" spans="2:33" ht="15" customHeight="1" x14ac:dyDescent="0.35"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</row>
    <row r="158" spans="2:33" ht="15" customHeight="1" x14ac:dyDescent="0.35"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</row>
    <row r="159" spans="2:33" ht="15" customHeight="1" x14ac:dyDescent="0.35"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</row>
    <row r="160" spans="2:33" ht="15" customHeight="1" x14ac:dyDescent="0.35"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</row>
    <row r="161" spans="2:33" ht="15" customHeight="1" x14ac:dyDescent="0.35"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</row>
    <row r="162" spans="2:33" ht="15" customHeight="1" x14ac:dyDescent="0.35"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</row>
    <row r="163" spans="2:33" ht="15" customHeight="1" x14ac:dyDescent="0.35"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</row>
    <row r="164" spans="2:33" ht="15" customHeight="1" x14ac:dyDescent="0.35"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</row>
    <row r="165" spans="2:33" ht="15" customHeight="1" x14ac:dyDescent="0.35"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</row>
    <row r="166" spans="2:33" ht="15" customHeight="1" x14ac:dyDescent="0.35"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</row>
    <row r="167" spans="2:33" ht="15" customHeight="1" x14ac:dyDescent="0.35"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</row>
    <row r="168" spans="2:33" ht="15" customHeight="1" x14ac:dyDescent="0.35"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</row>
    <row r="169" spans="2:33" ht="15" customHeight="1" x14ac:dyDescent="0.35"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</row>
    <row r="170" spans="2:33" ht="15" customHeight="1" x14ac:dyDescent="0.35"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</row>
    <row r="171" spans="2:33" ht="15" customHeight="1" x14ac:dyDescent="0.35"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</row>
    <row r="172" spans="2:33" ht="15" customHeight="1" x14ac:dyDescent="0.35"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</row>
    <row r="173" spans="2:33" ht="15" customHeight="1" x14ac:dyDescent="0.35"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</row>
    <row r="174" spans="2:33" ht="15" customHeight="1" x14ac:dyDescent="0.35"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</row>
    <row r="175" spans="2:33" ht="15" customHeight="1" x14ac:dyDescent="0.35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</row>
    <row r="176" spans="2:33" ht="15" customHeight="1" x14ac:dyDescent="0.35"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</row>
    <row r="177" spans="2:33" ht="15" customHeight="1" x14ac:dyDescent="0.35"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</row>
    <row r="178" spans="2:33" ht="15" customHeight="1" x14ac:dyDescent="0.35"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</row>
    <row r="179" spans="2:33" ht="15" customHeight="1" x14ac:dyDescent="0.35"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</row>
    <row r="180" spans="2:33" ht="15" customHeight="1" x14ac:dyDescent="0.35"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</row>
    <row r="181" spans="2:33" ht="15" customHeight="1" x14ac:dyDescent="0.35"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</row>
    <row r="182" spans="2:33" ht="15" customHeight="1" x14ac:dyDescent="0.35"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</row>
    <row r="183" spans="2:33" ht="15" customHeight="1" x14ac:dyDescent="0.35"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</row>
    <row r="184" spans="2:33" ht="15" customHeight="1" x14ac:dyDescent="0.35"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</row>
    <row r="308" spans="2:32" ht="15" customHeight="1" x14ac:dyDescent="0.35"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</row>
    <row r="511" spans="2:32" ht="15" customHeight="1" x14ac:dyDescent="0.35"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  <c r="AA511" s="71"/>
      <c r="AB511" s="71"/>
      <c r="AC511" s="71"/>
      <c r="AD511" s="71"/>
      <c r="AE511" s="71"/>
      <c r="AF511" s="71"/>
    </row>
    <row r="712" spans="2:32" ht="15" customHeight="1" x14ac:dyDescent="0.35"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  <c r="AA712" s="71"/>
      <c r="AB712" s="71"/>
      <c r="AC712" s="71"/>
      <c r="AD712" s="71"/>
      <c r="AE712" s="71"/>
      <c r="AF712" s="71"/>
    </row>
    <row r="887" spans="2:32" ht="15" customHeight="1" x14ac:dyDescent="0.35"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  <c r="AA887" s="71"/>
      <c r="AB887" s="71"/>
      <c r="AC887" s="71"/>
      <c r="AD887" s="71"/>
      <c r="AE887" s="71"/>
      <c r="AF887" s="71"/>
    </row>
    <row r="1101" spans="2:32" ht="15" customHeight="1" x14ac:dyDescent="0.35">
      <c r="B1101" s="71"/>
      <c r="C1101" s="71"/>
      <c r="D1101" s="71"/>
      <c r="E1101" s="71"/>
      <c r="F1101" s="71"/>
      <c r="G1101" s="71"/>
      <c r="H1101" s="71"/>
      <c r="I1101" s="71"/>
      <c r="J1101" s="71"/>
      <c r="K1101" s="71"/>
      <c r="L1101" s="71"/>
      <c r="M1101" s="71"/>
      <c r="N1101" s="71"/>
      <c r="O1101" s="71"/>
      <c r="P1101" s="71"/>
      <c r="Q1101" s="71"/>
      <c r="R1101" s="71"/>
      <c r="S1101" s="71"/>
      <c r="T1101" s="71"/>
      <c r="U1101" s="71"/>
      <c r="V1101" s="71"/>
      <c r="W1101" s="71"/>
      <c r="X1101" s="71"/>
      <c r="Y1101" s="71"/>
      <c r="Z1101" s="71"/>
      <c r="AA1101" s="71"/>
      <c r="AB1101" s="71"/>
      <c r="AC1101" s="71"/>
      <c r="AD1101" s="71"/>
      <c r="AE1101" s="71"/>
      <c r="AF1101" s="71"/>
    </row>
    <row r="1229" spans="2:32" ht="15" customHeight="1" x14ac:dyDescent="0.35">
      <c r="B1229" s="71"/>
      <c r="C1229" s="71"/>
      <c r="D1229" s="71"/>
      <c r="E1229" s="71"/>
      <c r="F1229" s="71"/>
      <c r="G1229" s="71"/>
      <c r="H1229" s="71"/>
      <c r="I1229" s="71"/>
      <c r="J1229" s="71"/>
      <c r="K1229" s="71"/>
      <c r="L1229" s="71"/>
      <c r="M1229" s="71"/>
      <c r="N1229" s="71"/>
      <c r="O1229" s="71"/>
      <c r="P1229" s="71"/>
      <c r="Q1229" s="71"/>
      <c r="R1229" s="71"/>
      <c r="S1229" s="71"/>
      <c r="T1229" s="71"/>
      <c r="U1229" s="71"/>
      <c r="V1229" s="71"/>
      <c r="W1229" s="71"/>
      <c r="X1229" s="71"/>
      <c r="Y1229" s="71"/>
      <c r="Z1229" s="71"/>
      <c r="AA1229" s="71"/>
      <c r="AB1229" s="71"/>
      <c r="AC1229" s="71"/>
      <c r="AD1229" s="71"/>
      <c r="AE1229" s="71"/>
      <c r="AF1229" s="71"/>
    </row>
    <row r="1390" spans="2:32" ht="15" customHeight="1" x14ac:dyDescent="0.35">
      <c r="B1390" s="71"/>
      <c r="C1390" s="71"/>
      <c r="D1390" s="71"/>
      <c r="E1390" s="71"/>
      <c r="F1390" s="71"/>
      <c r="G1390" s="71"/>
      <c r="H1390" s="71"/>
      <c r="I1390" s="71"/>
      <c r="J1390" s="71"/>
      <c r="K1390" s="71"/>
      <c r="L1390" s="71"/>
      <c r="M1390" s="71"/>
      <c r="N1390" s="71"/>
      <c r="O1390" s="71"/>
      <c r="P1390" s="71"/>
      <c r="Q1390" s="71"/>
      <c r="R1390" s="71"/>
      <c r="S1390" s="71"/>
      <c r="T1390" s="71"/>
      <c r="U1390" s="71"/>
      <c r="V1390" s="71"/>
      <c r="W1390" s="71"/>
      <c r="X1390" s="71"/>
      <c r="Y1390" s="71"/>
      <c r="Z1390" s="71"/>
      <c r="AA1390" s="71"/>
      <c r="AB1390" s="71"/>
      <c r="AC1390" s="71"/>
      <c r="AD1390" s="71"/>
      <c r="AE1390" s="71"/>
      <c r="AF1390" s="71"/>
    </row>
    <row r="1502" spans="2:32" ht="15" customHeight="1" x14ac:dyDescent="0.35">
      <c r="B1502" s="71"/>
      <c r="C1502" s="71"/>
      <c r="D1502" s="71"/>
      <c r="E1502" s="71"/>
      <c r="F1502" s="71"/>
      <c r="G1502" s="71"/>
      <c r="H1502" s="71"/>
      <c r="I1502" s="71"/>
      <c r="J1502" s="71"/>
      <c r="K1502" s="71"/>
      <c r="L1502" s="71"/>
      <c r="M1502" s="71"/>
      <c r="N1502" s="71"/>
      <c r="O1502" s="71"/>
      <c r="P1502" s="71"/>
      <c r="Q1502" s="71"/>
      <c r="R1502" s="71"/>
      <c r="S1502" s="71"/>
      <c r="T1502" s="71"/>
      <c r="U1502" s="71"/>
      <c r="V1502" s="71"/>
      <c r="W1502" s="71"/>
      <c r="X1502" s="71"/>
      <c r="Y1502" s="71"/>
      <c r="Z1502" s="71"/>
      <c r="AA1502" s="71"/>
      <c r="AB1502" s="71"/>
      <c r="AC1502" s="71"/>
      <c r="AD1502" s="71"/>
      <c r="AE1502" s="71"/>
      <c r="AF1502" s="71"/>
    </row>
    <row r="1604" spans="2:32" ht="15" customHeight="1" x14ac:dyDescent="0.35">
      <c r="B1604" s="71"/>
      <c r="C1604" s="71"/>
      <c r="D1604" s="71"/>
      <c r="E1604" s="71"/>
      <c r="F1604" s="71"/>
      <c r="G1604" s="71"/>
      <c r="H1604" s="71"/>
      <c r="I1604" s="71"/>
      <c r="J1604" s="71"/>
      <c r="K1604" s="71"/>
      <c r="L1604" s="71"/>
      <c r="M1604" s="71"/>
      <c r="N1604" s="71"/>
      <c r="O1604" s="71"/>
      <c r="P1604" s="71"/>
      <c r="Q1604" s="71"/>
      <c r="R1604" s="71"/>
      <c r="S1604" s="71"/>
      <c r="T1604" s="71"/>
      <c r="U1604" s="71"/>
      <c r="V1604" s="71"/>
      <c r="W1604" s="71"/>
      <c r="X1604" s="71"/>
      <c r="Y1604" s="71"/>
      <c r="Z1604" s="71"/>
      <c r="AA1604" s="71"/>
      <c r="AB1604" s="71"/>
      <c r="AC1604" s="71"/>
      <c r="AD1604" s="71"/>
      <c r="AE1604" s="71"/>
      <c r="AF1604" s="71"/>
    </row>
    <row r="1699" spans="2:32" ht="15" customHeight="1" x14ac:dyDescent="0.35">
      <c r="B1699" s="71"/>
      <c r="C1699" s="71"/>
      <c r="D1699" s="71"/>
      <c r="E1699" s="71"/>
      <c r="F1699" s="71"/>
      <c r="G1699" s="71"/>
      <c r="H1699" s="71"/>
      <c r="I1699" s="71"/>
      <c r="J1699" s="71"/>
      <c r="K1699" s="71"/>
      <c r="L1699" s="71"/>
      <c r="M1699" s="71"/>
      <c r="N1699" s="71"/>
      <c r="O1699" s="71"/>
      <c r="P1699" s="71"/>
      <c r="Q1699" s="71"/>
      <c r="R1699" s="71"/>
      <c r="S1699" s="71"/>
      <c r="T1699" s="71"/>
      <c r="U1699" s="71"/>
      <c r="V1699" s="71"/>
      <c r="W1699" s="71"/>
      <c r="X1699" s="71"/>
      <c r="Y1699" s="71"/>
      <c r="Z1699" s="71"/>
      <c r="AA1699" s="71"/>
      <c r="AB1699" s="71"/>
      <c r="AC1699" s="71"/>
      <c r="AD1699" s="71"/>
      <c r="AE1699" s="71"/>
      <c r="AF1699" s="71"/>
    </row>
    <row r="1945" spans="2:32" ht="15" customHeight="1" x14ac:dyDescent="0.35">
      <c r="B1945" s="71"/>
      <c r="C1945" s="71"/>
      <c r="D1945" s="71"/>
      <c r="E1945" s="71"/>
      <c r="F1945" s="71"/>
      <c r="G1945" s="71"/>
      <c r="H1945" s="71"/>
      <c r="I1945" s="71"/>
      <c r="J1945" s="71"/>
      <c r="K1945" s="71"/>
      <c r="L1945" s="71"/>
      <c r="M1945" s="71"/>
      <c r="N1945" s="71"/>
      <c r="O1945" s="71"/>
      <c r="P1945" s="71"/>
      <c r="Q1945" s="71"/>
      <c r="R1945" s="71"/>
      <c r="S1945" s="71"/>
      <c r="T1945" s="71"/>
      <c r="U1945" s="71"/>
      <c r="V1945" s="71"/>
      <c r="W1945" s="71"/>
      <c r="X1945" s="71"/>
      <c r="Y1945" s="71"/>
      <c r="Z1945" s="71"/>
      <c r="AA1945" s="71"/>
      <c r="AB1945" s="71"/>
      <c r="AC1945" s="71"/>
      <c r="AD1945" s="71"/>
      <c r="AE1945" s="71"/>
      <c r="AF1945" s="71"/>
    </row>
    <row r="2031" spans="2:32" ht="15" customHeight="1" x14ac:dyDescent="0.35">
      <c r="B2031" s="71"/>
      <c r="C2031" s="71"/>
      <c r="D2031" s="71"/>
      <c r="E2031" s="71"/>
      <c r="F2031" s="71"/>
      <c r="G2031" s="71"/>
      <c r="H2031" s="71"/>
      <c r="I2031" s="71"/>
      <c r="J2031" s="71"/>
      <c r="K2031" s="71"/>
      <c r="L2031" s="71"/>
      <c r="M2031" s="71"/>
      <c r="N2031" s="71"/>
      <c r="O2031" s="71"/>
      <c r="P2031" s="71"/>
      <c r="Q2031" s="71"/>
      <c r="R2031" s="71"/>
      <c r="S2031" s="71"/>
      <c r="T2031" s="71"/>
      <c r="U2031" s="71"/>
      <c r="V2031" s="71"/>
      <c r="W2031" s="71"/>
      <c r="X2031" s="71"/>
      <c r="Y2031" s="71"/>
      <c r="Z2031" s="71"/>
      <c r="AA2031" s="71"/>
      <c r="AB2031" s="71"/>
      <c r="AC2031" s="71"/>
      <c r="AD2031" s="71"/>
      <c r="AE2031" s="71"/>
      <c r="AF2031" s="71"/>
    </row>
    <row r="2153" spans="2:32" ht="15" customHeight="1" x14ac:dyDescent="0.35">
      <c r="B2153" s="71"/>
      <c r="C2153" s="71"/>
      <c r="D2153" s="71"/>
      <c r="E2153" s="71"/>
      <c r="F2153" s="71"/>
      <c r="G2153" s="71"/>
      <c r="H2153" s="71"/>
      <c r="I2153" s="71"/>
      <c r="J2153" s="71"/>
      <c r="K2153" s="71"/>
      <c r="L2153" s="71"/>
      <c r="M2153" s="71"/>
      <c r="N2153" s="71"/>
      <c r="O2153" s="71"/>
      <c r="P2153" s="71"/>
      <c r="Q2153" s="71"/>
      <c r="R2153" s="71"/>
      <c r="S2153" s="71"/>
      <c r="T2153" s="71"/>
      <c r="U2153" s="71"/>
      <c r="V2153" s="71"/>
      <c r="W2153" s="71"/>
      <c r="X2153" s="71"/>
      <c r="Y2153" s="71"/>
      <c r="Z2153" s="71"/>
      <c r="AA2153" s="71"/>
      <c r="AB2153" s="71"/>
      <c r="AC2153" s="71"/>
      <c r="AD2153" s="71"/>
      <c r="AE2153" s="71"/>
      <c r="AF2153" s="71"/>
    </row>
    <row r="2317" spans="2:32" ht="15" customHeight="1" x14ac:dyDescent="0.35">
      <c r="B2317" s="71"/>
      <c r="C2317" s="71"/>
      <c r="D2317" s="71"/>
      <c r="E2317" s="71"/>
      <c r="F2317" s="71"/>
      <c r="G2317" s="71"/>
      <c r="H2317" s="71"/>
      <c r="I2317" s="71"/>
      <c r="J2317" s="71"/>
      <c r="K2317" s="71"/>
      <c r="L2317" s="71"/>
      <c r="M2317" s="71"/>
      <c r="N2317" s="71"/>
      <c r="O2317" s="71"/>
      <c r="P2317" s="71"/>
      <c r="Q2317" s="71"/>
      <c r="R2317" s="71"/>
      <c r="S2317" s="71"/>
      <c r="T2317" s="71"/>
      <c r="U2317" s="71"/>
      <c r="V2317" s="71"/>
      <c r="W2317" s="71"/>
      <c r="X2317" s="71"/>
      <c r="Y2317" s="71"/>
      <c r="Z2317" s="71"/>
      <c r="AA2317" s="71"/>
      <c r="AB2317" s="71"/>
      <c r="AC2317" s="71"/>
      <c r="AD2317" s="71"/>
      <c r="AE2317" s="71"/>
      <c r="AF2317" s="71"/>
    </row>
    <row r="2419" spans="2:32" ht="15" customHeight="1" x14ac:dyDescent="0.35">
      <c r="B2419" s="71"/>
      <c r="C2419" s="71"/>
      <c r="D2419" s="71"/>
      <c r="E2419" s="71"/>
      <c r="F2419" s="71"/>
      <c r="G2419" s="71"/>
      <c r="H2419" s="71"/>
      <c r="I2419" s="71"/>
      <c r="J2419" s="71"/>
      <c r="K2419" s="71"/>
      <c r="L2419" s="71"/>
      <c r="M2419" s="71"/>
      <c r="N2419" s="71"/>
      <c r="O2419" s="71"/>
      <c r="P2419" s="71"/>
      <c r="Q2419" s="71"/>
      <c r="R2419" s="71"/>
      <c r="S2419" s="71"/>
      <c r="T2419" s="71"/>
      <c r="U2419" s="71"/>
      <c r="V2419" s="71"/>
      <c r="W2419" s="71"/>
      <c r="X2419" s="71"/>
      <c r="Y2419" s="71"/>
      <c r="Z2419" s="71"/>
      <c r="AA2419" s="71"/>
      <c r="AB2419" s="71"/>
      <c r="AC2419" s="71"/>
      <c r="AD2419" s="71"/>
      <c r="AE2419" s="71"/>
      <c r="AF2419" s="71"/>
    </row>
    <row r="2509" spans="2:32" ht="15" customHeight="1" x14ac:dyDescent="0.35">
      <c r="B2509" s="71"/>
      <c r="C2509" s="71"/>
      <c r="D2509" s="71"/>
      <c r="E2509" s="71"/>
      <c r="F2509" s="71"/>
      <c r="G2509" s="71"/>
      <c r="H2509" s="71"/>
      <c r="I2509" s="71"/>
      <c r="J2509" s="71"/>
      <c r="K2509" s="71"/>
      <c r="L2509" s="71"/>
      <c r="M2509" s="71"/>
      <c r="N2509" s="71"/>
      <c r="O2509" s="71"/>
      <c r="P2509" s="71"/>
      <c r="Q2509" s="71"/>
      <c r="R2509" s="71"/>
      <c r="S2509" s="71"/>
      <c r="T2509" s="71"/>
      <c r="U2509" s="71"/>
      <c r="V2509" s="71"/>
      <c r="W2509" s="71"/>
      <c r="X2509" s="71"/>
      <c r="Y2509" s="71"/>
      <c r="Z2509" s="71"/>
      <c r="AA2509" s="71"/>
      <c r="AB2509" s="71"/>
      <c r="AC2509" s="71"/>
      <c r="AD2509" s="71"/>
      <c r="AE2509" s="71"/>
      <c r="AF2509" s="71"/>
    </row>
    <row r="2598" spans="2:32" ht="15" customHeight="1" x14ac:dyDescent="0.35">
      <c r="B2598" s="71"/>
      <c r="C2598" s="71"/>
      <c r="D2598" s="71"/>
      <c r="E2598" s="71"/>
      <c r="F2598" s="71"/>
      <c r="G2598" s="71"/>
      <c r="H2598" s="71"/>
      <c r="I2598" s="71"/>
      <c r="J2598" s="71"/>
      <c r="K2598" s="71"/>
      <c r="L2598" s="71"/>
      <c r="M2598" s="71"/>
      <c r="N2598" s="71"/>
      <c r="O2598" s="71"/>
      <c r="P2598" s="71"/>
      <c r="Q2598" s="71"/>
      <c r="R2598" s="71"/>
      <c r="S2598" s="71"/>
      <c r="T2598" s="71"/>
      <c r="U2598" s="71"/>
      <c r="V2598" s="71"/>
      <c r="W2598" s="71"/>
      <c r="X2598" s="71"/>
      <c r="Y2598" s="71"/>
      <c r="Z2598" s="71"/>
      <c r="AA2598" s="71"/>
      <c r="AB2598" s="71"/>
      <c r="AC2598" s="71"/>
      <c r="AD2598" s="71"/>
      <c r="AE2598" s="71"/>
      <c r="AF2598" s="71"/>
    </row>
    <row r="2719" spans="2:32" ht="15" customHeight="1" x14ac:dyDescent="0.35">
      <c r="B2719" s="71"/>
      <c r="C2719" s="71"/>
      <c r="D2719" s="71"/>
      <c r="E2719" s="71"/>
      <c r="F2719" s="71"/>
      <c r="G2719" s="71"/>
      <c r="H2719" s="71"/>
      <c r="I2719" s="71"/>
      <c r="J2719" s="71"/>
      <c r="K2719" s="71"/>
      <c r="L2719" s="71"/>
      <c r="M2719" s="71"/>
      <c r="N2719" s="71"/>
      <c r="O2719" s="71"/>
      <c r="P2719" s="71"/>
      <c r="Q2719" s="71"/>
      <c r="R2719" s="71"/>
      <c r="S2719" s="71"/>
      <c r="T2719" s="71"/>
      <c r="U2719" s="71"/>
      <c r="V2719" s="71"/>
      <c r="W2719" s="71"/>
      <c r="X2719" s="71"/>
      <c r="Y2719" s="71"/>
      <c r="Z2719" s="71"/>
      <c r="AA2719" s="71"/>
      <c r="AB2719" s="71"/>
      <c r="AC2719" s="71"/>
      <c r="AD2719" s="71"/>
      <c r="AE2719" s="71"/>
      <c r="AF2719" s="71"/>
    </row>
    <row r="2837" spans="2:32" ht="15" customHeight="1" x14ac:dyDescent="0.35">
      <c r="B2837" s="71"/>
      <c r="C2837" s="71"/>
      <c r="D2837" s="71"/>
      <c r="E2837" s="71"/>
      <c r="F2837" s="71"/>
      <c r="G2837" s="71"/>
      <c r="H2837" s="71"/>
      <c r="I2837" s="71"/>
      <c r="J2837" s="71"/>
      <c r="K2837" s="71"/>
      <c r="L2837" s="71"/>
      <c r="M2837" s="71"/>
      <c r="N2837" s="71"/>
      <c r="O2837" s="71"/>
      <c r="P2837" s="71"/>
      <c r="Q2837" s="71"/>
      <c r="R2837" s="71"/>
      <c r="S2837" s="71"/>
      <c r="T2837" s="71"/>
      <c r="U2837" s="71"/>
      <c r="V2837" s="71"/>
      <c r="W2837" s="71"/>
      <c r="X2837" s="71"/>
      <c r="Y2837" s="71"/>
      <c r="Z2837" s="71"/>
      <c r="AA2837" s="71"/>
      <c r="AB2837" s="71"/>
      <c r="AC2837" s="71"/>
      <c r="AD2837" s="71"/>
      <c r="AE2837" s="71"/>
      <c r="AF2837" s="71"/>
    </row>
  </sheetData>
  <mergeCells count="20">
    <mergeCell ref="B2719:AF2719"/>
    <mergeCell ref="B712:AF712"/>
    <mergeCell ref="B1699:AF1699"/>
    <mergeCell ref="B2317:AF2317"/>
    <mergeCell ref="B2837:AF2837"/>
    <mergeCell ref="B122:AG122"/>
    <mergeCell ref="B2509:AF2509"/>
    <mergeCell ref="B1390:AF1390"/>
    <mergeCell ref="B2598:AF2598"/>
    <mergeCell ref="B511:AF511"/>
    <mergeCell ref="B1229:AF1229"/>
    <mergeCell ref="B1945:AF1945"/>
    <mergeCell ref="B2031:AF2031"/>
    <mergeCell ref="B2153:AF2153"/>
    <mergeCell ref="B1101:AF1101"/>
    <mergeCell ref="B2419:AF2419"/>
    <mergeCell ref="B887:AF887"/>
    <mergeCell ref="B1502:AF1502"/>
    <mergeCell ref="B1604:AF1604"/>
    <mergeCell ref="B308:AF308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25"/>
  <sheetViews>
    <sheetView workbookViewId="0">
      <selection activeCell="C12" sqref="C12"/>
    </sheetView>
  </sheetViews>
  <sheetFormatPr defaultRowHeight="14.25" x14ac:dyDescent="0.45"/>
  <cols>
    <col min="1" max="1" width="24.3984375" customWidth="1"/>
  </cols>
  <sheetData>
    <row r="1" spans="1:33" x14ac:dyDescent="0.45">
      <c r="A1" t="s">
        <v>384</v>
      </c>
    </row>
    <row r="2" spans="1:33" x14ac:dyDescent="0.45">
      <c r="A2" t="s">
        <v>385</v>
      </c>
    </row>
    <row r="3" spans="1:33" x14ac:dyDescent="0.45">
      <c r="A3" t="s">
        <v>386</v>
      </c>
    </row>
    <row r="4" spans="1:33" x14ac:dyDescent="0.45">
      <c r="A4" t="s">
        <v>387</v>
      </c>
    </row>
    <row r="5" spans="1:33" x14ac:dyDescent="0.45">
      <c r="B5" t="s">
        <v>388</v>
      </c>
      <c r="C5" t="s">
        <v>389</v>
      </c>
      <c r="D5" t="s">
        <v>390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391</v>
      </c>
    </row>
    <row r="6" spans="1:33" x14ac:dyDescent="0.45">
      <c r="A6" t="s">
        <v>61</v>
      </c>
    </row>
    <row r="7" spans="1:33" x14ac:dyDescent="0.45">
      <c r="A7" t="s">
        <v>392</v>
      </c>
    </row>
    <row r="8" spans="1:33" x14ac:dyDescent="0.45">
      <c r="A8" t="s">
        <v>393</v>
      </c>
      <c r="B8" t="s">
        <v>394</v>
      </c>
      <c r="C8" t="s">
        <v>395</v>
      </c>
      <c r="D8" t="s">
        <v>396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67">
        <v>8.9999999999999993E-3</v>
      </c>
    </row>
    <row r="9" spans="1:33" x14ac:dyDescent="0.45">
      <c r="A9" t="s">
        <v>397</v>
      </c>
      <c r="B9" t="s">
        <v>398</v>
      </c>
      <c r="C9" t="s">
        <v>399</v>
      </c>
      <c r="D9" t="s">
        <v>396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67">
        <v>0.01</v>
      </c>
    </row>
    <row r="10" spans="1:33" x14ac:dyDescent="0.45">
      <c r="A10" t="s">
        <v>400</v>
      </c>
      <c r="B10" t="s">
        <v>401</v>
      </c>
      <c r="C10" t="s">
        <v>402</v>
      </c>
      <c r="D10" t="s">
        <v>396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67">
        <v>1E-3</v>
      </c>
    </row>
    <row r="11" spans="1:33" x14ac:dyDescent="0.45">
      <c r="A11" t="s">
        <v>403</v>
      </c>
      <c r="B11" t="s">
        <v>404</v>
      </c>
      <c r="C11" t="s">
        <v>405</v>
      </c>
      <c r="D11" t="s">
        <v>396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67">
        <v>8.9999999999999993E-3</v>
      </c>
    </row>
    <row r="12" spans="1:33" x14ac:dyDescent="0.45">
      <c r="A12" t="s">
        <v>406</v>
      </c>
      <c r="B12" t="s">
        <v>407</v>
      </c>
      <c r="C12" t="s">
        <v>408</v>
      </c>
      <c r="D12" t="s">
        <v>409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67">
        <v>3.0000000000000001E-3</v>
      </c>
    </row>
    <row r="13" spans="1:33" x14ac:dyDescent="0.45">
      <c r="A13" t="s">
        <v>410</v>
      </c>
    </row>
    <row r="14" spans="1:33" x14ac:dyDescent="0.45">
      <c r="A14" t="s">
        <v>411</v>
      </c>
    </row>
    <row r="15" spans="1:33" x14ac:dyDescent="0.45">
      <c r="A15" t="s">
        <v>412</v>
      </c>
      <c r="B15" t="s">
        <v>413</v>
      </c>
      <c r="C15" t="s">
        <v>414</v>
      </c>
      <c r="D15" t="s">
        <v>415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67">
        <v>-7.0000000000000001E-3</v>
      </c>
    </row>
    <row r="16" spans="1:33" x14ac:dyDescent="0.45">
      <c r="A16" t="s">
        <v>416</v>
      </c>
      <c r="B16" t="s">
        <v>417</v>
      </c>
      <c r="C16" t="s">
        <v>418</v>
      </c>
      <c r="D16" t="s">
        <v>415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67">
        <v>-8.9999999999999993E-3</v>
      </c>
    </row>
    <row r="17" spans="1:33" x14ac:dyDescent="0.45">
      <c r="A17" t="s">
        <v>419</v>
      </c>
    </row>
    <row r="18" spans="1:33" x14ac:dyDescent="0.45">
      <c r="A18" t="s">
        <v>412</v>
      </c>
      <c r="B18" t="s">
        <v>420</v>
      </c>
      <c r="C18" t="s">
        <v>421</v>
      </c>
      <c r="D18" t="s">
        <v>422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67">
        <v>-0.01</v>
      </c>
    </row>
    <row r="19" spans="1:33" x14ac:dyDescent="0.45">
      <c r="A19" t="s">
        <v>416</v>
      </c>
      <c r="B19" t="s">
        <v>423</v>
      </c>
      <c r="C19" t="s">
        <v>424</v>
      </c>
      <c r="D19" t="s">
        <v>422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67">
        <v>-1.2E-2</v>
      </c>
    </row>
    <row r="20" spans="1:33" x14ac:dyDescent="0.45">
      <c r="A20" t="s">
        <v>82</v>
      </c>
    </row>
    <row r="21" spans="1:33" x14ac:dyDescent="0.45">
      <c r="A21" t="s">
        <v>425</v>
      </c>
    </row>
    <row r="22" spans="1:33" x14ac:dyDescent="0.45">
      <c r="A22" t="s">
        <v>426</v>
      </c>
      <c r="B22" t="s">
        <v>427</v>
      </c>
      <c r="C22" t="s">
        <v>428</v>
      </c>
      <c r="D22" t="s">
        <v>429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67">
        <v>-3.0000000000000001E-3</v>
      </c>
    </row>
    <row r="23" spans="1:33" x14ac:dyDescent="0.45">
      <c r="A23" t="s">
        <v>430</v>
      </c>
      <c r="B23" t="s">
        <v>431</v>
      </c>
      <c r="C23" t="s">
        <v>432</v>
      </c>
      <c r="D23" t="s">
        <v>429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67">
        <v>1.0999999999999999E-2</v>
      </c>
    </row>
    <row r="24" spans="1:33" x14ac:dyDescent="0.45">
      <c r="A24" t="s">
        <v>433</v>
      </c>
      <c r="B24" t="s">
        <v>434</v>
      </c>
      <c r="C24" t="s">
        <v>435</v>
      </c>
      <c r="D24" t="s">
        <v>429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67">
        <v>-2.8000000000000001E-2</v>
      </c>
    </row>
    <row r="25" spans="1:33" x14ac:dyDescent="0.45">
      <c r="A25" t="s">
        <v>436</v>
      </c>
      <c r="B25" t="s">
        <v>437</v>
      </c>
      <c r="C25" t="s">
        <v>438</v>
      </c>
      <c r="D25" t="s">
        <v>429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67">
        <v>0</v>
      </c>
    </row>
    <row r="26" spans="1:33" x14ac:dyDescent="0.45">
      <c r="A26" t="s">
        <v>439</v>
      </c>
      <c r="B26" t="s">
        <v>440</v>
      </c>
      <c r="C26" t="s">
        <v>441</v>
      </c>
      <c r="D26" t="s">
        <v>429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67">
        <v>7.0000000000000001E-3</v>
      </c>
    </row>
    <row r="27" spans="1:33" x14ac:dyDescent="0.45">
      <c r="A27" t="s">
        <v>442</v>
      </c>
      <c r="B27" t="s">
        <v>443</v>
      </c>
      <c r="C27" t="s">
        <v>444</v>
      </c>
      <c r="D27" t="s">
        <v>429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67">
        <v>1.0999999999999999E-2</v>
      </c>
    </row>
    <row r="28" spans="1:33" x14ac:dyDescent="0.45">
      <c r="A28" t="s">
        <v>445</v>
      </c>
      <c r="B28" t="s">
        <v>446</v>
      </c>
      <c r="C28" t="s">
        <v>447</v>
      </c>
      <c r="D28" t="s">
        <v>429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67">
        <v>-3.0000000000000001E-3</v>
      </c>
    </row>
    <row r="29" spans="1:33" x14ac:dyDescent="0.45">
      <c r="A29" t="s">
        <v>448</v>
      </c>
      <c r="B29" t="s">
        <v>449</v>
      </c>
      <c r="C29" t="s">
        <v>450</v>
      </c>
      <c r="D29" t="s">
        <v>429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67">
        <v>1E-3</v>
      </c>
    </row>
    <row r="30" spans="1:33" x14ac:dyDescent="0.45">
      <c r="A30" t="s">
        <v>451</v>
      </c>
      <c r="B30" t="s">
        <v>452</v>
      </c>
      <c r="C30" t="s">
        <v>453</v>
      </c>
      <c r="D30" t="s">
        <v>429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67">
        <v>-1.4E-2</v>
      </c>
    </row>
    <row r="31" spans="1:33" x14ac:dyDescent="0.45">
      <c r="A31" t="s">
        <v>454</v>
      </c>
      <c r="B31" t="s">
        <v>455</v>
      </c>
      <c r="C31" t="s">
        <v>456</v>
      </c>
      <c r="D31" t="s">
        <v>429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67">
        <v>1.0999999999999999E-2</v>
      </c>
    </row>
    <row r="32" spans="1:33" x14ac:dyDescent="0.45">
      <c r="A32" t="s">
        <v>457</v>
      </c>
      <c r="B32" t="s">
        <v>458</v>
      </c>
      <c r="C32" t="s">
        <v>459</v>
      </c>
      <c r="D32" t="s">
        <v>429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67">
        <v>-8.9999999999999993E-3</v>
      </c>
    </row>
    <row r="33" spans="1:33" x14ac:dyDescent="0.45">
      <c r="A33" t="s">
        <v>460</v>
      </c>
      <c r="B33" t="s">
        <v>461</v>
      </c>
      <c r="C33" t="s">
        <v>462</v>
      </c>
      <c r="D33" t="s">
        <v>429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67">
        <v>-1.6E-2</v>
      </c>
    </row>
    <row r="34" spans="1:33" x14ac:dyDescent="0.45">
      <c r="A34" t="s">
        <v>463</v>
      </c>
      <c r="B34" t="s">
        <v>464</v>
      </c>
      <c r="C34" t="s">
        <v>465</v>
      </c>
      <c r="D34" t="s">
        <v>429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67">
        <v>0</v>
      </c>
    </row>
    <row r="35" spans="1:33" x14ac:dyDescent="0.45">
      <c r="A35" t="s">
        <v>466</v>
      </c>
      <c r="B35" t="s">
        <v>467</v>
      </c>
      <c r="C35" t="s">
        <v>468</v>
      </c>
      <c r="D35" t="s">
        <v>429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67">
        <v>1.4E-2</v>
      </c>
    </row>
    <row r="36" spans="1:33" x14ac:dyDescent="0.45">
      <c r="A36" t="s">
        <v>469</v>
      </c>
      <c r="B36" t="s">
        <v>470</v>
      </c>
      <c r="C36" t="s">
        <v>471</v>
      </c>
      <c r="D36" t="s">
        <v>429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67">
        <v>6.0000000000000001E-3</v>
      </c>
    </row>
    <row r="37" spans="1:33" x14ac:dyDescent="0.45">
      <c r="A37" t="s">
        <v>472</v>
      </c>
      <c r="B37" t="s">
        <v>473</v>
      </c>
      <c r="C37" t="s">
        <v>474</v>
      </c>
      <c r="D37" t="s">
        <v>429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67">
        <v>0.14699999999999999</v>
      </c>
    </row>
    <row r="38" spans="1:33" x14ac:dyDescent="0.45">
      <c r="A38" t="s">
        <v>475</v>
      </c>
      <c r="B38" t="s">
        <v>476</v>
      </c>
      <c r="C38" t="s">
        <v>477</v>
      </c>
      <c r="D38" t="s">
        <v>429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67">
        <v>6.0999999999999999E-2</v>
      </c>
    </row>
    <row r="39" spans="1:33" x14ac:dyDescent="0.45">
      <c r="A39" t="s">
        <v>478</v>
      </c>
      <c r="B39" t="s">
        <v>479</v>
      </c>
      <c r="C39" t="s">
        <v>480</v>
      </c>
      <c r="D39" t="s">
        <v>429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67">
        <v>1.2E-2</v>
      </c>
    </row>
    <row r="40" spans="1:33" x14ac:dyDescent="0.45">
      <c r="A40" t="s">
        <v>481</v>
      </c>
    </row>
    <row r="41" spans="1:33" x14ac:dyDescent="0.45">
      <c r="A41" t="s">
        <v>426</v>
      </c>
      <c r="B41" t="s">
        <v>482</v>
      </c>
      <c r="C41" t="s">
        <v>483</v>
      </c>
      <c r="D41" t="s">
        <v>429</v>
      </c>
      <c r="F41">
        <v>2.7779120000000002</v>
      </c>
      <c r="G41">
        <v>3.1266400000000001</v>
      </c>
      <c r="H41">
        <v>3.1416040000000001</v>
      </c>
      <c r="I41">
        <v>3.1467909999999999</v>
      </c>
      <c r="J41">
        <v>3.143392</v>
      </c>
      <c r="K41">
        <v>3.126671</v>
      </c>
      <c r="L41">
        <v>3.103113</v>
      </c>
      <c r="M41">
        <v>3.0698919999999998</v>
      </c>
      <c r="N41">
        <v>3.0261269999999998</v>
      </c>
      <c r="O41">
        <v>2.9876309999999999</v>
      </c>
      <c r="P41">
        <v>2.9467919999999999</v>
      </c>
      <c r="Q41">
        <v>2.9121990000000002</v>
      </c>
      <c r="R41">
        <v>2.8835510000000002</v>
      </c>
      <c r="S41">
        <v>2.858295</v>
      </c>
      <c r="T41">
        <v>2.8342960000000001</v>
      </c>
      <c r="U41">
        <v>2.8115399999999999</v>
      </c>
      <c r="V41">
        <v>2.787776</v>
      </c>
      <c r="W41">
        <v>2.761015</v>
      </c>
      <c r="X41">
        <v>2.733698</v>
      </c>
      <c r="Y41">
        <v>2.7065130000000002</v>
      </c>
      <c r="Z41">
        <v>2.6808649999999998</v>
      </c>
      <c r="AA41">
        <v>2.6572309999999999</v>
      </c>
      <c r="AB41">
        <v>2.634207</v>
      </c>
      <c r="AC41">
        <v>2.6119029999999999</v>
      </c>
      <c r="AD41">
        <v>2.5905279999999999</v>
      </c>
      <c r="AE41">
        <v>2.5696650000000001</v>
      </c>
      <c r="AF41">
        <v>2.548368</v>
      </c>
      <c r="AG41" s="67">
        <v>-3.0000000000000001E-3</v>
      </c>
    </row>
    <row r="42" spans="1:33" x14ac:dyDescent="0.45">
      <c r="A42" t="s">
        <v>430</v>
      </c>
      <c r="B42" t="s">
        <v>484</v>
      </c>
      <c r="C42" t="s">
        <v>485</v>
      </c>
      <c r="D42" t="s">
        <v>429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67">
        <v>-1E-3</v>
      </c>
    </row>
    <row r="43" spans="1:33" x14ac:dyDescent="0.45">
      <c r="A43" t="s">
        <v>433</v>
      </c>
      <c r="B43" t="s">
        <v>486</v>
      </c>
      <c r="C43" t="s">
        <v>487</v>
      </c>
      <c r="D43" t="s">
        <v>429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67">
        <v>1E-3</v>
      </c>
    </row>
    <row r="44" spans="1:33" x14ac:dyDescent="0.45">
      <c r="A44" t="s">
        <v>439</v>
      </c>
      <c r="B44" t="s">
        <v>488</v>
      </c>
      <c r="C44" t="s">
        <v>489</v>
      </c>
      <c r="D44" t="s">
        <v>429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67">
        <v>4.0000000000000001E-3</v>
      </c>
    </row>
    <row r="45" spans="1:33" x14ac:dyDescent="0.45">
      <c r="A45" t="s">
        <v>442</v>
      </c>
      <c r="B45" t="s">
        <v>490</v>
      </c>
      <c r="C45" t="s">
        <v>491</v>
      </c>
      <c r="D45" t="s">
        <v>429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67">
        <v>1.6E-2</v>
      </c>
    </row>
    <row r="46" spans="1:33" x14ac:dyDescent="0.45">
      <c r="A46" t="s">
        <v>466</v>
      </c>
      <c r="B46" t="s">
        <v>492</v>
      </c>
      <c r="C46" t="s">
        <v>493</v>
      </c>
      <c r="D46" t="s">
        <v>429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67">
        <v>0</v>
      </c>
    </row>
    <row r="47" spans="1:33" x14ac:dyDescent="0.45">
      <c r="A47" t="s">
        <v>494</v>
      </c>
      <c r="B47" t="s">
        <v>495</v>
      </c>
      <c r="C47" t="s">
        <v>496</v>
      </c>
      <c r="D47" t="s">
        <v>429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67">
        <v>-1E-3</v>
      </c>
    </row>
    <row r="48" spans="1:33" x14ac:dyDescent="0.45">
      <c r="A48" t="s">
        <v>497</v>
      </c>
    </row>
    <row r="49" spans="1:33" x14ac:dyDescent="0.45">
      <c r="A49" t="s">
        <v>426</v>
      </c>
      <c r="B49" t="s">
        <v>498</v>
      </c>
      <c r="C49" t="s">
        <v>499</v>
      </c>
      <c r="D49" t="s">
        <v>429</v>
      </c>
      <c r="F49">
        <v>0.37978200000000001</v>
      </c>
      <c r="G49">
        <v>0.41094700000000001</v>
      </c>
      <c r="H49">
        <v>0.40628999999999998</v>
      </c>
      <c r="I49">
        <v>0.39952599999999999</v>
      </c>
      <c r="J49">
        <v>0.39166800000000002</v>
      </c>
      <c r="K49">
        <v>0.38360499999999997</v>
      </c>
      <c r="L49">
        <v>0.37567499999999998</v>
      </c>
      <c r="M49">
        <v>0.36870599999999998</v>
      </c>
      <c r="N49">
        <v>0.36258000000000001</v>
      </c>
      <c r="O49">
        <v>0.35711599999999999</v>
      </c>
      <c r="P49">
        <v>0.35137699999999999</v>
      </c>
      <c r="Q49">
        <v>0.34575699999999998</v>
      </c>
      <c r="R49">
        <v>0.34038200000000002</v>
      </c>
      <c r="S49">
        <v>0.33507999999999999</v>
      </c>
      <c r="T49">
        <v>0.32994400000000002</v>
      </c>
      <c r="U49">
        <v>0.32495400000000002</v>
      </c>
      <c r="V49">
        <v>0.32000299999999998</v>
      </c>
      <c r="W49">
        <v>0.31509399999999999</v>
      </c>
      <c r="X49">
        <v>0.31032399999999999</v>
      </c>
      <c r="Y49">
        <v>0.30570700000000001</v>
      </c>
      <c r="Z49">
        <v>0.30099999999999999</v>
      </c>
      <c r="AA49">
        <v>0.29680299999999998</v>
      </c>
      <c r="AB49">
        <v>0.29274600000000001</v>
      </c>
      <c r="AC49">
        <v>0.28885499999999997</v>
      </c>
      <c r="AD49">
        <v>0.28507300000000002</v>
      </c>
      <c r="AE49">
        <v>0.281366</v>
      </c>
      <c r="AF49">
        <v>0.27757900000000002</v>
      </c>
      <c r="AG49" s="67">
        <v>-1.2E-2</v>
      </c>
    </row>
    <row r="50" spans="1:33" x14ac:dyDescent="0.45">
      <c r="A50" t="s">
        <v>433</v>
      </c>
      <c r="B50" t="s">
        <v>500</v>
      </c>
      <c r="C50" t="s">
        <v>501</v>
      </c>
      <c r="D50" t="s">
        <v>429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67">
        <v>-3.4000000000000002E-2</v>
      </c>
    </row>
    <row r="51" spans="1:33" x14ac:dyDescent="0.45">
      <c r="A51" t="s">
        <v>466</v>
      </c>
      <c r="B51" t="s">
        <v>502</v>
      </c>
      <c r="C51" t="s">
        <v>503</v>
      </c>
      <c r="D51" t="s">
        <v>429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67">
        <v>-1E-3</v>
      </c>
    </row>
    <row r="52" spans="1:33" x14ac:dyDescent="0.45">
      <c r="A52" t="s">
        <v>494</v>
      </c>
      <c r="B52" t="s">
        <v>504</v>
      </c>
      <c r="C52" t="s">
        <v>505</v>
      </c>
      <c r="D52" t="s">
        <v>429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67">
        <v>-1.2999999999999999E-2</v>
      </c>
    </row>
    <row r="53" spans="1:33" x14ac:dyDescent="0.45">
      <c r="A53" t="s">
        <v>506</v>
      </c>
    </row>
    <row r="54" spans="1:33" x14ac:dyDescent="0.45">
      <c r="A54" t="s">
        <v>426</v>
      </c>
      <c r="B54" t="s">
        <v>507</v>
      </c>
      <c r="C54" t="s">
        <v>508</v>
      </c>
      <c r="D54" t="s">
        <v>429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67">
        <v>-1.0999999999999999E-2</v>
      </c>
    </row>
    <row r="55" spans="1:33" x14ac:dyDescent="0.45">
      <c r="A55" t="s">
        <v>433</v>
      </c>
      <c r="B55" t="s">
        <v>509</v>
      </c>
      <c r="C55" t="s">
        <v>510</v>
      </c>
      <c r="D55" t="s">
        <v>429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67">
        <v>-2.4E-2</v>
      </c>
    </row>
    <row r="56" spans="1:33" x14ac:dyDescent="0.45">
      <c r="A56" t="s">
        <v>439</v>
      </c>
      <c r="B56" t="s">
        <v>511</v>
      </c>
      <c r="C56" t="s">
        <v>512</v>
      </c>
      <c r="D56" t="s">
        <v>429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67">
        <v>-6.0000000000000001E-3</v>
      </c>
    </row>
    <row r="57" spans="1:33" x14ac:dyDescent="0.45">
      <c r="A57" t="s">
        <v>466</v>
      </c>
      <c r="B57" t="s">
        <v>513</v>
      </c>
      <c r="C57" t="s">
        <v>514</v>
      </c>
      <c r="D57" t="s">
        <v>429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67">
        <v>2.4E-2</v>
      </c>
    </row>
    <row r="58" spans="1:33" x14ac:dyDescent="0.45">
      <c r="A58" t="s">
        <v>494</v>
      </c>
      <c r="B58" t="s">
        <v>515</v>
      </c>
      <c r="C58" t="s">
        <v>516</v>
      </c>
      <c r="D58" t="s">
        <v>429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67">
        <v>-3.0000000000000001E-3</v>
      </c>
    </row>
    <row r="59" spans="1:33" x14ac:dyDescent="0.45">
      <c r="A59" t="s">
        <v>517</v>
      </c>
      <c r="B59" t="s">
        <v>518</v>
      </c>
      <c r="C59" t="s">
        <v>519</v>
      </c>
      <c r="D59" t="s">
        <v>429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67">
        <v>-1.0999999999999999E-2</v>
      </c>
    </row>
    <row r="60" spans="1:33" x14ac:dyDescent="0.45">
      <c r="A60" t="s">
        <v>520</v>
      </c>
    </row>
    <row r="61" spans="1:33" x14ac:dyDescent="0.45">
      <c r="A61" t="s">
        <v>426</v>
      </c>
      <c r="B61" t="s">
        <v>521</v>
      </c>
      <c r="C61" t="s">
        <v>522</v>
      </c>
      <c r="D61" t="s">
        <v>429</v>
      </c>
      <c r="F61">
        <v>4.3465860000000003</v>
      </c>
      <c r="G61">
        <v>4.8228799999999996</v>
      </c>
      <c r="H61">
        <v>4.8200079999999996</v>
      </c>
      <c r="I61">
        <v>4.8122230000000004</v>
      </c>
      <c r="J61">
        <v>4.7951969999999999</v>
      </c>
      <c r="K61">
        <v>4.7611840000000001</v>
      </c>
      <c r="L61">
        <v>4.7174490000000002</v>
      </c>
      <c r="M61">
        <v>4.6611149999999997</v>
      </c>
      <c r="N61">
        <v>4.5926739999999997</v>
      </c>
      <c r="O61">
        <v>4.5321020000000001</v>
      </c>
      <c r="P61">
        <v>4.4684559999999998</v>
      </c>
      <c r="Q61">
        <v>4.4139229999999996</v>
      </c>
      <c r="R61">
        <v>4.3675110000000004</v>
      </c>
      <c r="S61">
        <v>4.3258219999999996</v>
      </c>
      <c r="T61">
        <v>4.2849760000000003</v>
      </c>
      <c r="U61">
        <v>4.2453950000000003</v>
      </c>
      <c r="V61">
        <v>4.2049940000000001</v>
      </c>
      <c r="W61">
        <v>4.1615849999999996</v>
      </c>
      <c r="X61">
        <v>4.118366</v>
      </c>
      <c r="Y61">
        <v>4.0758530000000004</v>
      </c>
      <c r="Z61">
        <v>4.0353839999999996</v>
      </c>
      <c r="AA61">
        <v>3.9961630000000001</v>
      </c>
      <c r="AB61">
        <v>3.9576319999999998</v>
      </c>
      <c r="AC61">
        <v>3.9196849999999999</v>
      </c>
      <c r="AD61">
        <v>3.8825660000000002</v>
      </c>
      <c r="AE61">
        <v>3.846835</v>
      </c>
      <c r="AF61">
        <v>3.810959</v>
      </c>
      <c r="AG61" s="67">
        <v>-5.0000000000000001E-3</v>
      </c>
    </row>
    <row r="62" spans="1:33" x14ac:dyDescent="0.45">
      <c r="A62" t="s">
        <v>430</v>
      </c>
      <c r="B62" t="s">
        <v>523</v>
      </c>
      <c r="C62" t="s">
        <v>524</v>
      </c>
      <c r="D62" t="s">
        <v>429</v>
      </c>
      <c r="F62">
        <v>1.0605800000000001</v>
      </c>
      <c r="G62">
        <v>1.013512</v>
      </c>
      <c r="H62">
        <v>1.032818</v>
      </c>
      <c r="I62">
        <v>1.051242</v>
      </c>
      <c r="J62">
        <v>1.0633919999999999</v>
      </c>
      <c r="K62">
        <v>1.0681769999999999</v>
      </c>
      <c r="L62">
        <v>1.070424</v>
      </c>
      <c r="M62">
        <v>1.0710580000000001</v>
      </c>
      <c r="N62">
        <v>1.072892</v>
      </c>
      <c r="O62">
        <v>1.0796399999999999</v>
      </c>
      <c r="P62">
        <v>1.0884609999999999</v>
      </c>
      <c r="Q62">
        <v>1.101504</v>
      </c>
      <c r="R62">
        <v>1.1185849999999999</v>
      </c>
      <c r="S62">
        <v>1.1379809999999999</v>
      </c>
      <c r="T62">
        <v>1.1565019999999999</v>
      </c>
      <c r="U62">
        <v>1.1760699999999999</v>
      </c>
      <c r="V62">
        <v>1.1959070000000001</v>
      </c>
      <c r="W62">
        <v>1.216205</v>
      </c>
      <c r="X62">
        <v>1.236335</v>
      </c>
      <c r="Y62">
        <v>1.2568429999999999</v>
      </c>
      <c r="Z62">
        <v>1.2770840000000001</v>
      </c>
      <c r="AA62">
        <v>1.296835</v>
      </c>
      <c r="AB62">
        <v>1.316179</v>
      </c>
      <c r="AC62">
        <v>1.3353330000000001</v>
      </c>
      <c r="AD62">
        <v>1.3544449999999999</v>
      </c>
      <c r="AE62">
        <v>1.37382</v>
      </c>
      <c r="AF62">
        <v>1.3930279999999999</v>
      </c>
      <c r="AG62" s="67">
        <v>1.0999999999999999E-2</v>
      </c>
    </row>
    <row r="63" spans="1:33" x14ac:dyDescent="0.45">
      <c r="A63" t="s">
        <v>433</v>
      </c>
      <c r="B63" t="s">
        <v>525</v>
      </c>
      <c r="C63" t="s">
        <v>526</v>
      </c>
      <c r="D63" t="s">
        <v>429</v>
      </c>
      <c r="F63">
        <v>1.6054889999999999</v>
      </c>
      <c r="G63">
        <v>1.598546</v>
      </c>
      <c r="H63">
        <v>1.597089</v>
      </c>
      <c r="I63">
        <v>1.5942449999999999</v>
      </c>
      <c r="J63">
        <v>1.5889420000000001</v>
      </c>
      <c r="K63">
        <v>1.56559</v>
      </c>
      <c r="L63">
        <v>1.5391919999999999</v>
      </c>
      <c r="M63">
        <v>1.511479</v>
      </c>
      <c r="N63">
        <v>1.484329</v>
      </c>
      <c r="O63">
        <v>1.4618789999999999</v>
      </c>
      <c r="P63">
        <v>1.4445779999999999</v>
      </c>
      <c r="Q63">
        <v>1.4330259999999999</v>
      </c>
      <c r="R63">
        <v>1.423908</v>
      </c>
      <c r="S63">
        <v>1.416868</v>
      </c>
      <c r="T63">
        <v>1.4107289999999999</v>
      </c>
      <c r="U63">
        <v>1.4057539999999999</v>
      </c>
      <c r="V63">
        <v>1.401351</v>
      </c>
      <c r="W63">
        <v>1.3964270000000001</v>
      </c>
      <c r="X63">
        <v>1.3916949999999999</v>
      </c>
      <c r="Y63">
        <v>1.3874219999999999</v>
      </c>
      <c r="Z63">
        <v>1.3823030000000001</v>
      </c>
      <c r="AA63">
        <v>1.376514</v>
      </c>
      <c r="AB63">
        <v>1.3697900000000001</v>
      </c>
      <c r="AC63">
        <v>1.362908</v>
      </c>
      <c r="AD63">
        <v>1.3563510000000001</v>
      </c>
      <c r="AE63">
        <v>1.3500080000000001</v>
      </c>
      <c r="AF63">
        <v>1.3441289999999999</v>
      </c>
      <c r="AG63" s="67">
        <v>-7.0000000000000001E-3</v>
      </c>
    </row>
    <row r="64" spans="1:33" x14ac:dyDescent="0.45">
      <c r="A64" t="s">
        <v>436</v>
      </c>
      <c r="B64" t="s">
        <v>527</v>
      </c>
      <c r="C64" t="s">
        <v>528</v>
      </c>
      <c r="D64" t="s">
        <v>429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67">
        <v>0</v>
      </c>
    </row>
    <row r="65" spans="1:33" x14ac:dyDescent="0.45">
      <c r="A65" t="s">
        <v>439</v>
      </c>
      <c r="B65" t="s">
        <v>529</v>
      </c>
      <c r="C65" t="s">
        <v>530</v>
      </c>
      <c r="D65" t="s">
        <v>429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67">
        <v>5.0000000000000001E-3</v>
      </c>
    </row>
    <row r="66" spans="1:33" x14ac:dyDescent="0.45">
      <c r="A66" t="s">
        <v>442</v>
      </c>
      <c r="B66" t="s">
        <v>531</v>
      </c>
      <c r="C66" t="s">
        <v>532</v>
      </c>
      <c r="D66" t="s">
        <v>429</v>
      </c>
      <c r="F66">
        <v>0.23139499999999999</v>
      </c>
      <c r="G66">
        <v>0.23356099999999999</v>
      </c>
      <c r="H66">
        <v>0.23794899999999999</v>
      </c>
      <c r="I66">
        <v>0.24311199999999999</v>
      </c>
      <c r="J66">
        <v>0.247172</v>
      </c>
      <c r="K66">
        <v>0.24962599999999999</v>
      </c>
      <c r="L66">
        <v>0.25114199999999998</v>
      </c>
      <c r="M66">
        <v>0.25182100000000002</v>
      </c>
      <c r="N66">
        <v>0.25203799999999998</v>
      </c>
      <c r="O66">
        <v>0.25211699999999998</v>
      </c>
      <c r="P66">
        <v>0.25274000000000002</v>
      </c>
      <c r="Q66">
        <v>0.25444099999999997</v>
      </c>
      <c r="R66">
        <v>0.25719799999999998</v>
      </c>
      <c r="S66">
        <v>0.26063799999999998</v>
      </c>
      <c r="T66">
        <v>0.26424999999999998</v>
      </c>
      <c r="U66">
        <v>0.268266</v>
      </c>
      <c r="V66">
        <v>0.272733</v>
      </c>
      <c r="W66">
        <v>0.27750799999999998</v>
      </c>
      <c r="X66">
        <v>0.28212100000000001</v>
      </c>
      <c r="Y66">
        <v>0.28665000000000002</v>
      </c>
      <c r="Z66">
        <v>0.29098400000000002</v>
      </c>
      <c r="AA66">
        <v>0.295126</v>
      </c>
      <c r="AB66">
        <v>0.29904999999999998</v>
      </c>
      <c r="AC66">
        <v>0.30279099999999998</v>
      </c>
      <c r="AD66">
        <v>0.30644300000000002</v>
      </c>
      <c r="AE66">
        <v>0.31001699999999999</v>
      </c>
      <c r="AF66">
        <v>0.31342700000000001</v>
      </c>
      <c r="AG66" s="67">
        <v>1.2E-2</v>
      </c>
    </row>
    <row r="67" spans="1:33" x14ac:dyDescent="0.45">
      <c r="A67" t="s">
        <v>445</v>
      </c>
      <c r="B67" t="s">
        <v>533</v>
      </c>
      <c r="C67" t="s">
        <v>534</v>
      </c>
      <c r="D67" t="s">
        <v>429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67">
        <v>-3.0000000000000001E-3</v>
      </c>
    </row>
    <row r="68" spans="1:33" x14ac:dyDescent="0.45">
      <c r="A68" t="s">
        <v>448</v>
      </c>
      <c r="B68" t="s">
        <v>535</v>
      </c>
      <c r="C68" t="s">
        <v>536</v>
      </c>
      <c r="D68" t="s">
        <v>429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67">
        <v>1E-3</v>
      </c>
    </row>
    <row r="69" spans="1:33" x14ac:dyDescent="0.45">
      <c r="A69" t="s">
        <v>451</v>
      </c>
      <c r="B69" t="s">
        <v>537</v>
      </c>
      <c r="C69" t="s">
        <v>538</v>
      </c>
      <c r="D69" t="s">
        <v>429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67">
        <v>-1.4E-2</v>
      </c>
    </row>
    <row r="70" spans="1:33" x14ac:dyDescent="0.45">
      <c r="A70" t="s">
        <v>454</v>
      </c>
      <c r="B70" t="s">
        <v>539</v>
      </c>
      <c r="C70" t="s">
        <v>540</v>
      </c>
      <c r="D70" t="s">
        <v>429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67">
        <v>1.0999999999999999E-2</v>
      </c>
    </row>
    <row r="71" spans="1:33" x14ac:dyDescent="0.45">
      <c r="A71" t="s">
        <v>457</v>
      </c>
      <c r="B71" t="s">
        <v>541</v>
      </c>
      <c r="C71" t="s">
        <v>542</v>
      </c>
      <c r="D71" t="s">
        <v>429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67">
        <v>-8.9999999999999993E-3</v>
      </c>
    </row>
    <row r="72" spans="1:33" x14ac:dyDescent="0.45">
      <c r="A72" t="s">
        <v>460</v>
      </c>
      <c r="B72" t="s">
        <v>543</v>
      </c>
      <c r="C72" t="s">
        <v>544</v>
      </c>
      <c r="D72" t="s">
        <v>429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67">
        <v>-1.6E-2</v>
      </c>
    </row>
    <row r="73" spans="1:33" x14ac:dyDescent="0.45">
      <c r="A73" t="s">
        <v>463</v>
      </c>
      <c r="B73" t="s">
        <v>545</v>
      </c>
      <c r="C73" t="s">
        <v>546</v>
      </c>
      <c r="D73" t="s">
        <v>429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67">
        <v>0</v>
      </c>
    </row>
    <row r="74" spans="1:33" x14ac:dyDescent="0.45">
      <c r="A74" t="s">
        <v>466</v>
      </c>
      <c r="B74" t="s">
        <v>547</v>
      </c>
      <c r="C74" t="s">
        <v>548</v>
      </c>
      <c r="D74" t="s">
        <v>429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67">
        <v>1.2E-2</v>
      </c>
    </row>
    <row r="75" spans="1:33" x14ac:dyDescent="0.45">
      <c r="A75" t="s">
        <v>469</v>
      </c>
      <c r="B75" t="s">
        <v>549</v>
      </c>
      <c r="C75" t="s">
        <v>550</v>
      </c>
      <c r="D75" t="s">
        <v>429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67">
        <v>2E-3</v>
      </c>
    </row>
    <row r="76" spans="1:33" x14ac:dyDescent="0.45">
      <c r="A76" t="s">
        <v>472</v>
      </c>
      <c r="B76" t="s">
        <v>551</v>
      </c>
      <c r="C76" t="s">
        <v>552</v>
      </c>
      <c r="D76" t="s">
        <v>429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67">
        <v>0.14699999999999999</v>
      </c>
    </row>
    <row r="77" spans="1:33" x14ac:dyDescent="0.45">
      <c r="A77" t="s">
        <v>475</v>
      </c>
      <c r="B77" t="s">
        <v>553</v>
      </c>
      <c r="C77" t="s">
        <v>554</v>
      </c>
      <c r="D77" t="s">
        <v>429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67">
        <v>6.0999999999999999E-2</v>
      </c>
    </row>
    <row r="78" spans="1:33" x14ac:dyDescent="0.45">
      <c r="A78" t="s">
        <v>494</v>
      </c>
      <c r="B78" t="s">
        <v>555</v>
      </c>
      <c r="C78" t="s">
        <v>556</v>
      </c>
      <c r="D78" t="s">
        <v>429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67">
        <v>5.0000000000000001E-3</v>
      </c>
    </row>
    <row r="79" spans="1:33" x14ac:dyDescent="0.45">
      <c r="A79" t="s">
        <v>179</v>
      </c>
      <c r="B79" t="s">
        <v>557</v>
      </c>
      <c r="C79" t="s">
        <v>558</v>
      </c>
      <c r="D79" t="s">
        <v>429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67">
        <v>-1.4999999999999999E-2</v>
      </c>
    </row>
    <row r="80" spans="1:33" x14ac:dyDescent="0.45">
      <c r="A80" t="s">
        <v>559</v>
      </c>
    </row>
    <row r="81" spans="1:33" x14ac:dyDescent="0.45">
      <c r="A81" t="s">
        <v>426</v>
      </c>
      <c r="B81" t="s">
        <v>560</v>
      </c>
      <c r="C81" t="s">
        <v>561</v>
      </c>
      <c r="D81" t="s">
        <v>429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67">
        <v>-8.0000000000000002E-3</v>
      </c>
    </row>
    <row r="82" spans="1:33" x14ac:dyDescent="0.45">
      <c r="A82" t="s">
        <v>430</v>
      </c>
      <c r="B82" t="s">
        <v>562</v>
      </c>
      <c r="C82" t="s">
        <v>563</v>
      </c>
      <c r="D82" t="s">
        <v>429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67">
        <v>-4.0000000000000001E-3</v>
      </c>
    </row>
    <row r="83" spans="1:33" x14ac:dyDescent="0.45">
      <c r="A83" t="s">
        <v>433</v>
      </c>
      <c r="B83" t="s">
        <v>564</v>
      </c>
      <c r="C83" t="s">
        <v>565</v>
      </c>
      <c r="D83" t="s">
        <v>429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67">
        <v>-1.6E-2</v>
      </c>
    </row>
    <row r="84" spans="1:33" x14ac:dyDescent="0.45">
      <c r="A84" t="s">
        <v>436</v>
      </c>
      <c r="B84" t="s">
        <v>566</v>
      </c>
      <c r="C84" t="s">
        <v>567</v>
      </c>
      <c r="D84" t="s">
        <v>429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67">
        <v>-1.4999999999999999E-2</v>
      </c>
    </row>
    <row r="85" spans="1:33" x14ac:dyDescent="0.45">
      <c r="A85" t="s">
        <v>439</v>
      </c>
      <c r="B85" t="s">
        <v>568</v>
      </c>
      <c r="C85" t="s">
        <v>569</v>
      </c>
      <c r="D85" t="s">
        <v>429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67">
        <v>-3.0000000000000001E-3</v>
      </c>
    </row>
    <row r="86" spans="1:33" x14ac:dyDescent="0.45">
      <c r="A86" t="s">
        <v>442</v>
      </c>
      <c r="B86" t="s">
        <v>570</v>
      </c>
      <c r="C86" t="s">
        <v>571</v>
      </c>
      <c r="D86" t="s">
        <v>429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67">
        <v>-2E-3</v>
      </c>
    </row>
    <row r="87" spans="1:33" x14ac:dyDescent="0.45">
      <c r="A87" t="s">
        <v>445</v>
      </c>
      <c r="B87" t="s">
        <v>572</v>
      </c>
      <c r="C87" t="s">
        <v>573</v>
      </c>
      <c r="D87" t="s">
        <v>429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67">
        <v>-1.7999999999999999E-2</v>
      </c>
    </row>
    <row r="88" spans="1:33" x14ac:dyDescent="0.45">
      <c r="A88" t="s">
        <v>448</v>
      </c>
      <c r="B88" t="s">
        <v>574</v>
      </c>
      <c r="C88" t="s">
        <v>575</v>
      </c>
      <c r="D88" t="s">
        <v>429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67">
        <v>-1.2999999999999999E-2</v>
      </c>
    </row>
    <row r="89" spans="1:33" x14ac:dyDescent="0.45">
      <c r="A89" t="s">
        <v>451</v>
      </c>
      <c r="B89" t="s">
        <v>576</v>
      </c>
      <c r="C89" t="s">
        <v>577</v>
      </c>
      <c r="D89" t="s">
        <v>429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67">
        <v>-2.9000000000000001E-2</v>
      </c>
    </row>
    <row r="90" spans="1:33" x14ac:dyDescent="0.45">
      <c r="A90" t="s">
        <v>454</v>
      </c>
      <c r="B90" t="s">
        <v>578</v>
      </c>
      <c r="C90" t="s">
        <v>579</v>
      </c>
      <c r="D90" t="s">
        <v>429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67">
        <v>-4.0000000000000001E-3</v>
      </c>
    </row>
    <row r="91" spans="1:33" x14ac:dyDescent="0.45">
      <c r="A91" t="s">
        <v>457</v>
      </c>
      <c r="B91" t="s">
        <v>580</v>
      </c>
      <c r="C91" t="s">
        <v>581</v>
      </c>
      <c r="D91" t="s">
        <v>429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67">
        <v>-2.3E-2</v>
      </c>
    </row>
    <row r="92" spans="1:33" x14ac:dyDescent="0.45">
      <c r="A92" t="s">
        <v>460</v>
      </c>
      <c r="B92" t="s">
        <v>582</v>
      </c>
      <c r="C92" t="s">
        <v>583</v>
      </c>
      <c r="D92" t="s">
        <v>429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67">
        <v>-0.03</v>
      </c>
    </row>
    <row r="93" spans="1:33" x14ac:dyDescent="0.45">
      <c r="A93" t="s">
        <v>463</v>
      </c>
      <c r="B93" t="s">
        <v>584</v>
      </c>
      <c r="C93" t="s">
        <v>585</v>
      </c>
      <c r="D93" t="s">
        <v>429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67">
        <v>-1.4999999999999999E-2</v>
      </c>
    </row>
    <row r="94" spans="1:33" x14ac:dyDescent="0.45">
      <c r="A94" t="s">
        <v>466</v>
      </c>
      <c r="B94" t="s">
        <v>586</v>
      </c>
      <c r="C94" t="s">
        <v>587</v>
      </c>
      <c r="D94" t="s">
        <v>429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67">
        <v>0</v>
      </c>
    </row>
    <row r="95" spans="1:33" x14ac:dyDescent="0.45">
      <c r="A95" t="s">
        <v>588</v>
      </c>
      <c r="B95" t="s">
        <v>589</v>
      </c>
      <c r="C95" t="s">
        <v>590</v>
      </c>
      <c r="D95" t="s">
        <v>429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67">
        <v>-7.0000000000000001E-3</v>
      </c>
    </row>
    <row r="96" spans="1:33" x14ac:dyDescent="0.45">
      <c r="A96" t="s">
        <v>472</v>
      </c>
      <c r="B96" t="s">
        <v>591</v>
      </c>
      <c r="C96" t="s">
        <v>592</v>
      </c>
      <c r="D96" t="s">
        <v>429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67">
        <v>0.13200000000000001</v>
      </c>
    </row>
    <row r="97" spans="1:33" x14ac:dyDescent="0.45">
      <c r="A97" t="s">
        <v>475</v>
      </c>
      <c r="B97" t="s">
        <v>593</v>
      </c>
      <c r="C97" t="s">
        <v>594</v>
      </c>
      <c r="D97" t="s">
        <v>429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67">
        <v>6.0999999999999999E-2</v>
      </c>
    </row>
    <row r="98" spans="1:33" x14ac:dyDescent="0.45">
      <c r="A98" t="s">
        <v>595</v>
      </c>
      <c r="B98" t="s">
        <v>596</v>
      </c>
      <c r="C98" t="s">
        <v>597</v>
      </c>
      <c r="D98" t="s">
        <v>429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67">
        <v>-2E-3</v>
      </c>
    </row>
    <row r="99" spans="1:33" x14ac:dyDescent="0.45">
      <c r="A99" t="s">
        <v>598</v>
      </c>
    </row>
    <row r="100" spans="1:33" x14ac:dyDescent="0.45">
      <c r="A100" t="s">
        <v>599</v>
      </c>
      <c r="B100" t="s">
        <v>600</v>
      </c>
      <c r="C100" t="s">
        <v>601</v>
      </c>
      <c r="D100" t="s">
        <v>429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67">
        <v>2.7E-2</v>
      </c>
    </row>
    <row r="101" spans="1:33" x14ac:dyDescent="0.45">
      <c r="A101" t="s">
        <v>602</v>
      </c>
      <c r="B101" t="s">
        <v>603</v>
      </c>
      <c r="C101" t="s">
        <v>604</v>
      </c>
      <c r="D101" t="s">
        <v>429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67">
        <v>6.2E-2</v>
      </c>
    </row>
    <row r="102" spans="1:33" x14ac:dyDescent="0.45">
      <c r="A102" t="s">
        <v>605</v>
      </c>
      <c r="B102" t="s">
        <v>606</v>
      </c>
      <c r="C102" t="s">
        <v>607</v>
      </c>
      <c r="D102" t="s">
        <v>429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67">
        <v>7.5999999999999998E-2</v>
      </c>
    </row>
    <row r="103" spans="1:33" x14ac:dyDescent="0.45">
      <c r="A103" t="s">
        <v>403</v>
      </c>
      <c r="B103" t="s">
        <v>608</v>
      </c>
      <c r="C103" t="s">
        <v>609</v>
      </c>
      <c r="D103" t="s">
        <v>429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67">
        <v>5.8000000000000003E-2</v>
      </c>
    </row>
    <row r="104" spans="1:33" x14ac:dyDescent="0.45">
      <c r="A104" t="s">
        <v>212</v>
      </c>
    </row>
    <row r="105" spans="1:33" x14ac:dyDescent="0.45">
      <c r="A105" t="s">
        <v>610</v>
      </c>
      <c r="B105" t="s">
        <v>611</v>
      </c>
      <c r="C105" t="s">
        <v>612</v>
      </c>
      <c r="D105" t="s">
        <v>613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67">
        <v>-2E-3</v>
      </c>
    </row>
    <row r="106" spans="1:33" x14ac:dyDescent="0.45">
      <c r="A106" t="s">
        <v>614</v>
      </c>
      <c r="B106" t="s">
        <v>615</v>
      </c>
      <c r="C106" t="s">
        <v>616</v>
      </c>
      <c r="D106" t="s">
        <v>613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67">
        <v>-1E-3</v>
      </c>
    </row>
    <row r="107" spans="1:33" x14ac:dyDescent="0.45">
      <c r="A107" t="s">
        <v>617</v>
      </c>
      <c r="B107" t="s">
        <v>618</v>
      </c>
      <c r="C107" t="s">
        <v>619</v>
      </c>
      <c r="D107" t="s">
        <v>613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67">
        <v>2E-3</v>
      </c>
    </row>
    <row r="108" spans="1:33" x14ac:dyDescent="0.45">
      <c r="A108" t="s">
        <v>620</v>
      </c>
      <c r="B108" t="s">
        <v>621</v>
      </c>
      <c r="C108" t="s">
        <v>622</v>
      </c>
      <c r="D108" t="s">
        <v>613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67">
        <v>3.0000000000000001E-3</v>
      </c>
    </row>
    <row r="109" spans="1:33" x14ac:dyDescent="0.45">
      <c r="A109" t="s">
        <v>623</v>
      </c>
      <c r="B109" t="s">
        <v>624</v>
      </c>
      <c r="C109" t="s">
        <v>625</v>
      </c>
      <c r="D109" t="s">
        <v>613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67">
        <v>-6.0000000000000001E-3</v>
      </c>
    </row>
    <row r="110" spans="1:33" x14ac:dyDescent="0.45">
      <c r="A110" t="s">
        <v>626</v>
      </c>
      <c r="B110" t="s">
        <v>627</v>
      </c>
      <c r="C110" t="s">
        <v>628</v>
      </c>
      <c r="D110" t="s">
        <v>613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67">
        <v>-2E-3</v>
      </c>
    </row>
    <row r="111" spans="1:33" x14ac:dyDescent="0.45">
      <c r="A111" t="s">
        <v>629</v>
      </c>
      <c r="B111" t="s">
        <v>630</v>
      </c>
      <c r="C111" t="s">
        <v>631</v>
      </c>
      <c r="D111" t="s">
        <v>613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67">
        <v>-1E-3</v>
      </c>
    </row>
    <row r="112" spans="1:33" x14ac:dyDescent="0.45">
      <c r="A112" t="s">
        <v>632</v>
      </c>
      <c r="B112" t="s">
        <v>633</v>
      </c>
      <c r="C112" t="s">
        <v>634</v>
      </c>
      <c r="D112" t="s">
        <v>613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67">
        <v>0</v>
      </c>
    </row>
    <row r="113" spans="1:33" x14ac:dyDescent="0.45">
      <c r="A113" t="s">
        <v>635</v>
      </c>
      <c r="B113" t="s">
        <v>636</v>
      </c>
      <c r="C113" t="s">
        <v>637</v>
      </c>
      <c r="D113" t="s">
        <v>613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67">
        <v>-3.0000000000000001E-3</v>
      </c>
    </row>
    <row r="114" spans="1:33" x14ac:dyDescent="0.45">
      <c r="A114" t="s">
        <v>638</v>
      </c>
      <c r="B114" t="s">
        <v>639</v>
      </c>
      <c r="C114" t="s">
        <v>640</v>
      </c>
      <c r="D114" t="s">
        <v>613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67">
        <v>-2E-3</v>
      </c>
    </row>
    <row r="115" spans="1:33" x14ac:dyDescent="0.45">
      <c r="A115" t="s">
        <v>233</v>
      </c>
    </row>
    <row r="116" spans="1:33" x14ac:dyDescent="0.45">
      <c r="A116" t="s">
        <v>610</v>
      </c>
      <c r="B116" t="s">
        <v>641</v>
      </c>
      <c r="C116" t="s">
        <v>642</v>
      </c>
      <c r="D116" t="s">
        <v>643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67">
        <v>8.0000000000000002E-3</v>
      </c>
    </row>
    <row r="117" spans="1:33" x14ac:dyDescent="0.45">
      <c r="A117" t="s">
        <v>614</v>
      </c>
      <c r="B117" t="s">
        <v>644</v>
      </c>
      <c r="C117" t="s">
        <v>645</v>
      </c>
      <c r="D117" t="s">
        <v>643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67">
        <v>7.0000000000000001E-3</v>
      </c>
    </row>
    <row r="118" spans="1:33" x14ac:dyDescent="0.45">
      <c r="A118" t="s">
        <v>617</v>
      </c>
      <c r="B118" t="s">
        <v>646</v>
      </c>
      <c r="C118" t="s">
        <v>647</v>
      </c>
      <c r="D118" t="s">
        <v>643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67">
        <v>3.0000000000000001E-3</v>
      </c>
    </row>
    <row r="119" spans="1:33" x14ac:dyDescent="0.45">
      <c r="A119" t="s">
        <v>620</v>
      </c>
      <c r="B119" t="s">
        <v>648</v>
      </c>
      <c r="C119" t="s">
        <v>649</v>
      </c>
      <c r="D119" t="s">
        <v>643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67">
        <v>4.0000000000000001E-3</v>
      </c>
    </row>
    <row r="120" spans="1:33" x14ac:dyDescent="0.45">
      <c r="A120" t="s">
        <v>623</v>
      </c>
      <c r="B120" t="s">
        <v>650</v>
      </c>
      <c r="C120" t="s">
        <v>651</v>
      </c>
      <c r="D120" t="s">
        <v>643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67">
        <v>6.0000000000000001E-3</v>
      </c>
    </row>
    <row r="121" spans="1:33" x14ac:dyDescent="0.45">
      <c r="A121" t="s">
        <v>626</v>
      </c>
      <c r="B121" t="s">
        <v>652</v>
      </c>
      <c r="C121" t="s">
        <v>653</v>
      </c>
      <c r="D121" t="s">
        <v>643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67">
        <v>2E-3</v>
      </c>
    </row>
    <row r="122" spans="1:33" x14ac:dyDescent="0.45">
      <c r="A122" t="s">
        <v>629</v>
      </c>
      <c r="B122" t="s">
        <v>654</v>
      </c>
      <c r="C122" t="s">
        <v>655</v>
      </c>
      <c r="D122" t="s">
        <v>643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67">
        <v>2E-3</v>
      </c>
    </row>
    <row r="123" spans="1:33" x14ac:dyDescent="0.45">
      <c r="A123" t="s">
        <v>632</v>
      </c>
      <c r="B123" t="s">
        <v>656</v>
      </c>
      <c r="C123" t="s">
        <v>657</v>
      </c>
      <c r="D123" t="s">
        <v>643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67">
        <v>1E-3</v>
      </c>
    </row>
    <row r="124" spans="1:33" x14ac:dyDescent="0.45">
      <c r="A124" t="s">
        <v>635</v>
      </c>
      <c r="B124" t="s">
        <v>658</v>
      </c>
      <c r="C124" t="s">
        <v>659</v>
      </c>
      <c r="D124" t="s">
        <v>643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67">
        <v>6.0000000000000001E-3</v>
      </c>
    </row>
    <row r="125" spans="1:33" x14ac:dyDescent="0.45">
      <c r="A125" t="s">
        <v>638</v>
      </c>
      <c r="B125" t="s">
        <v>660</v>
      </c>
      <c r="C125" t="s">
        <v>661</v>
      </c>
      <c r="D125" t="s">
        <v>643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67">
        <v>6.0000000000000001E-3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2"/>
  <sheetViews>
    <sheetView workbookViewId="0"/>
  </sheetViews>
  <sheetFormatPr defaultRowHeight="14.25" x14ac:dyDescent="0.45"/>
  <cols>
    <col min="1" max="1" width="20.86328125" customWidth="1"/>
    <col min="2" max="2" width="43.3984375" customWidth="1"/>
  </cols>
  <sheetData>
    <row r="1" spans="1:33" x14ac:dyDescent="0.45">
      <c r="A1" t="s">
        <v>662</v>
      </c>
    </row>
    <row r="2" spans="1:33" x14ac:dyDescent="0.45">
      <c r="A2" t="s">
        <v>663</v>
      </c>
    </row>
    <row r="3" spans="1:33" x14ac:dyDescent="0.45">
      <c r="A3" t="s">
        <v>664</v>
      </c>
    </row>
    <row r="4" spans="1:33" x14ac:dyDescent="0.45">
      <c r="A4" t="s">
        <v>387</v>
      </c>
    </row>
    <row r="5" spans="1:33" x14ac:dyDescent="0.45">
      <c r="B5" t="s">
        <v>388</v>
      </c>
      <c r="C5" t="s">
        <v>389</v>
      </c>
      <c r="D5" t="s">
        <v>390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391</v>
      </c>
    </row>
    <row r="6" spans="1:33" x14ac:dyDescent="0.45">
      <c r="A6" t="s">
        <v>61</v>
      </c>
    </row>
    <row r="7" spans="1:33" x14ac:dyDescent="0.45">
      <c r="A7" t="s">
        <v>665</v>
      </c>
    </row>
    <row r="8" spans="1:33" x14ac:dyDescent="0.45">
      <c r="A8" t="s">
        <v>666</v>
      </c>
      <c r="B8" t="s">
        <v>667</v>
      </c>
      <c r="C8" t="s">
        <v>668</v>
      </c>
      <c r="D8" t="s">
        <v>669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67">
        <v>1.2999999999999999E-2</v>
      </c>
    </row>
    <row r="9" spans="1:33" x14ac:dyDescent="0.45">
      <c r="A9" t="s">
        <v>670</v>
      </c>
      <c r="B9" t="s">
        <v>671</v>
      </c>
      <c r="C9" t="s">
        <v>672</v>
      </c>
      <c r="D9" t="s">
        <v>669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67">
        <v>0.01</v>
      </c>
    </row>
    <row r="10" spans="1:33" x14ac:dyDescent="0.45">
      <c r="A10" t="s">
        <v>403</v>
      </c>
      <c r="B10" t="s">
        <v>673</v>
      </c>
      <c r="C10" t="s">
        <v>674</v>
      </c>
      <c r="D10" t="s">
        <v>669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67">
        <v>1.2999999999999999E-2</v>
      </c>
    </row>
    <row r="11" spans="1:33" x14ac:dyDescent="0.45">
      <c r="A11" t="s">
        <v>675</v>
      </c>
    </row>
    <row r="12" spans="1:33" x14ac:dyDescent="0.45">
      <c r="A12" t="s">
        <v>419</v>
      </c>
    </row>
    <row r="13" spans="1:33" x14ac:dyDescent="0.45">
      <c r="A13" t="s">
        <v>412</v>
      </c>
      <c r="B13" t="s">
        <v>676</v>
      </c>
      <c r="C13" t="s">
        <v>677</v>
      </c>
      <c r="D13" t="s">
        <v>422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67">
        <v>-3.0000000000000001E-3</v>
      </c>
    </row>
    <row r="14" spans="1:33" x14ac:dyDescent="0.45">
      <c r="A14" t="s">
        <v>416</v>
      </c>
      <c r="B14" t="s">
        <v>678</v>
      </c>
      <c r="C14" t="s">
        <v>679</v>
      </c>
      <c r="D14" t="s">
        <v>422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67">
        <v>-4.0000000000000001E-3</v>
      </c>
    </row>
    <row r="15" spans="1:33" x14ac:dyDescent="0.45">
      <c r="A15" t="s">
        <v>82</v>
      </c>
    </row>
    <row r="16" spans="1:33" x14ac:dyDescent="0.45">
      <c r="A16" t="s">
        <v>425</v>
      </c>
    </row>
    <row r="17" spans="1:33" x14ac:dyDescent="0.45">
      <c r="A17" t="s">
        <v>426</v>
      </c>
      <c r="B17" t="s">
        <v>680</v>
      </c>
      <c r="C17" t="s">
        <v>681</v>
      </c>
      <c r="D17" t="s">
        <v>429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67">
        <v>-5.0000000000000001E-3</v>
      </c>
    </row>
    <row r="18" spans="1:33" x14ac:dyDescent="0.45">
      <c r="A18" t="s">
        <v>682</v>
      </c>
      <c r="B18" t="s">
        <v>683</v>
      </c>
      <c r="C18" t="s">
        <v>684</v>
      </c>
      <c r="D18" t="s">
        <v>429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67">
        <v>1.2E-2</v>
      </c>
    </row>
    <row r="19" spans="1:33" x14ac:dyDescent="0.45">
      <c r="A19" t="s">
        <v>433</v>
      </c>
      <c r="B19" t="s">
        <v>685</v>
      </c>
      <c r="C19" t="s">
        <v>686</v>
      </c>
      <c r="D19" t="s">
        <v>429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67">
        <v>-8.0000000000000002E-3</v>
      </c>
    </row>
    <row r="20" spans="1:33" x14ac:dyDescent="0.45">
      <c r="A20" t="s">
        <v>687</v>
      </c>
      <c r="B20" t="s">
        <v>688</v>
      </c>
      <c r="C20" t="s">
        <v>689</v>
      </c>
      <c r="D20" t="s">
        <v>429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67">
        <v>1.2999999999999999E-2</v>
      </c>
    </row>
    <row r="21" spans="1:33" x14ac:dyDescent="0.45">
      <c r="A21" t="s">
        <v>439</v>
      </c>
      <c r="B21" t="s">
        <v>690</v>
      </c>
      <c r="C21" t="s">
        <v>691</v>
      </c>
      <c r="D21" t="s">
        <v>429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67">
        <v>-3.0000000000000001E-3</v>
      </c>
    </row>
    <row r="22" spans="1:33" x14ac:dyDescent="0.45">
      <c r="A22" t="s">
        <v>448</v>
      </c>
      <c r="B22" t="s">
        <v>692</v>
      </c>
      <c r="C22" t="s">
        <v>693</v>
      </c>
      <c r="D22" t="s">
        <v>429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67">
        <v>-6.0000000000000001E-3</v>
      </c>
    </row>
    <row r="23" spans="1:33" x14ac:dyDescent="0.45">
      <c r="A23" t="s">
        <v>436</v>
      </c>
      <c r="B23" t="s">
        <v>694</v>
      </c>
      <c r="C23" t="s">
        <v>695</v>
      </c>
      <c r="D23" t="s">
        <v>429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67">
        <v>6.0000000000000001E-3</v>
      </c>
    </row>
    <row r="24" spans="1:33" x14ac:dyDescent="0.45">
      <c r="A24" t="s">
        <v>696</v>
      </c>
      <c r="B24" t="s">
        <v>697</v>
      </c>
      <c r="C24" t="s">
        <v>698</v>
      </c>
      <c r="D24" t="s">
        <v>429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67">
        <v>4.8000000000000001E-2</v>
      </c>
    </row>
    <row r="25" spans="1:33" x14ac:dyDescent="0.45">
      <c r="A25" t="s">
        <v>699</v>
      </c>
      <c r="B25" t="s">
        <v>700</v>
      </c>
      <c r="C25" t="s">
        <v>701</v>
      </c>
      <c r="D25" t="s">
        <v>429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67">
        <v>1E-3</v>
      </c>
    </row>
    <row r="26" spans="1:33" x14ac:dyDescent="0.45">
      <c r="A26" t="s">
        <v>466</v>
      </c>
      <c r="B26" t="s">
        <v>702</v>
      </c>
      <c r="C26" t="s">
        <v>703</v>
      </c>
      <c r="D26" t="s">
        <v>429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67">
        <v>1.4E-2</v>
      </c>
    </row>
    <row r="27" spans="1:33" x14ac:dyDescent="0.45">
      <c r="A27" t="s">
        <v>469</v>
      </c>
      <c r="B27" t="s">
        <v>704</v>
      </c>
      <c r="C27" t="s">
        <v>705</v>
      </c>
      <c r="D27" t="s">
        <v>429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67">
        <v>1.4E-2</v>
      </c>
    </row>
    <row r="28" spans="1:33" x14ac:dyDescent="0.45">
      <c r="A28" t="s">
        <v>472</v>
      </c>
      <c r="B28" t="s">
        <v>706</v>
      </c>
      <c r="C28" t="s">
        <v>707</v>
      </c>
      <c r="D28" t="s">
        <v>429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67">
        <v>0.17</v>
      </c>
    </row>
    <row r="29" spans="1:33" x14ac:dyDescent="0.45">
      <c r="A29" t="s">
        <v>475</v>
      </c>
      <c r="B29" t="s">
        <v>708</v>
      </c>
      <c r="C29" t="s">
        <v>709</v>
      </c>
      <c r="D29" t="s">
        <v>429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67">
        <v>0.04</v>
      </c>
    </row>
    <row r="30" spans="1:33" x14ac:dyDescent="0.45">
      <c r="A30" t="s">
        <v>710</v>
      </c>
      <c r="B30" t="s">
        <v>711</v>
      </c>
      <c r="C30" t="s">
        <v>712</v>
      </c>
      <c r="D30" t="s">
        <v>429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67">
        <v>1.7999999999999999E-2</v>
      </c>
    </row>
    <row r="31" spans="1:33" x14ac:dyDescent="0.45">
      <c r="A31" t="s">
        <v>481</v>
      </c>
    </row>
    <row r="32" spans="1:33" x14ac:dyDescent="0.45">
      <c r="A32" t="s">
        <v>426</v>
      </c>
      <c r="B32" t="s">
        <v>713</v>
      </c>
      <c r="C32" t="s">
        <v>714</v>
      </c>
      <c r="D32" t="s">
        <v>429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67">
        <v>1E-3</v>
      </c>
    </row>
    <row r="33" spans="1:33" x14ac:dyDescent="0.45">
      <c r="A33" t="s">
        <v>430</v>
      </c>
      <c r="B33" t="s">
        <v>715</v>
      </c>
      <c r="C33" t="s">
        <v>716</v>
      </c>
      <c r="D33" t="s">
        <v>429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67">
        <v>4.0000000000000001E-3</v>
      </c>
    </row>
    <row r="34" spans="1:33" x14ac:dyDescent="0.45">
      <c r="A34" t="s">
        <v>433</v>
      </c>
      <c r="B34" t="s">
        <v>717</v>
      </c>
      <c r="C34" t="s">
        <v>718</v>
      </c>
      <c r="D34" t="s">
        <v>429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67">
        <v>1.2E-2</v>
      </c>
    </row>
    <row r="35" spans="1:33" x14ac:dyDescent="0.45">
      <c r="A35" t="s">
        <v>439</v>
      </c>
      <c r="B35" t="s">
        <v>719</v>
      </c>
      <c r="C35" t="s">
        <v>720</v>
      </c>
      <c r="D35" t="s">
        <v>429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67">
        <v>1.0999999999999999E-2</v>
      </c>
    </row>
    <row r="36" spans="1:33" x14ac:dyDescent="0.45">
      <c r="A36" t="s">
        <v>466</v>
      </c>
      <c r="B36" t="s">
        <v>721</v>
      </c>
      <c r="C36" t="s">
        <v>722</v>
      </c>
      <c r="D36" t="s">
        <v>429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67">
        <v>0</v>
      </c>
    </row>
    <row r="37" spans="1:33" x14ac:dyDescent="0.45">
      <c r="A37" t="s">
        <v>494</v>
      </c>
      <c r="B37" t="s">
        <v>723</v>
      </c>
      <c r="C37" t="s">
        <v>724</v>
      </c>
      <c r="D37" t="s">
        <v>429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67">
        <v>3.0000000000000001E-3</v>
      </c>
    </row>
    <row r="38" spans="1:33" x14ac:dyDescent="0.45">
      <c r="A38" t="s">
        <v>497</v>
      </c>
    </row>
    <row r="39" spans="1:33" x14ac:dyDescent="0.45">
      <c r="A39" t="s">
        <v>426</v>
      </c>
      <c r="B39" t="s">
        <v>725</v>
      </c>
      <c r="C39" t="s">
        <v>726</v>
      </c>
      <c r="D39" t="s">
        <v>429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67">
        <v>-1.2E-2</v>
      </c>
    </row>
    <row r="40" spans="1:33" x14ac:dyDescent="0.45">
      <c r="A40" t="s">
        <v>433</v>
      </c>
      <c r="B40" t="s">
        <v>727</v>
      </c>
      <c r="C40" t="s">
        <v>728</v>
      </c>
      <c r="D40" t="s">
        <v>429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67">
        <v>-2E-3</v>
      </c>
    </row>
    <row r="41" spans="1:33" x14ac:dyDescent="0.45">
      <c r="A41" t="s">
        <v>466</v>
      </c>
      <c r="B41" t="s">
        <v>729</v>
      </c>
      <c r="C41" t="s">
        <v>730</v>
      </c>
      <c r="D41" t="s">
        <v>429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67">
        <v>2E-3</v>
      </c>
    </row>
    <row r="42" spans="1:33" x14ac:dyDescent="0.45">
      <c r="A42" t="s">
        <v>494</v>
      </c>
      <c r="B42" t="s">
        <v>731</v>
      </c>
      <c r="C42" t="s">
        <v>732</v>
      </c>
      <c r="D42" t="s">
        <v>429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67">
        <v>-1E-3</v>
      </c>
    </row>
    <row r="43" spans="1:33" x14ac:dyDescent="0.45">
      <c r="A43" t="s">
        <v>733</v>
      </c>
      <c r="B43" t="s">
        <v>734</v>
      </c>
      <c r="C43" t="s">
        <v>735</v>
      </c>
      <c r="D43" t="s">
        <v>429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67">
        <v>0</v>
      </c>
    </row>
    <row r="44" spans="1:33" x14ac:dyDescent="0.45">
      <c r="A44" t="s">
        <v>736</v>
      </c>
      <c r="B44" t="s">
        <v>737</v>
      </c>
      <c r="C44" t="s">
        <v>738</v>
      </c>
      <c r="D44" t="s">
        <v>429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67">
        <v>1.4999999999999999E-2</v>
      </c>
    </row>
    <row r="45" spans="1:33" x14ac:dyDescent="0.45">
      <c r="A45" t="s">
        <v>520</v>
      </c>
    </row>
    <row r="46" spans="1:33" x14ac:dyDescent="0.45">
      <c r="A46" t="s">
        <v>426</v>
      </c>
      <c r="B46" t="s">
        <v>739</v>
      </c>
      <c r="C46" t="s">
        <v>740</v>
      </c>
      <c r="D46" t="s">
        <v>429</v>
      </c>
      <c r="F46">
        <v>1.793223</v>
      </c>
      <c r="G46">
        <v>1.9695320000000001</v>
      </c>
      <c r="H46">
        <v>1.988944</v>
      </c>
      <c r="I46">
        <v>1.9936970000000001</v>
      </c>
      <c r="J46">
        <v>1.9890730000000001</v>
      </c>
      <c r="K46">
        <v>1.9783539999999999</v>
      </c>
      <c r="L46">
        <v>1.9632149999999999</v>
      </c>
      <c r="M46">
        <v>1.9501040000000001</v>
      </c>
      <c r="N46">
        <v>1.933014</v>
      </c>
      <c r="O46">
        <v>1.913483</v>
      </c>
      <c r="P46">
        <v>1.8962399999999999</v>
      </c>
      <c r="Q46">
        <v>1.8851</v>
      </c>
      <c r="R46">
        <v>1.878854</v>
      </c>
      <c r="S46">
        <v>1.8750359999999999</v>
      </c>
      <c r="T46">
        <v>1.8714789999999999</v>
      </c>
      <c r="U46">
        <v>1.8690009999999999</v>
      </c>
      <c r="V46">
        <v>1.8650070000000001</v>
      </c>
      <c r="W46">
        <v>1.858576</v>
      </c>
      <c r="X46">
        <v>1.850695</v>
      </c>
      <c r="Y46">
        <v>1.8420609999999999</v>
      </c>
      <c r="Z46">
        <v>1.8344510000000001</v>
      </c>
      <c r="AA46">
        <v>1.827259</v>
      </c>
      <c r="AB46">
        <v>1.818943</v>
      </c>
      <c r="AC46">
        <v>1.811671</v>
      </c>
      <c r="AD46">
        <v>1.80528</v>
      </c>
      <c r="AE46">
        <v>1.798646</v>
      </c>
      <c r="AF46">
        <v>1.791455</v>
      </c>
      <c r="AG46" s="67">
        <v>0</v>
      </c>
    </row>
    <row r="47" spans="1:33" x14ac:dyDescent="0.45">
      <c r="A47" t="s">
        <v>430</v>
      </c>
      <c r="B47" t="s">
        <v>741</v>
      </c>
      <c r="C47" t="s">
        <v>742</v>
      </c>
      <c r="D47" t="s">
        <v>429</v>
      </c>
      <c r="F47">
        <v>0.59118300000000001</v>
      </c>
      <c r="G47">
        <v>0.57312399999999997</v>
      </c>
      <c r="H47">
        <v>0.58495699999999995</v>
      </c>
      <c r="I47">
        <v>0.59940199999999999</v>
      </c>
      <c r="J47">
        <v>0.61104499999999995</v>
      </c>
      <c r="K47">
        <v>0.61856800000000001</v>
      </c>
      <c r="L47">
        <v>0.62368800000000002</v>
      </c>
      <c r="M47">
        <v>0.62854299999999996</v>
      </c>
      <c r="N47">
        <v>0.63390299999999999</v>
      </c>
      <c r="O47">
        <v>0.63848000000000005</v>
      </c>
      <c r="P47">
        <v>0.64430100000000001</v>
      </c>
      <c r="Q47">
        <v>0.65216600000000002</v>
      </c>
      <c r="R47">
        <v>0.66184399999999999</v>
      </c>
      <c r="S47">
        <v>0.67213800000000001</v>
      </c>
      <c r="T47">
        <v>0.68138299999999996</v>
      </c>
      <c r="U47">
        <v>0.69088300000000002</v>
      </c>
      <c r="V47">
        <v>0.70035700000000001</v>
      </c>
      <c r="W47">
        <v>0.71024100000000001</v>
      </c>
      <c r="X47">
        <v>0.71983299999999995</v>
      </c>
      <c r="Y47">
        <v>0.72995399999999999</v>
      </c>
      <c r="Z47">
        <v>0.74012500000000003</v>
      </c>
      <c r="AA47">
        <v>0.75024000000000002</v>
      </c>
      <c r="AB47">
        <v>0.76030399999999998</v>
      </c>
      <c r="AC47">
        <v>0.77049999999999996</v>
      </c>
      <c r="AD47">
        <v>0.780941</v>
      </c>
      <c r="AE47">
        <v>0.791686</v>
      </c>
      <c r="AF47">
        <v>0.80258300000000005</v>
      </c>
      <c r="AG47" s="67">
        <v>1.2E-2</v>
      </c>
    </row>
    <row r="48" spans="1:33" x14ac:dyDescent="0.45">
      <c r="A48" t="s">
        <v>433</v>
      </c>
      <c r="B48" t="s">
        <v>743</v>
      </c>
      <c r="C48" t="s">
        <v>744</v>
      </c>
      <c r="D48" t="s">
        <v>429</v>
      </c>
      <c r="F48">
        <v>0.34818900000000003</v>
      </c>
      <c r="G48">
        <v>0.36050700000000002</v>
      </c>
      <c r="H48">
        <v>0.36841400000000002</v>
      </c>
      <c r="I48">
        <v>0.37332700000000002</v>
      </c>
      <c r="J48">
        <v>0.37677899999999998</v>
      </c>
      <c r="K48">
        <v>0.37925500000000001</v>
      </c>
      <c r="L48">
        <v>0.38093900000000003</v>
      </c>
      <c r="M48">
        <v>0.38262499999999999</v>
      </c>
      <c r="N48">
        <v>0.383577</v>
      </c>
      <c r="O48">
        <v>0.38426700000000003</v>
      </c>
      <c r="P48">
        <v>0.38548399999999999</v>
      </c>
      <c r="Q48">
        <v>0.387687</v>
      </c>
      <c r="R48">
        <v>0.39089400000000002</v>
      </c>
      <c r="S48">
        <v>0.39461200000000002</v>
      </c>
      <c r="T48">
        <v>0.39835199999999998</v>
      </c>
      <c r="U48">
        <v>0.40230300000000002</v>
      </c>
      <c r="V48">
        <v>0.40595300000000001</v>
      </c>
      <c r="W48">
        <v>0.409165</v>
      </c>
      <c r="X48">
        <v>0.41206500000000001</v>
      </c>
      <c r="Y48">
        <v>0.41482200000000002</v>
      </c>
      <c r="Z48">
        <v>0.41779100000000002</v>
      </c>
      <c r="AA48">
        <v>0.42080200000000001</v>
      </c>
      <c r="AB48">
        <v>0.42357</v>
      </c>
      <c r="AC48">
        <v>0.426566</v>
      </c>
      <c r="AD48">
        <v>0.42974800000000002</v>
      </c>
      <c r="AE48">
        <v>0.43279200000000001</v>
      </c>
      <c r="AF48">
        <v>0.43569799999999997</v>
      </c>
      <c r="AG48" s="67">
        <v>8.9999999999999993E-3</v>
      </c>
    </row>
    <row r="49" spans="1:33" x14ac:dyDescent="0.45">
      <c r="A49" t="s">
        <v>687</v>
      </c>
      <c r="B49" t="s">
        <v>745</v>
      </c>
      <c r="C49" t="s">
        <v>746</v>
      </c>
      <c r="D49" t="s">
        <v>429</v>
      </c>
      <c r="F49">
        <v>0.74466100000000002</v>
      </c>
      <c r="G49">
        <v>0.75660300000000003</v>
      </c>
      <c r="H49">
        <v>0.77322599999999997</v>
      </c>
      <c r="I49">
        <v>0.794686</v>
      </c>
      <c r="J49">
        <v>0.81265399999999999</v>
      </c>
      <c r="K49">
        <v>0.82538800000000001</v>
      </c>
      <c r="L49">
        <v>0.83255599999999996</v>
      </c>
      <c r="M49">
        <v>0.83918999999999999</v>
      </c>
      <c r="N49">
        <v>0.84623800000000005</v>
      </c>
      <c r="O49">
        <v>0.85270299999999999</v>
      </c>
      <c r="P49">
        <v>0.86054200000000003</v>
      </c>
      <c r="Q49">
        <v>0.87058199999999997</v>
      </c>
      <c r="R49">
        <v>0.88244599999999995</v>
      </c>
      <c r="S49">
        <v>0.89490700000000001</v>
      </c>
      <c r="T49">
        <v>0.90612800000000004</v>
      </c>
      <c r="U49">
        <v>0.91749000000000003</v>
      </c>
      <c r="V49">
        <v>0.92891400000000002</v>
      </c>
      <c r="W49">
        <v>0.94040800000000002</v>
      </c>
      <c r="X49">
        <v>0.95150500000000005</v>
      </c>
      <c r="Y49">
        <v>0.96264499999999997</v>
      </c>
      <c r="Z49">
        <v>0.97362300000000002</v>
      </c>
      <c r="AA49">
        <v>0.98445099999999996</v>
      </c>
      <c r="AB49">
        <v>0.99525200000000003</v>
      </c>
      <c r="AC49">
        <v>1.006035</v>
      </c>
      <c r="AD49">
        <v>1.016947</v>
      </c>
      <c r="AE49">
        <v>1.0281290000000001</v>
      </c>
      <c r="AF49">
        <v>1.0394589999999999</v>
      </c>
      <c r="AG49" s="67">
        <v>1.2999999999999999E-2</v>
      </c>
    </row>
    <row r="50" spans="1:33" x14ac:dyDescent="0.45">
      <c r="A50" t="s">
        <v>439</v>
      </c>
      <c r="B50" t="s">
        <v>747</v>
      </c>
      <c r="C50" t="s">
        <v>748</v>
      </c>
      <c r="D50" t="s">
        <v>429</v>
      </c>
      <c r="F50">
        <v>0.48524699999999998</v>
      </c>
      <c r="G50">
        <v>0.502799</v>
      </c>
      <c r="H50">
        <v>0.51281900000000002</v>
      </c>
      <c r="I50">
        <v>0.52001600000000003</v>
      </c>
      <c r="J50">
        <v>0.52500199999999997</v>
      </c>
      <c r="K50">
        <v>0.52862900000000002</v>
      </c>
      <c r="L50">
        <v>0.53113999999999995</v>
      </c>
      <c r="M50">
        <v>0.53394699999999995</v>
      </c>
      <c r="N50">
        <v>0.53579200000000005</v>
      </c>
      <c r="O50">
        <v>0.53736099999999998</v>
      </c>
      <c r="P50">
        <v>0.53960799999999998</v>
      </c>
      <c r="Q50">
        <v>0.54316299999999995</v>
      </c>
      <c r="R50">
        <v>0.54804600000000003</v>
      </c>
      <c r="S50">
        <v>0.55357900000000004</v>
      </c>
      <c r="T50">
        <v>0.55909799999999998</v>
      </c>
      <c r="U50">
        <v>0.56484699999999999</v>
      </c>
      <c r="V50">
        <v>0.57009500000000002</v>
      </c>
      <c r="W50">
        <v>0.57483200000000001</v>
      </c>
      <c r="X50">
        <v>0.57910399999999995</v>
      </c>
      <c r="Y50">
        <v>0.58315700000000004</v>
      </c>
      <c r="Z50">
        <v>0.58746200000000004</v>
      </c>
      <c r="AA50">
        <v>0.591781</v>
      </c>
      <c r="AB50">
        <v>0.59573600000000004</v>
      </c>
      <c r="AC50">
        <v>0.59997699999999998</v>
      </c>
      <c r="AD50">
        <v>0.60444699999999996</v>
      </c>
      <c r="AE50">
        <v>0.60868900000000004</v>
      </c>
      <c r="AF50">
        <v>0.61272000000000004</v>
      </c>
      <c r="AG50" s="67">
        <v>8.9999999999999993E-3</v>
      </c>
    </row>
    <row r="51" spans="1:33" x14ac:dyDescent="0.45">
      <c r="A51" t="s">
        <v>448</v>
      </c>
      <c r="B51" t="s">
        <v>749</v>
      </c>
      <c r="C51" t="s">
        <v>750</v>
      </c>
      <c r="D51" t="s">
        <v>429</v>
      </c>
      <c r="F51">
        <v>0.57562899999999995</v>
      </c>
      <c r="G51">
        <v>0.56407300000000005</v>
      </c>
      <c r="H51">
        <v>0.561419</v>
      </c>
      <c r="I51">
        <v>0.564836</v>
      </c>
      <c r="J51">
        <v>0.56773899999999999</v>
      </c>
      <c r="K51">
        <v>0.56803800000000004</v>
      </c>
      <c r="L51">
        <v>0.55779599999999996</v>
      </c>
      <c r="M51">
        <v>0.54866800000000004</v>
      </c>
      <c r="N51">
        <v>0.54072299999999995</v>
      </c>
      <c r="O51">
        <v>0.53283599999999998</v>
      </c>
      <c r="P51">
        <v>0.525787</v>
      </c>
      <c r="Q51">
        <v>0.52025200000000005</v>
      </c>
      <c r="R51">
        <v>0.51639699999999999</v>
      </c>
      <c r="S51">
        <v>0.513764</v>
      </c>
      <c r="T51">
        <v>0.51109800000000005</v>
      </c>
      <c r="U51">
        <v>0.50913900000000001</v>
      </c>
      <c r="V51">
        <v>0.50622100000000003</v>
      </c>
      <c r="W51">
        <v>0.50424800000000003</v>
      </c>
      <c r="X51">
        <v>0.50266299999999997</v>
      </c>
      <c r="Y51">
        <v>0.501633</v>
      </c>
      <c r="Z51">
        <v>0.50087099999999996</v>
      </c>
      <c r="AA51">
        <v>0.50036999999999998</v>
      </c>
      <c r="AB51">
        <v>0.50009899999999996</v>
      </c>
      <c r="AC51">
        <v>0.49930799999999997</v>
      </c>
      <c r="AD51">
        <v>0.49875599999999998</v>
      </c>
      <c r="AE51">
        <v>0.49849900000000003</v>
      </c>
      <c r="AF51">
        <v>0.498199</v>
      </c>
      <c r="AG51" s="67">
        <v>-6.0000000000000001E-3</v>
      </c>
    </row>
    <row r="52" spans="1:33" x14ac:dyDescent="0.45">
      <c r="A52" t="s">
        <v>436</v>
      </c>
      <c r="B52" t="s">
        <v>751</v>
      </c>
      <c r="C52" t="s">
        <v>752</v>
      </c>
      <c r="D52" t="s">
        <v>429</v>
      </c>
      <c r="F52">
        <v>0.367309</v>
      </c>
      <c r="G52">
        <v>0.36862400000000001</v>
      </c>
      <c r="H52">
        <v>0.37076599999999998</v>
      </c>
      <c r="I52">
        <v>0.374365</v>
      </c>
      <c r="J52">
        <v>0.37762099999999998</v>
      </c>
      <c r="K52">
        <v>0.38000099999999998</v>
      </c>
      <c r="L52">
        <v>0.380716</v>
      </c>
      <c r="M52">
        <v>0.38166699999999998</v>
      </c>
      <c r="N52">
        <v>0.38290400000000002</v>
      </c>
      <c r="O52">
        <v>0.38422499999999998</v>
      </c>
      <c r="P52">
        <v>0.38594099999999998</v>
      </c>
      <c r="Q52">
        <v>0.38813999999999999</v>
      </c>
      <c r="R52">
        <v>0.39068999999999998</v>
      </c>
      <c r="S52">
        <v>0.39332699999999998</v>
      </c>
      <c r="T52">
        <v>0.39572299999999999</v>
      </c>
      <c r="U52">
        <v>0.39809899999999998</v>
      </c>
      <c r="V52">
        <v>0.40043800000000002</v>
      </c>
      <c r="W52">
        <v>0.40304499999999999</v>
      </c>
      <c r="X52">
        <v>0.40557700000000002</v>
      </c>
      <c r="Y52">
        <v>0.40810299999999999</v>
      </c>
      <c r="Z52">
        <v>0.41056599999999999</v>
      </c>
      <c r="AA52">
        <v>0.41296699999999997</v>
      </c>
      <c r="AB52">
        <v>0.41533300000000001</v>
      </c>
      <c r="AC52">
        <v>0.417661</v>
      </c>
      <c r="AD52">
        <v>0.41996899999999998</v>
      </c>
      <c r="AE52">
        <v>0.42227500000000001</v>
      </c>
      <c r="AF52">
        <v>0.42455399999999999</v>
      </c>
      <c r="AG52" s="67">
        <v>6.0000000000000001E-3</v>
      </c>
    </row>
    <row r="53" spans="1:33" x14ac:dyDescent="0.45">
      <c r="A53" t="s">
        <v>696</v>
      </c>
      <c r="B53" t="s">
        <v>753</v>
      </c>
      <c r="C53" t="s">
        <v>754</v>
      </c>
      <c r="D53" t="s">
        <v>429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67">
        <v>4.8000000000000001E-2</v>
      </c>
    </row>
    <row r="54" spans="1:33" x14ac:dyDescent="0.45">
      <c r="A54" t="s">
        <v>699</v>
      </c>
      <c r="B54" t="s">
        <v>755</v>
      </c>
      <c r="C54" t="s">
        <v>756</v>
      </c>
      <c r="D54" t="s">
        <v>429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67">
        <v>1E-3</v>
      </c>
    </row>
    <row r="55" spans="1:33" x14ac:dyDescent="0.45">
      <c r="A55" t="s">
        <v>466</v>
      </c>
      <c r="B55" t="s">
        <v>757</v>
      </c>
      <c r="C55" t="s">
        <v>758</v>
      </c>
      <c r="D55" t="s">
        <v>429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67">
        <v>8.9999999999999993E-3</v>
      </c>
    </row>
    <row r="56" spans="1:33" x14ac:dyDescent="0.45">
      <c r="A56" t="s">
        <v>412</v>
      </c>
      <c r="B56" t="s">
        <v>759</v>
      </c>
      <c r="C56" t="s">
        <v>760</v>
      </c>
      <c r="D56" t="s">
        <v>429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67">
        <v>0.01</v>
      </c>
    </row>
    <row r="57" spans="1:33" x14ac:dyDescent="0.45">
      <c r="A57" t="s">
        <v>472</v>
      </c>
      <c r="B57" t="s">
        <v>761</v>
      </c>
      <c r="C57" t="s">
        <v>762</v>
      </c>
      <c r="D57" t="s">
        <v>429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67">
        <v>0.17</v>
      </c>
    </row>
    <row r="58" spans="1:33" x14ac:dyDescent="0.45">
      <c r="A58" t="s">
        <v>475</v>
      </c>
      <c r="B58" t="s">
        <v>763</v>
      </c>
      <c r="C58" t="s">
        <v>764</v>
      </c>
      <c r="D58" t="s">
        <v>429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67">
        <v>0.04</v>
      </c>
    </row>
    <row r="59" spans="1:33" x14ac:dyDescent="0.45">
      <c r="A59" t="s">
        <v>494</v>
      </c>
      <c r="B59" t="s">
        <v>765</v>
      </c>
      <c r="C59" t="s">
        <v>760</v>
      </c>
      <c r="D59" t="s">
        <v>429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67">
        <v>1.2E-2</v>
      </c>
    </row>
    <row r="60" spans="1:33" x14ac:dyDescent="0.45">
      <c r="A60" t="s">
        <v>179</v>
      </c>
      <c r="B60" t="s">
        <v>766</v>
      </c>
      <c r="C60" t="s">
        <v>767</v>
      </c>
      <c r="D60" t="s">
        <v>429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67">
        <v>-8.9999999999999993E-3</v>
      </c>
    </row>
    <row r="61" spans="1:33" x14ac:dyDescent="0.45">
      <c r="A61" t="s">
        <v>559</v>
      </c>
    </row>
    <row r="62" spans="1:33" x14ac:dyDescent="0.45">
      <c r="A62" t="s">
        <v>426</v>
      </c>
      <c r="B62" t="s">
        <v>768</v>
      </c>
      <c r="C62" t="s">
        <v>769</v>
      </c>
      <c r="D62" t="s">
        <v>429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67">
        <v>-3.0000000000000001E-3</v>
      </c>
    </row>
    <row r="63" spans="1:33" x14ac:dyDescent="0.45">
      <c r="A63" t="s">
        <v>430</v>
      </c>
      <c r="B63" t="s">
        <v>770</v>
      </c>
      <c r="C63" t="s">
        <v>771</v>
      </c>
      <c r="D63" t="s">
        <v>429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67">
        <v>-2E-3</v>
      </c>
    </row>
    <row r="64" spans="1:33" x14ac:dyDescent="0.45">
      <c r="A64" t="s">
        <v>433</v>
      </c>
      <c r="B64" t="s">
        <v>772</v>
      </c>
      <c r="C64" t="s">
        <v>773</v>
      </c>
      <c r="D64" t="s">
        <v>429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67">
        <v>2E-3</v>
      </c>
    </row>
    <row r="65" spans="1:33" x14ac:dyDescent="0.45">
      <c r="A65" t="s">
        <v>687</v>
      </c>
      <c r="B65" t="s">
        <v>774</v>
      </c>
      <c r="C65" t="s">
        <v>775</v>
      </c>
      <c r="D65" t="s">
        <v>429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67">
        <v>-1E-3</v>
      </c>
    </row>
    <row r="66" spans="1:33" x14ac:dyDescent="0.45">
      <c r="A66" t="s">
        <v>439</v>
      </c>
      <c r="B66" t="s">
        <v>776</v>
      </c>
      <c r="C66" t="s">
        <v>777</v>
      </c>
      <c r="D66" t="s">
        <v>429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67">
        <v>4.0000000000000001E-3</v>
      </c>
    </row>
    <row r="67" spans="1:33" x14ac:dyDescent="0.45">
      <c r="A67" t="s">
        <v>448</v>
      </c>
      <c r="B67" t="s">
        <v>778</v>
      </c>
      <c r="C67" t="s">
        <v>779</v>
      </c>
      <c r="D67" t="s">
        <v>429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67">
        <v>-1.9E-2</v>
      </c>
    </row>
    <row r="68" spans="1:33" x14ac:dyDescent="0.45">
      <c r="A68" t="s">
        <v>436</v>
      </c>
      <c r="B68" t="s">
        <v>780</v>
      </c>
      <c r="C68" t="s">
        <v>781</v>
      </c>
      <c r="D68" t="s">
        <v>429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67">
        <v>-8.0000000000000002E-3</v>
      </c>
    </row>
    <row r="69" spans="1:33" x14ac:dyDescent="0.45">
      <c r="A69" t="s">
        <v>696</v>
      </c>
      <c r="B69" t="s">
        <v>782</v>
      </c>
      <c r="C69" t="s">
        <v>783</v>
      </c>
      <c r="D69" t="s">
        <v>429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67">
        <v>3.4000000000000002E-2</v>
      </c>
    </row>
    <row r="70" spans="1:33" x14ac:dyDescent="0.45">
      <c r="A70" t="s">
        <v>699</v>
      </c>
      <c r="B70" t="s">
        <v>784</v>
      </c>
      <c r="C70" t="s">
        <v>785</v>
      </c>
      <c r="D70" t="s">
        <v>429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67">
        <v>-1.2999999999999999E-2</v>
      </c>
    </row>
    <row r="71" spans="1:33" x14ac:dyDescent="0.45">
      <c r="A71" t="s">
        <v>466</v>
      </c>
      <c r="B71" t="s">
        <v>786</v>
      </c>
      <c r="C71" t="s">
        <v>787</v>
      </c>
      <c r="D71" t="s">
        <v>429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67">
        <v>2E-3</v>
      </c>
    </row>
    <row r="72" spans="1:33" x14ac:dyDescent="0.45">
      <c r="A72" t="s">
        <v>588</v>
      </c>
      <c r="B72" t="s">
        <v>788</v>
      </c>
      <c r="C72" t="s">
        <v>789</v>
      </c>
      <c r="D72" t="s">
        <v>429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67">
        <v>1E-3</v>
      </c>
    </row>
    <row r="73" spans="1:33" x14ac:dyDescent="0.45">
      <c r="A73" t="s">
        <v>472</v>
      </c>
      <c r="B73" t="s">
        <v>790</v>
      </c>
      <c r="C73" t="s">
        <v>791</v>
      </c>
      <c r="D73" t="s">
        <v>429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67">
        <v>0.154</v>
      </c>
    </row>
    <row r="74" spans="1:33" x14ac:dyDescent="0.45">
      <c r="A74" t="s">
        <v>475</v>
      </c>
      <c r="B74" t="s">
        <v>792</v>
      </c>
      <c r="C74" t="s">
        <v>791</v>
      </c>
      <c r="D74" t="s">
        <v>429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67">
        <v>0.04</v>
      </c>
    </row>
    <row r="75" spans="1:33" x14ac:dyDescent="0.45">
      <c r="A75" t="s">
        <v>595</v>
      </c>
      <c r="B75" t="s">
        <v>793</v>
      </c>
      <c r="C75" t="s">
        <v>794</v>
      </c>
      <c r="D75" t="s">
        <v>429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67">
        <v>5.0000000000000001E-3</v>
      </c>
    </row>
    <row r="76" spans="1:33" x14ac:dyDescent="0.45">
      <c r="A76" t="s">
        <v>795</v>
      </c>
    </row>
    <row r="77" spans="1:33" x14ac:dyDescent="0.45">
      <c r="A77" t="s">
        <v>796</v>
      </c>
      <c r="B77" t="s">
        <v>797</v>
      </c>
      <c r="C77" t="s">
        <v>798</v>
      </c>
      <c r="D77" t="s">
        <v>429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67">
        <v>-7.0000000000000001E-3</v>
      </c>
    </row>
    <row r="78" spans="1:33" x14ac:dyDescent="0.45">
      <c r="A78" t="s">
        <v>602</v>
      </c>
      <c r="B78" t="s">
        <v>799</v>
      </c>
      <c r="C78" t="s">
        <v>800</v>
      </c>
      <c r="D78" t="s">
        <v>429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67">
        <v>4.1000000000000002E-2</v>
      </c>
    </row>
    <row r="79" spans="1:33" x14ac:dyDescent="0.45">
      <c r="A79" t="s">
        <v>605</v>
      </c>
      <c r="B79" t="s">
        <v>801</v>
      </c>
      <c r="C79" t="s">
        <v>802</v>
      </c>
      <c r="D79" t="s">
        <v>429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67">
        <v>2E-3</v>
      </c>
    </row>
    <row r="80" spans="1:33" x14ac:dyDescent="0.45">
      <c r="A80" t="s">
        <v>403</v>
      </c>
      <c r="B80" t="s">
        <v>803</v>
      </c>
      <c r="C80" t="s">
        <v>804</v>
      </c>
      <c r="D80" t="s">
        <v>429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67">
        <v>0.03</v>
      </c>
    </row>
    <row r="81" spans="1:33" x14ac:dyDescent="0.45">
      <c r="A81" t="s">
        <v>212</v>
      </c>
    </row>
    <row r="82" spans="1:33" x14ac:dyDescent="0.45">
      <c r="A82" t="s">
        <v>610</v>
      </c>
      <c r="B82" t="s">
        <v>805</v>
      </c>
      <c r="C82" t="s">
        <v>806</v>
      </c>
      <c r="D82" t="s">
        <v>613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67">
        <v>-2E-3</v>
      </c>
    </row>
    <row r="83" spans="1:33" x14ac:dyDescent="0.45">
      <c r="A83" t="s">
        <v>614</v>
      </c>
      <c r="B83" t="s">
        <v>807</v>
      </c>
      <c r="C83" t="s">
        <v>808</v>
      </c>
      <c r="D83" t="s">
        <v>613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67">
        <v>-1E-3</v>
      </c>
    </row>
    <row r="84" spans="1:33" x14ac:dyDescent="0.45">
      <c r="A84" t="s">
        <v>617</v>
      </c>
      <c r="B84" t="s">
        <v>809</v>
      </c>
      <c r="C84" t="s">
        <v>810</v>
      </c>
      <c r="D84" t="s">
        <v>613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67">
        <v>2E-3</v>
      </c>
    </row>
    <row r="85" spans="1:33" x14ac:dyDescent="0.45">
      <c r="A85" t="s">
        <v>620</v>
      </c>
      <c r="B85" t="s">
        <v>811</v>
      </c>
      <c r="C85" t="s">
        <v>812</v>
      </c>
      <c r="D85" t="s">
        <v>613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67">
        <v>3.0000000000000001E-3</v>
      </c>
    </row>
    <row r="86" spans="1:33" x14ac:dyDescent="0.45">
      <c r="A86" t="s">
        <v>623</v>
      </c>
      <c r="B86" t="s">
        <v>813</v>
      </c>
      <c r="C86" t="s">
        <v>814</v>
      </c>
      <c r="D86" t="s">
        <v>613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67">
        <v>-6.0000000000000001E-3</v>
      </c>
    </row>
    <row r="87" spans="1:33" x14ac:dyDescent="0.45">
      <c r="A87" t="s">
        <v>626</v>
      </c>
      <c r="B87" t="s">
        <v>815</v>
      </c>
      <c r="C87" t="s">
        <v>816</v>
      </c>
      <c r="D87" t="s">
        <v>613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67">
        <v>-2E-3</v>
      </c>
    </row>
    <row r="88" spans="1:33" x14ac:dyDescent="0.45">
      <c r="A88" t="s">
        <v>629</v>
      </c>
      <c r="B88" t="s">
        <v>817</v>
      </c>
      <c r="C88" t="s">
        <v>818</v>
      </c>
      <c r="D88" t="s">
        <v>613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67">
        <v>-1E-3</v>
      </c>
    </row>
    <row r="89" spans="1:33" x14ac:dyDescent="0.45">
      <c r="A89" t="s">
        <v>632</v>
      </c>
      <c r="B89" t="s">
        <v>819</v>
      </c>
      <c r="C89" t="s">
        <v>820</v>
      </c>
      <c r="D89" t="s">
        <v>613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67">
        <v>0</v>
      </c>
    </row>
    <row r="90" spans="1:33" x14ac:dyDescent="0.45">
      <c r="A90" t="s">
        <v>635</v>
      </c>
      <c r="B90" t="s">
        <v>821</v>
      </c>
      <c r="C90" t="s">
        <v>822</v>
      </c>
      <c r="D90" t="s">
        <v>613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67">
        <v>-3.0000000000000001E-3</v>
      </c>
    </row>
    <row r="91" spans="1:33" x14ac:dyDescent="0.45">
      <c r="A91" t="s">
        <v>638</v>
      </c>
      <c r="B91" t="s">
        <v>823</v>
      </c>
      <c r="C91" t="s">
        <v>824</v>
      </c>
      <c r="D91" t="s">
        <v>613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67">
        <v>-2E-3</v>
      </c>
    </row>
    <row r="92" spans="1:33" x14ac:dyDescent="0.45">
      <c r="A92" t="s">
        <v>233</v>
      </c>
    </row>
    <row r="93" spans="1:33" x14ac:dyDescent="0.45">
      <c r="A93" t="s">
        <v>610</v>
      </c>
      <c r="B93" t="s">
        <v>825</v>
      </c>
      <c r="C93" t="s">
        <v>826</v>
      </c>
      <c r="D93" t="s">
        <v>643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67">
        <v>8.0000000000000002E-3</v>
      </c>
    </row>
    <row r="94" spans="1:33" x14ac:dyDescent="0.45">
      <c r="A94" t="s">
        <v>614</v>
      </c>
      <c r="B94" t="s">
        <v>827</v>
      </c>
      <c r="C94" t="s">
        <v>828</v>
      </c>
      <c r="D94" t="s">
        <v>643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67">
        <v>7.0000000000000001E-3</v>
      </c>
    </row>
    <row r="95" spans="1:33" x14ac:dyDescent="0.45">
      <c r="A95" t="s">
        <v>617</v>
      </c>
      <c r="B95" t="s">
        <v>829</v>
      </c>
      <c r="C95" t="s">
        <v>830</v>
      </c>
      <c r="D95" t="s">
        <v>643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67">
        <v>3.0000000000000001E-3</v>
      </c>
    </row>
    <row r="96" spans="1:33" x14ac:dyDescent="0.45">
      <c r="A96" t="s">
        <v>620</v>
      </c>
      <c r="B96" t="s">
        <v>831</v>
      </c>
      <c r="C96" t="s">
        <v>832</v>
      </c>
      <c r="D96" t="s">
        <v>643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67">
        <v>4.0000000000000001E-3</v>
      </c>
    </row>
    <row r="97" spans="1:33" x14ac:dyDescent="0.45">
      <c r="A97" t="s">
        <v>623</v>
      </c>
      <c r="B97" t="s">
        <v>833</v>
      </c>
      <c r="C97" t="s">
        <v>834</v>
      </c>
      <c r="D97" t="s">
        <v>643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67">
        <v>6.0000000000000001E-3</v>
      </c>
    </row>
    <row r="98" spans="1:33" x14ac:dyDescent="0.45">
      <c r="A98" t="s">
        <v>626</v>
      </c>
      <c r="B98" t="s">
        <v>835</v>
      </c>
      <c r="C98" t="s">
        <v>836</v>
      </c>
      <c r="D98" t="s">
        <v>643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67">
        <v>2E-3</v>
      </c>
    </row>
    <row r="99" spans="1:33" x14ac:dyDescent="0.45">
      <c r="A99" t="s">
        <v>629</v>
      </c>
      <c r="B99" t="s">
        <v>837</v>
      </c>
      <c r="C99" t="s">
        <v>838</v>
      </c>
      <c r="D99" t="s">
        <v>643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67">
        <v>2E-3</v>
      </c>
    </row>
    <row r="100" spans="1:33" x14ac:dyDescent="0.45">
      <c r="A100" t="s">
        <v>632</v>
      </c>
      <c r="B100" t="s">
        <v>839</v>
      </c>
      <c r="C100" t="s">
        <v>840</v>
      </c>
      <c r="D100" t="s">
        <v>643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67">
        <v>1E-3</v>
      </c>
    </row>
    <row r="101" spans="1:33" x14ac:dyDescent="0.45">
      <c r="A101" t="s">
        <v>635</v>
      </c>
      <c r="B101" t="s">
        <v>841</v>
      </c>
      <c r="C101" t="s">
        <v>842</v>
      </c>
      <c r="D101" t="s">
        <v>643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67">
        <v>6.0000000000000001E-3</v>
      </c>
    </row>
    <row r="102" spans="1:33" x14ac:dyDescent="0.45">
      <c r="A102" t="s">
        <v>638</v>
      </c>
      <c r="B102" t="s">
        <v>843</v>
      </c>
      <c r="C102" t="s">
        <v>844</v>
      </c>
      <c r="D102" t="s">
        <v>643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67">
        <v>6.0000000000000001E-3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174"/>
  <sheetViews>
    <sheetView workbookViewId="0"/>
  </sheetViews>
  <sheetFormatPr defaultRowHeight="14.25" x14ac:dyDescent="0.45"/>
  <cols>
    <col min="1" max="1" width="24.3984375" customWidth="1"/>
  </cols>
  <sheetData>
    <row r="1" spans="1:33" x14ac:dyDescent="0.45">
      <c r="B1" t="s">
        <v>868</v>
      </c>
    </row>
    <row r="3" spans="1:33" x14ac:dyDescent="0.45">
      <c r="C3" t="s">
        <v>44</v>
      </c>
      <c r="D3" t="s">
        <v>869</v>
      </c>
    </row>
    <row r="4" spans="1:33" x14ac:dyDescent="0.45">
      <c r="C4" t="s">
        <v>46</v>
      </c>
      <c r="D4" t="s">
        <v>870</v>
      </c>
      <c r="F4" t="s">
        <v>871</v>
      </c>
    </row>
    <row r="5" spans="1:33" x14ac:dyDescent="0.45">
      <c r="C5" t="s">
        <v>49</v>
      </c>
      <c r="D5" t="s">
        <v>872</v>
      </c>
    </row>
    <row r="6" spans="1:33" x14ac:dyDescent="0.45">
      <c r="C6" t="s">
        <v>51</v>
      </c>
      <c r="E6" t="s">
        <v>873</v>
      </c>
    </row>
    <row r="7" spans="1:33" x14ac:dyDescent="0.45">
      <c r="B7" t="s">
        <v>54</v>
      </c>
    </row>
    <row r="8" spans="1:33" x14ac:dyDescent="0.45">
      <c r="B8" t="s">
        <v>56</v>
      </c>
      <c r="AG8" s="67"/>
    </row>
    <row r="9" spans="1:33" x14ac:dyDescent="0.45">
      <c r="AC9" t="s">
        <v>874</v>
      </c>
      <c r="AG9" s="67"/>
    </row>
    <row r="10" spans="1:33" x14ac:dyDescent="0.45">
      <c r="B10" t="s">
        <v>59</v>
      </c>
      <c r="C10">
        <v>2025</v>
      </c>
      <c r="D10">
        <v>2026</v>
      </c>
      <c r="E10">
        <v>2027</v>
      </c>
      <c r="F10">
        <v>2028</v>
      </c>
      <c r="G10">
        <v>2029</v>
      </c>
      <c r="H10">
        <v>2030</v>
      </c>
      <c r="I10">
        <v>2031</v>
      </c>
      <c r="J10">
        <v>2032</v>
      </c>
      <c r="K10">
        <v>2033</v>
      </c>
      <c r="L10">
        <v>2034</v>
      </c>
      <c r="M10">
        <v>2035</v>
      </c>
      <c r="N10">
        <v>2036</v>
      </c>
      <c r="O10">
        <v>2037</v>
      </c>
      <c r="P10">
        <v>2038</v>
      </c>
      <c r="Q10">
        <v>2039</v>
      </c>
      <c r="R10">
        <v>2040</v>
      </c>
      <c r="S10">
        <v>2041</v>
      </c>
      <c r="T10">
        <v>2042</v>
      </c>
      <c r="U10">
        <v>2043</v>
      </c>
      <c r="V10">
        <v>2044</v>
      </c>
      <c r="W10">
        <v>2045</v>
      </c>
      <c r="X10">
        <v>2046</v>
      </c>
      <c r="Y10">
        <v>2047</v>
      </c>
      <c r="Z10">
        <v>2048</v>
      </c>
      <c r="AA10">
        <v>2049</v>
      </c>
      <c r="AB10">
        <v>2050</v>
      </c>
      <c r="AC10" t="s">
        <v>875</v>
      </c>
      <c r="AG10" s="67"/>
    </row>
    <row r="11" spans="1:33" x14ac:dyDescent="0.45">
      <c r="AG11" s="67"/>
    </row>
    <row r="12" spans="1:33" x14ac:dyDescent="0.45">
      <c r="B12" t="s">
        <v>61</v>
      </c>
      <c r="AG12" s="67"/>
    </row>
    <row r="13" spans="1:33" x14ac:dyDescent="0.45">
      <c r="B13" t="s">
        <v>62</v>
      </c>
    </row>
    <row r="14" spans="1:33" x14ac:dyDescent="0.45">
      <c r="A14" t="s">
        <v>63</v>
      </c>
      <c r="B14" t="s">
        <v>64</v>
      </c>
      <c r="C14">
        <v>89.551807999999994</v>
      </c>
      <c r="D14">
        <v>90.499319999999997</v>
      </c>
      <c r="E14">
        <v>91.445952000000005</v>
      </c>
      <c r="F14">
        <v>92.375528000000003</v>
      </c>
      <c r="G14">
        <v>93.308328000000003</v>
      </c>
      <c r="H14">
        <v>94.243120000000005</v>
      </c>
      <c r="I14">
        <v>95.158208000000002</v>
      </c>
      <c r="J14">
        <v>96.071575999999993</v>
      </c>
      <c r="K14">
        <v>96.973696000000004</v>
      </c>
      <c r="L14">
        <v>97.853279999999998</v>
      </c>
      <c r="M14">
        <v>98.716440000000006</v>
      </c>
      <c r="N14">
        <v>99.555663999999993</v>
      </c>
      <c r="O14">
        <v>100.3796</v>
      </c>
      <c r="P14">
        <v>101.179768</v>
      </c>
      <c r="Q14">
        <v>101.948536</v>
      </c>
      <c r="R14">
        <v>102.68970400000001</v>
      </c>
      <c r="S14">
        <v>103.400256</v>
      </c>
      <c r="T14">
        <v>104.09390399999999</v>
      </c>
      <c r="U14">
        <v>104.76102400000001</v>
      </c>
      <c r="V14">
        <v>105.404848</v>
      </c>
      <c r="W14">
        <v>106.04945600000001</v>
      </c>
      <c r="X14">
        <v>106.69841599999999</v>
      </c>
      <c r="Y14">
        <v>107.34532</v>
      </c>
      <c r="Z14">
        <v>107.99104</v>
      </c>
      <c r="AA14">
        <v>108.635976</v>
      </c>
      <c r="AB14">
        <v>109.283816</v>
      </c>
      <c r="AC14">
        <v>7.9970467786396604E-3</v>
      </c>
    </row>
    <row r="15" spans="1:33" x14ac:dyDescent="0.45">
      <c r="A15" t="s">
        <v>65</v>
      </c>
      <c r="B15" t="s">
        <v>66</v>
      </c>
      <c r="C15">
        <v>34.432312000000003</v>
      </c>
      <c r="D15">
        <v>34.836668000000003</v>
      </c>
      <c r="E15">
        <v>35.242792000000001</v>
      </c>
      <c r="F15">
        <v>35.639104000000003</v>
      </c>
      <c r="G15">
        <v>36.037196000000002</v>
      </c>
      <c r="H15">
        <v>36.453671999999997</v>
      </c>
      <c r="I15">
        <v>36.903640000000003</v>
      </c>
      <c r="J15">
        <v>37.355531999999997</v>
      </c>
      <c r="K15">
        <v>37.797055999999998</v>
      </c>
      <c r="L15">
        <v>38.222763999999998</v>
      </c>
      <c r="M15">
        <v>38.636755999999998</v>
      </c>
      <c r="N15">
        <v>39.039476000000001</v>
      </c>
      <c r="O15">
        <v>39.397843999999999</v>
      </c>
      <c r="P15">
        <v>39.730519999999999</v>
      </c>
      <c r="Q15">
        <v>40.040472000000001</v>
      </c>
      <c r="R15">
        <v>40.33182</v>
      </c>
      <c r="S15">
        <v>40.601424000000002</v>
      </c>
      <c r="T15">
        <v>40.853960000000001</v>
      </c>
      <c r="U15">
        <v>41.099856000000003</v>
      </c>
      <c r="V15">
        <v>41.347656000000001</v>
      </c>
      <c r="W15">
        <v>41.597008000000002</v>
      </c>
      <c r="X15">
        <v>41.846876000000002</v>
      </c>
      <c r="Y15">
        <v>42.095095999999998</v>
      </c>
      <c r="Z15">
        <v>42.342736000000002</v>
      </c>
      <c r="AA15">
        <v>42.590232</v>
      </c>
      <c r="AB15">
        <v>42.838628</v>
      </c>
      <c r="AC15">
        <v>8.7760776558121201E-3</v>
      </c>
      <c r="AG15" s="67"/>
    </row>
    <row r="16" spans="1:33" x14ac:dyDescent="0.45">
      <c r="A16" t="s">
        <v>67</v>
      </c>
      <c r="B16" t="s">
        <v>68</v>
      </c>
      <c r="C16">
        <v>6.7450950000000001</v>
      </c>
      <c r="D16">
        <v>6.7594225000000003</v>
      </c>
      <c r="E16">
        <v>6.806991</v>
      </c>
      <c r="F16">
        <v>6.8581649999999996</v>
      </c>
      <c r="G16">
        <v>6.9037110000000004</v>
      </c>
      <c r="H16">
        <v>6.9130140000000004</v>
      </c>
      <c r="I16">
        <v>6.915089</v>
      </c>
      <c r="J16">
        <v>6.9182519999999998</v>
      </c>
      <c r="K16">
        <v>6.921087</v>
      </c>
      <c r="L16">
        <v>6.9234134999999997</v>
      </c>
      <c r="M16">
        <v>6.9269959999999999</v>
      </c>
      <c r="N16">
        <v>6.9313560000000001</v>
      </c>
      <c r="O16">
        <v>6.9329989999999997</v>
      </c>
      <c r="P16">
        <v>6.9327449999999997</v>
      </c>
      <c r="Q16">
        <v>6.9276109999999997</v>
      </c>
      <c r="R16">
        <v>6.924169</v>
      </c>
      <c r="S16">
        <v>6.9226830000000001</v>
      </c>
      <c r="T16">
        <v>6.9217560000000002</v>
      </c>
      <c r="U16">
        <v>6.9220889999999997</v>
      </c>
      <c r="V16">
        <v>6.9248770000000004</v>
      </c>
      <c r="W16">
        <v>6.9295859999999996</v>
      </c>
      <c r="X16">
        <v>6.9344039999999998</v>
      </c>
      <c r="Y16">
        <v>6.9393295000000004</v>
      </c>
      <c r="Z16">
        <v>6.9430185</v>
      </c>
      <c r="AA16">
        <v>6.9465225000000004</v>
      </c>
      <c r="AB16">
        <v>6.950291</v>
      </c>
      <c r="AC16">
        <v>1.199436955279243E-3</v>
      </c>
      <c r="AG16" s="67"/>
    </row>
    <row r="17" spans="1:33" x14ac:dyDescent="0.45">
      <c r="A17" t="s">
        <v>69</v>
      </c>
      <c r="B17" t="s">
        <v>70</v>
      </c>
      <c r="C17">
        <v>130.72921500000001</v>
      </c>
      <c r="D17">
        <v>132.09541050000001</v>
      </c>
      <c r="E17">
        <v>133.495735</v>
      </c>
      <c r="F17">
        <v>134.87279699999999</v>
      </c>
      <c r="G17">
        <v>136.249235</v>
      </c>
      <c r="H17">
        <v>137.60980599999999</v>
      </c>
      <c r="I17">
        <v>138.97693699999999</v>
      </c>
      <c r="J17">
        <v>140.34536</v>
      </c>
      <c r="K17">
        <v>141.69183899999999</v>
      </c>
      <c r="L17">
        <v>142.99945750000001</v>
      </c>
      <c r="M17">
        <v>144.280192</v>
      </c>
      <c r="N17">
        <v>145.52649600000001</v>
      </c>
      <c r="O17">
        <v>146.710443</v>
      </c>
      <c r="P17">
        <v>147.84303299999999</v>
      </c>
      <c r="Q17">
        <v>148.916619</v>
      </c>
      <c r="R17">
        <v>149.94569300000001</v>
      </c>
      <c r="S17">
        <v>150.924363</v>
      </c>
      <c r="T17">
        <v>151.86962</v>
      </c>
      <c r="U17">
        <v>152.78296900000001</v>
      </c>
      <c r="V17">
        <v>153.677381</v>
      </c>
      <c r="W17">
        <v>154.57605000000001</v>
      </c>
      <c r="X17">
        <v>155.47969599999999</v>
      </c>
      <c r="Y17">
        <v>156.37974550000001</v>
      </c>
      <c r="Z17">
        <v>157.27679449999999</v>
      </c>
      <c r="AA17">
        <v>158.1727305</v>
      </c>
      <c r="AB17">
        <v>159.07273499999999</v>
      </c>
      <c r="AC17">
        <v>7.8802239127684359E-3</v>
      </c>
    </row>
    <row r="18" spans="1:33" x14ac:dyDescent="0.45">
      <c r="AG18" s="67"/>
    </row>
    <row r="19" spans="1:33" x14ac:dyDescent="0.45">
      <c r="A19" t="s">
        <v>71</v>
      </c>
      <c r="B19" t="s">
        <v>72</v>
      </c>
      <c r="C19">
        <v>1648.580932617188</v>
      </c>
      <c r="D19">
        <v>1653.800903320312</v>
      </c>
      <c r="E19">
        <v>1658.75341796875</v>
      </c>
      <c r="F19">
        <v>1663.61962890625</v>
      </c>
      <c r="G19">
        <v>1668.383911132812</v>
      </c>
      <c r="H19">
        <v>1673.056884765625</v>
      </c>
      <c r="I19">
        <v>1677.398559570312</v>
      </c>
      <c r="J19">
        <v>1681.615356445312</v>
      </c>
      <c r="K19">
        <v>1685.791870117188</v>
      </c>
      <c r="L19">
        <v>1689.955688476562</v>
      </c>
      <c r="M19">
        <v>1694.082885742188</v>
      </c>
      <c r="N19">
        <v>1698.1728515625</v>
      </c>
      <c r="O19">
        <v>1702.468627929688</v>
      </c>
      <c r="P19">
        <v>1706.83984375</v>
      </c>
      <c r="Q19">
        <v>1711.274047851562</v>
      </c>
      <c r="R19">
        <v>1715.727783203125</v>
      </c>
      <c r="S19">
        <v>1720.223876953125</v>
      </c>
      <c r="T19">
        <v>1724.752197265625</v>
      </c>
      <c r="U19">
        <v>1729.234130859375</v>
      </c>
      <c r="V19">
        <v>1733.615600585938</v>
      </c>
      <c r="W19">
        <v>1737.918823242188</v>
      </c>
      <c r="X19">
        <v>1742.162353515625</v>
      </c>
      <c r="Y19">
        <v>1746.357177734375</v>
      </c>
      <c r="Z19">
        <v>1750.502319335938</v>
      </c>
      <c r="AA19">
        <v>1754.593017578125</v>
      </c>
      <c r="AB19">
        <v>1758.6240234375</v>
      </c>
      <c r="AC19">
        <v>2.5880160021416469E-3</v>
      </c>
      <c r="AG19" s="67"/>
    </row>
    <row r="21" spans="1:33" x14ac:dyDescent="0.45">
      <c r="B21" t="s">
        <v>73</v>
      </c>
    </row>
    <row r="22" spans="1:33" x14ac:dyDescent="0.45">
      <c r="B22" t="s">
        <v>876</v>
      </c>
      <c r="AG22" s="67"/>
    </row>
    <row r="23" spans="1:33" x14ac:dyDescent="0.45">
      <c r="A23" t="s">
        <v>75</v>
      </c>
      <c r="B23" t="s">
        <v>76</v>
      </c>
      <c r="C23">
        <v>89.060958164554123</v>
      </c>
      <c r="D23">
        <v>86.654178526512851</v>
      </c>
      <c r="E23">
        <v>85.803575732213446</v>
      </c>
      <c r="F23">
        <v>85.129928164832222</v>
      </c>
      <c r="G23">
        <v>84.07061112673405</v>
      </c>
      <c r="H23">
        <v>82.772625084581534</v>
      </c>
      <c r="I23">
        <v>81.43821978174698</v>
      </c>
      <c r="J23">
        <v>80.199732217723508</v>
      </c>
      <c r="K23">
        <v>79.037514969369553</v>
      </c>
      <c r="L23">
        <v>78.012083605282228</v>
      </c>
      <c r="M23">
        <v>77.086948276309485</v>
      </c>
      <c r="N23">
        <v>76.247253324920322</v>
      </c>
      <c r="O23">
        <v>75.471804362283876</v>
      </c>
      <c r="P23">
        <v>74.779412365004717</v>
      </c>
      <c r="Q23">
        <v>74.147297058899781</v>
      </c>
      <c r="R23">
        <v>73.529512541583998</v>
      </c>
      <c r="S23">
        <v>72.987660183134267</v>
      </c>
      <c r="T23">
        <v>72.550300988439972</v>
      </c>
      <c r="U23">
        <v>72.191370453077127</v>
      </c>
      <c r="V23">
        <v>71.873313848314496</v>
      </c>
      <c r="W23">
        <v>71.554366294131583</v>
      </c>
      <c r="X23">
        <v>71.242594184130652</v>
      </c>
      <c r="Y23">
        <v>70.912942418108727</v>
      </c>
      <c r="Z23">
        <v>70.590441350837679</v>
      </c>
      <c r="AA23">
        <v>70.298458886375485</v>
      </c>
      <c r="AB23">
        <v>70.025752911081852</v>
      </c>
      <c r="AC23">
        <v>-9.5722113258980279E-3</v>
      </c>
      <c r="AG23" s="67"/>
    </row>
    <row r="24" spans="1:33" x14ac:dyDescent="0.45">
      <c r="A24" t="s">
        <v>77</v>
      </c>
      <c r="B24" t="s">
        <v>78</v>
      </c>
      <c r="C24">
        <v>87.644801447021621</v>
      </c>
      <c r="D24">
        <v>85.169031273800385</v>
      </c>
      <c r="E24">
        <v>84.244949638278683</v>
      </c>
      <c r="F24">
        <v>83.496612471082656</v>
      </c>
      <c r="G24">
        <v>82.368483052400279</v>
      </c>
      <c r="H24">
        <v>80.999154028311025</v>
      </c>
      <c r="I24">
        <v>79.589085576119757</v>
      </c>
      <c r="J24">
        <v>78.275952193930777</v>
      </c>
      <c r="K24">
        <v>77.0362922454553</v>
      </c>
      <c r="L24">
        <v>75.928767841654249</v>
      </c>
      <c r="M24">
        <v>74.916512794770895</v>
      </c>
      <c r="N24">
        <v>73.985585401575278</v>
      </c>
      <c r="O24">
        <v>73.112307594899704</v>
      </c>
      <c r="P24">
        <v>72.317409627276788</v>
      </c>
      <c r="Q24">
        <v>71.577848231969327</v>
      </c>
      <c r="R24">
        <v>70.849099760404613</v>
      </c>
      <c r="S24">
        <v>70.192104001128058</v>
      </c>
      <c r="T24">
        <v>69.636396495889059</v>
      </c>
      <c r="U24">
        <v>69.156582144964062</v>
      </c>
      <c r="V24">
        <v>68.71355505466353</v>
      </c>
      <c r="W24">
        <v>68.267576962925361</v>
      </c>
      <c r="X24">
        <v>67.825554727094413</v>
      </c>
      <c r="Y24">
        <v>67.362432074043738</v>
      </c>
      <c r="Z24">
        <v>66.902168825675048</v>
      </c>
      <c r="AA24">
        <v>66.470930853659382</v>
      </c>
      <c r="AB24">
        <v>66.055663027356644</v>
      </c>
      <c r="AC24">
        <v>-1.1248043695201489E-2</v>
      </c>
      <c r="AG24" s="67"/>
    </row>
    <row r="25" spans="1:33" x14ac:dyDescent="0.45">
      <c r="B25" t="s">
        <v>79</v>
      </c>
      <c r="AG25" s="67"/>
    </row>
    <row r="26" spans="1:33" x14ac:dyDescent="0.45">
      <c r="A26" t="s">
        <v>80</v>
      </c>
      <c r="B26" t="s">
        <v>76</v>
      </c>
      <c r="C26">
        <v>54.022800095817153</v>
      </c>
      <c r="D26">
        <v>52.396983429225664</v>
      </c>
      <c r="E26">
        <v>51.727746151254621</v>
      </c>
      <c r="F26">
        <v>51.171509812493049</v>
      </c>
      <c r="G26">
        <v>50.390447046238371</v>
      </c>
      <c r="H26">
        <v>49.473885698857742</v>
      </c>
      <c r="I26">
        <v>48.550309833703707</v>
      </c>
      <c r="J26">
        <v>47.692078875429601</v>
      </c>
      <c r="K26">
        <v>46.884503579837087</v>
      </c>
      <c r="L26">
        <v>46.16220658164562</v>
      </c>
      <c r="M26">
        <v>45.503646205915857</v>
      </c>
      <c r="N26">
        <v>44.899583251943241</v>
      </c>
      <c r="O26">
        <v>44.330804764409962</v>
      </c>
      <c r="P26">
        <v>43.811616326410068</v>
      </c>
      <c r="Q26">
        <v>43.328710063703006</v>
      </c>
      <c r="R26">
        <v>42.856164749113262</v>
      </c>
      <c r="S26">
        <v>42.429163529813707</v>
      </c>
      <c r="T26">
        <v>42.06418817929859</v>
      </c>
      <c r="U26">
        <v>41.747597485367862</v>
      </c>
      <c r="V26">
        <v>41.458621982879208</v>
      </c>
      <c r="W26">
        <v>41.172444499244683</v>
      </c>
      <c r="X26">
        <v>40.893200361243878</v>
      </c>
      <c r="Y26">
        <v>40.606207780533857</v>
      </c>
      <c r="Z26">
        <v>40.325819949565421</v>
      </c>
      <c r="AA26">
        <v>40.065393046764108</v>
      </c>
      <c r="AB26">
        <v>39.818489897690462</v>
      </c>
      <c r="AC26">
        <v>-1.212883770197948E-2</v>
      </c>
      <c r="AG26" s="67"/>
    </row>
    <row r="27" spans="1:33" x14ac:dyDescent="0.45">
      <c r="A27" t="s">
        <v>81</v>
      </c>
      <c r="B27" t="s">
        <v>78</v>
      </c>
      <c r="C27">
        <v>53.163784508827263</v>
      </c>
      <c r="D27">
        <v>51.498962845411278</v>
      </c>
      <c r="E27">
        <v>50.788109146109271</v>
      </c>
      <c r="F27">
        <v>50.189725475875562</v>
      </c>
      <c r="G27">
        <v>49.370221387757852</v>
      </c>
      <c r="H27">
        <v>48.413867314295189</v>
      </c>
      <c r="I27">
        <v>47.447927698535487</v>
      </c>
      <c r="J27">
        <v>46.548071706121092</v>
      </c>
      <c r="K27">
        <v>45.697392193557157</v>
      </c>
      <c r="L27">
        <v>44.929443037705589</v>
      </c>
      <c r="M27">
        <v>44.222460084619499</v>
      </c>
      <c r="N27">
        <v>43.567758920124447</v>
      </c>
      <c r="O27">
        <v>42.944878040900541</v>
      </c>
      <c r="P27">
        <v>42.369182962352433</v>
      </c>
      <c r="Q27">
        <v>41.827227101253897</v>
      </c>
      <c r="R27">
        <v>41.2939048105493</v>
      </c>
      <c r="S27">
        <v>40.804051694395092</v>
      </c>
      <c r="T27">
        <v>40.374725485950208</v>
      </c>
      <c r="U27">
        <v>39.992607658394647</v>
      </c>
      <c r="V27">
        <v>39.63598102799682</v>
      </c>
      <c r="W27">
        <v>39.281223064014164</v>
      </c>
      <c r="X27">
        <v>38.931822048745772</v>
      </c>
      <c r="Y27">
        <v>38.573112610007961</v>
      </c>
      <c r="Z27">
        <v>38.218840436072519</v>
      </c>
      <c r="AA27">
        <v>37.883959520943257</v>
      </c>
      <c r="AB27">
        <v>37.560992086438539</v>
      </c>
      <c r="AC27">
        <v>-1.3800344185755259E-2</v>
      </c>
      <c r="AG27" s="67"/>
    </row>
    <row r="28" spans="1:33" x14ac:dyDescent="0.45">
      <c r="AG28" s="67"/>
    </row>
    <row r="29" spans="1:33" x14ac:dyDescent="0.45">
      <c r="B29" t="s">
        <v>82</v>
      </c>
      <c r="AG29" s="67"/>
    </row>
    <row r="30" spans="1:33" x14ac:dyDescent="0.45">
      <c r="B30" t="s">
        <v>83</v>
      </c>
      <c r="AG30" s="67"/>
    </row>
    <row r="31" spans="1:33" x14ac:dyDescent="0.45">
      <c r="A31" t="s">
        <v>84</v>
      </c>
      <c r="B31" t="s">
        <v>85</v>
      </c>
      <c r="C31">
        <v>0.59498688</v>
      </c>
      <c r="D31">
        <v>0.56559097599999997</v>
      </c>
      <c r="E31">
        <v>0.56616966400000002</v>
      </c>
      <c r="F31">
        <v>0.56694950399999999</v>
      </c>
      <c r="G31">
        <v>0.56581657600000002</v>
      </c>
      <c r="H31">
        <v>0.56227513600000001</v>
      </c>
      <c r="I31">
        <v>0.55764070399999999</v>
      </c>
      <c r="J31">
        <v>0.55301900800000003</v>
      </c>
      <c r="K31">
        <v>0.54866521599999996</v>
      </c>
      <c r="L31">
        <v>0.54410111999999999</v>
      </c>
      <c r="M31">
        <v>0.53962681599999995</v>
      </c>
      <c r="N31">
        <v>0.53538271999999998</v>
      </c>
      <c r="O31">
        <v>0.53084921600000001</v>
      </c>
      <c r="P31">
        <v>0.52652697599999998</v>
      </c>
      <c r="Q31">
        <v>0.52204547199999995</v>
      </c>
      <c r="R31">
        <v>0.51751654400000002</v>
      </c>
      <c r="S31">
        <v>0.51278175999999998</v>
      </c>
      <c r="T31">
        <v>0.50850748800000001</v>
      </c>
      <c r="U31">
        <v>0.50438809600000001</v>
      </c>
      <c r="V31">
        <v>0.50002620799999997</v>
      </c>
      <c r="W31">
        <v>0.49595881600000002</v>
      </c>
      <c r="X31">
        <v>0.49153852799999997</v>
      </c>
      <c r="Y31">
        <v>0.486659552</v>
      </c>
      <c r="Z31">
        <v>0.481831232</v>
      </c>
      <c r="AA31">
        <v>0.47719270400000002</v>
      </c>
      <c r="AB31">
        <v>0.47245900800000001</v>
      </c>
      <c r="AC31">
        <v>-9.1811283734718474E-3</v>
      </c>
      <c r="AG31" s="67"/>
    </row>
    <row r="32" spans="1:33" x14ac:dyDescent="0.45">
      <c r="A32" t="s">
        <v>86</v>
      </c>
      <c r="B32" t="s">
        <v>87</v>
      </c>
      <c r="C32">
        <v>0.92457420800000001</v>
      </c>
      <c r="D32">
        <v>0.98388595199999995</v>
      </c>
      <c r="E32">
        <v>0.99778188800000001</v>
      </c>
      <c r="F32">
        <v>1.011565056</v>
      </c>
      <c r="G32">
        <v>1.022745472</v>
      </c>
      <c r="H32">
        <v>1.0299940480000001</v>
      </c>
      <c r="I32">
        <v>1.0365953919999999</v>
      </c>
      <c r="J32">
        <v>1.0441312</v>
      </c>
      <c r="K32">
        <v>1.0523892480000001</v>
      </c>
      <c r="L32">
        <v>1.0619888639999999</v>
      </c>
      <c r="M32">
        <v>1.07257216</v>
      </c>
      <c r="N32">
        <v>1.084401792</v>
      </c>
      <c r="O32">
        <v>1.097000448</v>
      </c>
      <c r="P32">
        <v>1.1101196799999999</v>
      </c>
      <c r="Q32">
        <v>1.1235953919999999</v>
      </c>
      <c r="R32">
        <v>1.1379557119999999</v>
      </c>
      <c r="S32">
        <v>1.1531386880000001</v>
      </c>
      <c r="T32">
        <v>1.17016448</v>
      </c>
      <c r="U32">
        <v>1.188274432</v>
      </c>
      <c r="V32">
        <v>1.206452096</v>
      </c>
      <c r="W32">
        <v>1.2252771840000001</v>
      </c>
      <c r="X32">
        <v>1.243111168</v>
      </c>
      <c r="Y32">
        <v>1.260267392</v>
      </c>
      <c r="Z32">
        <v>1.2769024</v>
      </c>
      <c r="AA32">
        <v>1.2942576640000001</v>
      </c>
      <c r="AB32">
        <v>1.3113802240000001</v>
      </c>
      <c r="AC32">
        <v>1.4078264455456461E-2</v>
      </c>
      <c r="AG32" s="67"/>
    </row>
    <row r="33" spans="1:33" x14ac:dyDescent="0.45">
      <c r="A33" t="s">
        <v>88</v>
      </c>
      <c r="B33" t="s">
        <v>89</v>
      </c>
      <c r="C33">
        <v>0.45252947199999999</v>
      </c>
      <c r="D33">
        <v>0.44482867199999998</v>
      </c>
      <c r="E33">
        <v>0.43924083200000003</v>
      </c>
      <c r="F33">
        <v>0.43466864</v>
      </c>
      <c r="G33">
        <v>0.41793100799999999</v>
      </c>
      <c r="H33">
        <v>0.39681289600000003</v>
      </c>
      <c r="I33">
        <v>0.37454972800000003</v>
      </c>
      <c r="J33">
        <v>0.35388873599999998</v>
      </c>
      <c r="K33">
        <v>0.334859456</v>
      </c>
      <c r="L33">
        <v>0.31755040000000001</v>
      </c>
      <c r="M33">
        <v>0.30188588799999999</v>
      </c>
      <c r="N33">
        <v>0.28806668800000002</v>
      </c>
      <c r="O33">
        <v>0.27600831999999997</v>
      </c>
      <c r="P33">
        <v>0.26572577600000002</v>
      </c>
      <c r="Q33">
        <v>0.25716776000000002</v>
      </c>
      <c r="R33">
        <v>0.25033508799999998</v>
      </c>
      <c r="S33">
        <v>0.24518048000000001</v>
      </c>
      <c r="T33">
        <v>0.241830352</v>
      </c>
      <c r="U33">
        <v>0.24026312</v>
      </c>
      <c r="V33">
        <v>0.23862364799999999</v>
      </c>
      <c r="W33">
        <v>0.23698448</v>
      </c>
      <c r="X33">
        <v>0.23524223999999999</v>
      </c>
      <c r="Y33">
        <v>0.23340683200000001</v>
      </c>
      <c r="Z33">
        <v>0.23158044799999999</v>
      </c>
      <c r="AA33">
        <v>0.22998131199999999</v>
      </c>
      <c r="AB33">
        <v>0.22855848000000001</v>
      </c>
      <c r="AC33">
        <v>-2.6952550110391989E-2</v>
      </c>
      <c r="AG33" s="67"/>
    </row>
    <row r="34" spans="1:33" x14ac:dyDescent="0.45">
      <c r="A34" t="s">
        <v>90</v>
      </c>
      <c r="B34" t="s">
        <v>91</v>
      </c>
      <c r="C34">
        <v>0.34956310400000001</v>
      </c>
      <c r="D34">
        <v>0.34852729599999999</v>
      </c>
      <c r="E34">
        <v>0.34743289599999999</v>
      </c>
      <c r="F34">
        <v>0.34620860799999997</v>
      </c>
      <c r="G34">
        <v>0.34525900799999998</v>
      </c>
      <c r="H34">
        <v>0.34202352000000003</v>
      </c>
      <c r="I34">
        <v>0.33902982399999998</v>
      </c>
      <c r="J34">
        <v>0.33630428800000001</v>
      </c>
      <c r="K34">
        <v>0.33379897600000002</v>
      </c>
      <c r="L34">
        <v>0.33146774400000001</v>
      </c>
      <c r="M34">
        <v>0.32936582399999997</v>
      </c>
      <c r="N34">
        <v>0.327653056</v>
      </c>
      <c r="O34">
        <v>0.32634323199999998</v>
      </c>
      <c r="P34">
        <v>0.32546067200000001</v>
      </c>
      <c r="Q34">
        <v>0.32498998400000001</v>
      </c>
      <c r="R34">
        <v>0.32493840000000002</v>
      </c>
      <c r="S34">
        <v>0.32529401600000002</v>
      </c>
      <c r="T34">
        <v>0.32607193600000001</v>
      </c>
      <c r="U34">
        <v>0.32728083200000002</v>
      </c>
      <c r="V34">
        <v>0.32891251199999999</v>
      </c>
      <c r="W34">
        <v>0.33105030400000002</v>
      </c>
      <c r="X34">
        <v>0.33371427199999998</v>
      </c>
      <c r="Y34">
        <v>0.33686508799999998</v>
      </c>
      <c r="Z34">
        <v>0.34000607999999999</v>
      </c>
      <c r="AA34">
        <v>0.34312889600000002</v>
      </c>
      <c r="AB34">
        <v>0.34622892799999999</v>
      </c>
      <c r="AC34">
        <v>-3.832826310995463E-4</v>
      </c>
      <c r="AG34" s="67"/>
    </row>
    <row r="35" spans="1:33" x14ac:dyDescent="0.45">
      <c r="A35" t="s">
        <v>92</v>
      </c>
      <c r="B35" t="s">
        <v>93</v>
      </c>
      <c r="C35">
        <v>6.8362144E-2</v>
      </c>
      <c r="D35">
        <v>6.9241520000000001E-2</v>
      </c>
      <c r="E35">
        <v>7.0149848000000001E-2</v>
      </c>
      <c r="F35">
        <v>7.1052935999999997E-2</v>
      </c>
      <c r="G35">
        <v>7.1960287999999997E-2</v>
      </c>
      <c r="H35">
        <v>7.2859967999999997E-2</v>
      </c>
      <c r="I35">
        <v>7.3769767999999999E-2</v>
      </c>
      <c r="J35">
        <v>7.4686208000000004E-2</v>
      </c>
      <c r="K35">
        <v>7.5595159999999995E-2</v>
      </c>
      <c r="L35">
        <v>7.6502487999999993E-2</v>
      </c>
      <c r="M35">
        <v>7.7414912000000002E-2</v>
      </c>
      <c r="N35">
        <v>7.8332048000000001E-2</v>
      </c>
      <c r="O35">
        <v>7.9236280000000006E-2</v>
      </c>
      <c r="P35">
        <v>8.0074199999999998E-2</v>
      </c>
      <c r="Q35">
        <v>8.0822688000000004E-2</v>
      </c>
      <c r="R35">
        <v>8.1485935999999995E-2</v>
      </c>
      <c r="S35">
        <v>8.2051832000000005E-2</v>
      </c>
      <c r="T35">
        <v>8.2524719999999996E-2</v>
      </c>
      <c r="U35">
        <v>8.2964759999999999E-2</v>
      </c>
      <c r="V35">
        <v>8.3381144000000004E-2</v>
      </c>
      <c r="W35">
        <v>8.3789119999999995E-2</v>
      </c>
      <c r="X35">
        <v>8.4191208000000003E-2</v>
      </c>
      <c r="Y35">
        <v>8.4583848000000003E-2</v>
      </c>
      <c r="Z35">
        <v>8.4967135999999999E-2</v>
      </c>
      <c r="AA35">
        <v>8.5341799999999995E-2</v>
      </c>
      <c r="AB35">
        <v>8.5708984000000002E-2</v>
      </c>
      <c r="AC35">
        <v>9.0865716961421317E-3</v>
      </c>
      <c r="AG35" s="67"/>
    </row>
    <row r="36" spans="1:33" x14ac:dyDescent="0.45">
      <c r="A36" t="s">
        <v>94</v>
      </c>
      <c r="B36" t="s">
        <v>95</v>
      </c>
      <c r="C36">
        <v>0.19033324800000001</v>
      </c>
      <c r="D36">
        <v>0.19084062399999999</v>
      </c>
      <c r="E36">
        <v>0.19180299200000001</v>
      </c>
      <c r="F36">
        <v>0.193075936</v>
      </c>
      <c r="G36">
        <v>0.193740784</v>
      </c>
      <c r="H36">
        <v>0.193360848</v>
      </c>
      <c r="I36">
        <v>0.19236134399999999</v>
      </c>
      <c r="J36">
        <v>0.191028752</v>
      </c>
      <c r="K36">
        <v>0.19012039999999999</v>
      </c>
      <c r="L36">
        <v>0.18960015999999999</v>
      </c>
      <c r="M36">
        <v>0.18948328</v>
      </c>
      <c r="N36">
        <v>0.189817232</v>
      </c>
      <c r="O36">
        <v>0.19051815999999999</v>
      </c>
      <c r="P36">
        <v>0.19170820799999999</v>
      </c>
      <c r="Q36">
        <v>0.19336033599999999</v>
      </c>
      <c r="R36">
        <v>0.19552905600000001</v>
      </c>
      <c r="S36">
        <v>0.19830171199999999</v>
      </c>
      <c r="T36">
        <v>0.20107030400000001</v>
      </c>
      <c r="U36">
        <v>0.20391007999999999</v>
      </c>
      <c r="V36">
        <v>0.206757632</v>
      </c>
      <c r="W36">
        <v>0.209611248</v>
      </c>
      <c r="X36">
        <v>0.21232783999999999</v>
      </c>
      <c r="Y36">
        <v>0.214859312</v>
      </c>
      <c r="Z36">
        <v>0.217260656</v>
      </c>
      <c r="AA36">
        <v>0.21971025599999999</v>
      </c>
      <c r="AB36">
        <v>0.22207265600000001</v>
      </c>
      <c r="AC36">
        <v>6.1881936436216636E-3</v>
      </c>
      <c r="AG36" s="67"/>
    </row>
    <row r="37" spans="1:33" x14ac:dyDescent="0.45">
      <c r="A37" t="s">
        <v>96</v>
      </c>
      <c r="B37" t="s">
        <v>97</v>
      </c>
      <c r="C37">
        <v>7.9277760000000003E-2</v>
      </c>
      <c r="D37">
        <v>7.9241023999999993E-2</v>
      </c>
      <c r="E37">
        <v>7.9217047999999998E-2</v>
      </c>
      <c r="F37">
        <v>7.9159960000000001E-2</v>
      </c>
      <c r="G37">
        <v>7.9073071999999994E-2</v>
      </c>
      <c r="H37">
        <v>7.8570111999999998E-2</v>
      </c>
      <c r="I37">
        <v>7.8006560000000003E-2</v>
      </c>
      <c r="J37">
        <v>7.7403968000000004E-2</v>
      </c>
      <c r="K37">
        <v>7.6822632000000002E-2</v>
      </c>
      <c r="L37">
        <v>7.6256599999999994E-2</v>
      </c>
      <c r="M37">
        <v>7.5716071999999995E-2</v>
      </c>
      <c r="N37">
        <v>7.5195239999999997E-2</v>
      </c>
      <c r="O37">
        <v>7.4692744000000005E-2</v>
      </c>
      <c r="P37">
        <v>7.4213528000000001E-2</v>
      </c>
      <c r="Q37">
        <v>7.3757199999999995E-2</v>
      </c>
      <c r="R37">
        <v>7.3328264000000004E-2</v>
      </c>
      <c r="S37">
        <v>7.2936855999999994E-2</v>
      </c>
      <c r="T37">
        <v>7.2586367999999998E-2</v>
      </c>
      <c r="U37">
        <v>7.2277752000000001E-2</v>
      </c>
      <c r="V37">
        <v>7.2012376000000003E-2</v>
      </c>
      <c r="W37">
        <v>7.1801504000000002E-2</v>
      </c>
      <c r="X37">
        <v>7.1659855999999994E-2</v>
      </c>
      <c r="Y37">
        <v>7.1579335999999993E-2</v>
      </c>
      <c r="Z37">
        <v>7.1571248000000004E-2</v>
      </c>
      <c r="AA37">
        <v>7.1643271999999994E-2</v>
      </c>
      <c r="AB37">
        <v>7.1800048000000005E-2</v>
      </c>
      <c r="AC37">
        <v>-3.9550577058538039E-3</v>
      </c>
      <c r="AG37" s="67"/>
    </row>
    <row r="38" spans="1:33" x14ac:dyDescent="0.45">
      <c r="A38" t="s">
        <v>98</v>
      </c>
      <c r="B38" t="s">
        <v>877</v>
      </c>
      <c r="C38">
        <v>0.18284710400000001</v>
      </c>
      <c r="D38">
        <v>0.182215504</v>
      </c>
      <c r="E38">
        <v>0.183569232</v>
      </c>
      <c r="F38">
        <v>0.185640272</v>
      </c>
      <c r="G38">
        <v>0.18743944000000001</v>
      </c>
      <c r="H38">
        <v>0.18699436799999999</v>
      </c>
      <c r="I38">
        <v>0.186424016</v>
      </c>
      <c r="J38">
        <v>0.18626144</v>
      </c>
      <c r="K38">
        <v>0.186404352</v>
      </c>
      <c r="L38">
        <v>0.18674231999999999</v>
      </c>
      <c r="M38">
        <v>0.18721537599999999</v>
      </c>
      <c r="N38">
        <v>0.187754368</v>
      </c>
      <c r="O38">
        <v>0.188226384</v>
      </c>
      <c r="P38">
        <v>0.188723216</v>
      </c>
      <c r="Q38">
        <v>0.18940014399999999</v>
      </c>
      <c r="R38">
        <v>0.18703504000000001</v>
      </c>
      <c r="S38">
        <v>0.18508912</v>
      </c>
      <c r="T38">
        <v>0.18369095999999999</v>
      </c>
      <c r="U38">
        <v>0.182845696</v>
      </c>
      <c r="V38">
        <v>0.18247695999999999</v>
      </c>
      <c r="W38">
        <v>0.182383504</v>
      </c>
      <c r="X38">
        <v>0.182309728</v>
      </c>
      <c r="Y38">
        <v>0.182201904</v>
      </c>
      <c r="Z38">
        <v>0.182192464</v>
      </c>
      <c r="AA38">
        <v>0.182375024</v>
      </c>
      <c r="AB38">
        <v>0.18258764799999999</v>
      </c>
      <c r="AC38">
        <v>-5.6797811119779773E-5</v>
      </c>
      <c r="AG38" s="67"/>
    </row>
    <row r="39" spans="1:33" x14ac:dyDescent="0.45">
      <c r="A39" t="s">
        <v>100</v>
      </c>
      <c r="B39" t="s">
        <v>878</v>
      </c>
      <c r="C39">
        <v>4.0723188E-2</v>
      </c>
      <c r="D39">
        <v>3.9741315999999999E-2</v>
      </c>
      <c r="E39">
        <v>3.8750288000000001E-2</v>
      </c>
      <c r="F39">
        <v>3.7582836000000001E-2</v>
      </c>
      <c r="G39">
        <v>3.638516E-2</v>
      </c>
      <c r="H39">
        <v>3.4992292000000001E-2</v>
      </c>
      <c r="I39">
        <v>3.3539880000000001E-2</v>
      </c>
      <c r="J39">
        <v>3.2000177999999997E-2</v>
      </c>
      <c r="K39">
        <v>3.0664894000000002E-2</v>
      </c>
      <c r="L39">
        <v>2.9534002E-2</v>
      </c>
      <c r="M39">
        <v>2.8609286000000001E-2</v>
      </c>
      <c r="N39">
        <v>2.7903582E-2</v>
      </c>
      <c r="O39">
        <v>2.7428560000000001E-2</v>
      </c>
      <c r="P39">
        <v>2.7209850000000001E-2</v>
      </c>
      <c r="Q39">
        <v>2.7260937999999998E-2</v>
      </c>
      <c r="R39">
        <v>2.7310738000000001E-2</v>
      </c>
      <c r="S39">
        <v>2.7361704000000001E-2</v>
      </c>
      <c r="T39">
        <v>2.7419786000000002E-2</v>
      </c>
      <c r="U39">
        <v>2.7486282000000001E-2</v>
      </c>
      <c r="V39">
        <v>2.7564120000000001E-2</v>
      </c>
      <c r="W39">
        <v>2.7658222E-2</v>
      </c>
      <c r="X39">
        <v>2.7768014000000001E-2</v>
      </c>
      <c r="Y39">
        <v>2.7890496000000001E-2</v>
      </c>
      <c r="Z39">
        <v>2.8023998000000001E-2</v>
      </c>
      <c r="AA39">
        <v>2.8167032000000002E-2</v>
      </c>
      <c r="AB39">
        <v>2.8318728000000001E-2</v>
      </c>
      <c r="AC39">
        <v>-1.442590723214077E-2</v>
      </c>
      <c r="AG39" s="67"/>
    </row>
    <row r="40" spans="1:33" x14ac:dyDescent="0.45">
      <c r="A40" t="s">
        <v>102</v>
      </c>
      <c r="B40" t="s">
        <v>879</v>
      </c>
      <c r="C40">
        <v>3.7161696000000001E-2</v>
      </c>
      <c r="D40">
        <v>3.8075504000000003E-2</v>
      </c>
      <c r="E40">
        <v>3.8360159999999997E-2</v>
      </c>
      <c r="F40">
        <v>3.8522852000000003E-2</v>
      </c>
      <c r="G40">
        <v>3.8637291999999997E-2</v>
      </c>
      <c r="H40">
        <v>3.870258E-2</v>
      </c>
      <c r="I40">
        <v>3.8719692E-2</v>
      </c>
      <c r="J40">
        <v>3.8688536000000003E-2</v>
      </c>
      <c r="K40">
        <v>3.8734320000000003E-2</v>
      </c>
      <c r="L40">
        <v>3.8861E-2</v>
      </c>
      <c r="M40">
        <v>3.9070651999999997E-2</v>
      </c>
      <c r="N40">
        <v>3.9370936000000002E-2</v>
      </c>
      <c r="O40">
        <v>3.9763699999999999E-2</v>
      </c>
      <c r="P40">
        <v>4.0262112000000003E-2</v>
      </c>
      <c r="Q40">
        <v>4.0871616E-2</v>
      </c>
      <c r="R40">
        <v>4.1476607999999998E-2</v>
      </c>
      <c r="S40">
        <v>4.2075632000000002E-2</v>
      </c>
      <c r="T40">
        <v>4.2674256000000001E-2</v>
      </c>
      <c r="U40">
        <v>4.3273180000000001E-2</v>
      </c>
      <c r="V40">
        <v>4.3875648000000003E-2</v>
      </c>
      <c r="W40">
        <v>4.4488423999999999E-2</v>
      </c>
      <c r="X40">
        <v>4.5111343999999998E-2</v>
      </c>
      <c r="Y40">
        <v>4.5741499999999997E-2</v>
      </c>
      <c r="Z40">
        <v>4.6378655999999997E-2</v>
      </c>
      <c r="AA40">
        <v>4.7023391999999997E-2</v>
      </c>
      <c r="AB40">
        <v>4.7675936000000002E-2</v>
      </c>
      <c r="AC40">
        <v>1.001575448740288E-2</v>
      </c>
    </row>
    <row r="41" spans="1:33" x14ac:dyDescent="0.45">
      <c r="A41" t="s">
        <v>104</v>
      </c>
      <c r="B41" t="s">
        <v>880</v>
      </c>
      <c r="C41">
        <v>0.12483857600000001</v>
      </c>
      <c r="D41">
        <v>0.122177168</v>
      </c>
      <c r="E41">
        <v>0.119963032</v>
      </c>
      <c r="F41">
        <v>0.11808790399999999</v>
      </c>
      <c r="G41">
        <v>0.11609736800000001</v>
      </c>
      <c r="H41">
        <v>0.11380596</v>
      </c>
      <c r="I41">
        <v>0.111515896</v>
      </c>
      <c r="J41">
        <v>0.109399336</v>
      </c>
      <c r="K41">
        <v>0.107488504</v>
      </c>
      <c r="L41">
        <v>0.105734648</v>
      </c>
      <c r="M41">
        <v>0.10414446400000001</v>
      </c>
      <c r="N41">
        <v>0.102719456</v>
      </c>
      <c r="O41">
        <v>0.10141056</v>
      </c>
      <c r="P41">
        <v>0.10027256</v>
      </c>
      <c r="Q41">
        <v>9.9267408000000001E-2</v>
      </c>
      <c r="R41">
        <v>9.8397992000000004E-2</v>
      </c>
      <c r="S41">
        <v>9.7693543999999993E-2</v>
      </c>
      <c r="T41">
        <v>9.7154119999999997E-2</v>
      </c>
      <c r="U41">
        <v>9.6815248000000007E-2</v>
      </c>
      <c r="V41">
        <v>9.6643400000000004E-2</v>
      </c>
      <c r="W41">
        <v>9.6637704000000005E-2</v>
      </c>
      <c r="X41">
        <v>9.6759144000000005E-2</v>
      </c>
      <c r="Y41">
        <v>9.6902584E-2</v>
      </c>
      <c r="Z41">
        <v>9.7108184E-2</v>
      </c>
      <c r="AA41">
        <v>9.7404288000000006E-2</v>
      </c>
      <c r="AB41">
        <v>9.7757631999999997E-2</v>
      </c>
      <c r="AC41">
        <v>-9.7335290819186016E-3</v>
      </c>
      <c r="AG41" s="67"/>
    </row>
    <row r="42" spans="1:33" x14ac:dyDescent="0.45">
      <c r="A42" t="s">
        <v>106</v>
      </c>
      <c r="B42" t="s">
        <v>881</v>
      </c>
      <c r="C42">
        <v>9.7011752000000007E-2</v>
      </c>
      <c r="D42">
        <v>9.5323727999999996E-2</v>
      </c>
      <c r="E42">
        <v>9.3864928E-2</v>
      </c>
      <c r="F42">
        <v>9.2523648E-2</v>
      </c>
      <c r="G42">
        <v>9.0934360000000006E-2</v>
      </c>
      <c r="H42">
        <v>8.8982368000000006E-2</v>
      </c>
      <c r="I42">
        <v>8.6906232E-2</v>
      </c>
      <c r="J42">
        <v>8.4864703999999999E-2</v>
      </c>
      <c r="K42">
        <v>8.2885327999999994E-2</v>
      </c>
      <c r="L42">
        <v>8.0946472000000005E-2</v>
      </c>
      <c r="M42">
        <v>7.9061928000000004E-2</v>
      </c>
      <c r="N42">
        <v>7.7250440000000004E-2</v>
      </c>
      <c r="O42">
        <v>7.5483776000000002E-2</v>
      </c>
      <c r="P42">
        <v>7.3799192E-2</v>
      </c>
      <c r="Q42">
        <v>7.2188823999999999E-2</v>
      </c>
      <c r="R42">
        <v>7.0666976000000006E-2</v>
      </c>
      <c r="S42">
        <v>6.9257791999999999E-2</v>
      </c>
      <c r="T42">
        <v>6.7990159999999994E-2</v>
      </c>
      <c r="U42">
        <v>6.6878571999999997E-2</v>
      </c>
      <c r="V42">
        <v>6.5919443999999994E-2</v>
      </c>
      <c r="W42">
        <v>6.5113632000000005E-2</v>
      </c>
      <c r="X42">
        <v>6.4456327999999993E-2</v>
      </c>
      <c r="Y42">
        <v>6.3892571999999995E-2</v>
      </c>
      <c r="Z42">
        <v>6.3458587999999996E-2</v>
      </c>
      <c r="AA42">
        <v>6.3206232000000001E-2</v>
      </c>
      <c r="AB42">
        <v>6.3082444000000001E-2</v>
      </c>
      <c r="AC42">
        <v>-1.7068243354986471E-2</v>
      </c>
      <c r="AG42" s="67"/>
    </row>
    <row r="43" spans="1:33" x14ac:dyDescent="0.45">
      <c r="A43" t="s">
        <v>108</v>
      </c>
      <c r="B43" t="s">
        <v>109</v>
      </c>
      <c r="C43">
        <v>0.15743579199999999</v>
      </c>
      <c r="D43">
        <v>0.15289734399999999</v>
      </c>
      <c r="E43">
        <v>0.15377766400000001</v>
      </c>
      <c r="F43">
        <v>0.154119168</v>
      </c>
      <c r="G43">
        <v>0.15401436800000001</v>
      </c>
      <c r="H43">
        <v>0.15365110400000001</v>
      </c>
      <c r="I43">
        <v>0.15306988799999999</v>
      </c>
      <c r="J43">
        <v>0.15265783999999999</v>
      </c>
      <c r="K43">
        <v>0.152172368</v>
      </c>
      <c r="L43">
        <v>0.15165830399999999</v>
      </c>
      <c r="M43">
        <v>0.15102332800000001</v>
      </c>
      <c r="N43">
        <v>0.15022961600000001</v>
      </c>
      <c r="O43">
        <v>0.14910772799999999</v>
      </c>
      <c r="P43">
        <v>0.147685712</v>
      </c>
      <c r="Q43">
        <v>0.145907232</v>
      </c>
      <c r="R43">
        <v>0.14382793599999999</v>
      </c>
      <c r="S43">
        <v>0.14144376</v>
      </c>
      <c r="T43">
        <v>0.13901844799999999</v>
      </c>
      <c r="U43">
        <v>0.13644356799999999</v>
      </c>
      <c r="V43">
        <v>0.133819296</v>
      </c>
      <c r="W43">
        <v>0.13125719199999999</v>
      </c>
      <c r="X43">
        <v>0.12870858399999999</v>
      </c>
      <c r="Y43">
        <v>0.12613221599999999</v>
      </c>
      <c r="Z43">
        <v>0.12373096</v>
      </c>
      <c r="AA43">
        <v>0.12151582399999999</v>
      </c>
      <c r="AB43">
        <v>0.119520032</v>
      </c>
      <c r="AC43">
        <v>-1.096083609828913E-2</v>
      </c>
      <c r="AG43" s="67"/>
    </row>
    <row r="44" spans="1:33" x14ac:dyDescent="0.45">
      <c r="A44" t="s">
        <v>110</v>
      </c>
      <c r="B44" t="s">
        <v>125</v>
      </c>
      <c r="C44">
        <v>2.031976448</v>
      </c>
      <c r="D44">
        <v>2.049780352</v>
      </c>
      <c r="E44">
        <v>1.951656448</v>
      </c>
      <c r="F44">
        <v>1.9885809919999999</v>
      </c>
      <c r="G44">
        <v>2.0226928640000001</v>
      </c>
      <c r="H44">
        <v>2.05212416</v>
      </c>
      <c r="I44">
        <v>2.0794380800000001</v>
      </c>
      <c r="J44">
        <v>2.1075018239999999</v>
      </c>
      <c r="K44">
        <v>2.136621184</v>
      </c>
      <c r="L44">
        <v>2.16900352</v>
      </c>
      <c r="M44">
        <v>2.2028142079999999</v>
      </c>
      <c r="N44">
        <v>2.2369771520000001</v>
      </c>
      <c r="O44">
        <v>2.2721592319999999</v>
      </c>
      <c r="P44">
        <v>2.3081410560000002</v>
      </c>
      <c r="Q44">
        <v>2.3438041599999999</v>
      </c>
      <c r="R44">
        <v>2.375345152</v>
      </c>
      <c r="S44">
        <v>2.4092917759999999</v>
      </c>
      <c r="T44">
        <v>2.4448616959999998</v>
      </c>
      <c r="U44">
        <v>2.4824565760000001</v>
      </c>
      <c r="V44">
        <v>2.5210204159999998</v>
      </c>
      <c r="W44">
        <v>2.5556628479999999</v>
      </c>
      <c r="X44">
        <v>2.5940464639999998</v>
      </c>
      <c r="Y44">
        <v>2.6318520319999998</v>
      </c>
      <c r="Z44">
        <v>2.6698111999999998</v>
      </c>
      <c r="AA44">
        <v>2.7089420799999999</v>
      </c>
      <c r="AB44">
        <v>2.7488279040000001</v>
      </c>
      <c r="AC44">
        <v>1.2159965044791219E-2</v>
      </c>
      <c r="AG44" s="67"/>
    </row>
    <row r="45" spans="1:33" x14ac:dyDescent="0.45">
      <c r="A45" t="s">
        <v>112</v>
      </c>
      <c r="B45" t="s">
        <v>882</v>
      </c>
      <c r="C45">
        <v>5.3316213720000007</v>
      </c>
      <c r="D45">
        <v>5.3623669799999991</v>
      </c>
      <c r="E45">
        <v>5.2717369199999986</v>
      </c>
      <c r="F45">
        <v>5.3177383119999986</v>
      </c>
      <c r="G45">
        <v>5.3427270600000014</v>
      </c>
      <c r="H45">
        <v>5.3451493600000006</v>
      </c>
      <c r="I45">
        <v>5.3415670039999998</v>
      </c>
      <c r="J45">
        <v>5.3418360180000004</v>
      </c>
      <c r="K45">
        <v>5.347222038</v>
      </c>
      <c r="L45">
        <v>5.3599476419999998</v>
      </c>
      <c r="M45">
        <v>5.3780041940000007</v>
      </c>
      <c r="N45">
        <v>5.4010543260000006</v>
      </c>
      <c r="O45">
        <v>5.4282283400000004</v>
      </c>
      <c r="P45">
        <v>5.4599227380000013</v>
      </c>
      <c r="Q45">
        <v>5.4944391539999993</v>
      </c>
      <c r="R45">
        <v>5.525149442</v>
      </c>
      <c r="S45">
        <v>5.5618986719999999</v>
      </c>
      <c r="T45">
        <v>5.6055650739999994</v>
      </c>
      <c r="U45">
        <v>5.6555581939999993</v>
      </c>
      <c r="V45">
        <v>5.7074848999999999</v>
      </c>
      <c r="W45">
        <v>5.7576741820000006</v>
      </c>
      <c r="X45">
        <v>5.810944718</v>
      </c>
      <c r="Y45">
        <v>5.8628346639999993</v>
      </c>
      <c r="Z45">
        <v>5.9148232500000004</v>
      </c>
      <c r="AA45">
        <v>5.9698897759999996</v>
      </c>
      <c r="AB45">
        <v>6.0259786520000009</v>
      </c>
      <c r="AC45">
        <v>4.9089901546321979E-3</v>
      </c>
      <c r="AG45" s="67"/>
    </row>
    <row r="46" spans="1:33" x14ac:dyDescent="0.45">
      <c r="A46" t="s">
        <v>883</v>
      </c>
      <c r="B46" t="s">
        <v>884</v>
      </c>
      <c r="C46">
        <v>7.0134922862052917E-2</v>
      </c>
      <c r="D46">
        <v>9.1486945748329163E-2</v>
      </c>
      <c r="E46">
        <v>0.1193008199334145</v>
      </c>
      <c r="F46">
        <v>0.15019077062606809</v>
      </c>
      <c r="G46">
        <v>0.18050052225589749</v>
      </c>
      <c r="H46">
        <v>0.20873008668422699</v>
      </c>
      <c r="I46">
        <v>0.23311989009380341</v>
      </c>
      <c r="J46">
        <v>0.25518804788589478</v>
      </c>
      <c r="K46">
        <v>0.2769947350025177</v>
      </c>
      <c r="L46">
        <v>0.29923674464225769</v>
      </c>
      <c r="M46">
        <v>0.32176563143730158</v>
      </c>
      <c r="N46">
        <v>0.3443218469619751</v>
      </c>
      <c r="O46">
        <v>0.36690127849578857</v>
      </c>
      <c r="P46">
        <v>0.38932192325592041</v>
      </c>
      <c r="Q46">
        <v>0.41114059090614319</v>
      </c>
      <c r="R46">
        <v>0.43246880173683172</v>
      </c>
      <c r="S46">
        <v>0.4527735710144043</v>
      </c>
      <c r="T46">
        <v>0.47238817811012268</v>
      </c>
      <c r="U46">
        <v>0.49130412936210632</v>
      </c>
      <c r="V46">
        <v>0.50966900587081909</v>
      </c>
      <c r="W46">
        <v>0.52751326560974121</v>
      </c>
      <c r="X46">
        <v>0.54464465379714966</v>
      </c>
      <c r="Y46">
        <v>0.56095385551452637</v>
      </c>
      <c r="Z46">
        <v>0.57689332962036133</v>
      </c>
      <c r="AA46">
        <v>0.59221106767654419</v>
      </c>
      <c r="AB46">
        <v>0.60719448328018188</v>
      </c>
      <c r="AC46">
        <v>9.0173798143279749E-2</v>
      </c>
      <c r="AG46" s="67"/>
    </row>
    <row r="47" spans="1:33" x14ac:dyDescent="0.45">
      <c r="A47" t="s">
        <v>114</v>
      </c>
      <c r="B47" t="s">
        <v>115</v>
      </c>
      <c r="C47">
        <v>0.18513305485248571</v>
      </c>
      <c r="D47">
        <v>0.19618113338947299</v>
      </c>
      <c r="E47">
        <v>0.20806993544101721</v>
      </c>
      <c r="F47">
        <v>0.2202898561954498</v>
      </c>
      <c r="G47">
        <v>0.23191364109516141</v>
      </c>
      <c r="H47">
        <v>0.24404700100421911</v>
      </c>
      <c r="I47">
        <v>0.25698700547218323</v>
      </c>
      <c r="J47">
        <v>0.26999360322952271</v>
      </c>
      <c r="K47">
        <v>0.28355693817138672</v>
      </c>
      <c r="L47">
        <v>0.29791304469108582</v>
      </c>
      <c r="M47">
        <v>0.31315085291862488</v>
      </c>
      <c r="N47">
        <v>0.32913258671760559</v>
      </c>
      <c r="O47">
        <v>0.3461628258228302</v>
      </c>
      <c r="P47">
        <v>0.36398994922637939</v>
      </c>
      <c r="Q47">
        <v>0.38263362646102911</v>
      </c>
      <c r="R47">
        <v>0.40191635489463812</v>
      </c>
      <c r="S47">
        <v>0.42191752791404719</v>
      </c>
      <c r="T47">
        <v>0.44253355264663702</v>
      </c>
      <c r="U47">
        <v>0.46366396546363831</v>
      </c>
      <c r="V47">
        <v>0.48558345437049871</v>
      </c>
      <c r="W47">
        <v>0.50805890560150146</v>
      </c>
      <c r="X47">
        <v>0.53128021955490112</v>
      </c>
      <c r="Y47">
        <v>0.55522787570953369</v>
      </c>
      <c r="Z47">
        <v>0.58007967472076416</v>
      </c>
      <c r="AA47">
        <v>0.60541057586669922</v>
      </c>
      <c r="AB47">
        <v>0.63153308629989624</v>
      </c>
      <c r="AC47">
        <v>5.0307545821676403E-2</v>
      </c>
      <c r="AG47" s="67"/>
    </row>
    <row r="48" spans="1:33" x14ac:dyDescent="0.45">
      <c r="A48" t="s">
        <v>116</v>
      </c>
      <c r="B48" t="s">
        <v>885</v>
      </c>
      <c r="C48">
        <v>5.216623240009568</v>
      </c>
      <c r="D48">
        <v>5.2576727923588553</v>
      </c>
      <c r="E48">
        <v>5.1829678044923968</v>
      </c>
      <c r="F48">
        <v>5.2476392264306178</v>
      </c>
      <c r="G48">
        <v>5.2913139411607366</v>
      </c>
      <c r="H48">
        <v>5.3098324456800086</v>
      </c>
      <c r="I48">
        <v>5.31769988862162</v>
      </c>
      <c r="J48">
        <v>5.3270304626563716</v>
      </c>
      <c r="K48">
        <v>5.3406598348311309</v>
      </c>
      <c r="L48">
        <v>5.3612713419511717</v>
      </c>
      <c r="M48">
        <v>5.3866189725186766</v>
      </c>
      <c r="N48">
        <v>5.4162435862443701</v>
      </c>
      <c r="O48">
        <v>5.4489667926729588</v>
      </c>
      <c r="P48">
        <v>5.4852547120295423</v>
      </c>
      <c r="Q48">
        <v>5.5229461184451134</v>
      </c>
      <c r="R48">
        <v>5.5557018888421936</v>
      </c>
      <c r="S48">
        <v>5.5927547151003569</v>
      </c>
      <c r="T48">
        <v>5.6354196994634851</v>
      </c>
      <c r="U48">
        <v>5.6831983578984673</v>
      </c>
      <c r="V48">
        <v>5.7315704515003203</v>
      </c>
      <c r="W48">
        <v>5.7771285420082403</v>
      </c>
      <c r="X48">
        <v>5.8243091522422494</v>
      </c>
      <c r="Y48">
        <v>5.868560643804992</v>
      </c>
      <c r="Z48">
        <v>5.9116369048995976</v>
      </c>
      <c r="AA48">
        <v>5.9566902678098446</v>
      </c>
      <c r="AB48">
        <v>6.0016400489802866</v>
      </c>
      <c r="AC48">
        <v>5.6230491125790483E-3</v>
      </c>
    </row>
    <row r="49" spans="1:33" x14ac:dyDescent="0.45">
      <c r="AG49" s="67"/>
    </row>
    <row r="50" spans="1:33" x14ac:dyDescent="0.45">
      <c r="B50" t="s">
        <v>118</v>
      </c>
      <c r="AG50" s="67"/>
    </row>
    <row r="51" spans="1:33" x14ac:dyDescent="0.45">
      <c r="A51" t="s">
        <v>119</v>
      </c>
      <c r="B51" t="s">
        <v>85</v>
      </c>
      <c r="C51">
        <v>3.118029312</v>
      </c>
      <c r="D51">
        <v>2.929732096</v>
      </c>
      <c r="E51">
        <v>3.0470679039999999</v>
      </c>
      <c r="F51">
        <v>3.0283389440000001</v>
      </c>
      <c r="G51">
        <v>2.9919605759999999</v>
      </c>
      <c r="H51">
        <v>2.9475128320000001</v>
      </c>
      <c r="I51">
        <v>2.900389632</v>
      </c>
      <c r="J51">
        <v>2.8565015040000001</v>
      </c>
      <c r="K51">
        <v>2.8131284480000001</v>
      </c>
      <c r="L51">
        <v>2.772394496</v>
      </c>
      <c r="M51">
        <v>2.7328186880000001</v>
      </c>
      <c r="N51">
        <v>2.6957132800000001</v>
      </c>
      <c r="O51">
        <v>2.6580510720000001</v>
      </c>
      <c r="P51">
        <v>2.622240256</v>
      </c>
      <c r="Q51">
        <v>2.5871393280000001</v>
      </c>
      <c r="R51">
        <v>2.5533125120000002</v>
      </c>
      <c r="S51">
        <v>2.519939328</v>
      </c>
      <c r="T51">
        <v>2.4903383039999998</v>
      </c>
      <c r="U51">
        <v>2.4626063359999999</v>
      </c>
      <c r="V51">
        <v>2.4366440960000002</v>
      </c>
      <c r="W51">
        <v>2.412092672</v>
      </c>
      <c r="X51">
        <v>2.3866539520000001</v>
      </c>
      <c r="Y51">
        <v>2.3599639039999998</v>
      </c>
      <c r="Z51">
        <v>2.3336017920000001</v>
      </c>
      <c r="AA51">
        <v>2.30767744</v>
      </c>
      <c r="AB51">
        <v>2.2826296319999999</v>
      </c>
      <c r="AC51">
        <v>-1.2397432551546791E-2</v>
      </c>
      <c r="AG51" s="67"/>
    </row>
    <row r="52" spans="1:33" x14ac:dyDescent="0.45">
      <c r="A52" t="s">
        <v>120</v>
      </c>
      <c r="B52" t="s">
        <v>87</v>
      </c>
      <c r="C52">
        <v>5.8598367999999998E-2</v>
      </c>
      <c r="D52">
        <v>6.2154656000000003E-2</v>
      </c>
      <c r="E52">
        <v>6.2590276E-2</v>
      </c>
      <c r="F52">
        <v>6.2752188E-2</v>
      </c>
      <c r="G52">
        <v>6.271148E-2</v>
      </c>
      <c r="H52">
        <v>6.2575855999999999E-2</v>
      </c>
      <c r="I52">
        <v>6.2453203999999998E-2</v>
      </c>
      <c r="J52">
        <v>6.2430064E-2</v>
      </c>
      <c r="K52">
        <v>6.2446396000000001E-2</v>
      </c>
      <c r="L52">
        <v>6.2544996000000005E-2</v>
      </c>
      <c r="M52">
        <v>6.2666996000000003E-2</v>
      </c>
      <c r="N52">
        <v>6.2853296000000003E-2</v>
      </c>
      <c r="O52">
        <v>6.3069548000000003E-2</v>
      </c>
      <c r="P52">
        <v>6.3308059999999999E-2</v>
      </c>
      <c r="Q52">
        <v>6.3571704000000007E-2</v>
      </c>
      <c r="R52">
        <v>6.3894231999999995E-2</v>
      </c>
      <c r="S52">
        <v>6.4258975999999995E-2</v>
      </c>
      <c r="T52">
        <v>6.4725168E-2</v>
      </c>
      <c r="U52">
        <v>6.5211411999999996E-2</v>
      </c>
      <c r="V52">
        <v>6.5680888000000007E-2</v>
      </c>
      <c r="W52">
        <v>6.6162064000000007E-2</v>
      </c>
      <c r="X52">
        <v>6.6587255999999997E-2</v>
      </c>
      <c r="Y52">
        <v>6.6993116000000005E-2</v>
      </c>
      <c r="Z52">
        <v>6.7365248000000003E-2</v>
      </c>
      <c r="AA52">
        <v>6.7758520000000003E-2</v>
      </c>
      <c r="AB52">
        <v>6.8145159999999996E-2</v>
      </c>
      <c r="AC52">
        <v>6.055592995690473E-3</v>
      </c>
      <c r="AG52" s="67"/>
    </row>
    <row r="53" spans="1:33" x14ac:dyDescent="0.45">
      <c r="A53" t="s">
        <v>121</v>
      </c>
      <c r="B53" t="s">
        <v>89</v>
      </c>
      <c r="C53">
        <v>1.0242655359999999</v>
      </c>
      <c r="D53">
        <v>1.0351788799999999</v>
      </c>
      <c r="E53">
        <v>1.0454208</v>
      </c>
      <c r="F53">
        <v>1.05518592</v>
      </c>
      <c r="G53">
        <v>1.053344128</v>
      </c>
      <c r="H53">
        <v>1.049760896</v>
      </c>
      <c r="I53">
        <v>1.0468996479999999</v>
      </c>
      <c r="J53">
        <v>1.045200192</v>
      </c>
      <c r="K53">
        <v>1.042567424</v>
      </c>
      <c r="L53">
        <v>1.041999296</v>
      </c>
      <c r="M53">
        <v>1.04300736</v>
      </c>
      <c r="N53">
        <v>1.0435045119999999</v>
      </c>
      <c r="O53">
        <v>1.043020928</v>
      </c>
      <c r="P53">
        <v>1.0422154239999999</v>
      </c>
      <c r="Q53">
        <v>1.0409104</v>
      </c>
      <c r="R53">
        <v>1.039288896</v>
      </c>
      <c r="S53">
        <v>1.037015552</v>
      </c>
      <c r="T53">
        <v>1.034723072</v>
      </c>
      <c r="U53">
        <v>1.032110976</v>
      </c>
      <c r="V53">
        <v>1.029129344</v>
      </c>
      <c r="W53">
        <v>1.0254291200000001</v>
      </c>
      <c r="X53">
        <v>1.0206722560000001</v>
      </c>
      <c r="Y53">
        <v>1.015128832</v>
      </c>
      <c r="Z53">
        <v>1.009384064</v>
      </c>
      <c r="AA53">
        <v>1.0039144959999999</v>
      </c>
      <c r="AB53">
        <v>0.99913017599999998</v>
      </c>
      <c r="AC53">
        <v>-9.9334662499550586E-4</v>
      </c>
    </row>
    <row r="54" spans="1:33" x14ac:dyDescent="0.45">
      <c r="A54" t="s">
        <v>122</v>
      </c>
      <c r="B54" t="s">
        <v>93</v>
      </c>
      <c r="C54">
        <v>7.7267743999999999E-2</v>
      </c>
      <c r="D54">
        <v>7.7256063999999999E-2</v>
      </c>
      <c r="E54">
        <v>7.7246512000000003E-2</v>
      </c>
      <c r="F54">
        <v>7.7222351999999994E-2</v>
      </c>
      <c r="G54">
        <v>7.7195215999999997E-2</v>
      </c>
      <c r="H54">
        <v>7.7166808000000003E-2</v>
      </c>
      <c r="I54">
        <v>7.7124479999999995E-2</v>
      </c>
      <c r="J54">
        <v>7.7065343999999994E-2</v>
      </c>
      <c r="K54">
        <v>7.7005928000000001E-2</v>
      </c>
      <c r="L54">
        <v>7.6969895999999996E-2</v>
      </c>
      <c r="M54">
        <v>7.6962048000000005E-2</v>
      </c>
      <c r="N54">
        <v>7.6990775999999997E-2</v>
      </c>
      <c r="O54">
        <v>7.7060383999999996E-2</v>
      </c>
      <c r="P54">
        <v>7.7216536000000002E-2</v>
      </c>
      <c r="Q54">
        <v>7.7432303999999993E-2</v>
      </c>
      <c r="R54">
        <v>7.7711552000000003E-2</v>
      </c>
      <c r="S54">
        <v>7.8045175999999994E-2</v>
      </c>
      <c r="T54">
        <v>7.8430440000000004E-2</v>
      </c>
      <c r="U54">
        <v>7.8815583999999994E-2</v>
      </c>
      <c r="V54">
        <v>7.9202544E-2</v>
      </c>
      <c r="W54">
        <v>7.9598823999999999E-2</v>
      </c>
      <c r="X54">
        <v>8.0006376000000004E-2</v>
      </c>
      <c r="Y54">
        <v>8.0424376000000006E-2</v>
      </c>
      <c r="Z54">
        <v>8.0854527999999995E-2</v>
      </c>
      <c r="AA54">
        <v>8.1298848000000007E-2</v>
      </c>
      <c r="AB54">
        <v>8.1760856000000007E-2</v>
      </c>
      <c r="AC54">
        <v>2.263438152300123E-3</v>
      </c>
      <c r="AG54" s="67"/>
    </row>
    <row r="55" spans="1:33" x14ac:dyDescent="0.45">
      <c r="A55" t="s">
        <v>123</v>
      </c>
      <c r="B55" t="s">
        <v>95</v>
      </c>
      <c r="C55">
        <v>3.9573959999999998E-2</v>
      </c>
      <c r="D55">
        <v>4.0283911999999998E-2</v>
      </c>
      <c r="E55">
        <v>4.0920216000000002E-2</v>
      </c>
      <c r="F55">
        <v>4.1544143999999998E-2</v>
      </c>
      <c r="G55">
        <v>4.2108663999999997E-2</v>
      </c>
      <c r="H55">
        <v>4.2643227999999998E-2</v>
      </c>
      <c r="I55">
        <v>4.3186955999999999E-2</v>
      </c>
      <c r="J55">
        <v>4.3759324000000002E-2</v>
      </c>
      <c r="K55">
        <v>4.420806E-2</v>
      </c>
      <c r="L55">
        <v>4.4701355999999998E-2</v>
      </c>
      <c r="M55">
        <v>4.5237623999999997E-2</v>
      </c>
      <c r="N55">
        <v>4.5825655999999999E-2</v>
      </c>
      <c r="O55">
        <v>4.6395935999999999E-2</v>
      </c>
      <c r="P55">
        <v>4.6977848000000003E-2</v>
      </c>
      <c r="Q55">
        <v>4.7561140000000002E-2</v>
      </c>
      <c r="R55">
        <v>4.8145871999999999E-2</v>
      </c>
      <c r="S55">
        <v>4.8723816000000003E-2</v>
      </c>
      <c r="T55">
        <v>4.9351908E-2</v>
      </c>
      <c r="U55">
        <v>5.0014775999999997E-2</v>
      </c>
      <c r="V55">
        <v>5.0706528000000001E-2</v>
      </c>
      <c r="W55">
        <v>5.1405520000000003E-2</v>
      </c>
      <c r="X55">
        <v>5.2087891999999997E-2</v>
      </c>
      <c r="Y55">
        <v>5.2755844000000003E-2</v>
      </c>
      <c r="Z55">
        <v>5.3424048000000002E-2</v>
      </c>
      <c r="AA55">
        <v>5.4099875999999998E-2</v>
      </c>
      <c r="AB55">
        <v>5.4789400000000002E-2</v>
      </c>
      <c r="AC55">
        <v>1.3098054503162929E-2</v>
      </c>
      <c r="AG55" s="67"/>
    </row>
    <row r="56" spans="1:33" x14ac:dyDescent="0.45">
      <c r="A56" t="s">
        <v>124</v>
      </c>
      <c r="B56" t="s">
        <v>139</v>
      </c>
      <c r="C56">
        <v>0.60834560000000004</v>
      </c>
      <c r="D56">
        <v>0.61166591999999997</v>
      </c>
      <c r="E56">
        <v>0.61394630400000005</v>
      </c>
      <c r="F56">
        <v>0.61501363200000003</v>
      </c>
      <c r="G56">
        <v>0.61462041599999995</v>
      </c>
      <c r="H56">
        <v>0.61321504000000004</v>
      </c>
      <c r="I56">
        <v>0.61157491200000003</v>
      </c>
      <c r="J56">
        <v>0.61024972799999999</v>
      </c>
      <c r="K56">
        <v>0.60843251200000004</v>
      </c>
      <c r="L56">
        <v>0.60708844799999995</v>
      </c>
      <c r="M56">
        <v>0.60590003199999998</v>
      </c>
      <c r="N56">
        <v>0.60509100800000004</v>
      </c>
      <c r="O56">
        <v>0.60413382400000004</v>
      </c>
      <c r="P56">
        <v>0.603321408</v>
      </c>
      <c r="Q56">
        <v>0.60255628800000005</v>
      </c>
      <c r="R56">
        <v>0.60190777600000001</v>
      </c>
      <c r="S56">
        <v>0.60136454399999995</v>
      </c>
      <c r="T56">
        <v>0.60120902399999998</v>
      </c>
      <c r="U56">
        <v>0.60129600000000005</v>
      </c>
      <c r="V56">
        <v>0.60158265600000005</v>
      </c>
      <c r="W56">
        <v>0.60179142399999996</v>
      </c>
      <c r="X56">
        <v>0.60165894399999997</v>
      </c>
      <c r="Y56">
        <v>0.60125036799999998</v>
      </c>
      <c r="Z56">
        <v>0.60075871999999997</v>
      </c>
      <c r="AA56">
        <v>0.60029504</v>
      </c>
      <c r="AB56">
        <v>0.59991673599999995</v>
      </c>
      <c r="AC56">
        <v>-5.5793506734624909E-4</v>
      </c>
      <c r="AG56" s="67"/>
    </row>
    <row r="57" spans="1:33" x14ac:dyDescent="0.45">
      <c r="A57" t="s">
        <v>126</v>
      </c>
      <c r="B57" t="s">
        <v>127</v>
      </c>
      <c r="C57">
        <v>4.9260802268981934</v>
      </c>
      <c r="D57">
        <v>4.7562723159790039</v>
      </c>
      <c r="E57">
        <v>4.8871927261352539</v>
      </c>
      <c r="F57">
        <v>4.8800573348999023</v>
      </c>
      <c r="G57">
        <v>4.8419408798217773</v>
      </c>
      <c r="H57">
        <v>4.792874813079834</v>
      </c>
      <c r="I57">
        <v>4.7416291236877441</v>
      </c>
      <c r="J57">
        <v>4.6952061653137207</v>
      </c>
      <c r="K57">
        <v>4.6477890014648438</v>
      </c>
      <c r="L57">
        <v>4.6056985855102539</v>
      </c>
      <c r="M57">
        <v>4.5665931701660156</v>
      </c>
      <c r="N57">
        <v>4.5299792289733887</v>
      </c>
      <c r="O57">
        <v>4.491732120513916</v>
      </c>
      <c r="P57">
        <v>4.4552803039550781</v>
      </c>
      <c r="Q57">
        <v>4.4191713333129883</v>
      </c>
      <c r="R57">
        <v>4.3842606544494629</v>
      </c>
      <c r="S57">
        <v>4.3493475914001456</v>
      </c>
      <c r="T57">
        <v>4.3187780380249023</v>
      </c>
      <c r="U57">
        <v>4.2900552749633789</v>
      </c>
      <c r="V57">
        <v>4.2629461288452148</v>
      </c>
      <c r="W57">
        <v>4.2364802360534668</v>
      </c>
      <c r="X57">
        <v>4.2076668739318848</v>
      </c>
      <c r="Y57">
        <v>4.1765165328979492</v>
      </c>
      <c r="Z57">
        <v>4.1453886032104492</v>
      </c>
      <c r="AA57">
        <v>4.1150445938110352</v>
      </c>
      <c r="AB57">
        <v>4.086371898651123</v>
      </c>
      <c r="AC57">
        <v>-7.4475714078754418E-3</v>
      </c>
      <c r="AG57" s="67"/>
    </row>
    <row r="58" spans="1:33" x14ac:dyDescent="0.45">
      <c r="AG58" s="67"/>
    </row>
    <row r="59" spans="1:33" x14ac:dyDescent="0.45">
      <c r="B59" t="s">
        <v>886</v>
      </c>
      <c r="AG59" s="67"/>
    </row>
    <row r="60" spans="1:33" x14ac:dyDescent="0.45">
      <c r="A60" t="s">
        <v>129</v>
      </c>
      <c r="B60" t="s">
        <v>85</v>
      </c>
      <c r="C60">
        <v>0.42536784</v>
      </c>
      <c r="D60">
        <v>0.409160896</v>
      </c>
      <c r="E60">
        <v>0.40481756800000002</v>
      </c>
      <c r="F60">
        <v>0.39842924800000001</v>
      </c>
      <c r="G60">
        <v>0.39159583999999997</v>
      </c>
      <c r="H60">
        <v>0.38541782400000002</v>
      </c>
      <c r="I60">
        <v>0.37914031999999998</v>
      </c>
      <c r="J60">
        <v>0.37317808000000002</v>
      </c>
      <c r="K60">
        <v>0.367289792</v>
      </c>
      <c r="L60">
        <v>0.36187728000000002</v>
      </c>
      <c r="M60">
        <v>0.35654764799999999</v>
      </c>
      <c r="N60">
        <v>0.35143584</v>
      </c>
      <c r="O60">
        <v>0.34647817600000003</v>
      </c>
      <c r="P60">
        <v>0.34170550399999999</v>
      </c>
      <c r="Q60">
        <v>0.33711088</v>
      </c>
      <c r="R60">
        <v>0.33257625600000001</v>
      </c>
      <c r="S60">
        <v>0.32808076800000002</v>
      </c>
      <c r="T60">
        <v>0.32377766400000002</v>
      </c>
      <c r="U60">
        <v>0.31953401599999998</v>
      </c>
      <c r="V60">
        <v>0.31542748799999998</v>
      </c>
      <c r="W60">
        <v>0.31137142400000001</v>
      </c>
      <c r="X60">
        <v>0.30740188800000001</v>
      </c>
      <c r="Y60">
        <v>0.30341849599999998</v>
      </c>
      <c r="Z60">
        <v>0.299458528</v>
      </c>
      <c r="AA60">
        <v>0.29552342399999998</v>
      </c>
      <c r="AB60">
        <v>0.29172918399999997</v>
      </c>
      <c r="AC60">
        <v>-1.497192455298002E-2</v>
      </c>
    </row>
    <row r="61" spans="1:33" x14ac:dyDescent="0.45">
      <c r="A61" t="s">
        <v>130</v>
      </c>
      <c r="B61" t="s">
        <v>89</v>
      </c>
      <c r="C61">
        <v>3.7856924E-2</v>
      </c>
      <c r="D61">
        <v>3.5875452000000002E-2</v>
      </c>
      <c r="E61">
        <v>3.3764559999999999E-2</v>
      </c>
      <c r="F61">
        <v>3.1760318000000003E-2</v>
      </c>
      <c r="G61">
        <v>2.9821963999999999E-2</v>
      </c>
      <c r="H61">
        <v>2.8182556000000001E-2</v>
      </c>
      <c r="I61">
        <v>2.6771066E-2</v>
      </c>
      <c r="J61">
        <v>2.5623322E-2</v>
      </c>
      <c r="K61">
        <v>2.4712479999999998E-2</v>
      </c>
      <c r="L61">
        <v>2.4074603999999999E-2</v>
      </c>
      <c r="M61">
        <v>2.3676277999999999E-2</v>
      </c>
      <c r="N61">
        <v>2.3233988000000001E-2</v>
      </c>
      <c r="O61">
        <v>2.2777892000000001E-2</v>
      </c>
      <c r="P61">
        <v>2.2309217999999999E-2</v>
      </c>
      <c r="Q61">
        <v>2.1833941999999999E-2</v>
      </c>
      <c r="R61">
        <v>2.1354017999999999E-2</v>
      </c>
      <c r="S61">
        <v>2.0862208E-2</v>
      </c>
      <c r="T61">
        <v>2.0367122000000001E-2</v>
      </c>
      <c r="U61">
        <v>1.9869511999999999E-2</v>
      </c>
      <c r="V61">
        <v>1.9371581999999998E-2</v>
      </c>
      <c r="W61">
        <v>1.8869574E-2</v>
      </c>
      <c r="X61">
        <v>1.8372125999999999E-2</v>
      </c>
      <c r="Y61">
        <v>1.7880828000000001E-2</v>
      </c>
      <c r="Z61">
        <v>1.7401414E-2</v>
      </c>
      <c r="AA61">
        <v>1.6940015999999999E-2</v>
      </c>
      <c r="AB61">
        <v>1.6508926E-2</v>
      </c>
      <c r="AC61">
        <v>-3.2651550467683747E-2</v>
      </c>
      <c r="AG61" s="67"/>
    </row>
    <row r="62" spans="1:33" x14ac:dyDescent="0.45">
      <c r="A62" t="s">
        <v>131</v>
      </c>
      <c r="B62" t="s">
        <v>887</v>
      </c>
      <c r="C62">
        <v>2.605526E-2</v>
      </c>
      <c r="D62">
        <v>2.6323658E-2</v>
      </c>
      <c r="E62">
        <v>2.6369386000000002E-2</v>
      </c>
      <c r="F62">
        <v>2.6309869999999999E-2</v>
      </c>
      <c r="G62">
        <v>2.6205866000000001E-2</v>
      </c>
      <c r="H62">
        <v>2.6145310000000001E-2</v>
      </c>
      <c r="I62">
        <v>2.6071268000000002E-2</v>
      </c>
      <c r="J62">
        <v>2.6010390000000001E-2</v>
      </c>
      <c r="K62">
        <v>2.5942750000000001E-2</v>
      </c>
      <c r="L62">
        <v>2.5899246000000001E-2</v>
      </c>
      <c r="M62">
        <v>2.5848791999999999E-2</v>
      </c>
      <c r="N62">
        <v>2.5802875999999999E-2</v>
      </c>
      <c r="O62">
        <v>2.5762488E-2</v>
      </c>
      <c r="P62">
        <v>2.5723826000000002E-2</v>
      </c>
      <c r="Q62">
        <v>2.5689788000000002E-2</v>
      </c>
      <c r="R62">
        <v>2.5656688E-2</v>
      </c>
      <c r="S62">
        <v>2.5618281999999999E-2</v>
      </c>
      <c r="T62">
        <v>2.5582908000000001E-2</v>
      </c>
      <c r="U62">
        <v>2.5548856000000002E-2</v>
      </c>
      <c r="V62">
        <v>2.5516258E-2</v>
      </c>
      <c r="W62">
        <v>2.5476874E-2</v>
      </c>
      <c r="X62">
        <v>2.5437815999999999E-2</v>
      </c>
      <c r="Y62">
        <v>2.5395692000000001E-2</v>
      </c>
      <c r="Z62">
        <v>2.5351438E-2</v>
      </c>
      <c r="AA62">
        <v>2.5306002000000001E-2</v>
      </c>
      <c r="AB62">
        <v>2.5270761999999999E-2</v>
      </c>
      <c r="AC62">
        <v>-1.2221162838391699E-3</v>
      </c>
      <c r="AG62" s="67"/>
    </row>
    <row r="63" spans="1:33" x14ac:dyDescent="0.45">
      <c r="A63" t="s">
        <v>133</v>
      </c>
      <c r="B63" t="s">
        <v>127</v>
      </c>
      <c r="C63">
        <v>0.48928001523017878</v>
      </c>
      <c r="D63">
        <v>0.47136002779006958</v>
      </c>
      <c r="E63">
        <v>0.46495157480239868</v>
      </c>
      <c r="F63">
        <v>0.45649954676628107</v>
      </c>
      <c r="G63">
        <v>0.44762369990348821</v>
      </c>
      <c r="H63">
        <v>0.43974563479423517</v>
      </c>
      <c r="I63">
        <v>0.43198266625404358</v>
      </c>
      <c r="J63">
        <v>0.42481181025505071</v>
      </c>
      <c r="K63">
        <v>0.41794514656066889</v>
      </c>
      <c r="L63">
        <v>0.41185116767883301</v>
      </c>
      <c r="M63">
        <v>0.4060727059841156</v>
      </c>
      <c r="N63">
        <v>0.40047276020050049</v>
      </c>
      <c r="O63">
        <v>0.39501944184303278</v>
      </c>
      <c r="P63">
        <v>0.3897416889667511</v>
      </c>
      <c r="Q63">
        <v>0.38464006781578058</v>
      </c>
      <c r="R63">
        <v>0.37959465384483337</v>
      </c>
      <c r="S63">
        <v>0.37457168102264399</v>
      </c>
      <c r="T63">
        <v>0.36974090337753301</v>
      </c>
      <c r="U63">
        <v>0.36496850848197943</v>
      </c>
      <c r="V63">
        <v>0.36033466458320618</v>
      </c>
      <c r="W63">
        <v>0.35574036836624151</v>
      </c>
      <c r="X63">
        <v>0.35123756527900701</v>
      </c>
      <c r="Y63">
        <v>0.34672409296035772</v>
      </c>
      <c r="Z63">
        <v>0.34224361181259161</v>
      </c>
      <c r="AA63">
        <v>0.33780473470687872</v>
      </c>
      <c r="AB63">
        <v>0.33354681730270391</v>
      </c>
      <c r="AC63">
        <v>-1.5209222169628391E-2</v>
      </c>
      <c r="AG63" s="67"/>
    </row>
    <row r="64" spans="1:33" x14ac:dyDescent="0.45">
      <c r="AG64" s="67"/>
    </row>
    <row r="65" spans="1:33" x14ac:dyDescent="0.45">
      <c r="B65" t="s">
        <v>134</v>
      </c>
      <c r="AG65" s="67"/>
    </row>
    <row r="66" spans="1:33" x14ac:dyDescent="0.45">
      <c r="A66" t="s">
        <v>135</v>
      </c>
      <c r="B66" t="s">
        <v>85</v>
      </c>
      <c r="C66">
        <v>0.37752092799999998</v>
      </c>
      <c r="D66">
        <v>0.36312345600000001</v>
      </c>
      <c r="E66">
        <v>0.34120233599999999</v>
      </c>
      <c r="F66">
        <v>0.33858147199999999</v>
      </c>
      <c r="G66">
        <v>0.33409823999999999</v>
      </c>
      <c r="H66">
        <v>0.328570048</v>
      </c>
      <c r="I66">
        <v>0.32222105600000001</v>
      </c>
      <c r="J66">
        <v>0.31594832</v>
      </c>
      <c r="K66">
        <v>0.3099808</v>
      </c>
      <c r="L66">
        <v>0.30452153599999998</v>
      </c>
      <c r="M66">
        <v>0.29947724799999997</v>
      </c>
      <c r="N66">
        <v>0.29476940800000001</v>
      </c>
      <c r="O66">
        <v>0.29023353600000001</v>
      </c>
      <c r="P66">
        <v>0.285863808</v>
      </c>
      <c r="Q66">
        <v>0.28161328000000002</v>
      </c>
      <c r="R66">
        <v>0.27760268799999999</v>
      </c>
      <c r="S66">
        <v>0.273847648</v>
      </c>
      <c r="T66">
        <v>0.27051984000000001</v>
      </c>
      <c r="U66">
        <v>0.26754745600000002</v>
      </c>
      <c r="V66">
        <v>0.26485846400000002</v>
      </c>
      <c r="W66">
        <v>0.26235745599999999</v>
      </c>
      <c r="X66">
        <v>0.25987972799999998</v>
      </c>
      <c r="Y66">
        <v>0.257270416</v>
      </c>
      <c r="Z66">
        <v>0.25461995199999998</v>
      </c>
      <c r="AA66">
        <v>0.251971216</v>
      </c>
      <c r="AB66">
        <v>0.24937891200000001</v>
      </c>
      <c r="AC66">
        <v>-1.644930918232446E-2</v>
      </c>
      <c r="AG66" s="67"/>
    </row>
    <row r="67" spans="1:33" x14ac:dyDescent="0.45">
      <c r="A67" t="s">
        <v>136</v>
      </c>
      <c r="B67" t="s">
        <v>89</v>
      </c>
      <c r="C67">
        <v>5.8524816E-2</v>
      </c>
      <c r="D67">
        <v>5.9045232000000003E-2</v>
      </c>
      <c r="E67">
        <v>5.9788363999999997E-2</v>
      </c>
      <c r="F67">
        <v>6.0390256000000003E-2</v>
      </c>
      <c r="G67">
        <v>5.9602552000000003E-2</v>
      </c>
      <c r="H67">
        <v>5.8604436000000003E-2</v>
      </c>
      <c r="I67">
        <v>5.7557207999999999E-2</v>
      </c>
      <c r="J67">
        <v>5.6583512000000002E-2</v>
      </c>
      <c r="K67">
        <v>5.5702179999999997E-2</v>
      </c>
      <c r="L67">
        <v>5.5020607999999999E-2</v>
      </c>
      <c r="M67">
        <v>5.4533824000000002E-2</v>
      </c>
      <c r="N67">
        <v>5.3958739999999998E-2</v>
      </c>
      <c r="O67">
        <v>5.3306795999999997E-2</v>
      </c>
      <c r="P67">
        <v>5.2582360000000002E-2</v>
      </c>
      <c r="Q67">
        <v>5.1788816000000001E-2</v>
      </c>
      <c r="R67">
        <v>5.0961772000000002E-2</v>
      </c>
      <c r="S67">
        <v>5.0117759999999997E-2</v>
      </c>
      <c r="T67">
        <v>4.9286348000000001E-2</v>
      </c>
      <c r="U67">
        <v>4.8475836000000001E-2</v>
      </c>
      <c r="V67">
        <v>4.7684471999999999E-2</v>
      </c>
      <c r="W67">
        <v>4.6888052E-2</v>
      </c>
      <c r="X67">
        <v>4.6069628000000001E-2</v>
      </c>
      <c r="Y67">
        <v>4.5236156E-2</v>
      </c>
      <c r="Z67">
        <v>4.4409216000000001E-2</v>
      </c>
      <c r="AA67">
        <v>4.36164E-2</v>
      </c>
      <c r="AB67">
        <v>4.2877907999999999E-2</v>
      </c>
      <c r="AC67">
        <v>-1.2366662145239521E-2</v>
      </c>
      <c r="AG67" s="67"/>
    </row>
    <row r="68" spans="1:33" x14ac:dyDescent="0.45">
      <c r="A68" t="s">
        <v>137</v>
      </c>
      <c r="B68" t="s">
        <v>93</v>
      </c>
      <c r="C68">
        <v>1.0416893E-2</v>
      </c>
      <c r="D68">
        <v>1.0382659000000001E-2</v>
      </c>
      <c r="E68">
        <v>1.0352623E-2</v>
      </c>
      <c r="F68">
        <v>1.0320664E-2</v>
      </c>
      <c r="G68">
        <v>1.0288456E-2</v>
      </c>
      <c r="H68">
        <v>1.0251335E-2</v>
      </c>
      <c r="I68">
        <v>1.0208539000000001E-2</v>
      </c>
      <c r="J68">
        <v>1.0160659000000001E-2</v>
      </c>
      <c r="K68">
        <v>1.0109655E-2</v>
      </c>
      <c r="L68">
        <v>1.0054894999999999E-2</v>
      </c>
      <c r="M68">
        <v>9.9962169999999999E-3</v>
      </c>
      <c r="N68">
        <v>9.9327949999999995E-3</v>
      </c>
      <c r="O68">
        <v>9.8648179999999992E-3</v>
      </c>
      <c r="P68">
        <v>9.8131069999999997E-3</v>
      </c>
      <c r="Q68">
        <v>9.7768479999999994E-3</v>
      </c>
      <c r="R68">
        <v>9.7585469999999994E-3</v>
      </c>
      <c r="S68">
        <v>9.7593279999999994E-3</v>
      </c>
      <c r="T68">
        <v>9.7802050000000001E-3</v>
      </c>
      <c r="U68">
        <v>9.7986549999999999E-3</v>
      </c>
      <c r="V68">
        <v>9.8149589999999998E-3</v>
      </c>
      <c r="W68">
        <v>9.8302839999999999E-3</v>
      </c>
      <c r="X68">
        <v>9.8444940000000005E-3</v>
      </c>
      <c r="Y68">
        <v>9.8571200000000005E-3</v>
      </c>
      <c r="Z68">
        <v>9.8679949999999992E-3</v>
      </c>
      <c r="AA68">
        <v>9.8773070000000001E-3</v>
      </c>
      <c r="AB68">
        <v>9.8855120000000008E-3</v>
      </c>
      <c r="AC68">
        <v>-2.0921509687310551E-3</v>
      </c>
      <c r="AG68" s="67"/>
    </row>
    <row r="69" spans="1:33" x14ac:dyDescent="0.45">
      <c r="A69" t="s">
        <v>138</v>
      </c>
      <c r="B69" t="s">
        <v>888</v>
      </c>
      <c r="C69">
        <v>7.8037311999999998E-2</v>
      </c>
      <c r="D69">
        <v>8.1168695999999999E-2</v>
      </c>
      <c r="E69">
        <v>8.4197159999999993E-2</v>
      </c>
      <c r="F69">
        <v>8.6919023999999998E-2</v>
      </c>
      <c r="G69">
        <v>8.9321968000000002E-2</v>
      </c>
      <c r="H69">
        <v>9.1502511999999994E-2</v>
      </c>
      <c r="I69">
        <v>9.3499600000000002E-2</v>
      </c>
      <c r="J69">
        <v>9.5470912000000005E-2</v>
      </c>
      <c r="K69">
        <v>9.7410464000000002E-2</v>
      </c>
      <c r="L69">
        <v>9.9465440000000002E-2</v>
      </c>
      <c r="M69">
        <v>0.101613936</v>
      </c>
      <c r="N69">
        <v>0.10382166399999999</v>
      </c>
      <c r="O69">
        <v>0.10602426399999999</v>
      </c>
      <c r="P69">
        <v>0.108215704</v>
      </c>
      <c r="Q69">
        <v>0.110387264</v>
      </c>
      <c r="R69">
        <v>0.112575104</v>
      </c>
      <c r="S69">
        <v>0.114813912</v>
      </c>
      <c r="T69">
        <v>0.117151528</v>
      </c>
      <c r="U69">
        <v>0.119593984</v>
      </c>
      <c r="V69">
        <v>0.122121088</v>
      </c>
      <c r="W69">
        <v>0.124669688</v>
      </c>
      <c r="X69">
        <v>0.12718207200000001</v>
      </c>
      <c r="Y69">
        <v>0.12964841599999999</v>
      </c>
      <c r="Z69">
        <v>0.13209407200000001</v>
      </c>
      <c r="AA69">
        <v>0.13455473600000001</v>
      </c>
      <c r="AB69">
        <v>0.13704892799999999</v>
      </c>
      <c r="AC69">
        <v>2.2781664166767301E-2</v>
      </c>
      <c r="AG69" s="67"/>
    </row>
    <row r="70" spans="1:33" x14ac:dyDescent="0.45">
      <c r="A70" t="s">
        <v>140</v>
      </c>
      <c r="B70" t="s">
        <v>127</v>
      </c>
      <c r="C70">
        <v>0.52450001239776611</v>
      </c>
      <c r="D70">
        <v>0.51372003555297852</v>
      </c>
      <c r="E70">
        <v>0.4955405592918396</v>
      </c>
      <c r="F70">
        <v>0.49621137976646418</v>
      </c>
      <c r="G70">
        <v>0.49331116676330572</v>
      </c>
      <c r="H70">
        <v>0.48892834782600397</v>
      </c>
      <c r="I70">
        <v>0.48348644375801092</v>
      </c>
      <c r="J70">
        <v>0.4781634509563446</v>
      </c>
      <c r="K70">
        <v>0.47320321202278143</v>
      </c>
      <c r="L70">
        <v>0.4690624475479126</v>
      </c>
      <c r="M70">
        <v>0.46562120318412781</v>
      </c>
      <c r="N70">
        <v>0.46248260140419012</v>
      </c>
      <c r="O70">
        <v>0.45942938327789312</v>
      </c>
      <c r="P70">
        <v>0.45647501945495611</v>
      </c>
      <c r="Q70">
        <v>0.45356625318527222</v>
      </c>
      <c r="R70">
        <v>0.45089817047119141</v>
      </c>
      <c r="S70">
        <v>0.44853869080543518</v>
      </c>
      <c r="T70">
        <v>0.44673797488212591</v>
      </c>
      <c r="U70">
        <v>0.44541597366333008</v>
      </c>
      <c r="V70">
        <v>0.44447898864746088</v>
      </c>
      <c r="W70">
        <v>0.44374552369117742</v>
      </c>
      <c r="X70">
        <v>0.44297593832015991</v>
      </c>
      <c r="Y70">
        <v>0.44201213121414179</v>
      </c>
      <c r="Z70">
        <v>0.44099125266075129</v>
      </c>
      <c r="AA70">
        <v>0.44001969695091248</v>
      </c>
      <c r="AB70">
        <v>0.43919128179550171</v>
      </c>
      <c r="AC70">
        <v>-7.0752680662837797E-3</v>
      </c>
      <c r="AG70" s="67"/>
    </row>
    <row r="71" spans="1:33" x14ac:dyDescent="0.45">
      <c r="AG71" s="67"/>
    </row>
    <row r="72" spans="1:33" x14ac:dyDescent="0.45">
      <c r="A72" t="s">
        <v>141</v>
      </c>
      <c r="B72" t="s">
        <v>889</v>
      </c>
      <c r="C72">
        <v>0.37138739199999998</v>
      </c>
      <c r="D72">
        <v>0.34290067200000002</v>
      </c>
      <c r="E72">
        <v>0.33499011200000001</v>
      </c>
      <c r="F72">
        <v>0.33120499199999998</v>
      </c>
      <c r="G72">
        <v>0.32895392000000001</v>
      </c>
      <c r="H72">
        <v>0.32362681599999998</v>
      </c>
      <c r="I72">
        <v>0.31936905599999998</v>
      </c>
      <c r="J72">
        <v>0.31564275200000003</v>
      </c>
      <c r="K72">
        <v>0.312811968</v>
      </c>
      <c r="L72">
        <v>0.30912588800000002</v>
      </c>
      <c r="M72">
        <v>0.30582918399999998</v>
      </c>
      <c r="N72">
        <v>0.30200764800000002</v>
      </c>
      <c r="O72">
        <v>0.298093728</v>
      </c>
      <c r="P72">
        <v>0.29419919999999999</v>
      </c>
      <c r="Q72">
        <v>0.28995385600000001</v>
      </c>
      <c r="R72">
        <v>0.28553836799999999</v>
      </c>
      <c r="S72">
        <v>0.281270464</v>
      </c>
      <c r="T72">
        <v>0.27737811200000001</v>
      </c>
      <c r="U72">
        <v>0.27363056000000002</v>
      </c>
      <c r="V72">
        <v>0.27007763200000001</v>
      </c>
      <c r="W72">
        <v>0.26697406400000001</v>
      </c>
      <c r="X72">
        <v>0.263977984</v>
      </c>
      <c r="Y72">
        <v>0.26128950400000001</v>
      </c>
      <c r="Z72">
        <v>0.25882419200000001</v>
      </c>
      <c r="AA72">
        <v>0.25657587199999998</v>
      </c>
      <c r="AB72">
        <v>0.254137424</v>
      </c>
      <c r="AC72">
        <v>-1.506026423030749E-2</v>
      </c>
      <c r="AG72" s="67"/>
    </row>
    <row r="73" spans="1:33" x14ac:dyDescent="0.45">
      <c r="AG73" s="67"/>
    </row>
    <row r="74" spans="1:33" x14ac:dyDescent="0.45">
      <c r="B74" t="s">
        <v>143</v>
      </c>
      <c r="AG74" s="67"/>
    </row>
    <row r="75" spans="1:33" x14ac:dyDescent="0.45">
      <c r="A75" t="s">
        <v>144</v>
      </c>
      <c r="B75" t="s">
        <v>145</v>
      </c>
      <c r="C75">
        <v>4.8872924160000002</v>
      </c>
      <c r="D75">
        <v>4.6105082880000001</v>
      </c>
      <c r="E75">
        <v>4.694247936</v>
      </c>
      <c r="F75">
        <v>4.6635043840000003</v>
      </c>
      <c r="G75">
        <v>4.6124252160000001</v>
      </c>
      <c r="H75">
        <v>4.547402752</v>
      </c>
      <c r="I75">
        <v>4.4787609599999998</v>
      </c>
      <c r="J75">
        <v>4.4142899199999999</v>
      </c>
      <c r="K75">
        <v>4.3518760959999998</v>
      </c>
      <c r="L75">
        <v>4.2920202239999998</v>
      </c>
      <c r="M75">
        <v>4.2342993919999996</v>
      </c>
      <c r="N75">
        <v>4.1793088000000003</v>
      </c>
      <c r="O75">
        <v>4.1237058559999999</v>
      </c>
      <c r="P75">
        <v>4.0705356799999999</v>
      </c>
      <c r="Q75">
        <v>4.0178626560000001</v>
      </c>
      <c r="R75">
        <v>3.9665464319999999</v>
      </c>
      <c r="S75">
        <v>3.9159198719999999</v>
      </c>
      <c r="T75">
        <v>3.8705213440000001</v>
      </c>
      <c r="U75">
        <v>3.8277063679999999</v>
      </c>
      <c r="V75">
        <v>3.7870338559999999</v>
      </c>
      <c r="W75">
        <v>3.7487544320000001</v>
      </c>
      <c r="X75">
        <v>3.7094520320000002</v>
      </c>
      <c r="Y75">
        <v>3.6686021119999999</v>
      </c>
      <c r="Z75">
        <v>3.6283356160000002</v>
      </c>
      <c r="AA75">
        <v>3.5889408</v>
      </c>
      <c r="AB75">
        <v>3.5503339519999999</v>
      </c>
      <c r="AC75">
        <v>-1.2702504690540789E-2</v>
      </c>
      <c r="AG75" s="67"/>
    </row>
    <row r="76" spans="1:33" x14ac:dyDescent="0.45">
      <c r="A76" t="s">
        <v>146</v>
      </c>
      <c r="B76" t="s">
        <v>147</v>
      </c>
      <c r="C76">
        <v>0.98317260799999995</v>
      </c>
      <c r="D76">
        <v>1.046040576</v>
      </c>
      <c r="E76">
        <v>1.06037216</v>
      </c>
      <c r="F76">
        <v>1.0743171840000001</v>
      </c>
      <c r="G76">
        <v>1.0854568959999999</v>
      </c>
      <c r="H76">
        <v>1.0925698559999999</v>
      </c>
      <c r="I76">
        <v>1.0990485759999999</v>
      </c>
      <c r="J76">
        <v>1.10656128</v>
      </c>
      <c r="K76">
        <v>1.1148355839999999</v>
      </c>
      <c r="L76">
        <v>1.124533888</v>
      </c>
      <c r="M76">
        <v>1.135239168</v>
      </c>
      <c r="N76">
        <v>1.1472550399999999</v>
      </c>
      <c r="O76">
        <v>1.1600700159999999</v>
      </c>
      <c r="P76">
        <v>1.1734277120000001</v>
      </c>
      <c r="Q76">
        <v>1.187167104</v>
      </c>
      <c r="R76">
        <v>1.2018499840000001</v>
      </c>
      <c r="S76">
        <v>1.217397632</v>
      </c>
      <c r="T76">
        <v>1.2348896</v>
      </c>
      <c r="U76">
        <v>1.253485824</v>
      </c>
      <c r="V76">
        <v>1.272132992</v>
      </c>
      <c r="W76">
        <v>1.2914392320000001</v>
      </c>
      <c r="X76">
        <v>1.309698432</v>
      </c>
      <c r="Y76">
        <v>1.327260544</v>
      </c>
      <c r="Z76">
        <v>1.344267648</v>
      </c>
      <c r="AA76">
        <v>1.362016128</v>
      </c>
      <c r="AB76">
        <v>1.3795253759999999</v>
      </c>
      <c r="AC76">
        <v>1.364059914705784E-2</v>
      </c>
      <c r="AG76" s="67"/>
    </row>
    <row r="77" spans="1:33" x14ac:dyDescent="0.45">
      <c r="A77" t="s">
        <v>148</v>
      </c>
      <c r="B77" t="s">
        <v>149</v>
      </c>
      <c r="C77">
        <v>1.573176704</v>
      </c>
      <c r="D77">
        <v>1.574928256</v>
      </c>
      <c r="E77">
        <v>1.5782146560000001</v>
      </c>
      <c r="F77">
        <v>1.58200512</v>
      </c>
      <c r="G77">
        <v>1.5606996479999999</v>
      </c>
      <c r="H77">
        <v>1.5333607680000001</v>
      </c>
      <c r="I77">
        <v>1.505777664</v>
      </c>
      <c r="J77">
        <v>1.4812957440000001</v>
      </c>
      <c r="K77">
        <v>1.4578415360000001</v>
      </c>
      <c r="L77">
        <v>1.438644992</v>
      </c>
      <c r="M77">
        <v>1.4231032320000001</v>
      </c>
      <c r="N77">
        <v>1.4087640320000001</v>
      </c>
      <c r="O77">
        <v>1.395113856</v>
      </c>
      <c r="P77">
        <v>1.382832896</v>
      </c>
      <c r="Q77">
        <v>1.3717009920000001</v>
      </c>
      <c r="R77">
        <v>1.3619397120000001</v>
      </c>
      <c r="S77">
        <v>1.353175936</v>
      </c>
      <c r="T77">
        <v>1.3462069759999999</v>
      </c>
      <c r="U77">
        <v>1.340719488</v>
      </c>
      <c r="V77">
        <v>1.3348089599999999</v>
      </c>
      <c r="W77">
        <v>1.3281712640000001</v>
      </c>
      <c r="X77">
        <v>1.320356224</v>
      </c>
      <c r="Y77">
        <v>1.3116526079999999</v>
      </c>
      <c r="Z77">
        <v>1.3027751679999999</v>
      </c>
      <c r="AA77">
        <v>1.294452224</v>
      </c>
      <c r="AB77">
        <v>1.2870755840000001</v>
      </c>
      <c r="AC77">
        <v>-7.9968258045686191E-3</v>
      </c>
      <c r="AG77" s="67"/>
    </row>
    <row r="78" spans="1:33" x14ac:dyDescent="0.45">
      <c r="A78" t="s">
        <v>150</v>
      </c>
      <c r="B78" t="s">
        <v>151</v>
      </c>
      <c r="C78">
        <v>0.34956310400000001</v>
      </c>
      <c r="D78">
        <v>0.34852729599999999</v>
      </c>
      <c r="E78">
        <v>0.34743289599999999</v>
      </c>
      <c r="F78">
        <v>0.34620860799999997</v>
      </c>
      <c r="G78">
        <v>0.34525900799999998</v>
      </c>
      <c r="H78">
        <v>0.34202352000000003</v>
      </c>
      <c r="I78">
        <v>0.33902982399999998</v>
      </c>
      <c r="J78">
        <v>0.33630428800000001</v>
      </c>
      <c r="K78">
        <v>0.33379897600000002</v>
      </c>
      <c r="L78">
        <v>0.33146774400000001</v>
      </c>
      <c r="M78">
        <v>0.32936582399999997</v>
      </c>
      <c r="N78">
        <v>0.327653056</v>
      </c>
      <c r="O78">
        <v>0.32634323199999998</v>
      </c>
      <c r="P78">
        <v>0.32546067200000001</v>
      </c>
      <c r="Q78">
        <v>0.32498998400000001</v>
      </c>
      <c r="R78">
        <v>0.32493840000000002</v>
      </c>
      <c r="S78">
        <v>0.32529401600000002</v>
      </c>
      <c r="T78">
        <v>0.32607193600000001</v>
      </c>
      <c r="U78">
        <v>0.32728083200000002</v>
      </c>
      <c r="V78">
        <v>0.32891251199999999</v>
      </c>
      <c r="W78">
        <v>0.33105030400000002</v>
      </c>
      <c r="X78">
        <v>0.33371427199999998</v>
      </c>
      <c r="Y78">
        <v>0.33686508799999998</v>
      </c>
      <c r="Z78">
        <v>0.34000607999999999</v>
      </c>
      <c r="AA78">
        <v>0.34312889600000002</v>
      </c>
      <c r="AB78">
        <v>0.34622892799999999</v>
      </c>
      <c r="AC78">
        <v>-3.832826310995463E-4</v>
      </c>
      <c r="AG78" s="67"/>
    </row>
    <row r="79" spans="1:33" x14ac:dyDescent="0.45">
      <c r="A79" t="s">
        <v>152</v>
      </c>
      <c r="B79" t="s">
        <v>153</v>
      </c>
      <c r="C79">
        <v>0.15604678399999999</v>
      </c>
      <c r="D79">
        <v>0.15688024</v>
      </c>
      <c r="E79">
        <v>0.157748992</v>
      </c>
      <c r="F79">
        <v>0.15859595200000001</v>
      </c>
      <c r="G79">
        <v>0.15944396799999999</v>
      </c>
      <c r="H79">
        <v>0.160278112</v>
      </c>
      <c r="I79">
        <v>0.161102784</v>
      </c>
      <c r="J79">
        <v>0.161912208</v>
      </c>
      <c r="K79">
        <v>0.16271075199999999</v>
      </c>
      <c r="L79">
        <v>0.16352728</v>
      </c>
      <c r="M79">
        <v>0.16437318400000001</v>
      </c>
      <c r="N79">
        <v>0.16525561599999999</v>
      </c>
      <c r="O79">
        <v>0.166161472</v>
      </c>
      <c r="P79">
        <v>0.16710384</v>
      </c>
      <c r="Q79">
        <v>0.16803183999999999</v>
      </c>
      <c r="R79">
        <v>0.16895603200000001</v>
      </c>
      <c r="S79">
        <v>0.169856336</v>
      </c>
      <c r="T79">
        <v>0.17073536</v>
      </c>
      <c r="U79">
        <v>0.17157900800000001</v>
      </c>
      <c r="V79">
        <v>0.17239865600000001</v>
      </c>
      <c r="W79">
        <v>0.173218224</v>
      </c>
      <c r="X79">
        <v>0.17404207999999999</v>
      </c>
      <c r="Y79">
        <v>0.17486534400000001</v>
      </c>
      <c r="Z79">
        <v>0.175689664</v>
      </c>
      <c r="AA79">
        <v>0.17651795200000001</v>
      </c>
      <c r="AB79">
        <v>0.17735535999999999</v>
      </c>
      <c r="AC79">
        <v>5.1331112550536684E-3</v>
      </c>
      <c r="AG79" s="67"/>
    </row>
    <row r="80" spans="1:33" x14ac:dyDescent="0.45">
      <c r="A80" t="s">
        <v>154</v>
      </c>
      <c r="B80" t="s">
        <v>155</v>
      </c>
      <c r="C80">
        <v>0.22990720000000001</v>
      </c>
      <c r="D80">
        <v>0.23112454399999999</v>
      </c>
      <c r="E80">
        <v>0.23272319999999999</v>
      </c>
      <c r="F80">
        <v>0.23462008000000001</v>
      </c>
      <c r="G80">
        <v>0.23584943999999999</v>
      </c>
      <c r="H80">
        <v>0.23600408</v>
      </c>
      <c r="I80">
        <v>0.23554830399999999</v>
      </c>
      <c r="J80">
        <v>0.23478808000000001</v>
      </c>
      <c r="K80">
        <v>0.23432846399999999</v>
      </c>
      <c r="L80">
        <v>0.23430152000000001</v>
      </c>
      <c r="M80">
        <v>0.23472089600000001</v>
      </c>
      <c r="N80">
        <v>0.23564288</v>
      </c>
      <c r="O80">
        <v>0.23691409599999999</v>
      </c>
      <c r="P80">
        <v>0.23868604800000001</v>
      </c>
      <c r="Q80">
        <v>0.240921472</v>
      </c>
      <c r="R80">
        <v>0.24367492800000001</v>
      </c>
      <c r="S80">
        <v>0.24702553599999999</v>
      </c>
      <c r="T80">
        <v>0.25042220799999998</v>
      </c>
      <c r="U80">
        <v>0.25392486399999997</v>
      </c>
      <c r="V80">
        <v>0.25746416</v>
      </c>
      <c r="W80">
        <v>0.26101676800000001</v>
      </c>
      <c r="X80">
        <v>0.26441572800000002</v>
      </c>
      <c r="Y80">
        <v>0.26761515200000002</v>
      </c>
      <c r="Z80">
        <v>0.270684704</v>
      </c>
      <c r="AA80">
        <v>0.27381014399999998</v>
      </c>
      <c r="AB80">
        <v>0.27686204800000003</v>
      </c>
      <c r="AC80">
        <v>7.4614433203574748E-3</v>
      </c>
    </row>
    <row r="81" spans="1:33" x14ac:dyDescent="0.45">
      <c r="A81" t="s">
        <v>156</v>
      </c>
      <c r="B81" t="s">
        <v>157</v>
      </c>
      <c r="C81">
        <v>7.9277760000000003E-2</v>
      </c>
      <c r="D81">
        <v>7.9241023999999993E-2</v>
      </c>
      <c r="E81">
        <v>7.9217047999999998E-2</v>
      </c>
      <c r="F81">
        <v>7.9159960000000001E-2</v>
      </c>
      <c r="G81">
        <v>7.9073071999999994E-2</v>
      </c>
      <c r="H81">
        <v>7.8570111999999998E-2</v>
      </c>
      <c r="I81">
        <v>7.8006560000000003E-2</v>
      </c>
      <c r="J81">
        <v>7.7403968000000004E-2</v>
      </c>
      <c r="K81">
        <v>7.6822632000000002E-2</v>
      </c>
      <c r="L81">
        <v>7.6256599999999994E-2</v>
      </c>
      <c r="M81">
        <v>7.5716071999999995E-2</v>
      </c>
      <c r="N81">
        <v>7.5195239999999997E-2</v>
      </c>
      <c r="O81">
        <v>7.4692744000000005E-2</v>
      </c>
      <c r="P81">
        <v>7.4213528000000001E-2</v>
      </c>
      <c r="Q81">
        <v>7.3757199999999995E-2</v>
      </c>
      <c r="R81">
        <v>7.3328264000000004E-2</v>
      </c>
      <c r="S81">
        <v>7.2936855999999994E-2</v>
      </c>
      <c r="T81">
        <v>7.2586367999999998E-2</v>
      </c>
      <c r="U81">
        <v>7.2277752000000001E-2</v>
      </c>
      <c r="V81">
        <v>7.2012376000000003E-2</v>
      </c>
      <c r="W81">
        <v>7.1801504000000002E-2</v>
      </c>
      <c r="X81">
        <v>7.1659855999999994E-2</v>
      </c>
      <c r="Y81">
        <v>7.1579335999999993E-2</v>
      </c>
      <c r="Z81">
        <v>7.1571248000000004E-2</v>
      </c>
      <c r="AA81">
        <v>7.1643271999999994E-2</v>
      </c>
      <c r="AB81">
        <v>7.1800048000000005E-2</v>
      </c>
      <c r="AC81">
        <v>-3.9550577058538039E-3</v>
      </c>
      <c r="AG81" s="67"/>
    </row>
    <row r="82" spans="1:33" x14ac:dyDescent="0.45">
      <c r="A82" t="s">
        <v>158</v>
      </c>
      <c r="B82" t="s">
        <v>890</v>
      </c>
      <c r="C82">
        <v>0.18284710400000001</v>
      </c>
      <c r="D82">
        <v>0.182215504</v>
      </c>
      <c r="E82">
        <v>0.183569232</v>
      </c>
      <c r="F82">
        <v>0.185640272</v>
      </c>
      <c r="G82">
        <v>0.18743944000000001</v>
      </c>
      <c r="H82">
        <v>0.18699436799999999</v>
      </c>
      <c r="I82">
        <v>0.186424016</v>
      </c>
      <c r="J82">
        <v>0.18626144</v>
      </c>
      <c r="K82">
        <v>0.186404352</v>
      </c>
      <c r="L82">
        <v>0.18674231999999999</v>
      </c>
      <c r="M82">
        <v>0.18721537599999999</v>
      </c>
      <c r="N82">
        <v>0.187754368</v>
      </c>
      <c r="O82">
        <v>0.188226384</v>
      </c>
      <c r="P82">
        <v>0.188723216</v>
      </c>
      <c r="Q82">
        <v>0.18940014399999999</v>
      </c>
      <c r="R82">
        <v>0.18703504000000001</v>
      </c>
      <c r="S82">
        <v>0.18508912</v>
      </c>
      <c r="T82">
        <v>0.18369095999999999</v>
      </c>
      <c r="U82">
        <v>0.182845696</v>
      </c>
      <c r="V82">
        <v>0.18247695999999999</v>
      </c>
      <c r="W82">
        <v>0.182383504</v>
      </c>
      <c r="X82">
        <v>0.182309728</v>
      </c>
      <c r="Y82">
        <v>0.182201904</v>
      </c>
      <c r="Z82">
        <v>0.182192464</v>
      </c>
      <c r="AA82">
        <v>0.182375024</v>
      </c>
      <c r="AB82">
        <v>0.18258764799999999</v>
      </c>
      <c r="AC82">
        <v>-5.6797811119779773E-5</v>
      </c>
      <c r="AG82" s="67"/>
    </row>
    <row r="83" spans="1:33" x14ac:dyDescent="0.45">
      <c r="A83" t="s">
        <v>160</v>
      </c>
      <c r="B83" t="s">
        <v>891</v>
      </c>
      <c r="C83">
        <v>4.0723188E-2</v>
      </c>
      <c r="D83">
        <v>3.9741315999999999E-2</v>
      </c>
      <c r="E83">
        <v>3.8750288000000001E-2</v>
      </c>
      <c r="F83">
        <v>3.7582836000000001E-2</v>
      </c>
      <c r="G83">
        <v>3.638516E-2</v>
      </c>
      <c r="H83">
        <v>3.4992292000000001E-2</v>
      </c>
      <c r="I83">
        <v>3.3539880000000001E-2</v>
      </c>
      <c r="J83">
        <v>3.2000177999999997E-2</v>
      </c>
      <c r="K83">
        <v>3.0664894000000002E-2</v>
      </c>
      <c r="L83">
        <v>2.9534002E-2</v>
      </c>
      <c r="M83">
        <v>2.8609286000000001E-2</v>
      </c>
      <c r="N83">
        <v>2.7903582E-2</v>
      </c>
      <c r="O83">
        <v>2.7428560000000001E-2</v>
      </c>
      <c r="P83">
        <v>2.7209850000000001E-2</v>
      </c>
      <c r="Q83">
        <v>2.7260937999999998E-2</v>
      </c>
      <c r="R83">
        <v>2.7310738000000001E-2</v>
      </c>
      <c r="S83">
        <v>2.7361704000000001E-2</v>
      </c>
      <c r="T83">
        <v>2.7419786000000002E-2</v>
      </c>
      <c r="U83">
        <v>2.7486282000000001E-2</v>
      </c>
      <c r="V83">
        <v>2.7564120000000001E-2</v>
      </c>
      <c r="W83">
        <v>2.7658222E-2</v>
      </c>
      <c r="X83">
        <v>2.7768014000000001E-2</v>
      </c>
      <c r="Y83">
        <v>2.7890496000000001E-2</v>
      </c>
      <c r="Z83">
        <v>2.8023998000000001E-2</v>
      </c>
      <c r="AA83">
        <v>2.8167032000000002E-2</v>
      </c>
      <c r="AB83">
        <v>2.8318728000000001E-2</v>
      </c>
      <c r="AC83">
        <v>-1.442590723214077E-2</v>
      </c>
      <c r="AG83" s="67"/>
    </row>
    <row r="84" spans="1:33" x14ac:dyDescent="0.45">
      <c r="A84" t="s">
        <v>162</v>
      </c>
      <c r="B84" t="s">
        <v>892</v>
      </c>
      <c r="C84">
        <v>3.7161696000000001E-2</v>
      </c>
      <c r="D84">
        <v>3.8075504000000003E-2</v>
      </c>
      <c r="E84">
        <v>3.8360159999999997E-2</v>
      </c>
      <c r="F84">
        <v>3.8522852000000003E-2</v>
      </c>
      <c r="G84">
        <v>3.8637291999999997E-2</v>
      </c>
      <c r="H84">
        <v>3.870258E-2</v>
      </c>
      <c r="I84">
        <v>3.8719692E-2</v>
      </c>
      <c r="J84">
        <v>3.8688536000000003E-2</v>
      </c>
      <c r="K84">
        <v>3.8734320000000003E-2</v>
      </c>
      <c r="L84">
        <v>3.8861E-2</v>
      </c>
      <c r="M84">
        <v>3.9070651999999997E-2</v>
      </c>
      <c r="N84">
        <v>3.9370936000000002E-2</v>
      </c>
      <c r="O84">
        <v>3.9763699999999999E-2</v>
      </c>
      <c r="P84">
        <v>4.0262112000000003E-2</v>
      </c>
      <c r="Q84">
        <v>4.0871616E-2</v>
      </c>
      <c r="R84">
        <v>4.1476607999999998E-2</v>
      </c>
      <c r="S84">
        <v>4.2075632000000002E-2</v>
      </c>
      <c r="T84">
        <v>4.2674256000000001E-2</v>
      </c>
      <c r="U84">
        <v>4.3273180000000001E-2</v>
      </c>
      <c r="V84">
        <v>4.3875648000000003E-2</v>
      </c>
      <c r="W84">
        <v>4.4488423999999999E-2</v>
      </c>
      <c r="X84">
        <v>4.5111343999999998E-2</v>
      </c>
      <c r="Y84">
        <v>4.5741499999999997E-2</v>
      </c>
      <c r="Z84">
        <v>4.6378655999999997E-2</v>
      </c>
      <c r="AA84">
        <v>4.7023391999999997E-2</v>
      </c>
      <c r="AB84">
        <v>4.7675936000000002E-2</v>
      </c>
      <c r="AC84">
        <v>1.001575448740288E-2</v>
      </c>
      <c r="AG84" s="67"/>
    </row>
    <row r="85" spans="1:33" x14ac:dyDescent="0.45">
      <c r="A85" t="s">
        <v>164</v>
      </c>
      <c r="B85" t="s">
        <v>893</v>
      </c>
      <c r="C85">
        <v>0.12483857600000001</v>
      </c>
      <c r="D85">
        <v>0.122177168</v>
      </c>
      <c r="E85">
        <v>0.119963032</v>
      </c>
      <c r="F85">
        <v>0.11808790399999999</v>
      </c>
      <c r="G85">
        <v>0.11609736800000001</v>
      </c>
      <c r="H85">
        <v>0.11380596</v>
      </c>
      <c r="I85">
        <v>0.111515896</v>
      </c>
      <c r="J85">
        <v>0.109399336</v>
      </c>
      <c r="K85">
        <v>0.107488504</v>
      </c>
      <c r="L85">
        <v>0.105734648</v>
      </c>
      <c r="M85">
        <v>0.10414446400000001</v>
      </c>
      <c r="N85">
        <v>0.102719456</v>
      </c>
      <c r="O85">
        <v>0.10141056</v>
      </c>
      <c r="P85">
        <v>0.10027256</v>
      </c>
      <c r="Q85">
        <v>9.9267408000000001E-2</v>
      </c>
      <c r="R85">
        <v>9.8397992000000004E-2</v>
      </c>
      <c r="S85">
        <v>9.7693543999999993E-2</v>
      </c>
      <c r="T85">
        <v>9.7154119999999997E-2</v>
      </c>
      <c r="U85">
        <v>9.6815248000000007E-2</v>
      </c>
      <c r="V85">
        <v>9.6643400000000004E-2</v>
      </c>
      <c r="W85">
        <v>9.6637704000000005E-2</v>
      </c>
      <c r="X85">
        <v>9.6759144000000005E-2</v>
      </c>
      <c r="Y85">
        <v>9.6902584E-2</v>
      </c>
      <c r="Z85">
        <v>9.7108184E-2</v>
      </c>
      <c r="AA85">
        <v>9.7404288000000006E-2</v>
      </c>
      <c r="AB85">
        <v>9.7757631999999997E-2</v>
      </c>
      <c r="AC85">
        <v>-9.7335290819186016E-3</v>
      </c>
      <c r="AG85" s="67"/>
    </row>
    <row r="86" spans="1:33" x14ac:dyDescent="0.45">
      <c r="A86" t="s">
        <v>166</v>
      </c>
      <c r="B86" t="s">
        <v>894</v>
      </c>
      <c r="C86">
        <v>9.7011752000000007E-2</v>
      </c>
      <c r="D86">
        <v>9.5323727999999996E-2</v>
      </c>
      <c r="E86">
        <v>9.3864928E-2</v>
      </c>
      <c r="F86">
        <v>9.2523648E-2</v>
      </c>
      <c r="G86">
        <v>9.0934360000000006E-2</v>
      </c>
      <c r="H86">
        <v>8.8982368000000006E-2</v>
      </c>
      <c r="I86">
        <v>8.6906232E-2</v>
      </c>
      <c r="J86">
        <v>8.4864703999999999E-2</v>
      </c>
      <c r="K86">
        <v>8.2885327999999994E-2</v>
      </c>
      <c r="L86">
        <v>8.0946472000000005E-2</v>
      </c>
      <c r="M86">
        <v>7.9061928000000004E-2</v>
      </c>
      <c r="N86">
        <v>7.7250440000000004E-2</v>
      </c>
      <c r="O86">
        <v>7.5483776000000002E-2</v>
      </c>
      <c r="P86">
        <v>7.3799192E-2</v>
      </c>
      <c r="Q86">
        <v>7.2188823999999999E-2</v>
      </c>
      <c r="R86">
        <v>7.0666976000000006E-2</v>
      </c>
      <c r="S86">
        <v>6.9257791999999999E-2</v>
      </c>
      <c r="T86">
        <v>6.7990159999999994E-2</v>
      </c>
      <c r="U86">
        <v>6.6878571999999997E-2</v>
      </c>
      <c r="V86">
        <v>6.5919443999999994E-2</v>
      </c>
      <c r="W86">
        <v>6.5113632000000005E-2</v>
      </c>
      <c r="X86">
        <v>6.4456327999999993E-2</v>
      </c>
      <c r="Y86">
        <v>6.3892571999999995E-2</v>
      </c>
      <c r="Z86">
        <v>6.3458587999999996E-2</v>
      </c>
      <c r="AA86">
        <v>6.3206232000000001E-2</v>
      </c>
      <c r="AB86">
        <v>6.3082444000000001E-2</v>
      </c>
      <c r="AC86">
        <v>-1.7068243354986471E-2</v>
      </c>
      <c r="AG86" s="67"/>
    </row>
    <row r="87" spans="1:33" x14ac:dyDescent="0.45">
      <c r="A87" t="s">
        <v>168</v>
      </c>
      <c r="B87" t="s">
        <v>169</v>
      </c>
      <c r="C87">
        <v>0.15743579199999999</v>
      </c>
      <c r="D87">
        <v>0.15289734399999999</v>
      </c>
      <c r="E87">
        <v>0.15377766400000001</v>
      </c>
      <c r="F87">
        <v>0.154119168</v>
      </c>
      <c r="G87">
        <v>0.15401436800000001</v>
      </c>
      <c r="H87">
        <v>0.15365110400000001</v>
      </c>
      <c r="I87">
        <v>0.15306988799999999</v>
      </c>
      <c r="J87">
        <v>0.15265783999999999</v>
      </c>
      <c r="K87">
        <v>0.152172368</v>
      </c>
      <c r="L87">
        <v>0.15165830399999999</v>
      </c>
      <c r="M87">
        <v>0.15102332800000001</v>
      </c>
      <c r="N87">
        <v>0.15022961600000001</v>
      </c>
      <c r="O87">
        <v>0.14910772799999999</v>
      </c>
      <c r="P87">
        <v>0.147685712</v>
      </c>
      <c r="Q87">
        <v>0.145907232</v>
      </c>
      <c r="R87">
        <v>0.14382793599999999</v>
      </c>
      <c r="S87">
        <v>0.14144376</v>
      </c>
      <c r="T87">
        <v>0.13901844799999999</v>
      </c>
      <c r="U87">
        <v>0.13644356799999999</v>
      </c>
      <c r="V87">
        <v>0.133819296</v>
      </c>
      <c r="W87">
        <v>0.13125719199999999</v>
      </c>
      <c r="X87">
        <v>0.12870858399999999</v>
      </c>
      <c r="Y87">
        <v>0.12613221599999999</v>
      </c>
      <c r="Z87">
        <v>0.12373096</v>
      </c>
      <c r="AA87">
        <v>0.12151582399999999</v>
      </c>
      <c r="AB87">
        <v>0.119520032</v>
      </c>
      <c r="AC87">
        <v>-1.096083609828913E-2</v>
      </c>
      <c r="AG87" s="67"/>
    </row>
    <row r="88" spans="1:33" x14ac:dyDescent="0.45">
      <c r="A88" t="s">
        <v>170</v>
      </c>
      <c r="B88" t="s">
        <v>895</v>
      </c>
      <c r="C88">
        <v>2.7444144640000001</v>
      </c>
      <c r="D88">
        <v>2.7689384960000001</v>
      </c>
      <c r="E88">
        <v>2.6761692159999999</v>
      </c>
      <c r="F88">
        <v>2.7168235520000001</v>
      </c>
      <c r="G88">
        <v>2.7528412160000002</v>
      </c>
      <c r="H88">
        <v>2.7829870080000001</v>
      </c>
      <c r="I88">
        <v>2.8105840639999999</v>
      </c>
      <c r="J88">
        <v>2.839232768</v>
      </c>
      <c r="K88">
        <v>2.8684070400000001</v>
      </c>
      <c r="L88">
        <v>2.9014566400000001</v>
      </c>
      <c r="M88">
        <v>2.9361768960000001</v>
      </c>
      <c r="N88">
        <v>2.9716925440000002</v>
      </c>
      <c r="O88">
        <v>3.0080798720000002</v>
      </c>
      <c r="P88">
        <v>3.0454021120000001</v>
      </c>
      <c r="Q88">
        <v>3.0824373760000001</v>
      </c>
      <c r="R88">
        <v>3.115484672</v>
      </c>
      <c r="S88">
        <v>3.1510883839999999</v>
      </c>
      <c r="T88">
        <v>3.18880512</v>
      </c>
      <c r="U88">
        <v>3.2288952320000002</v>
      </c>
      <c r="V88">
        <v>3.2702402560000001</v>
      </c>
      <c r="W88">
        <v>3.3076008959999998</v>
      </c>
      <c r="X88">
        <v>3.3483251200000002</v>
      </c>
      <c r="Y88">
        <v>3.3881464320000001</v>
      </c>
      <c r="Z88">
        <v>3.4280153599999998</v>
      </c>
      <c r="AA88">
        <v>3.4690979839999998</v>
      </c>
      <c r="AB88">
        <v>3.51106432</v>
      </c>
      <c r="AC88">
        <v>9.9027700842313493E-3</v>
      </c>
      <c r="AG88" s="67"/>
    </row>
    <row r="89" spans="1:33" x14ac:dyDescent="0.45">
      <c r="A89" t="s">
        <v>172</v>
      </c>
      <c r="B89" t="s">
        <v>896</v>
      </c>
      <c r="C89">
        <v>11.642869148000001</v>
      </c>
      <c r="D89">
        <v>11.446619284000001</v>
      </c>
      <c r="E89">
        <v>11.454411408</v>
      </c>
      <c r="F89">
        <v>11.481711519999999</v>
      </c>
      <c r="G89">
        <v>11.454556452</v>
      </c>
      <c r="H89">
        <v>11.39032488</v>
      </c>
      <c r="I89">
        <v>11.318034340000001</v>
      </c>
      <c r="J89">
        <v>11.25566029</v>
      </c>
      <c r="K89">
        <v>11.198970846</v>
      </c>
      <c r="L89">
        <v>11.155685633999999</v>
      </c>
      <c r="M89">
        <v>11.122119698000001</v>
      </c>
      <c r="N89">
        <v>11.095995606000001</v>
      </c>
      <c r="O89">
        <v>11.072501852</v>
      </c>
      <c r="P89">
        <v>11.05561513</v>
      </c>
      <c r="Q89">
        <v>11.041764786</v>
      </c>
      <c r="R89">
        <v>11.025433714</v>
      </c>
      <c r="S89">
        <v>11.015616120000001</v>
      </c>
      <c r="T89">
        <v>11.018186642</v>
      </c>
      <c r="U89">
        <v>11.029611914</v>
      </c>
      <c r="V89">
        <v>11.045302636000001</v>
      </c>
      <c r="W89">
        <v>11.060591302000001</v>
      </c>
      <c r="X89">
        <v>11.076776885999999</v>
      </c>
      <c r="Y89">
        <v>11.089347888000001</v>
      </c>
      <c r="Z89">
        <v>11.102238337999999</v>
      </c>
      <c r="AA89">
        <v>11.119299192</v>
      </c>
      <c r="AB89">
        <v>11.139188036</v>
      </c>
      <c r="AC89">
        <v>-1.7674185817179171E-3</v>
      </c>
      <c r="AG89" s="67"/>
    </row>
    <row r="90" spans="1:33" x14ac:dyDescent="0.45">
      <c r="A90" t="s">
        <v>897</v>
      </c>
      <c r="B90" t="s">
        <v>898</v>
      </c>
      <c r="C90">
        <v>7.0134922862052917E-2</v>
      </c>
      <c r="D90">
        <v>9.1486945748329163E-2</v>
      </c>
      <c r="E90">
        <v>0.1193008199334145</v>
      </c>
      <c r="F90">
        <v>0.15019077062606809</v>
      </c>
      <c r="G90">
        <v>0.18050052225589749</v>
      </c>
      <c r="H90">
        <v>0.20873008668422699</v>
      </c>
      <c r="I90">
        <v>0.23311989009380341</v>
      </c>
      <c r="J90">
        <v>0.25518804788589478</v>
      </c>
      <c r="K90">
        <v>0.2769947350025177</v>
      </c>
      <c r="L90">
        <v>0.29923674464225769</v>
      </c>
      <c r="M90">
        <v>0.32176563143730158</v>
      </c>
      <c r="N90">
        <v>0.3443218469619751</v>
      </c>
      <c r="O90">
        <v>0.36690127849578857</v>
      </c>
      <c r="P90">
        <v>0.38932192325592041</v>
      </c>
      <c r="Q90">
        <v>0.41114059090614319</v>
      </c>
      <c r="R90">
        <v>0.43246880173683172</v>
      </c>
      <c r="S90">
        <v>0.4527735710144043</v>
      </c>
      <c r="T90">
        <v>0.47238817811012268</v>
      </c>
      <c r="U90">
        <v>0.49130412936210632</v>
      </c>
      <c r="V90">
        <v>0.50966900587081909</v>
      </c>
      <c r="W90">
        <v>0.52751326560974121</v>
      </c>
      <c r="X90">
        <v>0.54464465379714966</v>
      </c>
      <c r="Y90">
        <v>0.56095385551452637</v>
      </c>
      <c r="Z90">
        <v>0.57689332962036133</v>
      </c>
      <c r="AA90">
        <v>0.59221106767654419</v>
      </c>
      <c r="AB90">
        <v>0.60719448328018188</v>
      </c>
      <c r="AC90">
        <v>9.0173798143279749E-2</v>
      </c>
      <c r="AG90" s="67"/>
    </row>
    <row r="91" spans="1:33" x14ac:dyDescent="0.45">
      <c r="A91" t="s">
        <v>174</v>
      </c>
      <c r="B91" t="s">
        <v>175</v>
      </c>
      <c r="C91">
        <v>0.18513305485248571</v>
      </c>
      <c r="D91">
        <v>0.19618113338947299</v>
      </c>
      <c r="E91">
        <v>0.20806993544101721</v>
      </c>
      <c r="F91">
        <v>0.2202898561954498</v>
      </c>
      <c r="G91">
        <v>0.23191364109516141</v>
      </c>
      <c r="H91">
        <v>0.24404700100421911</v>
      </c>
      <c r="I91">
        <v>0.25698700547218323</v>
      </c>
      <c r="J91">
        <v>0.26999360322952271</v>
      </c>
      <c r="K91">
        <v>0.28355693817138672</v>
      </c>
      <c r="L91">
        <v>0.29791304469108582</v>
      </c>
      <c r="M91">
        <v>0.31315085291862488</v>
      </c>
      <c r="N91">
        <v>0.32913258671760559</v>
      </c>
      <c r="O91">
        <v>0.3461628258228302</v>
      </c>
      <c r="P91">
        <v>0.36398994922637939</v>
      </c>
      <c r="Q91">
        <v>0.38263362646102911</v>
      </c>
      <c r="R91">
        <v>0.40191635489463812</v>
      </c>
      <c r="S91">
        <v>0.42191752791404719</v>
      </c>
      <c r="T91">
        <v>0.44253355264663702</v>
      </c>
      <c r="U91">
        <v>0.46366396546363831</v>
      </c>
      <c r="V91">
        <v>0.48558345437049871</v>
      </c>
      <c r="W91">
        <v>0.50805890560150146</v>
      </c>
      <c r="X91">
        <v>0.53128021955490112</v>
      </c>
      <c r="Y91">
        <v>0.55522787570953369</v>
      </c>
      <c r="Z91">
        <v>0.58007967472076416</v>
      </c>
      <c r="AA91">
        <v>0.60541057586669922</v>
      </c>
      <c r="AB91">
        <v>0.63153308629989624</v>
      </c>
      <c r="AC91">
        <v>5.0307545821676403E-2</v>
      </c>
      <c r="AG91" s="67"/>
    </row>
    <row r="92" spans="1:33" x14ac:dyDescent="0.45">
      <c r="A92" t="s">
        <v>176</v>
      </c>
      <c r="B92" t="s">
        <v>899</v>
      </c>
      <c r="C92">
        <v>11.52787101600957</v>
      </c>
      <c r="D92">
        <v>11.34192509635886</v>
      </c>
      <c r="E92">
        <v>11.365642292492399</v>
      </c>
      <c r="F92">
        <v>11.411612434430619</v>
      </c>
      <c r="G92">
        <v>11.40314333316074</v>
      </c>
      <c r="H92">
        <v>11.355007965680009</v>
      </c>
      <c r="I92">
        <v>11.294167224621621</v>
      </c>
      <c r="J92">
        <v>11.24085473465637</v>
      </c>
      <c r="K92">
        <v>11.192408642831129</v>
      </c>
      <c r="L92">
        <v>11.157009333951169</v>
      </c>
      <c r="M92">
        <v>11.130734476518681</v>
      </c>
      <c r="N92">
        <v>11.11118486624437</v>
      </c>
      <c r="O92">
        <v>11.09324030467296</v>
      </c>
      <c r="P92">
        <v>11.080947104029541</v>
      </c>
      <c r="Q92">
        <v>11.070271750445119</v>
      </c>
      <c r="R92">
        <v>11.05598616084219</v>
      </c>
      <c r="S92">
        <v>11.04647216310036</v>
      </c>
      <c r="T92">
        <v>11.048041267463489</v>
      </c>
      <c r="U92">
        <v>11.05725207789847</v>
      </c>
      <c r="V92">
        <v>11.069388187500319</v>
      </c>
      <c r="W92">
        <v>11.08004566200824</v>
      </c>
      <c r="X92">
        <v>11.09014132024225</v>
      </c>
      <c r="Y92">
        <v>11.095073867805</v>
      </c>
      <c r="Z92">
        <v>11.0990519928996</v>
      </c>
      <c r="AA92">
        <v>11.106099683809839</v>
      </c>
      <c r="AB92">
        <v>11.114849432980289</v>
      </c>
      <c r="AC92">
        <v>-1.4583623084174491E-3</v>
      </c>
      <c r="AG92" s="67"/>
    </row>
    <row r="93" spans="1:33" x14ac:dyDescent="0.45">
      <c r="AG93" s="67"/>
    </row>
    <row r="94" spans="1:33" x14ac:dyDescent="0.45">
      <c r="A94" t="s">
        <v>178</v>
      </c>
      <c r="B94" t="s">
        <v>900</v>
      </c>
      <c r="C94">
        <v>7.1676516532897949</v>
      </c>
      <c r="D94">
        <v>7.1545977592468262</v>
      </c>
      <c r="E94">
        <v>6.514531135559082</v>
      </c>
      <c r="F94">
        <v>6.3125262260437012</v>
      </c>
      <c r="G94">
        <v>6.2211818695068359</v>
      </c>
      <c r="H94">
        <v>6.1316671371459961</v>
      </c>
      <c r="I94">
        <v>5.9451780319213867</v>
      </c>
      <c r="J94">
        <v>5.8393311500549316</v>
      </c>
      <c r="K94">
        <v>5.7834558486938477</v>
      </c>
      <c r="L94">
        <v>5.6923151016235352</v>
      </c>
      <c r="M94">
        <v>5.6339974403381348</v>
      </c>
      <c r="N94">
        <v>5.5780782699584961</v>
      </c>
      <c r="O94">
        <v>5.5564055442810059</v>
      </c>
      <c r="P94">
        <v>5.5518922805786133</v>
      </c>
      <c r="Q94">
        <v>5.5371222496032706</v>
      </c>
      <c r="R94">
        <v>5.5038857460021973</v>
      </c>
      <c r="S94">
        <v>5.4754343032836914</v>
      </c>
      <c r="T94">
        <v>5.4789481163024902</v>
      </c>
      <c r="U94">
        <v>5.4940376281738281</v>
      </c>
      <c r="V94">
        <v>5.5118722915649414</v>
      </c>
      <c r="W94">
        <v>5.5274820327758789</v>
      </c>
      <c r="X94">
        <v>5.5468564033508301</v>
      </c>
      <c r="Y94">
        <v>5.5688819885253906</v>
      </c>
      <c r="Z94">
        <v>5.5885734558105469</v>
      </c>
      <c r="AA94">
        <v>5.5896444320678711</v>
      </c>
      <c r="AB94">
        <v>5.6078219413757324</v>
      </c>
      <c r="AC94">
        <v>-9.7686013391723447E-3</v>
      </c>
      <c r="AG94" s="67"/>
    </row>
    <row r="95" spans="1:33" x14ac:dyDescent="0.45">
      <c r="AG95" s="67"/>
    </row>
    <row r="96" spans="1:33" x14ac:dyDescent="0.45">
      <c r="B96" t="s">
        <v>180</v>
      </c>
      <c r="AG96" s="67"/>
    </row>
    <row r="97" spans="1:33" x14ac:dyDescent="0.45">
      <c r="A97" t="s">
        <v>181</v>
      </c>
      <c r="B97" t="s">
        <v>145</v>
      </c>
      <c r="C97">
        <v>5.6764186818814144</v>
      </c>
      <c r="D97">
        <v>5.3520022730703909</v>
      </c>
      <c r="E97">
        <v>5.3777859240864672</v>
      </c>
      <c r="F97">
        <v>5.3172510493583598</v>
      </c>
      <c r="G97">
        <v>5.2487986956268049</v>
      </c>
      <c r="H97">
        <v>5.167058990051431</v>
      </c>
      <c r="I97">
        <v>5.0722079230264336</v>
      </c>
      <c r="J97">
        <v>4.9898533375754912</v>
      </c>
      <c r="K97">
        <v>4.9145239824052087</v>
      </c>
      <c r="L97">
        <v>4.8376088730320381</v>
      </c>
      <c r="M97">
        <v>4.7658439178703942</v>
      </c>
      <c r="N97">
        <v>4.6970881952929124</v>
      </c>
      <c r="O97">
        <v>4.6305017718172357</v>
      </c>
      <c r="P97">
        <v>4.5679314103099307</v>
      </c>
      <c r="Q97">
        <v>4.5047994521334784</v>
      </c>
      <c r="R97">
        <v>4.4419416399117067</v>
      </c>
      <c r="S97">
        <v>4.3798620123739953</v>
      </c>
      <c r="T97">
        <v>4.3258800585984778</v>
      </c>
      <c r="U97">
        <v>4.2753310281595223</v>
      </c>
      <c r="V97">
        <v>4.2269826981237903</v>
      </c>
      <c r="W97">
        <v>4.1814090215363464</v>
      </c>
      <c r="X97">
        <v>4.1347757977555712</v>
      </c>
      <c r="Y97">
        <v>4.0866757310010184</v>
      </c>
      <c r="Z97">
        <v>4.0391635229969838</v>
      </c>
      <c r="AA97">
        <v>3.991318785419872</v>
      </c>
      <c r="AB97">
        <v>3.945525484524627</v>
      </c>
      <c r="AC97">
        <v>-1.444420186604334E-2</v>
      </c>
      <c r="AG97" s="67"/>
    </row>
    <row r="98" spans="1:33" x14ac:dyDescent="0.45">
      <c r="A98" t="s">
        <v>182</v>
      </c>
      <c r="B98" t="s">
        <v>147</v>
      </c>
      <c r="C98">
        <v>2.2094278697787231</v>
      </c>
      <c r="D98">
        <v>2.335922392295553</v>
      </c>
      <c r="E98">
        <v>2.2649966173651981</v>
      </c>
      <c r="F98">
        <v>2.2407478404999521</v>
      </c>
      <c r="G98">
        <v>2.235737963038233</v>
      </c>
      <c r="H98">
        <v>2.227676489986115</v>
      </c>
      <c r="I98">
        <v>2.202204035881199</v>
      </c>
      <c r="J98">
        <v>2.1932576017821241</v>
      </c>
      <c r="K98">
        <v>2.194044851865756</v>
      </c>
      <c r="L98">
        <v>2.1894261447864389</v>
      </c>
      <c r="M98">
        <v>2.1917468198528418</v>
      </c>
      <c r="N98">
        <v>2.1960018208380321</v>
      </c>
      <c r="O98">
        <v>2.207364294562292</v>
      </c>
      <c r="P98">
        <v>2.2221276155829579</v>
      </c>
      <c r="Q98">
        <v>2.2351982998932569</v>
      </c>
      <c r="R98">
        <v>2.2471860192873159</v>
      </c>
      <c r="S98">
        <v>2.2607062533105182</v>
      </c>
      <c r="T98">
        <v>2.2827494763163059</v>
      </c>
      <c r="U98">
        <v>2.308032794910766</v>
      </c>
      <c r="V98">
        <v>2.3336317579067258</v>
      </c>
      <c r="W98">
        <v>2.3603219295338409</v>
      </c>
      <c r="X98">
        <v>2.3853510881160358</v>
      </c>
      <c r="Y98">
        <v>2.4099158567686572</v>
      </c>
      <c r="Z98">
        <v>2.4330039224294362</v>
      </c>
      <c r="AA98">
        <v>2.4533588645698998</v>
      </c>
      <c r="AB98">
        <v>2.4764382333479311</v>
      </c>
      <c r="AC98">
        <v>4.5739379489091458E-3</v>
      </c>
      <c r="AG98" s="67"/>
    </row>
    <row r="99" spans="1:33" x14ac:dyDescent="0.45">
      <c r="A99" t="s">
        <v>183</v>
      </c>
      <c r="B99" t="s">
        <v>149</v>
      </c>
      <c r="C99">
        <v>2.1733628668287461</v>
      </c>
      <c r="D99">
        <v>2.158101960445471</v>
      </c>
      <c r="E99">
        <v>2.1085111619440311</v>
      </c>
      <c r="F99">
        <v>2.083219376174485</v>
      </c>
      <c r="G99">
        <v>2.0307463399599368</v>
      </c>
      <c r="H99">
        <v>1.970669072427059</v>
      </c>
      <c r="I99">
        <v>1.9043773303973379</v>
      </c>
      <c r="J99">
        <v>1.849611131693927</v>
      </c>
      <c r="K99">
        <v>1.801234847015361</v>
      </c>
      <c r="L99">
        <v>1.757063549446791</v>
      </c>
      <c r="M99">
        <v>1.720467607613096</v>
      </c>
      <c r="N99">
        <v>1.687359119112023</v>
      </c>
      <c r="O99">
        <v>1.658615967506512</v>
      </c>
      <c r="P99">
        <v>1.633856817736715</v>
      </c>
      <c r="Q99">
        <v>1.611573669457536</v>
      </c>
      <c r="R99">
        <v>1.591899705718298</v>
      </c>
      <c r="S99">
        <v>1.575004334633219</v>
      </c>
      <c r="T99">
        <v>1.562761423744174</v>
      </c>
      <c r="U99">
        <v>1.553943587243743</v>
      </c>
      <c r="V99">
        <v>1.544762350365001</v>
      </c>
      <c r="W99">
        <v>1.53490702433556</v>
      </c>
      <c r="X99">
        <v>1.5239091698670959</v>
      </c>
      <c r="Y99">
        <v>1.5121649344359609</v>
      </c>
      <c r="Z99">
        <v>1.5002295969259849</v>
      </c>
      <c r="AA99">
        <v>1.4883768507411059</v>
      </c>
      <c r="AB99">
        <v>1.4782548703576841</v>
      </c>
      <c r="AC99">
        <v>-1.529831055305042E-2</v>
      </c>
    </row>
    <row r="100" spans="1:33" x14ac:dyDescent="0.45">
      <c r="A100" t="s">
        <v>184</v>
      </c>
      <c r="B100" t="s">
        <v>151</v>
      </c>
      <c r="C100">
        <v>0.81318580934341234</v>
      </c>
      <c r="D100">
        <v>0.8054491787438427</v>
      </c>
      <c r="E100">
        <v>0.76688946145613635</v>
      </c>
      <c r="F100">
        <v>0.7454200393559034</v>
      </c>
      <c r="G100">
        <v>0.73357155594037526</v>
      </c>
      <c r="H100">
        <v>0.718951102528402</v>
      </c>
      <c r="I100">
        <v>0.69982884384376354</v>
      </c>
      <c r="J100">
        <v>0.68631837891994962</v>
      </c>
      <c r="K100">
        <v>0.67610478080360381</v>
      </c>
      <c r="L100">
        <v>0.66384169435440743</v>
      </c>
      <c r="M100">
        <v>0.65379855336975745</v>
      </c>
      <c r="N100">
        <v>0.64453291570401583</v>
      </c>
      <c r="O100">
        <v>0.63789953112844533</v>
      </c>
      <c r="P100">
        <v>0.63291452719734675</v>
      </c>
      <c r="Q100">
        <v>0.62812369566339799</v>
      </c>
      <c r="R100">
        <v>0.62342964635230458</v>
      </c>
      <c r="S100">
        <v>0.619605580502397</v>
      </c>
      <c r="T100">
        <v>0.61806310849497992</v>
      </c>
      <c r="U100">
        <v>0.61772973902719053</v>
      </c>
      <c r="V100">
        <v>0.61830670074305749</v>
      </c>
      <c r="W100">
        <v>0.61984531836869805</v>
      </c>
      <c r="X100">
        <v>0.62247416114020382</v>
      </c>
      <c r="Y100">
        <v>0.62625508533278895</v>
      </c>
      <c r="Z100">
        <v>0.62990838797792903</v>
      </c>
      <c r="AA100">
        <v>0.63246172266414136</v>
      </c>
      <c r="AB100">
        <v>0.63583445640317271</v>
      </c>
      <c r="AC100">
        <v>-9.7925928428800324E-3</v>
      </c>
      <c r="AG100" s="67"/>
    </row>
    <row r="101" spans="1:33" x14ac:dyDescent="0.45">
      <c r="A101" t="s">
        <v>185</v>
      </c>
      <c r="B101" t="s">
        <v>153</v>
      </c>
      <c r="C101">
        <v>0.24671494028332419</v>
      </c>
      <c r="D101">
        <v>0.24765638879967811</v>
      </c>
      <c r="E101">
        <v>0.24244107109820379</v>
      </c>
      <c r="F101">
        <v>0.2405267406261436</v>
      </c>
      <c r="G101">
        <v>0.24037765006573539</v>
      </c>
      <c r="H101">
        <v>0.24057355952166959</v>
      </c>
      <c r="I101">
        <v>0.23960932857025541</v>
      </c>
      <c r="J101">
        <v>0.23964307891110259</v>
      </c>
      <c r="K101">
        <v>0.24023244602418181</v>
      </c>
      <c r="L101">
        <v>0.24023891969577879</v>
      </c>
      <c r="M101">
        <v>0.24062860992445659</v>
      </c>
      <c r="N101">
        <v>0.2410121149125822</v>
      </c>
      <c r="O101">
        <v>0.2418074782070638</v>
      </c>
      <c r="P101">
        <v>0.2427477614008732</v>
      </c>
      <c r="Q101">
        <v>0.24341902916350591</v>
      </c>
      <c r="R101">
        <v>0.24380972302828141</v>
      </c>
      <c r="S101">
        <v>0.24409318592166551</v>
      </c>
      <c r="T101">
        <v>0.24463466592683669</v>
      </c>
      <c r="U101">
        <v>0.2452069797834901</v>
      </c>
      <c r="V101">
        <v>0.2457616861189274</v>
      </c>
      <c r="W101">
        <v>0.24631249342662029</v>
      </c>
      <c r="X101">
        <v>0.24689195766019151</v>
      </c>
      <c r="Y101">
        <v>0.24752861609044899</v>
      </c>
      <c r="Z101">
        <v>0.2481359238688664</v>
      </c>
      <c r="AA101">
        <v>0.24847978475280261</v>
      </c>
      <c r="AB101">
        <v>0.2490472193244152</v>
      </c>
      <c r="AC101">
        <v>3.7642811501648049E-4</v>
      </c>
      <c r="AG101" s="67"/>
    </row>
    <row r="102" spans="1:33" x14ac:dyDescent="0.45">
      <c r="A102" t="s">
        <v>186</v>
      </c>
      <c r="B102" t="s">
        <v>155</v>
      </c>
      <c r="C102">
        <v>0.48234464075049349</v>
      </c>
      <c r="D102">
        <v>0.48131802446154109</v>
      </c>
      <c r="E102">
        <v>0.46428741051313122</v>
      </c>
      <c r="F102">
        <v>0.45725498563163808</v>
      </c>
      <c r="G102">
        <v>0.45374955478862228</v>
      </c>
      <c r="H102">
        <v>0.44909772043818319</v>
      </c>
      <c r="I102">
        <v>0.44026122144241658</v>
      </c>
      <c r="J102">
        <v>0.43360432277967131</v>
      </c>
      <c r="K102">
        <v>0.42929406069369103</v>
      </c>
      <c r="L102">
        <v>0.42442003170359338</v>
      </c>
      <c r="M102">
        <v>0.42136617981771018</v>
      </c>
      <c r="N102">
        <v>0.41921894237484508</v>
      </c>
      <c r="O102">
        <v>0.41879969075430162</v>
      </c>
      <c r="P102">
        <v>0.41978758404849331</v>
      </c>
      <c r="Q102">
        <v>0.42127791135464099</v>
      </c>
      <c r="R102">
        <v>0.42328962304228968</v>
      </c>
      <c r="S102">
        <v>0.42644010937544058</v>
      </c>
      <c r="T102">
        <v>0.43047681355453032</v>
      </c>
      <c r="U102">
        <v>0.43488706550108558</v>
      </c>
      <c r="V102">
        <v>0.43938018628687969</v>
      </c>
      <c r="W102">
        <v>0.44387321805177438</v>
      </c>
      <c r="X102">
        <v>0.44814105437674828</v>
      </c>
      <c r="Y102">
        <v>0.45219389863047571</v>
      </c>
      <c r="Z102">
        <v>0.45592952552554122</v>
      </c>
      <c r="AA102">
        <v>0.45907402051007418</v>
      </c>
      <c r="AB102">
        <v>0.46261622300866939</v>
      </c>
      <c r="AC102">
        <v>-1.669048086364366E-3</v>
      </c>
      <c r="AG102" s="67"/>
    </row>
    <row r="103" spans="1:33" x14ac:dyDescent="0.45">
      <c r="A103" t="s">
        <v>187</v>
      </c>
      <c r="B103" t="s">
        <v>157</v>
      </c>
      <c r="C103">
        <v>0.18442320911686599</v>
      </c>
      <c r="D103">
        <v>0.18312659707324941</v>
      </c>
      <c r="E103">
        <v>0.17485597932230601</v>
      </c>
      <c r="F103">
        <v>0.17043891785212839</v>
      </c>
      <c r="G103">
        <v>0.16800649690804101</v>
      </c>
      <c r="H103">
        <v>0.16515843310477599</v>
      </c>
      <c r="I103">
        <v>0.1610219421198448</v>
      </c>
      <c r="J103">
        <v>0.1579633912955985</v>
      </c>
      <c r="K103">
        <v>0.1556030800079983</v>
      </c>
      <c r="L103">
        <v>0.1527216794576135</v>
      </c>
      <c r="M103">
        <v>0.1502981023934056</v>
      </c>
      <c r="N103">
        <v>0.14791806881319991</v>
      </c>
      <c r="O103">
        <v>0.14600108629278091</v>
      </c>
      <c r="P103">
        <v>0.14432103177666589</v>
      </c>
      <c r="Q103">
        <v>0.1425540703610865</v>
      </c>
      <c r="R103">
        <v>0.14068824642808739</v>
      </c>
      <c r="S103">
        <v>0.13892688084953811</v>
      </c>
      <c r="T103">
        <v>0.13758607008865839</v>
      </c>
      <c r="U103">
        <v>0.13642142317834241</v>
      </c>
      <c r="V103">
        <v>0.13537257779122899</v>
      </c>
      <c r="W103">
        <v>0.13443825777677379</v>
      </c>
      <c r="X103">
        <v>0.13366647007242111</v>
      </c>
      <c r="Y103">
        <v>0.13307084875101211</v>
      </c>
      <c r="Z103">
        <v>0.13259565668134099</v>
      </c>
      <c r="AA103">
        <v>0.13205424478856961</v>
      </c>
      <c r="AB103">
        <v>0.13185768373982229</v>
      </c>
      <c r="AC103">
        <v>-1.333074709167059E-2</v>
      </c>
      <c r="AG103" s="67"/>
    </row>
    <row r="104" spans="1:33" x14ac:dyDescent="0.45">
      <c r="A104" t="s">
        <v>188</v>
      </c>
      <c r="B104" t="s">
        <v>890</v>
      </c>
      <c r="C104">
        <v>0.42535573277304201</v>
      </c>
      <c r="D104">
        <v>0.42110138785570289</v>
      </c>
      <c r="E104">
        <v>0.4051928043923525</v>
      </c>
      <c r="F104">
        <v>0.39970115029687708</v>
      </c>
      <c r="G104">
        <v>0.39825243790711651</v>
      </c>
      <c r="H104">
        <v>0.39307181868721108</v>
      </c>
      <c r="I104">
        <v>0.3848183680206001</v>
      </c>
      <c r="J104">
        <v>0.38011602622234619</v>
      </c>
      <c r="K104">
        <v>0.37755919763456008</v>
      </c>
      <c r="L104">
        <v>0.37399517859714559</v>
      </c>
      <c r="M104">
        <v>0.37162672347382109</v>
      </c>
      <c r="N104">
        <v>0.36933539311534691</v>
      </c>
      <c r="O104">
        <v>0.36792404537932227</v>
      </c>
      <c r="P104">
        <v>0.36700491119800399</v>
      </c>
      <c r="Q104">
        <v>0.3660627227467409</v>
      </c>
      <c r="R104">
        <v>0.35884705791217397</v>
      </c>
      <c r="S104">
        <v>0.35254952750891622</v>
      </c>
      <c r="T104">
        <v>0.34818269591905948</v>
      </c>
      <c r="U104">
        <v>0.34511408255135761</v>
      </c>
      <c r="V104">
        <v>0.3430295990054123</v>
      </c>
      <c r="W104">
        <v>0.34148756166699878</v>
      </c>
      <c r="X104">
        <v>0.34006065825227499</v>
      </c>
      <c r="Y104">
        <v>0.33872571840189208</v>
      </c>
      <c r="Z104">
        <v>0.33753679140080928</v>
      </c>
      <c r="AA104">
        <v>0.33615712111274387</v>
      </c>
      <c r="AB104">
        <v>0.33531432102638697</v>
      </c>
      <c r="AC104">
        <v>-9.4691811977454243E-3</v>
      </c>
    </row>
    <row r="105" spans="1:33" x14ac:dyDescent="0.45">
      <c r="A105" t="s">
        <v>189</v>
      </c>
      <c r="B105" t="s">
        <v>891</v>
      </c>
      <c r="C105">
        <v>9.4734021451028008E-2</v>
      </c>
      <c r="D105">
        <v>9.1842477481016399E-2</v>
      </c>
      <c r="E105">
        <v>8.5533603287784768E-2</v>
      </c>
      <c r="F105">
        <v>8.0919418070120513E-2</v>
      </c>
      <c r="G105">
        <v>7.7307522224994346E-2</v>
      </c>
      <c r="H105">
        <v>7.3555604928560989E-2</v>
      </c>
      <c r="I105">
        <v>6.9233364681977272E-2</v>
      </c>
      <c r="J105">
        <v>6.5304877379707485E-2</v>
      </c>
      <c r="K105">
        <v>6.2111279323504409E-2</v>
      </c>
      <c r="L105">
        <v>5.9148747604069907E-2</v>
      </c>
      <c r="M105">
        <v>5.6790074855312428E-2</v>
      </c>
      <c r="N105">
        <v>5.4889697305451332E-2</v>
      </c>
      <c r="O105">
        <v>5.3614304964438281E-2</v>
      </c>
      <c r="P105">
        <v>5.2914256097463988E-2</v>
      </c>
      <c r="Q105">
        <v>5.2688519544684682E-2</v>
      </c>
      <c r="R105">
        <v>5.2398619962923568E-2</v>
      </c>
      <c r="S105">
        <v>5.2117357395393221E-2</v>
      </c>
      <c r="T105">
        <v>5.1973679113025952E-2</v>
      </c>
      <c r="U105">
        <v>5.1879279647785062E-2</v>
      </c>
      <c r="V105">
        <v>5.1816454145975827E-2</v>
      </c>
      <c r="W105">
        <v>5.1786146135368381E-2</v>
      </c>
      <c r="X105">
        <v>5.1795421027661173E-2</v>
      </c>
      <c r="Y105">
        <v>5.1850326954789118E-2</v>
      </c>
      <c r="Z105">
        <v>5.1918340415785233E-2</v>
      </c>
      <c r="AA105">
        <v>5.1918010370819931E-2</v>
      </c>
      <c r="AB105">
        <v>5.2006119557720228E-2</v>
      </c>
      <c r="AC105">
        <v>-2.3703035369769251E-2</v>
      </c>
      <c r="AG105" s="67"/>
    </row>
    <row r="106" spans="1:33" x14ac:dyDescent="0.45">
      <c r="A106" t="s">
        <v>190</v>
      </c>
      <c r="B106" t="s">
        <v>892</v>
      </c>
      <c r="C106">
        <v>8.6448951541332725E-2</v>
      </c>
      <c r="D106">
        <v>8.7992773533175139E-2</v>
      </c>
      <c r="E106">
        <v>8.4672472821258754E-2</v>
      </c>
      <c r="F106">
        <v>8.2943361864479259E-2</v>
      </c>
      <c r="G106">
        <v>8.2092625400124575E-2</v>
      </c>
      <c r="H106">
        <v>8.1354821918953629E-2</v>
      </c>
      <c r="I106">
        <v>7.9925585798453602E-2</v>
      </c>
      <c r="J106">
        <v>7.8954251425738919E-2</v>
      </c>
      <c r="K106">
        <v>7.8455779724071542E-2</v>
      </c>
      <c r="L106">
        <v>7.782824287212281E-2</v>
      </c>
      <c r="M106">
        <v>7.755612117428802E-2</v>
      </c>
      <c r="N106">
        <v>7.7447359972361143E-2</v>
      </c>
      <c r="O106">
        <v>7.7725667636741935E-2</v>
      </c>
      <c r="P106">
        <v>7.8296635424038641E-2</v>
      </c>
      <c r="Q106">
        <v>7.8994528304156195E-2</v>
      </c>
      <c r="R106">
        <v>7.9577381612432274E-2</v>
      </c>
      <c r="S106">
        <v>8.0143793331769242E-2</v>
      </c>
      <c r="T106">
        <v>8.0888234785316052E-2</v>
      </c>
      <c r="U106">
        <v>8.1676430681637463E-2</v>
      </c>
      <c r="V106">
        <v>8.2479705599778852E-2</v>
      </c>
      <c r="W106">
        <v>8.3298341686469574E-2</v>
      </c>
      <c r="X106">
        <v>8.4145774905027643E-2</v>
      </c>
      <c r="Y106">
        <v>8.5036556194715451E-2</v>
      </c>
      <c r="Z106">
        <v>8.5922888312888135E-2</v>
      </c>
      <c r="AA106">
        <v>8.6674412608581941E-2</v>
      </c>
      <c r="AB106">
        <v>8.7554795103869709E-2</v>
      </c>
      <c r="AC106">
        <v>5.0855899174151453E-4</v>
      </c>
      <c r="AG106" s="67"/>
    </row>
    <row r="107" spans="1:33" x14ac:dyDescent="0.45">
      <c r="A107" t="s">
        <v>191</v>
      </c>
      <c r="B107" t="s">
        <v>893</v>
      </c>
      <c r="C107">
        <v>0.29041096528837063</v>
      </c>
      <c r="D107">
        <v>0.28235234587436298</v>
      </c>
      <c r="E107">
        <v>0.26479468715917232</v>
      </c>
      <c r="F107">
        <v>0.25425448129567058</v>
      </c>
      <c r="G107">
        <v>0.2466719909139701</v>
      </c>
      <c r="H107">
        <v>0.23922600532356139</v>
      </c>
      <c r="I107">
        <v>0.2301922575633977</v>
      </c>
      <c r="J107">
        <v>0.22325845259052679</v>
      </c>
      <c r="K107">
        <v>0.21771634025572109</v>
      </c>
      <c r="L107">
        <v>0.21175836608791371</v>
      </c>
      <c r="M107">
        <v>0.2067290985984897</v>
      </c>
      <c r="N107">
        <v>0.20206150763083491</v>
      </c>
      <c r="O107">
        <v>0.19822610776703059</v>
      </c>
      <c r="P107">
        <v>0.19499732337327561</v>
      </c>
      <c r="Q107">
        <v>0.1918588702471716</v>
      </c>
      <c r="R107">
        <v>0.18878724507271799</v>
      </c>
      <c r="S107">
        <v>0.18608231957595081</v>
      </c>
      <c r="T107">
        <v>0.18415377338788921</v>
      </c>
      <c r="U107">
        <v>0.18273498486123599</v>
      </c>
      <c r="V107">
        <v>0.18167524682852931</v>
      </c>
      <c r="W107">
        <v>0.18094056304597139</v>
      </c>
      <c r="X107">
        <v>0.18048394104656151</v>
      </c>
      <c r="Y107">
        <v>0.1801484872540064</v>
      </c>
      <c r="Z107">
        <v>0.17990637003580681</v>
      </c>
      <c r="AA107">
        <v>0.17953744059886509</v>
      </c>
      <c r="AB107">
        <v>0.17952766443011201</v>
      </c>
      <c r="AC107">
        <v>-1.9054826190392889E-2</v>
      </c>
      <c r="AG107" s="67"/>
    </row>
    <row r="108" spans="1:33" x14ac:dyDescent="0.45">
      <c r="A108" t="s">
        <v>192</v>
      </c>
      <c r="B108" t="s">
        <v>894</v>
      </c>
      <c r="C108">
        <v>0.2256776506537212</v>
      </c>
      <c r="D108">
        <v>0.22029384588689849</v>
      </c>
      <c r="E108">
        <v>0.2071882798442293</v>
      </c>
      <c r="F108">
        <v>0.1992122083039361</v>
      </c>
      <c r="G108">
        <v>0.19320816664584239</v>
      </c>
      <c r="H108">
        <v>0.1870455329481083</v>
      </c>
      <c r="I108">
        <v>0.17939273644367609</v>
      </c>
      <c r="J108">
        <v>0.17318900815442881</v>
      </c>
      <c r="K108">
        <v>0.16788297912356329</v>
      </c>
      <c r="L108">
        <v>0.16211424519331691</v>
      </c>
      <c r="M108">
        <v>0.1569397016522999</v>
      </c>
      <c r="N108">
        <v>0.15196089406417171</v>
      </c>
      <c r="O108">
        <v>0.1475473078547086</v>
      </c>
      <c r="P108">
        <v>0.14351528381354231</v>
      </c>
      <c r="Q108">
        <v>0.1395227950055058</v>
      </c>
      <c r="R108">
        <v>0.13558227607591719</v>
      </c>
      <c r="S108">
        <v>0.1319191632977173</v>
      </c>
      <c r="T108">
        <v>0.12887404586904111</v>
      </c>
      <c r="U108">
        <v>0.1262306826086019</v>
      </c>
      <c r="V108">
        <v>0.1239187700298149</v>
      </c>
      <c r="W108">
        <v>0.1219161543412516</v>
      </c>
      <c r="X108">
        <v>0.1202297955718772</v>
      </c>
      <c r="Y108">
        <v>0.11878063223337459</v>
      </c>
      <c r="Z108">
        <v>0.1175658296182102</v>
      </c>
      <c r="AA108">
        <v>0.1165029318132081</v>
      </c>
      <c r="AB108">
        <v>0.1158481809160775</v>
      </c>
      <c r="AC108">
        <v>-2.632049939931003E-2</v>
      </c>
      <c r="AG108" s="67"/>
    </row>
    <row r="109" spans="1:33" x14ac:dyDescent="0.45">
      <c r="A109" t="s">
        <v>193</v>
      </c>
      <c r="B109" t="s">
        <v>169</v>
      </c>
      <c r="C109">
        <v>0.36624160408285278</v>
      </c>
      <c r="D109">
        <v>0.35334690157787468</v>
      </c>
      <c r="E109">
        <v>0.33943380516548061</v>
      </c>
      <c r="F109">
        <v>0.33183321737644111</v>
      </c>
      <c r="G109">
        <v>0.32723421244068901</v>
      </c>
      <c r="H109">
        <v>0.32298255577717627</v>
      </c>
      <c r="I109">
        <v>0.315968434524316</v>
      </c>
      <c r="J109">
        <v>0.31153893963499218</v>
      </c>
      <c r="K109">
        <v>0.30822283142955281</v>
      </c>
      <c r="L109">
        <v>0.3037312296978007</v>
      </c>
      <c r="M109">
        <v>0.29978469585079481</v>
      </c>
      <c r="N109">
        <v>0.29551969881695428</v>
      </c>
      <c r="O109">
        <v>0.29145923816439911</v>
      </c>
      <c r="P109">
        <v>0.28720039201628489</v>
      </c>
      <c r="Q109">
        <v>0.282001890211659</v>
      </c>
      <c r="R109">
        <v>0.27594953159140889</v>
      </c>
      <c r="S109">
        <v>0.26941578606610989</v>
      </c>
      <c r="T109">
        <v>0.2635068051640842</v>
      </c>
      <c r="U109">
        <v>0.25753188519326031</v>
      </c>
      <c r="V109">
        <v>0.25156041313964561</v>
      </c>
      <c r="W109">
        <v>0.2457607045828942</v>
      </c>
      <c r="X109">
        <v>0.2400789375197698</v>
      </c>
      <c r="Y109">
        <v>0.23448835901419909</v>
      </c>
      <c r="Z109">
        <v>0.2292287524874897</v>
      </c>
      <c r="AA109">
        <v>0.2239802834267639</v>
      </c>
      <c r="AB109">
        <v>0.2194933710911926</v>
      </c>
      <c r="AC109">
        <v>-2.027058066643328E-2</v>
      </c>
      <c r="AG109" s="67"/>
    </row>
    <row r="110" spans="1:33" x14ac:dyDescent="0.45">
      <c r="A110" t="s">
        <v>194</v>
      </c>
      <c r="B110" t="s">
        <v>895</v>
      </c>
      <c r="C110">
        <v>5.4394083212918076</v>
      </c>
      <c r="D110">
        <v>5.4562158151548719</v>
      </c>
      <c r="E110">
        <v>5.0324087087289859</v>
      </c>
      <c r="F110">
        <v>5.0098464458255121</v>
      </c>
      <c r="G110">
        <v>5.0277623665602631</v>
      </c>
      <c r="H110">
        <v>5.044533812374528</v>
      </c>
      <c r="I110">
        <v>5.023543420312552</v>
      </c>
      <c r="J110">
        <v>5.0326491511996574</v>
      </c>
      <c r="K110">
        <v>5.0594797710006736</v>
      </c>
      <c r="L110">
        <v>5.0763900424942552</v>
      </c>
      <c r="M110">
        <v>5.1059983338062516</v>
      </c>
      <c r="N110">
        <v>5.135118134289165</v>
      </c>
      <c r="O110">
        <v>5.1772853340346803</v>
      </c>
      <c r="P110">
        <v>5.2258402633919907</v>
      </c>
      <c r="Q110">
        <v>5.2686156873688601</v>
      </c>
      <c r="R110">
        <v>5.2974974317642634</v>
      </c>
      <c r="S110">
        <v>5.3309084761633887</v>
      </c>
      <c r="T110">
        <v>5.378131935304661</v>
      </c>
      <c r="U110">
        <v>5.431978116003612</v>
      </c>
      <c r="V110">
        <v>5.4883640168042263</v>
      </c>
      <c r="W110">
        <v>5.5370587155273547</v>
      </c>
      <c r="X110">
        <v>5.5929296581276891</v>
      </c>
      <c r="Y110">
        <v>5.6490861365050131</v>
      </c>
      <c r="Z110">
        <v>5.7043994433238163</v>
      </c>
      <c r="AA110">
        <v>5.7533295902936246</v>
      </c>
      <c r="AB110">
        <v>5.8103400108726753</v>
      </c>
      <c r="AC110">
        <v>2.6422365836791251E-3</v>
      </c>
      <c r="AG110" s="67"/>
    </row>
    <row r="111" spans="1:33" x14ac:dyDescent="0.45">
      <c r="A111" t="s">
        <v>195</v>
      </c>
      <c r="B111" t="s">
        <v>196</v>
      </c>
      <c r="C111">
        <v>18.714155265065131</v>
      </c>
      <c r="D111">
        <v>18.476722362253629</v>
      </c>
      <c r="E111">
        <v>17.818991987184742</v>
      </c>
      <c r="F111">
        <v>17.613569232531649</v>
      </c>
      <c r="G111">
        <v>17.463517578420749</v>
      </c>
      <c r="H111">
        <v>17.280955520015741</v>
      </c>
      <c r="I111">
        <v>17.002584792626219</v>
      </c>
      <c r="J111">
        <v>16.815261949565262</v>
      </c>
      <c r="K111">
        <v>16.682466227307451</v>
      </c>
      <c r="L111">
        <v>16.530286945023281</v>
      </c>
      <c r="M111">
        <v>16.419574540252921</v>
      </c>
      <c r="N111">
        <v>16.319463862241889</v>
      </c>
      <c r="O111">
        <v>16.254771826069948</v>
      </c>
      <c r="P111">
        <v>16.213455813367581</v>
      </c>
      <c r="Q111">
        <v>16.166691141455679</v>
      </c>
      <c r="R111">
        <v>16.100884147760119</v>
      </c>
      <c r="S111">
        <v>16.047774780306021</v>
      </c>
      <c r="T111">
        <v>16.037862786267041</v>
      </c>
      <c r="U111">
        <v>16.048698079351631</v>
      </c>
      <c r="V111">
        <v>16.067042162888988</v>
      </c>
      <c r="W111">
        <v>16.083355450015919</v>
      </c>
      <c r="X111">
        <v>16.104933885439131</v>
      </c>
      <c r="Y111">
        <v>16.125921187568348</v>
      </c>
      <c r="Z111">
        <v>16.14544495200089</v>
      </c>
      <c r="AA111">
        <v>16.153224063671079</v>
      </c>
      <c r="AB111">
        <v>16.17965863370436</v>
      </c>
      <c r="AC111">
        <v>-5.8041063217070246E-3</v>
      </c>
      <c r="AG111" s="67"/>
    </row>
    <row r="112" spans="1:33" x14ac:dyDescent="0.45">
      <c r="A112" t="s">
        <v>901</v>
      </c>
      <c r="B112" t="s">
        <v>898</v>
      </c>
      <c r="C112">
        <v>0.16650426387786871</v>
      </c>
      <c r="D112">
        <v>0.21598678827285769</v>
      </c>
      <c r="E112">
        <v>0.26925423741340643</v>
      </c>
      <c r="F112">
        <v>0.33086007833480829</v>
      </c>
      <c r="G112">
        <v>0.39272016286849981</v>
      </c>
      <c r="H112">
        <v>0.44976556301116938</v>
      </c>
      <c r="I112">
        <v>0.49374240636825562</v>
      </c>
      <c r="J112">
        <v>0.53491902351379395</v>
      </c>
      <c r="K112">
        <v>0.57697665691375732</v>
      </c>
      <c r="L112">
        <v>0.61697202920913696</v>
      </c>
      <c r="M112">
        <v>0.65833103656768799</v>
      </c>
      <c r="N112">
        <v>0.69895559549331665</v>
      </c>
      <c r="O112">
        <v>0.74106138944625854</v>
      </c>
      <c r="P112">
        <v>0.78339946269989014</v>
      </c>
      <c r="Q112">
        <v>0.82336235046386719</v>
      </c>
      <c r="R112">
        <v>0.86093109846115112</v>
      </c>
      <c r="S112">
        <v>0.89607590436935425</v>
      </c>
      <c r="T112">
        <v>0.93168854713439941</v>
      </c>
      <c r="U112">
        <v>0.96628403663635254</v>
      </c>
      <c r="V112">
        <v>0.99982988834381104</v>
      </c>
      <c r="W112">
        <v>1.0322592258453369</v>
      </c>
      <c r="X112">
        <v>1.0633754730224609</v>
      </c>
      <c r="Y112">
        <v>1.093294620513916</v>
      </c>
      <c r="Z112">
        <v>1.122296094894409</v>
      </c>
      <c r="AA112">
        <v>1.147966623306274</v>
      </c>
      <c r="AB112">
        <v>1.174582958221436</v>
      </c>
      <c r="AC112">
        <v>8.1280406684162143E-2</v>
      </c>
      <c r="AG112" s="67"/>
    </row>
    <row r="113" spans="1:33" x14ac:dyDescent="0.45">
      <c r="A113" t="s">
        <v>197</v>
      </c>
      <c r="B113" t="s">
        <v>175</v>
      </c>
      <c r="C113">
        <v>0.18513305485248571</v>
      </c>
      <c r="D113">
        <v>0.19618113338947299</v>
      </c>
      <c r="E113">
        <v>0.20806993544101721</v>
      </c>
      <c r="F113">
        <v>0.2202898561954498</v>
      </c>
      <c r="G113">
        <v>0.23191364109516141</v>
      </c>
      <c r="H113">
        <v>0.24404700100421911</v>
      </c>
      <c r="I113">
        <v>0.25698700547218323</v>
      </c>
      <c r="J113">
        <v>0.26999360322952271</v>
      </c>
      <c r="K113">
        <v>0.28355693817138672</v>
      </c>
      <c r="L113">
        <v>0.29791304469108582</v>
      </c>
      <c r="M113">
        <v>0.31315085291862488</v>
      </c>
      <c r="N113">
        <v>0.32913258671760559</v>
      </c>
      <c r="O113">
        <v>0.3461628258228302</v>
      </c>
      <c r="P113">
        <v>0.36398994922637939</v>
      </c>
      <c r="Q113">
        <v>0.38263362646102911</v>
      </c>
      <c r="R113">
        <v>0.40191635489463812</v>
      </c>
      <c r="S113">
        <v>0.42191752791404719</v>
      </c>
      <c r="T113">
        <v>0.44253355264663702</v>
      </c>
      <c r="U113">
        <v>0.46366396546363831</v>
      </c>
      <c r="V113">
        <v>0.48558345437049871</v>
      </c>
      <c r="W113">
        <v>0.50805890560150146</v>
      </c>
      <c r="X113">
        <v>0.53128021955490112</v>
      </c>
      <c r="Y113">
        <v>0.55522787570953369</v>
      </c>
      <c r="Z113">
        <v>0.58007967472076416</v>
      </c>
      <c r="AA113">
        <v>0.60541057586669922</v>
      </c>
      <c r="AB113">
        <v>0.63153308629989624</v>
      </c>
      <c r="AC113">
        <v>5.0307545821676403E-2</v>
      </c>
      <c r="AG113" s="67"/>
    </row>
    <row r="114" spans="1:33" x14ac:dyDescent="0.45">
      <c r="A114" t="s">
        <v>199</v>
      </c>
      <c r="B114" t="s">
        <v>902</v>
      </c>
      <c r="C114">
        <v>18.695526474090521</v>
      </c>
      <c r="D114">
        <v>18.49652801713701</v>
      </c>
      <c r="E114">
        <v>17.880176289157131</v>
      </c>
      <c r="F114">
        <v>17.724139454671011</v>
      </c>
      <c r="G114">
        <v>17.624324100194091</v>
      </c>
      <c r="H114">
        <v>17.486674082022692</v>
      </c>
      <c r="I114">
        <v>17.239340193522299</v>
      </c>
      <c r="J114">
        <v>17.080187369849529</v>
      </c>
      <c r="K114">
        <v>16.975885946049821</v>
      </c>
      <c r="L114">
        <v>16.849345929541339</v>
      </c>
      <c r="M114">
        <v>16.76475472390198</v>
      </c>
      <c r="N114">
        <v>16.6892868710176</v>
      </c>
      <c r="O114">
        <v>16.64967038969338</v>
      </c>
      <c r="P114">
        <v>16.632865326841092</v>
      </c>
      <c r="Q114">
        <v>16.607419865458521</v>
      </c>
      <c r="R114">
        <v>16.55989889132664</v>
      </c>
      <c r="S114">
        <v>16.521933156761321</v>
      </c>
      <c r="T114">
        <v>16.5270177807548</v>
      </c>
      <c r="U114">
        <v>16.551318150524349</v>
      </c>
      <c r="V114">
        <v>16.581288596862301</v>
      </c>
      <c r="W114">
        <v>16.607555770259761</v>
      </c>
      <c r="X114">
        <v>16.637029138906691</v>
      </c>
      <c r="Y114">
        <v>16.663987932372731</v>
      </c>
      <c r="Z114">
        <v>16.687661372174539</v>
      </c>
      <c r="AA114">
        <v>16.695780111110651</v>
      </c>
      <c r="AB114">
        <v>16.722708505625899</v>
      </c>
      <c r="AC114">
        <v>-4.4507333100763944E-3</v>
      </c>
      <c r="AG114" s="67"/>
    </row>
    <row r="116" spans="1:33" x14ac:dyDescent="0.45">
      <c r="B116" t="s">
        <v>903</v>
      </c>
      <c r="AG116" s="67"/>
    </row>
    <row r="117" spans="1:33" x14ac:dyDescent="0.45">
      <c r="A117" t="s">
        <v>204</v>
      </c>
      <c r="B117" t="s">
        <v>205</v>
      </c>
      <c r="C117">
        <v>4.9685503999999998E-2</v>
      </c>
      <c r="D117">
        <v>4.8801575999999999E-2</v>
      </c>
      <c r="E117">
        <v>4.9416995999999998E-2</v>
      </c>
      <c r="F117">
        <v>4.8901359999999998E-2</v>
      </c>
      <c r="G117">
        <v>4.8594643999999999E-2</v>
      </c>
      <c r="H117">
        <v>4.8425808000000001E-2</v>
      </c>
      <c r="I117">
        <v>4.8258632000000003E-2</v>
      </c>
      <c r="J117">
        <v>4.7826232000000003E-2</v>
      </c>
      <c r="K117">
        <v>4.7666991999999998E-2</v>
      </c>
      <c r="L117">
        <v>4.7592375999999999E-2</v>
      </c>
      <c r="M117">
        <v>4.7389559999999997E-2</v>
      </c>
      <c r="N117">
        <v>4.7232855999999997E-2</v>
      </c>
      <c r="O117">
        <v>4.7174232000000003E-2</v>
      </c>
      <c r="P117">
        <v>4.7139920000000002E-2</v>
      </c>
      <c r="Q117">
        <v>4.7047671999999999E-2</v>
      </c>
      <c r="R117">
        <v>4.7018655999999999E-2</v>
      </c>
      <c r="S117">
        <v>4.6748188000000003E-2</v>
      </c>
      <c r="T117">
        <v>4.6572684000000003E-2</v>
      </c>
      <c r="U117">
        <v>4.6285883999999999E-2</v>
      </c>
      <c r="V117">
        <v>4.6040240000000003E-2</v>
      </c>
      <c r="W117">
        <v>4.5849444000000003E-2</v>
      </c>
      <c r="X117">
        <v>4.5748400000000002E-2</v>
      </c>
      <c r="Y117">
        <v>4.5539695999999998E-2</v>
      </c>
      <c r="Z117">
        <v>4.5423287999999999E-2</v>
      </c>
      <c r="AA117">
        <v>4.5241115999999998E-2</v>
      </c>
      <c r="AB117">
        <v>4.4973751999999999E-2</v>
      </c>
      <c r="AC117">
        <v>-3.9774365555526048E-3</v>
      </c>
      <c r="AG117" s="67"/>
    </row>
    <row r="118" spans="1:33" x14ac:dyDescent="0.45">
      <c r="A118" t="s">
        <v>206</v>
      </c>
      <c r="B118" t="s">
        <v>904</v>
      </c>
      <c r="C118">
        <v>0.22438438236713409</v>
      </c>
      <c r="D118">
        <v>0.23718477785587311</v>
      </c>
      <c r="E118">
        <v>0.25163364410400391</v>
      </c>
      <c r="F118">
        <v>0.26653721928596502</v>
      </c>
      <c r="G118">
        <v>0.28042688965797419</v>
      </c>
      <c r="H118">
        <v>0.29501697421073908</v>
      </c>
      <c r="I118">
        <v>0.31080970168113708</v>
      </c>
      <c r="J118">
        <v>0.32653322815895081</v>
      </c>
      <c r="K118">
        <v>0.34300875663757319</v>
      </c>
      <c r="L118">
        <v>0.36046761274337769</v>
      </c>
      <c r="M118">
        <v>0.37908229231834412</v>
      </c>
      <c r="N118">
        <v>0.39858260750770569</v>
      </c>
      <c r="O118">
        <v>0.41947066783905029</v>
      </c>
      <c r="P118">
        <v>0.4413415789604187</v>
      </c>
      <c r="Q118">
        <v>0.46438413858413702</v>
      </c>
      <c r="R118">
        <v>0.48823532462120062</v>
      </c>
      <c r="S118">
        <v>0.51302868127822876</v>
      </c>
      <c r="T118">
        <v>0.53851747512817383</v>
      </c>
      <c r="U118">
        <v>0.56479382514953613</v>
      </c>
      <c r="V118">
        <v>0.5920870304107666</v>
      </c>
      <c r="W118">
        <v>0.61999595165252686</v>
      </c>
      <c r="X118">
        <v>0.64872235059738159</v>
      </c>
      <c r="Y118">
        <v>0.67828959226608276</v>
      </c>
      <c r="Z118">
        <v>0.70909136533737183</v>
      </c>
      <c r="AA118">
        <v>0.74038064479827881</v>
      </c>
      <c r="AB118">
        <v>0.7727934718132019</v>
      </c>
      <c r="AC118">
        <v>5.0709920490154207E-2</v>
      </c>
      <c r="AG118" s="67"/>
    </row>
    <row r="119" spans="1:33" x14ac:dyDescent="0.45">
      <c r="A119" t="s">
        <v>208</v>
      </c>
      <c r="B119" t="s">
        <v>905</v>
      </c>
      <c r="C119">
        <v>5.8779853861778975E-4</v>
      </c>
      <c r="D119">
        <v>5.883243284188211E-4</v>
      </c>
      <c r="E119">
        <v>5.8896513655781746E-4</v>
      </c>
      <c r="F119">
        <v>5.8960117166861892E-4</v>
      </c>
      <c r="G119">
        <v>5.9062830405309796E-4</v>
      </c>
      <c r="H119">
        <v>5.9240957489237189E-4</v>
      </c>
      <c r="I119">
        <v>5.9563992545008659E-4</v>
      </c>
      <c r="J119">
        <v>6.006661569699645E-4</v>
      </c>
      <c r="K119">
        <v>6.0838687932118773E-4</v>
      </c>
      <c r="L119">
        <v>6.1899487627670169E-4</v>
      </c>
      <c r="M119">
        <v>6.3164823222905397E-4</v>
      </c>
      <c r="N119">
        <v>6.4583314815536141E-4</v>
      </c>
      <c r="O119">
        <v>6.6153763327747583E-4</v>
      </c>
      <c r="P119">
        <v>6.7802233388647437E-4</v>
      </c>
      <c r="Q119">
        <v>6.9491489557549357E-4</v>
      </c>
      <c r="R119">
        <v>7.1281311102211475E-4</v>
      </c>
      <c r="S119">
        <v>7.3276489274576306E-4</v>
      </c>
      <c r="T119">
        <v>7.5405789539217949E-4</v>
      </c>
      <c r="U119">
        <v>7.7602959936484694E-4</v>
      </c>
      <c r="V119">
        <v>7.985290139913559E-4</v>
      </c>
      <c r="W119">
        <v>8.2174333510920405E-4</v>
      </c>
      <c r="X119">
        <v>8.4689923096448183E-4</v>
      </c>
      <c r="Y119">
        <v>8.7301706662401557E-4</v>
      </c>
      <c r="Z119">
        <v>9.0274040121585131E-4</v>
      </c>
      <c r="AA119">
        <v>9.3279540305957198E-4</v>
      </c>
      <c r="AB119">
        <v>9.6316100098192692E-4</v>
      </c>
      <c r="AC119">
        <v>1.99498431218279E-2</v>
      </c>
      <c r="AG119" s="67"/>
    </row>
    <row r="120" spans="1:33" x14ac:dyDescent="0.45">
      <c r="A120" t="s">
        <v>210</v>
      </c>
      <c r="B120" t="s">
        <v>211</v>
      </c>
      <c r="C120">
        <v>0.27465768490575188</v>
      </c>
      <c r="D120">
        <v>0.28657467818429189</v>
      </c>
      <c r="E120">
        <v>0.30163960524056171</v>
      </c>
      <c r="F120">
        <v>0.31602818045763359</v>
      </c>
      <c r="G120">
        <v>0.32961216196202742</v>
      </c>
      <c r="H120">
        <v>0.34403519178563152</v>
      </c>
      <c r="I120">
        <v>0.3596639736065872</v>
      </c>
      <c r="J120">
        <v>0.37496012631592079</v>
      </c>
      <c r="K120">
        <v>0.39128413551689439</v>
      </c>
      <c r="L120">
        <v>0.40867898361965438</v>
      </c>
      <c r="M120">
        <v>0.42710350055057322</v>
      </c>
      <c r="N120">
        <v>0.44646129665586098</v>
      </c>
      <c r="O120">
        <v>0.46730643747232781</v>
      </c>
      <c r="P120">
        <v>0.48915952129430518</v>
      </c>
      <c r="Q120">
        <v>0.5121267254797125</v>
      </c>
      <c r="R120">
        <v>0.53596679373222267</v>
      </c>
      <c r="S120">
        <v>0.56050963417097455</v>
      </c>
      <c r="T120">
        <v>0.58584421702356604</v>
      </c>
      <c r="U120">
        <v>0.61185573874890098</v>
      </c>
      <c r="V120">
        <v>0.63892579942475791</v>
      </c>
      <c r="W120">
        <v>0.66666713898763608</v>
      </c>
      <c r="X120">
        <v>0.6953176498283461</v>
      </c>
      <c r="Y120">
        <v>0.72470230533270674</v>
      </c>
      <c r="Z120">
        <v>0.75541739373858763</v>
      </c>
      <c r="AA120">
        <v>0.78655455620133841</v>
      </c>
      <c r="AB120">
        <v>0.81873038481418381</v>
      </c>
      <c r="AC120">
        <v>4.4657595130769501E-2</v>
      </c>
      <c r="AG120" s="67"/>
    </row>
    <row r="121" spans="1:33" x14ac:dyDescent="0.45">
      <c r="AG121" s="67"/>
    </row>
    <row r="122" spans="1:33" x14ac:dyDescent="0.45">
      <c r="B122" t="s">
        <v>212</v>
      </c>
      <c r="AG122" s="67"/>
    </row>
    <row r="123" spans="1:33" x14ac:dyDescent="0.45">
      <c r="A123" t="s">
        <v>213</v>
      </c>
      <c r="B123" t="s">
        <v>214</v>
      </c>
      <c r="C123">
        <v>6045</v>
      </c>
      <c r="D123">
        <v>5873</v>
      </c>
      <c r="E123">
        <v>5850</v>
      </c>
      <c r="F123">
        <v>5826</v>
      </c>
      <c r="G123">
        <v>5803</v>
      </c>
      <c r="H123">
        <v>5779</v>
      </c>
      <c r="I123">
        <v>5755</v>
      </c>
      <c r="J123">
        <v>5732</v>
      </c>
      <c r="K123">
        <v>5708</v>
      </c>
      <c r="L123">
        <v>5684</v>
      </c>
      <c r="M123">
        <v>5661</v>
      </c>
      <c r="N123">
        <v>5637</v>
      </c>
      <c r="O123">
        <v>5613</v>
      </c>
      <c r="P123">
        <v>5589</v>
      </c>
      <c r="Q123">
        <v>5566</v>
      </c>
      <c r="R123">
        <v>5542</v>
      </c>
      <c r="S123">
        <v>5518</v>
      </c>
      <c r="T123">
        <v>5495</v>
      </c>
      <c r="U123">
        <v>5471</v>
      </c>
      <c r="V123">
        <v>5447</v>
      </c>
      <c r="W123">
        <v>5423</v>
      </c>
      <c r="X123">
        <v>5400</v>
      </c>
      <c r="Y123">
        <v>5376</v>
      </c>
      <c r="Z123">
        <v>5352</v>
      </c>
      <c r="AA123">
        <v>5328</v>
      </c>
      <c r="AB123">
        <v>5305</v>
      </c>
      <c r="AC123">
        <v>-5.2096509329098151E-3</v>
      </c>
      <c r="AG123" s="67"/>
    </row>
    <row r="124" spans="1:33" x14ac:dyDescent="0.45">
      <c r="A124" t="s">
        <v>215</v>
      </c>
      <c r="B124" t="s">
        <v>216</v>
      </c>
      <c r="C124">
        <v>5404</v>
      </c>
      <c r="D124">
        <v>5271</v>
      </c>
      <c r="E124">
        <v>5249</v>
      </c>
      <c r="F124">
        <v>5228</v>
      </c>
      <c r="G124">
        <v>5207</v>
      </c>
      <c r="H124">
        <v>5185</v>
      </c>
      <c r="I124">
        <v>5164</v>
      </c>
      <c r="J124">
        <v>5142</v>
      </c>
      <c r="K124">
        <v>5121</v>
      </c>
      <c r="L124">
        <v>5100</v>
      </c>
      <c r="M124">
        <v>5078</v>
      </c>
      <c r="N124">
        <v>5057</v>
      </c>
      <c r="O124">
        <v>5035</v>
      </c>
      <c r="P124">
        <v>5014</v>
      </c>
      <c r="Q124">
        <v>4993</v>
      </c>
      <c r="R124">
        <v>4971</v>
      </c>
      <c r="S124">
        <v>4950</v>
      </c>
      <c r="T124">
        <v>4929</v>
      </c>
      <c r="U124">
        <v>4907</v>
      </c>
      <c r="V124">
        <v>4886</v>
      </c>
      <c r="W124">
        <v>4865</v>
      </c>
      <c r="X124">
        <v>4843</v>
      </c>
      <c r="Y124">
        <v>4822</v>
      </c>
      <c r="Z124">
        <v>4801</v>
      </c>
      <c r="AA124">
        <v>4780</v>
      </c>
      <c r="AB124">
        <v>4758</v>
      </c>
      <c r="AC124">
        <v>-5.0795356335953112E-3</v>
      </c>
      <c r="AG124" s="67"/>
    </row>
    <row r="125" spans="1:33" x14ac:dyDescent="0.45">
      <c r="A125" t="s">
        <v>217</v>
      </c>
      <c r="B125" t="s">
        <v>218</v>
      </c>
      <c r="C125">
        <v>5984</v>
      </c>
      <c r="D125">
        <v>5836</v>
      </c>
      <c r="E125">
        <v>5817</v>
      </c>
      <c r="F125">
        <v>5798</v>
      </c>
      <c r="G125">
        <v>5779</v>
      </c>
      <c r="H125">
        <v>5760</v>
      </c>
      <c r="I125">
        <v>5741</v>
      </c>
      <c r="J125">
        <v>5722</v>
      </c>
      <c r="K125">
        <v>5703</v>
      </c>
      <c r="L125">
        <v>5683</v>
      </c>
      <c r="M125">
        <v>5664</v>
      </c>
      <c r="N125">
        <v>5645</v>
      </c>
      <c r="O125">
        <v>5626</v>
      </c>
      <c r="P125">
        <v>5607</v>
      </c>
      <c r="Q125">
        <v>5588</v>
      </c>
      <c r="R125">
        <v>5569</v>
      </c>
      <c r="S125">
        <v>5549</v>
      </c>
      <c r="T125">
        <v>5530</v>
      </c>
      <c r="U125">
        <v>5511</v>
      </c>
      <c r="V125">
        <v>5492</v>
      </c>
      <c r="W125">
        <v>5473</v>
      </c>
      <c r="X125">
        <v>5453</v>
      </c>
      <c r="Y125">
        <v>5434</v>
      </c>
      <c r="Z125">
        <v>5415</v>
      </c>
      <c r="AA125">
        <v>5396</v>
      </c>
      <c r="AB125">
        <v>5377</v>
      </c>
      <c r="AC125">
        <v>-4.2692066307929988E-3</v>
      </c>
      <c r="AG125" s="67"/>
    </row>
    <row r="126" spans="1:33" x14ac:dyDescent="0.45">
      <c r="A126" t="s">
        <v>219</v>
      </c>
      <c r="B126" t="s">
        <v>220</v>
      </c>
      <c r="C126">
        <v>6267</v>
      </c>
      <c r="D126">
        <v>6263</v>
      </c>
      <c r="E126">
        <v>6251</v>
      </c>
      <c r="F126">
        <v>6239</v>
      </c>
      <c r="G126">
        <v>6227</v>
      </c>
      <c r="H126">
        <v>6215</v>
      </c>
      <c r="I126">
        <v>6203</v>
      </c>
      <c r="J126">
        <v>6191</v>
      </c>
      <c r="K126">
        <v>6178</v>
      </c>
      <c r="L126">
        <v>6166</v>
      </c>
      <c r="M126">
        <v>6153</v>
      </c>
      <c r="N126">
        <v>6141</v>
      </c>
      <c r="O126">
        <v>6128</v>
      </c>
      <c r="P126">
        <v>6116</v>
      </c>
      <c r="Q126">
        <v>6103</v>
      </c>
      <c r="R126">
        <v>6091</v>
      </c>
      <c r="S126">
        <v>6078</v>
      </c>
      <c r="T126">
        <v>6066</v>
      </c>
      <c r="U126">
        <v>6053</v>
      </c>
      <c r="V126">
        <v>6040</v>
      </c>
      <c r="W126">
        <v>6028</v>
      </c>
      <c r="X126">
        <v>6015</v>
      </c>
      <c r="Y126">
        <v>6002</v>
      </c>
      <c r="Z126">
        <v>5990</v>
      </c>
      <c r="AA126">
        <v>5977</v>
      </c>
      <c r="AB126">
        <v>5964</v>
      </c>
      <c r="AC126">
        <v>-1.980291603725814E-3</v>
      </c>
    </row>
    <row r="127" spans="1:33" x14ac:dyDescent="0.45">
      <c r="A127" t="s">
        <v>221</v>
      </c>
      <c r="B127" t="s">
        <v>222</v>
      </c>
      <c r="C127">
        <v>2431</v>
      </c>
      <c r="D127">
        <v>2296</v>
      </c>
      <c r="E127">
        <v>2280</v>
      </c>
      <c r="F127">
        <v>2263</v>
      </c>
      <c r="G127">
        <v>2245</v>
      </c>
      <c r="H127">
        <v>2228</v>
      </c>
      <c r="I127">
        <v>2210</v>
      </c>
      <c r="J127">
        <v>2192</v>
      </c>
      <c r="K127">
        <v>2175</v>
      </c>
      <c r="L127">
        <v>2157</v>
      </c>
      <c r="M127">
        <v>2139</v>
      </c>
      <c r="N127">
        <v>2122</v>
      </c>
      <c r="O127">
        <v>2104</v>
      </c>
      <c r="P127">
        <v>2087</v>
      </c>
      <c r="Q127">
        <v>2069</v>
      </c>
      <c r="R127">
        <v>2052</v>
      </c>
      <c r="S127">
        <v>2034</v>
      </c>
      <c r="T127">
        <v>2017</v>
      </c>
      <c r="U127">
        <v>2000</v>
      </c>
      <c r="V127">
        <v>1982</v>
      </c>
      <c r="W127">
        <v>1965</v>
      </c>
      <c r="X127">
        <v>1948</v>
      </c>
      <c r="Y127">
        <v>1930</v>
      </c>
      <c r="Z127">
        <v>1913</v>
      </c>
      <c r="AA127">
        <v>1896</v>
      </c>
      <c r="AB127">
        <v>1879</v>
      </c>
      <c r="AC127">
        <v>-1.024962983363786E-2</v>
      </c>
    </row>
    <row r="128" spans="1:33" x14ac:dyDescent="0.45">
      <c r="A128" t="s">
        <v>223</v>
      </c>
      <c r="B128" t="s">
        <v>224</v>
      </c>
      <c r="C128">
        <v>3231</v>
      </c>
      <c r="D128">
        <v>3099</v>
      </c>
      <c r="E128">
        <v>3084</v>
      </c>
      <c r="F128">
        <v>3069</v>
      </c>
      <c r="G128">
        <v>3053</v>
      </c>
      <c r="H128">
        <v>3038</v>
      </c>
      <c r="I128">
        <v>3023</v>
      </c>
      <c r="J128">
        <v>3008</v>
      </c>
      <c r="K128">
        <v>2992</v>
      </c>
      <c r="L128">
        <v>2977</v>
      </c>
      <c r="M128">
        <v>2961</v>
      </c>
      <c r="N128">
        <v>2946</v>
      </c>
      <c r="O128">
        <v>2930</v>
      </c>
      <c r="P128">
        <v>2915</v>
      </c>
      <c r="Q128">
        <v>2900</v>
      </c>
      <c r="R128">
        <v>2884</v>
      </c>
      <c r="S128">
        <v>2869</v>
      </c>
      <c r="T128">
        <v>2853</v>
      </c>
      <c r="U128">
        <v>2838</v>
      </c>
      <c r="V128">
        <v>2822</v>
      </c>
      <c r="W128">
        <v>2807</v>
      </c>
      <c r="X128">
        <v>2791</v>
      </c>
      <c r="Y128">
        <v>2776</v>
      </c>
      <c r="Z128">
        <v>2760</v>
      </c>
      <c r="AA128">
        <v>2745</v>
      </c>
      <c r="AB128">
        <v>2730</v>
      </c>
      <c r="AC128">
        <v>-6.7169429162804439E-3</v>
      </c>
    </row>
    <row r="129" spans="1:29" x14ac:dyDescent="0.45">
      <c r="A129" t="s">
        <v>225</v>
      </c>
      <c r="B129" t="s">
        <v>226</v>
      </c>
      <c r="C129">
        <v>1966</v>
      </c>
      <c r="D129">
        <v>1889</v>
      </c>
      <c r="E129">
        <v>1880</v>
      </c>
      <c r="F129">
        <v>1870</v>
      </c>
      <c r="G129">
        <v>1860</v>
      </c>
      <c r="H129">
        <v>1851</v>
      </c>
      <c r="I129">
        <v>1841</v>
      </c>
      <c r="J129">
        <v>1831</v>
      </c>
      <c r="K129">
        <v>1822</v>
      </c>
      <c r="L129">
        <v>1812</v>
      </c>
      <c r="M129">
        <v>1803</v>
      </c>
      <c r="N129">
        <v>1793</v>
      </c>
      <c r="O129">
        <v>1784</v>
      </c>
      <c r="P129">
        <v>1774</v>
      </c>
      <c r="Q129">
        <v>1765</v>
      </c>
      <c r="R129">
        <v>1756</v>
      </c>
      <c r="S129">
        <v>1746</v>
      </c>
      <c r="T129">
        <v>1737</v>
      </c>
      <c r="U129">
        <v>1728</v>
      </c>
      <c r="V129">
        <v>1718</v>
      </c>
      <c r="W129">
        <v>1709</v>
      </c>
      <c r="X129">
        <v>1700</v>
      </c>
      <c r="Y129">
        <v>1690</v>
      </c>
      <c r="Z129">
        <v>1681</v>
      </c>
      <c r="AA129">
        <v>1672</v>
      </c>
      <c r="AB129">
        <v>1663</v>
      </c>
      <c r="AC129">
        <v>-6.6727505264080333E-3</v>
      </c>
    </row>
    <row r="130" spans="1:29" x14ac:dyDescent="0.45">
      <c r="A130" t="s">
        <v>227</v>
      </c>
      <c r="B130" t="s">
        <v>228</v>
      </c>
      <c r="C130">
        <v>4734</v>
      </c>
      <c r="D130">
        <v>4833</v>
      </c>
      <c r="E130">
        <v>4825</v>
      </c>
      <c r="F130">
        <v>4816</v>
      </c>
      <c r="G130">
        <v>4807</v>
      </c>
      <c r="H130">
        <v>4799</v>
      </c>
      <c r="I130">
        <v>4790</v>
      </c>
      <c r="J130">
        <v>4782</v>
      </c>
      <c r="K130">
        <v>4774</v>
      </c>
      <c r="L130">
        <v>4766</v>
      </c>
      <c r="M130">
        <v>4758</v>
      </c>
      <c r="N130">
        <v>4750</v>
      </c>
      <c r="O130">
        <v>4742</v>
      </c>
      <c r="P130">
        <v>4734</v>
      </c>
      <c r="Q130">
        <v>4726</v>
      </c>
      <c r="R130">
        <v>4718</v>
      </c>
      <c r="S130">
        <v>4710</v>
      </c>
      <c r="T130">
        <v>4702</v>
      </c>
      <c r="U130">
        <v>4694</v>
      </c>
      <c r="V130">
        <v>4687</v>
      </c>
      <c r="W130">
        <v>4679</v>
      </c>
      <c r="X130">
        <v>4671</v>
      </c>
      <c r="Y130">
        <v>4664</v>
      </c>
      <c r="Z130">
        <v>4656</v>
      </c>
      <c r="AA130">
        <v>4648</v>
      </c>
      <c r="AB130">
        <v>4641</v>
      </c>
      <c r="AC130">
        <v>-7.9331119546310891E-4</v>
      </c>
    </row>
    <row r="131" spans="1:29" x14ac:dyDescent="0.45">
      <c r="A131" t="s">
        <v>229</v>
      </c>
      <c r="B131" t="s">
        <v>230</v>
      </c>
      <c r="C131">
        <v>3251</v>
      </c>
      <c r="D131">
        <v>3291</v>
      </c>
      <c r="E131">
        <v>3285</v>
      </c>
      <c r="F131">
        <v>3279</v>
      </c>
      <c r="G131">
        <v>3272</v>
      </c>
      <c r="H131">
        <v>3266</v>
      </c>
      <c r="I131">
        <v>3259</v>
      </c>
      <c r="J131">
        <v>3252</v>
      </c>
      <c r="K131">
        <v>3245</v>
      </c>
      <c r="L131">
        <v>3238</v>
      </c>
      <c r="M131">
        <v>3231</v>
      </c>
      <c r="N131">
        <v>3224</v>
      </c>
      <c r="O131">
        <v>3216</v>
      </c>
      <c r="P131">
        <v>3209</v>
      </c>
      <c r="Q131">
        <v>3202</v>
      </c>
      <c r="R131">
        <v>3195</v>
      </c>
      <c r="S131">
        <v>3187</v>
      </c>
      <c r="T131">
        <v>3180</v>
      </c>
      <c r="U131">
        <v>3173</v>
      </c>
      <c r="V131">
        <v>3165</v>
      </c>
      <c r="W131">
        <v>3158</v>
      </c>
      <c r="X131">
        <v>3151</v>
      </c>
      <c r="Y131">
        <v>3143</v>
      </c>
      <c r="Z131">
        <v>3136</v>
      </c>
      <c r="AA131">
        <v>3129</v>
      </c>
      <c r="AB131">
        <v>3122</v>
      </c>
      <c r="AC131">
        <v>-1.61824200126981E-3</v>
      </c>
    </row>
    <row r="132" spans="1:29" x14ac:dyDescent="0.45">
      <c r="A132" t="s">
        <v>231</v>
      </c>
      <c r="B132" t="s">
        <v>232</v>
      </c>
      <c r="C132">
        <v>3989.572265625</v>
      </c>
      <c r="D132">
        <v>3910.10595703125</v>
      </c>
      <c r="E132">
        <v>3891.6015625</v>
      </c>
      <c r="F132">
        <v>3872.8251953125</v>
      </c>
      <c r="G132">
        <v>3853.715576171875</v>
      </c>
      <c r="H132">
        <v>3835.1279296875</v>
      </c>
      <c r="I132">
        <v>3816.111328125</v>
      </c>
      <c r="J132">
        <v>3797.1376953125</v>
      </c>
      <c r="K132">
        <v>3778.5009765625</v>
      </c>
      <c r="L132">
        <v>3759.552734375</v>
      </c>
      <c r="M132">
        <v>3740.7109375</v>
      </c>
      <c r="N132">
        <v>3722.160888671875</v>
      </c>
      <c r="O132">
        <v>3703.157470703125</v>
      </c>
      <c r="P132">
        <v>3684.65234375</v>
      </c>
      <c r="Q132">
        <v>3666.06494140625</v>
      </c>
      <c r="R132">
        <v>3647.55615234375</v>
      </c>
      <c r="S132">
        <v>3628.5244140625</v>
      </c>
      <c r="T132">
        <v>3610.19921875</v>
      </c>
      <c r="U132">
        <v>3591.732177734375</v>
      </c>
      <c r="V132">
        <v>3572.9052734375</v>
      </c>
      <c r="W132">
        <v>3554.652587890625</v>
      </c>
      <c r="X132">
        <v>3536.15771484375</v>
      </c>
      <c r="Y132">
        <v>3517.5849609375</v>
      </c>
      <c r="Z132">
        <v>3499.5966796875</v>
      </c>
      <c r="AA132">
        <v>3481.78857421875</v>
      </c>
      <c r="AB132">
        <v>3464.1162109375</v>
      </c>
      <c r="AC132">
        <v>-5.6331334759734952E-3</v>
      </c>
    </row>
    <row r="134" spans="1:29" x14ac:dyDescent="0.45">
      <c r="B134" t="s">
        <v>233</v>
      </c>
    </row>
    <row r="135" spans="1:29" x14ac:dyDescent="0.45">
      <c r="A135" t="s">
        <v>234</v>
      </c>
      <c r="B135" t="s">
        <v>214</v>
      </c>
      <c r="C135">
        <v>530</v>
      </c>
      <c r="D135">
        <v>626</v>
      </c>
      <c r="E135">
        <v>633</v>
      </c>
      <c r="F135">
        <v>640</v>
      </c>
      <c r="G135">
        <v>647</v>
      </c>
      <c r="H135">
        <v>654</v>
      </c>
      <c r="I135">
        <v>662</v>
      </c>
      <c r="J135">
        <v>669</v>
      </c>
      <c r="K135">
        <v>676</v>
      </c>
      <c r="L135">
        <v>683</v>
      </c>
      <c r="M135">
        <v>690</v>
      </c>
      <c r="N135">
        <v>697</v>
      </c>
      <c r="O135">
        <v>704</v>
      </c>
      <c r="P135">
        <v>712</v>
      </c>
      <c r="Q135">
        <v>719</v>
      </c>
      <c r="R135">
        <v>726</v>
      </c>
      <c r="S135">
        <v>733</v>
      </c>
      <c r="T135">
        <v>740</v>
      </c>
      <c r="U135">
        <v>747</v>
      </c>
      <c r="V135">
        <v>754</v>
      </c>
      <c r="W135">
        <v>761</v>
      </c>
      <c r="X135">
        <v>769</v>
      </c>
      <c r="Y135">
        <v>776</v>
      </c>
      <c r="Z135">
        <v>783</v>
      </c>
      <c r="AA135">
        <v>790</v>
      </c>
      <c r="AB135">
        <v>797</v>
      </c>
      <c r="AC135">
        <v>1.6452990811785199E-2</v>
      </c>
    </row>
    <row r="136" spans="1:29" x14ac:dyDescent="0.45">
      <c r="A136" t="s">
        <v>235</v>
      </c>
      <c r="B136" t="s">
        <v>216</v>
      </c>
      <c r="C136">
        <v>766</v>
      </c>
      <c r="D136">
        <v>858</v>
      </c>
      <c r="E136">
        <v>866</v>
      </c>
      <c r="F136">
        <v>874</v>
      </c>
      <c r="G136">
        <v>883</v>
      </c>
      <c r="H136">
        <v>891</v>
      </c>
      <c r="I136">
        <v>899</v>
      </c>
      <c r="J136">
        <v>907</v>
      </c>
      <c r="K136">
        <v>915</v>
      </c>
      <c r="L136">
        <v>923</v>
      </c>
      <c r="M136">
        <v>932</v>
      </c>
      <c r="N136">
        <v>940</v>
      </c>
      <c r="O136">
        <v>948</v>
      </c>
      <c r="P136">
        <v>956</v>
      </c>
      <c r="Q136">
        <v>964</v>
      </c>
      <c r="R136">
        <v>973</v>
      </c>
      <c r="S136">
        <v>981</v>
      </c>
      <c r="T136">
        <v>989</v>
      </c>
      <c r="U136">
        <v>997</v>
      </c>
      <c r="V136">
        <v>1005</v>
      </c>
      <c r="W136">
        <v>1014</v>
      </c>
      <c r="X136">
        <v>1022</v>
      </c>
      <c r="Y136">
        <v>1030</v>
      </c>
      <c r="Z136">
        <v>1038</v>
      </c>
      <c r="AA136">
        <v>1046</v>
      </c>
      <c r="AB136">
        <v>1055</v>
      </c>
      <c r="AC136">
        <v>1.2886884383320311E-2</v>
      </c>
    </row>
    <row r="137" spans="1:29" x14ac:dyDescent="0.45">
      <c r="A137" t="s">
        <v>236</v>
      </c>
      <c r="B137" t="s">
        <v>218</v>
      </c>
      <c r="C137">
        <v>873</v>
      </c>
      <c r="D137">
        <v>857</v>
      </c>
      <c r="E137">
        <v>862</v>
      </c>
      <c r="F137">
        <v>867</v>
      </c>
      <c r="G137">
        <v>871</v>
      </c>
      <c r="H137">
        <v>876</v>
      </c>
      <c r="I137">
        <v>881</v>
      </c>
      <c r="J137">
        <v>886</v>
      </c>
      <c r="K137">
        <v>890</v>
      </c>
      <c r="L137">
        <v>895</v>
      </c>
      <c r="M137">
        <v>900</v>
      </c>
      <c r="N137">
        <v>905</v>
      </c>
      <c r="O137">
        <v>909</v>
      </c>
      <c r="P137">
        <v>914</v>
      </c>
      <c r="Q137">
        <v>919</v>
      </c>
      <c r="R137">
        <v>924</v>
      </c>
      <c r="S137">
        <v>928</v>
      </c>
      <c r="T137">
        <v>933</v>
      </c>
      <c r="U137">
        <v>938</v>
      </c>
      <c r="V137">
        <v>943</v>
      </c>
      <c r="W137">
        <v>948</v>
      </c>
      <c r="X137">
        <v>952</v>
      </c>
      <c r="Y137">
        <v>957</v>
      </c>
      <c r="Z137">
        <v>962</v>
      </c>
      <c r="AA137">
        <v>967</v>
      </c>
      <c r="AB137">
        <v>972</v>
      </c>
      <c r="AC137">
        <v>4.3060544685959989E-3</v>
      </c>
    </row>
    <row r="138" spans="1:29" x14ac:dyDescent="0.45">
      <c r="A138" t="s">
        <v>237</v>
      </c>
      <c r="B138" t="s">
        <v>220</v>
      </c>
      <c r="C138">
        <v>1052</v>
      </c>
      <c r="D138">
        <v>1048</v>
      </c>
      <c r="E138">
        <v>1053</v>
      </c>
      <c r="F138">
        <v>1057</v>
      </c>
      <c r="G138">
        <v>1062</v>
      </c>
      <c r="H138">
        <v>1067</v>
      </c>
      <c r="I138">
        <v>1071</v>
      </c>
      <c r="J138">
        <v>1076</v>
      </c>
      <c r="K138">
        <v>1081</v>
      </c>
      <c r="L138">
        <v>1086</v>
      </c>
      <c r="M138">
        <v>1090</v>
      </c>
      <c r="N138">
        <v>1095</v>
      </c>
      <c r="O138">
        <v>1100</v>
      </c>
      <c r="P138">
        <v>1105</v>
      </c>
      <c r="Q138">
        <v>1109</v>
      </c>
      <c r="R138">
        <v>1114</v>
      </c>
      <c r="S138">
        <v>1119</v>
      </c>
      <c r="T138">
        <v>1124</v>
      </c>
      <c r="U138">
        <v>1129</v>
      </c>
      <c r="V138">
        <v>1133</v>
      </c>
      <c r="W138">
        <v>1138</v>
      </c>
      <c r="X138">
        <v>1143</v>
      </c>
      <c r="Y138">
        <v>1148</v>
      </c>
      <c r="Z138">
        <v>1153</v>
      </c>
      <c r="AA138">
        <v>1158</v>
      </c>
      <c r="AB138">
        <v>1162</v>
      </c>
      <c r="AC138">
        <v>3.9859044359582541E-3</v>
      </c>
    </row>
    <row r="139" spans="1:29" x14ac:dyDescent="0.45">
      <c r="A139" t="s">
        <v>238</v>
      </c>
      <c r="B139" t="s">
        <v>222</v>
      </c>
      <c r="C139">
        <v>2319</v>
      </c>
      <c r="D139">
        <v>2427</v>
      </c>
      <c r="E139">
        <v>2442</v>
      </c>
      <c r="F139">
        <v>2458</v>
      </c>
      <c r="G139">
        <v>2473</v>
      </c>
      <c r="H139">
        <v>2489</v>
      </c>
      <c r="I139">
        <v>2505</v>
      </c>
      <c r="J139">
        <v>2522</v>
      </c>
      <c r="K139">
        <v>2538</v>
      </c>
      <c r="L139">
        <v>2554</v>
      </c>
      <c r="M139">
        <v>2570</v>
      </c>
      <c r="N139">
        <v>2586</v>
      </c>
      <c r="O139">
        <v>2603</v>
      </c>
      <c r="P139">
        <v>2619</v>
      </c>
      <c r="Q139">
        <v>2635</v>
      </c>
      <c r="R139">
        <v>2652</v>
      </c>
      <c r="S139">
        <v>2668</v>
      </c>
      <c r="T139">
        <v>2684</v>
      </c>
      <c r="U139">
        <v>2701</v>
      </c>
      <c r="V139">
        <v>2717</v>
      </c>
      <c r="W139">
        <v>2734</v>
      </c>
      <c r="X139">
        <v>2750</v>
      </c>
      <c r="Y139">
        <v>2767</v>
      </c>
      <c r="Z139">
        <v>2783</v>
      </c>
      <c r="AA139">
        <v>2800</v>
      </c>
      <c r="AB139">
        <v>2816</v>
      </c>
      <c r="AC139">
        <v>7.7974985795448148E-3</v>
      </c>
    </row>
    <row r="140" spans="1:29" x14ac:dyDescent="0.45">
      <c r="A140" t="s">
        <v>239</v>
      </c>
      <c r="B140" t="s">
        <v>224</v>
      </c>
      <c r="C140">
        <v>1790</v>
      </c>
      <c r="D140">
        <v>1783</v>
      </c>
      <c r="E140">
        <v>1790</v>
      </c>
      <c r="F140">
        <v>1797</v>
      </c>
      <c r="G140">
        <v>1804</v>
      </c>
      <c r="H140">
        <v>1811</v>
      </c>
      <c r="I140">
        <v>1819</v>
      </c>
      <c r="J140">
        <v>1826</v>
      </c>
      <c r="K140">
        <v>1833</v>
      </c>
      <c r="L140">
        <v>1840</v>
      </c>
      <c r="M140">
        <v>1847</v>
      </c>
      <c r="N140">
        <v>1854</v>
      </c>
      <c r="O140">
        <v>1862</v>
      </c>
      <c r="P140">
        <v>1869</v>
      </c>
      <c r="Q140">
        <v>1876</v>
      </c>
      <c r="R140">
        <v>1883</v>
      </c>
      <c r="S140">
        <v>1890</v>
      </c>
      <c r="T140">
        <v>1898</v>
      </c>
      <c r="U140">
        <v>1905</v>
      </c>
      <c r="V140">
        <v>1912</v>
      </c>
      <c r="W140">
        <v>1919</v>
      </c>
      <c r="X140">
        <v>1926</v>
      </c>
      <c r="Y140">
        <v>1934</v>
      </c>
      <c r="Z140">
        <v>1941</v>
      </c>
      <c r="AA140">
        <v>1948</v>
      </c>
      <c r="AB140">
        <v>1955</v>
      </c>
      <c r="AC140">
        <v>3.533210066561487E-3</v>
      </c>
    </row>
    <row r="141" spans="1:29" x14ac:dyDescent="0.45">
      <c r="A141" t="s">
        <v>240</v>
      </c>
      <c r="B141" t="s">
        <v>226</v>
      </c>
      <c r="C141">
        <v>2916</v>
      </c>
      <c r="D141">
        <v>2946</v>
      </c>
      <c r="E141">
        <v>2961</v>
      </c>
      <c r="F141">
        <v>2976</v>
      </c>
      <c r="G141">
        <v>2990</v>
      </c>
      <c r="H141">
        <v>3005</v>
      </c>
      <c r="I141">
        <v>3020</v>
      </c>
      <c r="J141">
        <v>3035</v>
      </c>
      <c r="K141">
        <v>3049</v>
      </c>
      <c r="L141">
        <v>3064</v>
      </c>
      <c r="M141">
        <v>3079</v>
      </c>
      <c r="N141">
        <v>3093</v>
      </c>
      <c r="O141">
        <v>3108</v>
      </c>
      <c r="P141">
        <v>3123</v>
      </c>
      <c r="Q141">
        <v>3138</v>
      </c>
      <c r="R141">
        <v>3152</v>
      </c>
      <c r="S141">
        <v>3167</v>
      </c>
      <c r="T141">
        <v>3182</v>
      </c>
      <c r="U141">
        <v>3197</v>
      </c>
      <c r="V141">
        <v>3211</v>
      </c>
      <c r="W141">
        <v>3226</v>
      </c>
      <c r="X141">
        <v>3241</v>
      </c>
      <c r="Y141">
        <v>3255</v>
      </c>
      <c r="Z141">
        <v>3270</v>
      </c>
      <c r="AA141">
        <v>3285</v>
      </c>
      <c r="AB141">
        <v>3299</v>
      </c>
      <c r="AC141">
        <v>4.9484665423147334E-3</v>
      </c>
    </row>
    <row r="142" spans="1:29" x14ac:dyDescent="0.45">
      <c r="A142" t="s">
        <v>241</v>
      </c>
      <c r="B142" t="s">
        <v>228</v>
      </c>
      <c r="C142">
        <v>1515</v>
      </c>
      <c r="D142">
        <v>1608</v>
      </c>
      <c r="E142">
        <v>1617</v>
      </c>
      <c r="F142">
        <v>1627</v>
      </c>
      <c r="G142">
        <v>1636</v>
      </c>
      <c r="H142">
        <v>1645</v>
      </c>
      <c r="I142">
        <v>1655</v>
      </c>
      <c r="J142">
        <v>1664</v>
      </c>
      <c r="K142">
        <v>1673</v>
      </c>
      <c r="L142">
        <v>1682</v>
      </c>
      <c r="M142">
        <v>1691</v>
      </c>
      <c r="N142">
        <v>1701</v>
      </c>
      <c r="O142">
        <v>1710</v>
      </c>
      <c r="P142">
        <v>1719</v>
      </c>
      <c r="Q142">
        <v>1728</v>
      </c>
      <c r="R142">
        <v>1737</v>
      </c>
      <c r="S142">
        <v>1746</v>
      </c>
      <c r="T142">
        <v>1755</v>
      </c>
      <c r="U142">
        <v>1764</v>
      </c>
      <c r="V142">
        <v>1773</v>
      </c>
      <c r="W142">
        <v>1782</v>
      </c>
      <c r="X142">
        <v>1791</v>
      </c>
      <c r="Y142">
        <v>1800</v>
      </c>
      <c r="Z142">
        <v>1809</v>
      </c>
      <c r="AA142">
        <v>1818</v>
      </c>
      <c r="AB142">
        <v>1827</v>
      </c>
      <c r="AC142">
        <v>7.5185167090765503E-3</v>
      </c>
    </row>
    <row r="143" spans="1:29" x14ac:dyDescent="0.45">
      <c r="A143" t="s">
        <v>242</v>
      </c>
      <c r="B143" t="s">
        <v>230</v>
      </c>
      <c r="C143">
        <v>887</v>
      </c>
      <c r="D143">
        <v>1040</v>
      </c>
      <c r="E143">
        <v>1049</v>
      </c>
      <c r="F143">
        <v>1058</v>
      </c>
      <c r="G143">
        <v>1067</v>
      </c>
      <c r="H143">
        <v>1076</v>
      </c>
      <c r="I143">
        <v>1085</v>
      </c>
      <c r="J143">
        <v>1094</v>
      </c>
      <c r="K143">
        <v>1103</v>
      </c>
      <c r="L143">
        <v>1112</v>
      </c>
      <c r="M143">
        <v>1121</v>
      </c>
      <c r="N143">
        <v>1131</v>
      </c>
      <c r="O143">
        <v>1140</v>
      </c>
      <c r="P143">
        <v>1149</v>
      </c>
      <c r="Q143">
        <v>1158</v>
      </c>
      <c r="R143">
        <v>1167</v>
      </c>
      <c r="S143">
        <v>1177</v>
      </c>
      <c r="T143">
        <v>1186</v>
      </c>
      <c r="U143">
        <v>1195</v>
      </c>
      <c r="V143">
        <v>1204</v>
      </c>
      <c r="W143">
        <v>1213</v>
      </c>
      <c r="X143">
        <v>1223</v>
      </c>
      <c r="Y143">
        <v>1232</v>
      </c>
      <c r="Z143">
        <v>1241</v>
      </c>
      <c r="AA143">
        <v>1250</v>
      </c>
      <c r="AB143">
        <v>1259</v>
      </c>
      <c r="AC143">
        <v>1.4107709657196651E-2</v>
      </c>
    </row>
    <row r="144" spans="1:29" x14ac:dyDescent="0.45">
      <c r="A144" t="s">
        <v>243</v>
      </c>
      <c r="B144" t="s">
        <v>232</v>
      </c>
      <c r="C144">
        <v>1516.423583984375</v>
      </c>
      <c r="D144">
        <v>1589.852905273438</v>
      </c>
      <c r="E144">
        <v>1602.154052734375</v>
      </c>
      <c r="F144">
        <v>1614.68994140625</v>
      </c>
      <c r="G144">
        <v>1626.874267578125</v>
      </c>
      <c r="H144">
        <v>1639.42919921875</v>
      </c>
      <c r="I144">
        <v>1652.126586914062</v>
      </c>
      <c r="J144">
        <v>1664.94091796875</v>
      </c>
      <c r="K144">
        <v>1677.306884765625</v>
      </c>
      <c r="L144">
        <v>1689.963012695312</v>
      </c>
      <c r="M144">
        <v>1702.697631835938</v>
      </c>
      <c r="N144">
        <v>1715.52587890625</v>
      </c>
      <c r="O144">
        <v>1728.397705078125</v>
      </c>
      <c r="P144">
        <v>1741.199096679688</v>
      </c>
      <c r="Q144">
        <v>1753.922607421875</v>
      </c>
      <c r="R144">
        <v>1766.92138671875</v>
      </c>
      <c r="S144">
        <v>1779.796142578125</v>
      </c>
      <c r="T144">
        <v>1792.711669921875</v>
      </c>
      <c r="U144">
        <v>1805.81201171875</v>
      </c>
      <c r="V144">
        <v>1818.522705078125</v>
      </c>
      <c r="W144">
        <v>1831.7783203125</v>
      </c>
      <c r="X144">
        <v>1844.803100585938</v>
      </c>
      <c r="Y144">
        <v>1857.8740234375</v>
      </c>
      <c r="Z144">
        <v>1870.785278320312</v>
      </c>
      <c r="AA144">
        <v>1883.8203125</v>
      </c>
      <c r="AB144">
        <v>1896.469848632812</v>
      </c>
      <c r="AC144">
        <v>8.9857123444541109E-3</v>
      </c>
    </row>
    <row r="146" spans="2:2" x14ac:dyDescent="0.45">
      <c r="B146" t="s">
        <v>906</v>
      </c>
    </row>
    <row r="147" spans="2:2" x14ac:dyDescent="0.45">
      <c r="B147" t="s">
        <v>907</v>
      </c>
    </row>
    <row r="148" spans="2:2" x14ac:dyDescent="0.45">
      <c r="B148" t="s">
        <v>908</v>
      </c>
    </row>
    <row r="149" spans="2:2" x14ac:dyDescent="0.45">
      <c r="B149" t="s">
        <v>909</v>
      </c>
    </row>
    <row r="150" spans="2:2" x14ac:dyDescent="0.45">
      <c r="B150" t="s">
        <v>245</v>
      </c>
    </row>
    <row r="151" spans="2:2" x14ac:dyDescent="0.45">
      <c r="B151" t="s">
        <v>910</v>
      </c>
    </row>
    <row r="152" spans="2:2" x14ac:dyDescent="0.45">
      <c r="B152" t="s">
        <v>911</v>
      </c>
    </row>
    <row r="153" spans="2:2" x14ac:dyDescent="0.45">
      <c r="B153" t="s">
        <v>912</v>
      </c>
    </row>
    <row r="154" spans="2:2" x14ac:dyDescent="0.45">
      <c r="B154" t="s">
        <v>913</v>
      </c>
    </row>
    <row r="155" spans="2:2" x14ac:dyDescent="0.45">
      <c r="B155" t="s">
        <v>914</v>
      </c>
    </row>
    <row r="156" spans="2:2" x14ac:dyDescent="0.45">
      <c r="B156" t="s">
        <v>915</v>
      </c>
    </row>
    <row r="157" spans="2:2" x14ac:dyDescent="0.45">
      <c r="B157" t="s">
        <v>916</v>
      </c>
    </row>
    <row r="158" spans="2:2" x14ac:dyDescent="0.45">
      <c r="B158" t="s">
        <v>917</v>
      </c>
    </row>
    <row r="159" spans="2:2" x14ac:dyDescent="0.45">
      <c r="B159" t="s">
        <v>918</v>
      </c>
    </row>
    <row r="160" spans="2:2" x14ac:dyDescent="0.45">
      <c r="B160" t="s">
        <v>919</v>
      </c>
    </row>
    <row r="161" spans="2:2" x14ac:dyDescent="0.45">
      <c r="B161" t="s">
        <v>920</v>
      </c>
    </row>
    <row r="162" spans="2:2" x14ac:dyDescent="0.45">
      <c r="B162" t="s">
        <v>921</v>
      </c>
    </row>
    <row r="163" spans="2:2" x14ac:dyDescent="0.45">
      <c r="B163" t="s">
        <v>922</v>
      </c>
    </row>
    <row r="164" spans="2:2" x14ac:dyDescent="0.45">
      <c r="B164" t="s">
        <v>923</v>
      </c>
    </row>
    <row r="165" spans="2:2" x14ac:dyDescent="0.45">
      <c r="B165" t="s">
        <v>258</v>
      </c>
    </row>
    <row r="166" spans="2:2" x14ac:dyDescent="0.45">
      <c r="B166" t="s">
        <v>924</v>
      </c>
    </row>
    <row r="167" spans="2:2" x14ac:dyDescent="0.45">
      <c r="B167" t="s">
        <v>260</v>
      </c>
    </row>
    <row r="168" spans="2:2" x14ac:dyDescent="0.45">
      <c r="B168" t="s">
        <v>261</v>
      </c>
    </row>
    <row r="169" spans="2:2" x14ac:dyDescent="0.45">
      <c r="B169" t="s">
        <v>925</v>
      </c>
    </row>
    <row r="170" spans="2:2" x14ac:dyDescent="0.45">
      <c r="B170" t="s">
        <v>926</v>
      </c>
    </row>
    <row r="171" spans="2:2" x14ac:dyDescent="0.45">
      <c r="B171" t="s">
        <v>927</v>
      </c>
    </row>
    <row r="172" spans="2:2" x14ac:dyDescent="0.45">
      <c r="B172" t="s">
        <v>928</v>
      </c>
    </row>
    <row r="173" spans="2:2" x14ac:dyDescent="0.45">
      <c r="B173" t="s">
        <v>929</v>
      </c>
    </row>
    <row r="174" spans="2:2" x14ac:dyDescent="0.45">
      <c r="B174" t="s">
        <v>930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53"/>
  <sheetViews>
    <sheetView tabSelected="1" workbookViewId="0"/>
  </sheetViews>
  <sheetFormatPr defaultRowHeight="14.25" x14ac:dyDescent="0.45"/>
  <cols>
    <col min="1" max="1" width="20.86328125" customWidth="1"/>
    <col min="2" max="2" width="43.3984375" customWidth="1"/>
  </cols>
  <sheetData>
    <row r="1" spans="1:33" x14ac:dyDescent="0.45">
      <c r="B1" t="s">
        <v>868</v>
      </c>
    </row>
    <row r="3" spans="1:33" x14ac:dyDescent="0.45">
      <c r="C3" t="s">
        <v>44</v>
      </c>
      <c r="D3" t="s">
        <v>869</v>
      </c>
    </row>
    <row r="4" spans="1:33" x14ac:dyDescent="0.45">
      <c r="C4" t="s">
        <v>46</v>
      </c>
      <c r="D4" t="s">
        <v>870</v>
      </c>
      <c r="F4" t="s">
        <v>871</v>
      </c>
    </row>
    <row r="5" spans="1:33" x14ac:dyDescent="0.45">
      <c r="C5" t="s">
        <v>49</v>
      </c>
      <c r="D5" t="s">
        <v>872</v>
      </c>
    </row>
    <row r="6" spans="1:33" x14ac:dyDescent="0.45">
      <c r="C6" t="s">
        <v>51</v>
      </c>
      <c r="E6" t="s">
        <v>873</v>
      </c>
    </row>
    <row r="7" spans="1:33" x14ac:dyDescent="0.45">
      <c r="B7" t="s">
        <v>270</v>
      </c>
    </row>
    <row r="8" spans="1:33" x14ac:dyDescent="0.45">
      <c r="B8" t="s">
        <v>56</v>
      </c>
      <c r="AG8" s="67"/>
    </row>
    <row r="9" spans="1:33" x14ac:dyDescent="0.45">
      <c r="AC9" t="s">
        <v>874</v>
      </c>
      <c r="AG9" s="67"/>
    </row>
    <row r="10" spans="1:33" x14ac:dyDescent="0.45">
      <c r="B10" t="s">
        <v>59</v>
      </c>
      <c r="C10">
        <v>2025</v>
      </c>
      <c r="D10">
        <v>2026</v>
      </c>
      <c r="E10">
        <v>2027</v>
      </c>
      <c r="F10">
        <v>2028</v>
      </c>
      <c r="G10">
        <v>2029</v>
      </c>
      <c r="H10">
        <v>2030</v>
      </c>
      <c r="I10">
        <v>2031</v>
      </c>
      <c r="J10">
        <v>2032</v>
      </c>
      <c r="K10">
        <v>2033</v>
      </c>
      <c r="L10">
        <v>2034</v>
      </c>
      <c r="M10">
        <v>2035</v>
      </c>
      <c r="N10">
        <v>2036</v>
      </c>
      <c r="O10">
        <v>2037</v>
      </c>
      <c r="P10">
        <v>2038</v>
      </c>
      <c r="Q10">
        <v>2039</v>
      </c>
      <c r="R10">
        <v>2040</v>
      </c>
      <c r="S10">
        <v>2041</v>
      </c>
      <c r="T10">
        <v>2042</v>
      </c>
      <c r="U10">
        <v>2043</v>
      </c>
      <c r="V10">
        <v>2044</v>
      </c>
      <c r="W10">
        <v>2045</v>
      </c>
      <c r="X10">
        <v>2046</v>
      </c>
      <c r="Y10">
        <v>2047</v>
      </c>
      <c r="Z10">
        <v>2048</v>
      </c>
      <c r="AA10">
        <v>2049</v>
      </c>
      <c r="AB10">
        <v>2050</v>
      </c>
      <c r="AC10" t="s">
        <v>875</v>
      </c>
      <c r="AG10" s="67"/>
    </row>
    <row r="12" spans="1:33" x14ac:dyDescent="0.45">
      <c r="B12" t="s">
        <v>61</v>
      </c>
    </row>
    <row r="13" spans="1:33" x14ac:dyDescent="0.45">
      <c r="AG13" s="67"/>
    </row>
    <row r="14" spans="1:33" x14ac:dyDescent="0.45">
      <c r="B14" t="s">
        <v>931</v>
      </c>
      <c r="AG14" s="67"/>
    </row>
    <row r="15" spans="1:33" x14ac:dyDescent="0.45">
      <c r="A15" t="s">
        <v>272</v>
      </c>
      <c r="B15" t="s">
        <v>273</v>
      </c>
      <c r="C15">
        <v>101.8455047607422</v>
      </c>
      <c r="D15">
        <v>103.1044235229492</v>
      </c>
      <c r="E15">
        <v>104.3142471313477</v>
      </c>
      <c r="F15">
        <v>105.48232269287109</v>
      </c>
      <c r="G15">
        <v>106.62843322753911</v>
      </c>
      <c r="H15">
        <v>107.7598419189453</v>
      </c>
      <c r="I15">
        <v>108.9023132324219</v>
      </c>
      <c r="J15">
        <v>110.0705871582031</v>
      </c>
      <c r="K15">
        <v>111.2677459716797</v>
      </c>
      <c r="L15">
        <v>112.5000076293945</v>
      </c>
      <c r="M15">
        <v>113.7686767578125</v>
      </c>
      <c r="N15">
        <v>115.07391357421881</v>
      </c>
      <c r="O15">
        <v>116.4143600463867</v>
      </c>
      <c r="P15">
        <v>117.7805099487305</v>
      </c>
      <c r="Q15">
        <v>119.1147384643555</v>
      </c>
      <c r="R15">
        <v>120.41529846191411</v>
      </c>
      <c r="S15">
        <v>121.68447113037109</v>
      </c>
      <c r="T15">
        <v>122.8978652954102</v>
      </c>
      <c r="U15">
        <v>124.0641784667969</v>
      </c>
      <c r="V15">
        <v>125.19847106933589</v>
      </c>
      <c r="W15">
        <v>126.3077087402344</v>
      </c>
      <c r="X15">
        <v>127.40098571777339</v>
      </c>
      <c r="Y15">
        <v>128.4819641113281</v>
      </c>
      <c r="Z15">
        <v>129.55204772949219</v>
      </c>
      <c r="AA15">
        <v>130.61297607421881</v>
      </c>
      <c r="AB15">
        <v>131.6655578613281</v>
      </c>
      <c r="AC15">
        <v>1.03252633839257E-2</v>
      </c>
    </row>
    <row r="16" spans="1:33" x14ac:dyDescent="0.45">
      <c r="A16" t="s">
        <v>274</v>
      </c>
      <c r="B16" t="s">
        <v>275</v>
      </c>
      <c r="C16">
        <v>2.7983536720275879</v>
      </c>
      <c r="D16">
        <v>2.7631325721740718</v>
      </c>
      <c r="E16">
        <v>2.735620498657227</v>
      </c>
      <c r="F16">
        <v>2.7281327247619629</v>
      </c>
      <c r="G16">
        <v>2.728127002716064</v>
      </c>
      <c r="H16">
        <v>2.7541439533233638</v>
      </c>
      <c r="I16">
        <v>2.795398473739624</v>
      </c>
      <c r="J16">
        <v>2.840164422988892</v>
      </c>
      <c r="K16">
        <v>2.891743659973145</v>
      </c>
      <c r="L16">
        <v>2.9451780319213872</v>
      </c>
      <c r="M16">
        <v>2.9993841648101811</v>
      </c>
      <c r="N16">
        <v>3.0528368949890141</v>
      </c>
      <c r="O16">
        <v>3.0973126888275151</v>
      </c>
      <c r="P16">
        <v>3.0842866897583008</v>
      </c>
      <c r="Q16">
        <v>3.069424152374268</v>
      </c>
      <c r="R16">
        <v>3.0566568374633789</v>
      </c>
      <c r="S16">
        <v>3.0191318988800049</v>
      </c>
      <c r="T16">
        <v>2.989726066589355</v>
      </c>
      <c r="U16">
        <v>2.974995613098145</v>
      </c>
      <c r="V16">
        <v>2.9668219089508061</v>
      </c>
      <c r="W16">
        <v>2.967410564422607</v>
      </c>
      <c r="X16">
        <v>2.9713459014892578</v>
      </c>
      <c r="Y16">
        <v>2.9764959812164311</v>
      </c>
      <c r="Z16">
        <v>2.983036994934082</v>
      </c>
      <c r="AA16">
        <v>2.990272045135498</v>
      </c>
      <c r="AB16">
        <v>2.9985415935516362</v>
      </c>
      <c r="AC16">
        <v>2.7676133903273841E-3</v>
      </c>
    </row>
    <row r="17" spans="1:33" x14ac:dyDescent="0.45">
      <c r="A17" t="s">
        <v>276</v>
      </c>
      <c r="B17" t="s">
        <v>70</v>
      </c>
      <c r="C17">
        <v>104.64385986328119</v>
      </c>
      <c r="D17">
        <v>105.8675537109375</v>
      </c>
      <c r="E17">
        <v>107.04986572265619</v>
      </c>
      <c r="F17">
        <v>108.2104568481445</v>
      </c>
      <c r="G17">
        <v>109.356559753418</v>
      </c>
      <c r="H17">
        <v>110.5139846801758</v>
      </c>
      <c r="I17">
        <v>111.6977081298828</v>
      </c>
      <c r="J17">
        <v>112.91075134277339</v>
      </c>
      <c r="K17">
        <v>114.1594924926758</v>
      </c>
      <c r="L17">
        <v>115.445182800293</v>
      </c>
      <c r="M17">
        <v>116.7680587768555</v>
      </c>
      <c r="N17">
        <v>118.1267471313477</v>
      </c>
      <c r="O17">
        <v>119.5116729736328</v>
      </c>
      <c r="P17">
        <v>120.8647994995117</v>
      </c>
      <c r="Q17">
        <v>122.1841659545898</v>
      </c>
      <c r="R17">
        <v>123.4719543457031</v>
      </c>
      <c r="S17">
        <v>124.7036056518555</v>
      </c>
      <c r="T17">
        <v>125.88758850097661</v>
      </c>
      <c r="U17">
        <v>127.039176940918</v>
      </c>
      <c r="V17">
        <v>128.16529846191409</v>
      </c>
      <c r="W17">
        <v>129.2751159667969</v>
      </c>
      <c r="X17">
        <v>130.37232971191409</v>
      </c>
      <c r="Y17">
        <v>131.4584655761719</v>
      </c>
      <c r="Z17">
        <v>132.53507995605469</v>
      </c>
      <c r="AA17">
        <v>133.6032409667969</v>
      </c>
      <c r="AB17">
        <v>134.6640930175781</v>
      </c>
      <c r="AC17">
        <v>1.013989195705056E-2</v>
      </c>
      <c r="AG17" s="67"/>
    </row>
    <row r="18" spans="1:33" x14ac:dyDescent="0.45">
      <c r="AG18" s="67"/>
    </row>
    <row r="19" spans="1:33" x14ac:dyDescent="0.45">
      <c r="B19" t="s">
        <v>277</v>
      </c>
      <c r="AG19" s="67"/>
    </row>
    <row r="20" spans="1:33" x14ac:dyDescent="0.45">
      <c r="B20" t="s">
        <v>79</v>
      </c>
      <c r="AG20" s="67"/>
    </row>
    <row r="21" spans="1:33" x14ac:dyDescent="0.45">
      <c r="A21" t="s">
        <v>278</v>
      </c>
      <c r="B21" t="s">
        <v>932</v>
      </c>
      <c r="C21">
        <v>94.608612060546875</v>
      </c>
      <c r="D21">
        <v>95.200950622558594</v>
      </c>
      <c r="E21">
        <v>94.894546508789063</v>
      </c>
      <c r="F21">
        <v>94.391609191894531</v>
      </c>
      <c r="G21">
        <v>93.678153991699219</v>
      </c>
      <c r="H21">
        <v>92.733329772949219</v>
      </c>
      <c r="I21">
        <v>91.840522766113281</v>
      </c>
      <c r="J21">
        <v>91.140853881835938</v>
      </c>
      <c r="K21">
        <v>90.533226013183594</v>
      </c>
      <c r="L21">
        <v>90.025192260742188</v>
      </c>
      <c r="M21">
        <v>89.52703857421875</v>
      </c>
      <c r="N21">
        <v>89.104965209960938</v>
      </c>
      <c r="O21">
        <v>88.683937072753906</v>
      </c>
      <c r="P21">
        <v>88.304733276367188</v>
      </c>
      <c r="Q21">
        <v>87.952102661132813</v>
      </c>
      <c r="R21">
        <v>87.609710693359375</v>
      </c>
      <c r="S21">
        <v>87.320465087890625</v>
      </c>
      <c r="T21">
        <v>87.099517822265625</v>
      </c>
      <c r="U21">
        <v>86.907028198242188</v>
      </c>
      <c r="V21">
        <v>86.735260009765625</v>
      </c>
      <c r="W21">
        <v>86.553421020507813</v>
      </c>
      <c r="X21">
        <v>86.303924560546875</v>
      </c>
      <c r="Y21">
        <v>85.985275268554688</v>
      </c>
      <c r="Z21">
        <v>85.633079528808594</v>
      </c>
      <c r="AA21">
        <v>85.264457702636719</v>
      </c>
      <c r="AB21">
        <v>84.897254943847656</v>
      </c>
      <c r="AC21">
        <v>-4.3228991963574206E-3</v>
      </c>
      <c r="AG21" s="67"/>
    </row>
    <row r="22" spans="1:33" x14ac:dyDescent="0.45">
      <c r="A22" t="s">
        <v>279</v>
      </c>
      <c r="B22" t="s">
        <v>78</v>
      </c>
      <c r="C22">
        <v>93.084304809570313</v>
      </c>
      <c r="D22">
        <v>93.513206481933594</v>
      </c>
      <c r="E22">
        <v>93.074775695800781</v>
      </c>
      <c r="F22">
        <v>92.519630432128906</v>
      </c>
      <c r="G22">
        <v>91.78271484375</v>
      </c>
      <c r="H22">
        <v>90.809181213378906</v>
      </c>
      <c r="I22">
        <v>89.899635314941406</v>
      </c>
      <c r="J22">
        <v>89.191780090332031</v>
      </c>
      <c r="K22">
        <v>88.573188781738281</v>
      </c>
      <c r="L22">
        <v>88.0384521484375</v>
      </c>
      <c r="M22">
        <v>87.524017333984375</v>
      </c>
      <c r="N22">
        <v>87.092613220214844</v>
      </c>
      <c r="O22">
        <v>86.638893127441406</v>
      </c>
      <c r="P22">
        <v>86.2286376953125</v>
      </c>
      <c r="Q22">
        <v>85.833717346191406</v>
      </c>
      <c r="R22">
        <v>85.458236694335938</v>
      </c>
      <c r="S22">
        <v>85.16070556640625</v>
      </c>
      <c r="T22">
        <v>84.916267395019531</v>
      </c>
      <c r="U22">
        <v>84.720146179199219</v>
      </c>
      <c r="V22">
        <v>84.54144287109375</v>
      </c>
      <c r="W22">
        <v>84.357269287109375</v>
      </c>
      <c r="X22">
        <v>84.093650817871094</v>
      </c>
      <c r="Y22">
        <v>83.753242492675781</v>
      </c>
      <c r="Z22">
        <v>83.378761291503906</v>
      </c>
      <c r="AA22">
        <v>82.997833251953125</v>
      </c>
      <c r="AB22">
        <v>82.609664916992188</v>
      </c>
      <c r="AC22">
        <v>-4.7637732073034789E-3</v>
      </c>
      <c r="AG22" s="67"/>
    </row>
    <row r="23" spans="1:33" x14ac:dyDescent="0.45">
      <c r="AG23" s="67"/>
    </row>
    <row r="24" spans="1:33" x14ac:dyDescent="0.45">
      <c r="B24" t="s">
        <v>82</v>
      </c>
      <c r="AG24" s="67"/>
    </row>
    <row r="25" spans="1:33" x14ac:dyDescent="0.45">
      <c r="B25" t="s">
        <v>933</v>
      </c>
      <c r="AG25" s="67"/>
    </row>
    <row r="26" spans="1:33" x14ac:dyDescent="0.45">
      <c r="A26" t="s">
        <v>280</v>
      </c>
      <c r="B26" t="s">
        <v>934</v>
      </c>
      <c r="C26">
        <v>0.20085975527763369</v>
      </c>
      <c r="D26">
        <v>0.19399107992649081</v>
      </c>
      <c r="E26">
        <v>0.19232957065105441</v>
      </c>
      <c r="F26">
        <v>0.19123730063438421</v>
      </c>
      <c r="G26">
        <v>0.18969020247459409</v>
      </c>
      <c r="H26">
        <v>0.187901645898819</v>
      </c>
      <c r="I26">
        <v>0.18603099882602689</v>
      </c>
      <c r="J26">
        <v>0.18410614132881159</v>
      </c>
      <c r="K26">
        <v>0.18222986161708829</v>
      </c>
      <c r="L26">
        <v>0.18024235963821411</v>
      </c>
      <c r="M26">
        <v>0.178200364112854</v>
      </c>
      <c r="N26">
        <v>0.17622686922550199</v>
      </c>
      <c r="O26">
        <v>0.1741006672382355</v>
      </c>
      <c r="P26">
        <v>0.17193321883678439</v>
      </c>
      <c r="Q26">
        <v>0.16966257989406591</v>
      </c>
      <c r="R26">
        <v>0.16736641526222229</v>
      </c>
      <c r="S26">
        <v>0.16509945690631869</v>
      </c>
      <c r="T26">
        <v>0.16280846297740939</v>
      </c>
      <c r="U26">
        <v>0.16050852835178381</v>
      </c>
      <c r="V26">
        <v>0.15815579891204831</v>
      </c>
      <c r="W26">
        <v>0.15582430362701419</v>
      </c>
      <c r="X26">
        <v>0.1533553749322891</v>
      </c>
      <c r="Y26">
        <v>0.15071453154087069</v>
      </c>
      <c r="Z26">
        <v>0.14803248643875119</v>
      </c>
      <c r="AA26">
        <v>0.1453853249549866</v>
      </c>
      <c r="AB26">
        <v>0.14267079532146451</v>
      </c>
      <c r="AC26">
        <v>-1.358950092456224E-2</v>
      </c>
      <c r="AG26" s="67"/>
    </row>
    <row r="27" spans="1:33" x14ac:dyDescent="0.45">
      <c r="A27" t="s">
        <v>282</v>
      </c>
      <c r="B27" t="s">
        <v>935</v>
      </c>
      <c r="C27">
        <v>0.56683909893035889</v>
      </c>
      <c r="D27">
        <v>0.59447222948074341</v>
      </c>
      <c r="E27">
        <v>0.60086137056350708</v>
      </c>
      <c r="F27">
        <v>0.60903185606002808</v>
      </c>
      <c r="G27">
        <v>0.61581021547317505</v>
      </c>
      <c r="H27">
        <v>0.62006598711013794</v>
      </c>
      <c r="I27">
        <v>0.62495642900466919</v>
      </c>
      <c r="J27">
        <v>0.63044631481170654</v>
      </c>
      <c r="K27">
        <v>0.63640803098678589</v>
      </c>
      <c r="L27">
        <v>0.64294540882110596</v>
      </c>
      <c r="M27">
        <v>0.6497994065284729</v>
      </c>
      <c r="N27">
        <v>0.65744853019714355</v>
      </c>
      <c r="O27">
        <v>0.66526556015014648</v>
      </c>
      <c r="P27">
        <v>0.67322629690170288</v>
      </c>
      <c r="Q27">
        <v>0.68110114336013794</v>
      </c>
      <c r="R27">
        <v>0.68931227922439575</v>
      </c>
      <c r="S27">
        <v>0.69798088073730469</v>
      </c>
      <c r="T27">
        <v>0.70710176229476929</v>
      </c>
      <c r="U27">
        <v>0.71693152189254761</v>
      </c>
      <c r="V27">
        <v>0.72700560092926025</v>
      </c>
      <c r="W27">
        <v>0.73754805326461792</v>
      </c>
      <c r="X27">
        <v>0.74766790866851807</v>
      </c>
      <c r="Y27">
        <v>0.75733828544616699</v>
      </c>
      <c r="Z27">
        <v>0.76694387197494507</v>
      </c>
      <c r="AA27">
        <v>0.77708876132965088</v>
      </c>
      <c r="AB27">
        <v>0.78723692893981934</v>
      </c>
      <c r="AC27">
        <v>1.3224835475628799E-2</v>
      </c>
      <c r="AG27" s="67"/>
    </row>
    <row r="28" spans="1:33" x14ac:dyDescent="0.45">
      <c r="A28" t="s">
        <v>284</v>
      </c>
      <c r="B28" t="s">
        <v>936</v>
      </c>
      <c r="C28">
        <v>7.3797442018985748E-2</v>
      </c>
      <c r="D28">
        <v>7.2725929319858551E-2</v>
      </c>
      <c r="E28">
        <v>7.2052367031574249E-2</v>
      </c>
      <c r="F28">
        <v>7.1639999747276306E-2</v>
      </c>
      <c r="G28">
        <v>7.1071445941925049E-2</v>
      </c>
      <c r="H28">
        <v>7.0186875760555267E-2</v>
      </c>
      <c r="I28">
        <v>6.9283425807952881E-2</v>
      </c>
      <c r="J28">
        <v>6.8399414420127869E-2</v>
      </c>
      <c r="K28">
        <v>6.7566446959972382E-2</v>
      </c>
      <c r="L28">
        <v>6.674639880657196E-2</v>
      </c>
      <c r="M28">
        <v>6.5931566059589386E-2</v>
      </c>
      <c r="N28">
        <v>6.5183967351913452E-2</v>
      </c>
      <c r="O28">
        <v>6.442539393901825E-2</v>
      </c>
      <c r="P28">
        <v>6.3673168420791626E-2</v>
      </c>
      <c r="Q28">
        <v>6.291624903678894E-2</v>
      </c>
      <c r="R28">
        <v>6.2152568250894553E-2</v>
      </c>
      <c r="S28">
        <v>6.1431121081113822E-2</v>
      </c>
      <c r="T28">
        <v>6.0715850442647927E-2</v>
      </c>
      <c r="U28">
        <v>6.0034144669771188E-2</v>
      </c>
      <c r="V28">
        <v>5.9363886713981628E-2</v>
      </c>
      <c r="W28">
        <v>5.8695036917924881E-2</v>
      </c>
      <c r="X28">
        <v>5.800233781337738E-2</v>
      </c>
      <c r="Y28">
        <v>5.7258345186710358E-2</v>
      </c>
      <c r="Z28">
        <v>5.6503459811210632E-2</v>
      </c>
      <c r="AA28">
        <v>5.5764075368642807E-2</v>
      </c>
      <c r="AB28">
        <v>5.5011309683322913E-2</v>
      </c>
      <c r="AC28">
        <v>-1.1682632859364441E-2</v>
      </c>
      <c r="AG28" s="67"/>
    </row>
    <row r="29" spans="1:33" x14ac:dyDescent="0.45">
      <c r="A29" t="s">
        <v>286</v>
      </c>
      <c r="B29" t="s">
        <v>937</v>
      </c>
      <c r="C29">
        <v>0.7725786566734314</v>
      </c>
      <c r="D29">
        <v>0.77808070182800293</v>
      </c>
      <c r="E29">
        <v>0.78721636533737183</v>
      </c>
      <c r="F29">
        <v>0.79894798994064331</v>
      </c>
      <c r="G29">
        <v>0.80861729383468628</v>
      </c>
      <c r="H29">
        <v>0.81284761428833008</v>
      </c>
      <c r="I29">
        <v>0.81740254163742065</v>
      </c>
      <c r="J29">
        <v>0.82248866558074951</v>
      </c>
      <c r="K29">
        <v>0.82842159271240234</v>
      </c>
      <c r="L29">
        <v>0.83473402261734009</v>
      </c>
      <c r="M29">
        <v>0.84140819311141968</v>
      </c>
      <c r="N29">
        <v>0.84894019365310669</v>
      </c>
      <c r="O29">
        <v>0.85649627447128296</v>
      </c>
      <c r="P29">
        <v>0.86420577764511108</v>
      </c>
      <c r="Q29">
        <v>0.87185335159301758</v>
      </c>
      <c r="R29">
        <v>0.87961149215698242</v>
      </c>
      <c r="S29">
        <v>0.88787376880645752</v>
      </c>
      <c r="T29">
        <v>0.89625650644302368</v>
      </c>
      <c r="U29">
        <v>0.90508544445037842</v>
      </c>
      <c r="V29">
        <v>0.91416382789611816</v>
      </c>
      <c r="W29">
        <v>0.92337268590927124</v>
      </c>
      <c r="X29">
        <v>0.93216902017593384</v>
      </c>
      <c r="Y29">
        <v>0.94026070833206177</v>
      </c>
      <c r="Z29">
        <v>0.94815254211425781</v>
      </c>
      <c r="AA29">
        <v>0.9564245343208313</v>
      </c>
      <c r="AB29">
        <v>0.96451842784881592</v>
      </c>
      <c r="AC29">
        <v>8.9153113016047225E-3</v>
      </c>
      <c r="AG29" s="67"/>
    </row>
    <row r="30" spans="1:33" x14ac:dyDescent="0.45">
      <c r="A30" t="s">
        <v>288</v>
      </c>
      <c r="B30" t="s">
        <v>93</v>
      </c>
      <c r="C30">
        <v>8.3990909159183502E-2</v>
      </c>
      <c r="D30">
        <v>8.3245344460010529E-2</v>
      </c>
      <c r="E30">
        <v>8.2882039248943329E-2</v>
      </c>
      <c r="F30">
        <v>8.2750335335731506E-2</v>
      </c>
      <c r="G30">
        <v>8.2395762205123901E-2</v>
      </c>
      <c r="H30">
        <v>8.1707864999771118E-2</v>
      </c>
      <c r="I30">
        <v>8.0997481942176819E-2</v>
      </c>
      <c r="J30">
        <v>8.0317422747612E-2</v>
      </c>
      <c r="K30">
        <v>7.9704485833644867E-2</v>
      </c>
      <c r="L30">
        <v>7.9115942120552063E-2</v>
      </c>
      <c r="M30">
        <v>7.8533269464969635E-2</v>
      </c>
      <c r="N30">
        <v>7.7997617423534393E-2</v>
      </c>
      <c r="O30">
        <v>7.7441923320293427E-2</v>
      </c>
      <c r="P30">
        <v>7.6880864799022675E-2</v>
      </c>
      <c r="Q30">
        <v>7.629849761724472E-2</v>
      </c>
      <c r="R30">
        <v>7.570222020149231E-2</v>
      </c>
      <c r="S30">
        <v>7.5151115655899048E-2</v>
      </c>
      <c r="T30">
        <v>7.4597328901290894E-2</v>
      </c>
      <c r="U30">
        <v>7.4064627289772034E-2</v>
      </c>
      <c r="V30">
        <v>7.3537647724151611E-2</v>
      </c>
      <c r="W30">
        <v>7.3002226650714874E-2</v>
      </c>
      <c r="X30">
        <v>7.241734117269516E-2</v>
      </c>
      <c r="Y30">
        <v>7.1763046085834503E-2</v>
      </c>
      <c r="Z30">
        <v>7.1081988513469696E-2</v>
      </c>
      <c r="AA30">
        <v>7.0414647459983826E-2</v>
      </c>
      <c r="AB30">
        <v>6.9721437990665436E-2</v>
      </c>
      <c r="AC30">
        <v>-7.4203610865809511E-3</v>
      </c>
      <c r="AG30" s="67"/>
    </row>
    <row r="31" spans="1:33" x14ac:dyDescent="0.45">
      <c r="A31" t="s">
        <v>289</v>
      </c>
      <c r="B31" t="s">
        <v>99</v>
      </c>
      <c r="C31">
        <v>0.56464868783950806</v>
      </c>
      <c r="D31">
        <v>0.55332779884338379</v>
      </c>
      <c r="E31">
        <v>0.5473293662071228</v>
      </c>
      <c r="F31">
        <v>0.54542988538742065</v>
      </c>
      <c r="G31">
        <v>0.54358804225921631</v>
      </c>
      <c r="H31">
        <v>0.53231817483901978</v>
      </c>
      <c r="I31">
        <v>0.52262163162231445</v>
      </c>
      <c r="J31">
        <v>0.51420021057128906</v>
      </c>
      <c r="K31">
        <v>0.50677865743637085</v>
      </c>
      <c r="L31">
        <v>0.49977785348892212</v>
      </c>
      <c r="M31">
        <v>0.49295160174369812</v>
      </c>
      <c r="N31">
        <v>0.48728850483894348</v>
      </c>
      <c r="O31">
        <v>0.48248586058616638</v>
      </c>
      <c r="P31">
        <v>0.47849792242050171</v>
      </c>
      <c r="Q31">
        <v>0.47511857748031622</v>
      </c>
      <c r="R31">
        <v>0.47012150287628168</v>
      </c>
      <c r="S31">
        <v>0.46640691161155701</v>
      </c>
      <c r="T31">
        <v>0.4634820818901062</v>
      </c>
      <c r="U31">
        <v>0.46129697561264038</v>
      </c>
      <c r="V31">
        <v>0.45964255928993231</v>
      </c>
      <c r="W31">
        <v>0.45840096473693848</v>
      </c>
      <c r="X31">
        <v>0.45725777745246893</v>
      </c>
      <c r="Y31">
        <v>0.45599430799484247</v>
      </c>
      <c r="Z31">
        <v>0.45470628142356873</v>
      </c>
      <c r="AA31">
        <v>0.45369204878807068</v>
      </c>
      <c r="AB31">
        <v>0.45269542932510382</v>
      </c>
      <c r="AC31">
        <v>-8.8004151828615651E-3</v>
      </c>
    </row>
    <row r="32" spans="1:33" x14ac:dyDescent="0.45">
      <c r="A32" t="s">
        <v>290</v>
      </c>
      <c r="B32" t="s">
        <v>91</v>
      </c>
      <c r="C32">
        <v>0.36673378944396973</v>
      </c>
      <c r="D32">
        <v>0.36595341563224792</v>
      </c>
      <c r="E32">
        <v>0.36617350578308111</v>
      </c>
      <c r="F32">
        <v>0.36700010299682623</v>
      </c>
      <c r="G32">
        <v>0.36756345629692078</v>
      </c>
      <c r="H32">
        <v>0.36664438247680659</v>
      </c>
      <c r="I32">
        <v>0.36620622873306269</v>
      </c>
      <c r="J32">
        <v>0.36610907316207891</v>
      </c>
      <c r="K32">
        <v>0.36639034748077393</v>
      </c>
      <c r="L32">
        <v>0.36694955825805659</v>
      </c>
      <c r="M32">
        <v>0.36775559186935419</v>
      </c>
      <c r="N32">
        <v>0.36884811520576483</v>
      </c>
      <c r="O32">
        <v>0.37004610896110529</v>
      </c>
      <c r="P32">
        <v>0.37123894691467291</v>
      </c>
      <c r="Q32">
        <v>0.3723832368850708</v>
      </c>
      <c r="R32">
        <v>0.37348532676696777</v>
      </c>
      <c r="S32">
        <v>0.37482777237892151</v>
      </c>
      <c r="T32">
        <v>0.37610214948654169</v>
      </c>
      <c r="U32">
        <v>0.37739026546478271</v>
      </c>
      <c r="V32">
        <v>0.37866276502609247</v>
      </c>
      <c r="W32">
        <v>0.37990128993988043</v>
      </c>
      <c r="X32">
        <v>0.3810141384601593</v>
      </c>
      <c r="Y32">
        <v>0.38195547461509699</v>
      </c>
      <c r="Z32">
        <v>0.38280674815177917</v>
      </c>
      <c r="AA32">
        <v>0.38365435600280762</v>
      </c>
      <c r="AB32">
        <v>0.38441506028175348</v>
      </c>
      <c r="AC32">
        <v>1.885240416076073E-3</v>
      </c>
      <c r="AG32" s="67"/>
    </row>
    <row r="33" spans="1:33" x14ac:dyDescent="0.45">
      <c r="A33" t="s">
        <v>938</v>
      </c>
      <c r="B33" t="s">
        <v>939</v>
      </c>
      <c r="C33">
        <v>0.35769146680831909</v>
      </c>
      <c r="D33">
        <v>0.40369805693626398</v>
      </c>
      <c r="E33">
        <v>0.45296800136566162</v>
      </c>
      <c r="F33">
        <v>0.50386369228363037</v>
      </c>
      <c r="G33">
        <v>0.55580109357833862</v>
      </c>
      <c r="H33">
        <v>0.60810637474060059</v>
      </c>
      <c r="I33">
        <v>0.66097623109817505</v>
      </c>
      <c r="J33">
        <v>0.71486109495162964</v>
      </c>
      <c r="K33">
        <v>0.76973402500152588</v>
      </c>
      <c r="L33">
        <v>0.82540673017501831</v>
      </c>
      <c r="M33">
        <v>0.8817182183265686</v>
      </c>
      <c r="N33">
        <v>0.93838644027709961</v>
      </c>
      <c r="O33">
        <v>0.99514853954315186</v>
      </c>
      <c r="P33">
        <v>1.051304817199707</v>
      </c>
      <c r="Q33">
        <v>1.106358528137207</v>
      </c>
      <c r="R33">
        <v>1.159801244735718</v>
      </c>
      <c r="S33">
        <v>1.211428165435791</v>
      </c>
      <c r="T33">
        <v>1.260422468185425</v>
      </c>
      <c r="U33">
        <v>1.3068299293518071</v>
      </c>
      <c r="V33">
        <v>1.3498513698577881</v>
      </c>
      <c r="W33">
        <v>1.389499306678772</v>
      </c>
      <c r="X33">
        <v>1.424822926521301</v>
      </c>
      <c r="Y33">
        <v>1.4555174112319951</v>
      </c>
      <c r="Z33">
        <v>1.4812450408935549</v>
      </c>
      <c r="AA33">
        <v>1.5018157958984379</v>
      </c>
      <c r="AB33">
        <v>1.5200847387313841</v>
      </c>
      <c r="AC33">
        <v>5.9581504241519527E-2</v>
      </c>
      <c r="AG33" s="67"/>
    </row>
    <row r="34" spans="1:33" x14ac:dyDescent="0.45">
      <c r="A34" t="s">
        <v>940</v>
      </c>
      <c r="B34" t="s">
        <v>941</v>
      </c>
      <c r="C34">
        <v>0.21695259213447571</v>
      </c>
      <c r="D34">
        <v>0.2117447704076767</v>
      </c>
      <c r="E34">
        <v>0.20712237060070041</v>
      </c>
      <c r="F34">
        <v>0.2026841789484024</v>
      </c>
      <c r="G34">
        <v>0.1982623636722565</v>
      </c>
      <c r="H34">
        <v>0.19391293823719019</v>
      </c>
      <c r="I34">
        <v>0.1898292750120163</v>
      </c>
      <c r="J34">
        <v>0.18571975827217099</v>
      </c>
      <c r="K34">
        <v>0.18246522545814511</v>
      </c>
      <c r="L34">
        <v>0.17970889806747439</v>
      </c>
      <c r="M34">
        <v>0.17706714570522311</v>
      </c>
      <c r="N34">
        <v>0.1750409007072449</v>
      </c>
      <c r="O34">
        <v>0.1731773912906647</v>
      </c>
      <c r="P34">
        <v>0.17144748568534851</v>
      </c>
      <c r="Q34">
        <v>0.17038112878799441</v>
      </c>
      <c r="R34">
        <v>0.16903424263000491</v>
      </c>
      <c r="S34">
        <v>0.16736727952957151</v>
      </c>
      <c r="T34">
        <v>0.16648046672344211</v>
      </c>
      <c r="U34">
        <v>0.1648089736700058</v>
      </c>
      <c r="V34">
        <v>0.1634516566991806</v>
      </c>
      <c r="W34">
        <v>0.1618640869855881</v>
      </c>
      <c r="X34">
        <v>0.16062961518764499</v>
      </c>
      <c r="Y34">
        <v>0.15854467451572421</v>
      </c>
      <c r="Z34">
        <v>0.1562098562717438</v>
      </c>
      <c r="AA34">
        <v>0.1536378413438797</v>
      </c>
      <c r="AB34">
        <v>0.15080669522285459</v>
      </c>
      <c r="AC34">
        <v>-1.4441901008480749E-2</v>
      </c>
      <c r="AG34" s="67"/>
    </row>
    <row r="35" spans="1:33" x14ac:dyDescent="0.45">
      <c r="A35" t="s">
        <v>295</v>
      </c>
      <c r="B35" t="s">
        <v>942</v>
      </c>
      <c r="C35">
        <v>1.9491628408432009</v>
      </c>
      <c r="D35">
        <v>2.1337265968322749</v>
      </c>
      <c r="E35">
        <v>2.1396884918212891</v>
      </c>
      <c r="F35">
        <v>2.1391499042510991</v>
      </c>
      <c r="G35">
        <v>2.1382029056549068</v>
      </c>
      <c r="H35">
        <v>2.1360304355621338</v>
      </c>
      <c r="I35">
        <v>2.134271621704102</v>
      </c>
      <c r="J35">
        <v>2.1334948539733891</v>
      </c>
      <c r="K35">
        <v>2.1342422962188721</v>
      </c>
      <c r="L35">
        <v>2.136271715164185</v>
      </c>
      <c r="M35">
        <v>2.1396157741546631</v>
      </c>
      <c r="N35">
        <v>2.1449534893035889</v>
      </c>
      <c r="O35">
        <v>2.1511600017547612</v>
      </c>
      <c r="P35">
        <v>2.1578776836395259</v>
      </c>
      <c r="Q35">
        <v>2.164867639541626</v>
      </c>
      <c r="R35">
        <v>2.1721892356872559</v>
      </c>
      <c r="S35">
        <v>2.1793885231018071</v>
      </c>
      <c r="T35">
        <v>2.1868374347686772</v>
      </c>
      <c r="U35">
        <v>2.1948528289794922</v>
      </c>
      <c r="V35">
        <v>2.2030379772186279</v>
      </c>
      <c r="W35">
        <v>2.212114810943604</v>
      </c>
      <c r="X35">
        <v>2.2210614681243901</v>
      </c>
      <c r="Y35">
        <v>2.230132102966309</v>
      </c>
      <c r="Z35">
        <v>2.2396624088287349</v>
      </c>
      <c r="AA35">
        <v>2.249700784683228</v>
      </c>
      <c r="AB35">
        <v>2.2603828907012939</v>
      </c>
      <c r="AC35">
        <v>5.9429597935931611E-3</v>
      </c>
      <c r="AG35" s="67"/>
    </row>
    <row r="36" spans="1:33" x14ac:dyDescent="0.45">
      <c r="A36" t="s">
        <v>297</v>
      </c>
      <c r="B36" t="s">
        <v>882</v>
      </c>
      <c r="C36">
        <v>5.1532554626464844</v>
      </c>
      <c r="D36">
        <v>5.3909659385681152</v>
      </c>
      <c r="E36">
        <v>5.4486231803894043</v>
      </c>
      <c r="F36">
        <v>5.5117354393005371</v>
      </c>
      <c r="G36">
        <v>5.5710029602050781</v>
      </c>
      <c r="H36">
        <v>5.6097221374511719</v>
      </c>
      <c r="I36">
        <v>5.6525759696960449</v>
      </c>
      <c r="J36">
        <v>5.7001433372497559</v>
      </c>
      <c r="K36">
        <v>5.7539410591125488</v>
      </c>
      <c r="L36">
        <v>5.8118991851806641</v>
      </c>
      <c r="M36">
        <v>5.872981071472168</v>
      </c>
      <c r="N36">
        <v>5.940314769744873</v>
      </c>
      <c r="O36">
        <v>6.0097479820251456</v>
      </c>
      <c r="P36">
        <v>6.0802860260009766</v>
      </c>
      <c r="Q36">
        <v>6.1509408950805664</v>
      </c>
      <c r="R36">
        <v>6.2187762260437012</v>
      </c>
      <c r="S36">
        <v>6.2869548797607422</v>
      </c>
      <c r="T36">
        <v>6.3548049926757813</v>
      </c>
      <c r="U36">
        <v>6.4218029975891113</v>
      </c>
      <c r="V36">
        <v>6.486872673034668</v>
      </c>
      <c r="W36">
        <v>6.5502228736877441</v>
      </c>
      <c r="X36">
        <v>6.6083984375</v>
      </c>
      <c r="Y36">
        <v>6.6594786643981934</v>
      </c>
      <c r="Z36">
        <v>6.7053451538085938</v>
      </c>
      <c r="AA36">
        <v>6.7475776672363281</v>
      </c>
      <c r="AB36">
        <v>6.7875442504882813</v>
      </c>
      <c r="AC36">
        <v>1.1079348822274239E-2</v>
      </c>
      <c r="AG36" s="67"/>
    </row>
    <row r="37" spans="1:33" x14ac:dyDescent="0.45">
      <c r="A37" t="s">
        <v>943</v>
      </c>
      <c r="B37" t="s">
        <v>884</v>
      </c>
      <c r="C37">
        <v>3.1625282019376748E-2</v>
      </c>
      <c r="D37">
        <v>4.134933277964592E-2</v>
      </c>
      <c r="E37">
        <v>5.3095277398824692E-2</v>
      </c>
      <c r="F37">
        <v>6.6244311630725861E-2</v>
      </c>
      <c r="G37">
        <v>7.9602524638175964E-2</v>
      </c>
      <c r="H37">
        <v>9.2542998492717743E-2</v>
      </c>
      <c r="I37">
        <v>0.1044155731797218</v>
      </c>
      <c r="J37">
        <v>0.11564316600561141</v>
      </c>
      <c r="K37">
        <v>0.126972422003746</v>
      </c>
      <c r="L37">
        <v>0.13850162923336029</v>
      </c>
      <c r="M37">
        <v>0.1503918915987015</v>
      </c>
      <c r="N37">
        <v>0.1624611169099808</v>
      </c>
      <c r="O37">
        <v>0.17480400204658511</v>
      </c>
      <c r="P37">
        <v>0.18723900616168981</v>
      </c>
      <c r="Q37">
        <v>0.19958958029747009</v>
      </c>
      <c r="R37">
        <v>0.21228790283203119</v>
      </c>
      <c r="S37">
        <v>0.22536417841911319</v>
      </c>
      <c r="T37">
        <v>0.2392434626817703</v>
      </c>
      <c r="U37">
        <v>0.25397318601608282</v>
      </c>
      <c r="V37">
        <v>0.26994425058364868</v>
      </c>
      <c r="W37">
        <v>0.28712135553359991</v>
      </c>
      <c r="X37">
        <v>0.30473798513412481</v>
      </c>
      <c r="Y37">
        <v>0.32270422577857971</v>
      </c>
      <c r="Z37">
        <v>0.34103548526763922</v>
      </c>
      <c r="AA37">
        <v>0.35960790514945978</v>
      </c>
      <c r="AB37">
        <v>0.37826317548751831</v>
      </c>
      <c r="AC37">
        <v>0.10435928343752671</v>
      </c>
      <c r="AG37" s="67"/>
    </row>
    <row r="38" spans="1:33" x14ac:dyDescent="0.45">
      <c r="A38" t="s">
        <v>298</v>
      </c>
      <c r="B38" t="s">
        <v>115</v>
      </c>
      <c r="C38">
        <v>0.15950858592987061</v>
      </c>
      <c r="D38">
        <v>0.1786766201257706</v>
      </c>
      <c r="E38">
        <v>0.1948061287403107</v>
      </c>
      <c r="F38">
        <v>0.20256760716438291</v>
      </c>
      <c r="G38">
        <v>0.20727863907814029</v>
      </c>
      <c r="H38">
        <v>0.21264529228210449</v>
      </c>
      <c r="I38">
        <v>0.2167929410934448</v>
      </c>
      <c r="J38">
        <v>0.22007113695144651</v>
      </c>
      <c r="K38">
        <v>0.22375722229480741</v>
      </c>
      <c r="L38">
        <v>0.22935956716537481</v>
      </c>
      <c r="M38">
        <v>0.23388862609863281</v>
      </c>
      <c r="N38">
        <v>0.23771291971206671</v>
      </c>
      <c r="O38">
        <v>0.24440619349479681</v>
      </c>
      <c r="P38">
        <v>0.25092688202857971</v>
      </c>
      <c r="Q38">
        <v>0.25883272290229797</v>
      </c>
      <c r="R38">
        <v>0.26564681529998779</v>
      </c>
      <c r="S38">
        <v>0.26932963728904719</v>
      </c>
      <c r="T38">
        <v>0.27484393119812012</v>
      </c>
      <c r="U38">
        <v>0.27782019972801208</v>
      </c>
      <c r="V38">
        <v>0.28117102384567261</v>
      </c>
      <c r="W38">
        <v>0.28390690684318542</v>
      </c>
      <c r="X38">
        <v>0.28815773129463201</v>
      </c>
      <c r="Y38">
        <v>0.29341936111450201</v>
      </c>
      <c r="Z38">
        <v>0.29877597093582148</v>
      </c>
      <c r="AA38">
        <v>0.30282855033874512</v>
      </c>
      <c r="AB38">
        <v>0.30805617570877081</v>
      </c>
      <c r="AC38">
        <v>2.667700303508402E-2</v>
      </c>
    </row>
    <row r="39" spans="1:33" x14ac:dyDescent="0.45">
      <c r="A39" t="s">
        <v>299</v>
      </c>
      <c r="B39" t="s">
        <v>944</v>
      </c>
      <c r="C39">
        <v>5.0253725051879883</v>
      </c>
      <c r="D39">
        <v>5.2536382675170898</v>
      </c>
      <c r="E39">
        <v>5.3069119453430176</v>
      </c>
      <c r="F39">
        <v>5.3754119873046884</v>
      </c>
      <c r="G39">
        <v>5.4433269500732422</v>
      </c>
      <c r="H39">
        <v>5.4896197319030762</v>
      </c>
      <c r="I39">
        <v>5.540198802947998</v>
      </c>
      <c r="J39">
        <v>5.5957150459289551</v>
      </c>
      <c r="K39">
        <v>5.6571564674377441</v>
      </c>
      <c r="L39">
        <v>5.7210402488708496</v>
      </c>
      <c r="M39">
        <v>5.7894845008850098</v>
      </c>
      <c r="N39">
        <v>5.8650627136230469</v>
      </c>
      <c r="O39">
        <v>5.9401464462280273</v>
      </c>
      <c r="P39">
        <v>6.0165977478027344</v>
      </c>
      <c r="Q39">
        <v>6.0916976928710938</v>
      </c>
      <c r="R39">
        <v>6.1654171943664551</v>
      </c>
      <c r="S39">
        <v>6.2429895401000977</v>
      </c>
      <c r="T39">
        <v>6.3192043304443359</v>
      </c>
      <c r="U39">
        <v>6.3979558944702148</v>
      </c>
      <c r="V39">
        <v>6.4756464958190918</v>
      </c>
      <c r="W39">
        <v>6.5534367561340332</v>
      </c>
      <c r="X39">
        <v>6.6249785423278809</v>
      </c>
      <c r="Y39">
        <v>6.6887631416320801</v>
      </c>
      <c r="Z39">
        <v>6.7476053237915039</v>
      </c>
      <c r="AA39">
        <v>6.8043575286865234</v>
      </c>
      <c r="AB39">
        <v>6.8577513694763184</v>
      </c>
      <c r="AC39">
        <v>1.251283930028224E-2</v>
      </c>
      <c r="AG39" s="67"/>
    </row>
    <row r="40" spans="1:33" x14ac:dyDescent="0.45">
      <c r="AG40" s="67"/>
    </row>
    <row r="41" spans="1:33" x14ac:dyDescent="0.45">
      <c r="B41" t="s">
        <v>118</v>
      </c>
      <c r="AG41" s="67"/>
    </row>
    <row r="42" spans="1:33" x14ac:dyDescent="0.45">
      <c r="A42" t="s">
        <v>300</v>
      </c>
      <c r="B42" t="s">
        <v>934</v>
      </c>
      <c r="C42">
        <v>1.6773954629898069</v>
      </c>
      <c r="D42">
        <v>1.6589773893356321</v>
      </c>
      <c r="E42">
        <v>1.655333399772644</v>
      </c>
      <c r="F42">
        <v>1.6402128934860229</v>
      </c>
      <c r="G42">
        <v>1.6146227121353149</v>
      </c>
      <c r="H42">
        <v>1.585396289825439</v>
      </c>
      <c r="I42">
        <v>1.558152914047241</v>
      </c>
      <c r="J42">
        <v>1.5396790504455571</v>
      </c>
      <c r="K42">
        <v>1.525580048561096</v>
      </c>
      <c r="L42">
        <v>1.514997720718384</v>
      </c>
      <c r="M42">
        <v>1.504150867462158</v>
      </c>
      <c r="N42">
        <v>1.4947488307952881</v>
      </c>
      <c r="O42">
        <v>1.48476254940033</v>
      </c>
      <c r="P42">
        <v>1.4748086929321289</v>
      </c>
      <c r="Q42">
        <v>1.4642318487167361</v>
      </c>
      <c r="R42">
        <v>1.4538170099258421</v>
      </c>
      <c r="S42">
        <v>1.443761348724365</v>
      </c>
      <c r="T42">
        <v>1.435541152954102</v>
      </c>
      <c r="U42">
        <v>1.4277917146682739</v>
      </c>
      <c r="V42">
        <v>1.4207719564437871</v>
      </c>
      <c r="W42">
        <v>1.4132452011108401</v>
      </c>
      <c r="X42">
        <v>1.403234720230103</v>
      </c>
      <c r="Y42">
        <v>1.391638040542603</v>
      </c>
      <c r="Z42">
        <v>1.379733562469482</v>
      </c>
      <c r="AA42">
        <v>1.3678485155105591</v>
      </c>
      <c r="AB42">
        <v>1.356255054473877</v>
      </c>
      <c r="AC42">
        <v>-8.4645722836076409E-3</v>
      </c>
      <c r="AG42" s="67"/>
    </row>
    <row r="43" spans="1:33" x14ac:dyDescent="0.45">
      <c r="A43" t="s">
        <v>301</v>
      </c>
      <c r="B43" t="s">
        <v>945</v>
      </c>
      <c r="C43">
        <v>1.5692310407757759E-2</v>
      </c>
      <c r="D43">
        <v>1.7611738294363018E-2</v>
      </c>
      <c r="E43">
        <v>1.7944717779755589E-2</v>
      </c>
      <c r="F43">
        <v>1.8168630078434941E-2</v>
      </c>
      <c r="G43">
        <v>1.8287289887666699E-2</v>
      </c>
      <c r="H43">
        <v>1.839173398911953E-2</v>
      </c>
      <c r="I43">
        <v>1.8555257469415661E-2</v>
      </c>
      <c r="J43">
        <v>1.8871057778596882E-2</v>
      </c>
      <c r="K43">
        <v>1.9279817119240761E-2</v>
      </c>
      <c r="L43">
        <v>1.978542655706406E-2</v>
      </c>
      <c r="M43">
        <v>2.0337725058197979E-2</v>
      </c>
      <c r="N43">
        <v>2.0947156473994259E-2</v>
      </c>
      <c r="O43">
        <v>2.16028206050396E-2</v>
      </c>
      <c r="P43">
        <v>2.2291727364063259E-2</v>
      </c>
      <c r="Q43">
        <v>2.3007044568657879E-2</v>
      </c>
      <c r="R43">
        <v>2.3771090433001522E-2</v>
      </c>
      <c r="S43">
        <v>2.4567574262619019E-2</v>
      </c>
      <c r="T43">
        <v>2.5421241298317909E-2</v>
      </c>
      <c r="U43">
        <v>2.632622979581356E-2</v>
      </c>
      <c r="V43">
        <v>2.7284827083349231E-2</v>
      </c>
      <c r="W43">
        <v>2.829787693917751E-2</v>
      </c>
      <c r="X43">
        <v>2.9311478137969971E-2</v>
      </c>
      <c r="Y43">
        <v>3.0355546623468399E-2</v>
      </c>
      <c r="Z43">
        <v>3.1434997916221619E-2</v>
      </c>
      <c r="AA43">
        <v>3.2569676637649543E-2</v>
      </c>
      <c r="AB43">
        <v>3.3763069659471512E-2</v>
      </c>
      <c r="AC43">
        <v>3.1122352162310959E-2</v>
      </c>
      <c r="AG43" s="67"/>
    </row>
    <row r="44" spans="1:33" x14ac:dyDescent="0.45">
      <c r="A44" t="s">
        <v>302</v>
      </c>
      <c r="B44" t="s">
        <v>936</v>
      </c>
      <c r="C44">
        <v>0.27396970987319952</v>
      </c>
      <c r="D44">
        <v>0.28034082055091858</v>
      </c>
      <c r="E44">
        <v>0.28301820158958441</v>
      </c>
      <c r="F44">
        <v>0.28370055556297302</v>
      </c>
      <c r="G44">
        <v>0.28280740976333618</v>
      </c>
      <c r="H44">
        <v>0.28132256865501398</v>
      </c>
      <c r="I44">
        <v>0.28013831377029419</v>
      </c>
      <c r="J44">
        <v>0.28065657615661621</v>
      </c>
      <c r="K44">
        <v>0.28179177641868591</v>
      </c>
      <c r="L44">
        <v>0.28385654091835022</v>
      </c>
      <c r="M44">
        <v>0.28609967231750488</v>
      </c>
      <c r="N44">
        <v>0.28878262639045721</v>
      </c>
      <c r="O44">
        <v>0.29144948720932012</v>
      </c>
      <c r="P44">
        <v>0.29413104057312012</v>
      </c>
      <c r="Q44">
        <v>0.29673013091087341</v>
      </c>
      <c r="R44">
        <v>0.299366295337677</v>
      </c>
      <c r="S44">
        <v>0.30216354131698608</v>
      </c>
      <c r="T44">
        <v>0.30531713366508478</v>
      </c>
      <c r="U44">
        <v>0.30862829089164728</v>
      </c>
      <c r="V44">
        <v>0.31213518977165222</v>
      </c>
      <c r="W44">
        <v>0.31552162766456598</v>
      </c>
      <c r="X44">
        <v>0.31842884421348572</v>
      </c>
      <c r="Y44">
        <v>0.32100528478622442</v>
      </c>
      <c r="Z44">
        <v>0.3234659731388092</v>
      </c>
      <c r="AA44">
        <v>0.32592290639877319</v>
      </c>
      <c r="AB44">
        <v>0.32842874526977539</v>
      </c>
      <c r="AC44">
        <v>7.2784542239763272E-3</v>
      </c>
      <c r="AG44" s="67"/>
    </row>
    <row r="45" spans="1:33" x14ac:dyDescent="0.45">
      <c r="A45" t="s">
        <v>303</v>
      </c>
      <c r="B45" t="s">
        <v>93</v>
      </c>
      <c r="C45">
        <v>0.40539014339447021</v>
      </c>
      <c r="D45">
        <v>0.41269847750663757</v>
      </c>
      <c r="E45">
        <v>0.41620051860809332</v>
      </c>
      <c r="F45">
        <v>0.4167693555355072</v>
      </c>
      <c r="G45">
        <v>0.41515323519706732</v>
      </c>
      <c r="H45">
        <v>0.41260257363319403</v>
      </c>
      <c r="I45">
        <v>0.4105217456817627</v>
      </c>
      <c r="J45">
        <v>0.41081517934799189</v>
      </c>
      <c r="K45">
        <v>0.41202756762504578</v>
      </c>
      <c r="L45">
        <v>0.41451823711395258</v>
      </c>
      <c r="M45">
        <v>0.41720250248909002</v>
      </c>
      <c r="N45">
        <v>0.42046648263931269</v>
      </c>
      <c r="O45">
        <v>0.42367342114448547</v>
      </c>
      <c r="P45">
        <v>0.42686823010444641</v>
      </c>
      <c r="Q45">
        <v>0.42989811301231379</v>
      </c>
      <c r="R45">
        <v>0.43293362855911249</v>
      </c>
      <c r="S45">
        <v>0.43624541163444519</v>
      </c>
      <c r="T45">
        <v>0.4400576651096344</v>
      </c>
      <c r="U45">
        <v>0.44407555460929871</v>
      </c>
      <c r="V45">
        <v>0.44835063815116882</v>
      </c>
      <c r="W45">
        <v>0.4524155855178833</v>
      </c>
      <c r="X45">
        <v>0.45573797821998602</v>
      </c>
      <c r="Y45">
        <v>0.45854222774505621</v>
      </c>
      <c r="Z45">
        <v>0.46114656329154968</v>
      </c>
      <c r="AA45">
        <v>0.46372115612030029</v>
      </c>
      <c r="AB45">
        <v>0.46634387969970698</v>
      </c>
      <c r="AC45">
        <v>5.6186610306712126E-3</v>
      </c>
    </row>
    <row r="46" spans="1:33" x14ac:dyDescent="0.45">
      <c r="A46" t="s">
        <v>304</v>
      </c>
      <c r="B46" t="s">
        <v>139</v>
      </c>
      <c r="C46">
        <v>1.267356395721436</v>
      </c>
      <c r="D46">
        <v>1.194332599639893</v>
      </c>
      <c r="E46">
        <v>1.199043273925781</v>
      </c>
      <c r="F46">
        <v>1.1970863342285161</v>
      </c>
      <c r="G46">
        <v>1.188332796096802</v>
      </c>
      <c r="H46">
        <v>1.177144050598145</v>
      </c>
      <c r="I46">
        <v>1.1660845279693599</v>
      </c>
      <c r="J46">
        <v>1.1606681346893311</v>
      </c>
      <c r="K46">
        <v>1.157207250595093</v>
      </c>
      <c r="L46">
        <v>1.156333923339844</v>
      </c>
      <c r="M46">
        <v>1.155312299728394</v>
      </c>
      <c r="N46">
        <v>1.1553342342376709</v>
      </c>
      <c r="O46">
        <v>1.1551671028137209</v>
      </c>
      <c r="P46">
        <v>1.1551246643066411</v>
      </c>
      <c r="Q46">
        <v>1.154979467391968</v>
      </c>
      <c r="R46">
        <v>1.155163049697876</v>
      </c>
      <c r="S46">
        <v>1.1555249691009519</v>
      </c>
      <c r="T46">
        <v>1.157366037368774</v>
      </c>
      <c r="U46">
        <v>1.1597251892089839</v>
      </c>
      <c r="V46">
        <v>1.1629612445831301</v>
      </c>
      <c r="W46">
        <v>1.165869474411011</v>
      </c>
      <c r="X46">
        <v>1.1673815250396731</v>
      </c>
      <c r="Y46">
        <v>1.1680183410644529</v>
      </c>
      <c r="Z46">
        <v>1.1684195995330811</v>
      </c>
      <c r="AA46">
        <v>1.1688694953918459</v>
      </c>
      <c r="AB46">
        <v>1.1696515083312991</v>
      </c>
      <c r="AC46">
        <v>-3.203948546843693E-3</v>
      </c>
      <c r="AG46" s="67"/>
    </row>
    <row r="47" spans="1:33" x14ac:dyDescent="0.45">
      <c r="A47" t="s">
        <v>306</v>
      </c>
      <c r="B47" t="s">
        <v>127</v>
      </c>
      <c r="C47">
        <v>3.6398038864135742</v>
      </c>
      <c r="D47">
        <v>3.5639610290527339</v>
      </c>
      <c r="E47">
        <v>3.5715401172637939</v>
      </c>
      <c r="F47">
        <v>3.555937767028809</v>
      </c>
      <c r="G47">
        <v>3.5192034244537349</v>
      </c>
      <c r="H47">
        <v>3.4748573303222661</v>
      </c>
      <c r="I47">
        <v>3.433452844619751</v>
      </c>
      <c r="J47">
        <v>3.410690069198608</v>
      </c>
      <c r="K47">
        <v>3.3958864212036128</v>
      </c>
      <c r="L47">
        <v>3.3894917964935298</v>
      </c>
      <c r="M47">
        <v>3.3831031322479248</v>
      </c>
      <c r="N47">
        <v>3.3802793025970459</v>
      </c>
      <c r="O47">
        <v>3.3766553401947021</v>
      </c>
      <c r="P47">
        <v>3.3732244968414311</v>
      </c>
      <c r="Q47">
        <v>3.3688466548919682</v>
      </c>
      <c r="R47">
        <v>3.3650510311126709</v>
      </c>
      <c r="S47">
        <v>3.3622629642486568</v>
      </c>
      <c r="T47">
        <v>3.3637032508850102</v>
      </c>
      <c r="U47">
        <v>3.3665468692779541</v>
      </c>
      <c r="V47">
        <v>3.3715038299560551</v>
      </c>
      <c r="W47">
        <v>3.375349760055542</v>
      </c>
      <c r="X47">
        <v>3.3740944862365718</v>
      </c>
      <c r="Y47">
        <v>3.3695592880249019</v>
      </c>
      <c r="Z47">
        <v>3.3642005920410161</v>
      </c>
      <c r="AA47">
        <v>3.3589315414428711</v>
      </c>
      <c r="AB47">
        <v>3.3544421195983891</v>
      </c>
      <c r="AC47">
        <v>-3.2604463439075419E-3</v>
      </c>
      <c r="AG47" s="67"/>
    </row>
    <row r="48" spans="1:33" x14ac:dyDescent="0.45">
      <c r="AG48" s="67"/>
    </row>
    <row r="49" spans="1:33" x14ac:dyDescent="0.45">
      <c r="B49" t="s">
        <v>307</v>
      </c>
      <c r="AG49" s="67"/>
    </row>
    <row r="50" spans="1:33" x14ac:dyDescent="0.45">
      <c r="A50" t="s">
        <v>308</v>
      </c>
      <c r="B50" t="s">
        <v>934</v>
      </c>
      <c r="C50">
        <v>7.4527919292449951E-2</v>
      </c>
      <c r="D50">
        <v>7.281358540058136E-2</v>
      </c>
      <c r="E50">
        <v>7.2147302329540253E-2</v>
      </c>
      <c r="F50">
        <v>7.1328140795230865E-2</v>
      </c>
      <c r="G50">
        <v>7.0239558815956116E-2</v>
      </c>
      <c r="H50">
        <v>6.9390051066875458E-2</v>
      </c>
      <c r="I50">
        <v>6.8551786243915558E-2</v>
      </c>
      <c r="J50">
        <v>6.7389041185379028E-2</v>
      </c>
      <c r="K50">
        <v>6.5911509096622467E-2</v>
      </c>
      <c r="L50">
        <v>6.4452938735485077E-2</v>
      </c>
      <c r="M50">
        <v>6.3008643686771393E-2</v>
      </c>
      <c r="N50">
        <v>6.1669744551181793E-2</v>
      </c>
      <c r="O50">
        <v>6.0346193611621857E-2</v>
      </c>
      <c r="P50">
        <v>5.9038575738668442E-2</v>
      </c>
      <c r="Q50">
        <v>5.7779919356107712E-2</v>
      </c>
      <c r="R50">
        <v>5.6541707366704941E-2</v>
      </c>
      <c r="S50">
        <v>5.5331457406282418E-2</v>
      </c>
      <c r="T50">
        <v>5.4154399782419198E-2</v>
      </c>
      <c r="U50">
        <v>5.2974898368120187E-2</v>
      </c>
      <c r="V50">
        <v>5.1813665777444839E-2</v>
      </c>
      <c r="W50">
        <v>5.0656583160161972E-2</v>
      </c>
      <c r="X50">
        <v>4.9515556544065482E-2</v>
      </c>
      <c r="Y50">
        <v>4.8376400023698807E-2</v>
      </c>
      <c r="Z50">
        <v>4.7275986522436142E-2</v>
      </c>
      <c r="AA50">
        <v>4.6178881078958511E-2</v>
      </c>
      <c r="AB50">
        <v>4.5136269181966782E-2</v>
      </c>
      <c r="AC50">
        <v>-1.9859654335996121E-2</v>
      </c>
      <c r="AG50" s="67"/>
    </row>
    <row r="51" spans="1:33" x14ac:dyDescent="0.45">
      <c r="A51" t="s">
        <v>309</v>
      </c>
      <c r="B51" t="s">
        <v>936</v>
      </c>
      <c r="C51">
        <v>3.7680559325963259E-3</v>
      </c>
      <c r="D51">
        <v>3.7832744419574742E-3</v>
      </c>
      <c r="E51">
        <v>3.7724871654063459E-3</v>
      </c>
      <c r="F51">
        <v>3.7564183585345749E-3</v>
      </c>
      <c r="G51">
        <v>3.7375132087618108E-3</v>
      </c>
      <c r="H51">
        <v>3.7337860558182001E-3</v>
      </c>
      <c r="I51">
        <v>3.7297364324331279E-3</v>
      </c>
      <c r="J51">
        <v>3.7097297608852391E-3</v>
      </c>
      <c r="K51">
        <v>3.6715194582939148E-3</v>
      </c>
      <c r="L51">
        <v>3.635622793808579E-3</v>
      </c>
      <c r="M51">
        <v>3.6015734076499939E-3</v>
      </c>
      <c r="N51">
        <v>3.5739874001592402E-3</v>
      </c>
      <c r="O51">
        <v>3.547454252839088E-3</v>
      </c>
      <c r="P51">
        <v>3.5207115579396491E-3</v>
      </c>
      <c r="Q51">
        <v>3.496143501251936E-3</v>
      </c>
      <c r="R51">
        <v>3.471773816272616E-3</v>
      </c>
      <c r="S51">
        <v>3.4477852750569582E-3</v>
      </c>
      <c r="T51">
        <v>3.4243902191519742E-3</v>
      </c>
      <c r="U51">
        <v>3.400481771677732E-3</v>
      </c>
      <c r="V51">
        <v>3.375726286321878E-3</v>
      </c>
      <c r="W51">
        <v>3.3500534482300282E-3</v>
      </c>
      <c r="X51">
        <v>3.3243908546864991E-3</v>
      </c>
      <c r="Y51">
        <v>3.2979131210595369E-3</v>
      </c>
      <c r="Z51">
        <v>3.2726200297474861E-3</v>
      </c>
      <c r="AA51">
        <v>3.2461252994835381E-3</v>
      </c>
      <c r="AB51">
        <v>3.2221607398241758E-3</v>
      </c>
      <c r="AC51">
        <v>-6.2407264267132501E-3</v>
      </c>
      <c r="AG51" s="67"/>
    </row>
    <row r="52" spans="1:33" x14ac:dyDescent="0.45">
      <c r="A52" t="s">
        <v>310</v>
      </c>
      <c r="B52" t="s">
        <v>946</v>
      </c>
      <c r="C52">
        <v>0.23712390661239621</v>
      </c>
      <c r="D52">
        <v>0.24239152669906619</v>
      </c>
      <c r="E52">
        <v>0.25052589178085333</v>
      </c>
      <c r="F52">
        <v>0.25241014361381531</v>
      </c>
      <c r="G52">
        <v>0.25394093990325928</v>
      </c>
      <c r="H52">
        <v>0.25635850429534912</v>
      </c>
      <c r="I52">
        <v>0.25846773386001592</v>
      </c>
      <c r="J52">
        <v>0.25921866297721857</v>
      </c>
      <c r="K52">
        <v>0.25816449522972112</v>
      </c>
      <c r="L52">
        <v>0.25715771317481989</v>
      </c>
      <c r="M52">
        <v>0.25619250535964971</v>
      </c>
      <c r="N52">
        <v>0.255626380443573</v>
      </c>
      <c r="O52">
        <v>0.25496232509613043</v>
      </c>
      <c r="P52">
        <v>0.25428009033203119</v>
      </c>
      <c r="Q52">
        <v>0.25374829769134521</v>
      </c>
      <c r="R52">
        <v>0.25328880548477167</v>
      </c>
      <c r="S52">
        <v>0.25278040766715998</v>
      </c>
      <c r="T52">
        <v>0.25230595469474792</v>
      </c>
      <c r="U52">
        <v>0.25179854035377502</v>
      </c>
      <c r="V52">
        <v>0.25126516819000239</v>
      </c>
      <c r="W52">
        <v>0.25062987208366388</v>
      </c>
      <c r="X52">
        <v>0.24996206164360049</v>
      </c>
      <c r="Y52">
        <v>0.24919475615024569</v>
      </c>
      <c r="Z52">
        <v>0.24849805235862729</v>
      </c>
      <c r="AA52">
        <v>0.24769699573516851</v>
      </c>
      <c r="AB52">
        <v>0.24707627296447751</v>
      </c>
      <c r="AC52">
        <v>1.6459238145363211E-3</v>
      </c>
      <c r="AG52" s="67"/>
    </row>
    <row r="53" spans="1:33" x14ac:dyDescent="0.45">
      <c r="A53" t="s">
        <v>311</v>
      </c>
      <c r="B53" t="s">
        <v>127</v>
      </c>
      <c r="C53">
        <v>0.31541988253593439</v>
      </c>
      <c r="D53">
        <v>0.3189883828163147</v>
      </c>
      <c r="E53">
        <v>0.32644569873809809</v>
      </c>
      <c r="F53">
        <v>0.32749468088150019</v>
      </c>
      <c r="G53">
        <v>0.32791799306869512</v>
      </c>
      <c r="H53">
        <v>0.32948234677314758</v>
      </c>
      <c r="I53">
        <v>0.33074924349784851</v>
      </c>
      <c r="J53">
        <v>0.33031743764877319</v>
      </c>
      <c r="K53">
        <v>0.32774752378463751</v>
      </c>
      <c r="L53">
        <v>0.32524627447128301</v>
      </c>
      <c r="M53">
        <v>0.32280272245407099</v>
      </c>
      <c r="N53">
        <v>0.32087010145187378</v>
      </c>
      <c r="O53">
        <v>0.31885597109794622</v>
      </c>
      <c r="P53">
        <v>0.31683936715126038</v>
      </c>
      <c r="Q53">
        <v>0.31502434611320501</v>
      </c>
      <c r="R53">
        <v>0.31330227851867681</v>
      </c>
      <c r="S53">
        <v>0.31155964732170099</v>
      </c>
      <c r="T53">
        <v>0.30988472700119019</v>
      </c>
      <c r="U53">
        <v>0.30817392468452448</v>
      </c>
      <c r="V53">
        <v>0.30645456910133362</v>
      </c>
      <c r="W53">
        <v>0.30463650822639471</v>
      </c>
      <c r="X53">
        <v>0.30280199646949768</v>
      </c>
      <c r="Y53">
        <v>0.30086907744407648</v>
      </c>
      <c r="Z53">
        <v>0.29904666543006903</v>
      </c>
      <c r="AA53">
        <v>0.29712200164794922</v>
      </c>
      <c r="AB53">
        <v>0.29543471336364752</v>
      </c>
      <c r="AC53">
        <v>-2.6148487269990191E-3</v>
      </c>
      <c r="AG53" s="67"/>
    </row>
    <row r="54" spans="1:33" x14ac:dyDescent="0.45">
      <c r="AG54" s="67"/>
    </row>
    <row r="55" spans="1:33" x14ac:dyDescent="0.45">
      <c r="A55" t="s">
        <v>312</v>
      </c>
      <c r="B55" t="s">
        <v>313</v>
      </c>
      <c r="C55">
        <v>0.14368182420730591</v>
      </c>
      <c r="D55">
        <v>0.14368182420730591</v>
      </c>
      <c r="E55">
        <v>0.14368182420730591</v>
      </c>
      <c r="F55">
        <v>0.14368182420730591</v>
      </c>
      <c r="G55">
        <v>0.14368182420730591</v>
      </c>
      <c r="H55">
        <v>0.14368182420730591</v>
      </c>
      <c r="I55">
        <v>0.14368182420730591</v>
      </c>
      <c r="J55">
        <v>0.14368182420730591</v>
      </c>
      <c r="K55">
        <v>0.14368182420730591</v>
      </c>
      <c r="L55">
        <v>0.14368182420730591</v>
      </c>
      <c r="M55">
        <v>0.14368182420730591</v>
      </c>
      <c r="N55">
        <v>0.14368182420730591</v>
      </c>
      <c r="O55">
        <v>0.14368182420730591</v>
      </c>
      <c r="P55">
        <v>0.14368182420730591</v>
      </c>
      <c r="Q55">
        <v>0.14368182420730591</v>
      </c>
      <c r="R55">
        <v>0.14368182420730591</v>
      </c>
      <c r="S55">
        <v>0.14368182420730591</v>
      </c>
      <c r="T55">
        <v>0.14368182420730591</v>
      </c>
      <c r="U55">
        <v>0.14368182420730591</v>
      </c>
      <c r="V55">
        <v>0.14368182420730591</v>
      </c>
      <c r="W55">
        <v>0.14368182420730591</v>
      </c>
      <c r="X55">
        <v>0.14368182420730591</v>
      </c>
      <c r="Y55">
        <v>0.14368182420730591</v>
      </c>
      <c r="Z55">
        <v>0.14368182420730591</v>
      </c>
      <c r="AA55">
        <v>0.14368182420730591</v>
      </c>
      <c r="AB55">
        <v>0.14368182420730591</v>
      </c>
      <c r="AC55">
        <v>0</v>
      </c>
      <c r="AG55" s="67"/>
    </row>
    <row r="56" spans="1:33" x14ac:dyDescent="0.45">
      <c r="A56" t="s">
        <v>314</v>
      </c>
      <c r="B56" t="s">
        <v>947</v>
      </c>
      <c r="C56">
        <v>0.64804857969284058</v>
      </c>
      <c r="D56">
        <v>0.66109436750411987</v>
      </c>
      <c r="E56">
        <v>0.66815906763076782</v>
      </c>
      <c r="F56">
        <v>0.67530959844589233</v>
      </c>
      <c r="G56">
        <v>0.68251526355743408</v>
      </c>
      <c r="H56">
        <v>0.6905861496925354</v>
      </c>
      <c r="I56">
        <v>0.69791728258132935</v>
      </c>
      <c r="J56">
        <v>0.70595133304595947</v>
      </c>
      <c r="K56">
        <v>0.71397119760513306</v>
      </c>
      <c r="L56">
        <v>0.72265666723251343</v>
      </c>
      <c r="M56">
        <v>0.73132973909378052</v>
      </c>
      <c r="N56">
        <v>0.74053525924682617</v>
      </c>
      <c r="O56">
        <v>0.74982339143753052</v>
      </c>
      <c r="P56">
        <v>0.75890272855758667</v>
      </c>
      <c r="Q56">
        <v>0.76786136627197266</v>
      </c>
      <c r="R56">
        <v>0.77653080224990845</v>
      </c>
      <c r="S56">
        <v>0.78471815586090088</v>
      </c>
      <c r="T56">
        <v>0.79267412424087524</v>
      </c>
      <c r="U56">
        <v>0.80039334297180176</v>
      </c>
      <c r="V56">
        <v>0.80793756246566772</v>
      </c>
      <c r="W56">
        <v>0.81531292200088501</v>
      </c>
      <c r="X56">
        <v>0.82266759872436523</v>
      </c>
      <c r="Y56">
        <v>0.82990443706512451</v>
      </c>
      <c r="Z56">
        <v>0.83711159229278564</v>
      </c>
      <c r="AA56">
        <v>0.84429466724395752</v>
      </c>
      <c r="AB56">
        <v>0.8515092134475708</v>
      </c>
      <c r="AC56">
        <v>1.0981646761222709E-2</v>
      </c>
      <c r="AG56" s="67"/>
    </row>
    <row r="57" spans="1:33" x14ac:dyDescent="0.45">
      <c r="AG57" s="67"/>
    </row>
    <row r="58" spans="1:33" x14ac:dyDescent="0.45">
      <c r="B58" t="s">
        <v>948</v>
      </c>
      <c r="AG58" s="67"/>
    </row>
    <row r="59" spans="1:33" x14ac:dyDescent="0.45">
      <c r="A59" t="s">
        <v>316</v>
      </c>
      <c r="B59" t="s">
        <v>934</v>
      </c>
      <c r="C59">
        <v>1.9527831077575679</v>
      </c>
      <c r="D59">
        <v>1.9257820844650271</v>
      </c>
      <c r="E59">
        <v>1.9198101758956909</v>
      </c>
      <c r="F59">
        <v>1.9027783870697019</v>
      </c>
      <c r="G59">
        <v>1.8745524883270259</v>
      </c>
      <c r="H59">
        <v>1.8426879644393921</v>
      </c>
      <c r="I59">
        <v>1.8127356767654419</v>
      </c>
      <c r="J59">
        <v>1.791174173355103</v>
      </c>
      <c r="K59">
        <v>1.77372145652771</v>
      </c>
      <c r="L59">
        <v>1.759692907333374</v>
      </c>
      <c r="M59">
        <v>1.7453598976135249</v>
      </c>
      <c r="N59">
        <v>1.7326453924179079</v>
      </c>
      <c r="O59">
        <v>1.7192094326019289</v>
      </c>
      <c r="P59">
        <v>1.7057803869247441</v>
      </c>
      <c r="Q59">
        <v>1.6916743516921999</v>
      </c>
      <c r="R59">
        <v>1.677725076675415</v>
      </c>
      <c r="S59">
        <v>1.664192318916321</v>
      </c>
      <c r="T59">
        <v>1.652503967285156</v>
      </c>
      <c r="U59">
        <v>1.64127516746521</v>
      </c>
      <c r="V59">
        <v>1.6307414770126341</v>
      </c>
      <c r="W59">
        <v>1.6197260618209841</v>
      </c>
      <c r="X59">
        <v>1.60610568523407</v>
      </c>
      <c r="Y59">
        <v>1.5907289981842041</v>
      </c>
      <c r="Z59">
        <v>1.5750420093536379</v>
      </c>
      <c r="AA59">
        <v>1.559412837028503</v>
      </c>
      <c r="AB59">
        <v>1.54406201839447</v>
      </c>
      <c r="AC59">
        <v>-9.3495772140717026E-3</v>
      </c>
      <c r="AG59" s="67"/>
    </row>
    <row r="60" spans="1:33" x14ac:dyDescent="0.45">
      <c r="A60" t="s">
        <v>317</v>
      </c>
      <c r="B60" t="s">
        <v>935</v>
      </c>
      <c r="C60">
        <v>0.5825313925743103</v>
      </c>
      <c r="D60">
        <v>0.61208397150039673</v>
      </c>
      <c r="E60">
        <v>0.61880606412887573</v>
      </c>
      <c r="F60">
        <v>0.62720048427581787</v>
      </c>
      <c r="G60">
        <v>0.63409751653671265</v>
      </c>
      <c r="H60">
        <v>0.63845771551132202</v>
      </c>
      <c r="I60">
        <v>0.64351171255111694</v>
      </c>
      <c r="J60">
        <v>0.64931738376617432</v>
      </c>
      <c r="K60">
        <v>0.65568786859512329</v>
      </c>
      <c r="L60">
        <v>0.66273081302642822</v>
      </c>
      <c r="M60">
        <v>0.67013710737228394</v>
      </c>
      <c r="N60">
        <v>0.67839568853378296</v>
      </c>
      <c r="O60">
        <v>0.68686836957931519</v>
      </c>
      <c r="P60">
        <v>0.69551801681518555</v>
      </c>
      <c r="Q60">
        <v>0.70410817861557007</v>
      </c>
      <c r="R60">
        <v>0.71308338642120361</v>
      </c>
      <c r="S60">
        <v>0.72254848480224609</v>
      </c>
      <c r="T60">
        <v>0.73252302408218384</v>
      </c>
      <c r="U60">
        <v>0.74325776100158691</v>
      </c>
      <c r="V60">
        <v>0.75429040193557739</v>
      </c>
      <c r="W60">
        <v>0.76584595441818237</v>
      </c>
      <c r="X60">
        <v>0.77697938680648804</v>
      </c>
      <c r="Y60">
        <v>0.78769385814666748</v>
      </c>
      <c r="Z60">
        <v>0.79837888479232788</v>
      </c>
      <c r="AA60">
        <v>0.80965840816497803</v>
      </c>
      <c r="AB60">
        <v>0.82099997997283936</v>
      </c>
      <c r="AC60">
        <v>1.382022883046452E-2</v>
      </c>
      <c r="AG60" s="67"/>
    </row>
    <row r="61" spans="1:33" x14ac:dyDescent="0.45">
      <c r="A61" t="s">
        <v>318</v>
      </c>
      <c r="B61" t="s">
        <v>936</v>
      </c>
      <c r="C61">
        <v>0.35153520107269293</v>
      </c>
      <c r="D61">
        <v>0.3568500280380249</v>
      </c>
      <c r="E61">
        <v>0.35884305834770203</v>
      </c>
      <c r="F61">
        <v>0.3590969443321228</v>
      </c>
      <c r="G61">
        <v>0.3576163649559021</v>
      </c>
      <c r="H61">
        <v>0.35524323582649231</v>
      </c>
      <c r="I61">
        <v>0.35315147042274481</v>
      </c>
      <c r="J61">
        <v>0.35276573896408081</v>
      </c>
      <c r="K61">
        <v>0.3530297577381134</v>
      </c>
      <c r="L61">
        <v>0.35423853993415833</v>
      </c>
      <c r="M61">
        <v>0.35563281178474432</v>
      </c>
      <c r="N61">
        <v>0.35754057765007019</v>
      </c>
      <c r="O61">
        <v>0.35942235589027399</v>
      </c>
      <c r="P61">
        <v>0.36132490634918207</v>
      </c>
      <c r="Q61">
        <v>0.36314252018928528</v>
      </c>
      <c r="R61">
        <v>0.36499062180519098</v>
      </c>
      <c r="S61">
        <v>0.3670424222946167</v>
      </c>
      <c r="T61">
        <v>0.36945736408233643</v>
      </c>
      <c r="U61">
        <v>0.37206292152404791</v>
      </c>
      <c r="V61">
        <v>0.37487480044364929</v>
      </c>
      <c r="W61">
        <v>0.37756672501564031</v>
      </c>
      <c r="X61">
        <v>0.37975555658340449</v>
      </c>
      <c r="Y61">
        <v>0.38156154751777649</v>
      </c>
      <c r="Z61">
        <v>0.38324204087257391</v>
      </c>
      <c r="AA61">
        <v>0.38493311405181879</v>
      </c>
      <c r="AB61">
        <v>0.38666221499443049</v>
      </c>
      <c r="AC61">
        <v>3.816931234072563E-3</v>
      </c>
    </row>
    <row r="62" spans="1:33" x14ac:dyDescent="0.45">
      <c r="A62" t="s">
        <v>319</v>
      </c>
      <c r="B62" t="s">
        <v>937</v>
      </c>
      <c r="C62">
        <v>0.7725786566734314</v>
      </c>
      <c r="D62">
        <v>0.77808070182800293</v>
      </c>
      <c r="E62">
        <v>0.78721636533737183</v>
      </c>
      <c r="F62">
        <v>0.79894798994064331</v>
      </c>
      <c r="G62">
        <v>0.80861729383468628</v>
      </c>
      <c r="H62">
        <v>0.81284761428833008</v>
      </c>
      <c r="I62">
        <v>0.81740254163742065</v>
      </c>
      <c r="J62">
        <v>0.82248866558074951</v>
      </c>
      <c r="K62">
        <v>0.82842159271240234</v>
      </c>
      <c r="L62">
        <v>0.83473402261734009</v>
      </c>
      <c r="M62">
        <v>0.84140819311141968</v>
      </c>
      <c r="N62">
        <v>0.84894019365310669</v>
      </c>
      <c r="O62">
        <v>0.85649627447128296</v>
      </c>
      <c r="P62">
        <v>0.86420577764511108</v>
      </c>
      <c r="Q62">
        <v>0.87185335159301758</v>
      </c>
      <c r="R62">
        <v>0.87961149215698242</v>
      </c>
      <c r="S62">
        <v>0.88787376880645752</v>
      </c>
      <c r="T62">
        <v>0.89625650644302368</v>
      </c>
      <c r="U62">
        <v>0.90508544445037842</v>
      </c>
      <c r="V62">
        <v>0.91416382789611816</v>
      </c>
      <c r="W62">
        <v>0.92337268590927124</v>
      </c>
      <c r="X62">
        <v>0.93216902017593384</v>
      </c>
      <c r="Y62">
        <v>0.94026070833206177</v>
      </c>
      <c r="Z62">
        <v>0.94815254211425781</v>
      </c>
      <c r="AA62">
        <v>0.9564245343208313</v>
      </c>
      <c r="AB62">
        <v>0.96451842784881592</v>
      </c>
      <c r="AC62">
        <v>8.9153113016047225E-3</v>
      </c>
      <c r="AG62" s="67"/>
    </row>
    <row r="63" spans="1:33" x14ac:dyDescent="0.45">
      <c r="A63" t="s">
        <v>320</v>
      </c>
      <c r="B63" t="s">
        <v>93</v>
      </c>
      <c r="C63">
        <v>0.48938104510307312</v>
      </c>
      <c r="D63">
        <v>0.4959438145160675</v>
      </c>
      <c r="E63">
        <v>0.49908256530761719</v>
      </c>
      <c r="F63">
        <v>0.4995197057723999</v>
      </c>
      <c r="G63">
        <v>0.49754899740219122</v>
      </c>
      <c r="H63">
        <v>0.49431043863296509</v>
      </c>
      <c r="I63">
        <v>0.49151921272277832</v>
      </c>
      <c r="J63">
        <v>0.49113261699676508</v>
      </c>
      <c r="K63">
        <v>0.49173206090927118</v>
      </c>
      <c r="L63">
        <v>0.49363416433334351</v>
      </c>
      <c r="M63">
        <v>0.495735764503479</v>
      </c>
      <c r="N63">
        <v>0.49846410751342768</v>
      </c>
      <c r="O63">
        <v>0.50111532211303711</v>
      </c>
      <c r="P63">
        <v>0.50374907255172729</v>
      </c>
      <c r="Q63">
        <v>0.50619661808013916</v>
      </c>
      <c r="R63">
        <v>0.50863587856292725</v>
      </c>
      <c r="S63">
        <v>0.51139652729034424</v>
      </c>
      <c r="T63">
        <v>0.51465499401092529</v>
      </c>
      <c r="U63">
        <v>0.51814019680023193</v>
      </c>
      <c r="V63">
        <v>0.52188825607299805</v>
      </c>
      <c r="W63">
        <v>0.52541780471801758</v>
      </c>
      <c r="X63">
        <v>0.52815532684326172</v>
      </c>
      <c r="Y63">
        <v>0.53030526638031006</v>
      </c>
      <c r="Z63">
        <v>0.53222852945327759</v>
      </c>
      <c r="AA63">
        <v>0.53413581848144531</v>
      </c>
      <c r="AB63">
        <v>0.53606534004211426</v>
      </c>
      <c r="AC63">
        <v>3.6512350709754231E-3</v>
      </c>
      <c r="AG63" s="67"/>
    </row>
    <row r="64" spans="1:33" x14ac:dyDescent="0.45">
      <c r="A64" t="s">
        <v>321</v>
      </c>
      <c r="B64" t="s">
        <v>99</v>
      </c>
      <c r="C64">
        <v>0.56464868783950806</v>
      </c>
      <c r="D64">
        <v>0.55332779884338379</v>
      </c>
      <c r="E64">
        <v>0.5473293662071228</v>
      </c>
      <c r="F64">
        <v>0.54542988538742065</v>
      </c>
      <c r="G64">
        <v>0.54358804225921631</v>
      </c>
      <c r="H64">
        <v>0.53231817483901978</v>
      </c>
      <c r="I64">
        <v>0.52262163162231445</v>
      </c>
      <c r="J64">
        <v>0.51420021057128906</v>
      </c>
      <c r="K64">
        <v>0.50677865743637085</v>
      </c>
      <c r="L64">
        <v>0.49977785348892212</v>
      </c>
      <c r="M64">
        <v>0.49295160174369812</v>
      </c>
      <c r="N64">
        <v>0.48728850483894348</v>
      </c>
      <c r="O64">
        <v>0.48248586058616638</v>
      </c>
      <c r="P64">
        <v>0.47849792242050171</v>
      </c>
      <c r="Q64">
        <v>0.47511857748031622</v>
      </c>
      <c r="R64">
        <v>0.47012150287628168</v>
      </c>
      <c r="S64">
        <v>0.46640691161155701</v>
      </c>
      <c r="T64">
        <v>0.4634820818901062</v>
      </c>
      <c r="U64">
        <v>0.46129697561264038</v>
      </c>
      <c r="V64">
        <v>0.45964255928993231</v>
      </c>
      <c r="W64">
        <v>0.45840096473693848</v>
      </c>
      <c r="X64">
        <v>0.45725777745246893</v>
      </c>
      <c r="Y64">
        <v>0.45599430799484247</v>
      </c>
      <c r="Z64">
        <v>0.45470628142356873</v>
      </c>
      <c r="AA64">
        <v>0.45369204878807068</v>
      </c>
      <c r="AB64">
        <v>0.45269542932510382</v>
      </c>
      <c r="AC64">
        <v>-8.8004151828615651E-3</v>
      </c>
      <c r="AG64" s="67"/>
    </row>
    <row r="65" spans="1:33" x14ac:dyDescent="0.45">
      <c r="A65" t="s">
        <v>322</v>
      </c>
      <c r="B65" t="s">
        <v>91</v>
      </c>
      <c r="C65">
        <v>0.36673378944396973</v>
      </c>
      <c r="D65">
        <v>0.36595341563224792</v>
      </c>
      <c r="E65">
        <v>0.36617350578308111</v>
      </c>
      <c r="F65">
        <v>0.36700010299682623</v>
      </c>
      <c r="G65">
        <v>0.36756345629692078</v>
      </c>
      <c r="H65">
        <v>0.36664438247680659</v>
      </c>
      <c r="I65">
        <v>0.36620622873306269</v>
      </c>
      <c r="J65">
        <v>0.36610907316207891</v>
      </c>
      <c r="K65">
        <v>0.36639034748077393</v>
      </c>
      <c r="L65">
        <v>0.36694955825805659</v>
      </c>
      <c r="M65">
        <v>0.36775559186935419</v>
      </c>
      <c r="N65">
        <v>0.36884811520576483</v>
      </c>
      <c r="O65">
        <v>0.37004610896110529</v>
      </c>
      <c r="P65">
        <v>0.37123894691467291</v>
      </c>
      <c r="Q65">
        <v>0.3723832368850708</v>
      </c>
      <c r="R65">
        <v>0.37348532676696777</v>
      </c>
      <c r="S65">
        <v>0.37482777237892151</v>
      </c>
      <c r="T65">
        <v>0.37610214948654169</v>
      </c>
      <c r="U65">
        <v>0.37739026546478271</v>
      </c>
      <c r="V65">
        <v>0.37866276502609247</v>
      </c>
      <c r="W65">
        <v>0.37990128993988043</v>
      </c>
      <c r="X65">
        <v>0.3810141384601593</v>
      </c>
      <c r="Y65">
        <v>0.38195547461509699</v>
      </c>
      <c r="Z65">
        <v>0.38280674815177917</v>
      </c>
      <c r="AA65">
        <v>0.38365435600280762</v>
      </c>
      <c r="AB65">
        <v>0.38441506028175348</v>
      </c>
      <c r="AC65">
        <v>1.885240416076073E-3</v>
      </c>
      <c r="AG65" s="67"/>
    </row>
    <row r="66" spans="1:33" x14ac:dyDescent="0.45">
      <c r="A66" t="s">
        <v>949</v>
      </c>
      <c r="B66" t="s">
        <v>939</v>
      </c>
      <c r="C66">
        <v>0.35769146680831909</v>
      </c>
      <c r="D66">
        <v>0.40369805693626398</v>
      </c>
      <c r="E66">
        <v>0.45296800136566162</v>
      </c>
      <c r="F66">
        <v>0.50386369228363037</v>
      </c>
      <c r="G66">
        <v>0.55580109357833862</v>
      </c>
      <c r="H66">
        <v>0.60810637474060059</v>
      </c>
      <c r="I66">
        <v>0.66097623109817505</v>
      </c>
      <c r="J66">
        <v>0.71486109495162964</v>
      </c>
      <c r="K66">
        <v>0.76973402500152588</v>
      </c>
      <c r="L66">
        <v>0.82540673017501831</v>
      </c>
      <c r="M66">
        <v>0.8817182183265686</v>
      </c>
      <c r="N66">
        <v>0.93838644027709961</v>
      </c>
      <c r="O66">
        <v>0.99514853954315186</v>
      </c>
      <c r="P66">
        <v>1.051304817199707</v>
      </c>
      <c r="Q66">
        <v>1.106358528137207</v>
      </c>
      <c r="R66">
        <v>1.159801244735718</v>
      </c>
      <c r="S66">
        <v>1.211428165435791</v>
      </c>
      <c r="T66">
        <v>1.260422468185425</v>
      </c>
      <c r="U66">
        <v>1.3068299293518071</v>
      </c>
      <c r="V66">
        <v>1.3498513698577881</v>
      </c>
      <c r="W66">
        <v>1.389499306678772</v>
      </c>
      <c r="X66">
        <v>1.424822926521301</v>
      </c>
      <c r="Y66">
        <v>1.4555174112319951</v>
      </c>
      <c r="Z66">
        <v>1.4812450408935549</v>
      </c>
      <c r="AA66">
        <v>1.5018157958984379</v>
      </c>
      <c r="AB66">
        <v>1.5200847387313841</v>
      </c>
      <c r="AC66">
        <v>5.9581504241519527E-2</v>
      </c>
      <c r="AG66" s="67"/>
    </row>
    <row r="67" spans="1:33" x14ac:dyDescent="0.45">
      <c r="A67" t="s">
        <v>950</v>
      </c>
      <c r="B67" t="s">
        <v>941</v>
      </c>
      <c r="C67">
        <v>0.21695259213447571</v>
      </c>
      <c r="D67">
        <v>0.2117447704076767</v>
      </c>
      <c r="E67">
        <v>0.20712237060070041</v>
      </c>
      <c r="F67">
        <v>0.2026841789484024</v>
      </c>
      <c r="G67">
        <v>0.1982623636722565</v>
      </c>
      <c r="H67">
        <v>0.19391293823719019</v>
      </c>
      <c r="I67">
        <v>0.1898292750120163</v>
      </c>
      <c r="J67">
        <v>0.18571975827217099</v>
      </c>
      <c r="K67">
        <v>0.18246522545814511</v>
      </c>
      <c r="L67">
        <v>0.17970889806747439</v>
      </c>
      <c r="M67">
        <v>0.17706714570522311</v>
      </c>
      <c r="N67">
        <v>0.1750409007072449</v>
      </c>
      <c r="O67">
        <v>0.1731773912906647</v>
      </c>
      <c r="P67">
        <v>0.17144748568534851</v>
      </c>
      <c r="Q67">
        <v>0.17038112878799441</v>
      </c>
      <c r="R67">
        <v>0.16903424263000491</v>
      </c>
      <c r="S67">
        <v>0.16736727952957151</v>
      </c>
      <c r="T67">
        <v>0.16648046672344211</v>
      </c>
      <c r="U67">
        <v>0.1648089736700058</v>
      </c>
      <c r="V67">
        <v>0.1634516566991806</v>
      </c>
      <c r="W67">
        <v>0.1618640869855881</v>
      </c>
      <c r="X67">
        <v>0.16062961518764499</v>
      </c>
      <c r="Y67">
        <v>0.15854467451572421</v>
      </c>
      <c r="Z67">
        <v>0.1562098562717438</v>
      </c>
      <c r="AA67">
        <v>0.1536378413438797</v>
      </c>
      <c r="AB67">
        <v>0.15080669522285459</v>
      </c>
      <c r="AC67">
        <v>-1.4441901008480749E-2</v>
      </c>
      <c r="AG67" s="67"/>
    </row>
    <row r="68" spans="1:33" x14ac:dyDescent="0.45">
      <c r="A68" t="s">
        <v>325</v>
      </c>
      <c r="B68" t="s">
        <v>951</v>
      </c>
      <c r="C68">
        <v>4.2453742027282706</v>
      </c>
      <c r="D68">
        <v>4.3752255439758301</v>
      </c>
      <c r="E68">
        <v>4.401097297668457</v>
      </c>
      <c r="F68">
        <v>4.4076380729675293</v>
      </c>
      <c r="G68">
        <v>4.4066743850708008</v>
      </c>
      <c r="H68">
        <v>4.4038009643554688</v>
      </c>
      <c r="I68">
        <v>4.4004230499267578</v>
      </c>
      <c r="J68">
        <v>4.4030141830444336</v>
      </c>
      <c r="K68">
        <v>4.4072675704956046</v>
      </c>
      <c r="L68">
        <v>4.4161014556884766</v>
      </c>
      <c r="M68">
        <v>4.4261331558227539</v>
      </c>
      <c r="N68">
        <v>4.4401311874389648</v>
      </c>
      <c r="O68">
        <v>4.4547953605651864</v>
      </c>
      <c r="P68">
        <v>4.4698667526245117</v>
      </c>
      <c r="Q68">
        <v>4.4851388931274414</v>
      </c>
      <c r="R68">
        <v>4.5008525848388672</v>
      </c>
      <c r="S68">
        <v>4.5160937309265137</v>
      </c>
      <c r="T68">
        <v>4.532867431640625</v>
      </c>
      <c r="U68">
        <v>4.5504508018493652</v>
      </c>
      <c r="V68">
        <v>4.5688838958740234</v>
      </c>
      <c r="W68">
        <v>4.587608814239502</v>
      </c>
      <c r="X68">
        <v>4.6047549247741699</v>
      </c>
      <c r="Y68">
        <v>4.6209311485290527</v>
      </c>
      <c r="Z68">
        <v>4.6373744010925293</v>
      </c>
      <c r="AA68">
        <v>4.6542434692382813</v>
      </c>
      <c r="AB68">
        <v>4.67230224609375</v>
      </c>
      <c r="AC68">
        <v>3.840233642889102E-3</v>
      </c>
      <c r="AG68" s="67"/>
    </row>
    <row r="69" spans="1:33" x14ac:dyDescent="0.45">
      <c r="A69" t="s">
        <v>327</v>
      </c>
      <c r="B69" t="s">
        <v>328</v>
      </c>
      <c r="C69">
        <v>9.9002103805541992</v>
      </c>
      <c r="D69">
        <v>10.078691482543951</v>
      </c>
      <c r="E69">
        <v>10.158449172973629</v>
      </c>
      <c r="F69">
        <v>10.21415996551514</v>
      </c>
      <c r="G69">
        <v>10.244320869445801</v>
      </c>
      <c r="H69">
        <v>10.248330116271971</v>
      </c>
      <c r="I69">
        <v>10.258376121521</v>
      </c>
      <c r="J69">
        <v>10.29078197479248</v>
      </c>
      <c r="K69">
        <v>10.33522796630859</v>
      </c>
      <c r="L69">
        <v>10.39297580718994</v>
      </c>
      <c r="M69">
        <v>10.453898429870611</v>
      </c>
      <c r="N69">
        <v>10.525680541992189</v>
      </c>
      <c r="O69">
        <v>10.59876537322998</v>
      </c>
      <c r="P69">
        <v>10.672934532165529</v>
      </c>
      <c r="Q69">
        <v>10.746355056762701</v>
      </c>
      <c r="R69">
        <v>10.817342758178709</v>
      </c>
      <c r="S69">
        <v>10.889177322387701</v>
      </c>
      <c r="T69">
        <v>10.964749336242679</v>
      </c>
      <c r="U69">
        <v>11.04059886932373</v>
      </c>
      <c r="V69">
        <v>11.11645030975342</v>
      </c>
      <c r="W69">
        <v>11.1892032623291</v>
      </c>
      <c r="X69">
        <v>11.25164318084717</v>
      </c>
      <c r="Y69">
        <v>11.303493499755859</v>
      </c>
      <c r="Z69">
        <v>11.349386215209959</v>
      </c>
      <c r="AA69">
        <v>11.39160823822021</v>
      </c>
      <c r="AB69">
        <v>11.43261241912842</v>
      </c>
      <c r="AC69">
        <v>5.7731609241042916E-3</v>
      </c>
      <c r="AG69" s="67"/>
    </row>
    <row r="70" spans="1:33" x14ac:dyDescent="0.45">
      <c r="A70" t="s">
        <v>952</v>
      </c>
      <c r="B70" t="s">
        <v>898</v>
      </c>
      <c r="C70">
        <v>3.1625282019376748E-2</v>
      </c>
      <c r="D70">
        <v>4.134933277964592E-2</v>
      </c>
      <c r="E70">
        <v>5.3095277398824692E-2</v>
      </c>
      <c r="F70">
        <v>6.6244311630725861E-2</v>
      </c>
      <c r="G70">
        <v>7.9602524638175964E-2</v>
      </c>
      <c r="H70">
        <v>9.2542998492717743E-2</v>
      </c>
      <c r="I70">
        <v>0.1044155731797218</v>
      </c>
      <c r="J70">
        <v>0.11564316600561141</v>
      </c>
      <c r="K70">
        <v>0.126972422003746</v>
      </c>
      <c r="L70">
        <v>0.13850162923336029</v>
      </c>
      <c r="M70">
        <v>0.1503918915987015</v>
      </c>
      <c r="N70">
        <v>0.1624611169099808</v>
      </c>
      <c r="O70">
        <v>0.17480400204658511</v>
      </c>
      <c r="P70">
        <v>0.18723900616168981</v>
      </c>
      <c r="Q70">
        <v>0.19958958029747009</v>
      </c>
      <c r="R70">
        <v>0.21228790283203119</v>
      </c>
      <c r="S70">
        <v>0.22536417841911319</v>
      </c>
      <c r="T70">
        <v>0.2392434626817703</v>
      </c>
      <c r="U70">
        <v>0.25397318601608282</v>
      </c>
      <c r="V70">
        <v>0.26994425058364868</v>
      </c>
      <c r="W70">
        <v>0.28712135553359991</v>
      </c>
      <c r="X70">
        <v>0.30473798513412481</v>
      </c>
      <c r="Y70">
        <v>0.32270422577857971</v>
      </c>
      <c r="Z70">
        <v>0.34103548526763922</v>
      </c>
      <c r="AA70">
        <v>0.35960790514945978</v>
      </c>
      <c r="AB70">
        <v>0.37826317548751831</v>
      </c>
      <c r="AC70">
        <v>0.10435928343752671</v>
      </c>
      <c r="AG70" s="67"/>
    </row>
    <row r="71" spans="1:33" x14ac:dyDescent="0.45">
      <c r="A71" t="s">
        <v>329</v>
      </c>
      <c r="B71" t="s">
        <v>175</v>
      </c>
      <c r="C71">
        <v>0.15950858592987061</v>
      </c>
      <c r="D71">
        <v>0.1786766201257706</v>
      </c>
      <c r="E71">
        <v>0.1948061287403107</v>
      </c>
      <c r="F71">
        <v>0.20256760716438291</v>
      </c>
      <c r="G71">
        <v>0.20727863907814029</v>
      </c>
      <c r="H71">
        <v>0.21264529228210449</v>
      </c>
      <c r="I71">
        <v>0.2167929410934448</v>
      </c>
      <c r="J71">
        <v>0.22007113695144651</v>
      </c>
      <c r="K71">
        <v>0.22375722229480741</v>
      </c>
      <c r="L71">
        <v>0.22935956716537481</v>
      </c>
      <c r="M71">
        <v>0.23388862609863281</v>
      </c>
      <c r="N71">
        <v>0.23771291971206671</v>
      </c>
      <c r="O71">
        <v>0.24440619349479681</v>
      </c>
      <c r="P71">
        <v>0.25092688202857971</v>
      </c>
      <c r="Q71">
        <v>0.25883272290229797</v>
      </c>
      <c r="R71">
        <v>0.26564681529998779</v>
      </c>
      <c r="S71">
        <v>0.26932963728904719</v>
      </c>
      <c r="T71">
        <v>0.27484393119812012</v>
      </c>
      <c r="U71">
        <v>0.27782019972801208</v>
      </c>
      <c r="V71">
        <v>0.28117102384567261</v>
      </c>
      <c r="W71">
        <v>0.28390690684318542</v>
      </c>
      <c r="X71">
        <v>0.28815773129463201</v>
      </c>
      <c r="Y71">
        <v>0.29341936111450201</v>
      </c>
      <c r="Z71">
        <v>0.29877597093582148</v>
      </c>
      <c r="AA71">
        <v>0.30282855033874512</v>
      </c>
      <c r="AB71">
        <v>0.30805617570877081</v>
      </c>
      <c r="AC71">
        <v>2.667700303508402E-2</v>
      </c>
      <c r="AG71" s="67"/>
    </row>
    <row r="72" spans="1:33" x14ac:dyDescent="0.45">
      <c r="A72" t="s">
        <v>330</v>
      </c>
      <c r="B72" t="s">
        <v>953</v>
      </c>
      <c r="C72">
        <v>9.7723274230957031</v>
      </c>
      <c r="D72">
        <v>9.9413642883300781</v>
      </c>
      <c r="E72">
        <v>10.01673793792725</v>
      </c>
      <c r="F72">
        <v>10.077836036682131</v>
      </c>
      <c r="G72">
        <v>10.11664485931396</v>
      </c>
      <c r="H72">
        <v>10.128227233886721</v>
      </c>
      <c r="I72">
        <v>10.145998954772949</v>
      </c>
      <c r="J72">
        <v>10.186354637146</v>
      </c>
      <c r="K72">
        <v>10.238443374633791</v>
      </c>
      <c r="L72">
        <v>10.30211734771729</v>
      </c>
      <c r="M72">
        <v>10.370401382446291</v>
      </c>
      <c r="N72">
        <v>10.45042896270752</v>
      </c>
      <c r="O72">
        <v>10.5291633605957</v>
      </c>
      <c r="P72">
        <v>10.60924625396729</v>
      </c>
      <c r="Q72">
        <v>10.687111854553221</v>
      </c>
      <c r="R72">
        <v>10.76398372650146</v>
      </c>
      <c r="S72">
        <v>10.845211029052731</v>
      </c>
      <c r="T72">
        <v>10.92914867401123</v>
      </c>
      <c r="U72">
        <v>11.016751289367679</v>
      </c>
      <c r="V72">
        <v>11.10522365570068</v>
      </c>
      <c r="W72">
        <v>11.192418098449711</v>
      </c>
      <c r="X72">
        <v>11.268223762512211</v>
      </c>
      <c r="Y72">
        <v>11.332778930664061</v>
      </c>
      <c r="Z72">
        <v>11.391646385192869</v>
      </c>
      <c r="AA72">
        <v>11.44838714599609</v>
      </c>
      <c r="AB72">
        <v>11.50282001495361</v>
      </c>
      <c r="AC72">
        <v>6.5428138966372451E-3</v>
      </c>
      <c r="AG72" s="67"/>
    </row>
    <row r="73" spans="1:33" x14ac:dyDescent="0.45">
      <c r="AG73" s="67"/>
    </row>
    <row r="74" spans="1:33" x14ac:dyDescent="0.45">
      <c r="A74" t="s">
        <v>331</v>
      </c>
      <c r="B74" t="s">
        <v>954</v>
      </c>
      <c r="C74">
        <v>6.9051451683044434</v>
      </c>
      <c r="D74">
        <v>7.1494035720825204</v>
      </c>
      <c r="E74">
        <v>6.6704459190368652</v>
      </c>
      <c r="F74">
        <v>6.4662551879882813</v>
      </c>
      <c r="G74">
        <v>6.3998751640319824</v>
      </c>
      <c r="H74">
        <v>6.3392543792724609</v>
      </c>
      <c r="I74">
        <v>6.1938114166259766</v>
      </c>
      <c r="J74">
        <v>6.133887767791748</v>
      </c>
      <c r="K74">
        <v>6.1266307830810547</v>
      </c>
      <c r="L74">
        <v>6.074709415435791</v>
      </c>
      <c r="M74">
        <v>6.0557756423950204</v>
      </c>
      <c r="N74">
        <v>6.0407123565673828</v>
      </c>
      <c r="O74">
        <v>6.0576672554016113</v>
      </c>
      <c r="P74">
        <v>6.0900907516479492</v>
      </c>
      <c r="Q74">
        <v>6.1077170372009277</v>
      </c>
      <c r="R74">
        <v>6.1082992553710938</v>
      </c>
      <c r="S74">
        <v>6.1123967170715332</v>
      </c>
      <c r="T74">
        <v>6.1441268920898438</v>
      </c>
      <c r="U74">
        <v>6.1853756904602051</v>
      </c>
      <c r="V74">
        <v>6.2277836799621582</v>
      </c>
      <c r="W74">
        <v>6.2705936431884766</v>
      </c>
      <c r="X74">
        <v>6.3097653388977051</v>
      </c>
      <c r="Y74">
        <v>6.3475842475891113</v>
      </c>
      <c r="Z74">
        <v>6.3792777061462402</v>
      </c>
      <c r="AA74">
        <v>6.385493278503418</v>
      </c>
      <c r="AB74">
        <v>6.408177375793457</v>
      </c>
      <c r="AC74">
        <v>-2.983218156668133E-3</v>
      </c>
      <c r="AG74" s="67"/>
    </row>
    <row r="75" spans="1:33" x14ac:dyDescent="0.45">
      <c r="AG75" s="67"/>
    </row>
    <row r="76" spans="1:33" x14ac:dyDescent="0.45">
      <c r="B76" t="s">
        <v>955</v>
      </c>
    </row>
    <row r="77" spans="1:33" x14ac:dyDescent="0.45">
      <c r="A77" t="s">
        <v>332</v>
      </c>
      <c r="B77" t="s">
        <v>934</v>
      </c>
      <c r="C77">
        <v>2.2202329635620122</v>
      </c>
      <c r="D77">
        <v>2.1810247898101811</v>
      </c>
      <c r="E77">
        <v>2.152912855148315</v>
      </c>
      <c r="F77">
        <v>2.1243691444396968</v>
      </c>
      <c r="G77">
        <v>2.0892786979675289</v>
      </c>
      <c r="H77">
        <v>2.0514461994171138</v>
      </c>
      <c r="I77">
        <v>2.0127372741699219</v>
      </c>
      <c r="J77">
        <v>1.9851952791213989</v>
      </c>
      <c r="K77">
        <v>1.9633995294570921</v>
      </c>
      <c r="L77">
        <v>1.943524837493896</v>
      </c>
      <c r="M77">
        <v>1.9243335723876951</v>
      </c>
      <c r="N77">
        <v>1.9068866968154909</v>
      </c>
      <c r="O77">
        <v>1.889534115791321</v>
      </c>
      <c r="P77">
        <v>1.8726315498352051</v>
      </c>
      <c r="Q77">
        <v>1.85462486743927</v>
      </c>
      <c r="R77">
        <v>1.8364578485488889</v>
      </c>
      <c r="S77">
        <v>1.818913340568542</v>
      </c>
      <c r="T77">
        <v>1.8039553165435791</v>
      </c>
      <c r="U77">
        <v>1.789737462997437</v>
      </c>
      <c r="V77">
        <v>1.776250839233398</v>
      </c>
      <c r="W77">
        <v>1.7623627185821531</v>
      </c>
      <c r="X77">
        <v>1.7457956075668331</v>
      </c>
      <c r="Y77">
        <v>1.7274540662765501</v>
      </c>
      <c r="Z77">
        <v>1.7087579965591431</v>
      </c>
      <c r="AA77">
        <v>1.689725279808044</v>
      </c>
      <c r="AB77">
        <v>1.671329021453857</v>
      </c>
      <c r="AC77">
        <v>-1.129544191571996E-2</v>
      </c>
      <c r="AG77" s="67"/>
    </row>
    <row r="78" spans="1:33" x14ac:dyDescent="0.45">
      <c r="A78" t="s">
        <v>333</v>
      </c>
      <c r="B78" t="s">
        <v>935</v>
      </c>
      <c r="C78">
        <v>1.337291955947876</v>
      </c>
      <c r="D78">
        <v>1.394257545471191</v>
      </c>
      <c r="E78">
        <v>1.3470475673675539</v>
      </c>
      <c r="F78">
        <v>1.3328989744186399</v>
      </c>
      <c r="G78">
        <v>1.3311846256256099</v>
      </c>
      <c r="H78">
        <v>1.3273496627807619</v>
      </c>
      <c r="I78">
        <v>1.315401554107666</v>
      </c>
      <c r="J78">
        <v>1.3137161731719971</v>
      </c>
      <c r="K78">
        <v>1.3181077241897581</v>
      </c>
      <c r="L78">
        <v>1.318480968475342</v>
      </c>
      <c r="M78">
        <v>1.322756290435791</v>
      </c>
      <c r="N78">
        <v>1.3284368515014651</v>
      </c>
      <c r="O78">
        <v>1.337705135345459</v>
      </c>
      <c r="P78">
        <v>1.3488450050353999</v>
      </c>
      <c r="Q78">
        <v>1.358264207839966</v>
      </c>
      <c r="R78">
        <v>1.3668372631073</v>
      </c>
      <c r="S78">
        <v>1.37665319442749</v>
      </c>
      <c r="T78">
        <v>1.390299320220947</v>
      </c>
      <c r="U78">
        <v>1.4063829183578489</v>
      </c>
      <c r="V78">
        <v>1.4231634140014651</v>
      </c>
      <c r="W78">
        <v>1.4409738779067991</v>
      </c>
      <c r="X78">
        <v>1.458022832870483</v>
      </c>
      <c r="Y78">
        <v>1.4747354984283449</v>
      </c>
      <c r="Z78">
        <v>1.49115002155304</v>
      </c>
      <c r="AA78">
        <v>1.5061824321746831</v>
      </c>
      <c r="AB78">
        <v>1.5232410430908201</v>
      </c>
      <c r="AC78">
        <v>5.2213314581857073E-3</v>
      </c>
      <c r="AG78" s="67"/>
    </row>
    <row r="79" spans="1:33" x14ac:dyDescent="0.45">
      <c r="A79" t="s">
        <v>334</v>
      </c>
      <c r="B79" t="s">
        <v>936</v>
      </c>
      <c r="C79">
        <v>0.4497983455657959</v>
      </c>
      <c r="D79">
        <v>0.45253875851631159</v>
      </c>
      <c r="E79">
        <v>0.44617024064064031</v>
      </c>
      <c r="F79">
        <v>0.44210776686668402</v>
      </c>
      <c r="G79">
        <v>0.43806809186935419</v>
      </c>
      <c r="H79">
        <v>0.43322068452835077</v>
      </c>
      <c r="I79">
        <v>0.42763799428939819</v>
      </c>
      <c r="J79">
        <v>0.42484879493713379</v>
      </c>
      <c r="K79">
        <v>0.42335784435272222</v>
      </c>
      <c r="L79">
        <v>0.42231422662734991</v>
      </c>
      <c r="M79">
        <v>0.42185047268867493</v>
      </c>
      <c r="N79">
        <v>0.42199012637138372</v>
      </c>
      <c r="O79">
        <v>0.42245045304298401</v>
      </c>
      <c r="P79">
        <v>0.42311602830886841</v>
      </c>
      <c r="Q79">
        <v>0.42356973886489868</v>
      </c>
      <c r="R79">
        <v>0.42393702268600458</v>
      </c>
      <c r="S79">
        <v>0.42461186647415161</v>
      </c>
      <c r="T79">
        <v>0.42593783140182501</v>
      </c>
      <c r="U79">
        <v>0.42759144306182861</v>
      </c>
      <c r="V79">
        <v>0.42949184775352478</v>
      </c>
      <c r="W79">
        <v>0.43129429221153259</v>
      </c>
      <c r="X79">
        <v>0.4325893223285675</v>
      </c>
      <c r="Y79">
        <v>0.43350511789321899</v>
      </c>
      <c r="Z79">
        <v>0.43428093194961548</v>
      </c>
      <c r="AA79">
        <v>0.43491584062576288</v>
      </c>
      <c r="AB79">
        <v>0.4357340931892395</v>
      </c>
      <c r="AC79">
        <v>-1.2698803016296669E-3</v>
      </c>
      <c r="AG79" s="67"/>
    </row>
    <row r="80" spans="1:33" x14ac:dyDescent="0.45">
      <c r="A80" t="s">
        <v>335</v>
      </c>
      <c r="B80" t="s">
        <v>937</v>
      </c>
      <c r="C80">
        <v>1.8012866973876951</v>
      </c>
      <c r="D80">
        <v>1.8018361330032351</v>
      </c>
      <c r="E80">
        <v>1.741319417953491</v>
      </c>
      <c r="F80">
        <v>1.7247064113616939</v>
      </c>
      <c r="G80">
        <v>1.7239587306976321</v>
      </c>
      <c r="H80">
        <v>1.715919494628906</v>
      </c>
      <c r="I80">
        <v>1.6961908340454099</v>
      </c>
      <c r="J80">
        <v>1.6892721652984619</v>
      </c>
      <c r="K80">
        <v>1.690703153610229</v>
      </c>
      <c r="L80">
        <v>1.686092257499695</v>
      </c>
      <c r="M80">
        <v>1.68646764755249</v>
      </c>
      <c r="N80">
        <v>1.6883155107498169</v>
      </c>
      <c r="O80">
        <v>1.694416284561157</v>
      </c>
      <c r="P80">
        <v>1.702867388725281</v>
      </c>
      <c r="Q80">
        <v>1.7092151641845701</v>
      </c>
      <c r="R80">
        <v>1.713847875595093</v>
      </c>
      <c r="S80">
        <v>1.719934344291687</v>
      </c>
      <c r="T80">
        <v>1.729992628097534</v>
      </c>
      <c r="U80">
        <v>1.7422435283660891</v>
      </c>
      <c r="V80">
        <v>1.7552294731140139</v>
      </c>
      <c r="W80">
        <v>1.7685985565185549</v>
      </c>
      <c r="X80">
        <v>1.781272768974304</v>
      </c>
      <c r="Y80">
        <v>1.793245673179626</v>
      </c>
      <c r="Z80">
        <v>1.8046072721481321</v>
      </c>
      <c r="AA80">
        <v>1.8136916160583501</v>
      </c>
      <c r="AB80">
        <v>1.8249003887176509</v>
      </c>
      <c r="AC80">
        <v>5.2110223088597252E-4</v>
      </c>
      <c r="AG80" s="67"/>
    </row>
    <row r="81" spans="1:33" x14ac:dyDescent="0.45">
      <c r="A81" t="s">
        <v>336</v>
      </c>
      <c r="B81" t="s">
        <v>93</v>
      </c>
      <c r="C81">
        <v>0.60121703147888184</v>
      </c>
      <c r="D81">
        <v>0.60547339916229248</v>
      </c>
      <c r="E81">
        <v>0.59953522682189941</v>
      </c>
      <c r="F81">
        <v>0.59540432691574097</v>
      </c>
      <c r="G81">
        <v>0.59081965684890747</v>
      </c>
      <c r="H81">
        <v>0.58508771657943726</v>
      </c>
      <c r="I81">
        <v>0.57859951257705688</v>
      </c>
      <c r="J81">
        <v>0.57577550411224365</v>
      </c>
      <c r="K81">
        <v>0.57469427585601807</v>
      </c>
      <c r="L81">
        <v>0.57432574033737183</v>
      </c>
      <c r="M81">
        <v>0.57460981607437134</v>
      </c>
      <c r="N81">
        <v>0.57558292150497437</v>
      </c>
      <c r="O81">
        <v>0.57687759399414063</v>
      </c>
      <c r="P81">
        <v>0.57835745811462402</v>
      </c>
      <c r="Q81">
        <v>0.57947665452957153</v>
      </c>
      <c r="R81">
        <v>0.5804329514503479</v>
      </c>
      <c r="S81">
        <v>0.58182352781295776</v>
      </c>
      <c r="T81">
        <v>0.58404862880706787</v>
      </c>
      <c r="U81">
        <v>0.58664619922637939</v>
      </c>
      <c r="V81">
        <v>0.58954572677612305</v>
      </c>
      <c r="W81">
        <v>0.59224170446395874</v>
      </c>
      <c r="X81">
        <v>0.5941196084022522</v>
      </c>
      <c r="Y81">
        <v>0.59540724754333496</v>
      </c>
      <c r="Z81">
        <v>0.5964360237121582</v>
      </c>
      <c r="AA81">
        <v>0.59725022315979004</v>
      </c>
      <c r="AB81">
        <v>0.59825915098190308</v>
      </c>
      <c r="AC81">
        <v>-1.9725908968082351E-4</v>
      </c>
    </row>
    <row r="82" spans="1:33" x14ac:dyDescent="0.45">
      <c r="A82" t="s">
        <v>337</v>
      </c>
      <c r="B82" t="s">
        <v>99</v>
      </c>
      <c r="C82">
        <v>1.316492557525635</v>
      </c>
      <c r="D82">
        <v>1.2813658714294429</v>
      </c>
      <c r="E82">
        <v>1.2106902599334719</v>
      </c>
      <c r="F82">
        <v>1.1774313449859619</v>
      </c>
      <c r="G82">
        <v>1.1589207649230959</v>
      </c>
      <c r="H82">
        <v>1.1237224340438841</v>
      </c>
      <c r="I82">
        <v>1.084491491317749</v>
      </c>
      <c r="J82">
        <v>1.056092500686646</v>
      </c>
      <c r="K82">
        <v>1.034270763397217</v>
      </c>
      <c r="L82">
        <v>1.0095090866088869</v>
      </c>
      <c r="M82">
        <v>0.98804235458374023</v>
      </c>
      <c r="N82">
        <v>0.96908682584762573</v>
      </c>
      <c r="O82">
        <v>0.95450723171234131</v>
      </c>
      <c r="P82">
        <v>0.94285237789154053</v>
      </c>
      <c r="Q82">
        <v>0.93144088983535767</v>
      </c>
      <c r="R82">
        <v>0.91599160432815552</v>
      </c>
      <c r="S82">
        <v>0.90349471569061279</v>
      </c>
      <c r="T82">
        <v>0.89463293552398682</v>
      </c>
      <c r="U82">
        <v>0.88797324895858765</v>
      </c>
      <c r="V82">
        <v>0.88253134489059448</v>
      </c>
      <c r="W82">
        <v>0.87800657749176025</v>
      </c>
      <c r="X82">
        <v>0.87376952171325684</v>
      </c>
      <c r="Y82">
        <v>0.86966288089752197</v>
      </c>
      <c r="Z82">
        <v>0.86543691158294678</v>
      </c>
      <c r="AA82">
        <v>0.86034750938415527</v>
      </c>
      <c r="AB82">
        <v>0.856514573097229</v>
      </c>
      <c r="AC82">
        <v>-1.7047223070022492E-2</v>
      </c>
      <c r="AG82" s="67"/>
    </row>
    <row r="83" spans="1:33" x14ac:dyDescent="0.45">
      <c r="A83" t="s">
        <v>338</v>
      </c>
      <c r="B83" t="s">
        <v>91</v>
      </c>
      <c r="C83">
        <v>0.85504913330078125</v>
      </c>
      <c r="D83">
        <v>0.84745460748672485</v>
      </c>
      <c r="E83">
        <v>0.8099743127822876</v>
      </c>
      <c r="F83">
        <v>0.7922511100769043</v>
      </c>
      <c r="G83">
        <v>0.78363925218582153</v>
      </c>
      <c r="H83">
        <v>0.77398544549942017</v>
      </c>
      <c r="I83">
        <v>0.75991404056549072</v>
      </c>
      <c r="J83">
        <v>0.75193488597869873</v>
      </c>
      <c r="K83">
        <v>0.74775612354278564</v>
      </c>
      <c r="L83">
        <v>0.74120712280273438</v>
      </c>
      <c r="M83">
        <v>0.7371070384979248</v>
      </c>
      <c r="N83">
        <v>0.73354047536849976</v>
      </c>
      <c r="O83">
        <v>0.73206639289855957</v>
      </c>
      <c r="P83">
        <v>0.73150479793548584</v>
      </c>
      <c r="Q83">
        <v>0.73003458976745605</v>
      </c>
      <c r="R83">
        <v>0.72770428657531738</v>
      </c>
      <c r="S83">
        <v>0.72609329223632813</v>
      </c>
      <c r="T83">
        <v>0.72596848011016846</v>
      </c>
      <c r="U83">
        <v>0.72645711898803711</v>
      </c>
      <c r="V83">
        <v>0.72704702615737915</v>
      </c>
      <c r="W83">
        <v>0.72765076160430908</v>
      </c>
      <c r="X83">
        <v>0.7280762791633606</v>
      </c>
      <c r="Y83">
        <v>0.72845757007598877</v>
      </c>
      <c r="Z83">
        <v>0.7285914421081543</v>
      </c>
      <c r="AA83">
        <v>0.72753334045410156</v>
      </c>
      <c r="AB83">
        <v>0.7273259162902832</v>
      </c>
      <c r="AC83">
        <v>-6.4504759019193836E-3</v>
      </c>
      <c r="AG83" s="67"/>
    </row>
    <row r="84" spans="1:33" x14ac:dyDescent="0.45">
      <c r="A84" t="s">
        <v>956</v>
      </c>
      <c r="B84" t="s">
        <v>939</v>
      </c>
      <c r="C84">
        <v>0.83396661281585693</v>
      </c>
      <c r="D84">
        <v>0.93486154079437256</v>
      </c>
      <c r="E84">
        <v>1.0019633769989009</v>
      </c>
      <c r="F84">
        <v>1.087701559066772</v>
      </c>
      <c r="G84">
        <v>1.184958934783936</v>
      </c>
      <c r="H84">
        <v>1.283711194992065</v>
      </c>
      <c r="I84">
        <v>1.371590852737427</v>
      </c>
      <c r="J84">
        <v>1.468220710754395</v>
      </c>
      <c r="K84">
        <v>1.570929288864136</v>
      </c>
      <c r="L84">
        <v>1.667251825332642</v>
      </c>
      <c r="M84">
        <v>1.7672625780105591</v>
      </c>
      <c r="N84">
        <v>1.86620020866394</v>
      </c>
      <c r="O84">
        <v>1.968713641166687</v>
      </c>
      <c r="P84">
        <v>2.0715351104736328</v>
      </c>
      <c r="Q84">
        <v>2.1689481735229492</v>
      </c>
      <c r="R84">
        <v>2.259773731231689</v>
      </c>
      <c r="S84">
        <v>2.3467040061950679</v>
      </c>
      <c r="T84">
        <v>2.432921409606934</v>
      </c>
      <c r="U84">
        <v>2.5155811309814449</v>
      </c>
      <c r="V84">
        <v>2.591766357421875</v>
      </c>
      <c r="W84">
        <v>2.661402702331543</v>
      </c>
      <c r="X84">
        <v>2.7226805686950679</v>
      </c>
      <c r="Y84">
        <v>2.7759325504302979</v>
      </c>
      <c r="Z84">
        <v>2.8192358016967769</v>
      </c>
      <c r="AA84">
        <v>2.8479306697845459</v>
      </c>
      <c r="AB84">
        <v>2.8760499954223628</v>
      </c>
      <c r="AC84">
        <v>5.0765755518207278E-2</v>
      </c>
      <c r="AG84" s="67"/>
    </row>
    <row r="85" spans="1:33" x14ac:dyDescent="0.45">
      <c r="A85" t="s">
        <v>957</v>
      </c>
      <c r="B85" t="s">
        <v>941</v>
      </c>
      <c r="C85">
        <v>0.50583040714263916</v>
      </c>
      <c r="D85">
        <v>0.49034678936004639</v>
      </c>
      <c r="E85">
        <v>0.45815384387969971</v>
      </c>
      <c r="F85">
        <v>0.437538743019104</v>
      </c>
      <c r="G85">
        <v>0.42269212007522577</v>
      </c>
      <c r="H85">
        <v>0.40934976935386658</v>
      </c>
      <c r="I85">
        <v>0.39391446113586431</v>
      </c>
      <c r="J85">
        <v>0.38144141435623169</v>
      </c>
      <c r="K85">
        <v>0.37238830327987671</v>
      </c>
      <c r="L85">
        <v>0.36299681663513178</v>
      </c>
      <c r="M85">
        <v>0.35490265488624573</v>
      </c>
      <c r="N85">
        <v>0.3481096625328064</v>
      </c>
      <c r="O85">
        <v>0.34259879589080811</v>
      </c>
      <c r="P85">
        <v>0.33782732486724848</v>
      </c>
      <c r="Q85">
        <v>0.33402177691459661</v>
      </c>
      <c r="R85">
        <v>0.32934880256652832</v>
      </c>
      <c r="S85">
        <v>0.32421356439590449</v>
      </c>
      <c r="T85">
        <v>0.32134771347045898</v>
      </c>
      <c r="U85">
        <v>0.3172488808631897</v>
      </c>
      <c r="V85">
        <v>0.31383344531059271</v>
      </c>
      <c r="W85">
        <v>0.3100292980670929</v>
      </c>
      <c r="X85">
        <v>0.3069455623626709</v>
      </c>
      <c r="Y85">
        <v>0.30237311124801641</v>
      </c>
      <c r="Z85">
        <v>0.29731231927871699</v>
      </c>
      <c r="AA85">
        <v>0.29134726524353027</v>
      </c>
      <c r="AB85">
        <v>0.28533118963241583</v>
      </c>
      <c r="AC85">
        <v>-2.264177401330647E-2</v>
      </c>
      <c r="AG85" s="67"/>
    </row>
    <row r="86" spans="1:33" x14ac:dyDescent="0.45">
      <c r="A86" t="s">
        <v>341</v>
      </c>
      <c r="B86" t="s">
        <v>951</v>
      </c>
      <c r="C86">
        <v>6.840733528137207</v>
      </c>
      <c r="D86">
        <v>7.1826648712158203</v>
      </c>
      <c r="E86">
        <v>6.9943914413452148</v>
      </c>
      <c r="F86">
        <v>6.8863177299499512</v>
      </c>
      <c r="G86">
        <v>6.827085018157959</v>
      </c>
      <c r="H86">
        <v>6.7769260406494141</v>
      </c>
      <c r="I86">
        <v>6.6949758529663086</v>
      </c>
      <c r="J86">
        <v>6.6514077186584473</v>
      </c>
      <c r="K86">
        <v>6.6287422180175781</v>
      </c>
      <c r="L86">
        <v>6.5949182510375977</v>
      </c>
      <c r="M86">
        <v>6.5750336647033691</v>
      </c>
      <c r="N86">
        <v>6.560917854309082</v>
      </c>
      <c r="O86">
        <v>6.5592994689941406</v>
      </c>
      <c r="P86">
        <v>6.5639619827270508</v>
      </c>
      <c r="Q86">
        <v>6.564361572265625</v>
      </c>
      <c r="R86">
        <v>6.5609884262084961</v>
      </c>
      <c r="S86">
        <v>6.5584821701049796</v>
      </c>
      <c r="T86">
        <v>6.5671572685241699</v>
      </c>
      <c r="U86">
        <v>6.5805778503417969</v>
      </c>
      <c r="V86">
        <v>6.5957632064819336</v>
      </c>
      <c r="W86">
        <v>6.6125078201293954</v>
      </c>
      <c r="X86">
        <v>6.6278986930847168</v>
      </c>
      <c r="Y86">
        <v>6.6440610885620117</v>
      </c>
      <c r="Z86">
        <v>6.6604342460632324</v>
      </c>
      <c r="AA86">
        <v>6.6707062721252441</v>
      </c>
      <c r="AB86">
        <v>6.6886377334594727</v>
      </c>
      <c r="AC86">
        <v>-8.9898529919685277E-4</v>
      </c>
      <c r="AG86" s="67"/>
    </row>
    <row r="87" spans="1:33" x14ac:dyDescent="0.45">
      <c r="A87" t="s">
        <v>342</v>
      </c>
      <c r="B87" t="s">
        <v>343</v>
      </c>
      <c r="C87">
        <v>16.761899948120121</v>
      </c>
      <c r="D87">
        <v>17.17182540893555</v>
      </c>
      <c r="E87">
        <v>16.76215934753418</v>
      </c>
      <c r="F87">
        <v>16.600727081298832</v>
      </c>
      <c r="G87">
        <v>16.550605773925781</v>
      </c>
      <c r="H87">
        <v>16.480718612670898</v>
      </c>
      <c r="I87">
        <v>16.335453033447269</v>
      </c>
      <c r="J87">
        <v>16.297904968261719</v>
      </c>
      <c r="K87">
        <v>16.324348449707031</v>
      </c>
      <c r="L87">
        <v>16.320621490478519</v>
      </c>
      <c r="M87">
        <v>16.352365493774411</v>
      </c>
      <c r="N87">
        <v>16.399066925048832</v>
      </c>
      <c r="O87">
        <v>16.478168487548832</v>
      </c>
      <c r="P87">
        <v>16.57349967956543</v>
      </c>
      <c r="Q87">
        <v>16.653957366943359</v>
      </c>
      <c r="R87">
        <v>16.7153205871582</v>
      </c>
      <c r="S87">
        <v>16.780923843383789</v>
      </c>
      <c r="T87">
        <v>16.876262664794918</v>
      </c>
      <c r="U87">
        <v>16.980440139770511</v>
      </c>
      <c r="V87">
        <v>17.084621429443359</v>
      </c>
      <c r="W87">
        <v>17.185068130493161</v>
      </c>
      <c r="X87">
        <v>17.271171569824219</v>
      </c>
      <c r="Y87">
        <v>17.344833374023441</v>
      </c>
      <c r="Z87">
        <v>17.406242370605469</v>
      </c>
      <c r="AA87">
        <v>17.439630508422852</v>
      </c>
      <c r="AB87">
        <v>17.487321853637699</v>
      </c>
      <c r="AC87">
        <v>1.6961449166039699E-3</v>
      </c>
      <c r="AG87" s="67"/>
    </row>
    <row r="88" spans="1:33" x14ac:dyDescent="0.45">
      <c r="A88" t="s">
        <v>958</v>
      </c>
      <c r="B88" t="s">
        <v>898</v>
      </c>
      <c r="C88">
        <v>7.5080201029777527E-2</v>
      </c>
      <c r="D88">
        <v>9.7619488835334778E-2</v>
      </c>
      <c r="E88">
        <v>0.11983262002468111</v>
      </c>
      <c r="F88">
        <v>0.14593172073364261</v>
      </c>
      <c r="G88">
        <v>0.173193484544754</v>
      </c>
      <c r="H88">
        <v>0.19940897822380069</v>
      </c>
      <c r="I88">
        <v>0.22114971280097959</v>
      </c>
      <c r="J88">
        <v>0.2424083948135376</v>
      </c>
      <c r="K88">
        <v>0.26448199152946472</v>
      </c>
      <c r="L88">
        <v>0.28556531667709351</v>
      </c>
      <c r="M88">
        <v>0.30770117044448853</v>
      </c>
      <c r="N88">
        <v>0.32978767156600952</v>
      </c>
      <c r="O88">
        <v>0.35306635499000549</v>
      </c>
      <c r="P88">
        <v>0.37676513195037842</v>
      </c>
      <c r="Q88">
        <v>0.39970400929450989</v>
      </c>
      <c r="R88">
        <v>0.42260909080505371</v>
      </c>
      <c r="S88">
        <v>0.44601410627365112</v>
      </c>
      <c r="T88">
        <v>0.47185853123664862</v>
      </c>
      <c r="U88">
        <v>0.49950778484344482</v>
      </c>
      <c r="V88">
        <v>0.52955609560012817</v>
      </c>
      <c r="W88">
        <v>0.56185066699981689</v>
      </c>
      <c r="X88">
        <v>0.59497666358947754</v>
      </c>
      <c r="Y88">
        <v>0.62894797325134277</v>
      </c>
      <c r="Z88">
        <v>0.66345506906509399</v>
      </c>
      <c r="AA88">
        <v>0.69707900285720825</v>
      </c>
      <c r="AB88">
        <v>0.73172849416732788</v>
      </c>
      <c r="AC88">
        <v>9.5350174108518759E-2</v>
      </c>
      <c r="AG88" s="67"/>
    </row>
    <row r="89" spans="1:33" x14ac:dyDescent="0.45">
      <c r="A89" t="s">
        <v>344</v>
      </c>
      <c r="B89" t="s">
        <v>175</v>
      </c>
      <c r="C89">
        <v>0.15950858592987061</v>
      </c>
      <c r="D89">
        <v>0.1786766201257706</v>
      </c>
      <c r="E89">
        <v>0.1948061287403107</v>
      </c>
      <c r="F89">
        <v>0.20256760716438291</v>
      </c>
      <c r="G89">
        <v>0.20727863907814029</v>
      </c>
      <c r="H89">
        <v>0.21264529228210449</v>
      </c>
      <c r="I89">
        <v>0.2167929410934448</v>
      </c>
      <c r="J89">
        <v>0.22007113695144651</v>
      </c>
      <c r="K89">
        <v>0.22375722229480741</v>
      </c>
      <c r="L89">
        <v>0.22935956716537481</v>
      </c>
      <c r="M89">
        <v>0.23388862609863281</v>
      </c>
      <c r="N89">
        <v>0.23771291971206671</v>
      </c>
      <c r="O89">
        <v>0.24440619349479681</v>
      </c>
      <c r="P89">
        <v>0.25092688202857971</v>
      </c>
      <c r="Q89">
        <v>0.25883272290229797</v>
      </c>
      <c r="R89">
        <v>0.26564681529998779</v>
      </c>
      <c r="S89">
        <v>0.26932963728904719</v>
      </c>
      <c r="T89">
        <v>0.27484393119812012</v>
      </c>
      <c r="U89">
        <v>0.27782019972801208</v>
      </c>
      <c r="V89">
        <v>0.28117102384567261</v>
      </c>
      <c r="W89">
        <v>0.28390690684318542</v>
      </c>
      <c r="X89">
        <v>0.28815773129463201</v>
      </c>
      <c r="Y89">
        <v>0.29341936111450201</v>
      </c>
      <c r="Z89">
        <v>0.29877597093582148</v>
      </c>
      <c r="AA89">
        <v>0.30282855033874512</v>
      </c>
      <c r="AB89">
        <v>0.30805617570877081</v>
      </c>
      <c r="AC89">
        <v>2.667700303508402E-2</v>
      </c>
      <c r="AG89" s="67"/>
    </row>
    <row r="90" spans="1:33" x14ac:dyDescent="0.45">
      <c r="A90" t="s">
        <v>345</v>
      </c>
      <c r="B90" t="s">
        <v>902</v>
      </c>
      <c r="C90">
        <v>16.677473068237301</v>
      </c>
      <c r="D90">
        <v>17.090768814086911</v>
      </c>
      <c r="E90">
        <v>16.687185287475589</v>
      </c>
      <c r="F90">
        <v>16.54409027099609</v>
      </c>
      <c r="G90">
        <v>16.516519546508789</v>
      </c>
      <c r="H90">
        <v>16.467483520507809</v>
      </c>
      <c r="I90">
        <v>16.339809417724609</v>
      </c>
      <c r="J90">
        <v>16.320241928100589</v>
      </c>
      <c r="K90">
        <v>16.36507415771484</v>
      </c>
      <c r="L90">
        <v>16.376827239990231</v>
      </c>
      <c r="M90">
        <v>16.426177978515621</v>
      </c>
      <c r="N90">
        <v>16.491142272949219</v>
      </c>
      <c r="O90">
        <v>16.58682823181152</v>
      </c>
      <c r="P90">
        <v>16.699337005615231</v>
      </c>
      <c r="Q90">
        <v>16.794828414916989</v>
      </c>
      <c r="R90">
        <v>16.872283935546879</v>
      </c>
      <c r="S90">
        <v>16.957609176635739</v>
      </c>
      <c r="T90">
        <v>17.07327842712402</v>
      </c>
      <c r="U90">
        <v>17.202127456665039</v>
      </c>
      <c r="V90">
        <v>17.333005905151371</v>
      </c>
      <c r="W90">
        <v>17.4630126953125</v>
      </c>
      <c r="X90">
        <v>17.57798957824707</v>
      </c>
      <c r="Y90">
        <v>17.680362701416019</v>
      </c>
      <c r="Z90">
        <v>17.77092170715332</v>
      </c>
      <c r="AA90">
        <v>17.833881378173832</v>
      </c>
      <c r="AB90">
        <v>17.910993576049801</v>
      </c>
      <c r="AC90">
        <v>2.858309191881236E-3</v>
      </c>
      <c r="AG90" s="67"/>
    </row>
    <row r="91" spans="1:33" x14ac:dyDescent="0.45">
      <c r="AG91" s="67"/>
    </row>
    <row r="92" spans="1:33" x14ac:dyDescent="0.45">
      <c r="B92" t="s">
        <v>795</v>
      </c>
    </row>
    <row r="93" spans="1:33" x14ac:dyDescent="0.45">
      <c r="A93" t="s">
        <v>347</v>
      </c>
      <c r="B93" t="s">
        <v>348</v>
      </c>
      <c r="C93">
        <v>6.5495342016220093E-2</v>
      </c>
      <c r="D93">
        <v>6.3335344195365906E-2</v>
      </c>
      <c r="E93">
        <v>6.3611052930355072E-2</v>
      </c>
      <c r="F93">
        <v>6.2601976096630096E-2</v>
      </c>
      <c r="G93">
        <v>6.1895396560430527E-2</v>
      </c>
      <c r="H93">
        <v>6.1555970460176468E-2</v>
      </c>
      <c r="I93">
        <v>6.1000552028417587E-2</v>
      </c>
      <c r="J93">
        <v>5.9719327837228782E-2</v>
      </c>
      <c r="K93">
        <v>5.9399869292974472E-2</v>
      </c>
      <c r="L93">
        <v>5.9208467602729797E-2</v>
      </c>
      <c r="M93">
        <v>5.8635268360376358E-2</v>
      </c>
      <c r="N93">
        <v>5.8118700981140137E-2</v>
      </c>
      <c r="O93">
        <v>5.7820618152618408E-2</v>
      </c>
      <c r="P93">
        <v>5.7596802711486823E-2</v>
      </c>
      <c r="Q93">
        <v>5.7361405342817313E-2</v>
      </c>
      <c r="R93">
        <v>5.7212363928556442E-2</v>
      </c>
      <c r="S93">
        <v>5.6903231889009483E-2</v>
      </c>
      <c r="T93">
        <v>5.6644070893526077E-2</v>
      </c>
      <c r="U93">
        <v>5.6243952363729477E-2</v>
      </c>
      <c r="V93">
        <v>5.5781196802854538E-2</v>
      </c>
      <c r="W93">
        <v>5.5393330752849579E-2</v>
      </c>
      <c r="X93">
        <v>5.4973375052213669E-2</v>
      </c>
      <c r="Y93">
        <v>5.4612774401903152E-2</v>
      </c>
      <c r="Z93">
        <v>5.4244145750999451E-2</v>
      </c>
      <c r="AA93">
        <v>5.3924702107906342E-2</v>
      </c>
      <c r="AB93">
        <v>5.3518615663051612E-2</v>
      </c>
      <c r="AC93">
        <v>-8.0454398495303225E-3</v>
      </c>
      <c r="AG93" s="67"/>
    </row>
    <row r="94" spans="1:33" x14ac:dyDescent="0.45">
      <c r="A94" t="s">
        <v>349</v>
      </c>
      <c r="B94" t="s">
        <v>959</v>
      </c>
      <c r="C94">
        <v>0.15757319331169131</v>
      </c>
      <c r="D94">
        <v>0.17653824388980871</v>
      </c>
      <c r="E94">
        <v>0.1926458477973938</v>
      </c>
      <c r="F94">
        <v>0.2003890722990036</v>
      </c>
      <c r="G94">
        <v>0.2050669938325882</v>
      </c>
      <c r="H94">
        <v>0.21039468050003049</v>
      </c>
      <c r="I94">
        <v>0.21450857818126681</v>
      </c>
      <c r="J94">
        <v>0.21774961054325101</v>
      </c>
      <c r="K94">
        <v>0.22139823436737061</v>
      </c>
      <c r="L94">
        <v>0.2269328981637955</v>
      </c>
      <c r="M94">
        <v>0.2314201295375824</v>
      </c>
      <c r="N94">
        <v>0.2351967841386795</v>
      </c>
      <c r="O94">
        <v>0.24181878566741941</v>
      </c>
      <c r="P94">
        <v>0.24828812479972839</v>
      </c>
      <c r="Q94">
        <v>0.25614160299301147</v>
      </c>
      <c r="R94">
        <v>0.26291728019714361</v>
      </c>
      <c r="S94">
        <v>0.26657092571258539</v>
      </c>
      <c r="T94">
        <v>0.27200782299041748</v>
      </c>
      <c r="U94">
        <v>0.27494531869888311</v>
      </c>
      <c r="V94">
        <v>0.27825099229812622</v>
      </c>
      <c r="W94">
        <v>0.28095689415931702</v>
      </c>
      <c r="X94">
        <v>0.28517109155654907</v>
      </c>
      <c r="Y94">
        <v>0.29038175940513611</v>
      </c>
      <c r="Z94">
        <v>0.29569143056869512</v>
      </c>
      <c r="AA94">
        <v>0.29971441626548773</v>
      </c>
      <c r="AB94">
        <v>0.30489730834960938</v>
      </c>
      <c r="AC94">
        <v>2.675505613431484E-2</v>
      </c>
      <c r="AG94" s="67"/>
    </row>
    <row r="95" spans="1:33" x14ac:dyDescent="0.45">
      <c r="A95" t="s">
        <v>350</v>
      </c>
      <c r="B95" t="s">
        <v>960</v>
      </c>
      <c r="C95">
        <v>2.5242581032216549E-3</v>
      </c>
      <c r="D95">
        <v>2.5274485815316439E-3</v>
      </c>
      <c r="E95">
        <v>2.5326085742563009E-3</v>
      </c>
      <c r="F95">
        <v>2.533233724534512E-3</v>
      </c>
      <c r="G95">
        <v>2.535882405936718E-3</v>
      </c>
      <c r="H95">
        <v>2.540368121117353E-3</v>
      </c>
      <c r="I95">
        <v>2.5422528851777319E-3</v>
      </c>
      <c r="J95">
        <v>2.5453937705606222E-3</v>
      </c>
      <c r="K95">
        <v>2.5490603875368829E-3</v>
      </c>
      <c r="L95">
        <v>2.551554469391704E-3</v>
      </c>
      <c r="M95">
        <v>2.5528869591653351E-3</v>
      </c>
      <c r="N95">
        <v>2.5536359753459692E-3</v>
      </c>
      <c r="O95">
        <v>2.5551239959895611E-3</v>
      </c>
      <c r="P95">
        <v>2.556521445512772E-3</v>
      </c>
      <c r="Q95">
        <v>2.5584092363715172E-3</v>
      </c>
      <c r="R95">
        <v>2.5603929534554482E-3</v>
      </c>
      <c r="S95">
        <v>2.5611117016524081E-3</v>
      </c>
      <c r="T95">
        <v>2.5649594608694311E-3</v>
      </c>
      <c r="U95">
        <v>2.566458890214562E-3</v>
      </c>
      <c r="V95">
        <v>2.567789051681757E-3</v>
      </c>
      <c r="W95">
        <v>2.5683694984763861E-3</v>
      </c>
      <c r="X95">
        <v>2.5692624039947991E-3</v>
      </c>
      <c r="Y95">
        <v>2.5717106182128191E-3</v>
      </c>
      <c r="Z95">
        <v>2.5733232032507658E-3</v>
      </c>
      <c r="AA95">
        <v>2.5739751290529971E-3</v>
      </c>
      <c r="AB95">
        <v>2.5747127365320921E-3</v>
      </c>
      <c r="AC95">
        <v>7.9194423104467226E-4</v>
      </c>
      <c r="AG95" s="67"/>
    </row>
    <row r="96" spans="1:33" x14ac:dyDescent="0.45">
      <c r="A96" t="s">
        <v>351</v>
      </c>
      <c r="B96" t="s">
        <v>211</v>
      </c>
      <c r="C96">
        <v>0.2255927920341492</v>
      </c>
      <c r="D96">
        <v>0.24240103363990781</v>
      </c>
      <c r="E96">
        <v>0.25878950953483582</v>
      </c>
      <c r="F96">
        <v>0.26552426815032959</v>
      </c>
      <c r="G96">
        <v>0.26949825882911682</v>
      </c>
      <c r="H96">
        <v>0.27449104189872742</v>
      </c>
      <c r="I96">
        <v>0.27805137634277338</v>
      </c>
      <c r="J96">
        <v>0.28001433610916138</v>
      </c>
      <c r="K96">
        <v>0.28334715962409968</v>
      </c>
      <c r="L96">
        <v>0.28869292140007019</v>
      </c>
      <c r="M96">
        <v>0.29260829091072083</v>
      </c>
      <c r="N96">
        <v>0.29586911201477051</v>
      </c>
      <c r="O96">
        <v>0.30219453573226929</v>
      </c>
      <c r="P96">
        <v>0.30844146013259888</v>
      </c>
      <c r="Q96">
        <v>0.31606140732765198</v>
      </c>
      <c r="R96">
        <v>0.32269003987312322</v>
      </c>
      <c r="S96">
        <v>0.32603529095649719</v>
      </c>
      <c r="T96">
        <v>0.33121687173843378</v>
      </c>
      <c r="U96">
        <v>0.3337557315826416</v>
      </c>
      <c r="V96">
        <v>0.33659997582435608</v>
      </c>
      <c r="W96">
        <v>0.33891859650611877</v>
      </c>
      <c r="X96">
        <v>0.34271371364593511</v>
      </c>
      <c r="Y96">
        <v>0.34756624698638922</v>
      </c>
      <c r="Z96">
        <v>0.35250890254974371</v>
      </c>
      <c r="AA96">
        <v>0.35621309280395508</v>
      </c>
      <c r="AB96">
        <v>0.36099064350128168</v>
      </c>
      <c r="AC96">
        <v>1.8982742965093061E-2</v>
      </c>
      <c r="AG96" s="67"/>
    </row>
    <row r="97" spans="1:33" x14ac:dyDescent="0.45">
      <c r="AG97" s="67"/>
    </row>
    <row r="98" spans="1:33" x14ac:dyDescent="0.45">
      <c r="B98" t="s">
        <v>212</v>
      </c>
      <c r="AG98" s="67"/>
    </row>
    <row r="99" spans="1:33" x14ac:dyDescent="0.45">
      <c r="A99" t="s">
        <v>352</v>
      </c>
      <c r="B99" t="s">
        <v>214</v>
      </c>
      <c r="C99">
        <v>6045</v>
      </c>
      <c r="D99">
        <v>5873</v>
      </c>
      <c r="E99">
        <v>5850</v>
      </c>
      <c r="F99">
        <v>5826</v>
      </c>
      <c r="G99">
        <v>5803</v>
      </c>
      <c r="H99">
        <v>5779</v>
      </c>
      <c r="I99">
        <v>5755</v>
      </c>
      <c r="J99">
        <v>5732</v>
      </c>
      <c r="K99">
        <v>5708</v>
      </c>
      <c r="L99">
        <v>5684</v>
      </c>
      <c r="M99">
        <v>5661</v>
      </c>
      <c r="N99">
        <v>5637</v>
      </c>
      <c r="O99">
        <v>5613</v>
      </c>
      <c r="P99">
        <v>5589</v>
      </c>
      <c r="Q99">
        <v>5566</v>
      </c>
      <c r="R99">
        <v>5542</v>
      </c>
      <c r="S99">
        <v>5518</v>
      </c>
      <c r="T99">
        <v>5495</v>
      </c>
      <c r="U99">
        <v>5471</v>
      </c>
      <c r="V99">
        <v>5447</v>
      </c>
      <c r="W99">
        <v>5423</v>
      </c>
      <c r="X99">
        <v>5400</v>
      </c>
      <c r="Y99">
        <v>5376</v>
      </c>
      <c r="Z99">
        <v>5352</v>
      </c>
      <c r="AA99">
        <v>5328</v>
      </c>
      <c r="AB99">
        <v>5305</v>
      </c>
      <c r="AC99">
        <v>-5.2096509329098151E-3</v>
      </c>
      <c r="AG99" s="67"/>
    </row>
    <row r="100" spans="1:33" x14ac:dyDescent="0.45">
      <c r="A100" t="s">
        <v>353</v>
      </c>
      <c r="B100" t="s">
        <v>216</v>
      </c>
      <c r="C100">
        <v>5404</v>
      </c>
      <c r="D100">
        <v>5271</v>
      </c>
      <c r="E100">
        <v>5249</v>
      </c>
      <c r="F100">
        <v>5228</v>
      </c>
      <c r="G100">
        <v>5207</v>
      </c>
      <c r="H100">
        <v>5185</v>
      </c>
      <c r="I100">
        <v>5164</v>
      </c>
      <c r="J100">
        <v>5142</v>
      </c>
      <c r="K100">
        <v>5121</v>
      </c>
      <c r="L100">
        <v>5100</v>
      </c>
      <c r="M100">
        <v>5078</v>
      </c>
      <c r="N100">
        <v>5057</v>
      </c>
      <c r="O100">
        <v>5035</v>
      </c>
      <c r="P100">
        <v>5014</v>
      </c>
      <c r="Q100">
        <v>4993</v>
      </c>
      <c r="R100">
        <v>4971</v>
      </c>
      <c r="S100">
        <v>4950</v>
      </c>
      <c r="T100">
        <v>4929</v>
      </c>
      <c r="U100">
        <v>4907</v>
      </c>
      <c r="V100">
        <v>4886</v>
      </c>
      <c r="W100">
        <v>4865</v>
      </c>
      <c r="X100">
        <v>4843</v>
      </c>
      <c r="Y100">
        <v>4822</v>
      </c>
      <c r="Z100">
        <v>4801</v>
      </c>
      <c r="AA100">
        <v>4780</v>
      </c>
      <c r="AB100">
        <v>4758</v>
      </c>
      <c r="AC100">
        <v>-5.0795356335953112E-3</v>
      </c>
      <c r="AG100" s="67"/>
    </row>
    <row r="101" spans="1:33" x14ac:dyDescent="0.45">
      <c r="A101" t="s">
        <v>354</v>
      </c>
      <c r="B101" t="s">
        <v>218</v>
      </c>
      <c r="C101">
        <v>5984</v>
      </c>
      <c r="D101">
        <v>5836</v>
      </c>
      <c r="E101">
        <v>5817</v>
      </c>
      <c r="F101">
        <v>5798</v>
      </c>
      <c r="G101">
        <v>5779</v>
      </c>
      <c r="H101">
        <v>5760</v>
      </c>
      <c r="I101">
        <v>5741</v>
      </c>
      <c r="J101">
        <v>5722</v>
      </c>
      <c r="K101">
        <v>5703</v>
      </c>
      <c r="L101">
        <v>5683</v>
      </c>
      <c r="M101">
        <v>5664</v>
      </c>
      <c r="N101">
        <v>5645</v>
      </c>
      <c r="O101">
        <v>5626</v>
      </c>
      <c r="P101">
        <v>5607</v>
      </c>
      <c r="Q101">
        <v>5588</v>
      </c>
      <c r="R101">
        <v>5569</v>
      </c>
      <c r="S101">
        <v>5549</v>
      </c>
      <c r="T101">
        <v>5530</v>
      </c>
      <c r="U101">
        <v>5511</v>
      </c>
      <c r="V101">
        <v>5492</v>
      </c>
      <c r="W101">
        <v>5473</v>
      </c>
      <c r="X101">
        <v>5453</v>
      </c>
      <c r="Y101">
        <v>5434</v>
      </c>
      <c r="Z101">
        <v>5415</v>
      </c>
      <c r="AA101">
        <v>5396</v>
      </c>
      <c r="AB101">
        <v>5377</v>
      </c>
      <c r="AC101">
        <v>-4.2692066307929988E-3</v>
      </c>
      <c r="AG101" s="67"/>
    </row>
    <row r="102" spans="1:33" x14ac:dyDescent="0.45">
      <c r="A102" t="s">
        <v>355</v>
      </c>
      <c r="B102" t="s">
        <v>220</v>
      </c>
      <c r="C102">
        <v>6267</v>
      </c>
      <c r="D102">
        <v>6263</v>
      </c>
      <c r="E102">
        <v>6251</v>
      </c>
      <c r="F102">
        <v>6239</v>
      </c>
      <c r="G102">
        <v>6227</v>
      </c>
      <c r="H102">
        <v>6215</v>
      </c>
      <c r="I102">
        <v>6203</v>
      </c>
      <c r="J102">
        <v>6191</v>
      </c>
      <c r="K102">
        <v>6178</v>
      </c>
      <c r="L102">
        <v>6166</v>
      </c>
      <c r="M102">
        <v>6153</v>
      </c>
      <c r="N102">
        <v>6141</v>
      </c>
      <c r="O102">
        <v>6128</v>
      </c>
      <c r="P102">
        <v>6116</v>
      </c>
      <c r="Q102">
        <v>6103</v>
      </c>
      <c r="R102">
        <v>6091</v>
      </c>
      <c r="S102">
        <v>6078</v>
      </c>
      <c r="T102">
        <v>6066</v>
      </c>
      <c r="U102">
        <v>6053</v>
      </c>
      <c r="V102">
        <v>6040</v>
      </c>
      <c r="W102">
        <v>6028</v>
      </c>
      <c r="X102">
        <v>6015</v>
      </c>
      <c r="Y102">
        <v>6002</v>
      </c>
      <c r="Z102">
        <v>5990</v>
      </c>
      <c r="AA102">
        <v>5977</v>
      </c>
      <c r="AB102">
        <v>5964</v>
      </c>
      <c r="AC102">
        <v>-1.980291603725814E-3</v>
      </c>
      <c r="AG102" s="67"/>
    </row>
    <row r="103" spans="1:33" x14ac:dyDescent="0.45">
      <c r="A103" t="s">
        <v>356</v>
      </c>
      <c r="B103" t="s">
        <v>222</v>
      </c>
      <c r="C103">
        <v>2431</v>
      </c>
      <c r="D103">
        <v>2296</v>
      </c>
      <c r="E103">
        <v>2280</v>
      </c>
      <c r="F103">
        <v>2263</v>
      </c>
      <c r="G103">
        <v>2245</v>
      </c>
      <c r="H103">
        <v>2228</v>
      </c>
      <c r="I103">
        <v>2210</v>
      </c>
      <c r="J103">
        <v>2192</v>
      </c>
      <c r="K103">
        <v>2175</v>
      </c>
      <c r="L103">
        <v>2157</v>
      </c>
      <c r="M103">
        <v>2139</v>
      </c>
      <c r="N103">
        <v>2122</v>
      </c>
      <c r="O103">
        <v>2104</v>
      </c>
      <c r="P103">
        <v>2087</v>
      </c>
      <c r="Q103">
        <v>2069</v>
      </c>
      <c r="R103">
        <v>2052</v>
      </c>
      <c r="S103">
        <v>2034</v>
      </c>
      <c r="T103">
        <v>2017</v>
      </c>
      <c r="U103">
        <v>2000</v>
      </c>
      <c r="V103">
        <v>1982</v>
      </c>
      <c r="W103">
        <v>1965</v>
      </c>
      <c r="X103">
        <v>1948</v>
      </c>
      <c r="Y103">
        <v>1930</v>
      </c>
      <c r="Z103">
        <v>1913</v>
      </c>
      <c r="AA103">
        <v>1896</v>
      </c>
      <c r="AB103">
        <v>1879</v>
      </c>
      <c r="AC103">
        <v>-1.024962983363786E-2</v>
      </c>
    </row>
    <row r="104" spans="1:33" x14ac:dyDescent="0.45">
      <c r="A104" t="s">
        <v>357</v>
      </c>
      <c r="B104" t="s">
        <v>224</v>
      </c>
      <c r="C104">
        <v>3231</v>
      </c>
      <c r="D104">
        <v>3099</v>
      </c>
      <c r="E104">
        <v>3084</v>
      </c>
      <c r="F104">
        <v>3069</v>
      </c>
      <c r="G104">
        <v>3053</v>
      </c>
      <c r="H104">
        <v>3038</v>
      </c>
      <c r="I104">
        <v>3023</v>
      </c>
      <c r="J104">
        <v>3008</v>
      </c>
      <c r="K104">
        <v>2992</v>
      </c>
      <c r="L104">
        <v>2977</v>
      </c>
      <c r="M104">
        <v>2961</v>
      </c>
      <c r="N104">
        <v>2946</v>
      </c>
      <c r="O104">
        <v>2930</v>
      </c>
      <c r="P104">
        <v>2915</v>
      </c>
      <c r="Q104">
        <v>2900</v>
      </c>
      <c r="R104">
        <v>2884</v>
      </c>
      <c r="S104">
        <v>2869</v>
      </c>
      <c r="T104">
        <v>2853</v>
      </c>
      <c r="U104">
        <v>2838</v>
      </c>
      <c r="V104">
        <v>2822</v>
      </c>
      <c r="W104">
        <v>2807</v>
      </c>
      <c r="X104">
        <v>2791</v>
      </c>
      <c r="Y104">
        <v>2776</v>
      </c>
      <c r="Z104">
        <v>2760</v>
      </c>
      <c r="AA104">
        <v>2745</v>
      </c>
      <c r="AB104">
        <v>2730</v>
      </c>
      <c r="AC104">
        <v>-6.7169429162804439E-3</v>
      </c>
    </row>
    <row r="105" spans="1:33" x14ac:dyDescent="0.45">
      <c r="A105" t="s">
        <v>358</v>
      </c>
      <c r="B105" t="s">
        <v>226</v>
      </c>
      <c r="C105">
        <v>1966</v>
      </c>
      <c r="D105">
        <v>1889</v>
      </c>
      <c r="E105">
        <v>1880</v>
      </c>
      <c r="F105">
        <v>1870</v>
      </c>
      <c r="G105">
        <v>1860</v>
      </c>
      <c r="H105">
        <v>1851</v>
      </c>
      <c r="I105">
        <v>1841</v>
      </c>
      <c r="J105">
        <v>1831</v>
      </c>
      <c r="K105">
        <v>1822</v>
      </c>
      <c r="L105">
        <v>1812</v>
      </c>
      <c r="M105">
        <v>1803</v>
      </c>
      <c r="N105">
        <v>1793</v>
      </c>
      <c r="O105">
        <v>1784</v>
      </c>
      <c r="P105">
        <v>1774</v>
      </c>
      <c r="Q105">
        <v>1765</v>
      </c>
      <c r="R105">
        <v>1756</v>
      </c>
      <c r="S105">
        <v>1746</v>
      </c>
      <c r="T105">
        <v>1737</v>
      </c>
      <c r="U105">
        <v>1728</v>
      </c>
      <c r="V105">
        <v>1718</v>
      </c>
      <c r="W105">
        <v>1709</v>
      </c>
      <c r="X105">
        <v>1700</v>
      </c>
      <c r="Y105">
        <v>1690</v>
      </c>
      <c r="Z105">
        <v>1681</v>
      </c>
      <c r="AA105">
        <v>1672</v>
      </c>
      <c r="AB105">
        <v>1663</v>
      </c>
      <c r="AC105">
        <v>-6.6727505264080333E-3</v>
      </c>
    </row>
    <row r="106" spans="1:33" x14ac:dyDescent="0.45">
      <c r="A106" t="s">
        <v>359</v>
      </c>
      <c r="B106" t="s">
        <v>228</v>
      </c>
      <c r="C106">
        <v>4734</v>
      </c>
      <c r="D106">
        <v>4833</v>
      </c>
      <c r="E106">
        <v>4825</v>
      </c>
      <c r="F106">
        <v>4816</v>
      </c>
      <c r="G106">
        <v>4807</v>
      </c>
      <c r="H106">
        <v>4799</v>
      </c>
      <c r="I106">
        <v>4790</v>
      </c>
      <c r="J106">
        <v>4782</v>
      </c>
      <c r="K106">
        <v>4774</v>
      </c>
      <c r="L106">
        <v>4766</v>
      </c>
      <c r="M106">
        <v>4758</v>
      </c>
      <c r="N106">
        <v>4750</v>
      </c>
      <c r="O106">
        <v>4742</v>
      </c>
      <c r="P106">
        <v>4734</v>
      </c>
      <c r="Q106">
        <v>4726</v>
      </c>
      <c r="R106">
        <v>4718</v>
      </c>
      <c r="S106">
        <v>4710</v>
      </c>
      <c r="T106">
        <v>4702</v>
      </c>
      <c r="U106">
        <v>4694</v>
      </c>
      <c r="V106">
        <v>4687</v>
      </c>
      <c r="W106">
        <v>4679</v>
      </c>
      <c r="X106">
        <v>4671</v>
      </c>
      <c r="Y106">
        <v>4664</v>
      </c>
      <c r="Z106">
        <v>4656</v>
      </c>
      <c r="AA106">
        <v>4648</v>
      </c>
      <c r="AB106">
        <v>4641</v>
      </c>
      <c r="AC106">
        <v>-7.9331119546310891E-4</v>
      </c>
    </row>
    <row r="107" spans="1:33" x14ac:dyDescent="0.45">
      <c r="A107" t="s">
        <v>360</v>
      </c>
      <c r="B107" t="s">
        <v>230</v>
      </c>
      <c r="C107">
        <v>3251</v>
      </c>
      <c r="D107">
        <v>3291</v>
      </c>
      <c r="E107">
        <v>3285</v>
      </c>
      <c r="F107">
        <v>3279</v>
      </c>
      <c r="G107">
        <v>3272</v>
      </c>
      <c r="H107">
        <v>3266</v>
      </c>
      <c r="I107">
        <v>3259</v>
      </c>
      <c r="J107">
        <v>3252</v>
      </c>
      <c r="K107">
        <v>3245</v>
      </c>
      <c r="L107">
        <v>3238</v>
      </c>
      <c r="M107">
        <v>3231</v>
      </c>
      <c r="N107">
        <v>3224</v>
      </c>
      <c r="O107">
        <v>3216</v>
      </c>
      <c r="P107">
        <v>3209</v>
      </c>
      <c r="Q107">
        <v>3202</v>
      </c>
      <c r="R107">
        <v>3195</v>
      </c>
      <c r="S107">
        <v>3187</v>
      </c>
      <c r="T107">
        <v>3180</v>
      </c>
      <c r="U107">
        <v>3173</v>
      </c>
      <c r="V107">
        <v>3165</v>
      </c>
      <c r="W107">
        <v>3158</v>
      </c>
      <c r="X107">
        <v>3151</v>
      </c>
      <c r="Y107">
        <v>3143</v>
      </c>
      <c r="Z107">
        <v>3136</v>
      </c>
      <c r="AA107">
        <v>3129</v>
      </c>
      <c r="AB107">
        <v>3122</v>
      </c>
      <c r="AC107">
        <v>-1.61824200126981E-3</v>
      </c>
    </row>
    <row r="108" spans="1:33" x14ac:dyDescent="0.45">
      <c r="A108" t="s">
        <v>361</v>
      </c>
      <c r="B108" t="s">
        <v>232</v>
      </c>
      <c r="C108">
        <v>3989.572265625</v>
      </c>
      <c r="D108">
        <v>3910.10595703125</v>
      </c>
      <c r="E108">
        <v>3891.6015625</v>
      </c>
      <c r="F108">
        <v>3872.8251953125</v>
      </c>
      <c r="G108">
        <v>3853.715576171875</v>
      </c>
      <c r="H108">
        <v>3835.1279296875</v>
      </c>
      <c r="I108">
        <v>3816.111328125</v>
      </c>
      <c r="J108">
        <v>3797.1376953125</v>
      </c>
      <c r="K108">
        <v>3778.5009765625</v>
      </c>
      <c r="L108">
        <v>3759.552734375</v>
      </c>
      <c r="M108">
        <v>3740.7109375</v>
      </c>
      <c r="N108">
        <v>3722.160888671875</v>
      </c>
      <c r="O108">
        <v>3703.157470703125</v>
      </c>
      <c r="P108">
        <v>3684.65234375</v>
      </c>
      <c r="Q108">
        <v>3666.06494140625</v>
      </c>
      <c r="R108">
        <v>3647.55615234375</v>
      </c>
      <c r="S108">
        <v>3628.5244140625</v>
      </c>
      <c r="T108">
        <v>3610.19921875</v>
      </c>
      <c r="U108">
        <v>3591.732177734375</v>
      </c>
      <c r="V108">
        <v>3572.9052734375</v>
      </c>
      <c r="W108">
        <v>3554.652587890625</v>
      </c>
      <c r="X108">
        <v>3536.15771484375</v>
      </c>
      <c r="Y108">
        <v>3517.5849609375</v>
      </c>
      <c r="Z108">
        <v>3499.5966796875</v>
      </c>
      <c r="AA108">
        <v>3481.78857421875</v>
      </c>
      <c r="AB108">
        <v>3464.1162109375</v>
      </c>
      <c r="AC108">
        <v>-5.6331334759734952E-3</v>
      </c>
    </row>
    <row r="110" spans="1:33" x14ac:dyDescent="0.45">
      <c r="B110" t="s">
        <v>233</v>
      </c>
    </row>
    <row r="111" spans="1:33" x14ac:dyDescent="0.45">
      <c r="A111" t="s">
        <v>362</v>
      </c>
      <c r="B111" t="s">
        <v>214</v>
      </c>
      <c r="C111">
        <v>530</v>
      </c>
      <c r="D111">
        <v>626</v>
      </c>
      <c r="E111">
        <v>633</v>
      </c>
      <c r="F111">
        <v>640</v>
      </c>
      <c r="G111">
        <v>647</v>
      </c>
      <c r="H111">
        <v>654</v>
      </c>
      <c r="I111">
        <v>662</v>
      </c>
      <c r="J111">
        <v>669</v>
      </c>
      <c r="K111">
        <v>676</v>
      </c>
      <c r="L111">
        <v>683</v>
      </c>
      <c r="M111">
        <v>690</v>
      </c>
      <c r="N111">
        <v>697</v>
      </c>
      <c r="O111">
        <v>704</v>
      </c>
      <c r="P111">
        <v>712</v>
      </c>
      <c r="Q111">
        <v>719</v>
      </c>
      <c r="R111">
        <v>726</v>
      </c>
      <c r="S111">
        <v>733</v>
      </c>
      <c r="T111">
        <v>740</v>
      </c>
      <c r="U111">
        <v>747</v>
      </c>
      <c r="V111">
        <v>754</v>
      </c>
      <c r="W111">
        <v>761</v>
      </c>
      <c r="X111">
        <v>769</v>
      </c>
      <c r="Y111">
        <v>776</v>
      </c>
      <c r="Z111">
        <v>783</v>
      </c>
      <c r="AA111">
        <v>790</v>
      </c>
      <c r="AB111">
        <v>797</v>
      </c>
      <c r="AC111">
        <v>1.6452990811785199E-2</v>
      </c>
    </row>
    <row r="112" spans="1:33" x14ac:dyDescent="0.45">
      <c r="A112" t="s">
        <v>363</v>
      </c>
      <c r="B112" t="s">
        <v>216</v>
      </c>
      <c r="C112">
        <v>766</v>
      </c>
      <c r="D112">
        <v>858</v>
      </c>
      <c r="E112">
        <v>866</v>
      </c>
      <c r="F112">
        <v>874</v>
      </c>
      <c r="G112">
        <v>883</v>
      </c>
      <c r="H112">
        <v>891</v>
      </c>
      <c r="I112">
        <v>899</v>
      </c>
      <c r="J112">
        <v>907</v>
      </c>
      <c r="K112">
        <v>915</v>
      </c>
      <c r="L112">
        <v>923</v>
      </c>
      <c r="M112">
        <v>932</v>
      </c>
      <c r="N112">
        <v>940</v>
      </c>
      <c r="O112">
        <v>948</v>
      </c>
      <c r="P112">
        <v>956</v>
      </c>
      <c r="Q112">
        <v>964</v>
      </c>
      <c r="R112">
        <v>973</v>
      </c>
      <c r="S112">
        <v>981</v>
      </c>
      <c r="T112">
        <v>989</v>
      </c>
      <c r="U112">
        <v>997</v>
      </c>
      <c r="V112">
        <v>1005</v>
      </c>
      <c r="W112">
        <v>1014</v>
      </c>
      <c r="X112">
        <v>1022</v>
      </c>
      <c r="Y112">
        <v>1030</v>
      </c>
      <c r="Z112">
        <v>1038</v>
      </c>
      <c r="AA112">
        <v>1046</v>
      </c>
      <c r="AB112">
        <v>1055</v>
      </c>
      <c r="AC112">
        <v>1.2886884383320311E-2</v>
      </c>
    </row>
    <row r="113" spans="1:29" x14ac:dyDescent="0.45">
      <c r="A113" t="s">
        <v>364</v>
      </c>
      <c r="B113" t="s">
        <v>218</v>
      </c>
      <c r="C113">
        <v>873</v>
      </c>
      <c r="D113">
        <v>857</v>
      </c>
      <c r="E113">
        <v>862</v>
      </c>
      <c r="F113">
        <v>867</v>
      </c>
      <c r="G113">
        <v>871</v>
      </c>
      <c r="H113">
        <v>876</v>
      </c>
      <c r="I113">
        <v>881</v>
      </c>
      <c r="J113">
        <v>886</v>
      </c>
      <c r="K113">
        <v>890</v>
      </c>
      <c r="L113">
        <v>895</v>
      </c>
      <c r="M113">
        <v>900</v>
      </c>
      <c r="N113">
        <v>905</v>
      </c>
      <c r="O113">
        <v>909</v>
      </c>
      <c r="P113">
        <v>914</v>
      </c>
      <c r="Q113">
        <v>919</v>
      </c>
      <c r="R113">
        <v>924</v>
      </c>
      <c r="S113">
        <v>928</v>
      </c>
      <c r="T113">
        <v>933</v>
      </c>
      <c r="U113">
        <v>938</v>
      </c>
      <c r="V113">
        <v>943</v>
      </c>
      <c r="W113">
        <v>948</v>
      </c>
      <c r="X113">
        <v>952</v>
      </c>
      <c r="Y113">
        <v>957</v>
      </c>
      <c r="Z113">
        <v>962</v>
      </c>
      <c r="AA113">
        <v>967</v>
      </c>
      <c r="AB113">
        <v>972</v>
      </c>
      <c r="AC113">
        <v>4.3060544685959989E-3</v>
      </c>
    </row>
    <row r="114" spans="1:29" x14ac:dyDescent="0.45">
      <c r="A114" t="s">
        <v>365</v>
      </c>
      <c r="B114" t="s">
        <v>220</v>
      </c>
      <c r="C114">
        <v>1052</v>
      </c>
      <c r="D114">
        <v>1048</v>
      </c>
      <c r="E114">
        <v>1053</v>
      </c>
      <c r="F114">
        <v>1057</v>
      </c>
      <c r="G114">
        <v>1062</v>
      </c>
      <c r="H114">
        <v>1067</v>
      </c>
      <c r="I114">
        <v>1071</v>
      </c>
      <c r="J114">
        <v>1076</v>
      </c>
      <c r="K114">
        <v>1081</v>
      </c>
      <c r="L114">
        <v>1086</v>
      </c>
      <c r="M114">
        <v>1090</v>
      </c>
      <c r="N114">
        <v>1095</v>
      </c>
      <c r="O114">
        <v>1100</v>
      </c>
      <c r="P114">
        <v>1105</v>
      </c>
      <c r="Q114">
        <v>1109</v>
      </c>
      <c r="R114">
        <v>1114</v>
      </c>
      <c r="S114">
        <v>1119</v>
      </c>
      <c r="T114">
        <v>1124</v>
      </c>
      <c r="U114">
        <v>1129</v>
      </c>
      <c r="V114">
        <v>1133</v>
      </c>
      <c r="W114">
        <v>1138</v>
      </c>
      <c r="X114">
        <v>1143</v>
      </c>
      <c r="Y114">
        <v>1148</v>
      </c>
      <c r="Z114">
        <v>1153</v>
      </c>
      <c r="AA114">
        <v>1158</v>
      </c>
      <c r="AB114">
        <v>1162</v>
      </c>
      <c r="AC114">
        <v>3.9859044359582541E-3</v>
      </c>
    </row>
    <row r="115" spans="1:29" x14ac:dyDescent="0.45">
      <c r="A115" t="s">
        <v>366</v>
      </c>
      <c r="B115" t="s">
        <v>222</v>
      </c>
      <c r="C115">
        <v>2319</v>
      </c>
      <c r="D115">
        <v>2427</v>
      </c>
      <c r="E115">
        <v>2442</v>
      </c>
      <c r="F115">
        <v>2458</v>
      </c>
      <c r="G115">
        <v>2473</v>
      </c>
      <c r="H115">
        <v>2489</v>
      </c>
      <c r="I115">
        <v>2505</v>
      </c>
      <c r="J115">
        <v>2522</v>
      </c>
      <c r="K115">
        <v>2538</v>
      </c>
      <c r="L115">
        <v>2554</v>
      </c>
      <c r="M115">
        <v>2570</v>
      </c>
      <c r="N115">
        <v>2586</v>
      </c>
      <c r="O115">
        <v>2603</v>
      </c>
      <c r="P115">
        <v>2619</v>
      </c>
      <c r="Q115">
        <v>2635</v>
      </c>
      <c r="R115">
        <v>2652</v>
      </c>
      <c r="S115">
        <v>2668</v>
      </c>
      <c r="T115">
        <v>2684</v>
      </c>
      <c r="U115">
        <v>2701</v>
      </c>
      <c r="V115">
        <v>2717</v>
      </c>
      <c r="W115">
        <v>2734</v>
      </c>
      <c r="X115">
        <v>2750</v>
      </c>
      <c r="Y115">
        <v>2767</v>
      </c>
      <c r="Z115">
        <v>2783</v>
      </c>
      <c r="AA115">
        <v>2800</v>
      </c>
      <c r="AB115">
        <v>2816</v>
      </c>
      <c r="AC115">
        <v>7.7974985795448148E-3</v>
      </c>
    </row>
    <row r="116" spans="1:29" x14ac:dyDescent="0.45">
      <c r="A116" t="s">
        <v>367</v>
      </c>
      <c r="B116" t="s">
        <v>224</v>
      </c>
      <c r="C116">
        <v>1790</v>
      </c>
      <c r="D116">
        <v>1783</v>
      </c>
      <c r="E116">
        <v>1790</v>
      </c>
      <c r="F116">
        <v>1797</v>
      </c>
      <c r="G116">
        <v>1804</v>
      </c>
      <c r="H116">
        <v>1811</v>
      </c>
      <c r="I116">
        <v>1819</v>
      </c>
      <c r="J116">
        <v>1826</v>
      </c>
      <c r="K116">
        <v>1833</v>
      </c>
      <c r="L116">
        <v>1840</v>
      </c>
      <c r="M116">
        <v>1847</v>
      </c>
      <c r="N116">
        <v>1854</v>
      </c>
      <c r="O116">
        <v>1862</v>
      </c>
      <c r="P116">
        <v>1869</v>
      </c>
      <c r="Q116">
        <v>1876</v>
      </c>
      <c r="R116">
        <v>1883</v>
      </c>
      <c r="S116">
        <v>1890</v>
      </c>
      <c r="T116">
        <v>1898</v>
      </c>
      <c r="U116">
        <v>1905</v>
      </c>
      <c r="V116">
        <v>1912</v>
      </c>
      <c r="W116">
        <v>1919</v>
      </c>
      <c r="X116">
        <v>1926</v>
      </c>
      <c r="Y116">
        <v>1934</v>
      </c>
      <c r="Z116">
        <v>1941</v>
      </c>
      <c r="AA116">
        <v>1948</v>
      </c>
      <c r="AB116">
        <v>1955</v>
      </c>
      <c r="AC116">
        <v>3.533210066561487E-3</v>
      </c>
    </row>
    <row r="117" spans="1:29" x14ac:dyDescent="0.45">
      <c r="A117" t="s">
        <v>368</v>
      </c>
      <c r="B117" t="s">
        <v>226</v>
      </c>
      <c r="C117">
        <v>2916</v>
      </c>
      <c r="D117">
        <v>2946</v>
      </c>
      <c r="E117">
        <v>2961</v>
      </c>
      <c r="F117">
        <v>2976</v>
      </c>
      <c r="G117">
        <v>2990</v>
      </c>
      <c r="H117">
        <v>3005</v>
      </c>
      <c r="I117">
        <v>3020</v>
      </c>
      <c r="J117">
        <v>3035</v>
      </c>
      <c r="K117">
        <v>3049</v>
      </c>
      <c r="L117">
        <v>3064</v>
      </c>
      <c r="M117">
        <v>3079</v>
      </c>
      <c r="N117">
        <v>3093</v>
      </c>
      <c r="O117">
        <v>3108</v>
      </c>
      <c r="P117">
        <v>3123</v>
      </c>
      <c r="Q117">
        <v>3138</v>
      </c>
      <c r="R117">
        <v>3152</v>
      </c>
      <c r="S117">
        <v>3167</v>
      </c>
      <c r="T117">
        <v>3182</v>
      </c>
      <c r="U117">
        <v>3197</v>
      </c>
      <c r="V117">
        <v>3211</v>
      </c>
      <c r="W117">
        <v>3226</v>
      </c>
      <c r="X117">
        <v>3241</v>
      </c>
      <c r="Y117">
        <v>3255</v>
      </c>
      <c r="Z117">
        <v>3270</v>
      </c>
      <c r="AA117">
        <v>3285</v>
      </c>
      <c r="AB117">
        <v>3299</v>
      </c>
      <c r="AC117">
        <v>4.9484665423147334E-3</v>
      </c>
    </row>
    <row r="118" spans="1:29" x14ac:dyDescent="0.45">
      <c r="A118" t="s">
        <v>369</v>
      </c>
      <c r="B118" t="s">
        <v>228</v>
      </c>
      <c r="C118">
        <v>1515</v>
      </c>
      <c r="D118">
        <v>1608</v>
      </c>
      <c r="E118">
        <v>1617</v>
      </c>
      <c r="F118">
        <v>1627</v>
      </c>
      <c r="G118">
        <v>1636</v>
      </c>
      <c r="H118">
        <v>1645</v>
      </c>
      <c r="I118">
        <v>1655</v>
      </c>
      <c r="J118">
        <v>1664</v>
      </c>
      <c r="K118">
        <v>1673</v>
      </c>
      <c r="L118">
        <v>1682</v>
      </c>
      <c r="M118">
        <v>1691</v>
      </c>
      <c r="N118">
        <v>1701</v>
      </c>
      <c r="O118">
        <v>1710</v>
      </c>
      <c r="P118">
        <v>1719</v>
      </c>
      <c r="Q118">
        <v>1728</v>
      </c>
      <c r="R118">
        <v>1737</v>
      </c>
      <c r="S118">
        <v>1746</v>
      </c>
      <c r="T118">
        <v>1755</v>
      </c>
      <c r="U118">
        <v>1764</v>
      </c>
      <c r="V118">
        <v>1773</v>
      </c>
      <c r="W118">
        <v>1782</v>
      </c>
      <c r="X118">
        <v>1791</v>
      </c>
      <c r="Y118">
        <v>1800</v>
      </c>
      <c r="Z118">
        <v>1809</v>
      </c>
      <c r="AA118">
        <v>1818</v>
      </c>
      <c r="AB118">
        <v>1827</v>
      </c>
      <c r="AC118">
        <v>7.5185167090765503E-3</v>
      </c>
    </row>
    <row r="119" spans="1:29" x14ac:dyDescent="0.45">
      <c r="A119" t="s">
        <v>370</v>
      </c>
      <c r="B119" t="s">
        <v>230</v>
      </c>
      <c r="C119">
        <v>887</v>
      </c>
      <c r="D119">
        <v>1040</v>
      </c>
      <c r="E119">
        <v>1049</v>
      </c>
      <c r="F119">
        <v>1058</v>
      </c>
      <c r="G119">
        <v>1067</v>
      </c>
      <c r="H119">
        <v>1076</v>
      </c>
      <c r="I119">
        <v>1085</v>
      </c>
      <c r="J119">
        <v>1094</v>
      </c>
      <c r="K119">
        <v>1103</v>
      </c>
      <c r="L119">
        <v>1112</v>
      </c>
      <c r="M119">
        <v>1121</v>
      </c>
      <c r="N119">
        <v>1131</v>
      </c>
      <c r="O119">
        <v>1140</v>
      </c>
      <c r="P119">
        <v>1149</v>
      </c>
      <c r="Q119">
        <v>1158</v>
      </c>
      <c r="R119">
        <v>1167</v>
      </c>
      <c r="S119">
        <v>1177</v>
      </c>
      <c r="T119">
        <v>1186</v>
      </c>
      <c r="U119">
        <v>1195</v>
      </c>
      <c r="V119">
        <v>1204</v>
      </c>
      <c r="W119">
        <v>1213</v>
      </c>
      <c r="X119">
        <v>1223</v>
      </c>
      <c r="Y119">
        <v>1232</v>
      </c>
      <c r="Z119">
        <v>1241</v>
      </c>
      <c r="AA119">
        <v>1250</v>
      </c>
      <c r="AB119">
        <v>1259</v>
      </c>
      <c r="AC119">
        <v>1.4107709657196651E-2</v>
      </c>
    </row>
    <row r="120" spans="1:29" x14ac:dyDescent="0.45">
      <c r="A120" t="s">
        <v>371</v>
      </c>
      <c r="B120" t="s">
        <v>232</v>
      </c>
      <c r="C120">
        <v>1516.423583984375</v>
      </c>
      <c r="D120">
        <v>1589.852905273438</v>
      </c>
      <c r="E120">
        <v>1602.154052734375</v>
      </c>
      <c r="F120">
        <v>1614.68994140625</v>
      </c>
      <c r="G120">
        <v>1626.874267578125</v>
      </c>
      <c r="H120">
        <v>1639.42919921875</v>
      </c>
      <c r="I120">
        <v>1652.126586914062</v>
      </c>
      <c r="J120">
        <v>1664.94091796875</v>
      </c>
      <c r="K120">
        <v>1677.306884765625</v>
      </c>
      <c r="L120">
        <v>1689.963012695312</v>
      </c>
      <c r="M120">
        <v>1702.697631835938</v>
      </c>
      <c r="N120">
        <v>1715.52587890625</v>
      </c>
      <c r="O120">
        <v>1728.397705078125</v>
      </c>
      <c r="P120">
        <v>1741.199096679688</v>
      </c>
      <c r="Q120">
        <v>1753.922607421875</v>
      </c>
      <c r="R120">
        <v>1766.92138671875</v>
      </c>
      <c r="S120">
        <v>1779.796142578125</v>
      </c>
      <c r="T120">
        <v>1792.711669921875</v>
      </c>
      <c r="U120">
        <v>1805.81201171875</v>
      </c>
      <c r="V120">
        <v>1818.522705078125</v>
      </c>
      <c r="W120">
        <v>1831.7783203125</v>
      </c>
      <c r="X120">
        <v>1844.803100585938</v>
      </c>
      <c r="Y120">
        <v>1857.8740234375</v>
      </c>
      <c r="Z120">
        <v>1870.785278320312</v>
      </c>
      <c r="AA120">
        <v>1883.8203125</v>
      </c>
      <c r="AB120">
        <v>1896.469848632812</v>
      </c>
      <c r="AC120">
        <v>8.9857123444541109E-3</v>
      </c>
    </row>
    <row r="122" spans="1:29" x14ac:dyDescent="0.45">
      <c r="B122" t="s">
        <v>906</v>
      </c>
    </row>
    <row r="123" spans="1:29" x14ac:dyDescent="0.45">
      <c r="B123" t="s">
        <v>907</v>
      </c>
    </row>
    <row r="124" spans="1:29" x14ac:dyDescent="0.45">
      <c r="B124" t="s">
        <v>908</v>
      </c>
    </row>
    <row r="125" spans="1:29" x14ac:dyDescent="0.45">
      <c r="B125" t="s">
        <v>961</v>
      </c>
    </row>
    <row r="126" spans="1:29" x14ac:dyDescent="0.45">
      <c r="B126" t="s">
        <v>962</v>
      </c>
    </row>
    <row r="127" spans="1:29" x14ac:dyDescent="0.45">
      <c r="B127" t="s">
        <v>963</v>
      </c>
    </row>
    <row r="128" spans="1:29" x14ac:dyDescent="0.45">
      <c r="B128" t="s">
        <v>964</v>
      </c>
    </row>
    <row r="129" spans="2:2" x14ac:dyDescent="0.45">
      <c r="B129" t="s">
        <v>245</v>
      </c>
    </row>
    <row r="130" spans="2:2" x14ac:dyDescent="0.45">
      <c r="B130" t="s">
        <v>965</v>
      </c>
    </row>
    <row r="131" spans="2:2" x14ac:dyDescent="0.45">
      <c r="B131" t="s">
        <v>966</v>
      </c>
    </row>
    <row r="132" spans="2:2" x14ac:dyDescent="0.45">
      <c r="B132" t="s">
        <v>967</v>
      </c>
    </row>
    <row r="133" spans="2:2" x14ac:dyDescent="0.45">
      <c r="B133" t="s">
        <v>968</v>
      </c>
    </row>
    <row r="134" spans="2:2" x14ac:dyDescent="0.45">
      <c r="B134" t="s">
        <v>969</v>
      </c>
    </row>
    <row r="135" spans="2:2" x14ac:dyDescent="0.45">
      <c r="B135" t="s">
        <v>970</v>
      </c>
    </row>
    <row r="136" spans="2:2" x14ac:dyDescent="0.45">
      <c r="B136" t="s">
        <v>971</v>
      </c>
    </row>
    <row r="137" spans="2:2" x14ac:dyDescent="0.45">
      <c r="B137" t="s">
        <v>972</v>
      </c>
    </row>
    <row r="138" spans="2:2" x14ac:dyDescent="0.45">
      <c r="B138" t="s">
        <v>973</v>
      </c>
    </row>
    <row r="139" spans="2:2" x14ac:dyDescent="0.45">
      <c r="B139" t="s">
        <v>974</v>
      </c>
    </row>
    <row r="140" spans="2:2" x14ac:dyDescent="0.45">
      <c r="B140" t="s">
        <v>918</v>
      </c>
    </row>
    <row r="141" spans="2:2" x14ac:dyDescent="0.45">
      <c r="B141" t="s">
        <v>975</v>
      </c>
    </row>
    <row r="142" spans="2:2" x14ac:dyDescent="0.45">
      <c r="B142" t="s">
        <v>376</v>
      </c>
    </row>
    <row r="143" spans="2:2" x14ac:dyDescent="0.45">
      <c r="B143" t="s">
        <v>976</v>
      </c>
    </row>
    <row r="144" spans="2:2" x14ac:dyDescent="0.45">
      <c r="B144" t="s">
        <v>977</v>
      </c>
    </row>
    <row r="145" spans="2:2" x14ac:dyDescent="0.45">
      <c r="B145" t="s">
        <v>978</v>
      </c>
    </row>
    <row r="146" spans="2:2" x14ac:dyDescent="0.45">
      <c r="B146" t="s">
        <v>979</v>
      </c>
    </row>
    <row r="147" spans="2:2" x14ac:dyDescent="0.45">
      <c r="B147" t="s">
        <v>980</v>
      </c>
    </row>
    <row r="148" spans="2:2" x14ac:dyDescent="0.45">
      <c r="B148" t="s">
        <v>981</v>
      </c>
    </row>
    <row r="149" spans="2:2" x14ac:dyDescent="0.45">
      <c r="B149" t="s">
        <v>982</v>
      </c>
    </row>
    <row r="150" spans="2:2" x14ac:dyDescent="0.45">
      <c r="B150" t="s">
        <v>983</v>
      </c>
    </row>
    <row r="151" spans="2:2" x14ac:dyDescent="0.45">
      <c r="B151" t="s">
        <v>984</v>
      </c>
    </row>
    <row r="152" spans="2:2" x14ac:dyDescent="0.45">
      <c r="B152" t="s">
        <v>928</v>
      </c>
    </row>
    <row r="153" spans="2:2" x14ac:dyDescent="0.45">
      <c r="B153" t="s">
        <v>930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67"/>
  <sheetViews>
    <sheetView workbookViewId="0">
      <selection activeCell="D58" sqref="D58"/>
    </sheetView>
  </sheetViews>
  <sheetFormatPr defaultRowHeight="14.25" x14ac:dyDescent="0.45"/>
  <cols>
    <col min="1" max="1" width="21" customWidth="1"/>
    <col min="2" max="2" width="13.1328125" customWidth="1"/>
    <col min="3" max="3" width="11" customWidth="1"/>
  </cols>
  <sheetData>
    <row r="1" spans="1:31" x14ac:dyDescent="0.45">
      <c r="A1" s="13" t="s">
        <v>845</v>
      </c>
      <c r="B1" s="14"/>
      <c r="C1" s="14"/>
    </row>
    <row r="2" spans="1:31" x14ac:dyDescent="0.45">
      <c r="B2">
        <v>2022</v>
      </c>
      <c r="C2">
        <v>2023</v>
      </c>
      <c r="D2">
        <v>2024</v>
      </c>
      <c r="E2">
        <v>2025</v>
      </c>
      <c r="F2">
        <v>2026</v>
      </c>
      <c r="G2">
        <v>2027</v>
      </c>
      <c r="H2">
        <v>2028</v>
      </c>
      <c r="I2">
        <v>2029</v>
      </c>
      <c r="J2">
        <v>2030</v>
      </c>
      <c r="K2">
        <v>2031</v>
      </c>
      <c r="L2">
        <v>2032</v>
      </c>
      <c r="M2">
        <v>2033</v>
      </c>
      <c r="N2">
        <v>2034</v>
      </c>
      <c r="O2">
        <v>2035</v>
      </c>
      <c r="P2">
        <v>2036</v>
      </c>
      <c r="Q2">
        <v>2037</v>
      </c>
      <c r="R2">
        <v>2038</v>
      </c>
      <c r="S2">
        <v>2039</v>
      </c>
      <c r="T2">
        <v>2040</v>
      </c>
      <c r="U2">
        <v>2041</v>
      </c>
      <c r="V2">
        <v>2042</v>
      </c>
      <c r="W2">
        <v>2043</v>
      </c>
      <c r="X2">
        <v>2044</v>
      </c>
      <c r="Y2">
        <v>2045</v>
      </c>
      <c r="Z2">
        <v>2046</v>
      </c>
      <c r="AA2">
        <v>2047</v>
      </c>
      <c r="AB2">
        <v>2048</v>
      </c>
      <c r="AC2">
        <v>2049</v>
      </c>
      <c r="AD2">
        <v>2050</v>
      </c>
    </row>
    <row r="3" spans="1:31" x14ac:dyDescent="0.45">
      <c r="A3" t="s">
        <v>846</v>
      </c>
      <c r="B3" s="68">
        <f>'AEO23 Table 5'!D19/'AEO23 Table 5'!D20</f>
        <v>2.0840492400046495E-2</v>
      </c>
      <c r="C3" s="68">
        <f>'AEO23 Table 5'!E19/'AEO23 Table 5'!E20</f>
        <v>2.151473248680643E-2</v>
      </c>
      <c r="D3" s="68">
        <f>'AEO 2025 Table 5'!F9/'AEO 2025 Table 5'!F10</f>
        <v>2.6526316559305416E-2</v>
      </c>
      <c r="E3" s="68">
        <f>'AEO 2026 Table 5'!C16/'AEO 2026 Table 5'!C17</f>
        <v>2.6741690106650118E-2</v>
      </c>
      <c r="F3" s="68">
        <f>'AEO 2026 Table 5'!D16/'AEO 2026 Table 5'!D17</f>
        <v>2.6099900066819094E-2</v>
      </c>
      <c r="G3" s="68">
        <f>'AEO 2026 Table 5'!E16/'AEO 2026 Table 5'!E17</f>
        <v>2.5554637366333999E-2</v>
      </c>
      <c r="H3" s="68">
        <f>'AEO 2026 Table 5'!F16/'AEO 2026 Table 5'!F17</f>
        <v>2.5211359458452768E-2</v>
      </c>
      <c r="I3" s="68">
        <f>'AEO 2026 Table 5'!G16/'AEO 2026 Table 5'!G17</f>
        <v>2.4947081445023191E-2</v>
      </c>
      <c r="J3" s="68">
        <f>'AEO 2026 Table 5'!H16/'AEO 2026 Table 5'!H17</f>
        <v>2.4921225682828965E-2</v>
      </c>
      <c r="K3" s="68">
        <f>'AEO 2026 Table 5'!I16/'AEO 2026 Table 5'!I17</f>
        <v>2.5026462230443591E-2</v>
      </c>
      <c r="L3" s="68">
        <f>'AEO 2026 Table 5'!J16/'AEO 2026 Table 5'!J17</f>
        <v>2.5154065394239984E-2</v>
      </c>
      <c r="M3" s="68">
        <f>'AEO 2026 Table 5'!K16/'AEO 2026 Table 5'!K17</f>
        <v>2.5330733317325077E-2</v>
      </c>
      <c r="N3" s="68">
        <f>'AEO 2026 Table 5'!L16/'AEO 2026 Table 5'!L17</f>
        <v>2.551148484918777E-2</v>
      </c>
      <c r="O3" s="68">
        <f>'AEO 2026 Table 5'!M16/'AEO 2026 Table 5'!M17</f>
        <v>2.5686683466597859E-2</v>
      </c>
      <c r="P3" s="68">
        <f>'AEO 2026 Table 5'!N16/'AEO 2026 Table 5'!N17</f>
        <v>2.5843739619736572E-2</v>
      </c>
      <c r="Q3" s="68">
        <f>'AEO 2026 Table 5'!O16/'AEO 2026 Table 5'!O17</f>
        <v>2.5916403073956283E-2</v>
      </c>
      <c r="R3" s="68">
        <f>'AEO 2026 Table 5'!P16/'AEO 2026 Table 5'!P17</f>
        <v>2.5518485965558245E-2</v>
      </c>
      <c r="S3" s="68">
        <f>'AEO 2026 Table 5'!Q16/'AEO 2026 Table 5'!Q17</f>
        <v>2.5121292340899808E-2</v>
      </c>
      <c r="T3" s="68">
        <f>'AEO 2026 Table 5'!R16/'AEO 2026 Table 5'!R17</f>
        <v>2.4755879613804401E-2</v>
      </c>
      <c r="U3" s="68">
        <f>'AEO 2026 Table 5'!S16/'AEO 2026 Table 5'!S17</f>
        <v>2.421046194372875E-2</v>
      </c>
      <c r="V3" s="68">
        <f>'AEO 2026 Table 5'!T16/'AEO 2026 Table 5'!T17</f>
        <v>2.3749172592706876E-2</v>
      </c>
      <c r="W3" s="68">
        <f>'AEO 2026 Table 5'!U16/'AEO 2026 Table 5'!U17</f>
        <v>2.3417938345757103E-2</v>
      </c>
      <c r="X3" s="68">
        <f>'AEO 2026 Table 5'!V16/'AEO 2026 Table 5'!V17</f>
        <v>2.3148402450234484E-2</v>
      </c>
      <c r="Y3" s="68">
        <f>'AEO 2026 Table 5'!W16/'AEO 2026 Table 5'!W17</f>
        <v>2.2954228601773281E-2</v>
      </c>
      <c r="Z3" s="68">
        <f>'AEO 2026 Table 5'!X16/'AEO 2026 Table 5'!X17</f>
        <v>2.2791231145865769E-2</v>
      </c>
      <c r="AA3" s="68">
        <f>'AEO 2026 Table 5'!Y16/'AEO 2026 Table 5'!Y17</f>
        <v>2.2642101961031478E-2</v>
      </c>
      <c r="AB3" s="68">
        <f>'AEO 2026 Table 5'!Z16/'AEO 2026 Table 5'!Z17</f>
        <v>2.2507527787535061E-2</v>
      </c>
      <c r="AC3" s="68">
        <f>'AEO 2026 Table 5'!AA16/'AEO 2026 Table 5'!AA17</f>
        <v>2.2381732834450035E-2</v>
      </c>
      <c r="AD3" s="68">
        <f>'AEO 2026 Table 5'!AB16/'AEO 2026 Table 5'!AB17</f>
        <v>2.2266823518873942E-2</v>
      </c>
      <c r="AE3" s="7"/>
    </row>
    <row r="5" spans="1:31" x14ac:dyDescent="0.45">
      <c r="A5" t="s">
        <v>55</v>
      </c>
      <c r="B5" s="9">
        <f>AVERAGE(B3:AD3)</f>
        <v>2.4354906435378378E-2</v>
      </c>
    </row>
    <row r="8" spans="1:31" x14ac:dyDescent="0.45">
      <c r="A8" s="13" t="s">
        <v>847</v>
      </c>
      <c r="B8" s="14"/>
      <c r="C8" s="14"/>
    </row>
    <row r="10" spans="1:31" x14ac:dyDescent="0.45">
      <c r="A10" t="s">
        <v>848</v>
      </c>
    </row>
    <row r="12" spans="1:31" x14ac:dyDescent="0.45">
      <c r="B12" s="10" t="s">
        <v>849</v>
      </c>
      <c r="C12" t="s">
        <v>850</v>
      </c>
    </row>
    <row r="13" spans="1:31" x14ac:dyDescent="0.45">
      <c r="A13" t="s">
        <v>851</v>
      </c>
      <c r="B13">
        <v>0.997</v>
      </c>
    </row>
    <row r="14" spans="1:31" x14ac:dyDescent="0.45">
      <c r="A14" t="s">
        <v>852</v>
      </c>
      <c r="B14">
        <v>0.995</v>
      </c>
    </row>
    <row r="15" spans="1:31" x14ac:dyDescent="0.45">
      <c r="A15" t="s">
        <v>853</v>
      </c>
      <c r="B15">
        <v>0.96599999999999997</v>
      </c>
    </row>
    <row r="17" spans="1:32" x14ac:dyDescent="0.45">
      <c r="A17" s="1" t="s">
        <v>854</v>
      </c>
    </row>
    <row r="18" spans="1:32" x14ac:dyDescent="0.45">
      <c r="B18">
        <v>2022</v>
      </c>
      <c r="C18">
        <v>2023</v>
      </c>
      <c r="D18">
        <v>2024</v>
      </c>
      <c r="E18">
        <v>2025</v>
      </c>
      <c r="F18">
        <v>2026</v>
      </c>
      <c r="G18">
        <v>2027</v>
      </c>
      <c r="H18">
        <v>2028</v>
      </c>
      <c r="I18">
        <v>2029</v>
      </c>
      <c r="J18">
        <v>2030</v>
      </c>
      <c r="K18">
        <v>2031</v>
      </c>
      <c r="L18">
        <v>2032</v>
      </c>
      <c r="M18">
        <v>2033</v>
      </c>
      <c r="N18">
        <v>2034</v>
      </c>
      <c r="O18">
        <v>2035</v>
      </c>
      <c r="P18">
        <v>2036</v>
      </c>
      <c r="Q18">
        <v>2037</v>
      </c>
      <c r="R18">
        <v>2038</v>
      </c>
      <c r="S18">
        <v>2039</v>
      </c>
      <c r="T18">
        <v>2040</v>
      </c>
      <c r="U18">
        <v>2041</v>
      </c>
      <c r="V18">
        <v>2042</v>
      </c>
      <c r="W18">
        <v>2043</v>
      </c>
      <c r="X18">
        <v>2044</v>
      </c>
      <c r="Y18">
        <v>2045</v>
      </c>
      <c r="Z18">
        <v>2046</v>
      </c>
      <c r="AA18">
        <v>2047</v>
      </c>
      <c r="AB18">
        <v>2048</v>
      </c>
      <c r="AC18">
        <v>2049</v>
      </c>
      <c r="AD18">
        <v>2050</v>
      </c>
    </row>
    <row r="19" spans="1:32" x14ac:dyDescent="0.45">
      <c r="A19" t="s">
        <v>851</v>
      </c>
      <c r="B19" s="69">
        <f>'AEO23 Table 4'!C17*$B13</f>
        <v>86.663482235000004</v>
      </c>
      <c r="C19" s="69">
        <f>'AEO23 Table 4'!D17*$B13</f>
        <v>87.485365166999998</v>
      </c>
      <c r="D19" s="69">
        <f>'AEO 2025 Table 4'!F8*$B13</f>
        <v>88.343914768000005</v>
      </c>
      <c r="E19" s="69">
        <f>'AEO 2026 Table 4'!C14*$B13</f>
        <v>89.283152575999992</v>
      </c>
      <c r="F19" s="69">
        <f>'AEO 2026 Table 4'!D14*$B13</f>
        <v>90.227822039999992</v>
      </c>
      <c r="G19" s="69">
        <f>'AEO 2026 Table 4'!E14*$B13</f>
        <v>91.171614144000003</v>
      </c>
      <c r="H19" s="69">
        <f>'AEO 2026 Table 4'!F14*$B13</f>
        <v>92.098401416000002</v>
      </c>
      <c r="I19" s="69">
        <f>'AEO 2026 Table 4'!G14*$B13</f>
        <v>93.028403015999999</v>
      </c>
      <c r="J19" s="69">
        <f>'AEO 2026 Table 4'!H14*$B13</f>
        <v>93.96039064</v>
      </c>
      <c r="K19" s="69">
        <f>'AEO 2026 Table 4'!I14*$B13</f>
        <v>94.872733375999999</v>
      </c>
      <c r="L19" s="69">
        <f>'AEO 2026 Table 4'!J14*$B13</f>
        <v>95.783361271999993</v>
      </c>
      <c r="M19" s="69">
        <f>'AEO 2026 Table 4'!K14*$B13</f>
        <v>96.682774911999999</v>
      </c>
      <c r="N19" s="69">
        <f>'AEO 2026 Table 4'!L14*$B13</f>
        <v>97.559720159999998</v>
      </c>
      <c r="O19" s="69">
        <f>'AEO 2026 Table 4'!M14*$B13</f>
        <v>98.420290680000008</v>
      </c>
      <c r="P19" s="69">
        <f>'AEO 2026 Table 4'!N14*$B13</f>
        <v>99.256997007999999</v>
      </c>
      <c r="Q19" s="69">
        <f>'AEO 2026 Table 4'!O14*$B13</f>
        <v>100.07846119999999</v>
      </c>
      <c r="R19" s="69">
        <f>'AEO 2026 Table 4'!P14*$B13</f>
        <v>100.876228696</v>
      </c>
      <c r="S19" s="69">
        <f>'AEO 2026 Table 4'!Q14*$B13</f>
        <v>101.64269039200001</v>
      </c>
      <c r="T19" s="69">
        <f>'AEO 2026 Table 4'!R14*$B13</f>
        <v>102.38163488800001</v>
      </c>
      <c r="U19" s="69">
        <f>'AEO 2026 Table 4'!S14*$B13</f>
        <v>103.090055232</v>
      </c>
      <c r="V19" s="69">
        <f>'AEO 2026 Table 4'!T14*$B13</f>
        <v>103.78162228799999</v>
      </c>
      <c r="W19" s="69">
        <f>'AEO 2026 Table 4'!U14*$B13</f>
        <v>104.44674092800001</v>
      </c>
      <c r="X19" s="69">
        <f>'AEO 2026 Table 4'!V14*$B13</f>
        <v>105.088633456</v>
      </c>
      <c r="Y19" s="69">
        <f>'AEO 2026 Table 4'!W14*$B13</f>
        <v>105.73130763200001</v>
      </c>
      <c r="Z19" s="69">
        <f>'AEO 2026 Table 4'!X14*$B13</f>
        <v>106.37832075199999</v>
      </c>
      <c r="AA19" s="69">
        <f>'AEO 2026 Table 4'!Y14*$B13</f>
        <v>107.02328404000001</v>
      </c>
      <c r="AB19" s="69">
        <f>'AEO 2026 Table 4'!Z14*$B13</f>
        <v>107.66706687999999</v>
      </c>
      <c r="AC19" s="69">
        <f>'AEO 2026 Table 4'!AA14*$B13</f>
        <v>108.31006807199999</v>
      </c>
      <c r="AD19" s="69">
        <f>'AEO 2026 Table 4'!AB14*$B13</f>
        <v>108.955964552</v>
      </c>
      <c r="AE19" s="12"/>
      <c r="AF19" s="12"/>
    </row>
    <row r="20" spans="1:32" x14ac:dyDescent="0.45">
      <c r="A20" t="s">
        <v>852</v>
      </c>
      <c r="B20" s="69">
        <f>'AEO23 Table 4'!C18*$B14</f>
        <v>32.677941239999996</v>
      </c>
      <c r="C20" s="69">
        <f>'AEO23 Table 4'!D18*$B14</f>
        <v>33.043182854999998</v>
      </c>
      <c r="D20" s="69">
        <f>'AEO 2025 Table 4'!F9*$B14</f>
        <v>33.847822440000002</v>
      </c>
      <c r="E20" s="69">
        <f>'AEO 2026 Table 4'!C15*$B14</f>
        <v>34.260150440000004</v>
      </c>
      <c r="F20" s="69">
        <f>'AEO 2026 Table 4'!D15*$B14</f>
        <v>34.662484660000004</v>
      </c>
      <c r="G20" s="69">
        <f>'AEO 2026 Table 4'!E15*$B14</f>
        <v>35.066578040000003</v>
      </c>
      <c r="H20" s="69">
        <f>'AEO 2026 Table 4'!F15*$B14</f>
        <v>35.460908480000001</v>
      </c>
      <c r="I20" s="69">
        <f>'AEO 2026 Table 4'!G15*$B14</f>
        <v>35.857010020000004</v>
      </c>
      <c r="J20" s="69">
        <f>'AEO 2026 Table 4'!H15*$B14</f>
        <v>36.271403639999996</v>
      </c>
      <c r="K20" s="69">
        <f>'AEO 2026 Table 4'!I15*$B14</f>
        <v>36.719121800000003</v>
      </c>
      <c r="L20" s="69">
        <f>'AEO 2026 Table 4'!J15*$B14</f>
        <v>37.16875434</v>
      </c>
      <c r="M20" s="69">
        <f>'AEO 2026 Table 4'!K15*$B14</f>
        <v>37.608070720000001</v>
      </c>
      <c r="N20" s="69">
        <f>'AEO 2026 Table 4'!L15*$B14</f>
        <v>38.03165018</v>
      </c>
      <c r="O20" s="69">
        <f>'AEO 2026 Table 4'!M15*$B14</f>
        <v>38.44357222</v>
      </c>
      <c r="P20" s="69">
        <f>'AEO 2026 Table 4'!N15*$B14</f>
        <v>38.844278619999997</v>
      </c>
      <c r="Q20" s="69">
        <f>'AEO 2026 Table 4'!O15*$B14</f>
        <v>39.20085478</v>
      </c>
      <c r="R20" s="69">
        <f>'AEO 2026 Table 4'!P15*$B14</f>
        <v>39.531867399999996</v>
      </c>
      <c r="S20" s="69">
        <f>'AEO 2026 Table 4'!Q15*$B14</f>
        <v>39.840269640000002</v>
      </c>
      <c r="T20" s="69">
        <f>'AEO 2026 Table 4'!R15*$B14</f>
        <v>40.1301609</v>
      </c>
      <c r="U20" s="69">
        <f>'AEO 2026 Table 4'!S15*$B14</f>
        <v>40.398416879999999</v>
      </c>
      <c r="V20" s="69">
        <f>'AEO 2026 Table 4'!T15*$B14</f>
        <v>40.649690200000002</v>
      </c>
      <c r="W20" s="69">
        <f>'AEO 2026 Table 4'!U15*$B14</f>
        <v>40.894356720000005</v>
      </c>
      <c r="X20" s="69">
        <f>'AEO 2026 Table 4'!V15*$B14</f>
        <v>41.140917719999997</v>
      </c>
      <c r="Y20" s="69">
        <f>'AEO 2026 Table 4'!W15*$B14</f>
        <v>41.389022960000005</v>
      </c>
      <c r="Z20" s="69">
        <f>'AEO 2026 Table 4'!X15*$B14</f>
        <v>41.637641620000004</v>
      </c>
      <c r="AA20" s="69">
        <f>'AEO 2026 Table 4'!Y15*$B14</f>
        <v>41.884620519999999</v>
      </c>
      <c r="AB20" s="69">
        <f>'AEO 2026 Table 4'!Z15*$B14</f>
        <v>42.13102232</v>
      </c>
      <c r="AC20" s="69">
        <f>'AEO 2026 Table 4'!AA15*$B14</f>
        <v>42.377280839999997</v>
      </c>
      <c r="AD20" s="69">
        <f>'AEO 2026 Table 4'!AB15*$B14</f>
        <v>42.624434860000001</v>
      </c>
      <c r="AE20" s="12"/>
      <c r="AF20" s="12"/>
    </row>
    <row r="21" spans="1:32" x14ac:dyDescent="0.45">
      <c r="A21" t="s">
        <v>853</v>
      </c>
      <c r="B21" s="69">
        <f>'AEO23 Table 4'!C19*$B15</f>
        <v>6.4223312159999999</v>
      </c>
      <c r="C21" s="69">
        <f>'AEO23 Table 4'!D19*$B15</f>
        <v>6.4281842100000004</v>
      </c>
      <c r="D21" s="69">
        <f>'AEO 2025 Table 4'!F10*$B15</f>
        <v>6.5262013319999994</v>
      </c>
      <c r="E21" s="69">
        <f>'AEO 2026 Table 4'!C16*$B15</f>
        <v>6.5157617700000001</v>
      </c>
      <c r="F21" s="69">
        <f>'AEO 2026 Table 4'!D16*$B15</f>
        <v>6.5296021350000002</v>
      </c>
      <c r="G21" s="69">
        <f>'AEO 2026 Table 4'!E16*$B15</f>
        <v>6.5755533059999998</v>
      </c>
      <c r="H21" s="69">
        <f>'AEO 2026 Table 4'!F16*$B15</f>
        <v>6.6249873899999994</v>
      </c>
      <c r="I21" s="69">
        <f>'AEO 2026 Table 4'!G16*$B15</f>
        <v>6.668984826</v>
      </c>
      <c r="J21" s="69">
        <f>'AEO 2026 Table 4'!H16*$B15</f>
        <v>6.6779715240000002</v>
      </c>
      <c r="K21" s="69">
        <f>'AEO 2026 Table 4'!I16*$B15</f>
        <v>6.6799759739999995</v>
      </c>
      <c r="L21" s="69">
        <f>'AEO 2026 Table 4'!J16*$B15</f>
        <v>6.6830314319999999</v>
      </c>
      <c r="M21" s="69">
        <f>'AEO 2026 Table 4'!K16*$B15</f>
        <v>6.6857700419999997</v>
      </c>
      <c r="N21" s="69">
        <f>'AEO 2026 Table 4'!L16*$B15</f>
        <v>6.6880174409999995</v>
      </c>
      <c r="O21" s="69">
        <f>'AEO 2026 Table 4'!M16*$B15</f>
        <v>6.6914781359999997</v>
      </c>
      <c r="P21" s="69">
        <f>'AEO 2026 Table 4'!N16*$B15</f>
        <v>6.6956898960000002</v>
      </c>
      <c r="Q21" s="69">
        <f>'AEO 2026 Table 4'!O16*$B15</f>
        <v>6.6972770339999999</v>
      </c>
      <c r="R21" s="69">
        <f>'AEO 2026 Table 4'!P16*$B15</f>
        <v>6.6970316699999994</v>
      </c>
      <c r="S21" s="69">
        <f>'AEO 2026 Table 4'!Q16*$B15</f>
        <v>6.6920722259999996</v>
      </c>
      <c r="T21" s="69">
        <f>'AEO 2026 Table 4'!R16*$B15</f>
        <v>6.6887472539999999</v>
      </c>
      <c r="U21" s="69">
        <f>'AEO 2026 Table 4'!S16*$B15</f>
        <v>6.6873117779999998</v>
      </c>
      <c r="V21" s="69">
        <f>'AEO 2026 Table 4'!T16*$B15</f>
        <v>6.686416296</v>
      </c>
      <c r="W21" s="69">
        <f>'AEO 2026 Table 4'!U16*$B15</f>
        <v>6.6867379739999997</v>
      </c>
      <c r="X21" s="69">
        <f>'AEO 2026 Table 4'!V16*$B15</f>
        <v>6.6894311819999999</v>
      </c>
      <c r="Y21" s="69">
        <f>'AEO 2026 Table 4'!W16*$B15</f>
        <v>6.693980075999999</v>
      </c>
      <c r="Z21" s="69">
        <f>'AEO 2026 Table 4'!X16*$B15</f>
        <v>6.6986342639999998</v>
      </c>
      <c r="AA21" s="69">
        <f>'AEO 2026 Table 4'!Y16*$B15</f>
        <v>6.7033922969999997</v>
      </c>
      <c r="AB21" s="69">
        <f>'AEO 2026 Table 4'!Z16*$B15</f>
        <v>6.7069558709999999</v>
      </c>
      <c r="AC21" s="69">
        <f>'AEO 2026 Table 4'!AA16*$B15</f>
        <v>6.7103407349999999</v>
      </c>
      <c r="AD21" s="69">
        <f>'AEO 2026 Table 4'!AB16*$B15</f>
        <v>6.7139811059999994</v>
      </c>
      <c r="AE21" s="12"/>
      <c r="AF21" s="12"/>
    </row>
    <row r="23" spans="1:32" x14ac:dyDescent="0.45">
      <c r="A23" s="1" t="s">
        <v>855</v>
      </c>
      <c r="D23" s="12"/>
    </row>
    <row r="24" spans="1:32" x14ac:dyDescent="0.45">
      <c r="B24">
        <v>2022</v>
      </c>
      <c r="C24">
        <v>2023</v>
      </c>
      <c r="D24">
        <v>2024</v>
      </c>
      <c r="E24">
        <v>2025</v>
      </c>
      <c r="F24">
        <v>2026</v>
      </c>
      <c r="G24">
        <v>2027</v>
      </c>
      <c r="H24">
        <v>2028</v>
      </c>
      <c r="I24">
        <v>2029</v>
      </c>
      <c r="J24">
        <v>2030</v>
      </c>
      <c r="K24">
        <v>2031</v>
      </c>
      <c r="L24">
        <v>2032</v>
      </c>
      <c r="M24">
        <v>2033</v>
      </c>
      <c r="N24">
        <v>2034</v>
      </c>
      <c r="O24">
        <v>2035</v>
      </c>
      <c r="P24">
        <v>2036</v>
      </c>
      <c r="Q24">
        <v>2037</v>
      </c>
      <c r="R24">
        <v>2038</v>
      </c>
      <c r="S24">
        <v>2039</v>
      </c>
      <c r="T24">
        <v>2040</v>
      </c>
      <c r="U24">
        <v>2041</v>
      </c>
      <c r="V24">
        <v>2042</v>
      </c>
      <c r="W24">
        <v>2043</v>
      </c>
      <c r="X24">
        <v>2044</v>
      </c>
      <c r="Y24">
        <v>2045</v>
      </c>
      <c r="Z24">
        <v>2046</v>
      </c>
      <c r="AA24">
        <v>2047</v>
      </c>
      <c r="AB24">
        <v>2048</v>
      </c>
      <c r="AC24">
        <v>2049</v>
      </c>
      <c r="AD24">
        <v>2050</v>
      </c>
    </row>
    <row r="25" spans="1:32" x14ac:dyDescent="0.45">
      <c r="A25" t="s">
        <v>851</v>
      </c>
      <c r="B25" s="69">
        <f>'AEO23 Table 4'!C17-B19</f>
        <v>0.26077276499999869</v>
      </c>
      <c r="C25" s="69">
        <f>'AEO23 Table 4'!D17-C19</f>
        <v>0.26324583299999915</v>
      </c>
      <c r="D25" s="69">
        <f>'AEO 2025 Table 4'!F8-D19</f>
        <v>0.26582923200000153</v>
      </c>
      <c r="E25" s="69">
        <f>'AEO 2026 Table 4'!C14-E19</f>
        <v>0.26865542400000209</v>
      </c>
      <c r="F25" s="69">
        <f>'AEO 2026 Table 4'!D14-F19</f>
        <v>0.27149796000000492</v>
      </c>
      <c r="G25" s="69">
        <f>'AEO 2026 Table 4'!E14-G19</f>
        <v>0.27433785600000249</v>
      </c>
      <c r="H25" s="69">
        <f>'AEO 2026 Table 4'!F14-H19</f>
        <v>0.27712658400000123</v>
      </c>
      <c r="I25" s="69">
        <f>'AEO 2026 Table 4'!G14-I19</f>
        <v>0.27992498400000443</v>
      </c>
      <c r="J25" s="69">
        <f>'AEO 2026 Table 4'!H14-J19</f>
        <v>0.2827293600000047</v>
      </c>
      <c r="K25" s="69">
        <f>'AEO 2026 Table 4'!I14-K19</f>
        <v>0.28547462400000256</v>
      </c>
      <c r="L25" s="69">
        <f>'AEO 2026 Table 4'!J14-L19</f>
        <v>0.28821472799999981</v>
      </c>
      <c r="M25" s="69">
        <f>'AEO 2026 Table 4'!K14-M19</f>
        <v>0.2909210880000046</v>
      </c>
      <c r="N25" s="69">
        <f>'AEO 2026 Table 4'!L14-N19</f>
        <v>0.29355984000000035</v>
      </c>
      <c r="O25" s="69">
        <f>'AEO 2026 Table 4'!M14-O19</f>
        <v>0.29614931999999783</v>
      </c>
      <c r="P25" s="69">
        <f>'AEO 2026 Table 4'!N14-P19</f>
        <v>0.29866699199999402</v>
      </c>
      <c r="Q25" s="69">
        <f>'AEO 2026 Table 4'!O14-Q19</f>
        <v>0.30113880000000393</v>
      </c>
      <c r="R25" s="69">
        <f>'AEO 2026 Table 4'!P14-R19</f>
        <v>0.3035393039999974</v>
      </c>
      <c r="S25" s="69">
        <f>'AEO 2026 Table 4'!Q14-S19</f>
        <v>0.30584560799999849</v>
      </c>
      <c r="T25" s="69">
        <f>'AEO 2026 Table 4'!R14-T19</f>
        <v>0.30806911199999831</v>
      </c>
      <c r="U25" s="69">
        <f>'AEO 2026 Table 4'!S14-U19</f>
        <v>0.3102007680000014</v>
      </c>
      <c r="V25" s="69">
        <f>'AEO 2026 Table 4'!T14-V19</f>
        <v>0.31228171200000077</v>
      </c>
      <c r="W25" s="69">
        <f>'AEO 2026 Table 4'!U14-W19</f>
        <v>0.31428307199999495</v>
      </c>
      <c r="X25" s="69">
        <f>'AEO 2026 Table 4'!V14-X19</f>
        <v>0.31621454400000459</v>
      </c>
      <c r="Y25" s="69">
        <f>'AEO 2026 Table 4'!W14-Y19</f>
        <v>0.31814836799999568</v>
      </c>
      <c r="Z25" s="69">
        <f>'AEO 2026 Table 4'!X14-Z19</f>
        <v>0.32009524800000122</v>
      </c>
      <c r="AA25" s="69">
        <f>'AEO 2026 Table 4'!Y14-AA19</f>
        <v>0.32203595999999379</v>
      </c>
      <c r="AB25" s="69">
        <f>'AEO 2026 Table 4'!Z14-AB19</f>
        <v>0.32397312000000511</v>
      </c>
      <c r="AC25" s="69">
        <f>'AEO 2026 Table 4'!AA14-AC19</f>
        <v>0.32590792800000656</v>
      </c>
      <c r="AD25" s="69">
        <f>'AEO 2026 Table 4'!AB14-AD19</f>
        <v>0.3278514480000041</v>
      </c>
      <c r="AE25" s="12"/>
      <c r="AF25" s="12"/>
    </row>
    <row r="26" spans="1:32" x14ac:dyDescent="0.45">
      <c r="A26" t="s">
        <v>852</v>
      </c>
      <c r="B26" s="69">
        <f>'AEO23 Table 4'!C18-B20</f>
        <v>0.16421076000000312</v>
      </c>
      <c r="C26" s="69">
        <f>'AEO23 Table 4'!D18-C20</f>
        <v>0.16604614500000281</v>
      </c>
      <c r="D26" s="69">
        <f>'AEO 2025 Table 4'!F9-D20</f>
        <v>0.17008956000000097</v>
      </c>
      <c r="E26" s="69">
        <f>'AEO 2026 Table 4'!C15-E20</f>
        <v>0.17216155999999927</v>
      </c>
      <c r="F26" s="69">
        <f>'AEO 2026 Table 4'!D15-F20</f>
        <v>0.17418333999999902</v>
      </c>
      <c r="G26" s="69">
        <f>'AEO 2026 Table 4'!E15-G20</f>
        <v>0.17621395999999834</v>
      </c>
      <c r="H26" s="69">
        <f>'AEO 2026 Table 4'!F15-H20</f>
        <v>0.17819552000000272</v>
      </c>
      <c r="I26" s="69">
        <f>'AEO 2026 Table 4'!G15-I20</f>
        <v>0.18018597999999741</v>
      </c>
      <c r="J26" s="69">
        <f>'AEO 2026 Table 4'!H15-J20</f>
        <v>0.18226836000000191</v>
      </c>
      <c r="K26" s="69">
        <f>'AEO 2026 Table 4'!I15-K20</f>
        <v>0.18451819999999941</v>
      </c>
      <c r="L26" s="69">
        <f>'AEO 2026 Table 4'!J15-L20</f>
        <v>0.18677765999999707</v>
      </c>
      <c r="M26" s="69">
        <f>'AEO 2026 Table 4'!K15-M20</f>
        <v>0.18898527999999715</v>
      </c>
      <c r="N26" s="69">
        <f>'AEO 2026 Table 4'!L15-N20</f>
        <v>0.19111381999999821</v>
      </c>
      <c r="O26" s="69">
        <f>'AEO 2026 Table 4'!M15-O20</f>
        <v>0.19318377999999825</v>
      </c>
      <c r="P26" s="69">
        <f>'AEO 2026 Table 4'!N15-P20</f>
        <v>0.19519738000000331</v>
      </c>
      <c r="Q26" s="69">
        <f>'AEO 2026 Table 4'!O15-Q20</f>
        <v>0.19698921999999897</v>
      </c>
      <c r="R26" s="69">
        <f>'AEO 2026 Table 4'!P15-R20</f>
        <v>0.19865260000000262</v>
      </c>
      <c r="S26" s="69">
        <f>'AEO 2026 Table 4'!Q15-S20</f>
        <v>0.20020235999999869</v>
      </c>
      <c r="T26" s="69">
        <f>'AEO 2026 Table 4'!R15-T20</f>
        <v>0.20165910000000054</v>
      </c>
      <c r="U26" s="69">
        <f>'AEO 2026 Table 4'!S15-U20</f>
        <v>0.20300712000000232</v>
      </c>
      <c r="V26" s="69">
        <f>'AEO 2026 Table 4'!T15-V20</f>
        <v>0.20426979999999872</v>
      </c>
      <c r="W26" s="69">
        <f>'AEO 2026 Table 4'!U15-W20</f>
        <v>0.20549927999999795</v>
      </c>
      <c r="X26" s="69">
        <f>'AEO 2026 Table 4'!V15-X20</f>
        <v>0.20673828000000327</v>
      </c>
      <c r="Y26" s="69">
        <f>'AEO 2026 Table 4'!W15-Y20</f>
        <v>0.20798503999999696</v>
      </c>
      <c r="Z26" s="69">
        <f>'AEO 2026 Table 4'!X15-Z20</f>
        <v>0.20923437999999805</v>
      </c>
      <c r="AA26" s="69">
        <f>'AEO 2026 Table 4'!Y15-AA20</f>
        <v>0.21047547999999949</v>
      </c>
      <c r="AB26" s="69">
        <f>'AEO 2026 Table 4'!Z15-AB20</f>
        <v>0.21171368000000257</v>
      </c>
      <c r="AC26" s="69">
        <f>'AEO 2026 Table 4'!AA15-AC20</f>
        <v>0.21295116000000291</v>
      </c>
      <c r="AD26" s="69">
        <f>'AEO 2026 Table 4'!AB15-AD20</f>
        <v>0.214193139999999</v>
      </c>
      <c r="AE26" s="12"/>
      <c r="AF26" s="12"/>
    </row>
    <row r="27" spans="1:32" x14ac:dyDescent="0.45">
      <c r="A27" t="s">
        <v>853</v>
      </c>
      <c r="B27" s="69">
        <f>'AEO23 Table 4'!C19-B21</f>
        <v>0.22604478399999994</v>
      </c>
      <c r="C27" s="69">
        <f>'AEO23 Table 4'!D19-C21</f>
        <v>0.22625078999999992</v>
      </c>
      <c r="D27" s="69">
        <f>'AEO23 Table 4'!E19-D21</f>
        <v>0.13154566800000023</v>
      </c>
      <c r="E27" s="69">
        <f>'AEO 2026 Table 4'!C16-E21</f>
        <v>0.22933322999999994</v>
      </c>
      <c r="F27" s="69">
        <f>'AEO 2026 Table 4'!D16-F21</f>
        <v>0.22982036500000014</v>
      </c>
      <c r="G27" s="69">
        <f>'AEO 2026 Table 4'!E16-G21</f>
        <v>0.23143769400000025</v>
      </c>
      <c r="H27" s="69">
        <f>'AEO 2026 Table 4'!F16-H21</f>
        <v>0.23317761000000026</v>
      </c>
      <c r="I27" s="69">
        <f>'AEO 2026 Table 4'!G16-I21</f>
        <v>0.2347261740000004</v>
      </c>
      <c r="J27" s="69">
        <f>'AEO 2026 Table 4'!H16-J21</f>
        <v>0.23504247600000028</v>
      </c>
      <c r="K27" s="69">
        <f>'AEO 2026 Table 4'!I16-K21</f>
        <v>0.2351130260000005</v>
      </c>
      <c r="L27" s="69">
        <f>'AEO 2026 Table 4'!J16-L21</f>
        <v>0.23522056799999991</v>
      </c>
      <c r="M27" s="69">
        <f>'AEO 2026 Table 4'!K16-M21</f>
        <v>0.2353169580000003</v>
      </c>
      <c r="N27" s="69">
        <f>'AEO 2026 Table 4'!L16-N21</f>
        <v>0.23539605900000016</v>
      </c>
      <c r="O27" s="69">
        <f>'AEO 2026 Table 4'!M16-O21</f>
        <v>0.23551786400000019</v>
      </c>
      <c r="P27" s="69">
        <f>'AEO 2026 Table 4'!N16-P21</f>
        <v>0.23566610399999988</v>
      </c>
      <c r="Q27" s="69">
        <f>'AEO 2026 Table 4'!O16-Q21</f>
        <v>0.23572196599999984</v>
      </c>
      <c r="R27" s="69">
        <f>'AEO 2026 Table 4'!P16-R21</f>
        <v>0.23571333000000028</v>
      </c>
      <c r="S27" s="69">
        <f>'AEO 2026 Table 4'!Q16-S21</f>
        <v>0.23553877400000012</v>
      </c>
      <c r="T27" s="69">
        <f>'AEO 2026 Table 4'!R16-T21</f>
        <v>0.2354217460000001</v>
      </c>
      <c r="U27" s="69">
        <f>'AEO 2026 Table 4'!S16-U21</f>
        <v>0.23537122200000038</v>
      </c>
      <c r="V27" s="69">
        <f>'AEO 2026 Table 4'!T16-V21</f>
        <v>0.23533970400000026</v>
      </c>
      <c r="W27" s="69">
        <f>'AEO 2026 Table 4'!U16-W21</f>
        <v>0.23535102600000002</v>
      </c>
      <c r="X27" s="69">
        <f>'AEO 2026 Table 4'!V16-X21</f>
        <v>0.23544581800000053</v>
      </c>
      <c r="Y27" s="69">
        <f>'AEO 2026 Table 4'!W16-Y21</f>
        <v>0.23560592400000058</v>
      </c>
      <c r="Z27" s="69">
        <f>'AEO 2026 Table 4'!X16-Z21</f>
        <v>0.23576973599999995</v>
      </c>
      <c r="AA27" s="69">
        <f>'AEO 2026 Table 4'!Y16-AA21</f>
        <v>0.23593720300000065</v>
      </c>
      <c r="AB27" s="69">
        <f>'AEO 2026 Table 4'!Z16-AB21</f>
        <v>0.23606262900000008</v>
      </c>
      <c r="AC27" s="69">
        <f>'AEO 2026 Table 4'!AA16-AC21</f>
        <v>0.23618176500000043</v>
      </c>
      <c r="AD27" s="69">
        <f>'AEO 2026 Table 4'!AB16-AD21</f>
        <v>0.23630989400000058</v>
      </c>
      <c r="AE27" s="12"/>
      <c r="AF27" s="12"/>
    </row>
    <row r="29" spans="1:32" x14ac:dyDescent="0.45">
      <c r="A29" s="1" t="s">
        <v>856</v>
      </c>
    </row>
    <row r="30" spans="1:32" x14ac:dyDescent="0.45">
      <c r="B30">
        <v>2022</v>
      </c>
      <c r="C30">
        <v>2023</v>
      </c>
      <c r="D30">
        <v>2024</v>
      </c>
      <c r="E30">
        <v>2025</v>
      </c>
      <c r="F30">
        <v>2026</v>
      </c>
      <c r="G30">
        <v>2027</v>
      </c>
      <c r="H30">
        <v>2028</v>
      </c>
      <c r="I30">
        <v>2029</v>
      </c>
      <c r="J30">
        <v>2030</v>
      </c>
      <c r="K30">
        <v>2031</v>
      </c>
      <c r="L30">
        <v>2032</v>
      </c>
      <c r="M30">
        <v>2033</v>
      </c>
      <c r="N30">
        <v>2034</v>
      </c>
      <c r="O30">
        <v>2035</v>
      </c>
      <c r="P30">
        <v>2036</v>
      </c>
      <c r="Q30">
        <v>2037</v>
      </c>
      <c r="R30">
        <v>2038</v>
      </c>
      <c r="S30">
        <v>2039</v>
      </c>
      <c r="T30">
        <v>2040</v>
      </c>
      <c r="U30">
        <v>2041</v>
      </c>
      <c r="V30">
        <v>2042</v>
      </c>
      <c r="W30">
        <v>2043</v>
      </c>
      <c r="X30">
        <v>2044</v>
      </c>
      <c r="Y30">
        <v>2045</v>
      </c>
      <c r="Z30">
        <v>2046</v>
      </c>
      <c r="AA30">
        <v>2047</v>
      </c>
      <c r="AB30">
        <v>2048</v>
      </c>
      <c r="AC30">
        <v>2049</v>
      </c>
      <c r="AD30">
        <v>2050</v>
      </c>
    </row>
    <row r="31" spans="1:32" x14ac:dyDescent="0.45">
      <c r="A31" t="s">
        <v>851</v>
      </c>
      <c r="B31" s="7">
        <f t="shared" ref="B31:AD31" si="0">B25/B19</f>
        <v>3.0090270812437158E-3</v>
      </c>
      <c r="C31" s="7">
        <f t="shared" si="0"/>
        <v>3.0090270812437214E-3</v>
      </c>
      <c r="D31" s="7">
        <f t="shared" si="0"/>
        <v>3.0090270812437483E-3</v>
      </c>
      <c r="E31" s="7">
        <f t="shared" si="0"/>
        <v>3.0090270812437548E-3</v>
      </c>
      <c r="F31" s="7">
        <f t="shared" si="0"/>
        <v>3.0090270812437861E-3</v>
      </c>
      <c r="G31" s="7">
        <f t="shared" si="0"/>
        <v>3.0090270812437583E-3</v>
      </c>
      <c r="H31" s="7">
        <f t="shared" si="0"/>
        <v>3.0090270812437444E-3</v>
      </c>
      <c r="I31" s="7">
        <f t="shared" si="0"/>
        <v>3.0090270812437787E-3</v>
      </c>
      <c r="J31" s="7">
        <f t="shared" si="0"/>
        <v>3.0090270812437813E-3</v>
      </c>
      <c r="K31" s="7">
        <f t="shared" si="0"/>
        <v>3.0090270812437583E-3</v>
      </c>
      <c r="L31" s="7">
        <f t="shared" si="0"/>
        <v>3.0090270812437292E-3</v>
      </c>
      <c r="M31" s="7">
        <f t="shared" si="0"/>
        <v>3.0090270812437787E-3</v>
      </c>
      <c r="N31" s="7">
        <f t="shared" si="0"/>
        <v>3.0090270812437349E-3</v>
      </c>
      <c r="O31" s="7">
        <f t="shared" si="0"/>
        <v>3.0090270812437089E-3</v>
      </c>
      <c r="P31" s="7">
        <f t="shared" si="0"/>
        <v>3.0090270812436711E-3</v>
      </c>
      <c r="Q31" s="7">
        <f t="shared" si="0"/>
        <v>3.0090270812437704E-3</v>
      </c>
      <c r="R31" s="7">
        <f t="shared" si="0"/>
        <v>3.0090270812437054E-3</v>
      </c>
      <c r="S31" s="7">
        <f t="shared" si="0"/>
        <v>3.0090270812437162E-3</v>
      </c>
      <c r="T31" s="7">
        <f t="shared" si="0"/>
        <v>3.0090270812437145E-3</v>
      </c>
      <c r="U31" s="7">
        <f t="shared" si="0"/>
        <v>3.0090270812437449E-3</v>
      </c>
      <c r="V31" s="7">
        <f t="shared" si="0"/>
        <v>3.0090270812437388E-3</v>
      </c>
      <c r="W31" s="7">
        <f t="shared" si="0"/>
        <v>3.0090270812436824E-3</v>
      </c>
      <c r="X31" s="7">
        <f t="shared" si="0"/>
        <v>3.0090270812437752E-3</v>
      </c>
      <c r="Y31" s="7">
        <f t="shared" si="0"/>
        <v>3.0090270812436902E-3</v>
      </c>
      <c r="Z31" s="7">
        <f t="shared" si="0"/>
        <v>3.0090270812437427E-3</v>
      </c>
      <c r="AA31" s="7">
        <f t="shared" si="0"/>
        <v>3.0090270812436729E-3</v>
      </c>
      <c r="AB31" s="7">
        <f t="shared" si="0"/>
        <v>3.0090270812437787E-3</v>
      </c>
      <c r="AC31" s="7">
        <f t="shared" si="0"/>
        <v>3.0090270812437921E-3</v>
      </c>
      <c r="AD31" s="7">
        <f t="shared" si="0"/>
        <v>3.0090270812437687E-3</v>
      </c>
      <c r="AE31" s="7"/>
      <c r="AF31" s="7"/>
    </row>
    <row r="32" spans="1:32" x14ac:dyDescent="0.45">
      <c r="A32" t="s">
        <v>852</v>
      </c>
      <c r="B32" s="7">
        <f t="shared" ref="B32:AD32" si="1">B26/B20</f>
        <v>5.0251256281407999E-3</v>
      </c>
      <c r="C32" s="7">
        <f t="shared" si="1"/>
        <v>5.0251256281407886E-3</v>
      </c>
      <c r="D32" s="7">
        <f t="shared" si="1"/>
        <v>5.0251256281407322E-3</v>
      </c>
      <c r="E32" s="7">
        <f t="shared" si="1"/>
        <v>5.0251256281406819E-3</v>
      </c>
      <c r="F32" s="7">
        <f t="shared" si="1"/>
        <v>5.025125628140675E-3</v>
      </c>
      <c r="G32" s="7">
        <f t="shared" si="1"/>
        <v>5.0251256281406559E-3</v>
      </c>
      <c r="H32" s="7">
        <f t="shared" si="1"/>
        <v>5.0251256281407799E-3</v>
      </c>
      <c r="I32" s="7">
        <f t="shared" si="1"/>
        <v>5.0251256281406307E-3</v>
      </c>
      <c r="J32" s="7">
        <f t="shared" si="1"/>
        <v>5.0251256281407565E-3</v>
      </c>
      <c r="K32" s="7">
        <f t="shared" si="1"/>
        <v>5.0251256281406871E-3</v>
      </c>
      <c r="L32" s="7">
        <f t="shared" si="1"/>
        <v>5.0251256281406247E-3</v>
      </c>
      <c r="M32" s="7">
        <f t="shared" si="1"/>
        <v>5.0251256281406273E-3</v>
      </c>
      <c r="N32" s="7">
        <f t="shared" si="1"/>
        <v>5.0251256281406568E-3</v>
      </c>
      <c r="O32" s="7">
        <f t="shared" si="1"/>
        <v>5.0251256281406576E-3</v>
      </c>
      <c r="P32" s="7">
        <f t="shared" si="1"/>
        <v>5.0251256281407886E-3</v>
      </c>
      <c r="Q32" s="7">
        <f t="shared" si="1"/>
        <v>5.0251256281406767E-3</v>
      </c>
      <c r="R32" s="7">
        <f t="shared" si="1"/>
        <v>5.0251256281407704E-3</v>
      </c>
      <c r="S32" s="7">
        <f t="shared" si="1"/>
        <v>5.0251256281406706E-3</v>
      </c>
      <c r="T32" s="7">
        <f t="shared" si="1"/>
        <v>5.0251256281407166E-3</v>
      </c>
      <c r="U32" s="7">
        <f t="shared" si="1"/>
        <v>5.0251256281407608E-3</v>
      </c>
      <c r="V32" s="7">
        <f t="shared" si="1"/>
        <v>5.0251256281406715E-3</v>
      </c>
      <c r="W32" s="7">
        <f t="shared" si="1"/>
        <v>5.0251256281406533E-3</v>
      </c>
      <c r="X32" s="7">
        <f t="shared" si="1"/>
        <v>5.0251256281407834E-3</v>
      </c>
      <c r="Y32" s="7">
        <f t="shared" si="1"/>
        <v>5.025125628140629E-3</v>
      </c>
      <c r="Z32" s="7">
        <f t="shared" si="1"/>
        <v>5.0251256281406568E-3</v>
      </c>
      <c r="AA32" s="7">
        <f t="shared" si="1"/>
        <v>5.0251256281406914E-3</v>
      </c>
      <c r="AB32" s="7">
        <f t="shared" si="1"/>
        <v>5.0251256281407643E-3</v>
      </c>
      <c r="AC32" s="7">
        <f t="shared" si="1"/>
        <v>5.025125628140773E-3</v>
      </c>
      <c r="AD32" s="7">
        <f t="shared" si="1"/>
        <v>5.0251256281406802E-3</v>
      </c>
      <c r="AE32" s="7"/>
      <c r="AF32" s="7"/>
    </row>
    <row r="33" spans="1:32" x14ac:dyDescent="0.45">
      <c r="A33" t="s">
        <v>853</v>
      </c>
      <c r="B33" s="7">
        <f t="shared" ref="B33:AD33" si="2">B27/B21</f>
        <v>3.5196687370600409E-2</v>
      </c>
      <c r="C33" s="7">
        <f t="shared" si="2"/>
        <v>3.5196687370600402E-2</v>
      </c>
      <c r="D33" s="7">
        <f t="shared" si="2"/>
        <v>2.015654456674372E-2</v>
      </c>
      <c r="E33" s="7">
        <f t="shared" si="2"/>
        <v>3.5196687370600402E-2</v>
      </c>
      <c r="F33" s="7">
        <f t="shared" si="2"/>
        <v>3.5196687370600437E-2</v>
      </c>
      <c r="G33" s="7">
        <f t="shared" si="2"/>
        <v>3.519668737060045E-2</v>
      </c>
      <c r="H33" s="7">
        <f t="shared" si="2"/>
        <v>3.5196687370600457E-2</v>
      </c>
      <c r="I33" s="7">
        <f t="shared" si="2"/>
        <v>3.5196687370600471E-2</v>
      </c>
      <c r="J33" s="7">
        <f t="shared" si="2"/>
        <v>3.5196687370600457E-2</v>
      </c>
      <c r="K33" s="7">
        <f t="shared" si="2"/>
        <v>3.5196687370600492E-2</v>
      </c>
      <c r="L33" s="7">
        <f t="shared" si="2"/>
        <v>3.5196687370600402E-2</v>
      </c>
      <c r="M33" s="7">
        <f t="shared" si="2"/>
        <v>3.5196687370600457E-2</v>
      </c>
      <c r="N33" s="7">
        <f t="shared" si="2"/>
        <v>3.5196687370600444E-2</v>
      </c>
      <c r="O33" s="7">
        <f t="shared" si="2"/>
        <v>3.5196687370600444E-2</v>
      </c>
      <c r="P33" s="7">
        <f t="shared" si="2"/>
        <v>3.5196687370600395E-2</v>
      </c>
      <c r="Q33" s="7">
        <f t="shared" si="2"/>
        <v>3.5196687370600388E-2</v>
      </c>
      <c r="R33" s="7">
        <f t="shared" si="2"/>
        <v>3.5196687370600457E-2</v>
      </c>
      <c r="S33" s="7">
        <f t="shared" si="2"/>
        <v>3.5196687370600437E-2</v>
      </c>
      <c r="T33" s="7">
        <f t="shared" si="2"/>
        <v>3.519668737060043E-2</v>
      </c>
      <c r="U33" s="7">
        <f t="shared" si="2"/>
        <v>3.5196687370600471E-2</v>
      </c>
      <c r="V33" s="7">
        <f t="shared" si="2"/>
        <v>3.519668737060045E-2</v>
      </c>
      <c r="W33" s="7">
        <f t="shared" si="2"/>
        <v>3.5196687370600416E-2</v>
      </c>
      <c r="X33" s="7">
        <f t="shared" si="2"/>
        <v>3.5196687370600492E-2</v>
      </c>
      <c r="Y33" s="7">
        <f t="shared" si="2"/>
        <v>3.5196687370600506E-2</v>
      </c>
      <c r="Z33" s="7">
        <f t="shared" si="2"/>
        <v>3.5196687370600409E-2</v>
      </c>
      <c r="AA33" s="7">
        <f t="shared" si="2"/>
        <v>3.5196687370600513E-2</v>
      </c>
      <c r="AB33" s="7">
        <f t="shared" si="2"/>
        <v>3.519668737060043E-2</v>
      </c>
      <c r="AC33" s="7">
        <f t="shared" si="2"/>
        <v>3.5196687370600478E-2</v>
      </c>
      <c r="AD33" s="7">
        <f t="shared" si="2"/>
        <v>3.5196687370600506E-2</v>
      </c>
      <c r="AE33" s="7"/>
      <c r="AF33" s="7"/>
    </row>
    <row r="34" spans="1:32" x14ac:dyDescent="0.45">
      <c r="C34" s="8"/>
    </row>
    <row r="35" spans="1:32" x14ac:dyDescent="0.45">
      <c r="A35" s="1" t="s">
        <v>857</v>
      </c>
    </row>
    <row r="36" spans="1:32" x14ac:dyDescent="0.45">
      <c r="A36" t="s">
        <v>851</v>
      </c>
      <c r="B36" s="9">
        <f>AVERAGE(B31:AD31)</f>
        <v>3.0090270812437405E-3</v>
      </c>
    </row>
    <row r="37" spans="1:32" x14ac:dyDescent="0.45">
      <c r="A37" t="s">
        <v>852</v>
      </c>
      <c r="B37" s="9">
        <f>AVERAGE(B32:AD32)</f>
        <v>5.0251256281407045E-3</v>
      </c>
    </row>
    <row r="38" spans="1:32" x14ac:dyDescent="0.45">
      <c r="A38" t="s">
        <v>853</v>
      </c>
      <c r="B38" s="9">
        <f>AVERAGE(B33:AD33)</f>
        <v>3.4678061756674351E-2</v>
      </c>
    </row>
    <row r="40" spans="1:32" x14ac:dyDescent="0.45">
      <c r="A40" s="1" t="s">
        <v>858</v>
      </c>
    </row>
    <row r="41" spans="1:32" x14ac:dyDescent="0.45">
      <c r="A41" t="s">
        <v>859</v>
      </c>
      <c r="B41" s="70">
        <f>SUMPRODUCT(B36:B38,'AEO23 Table 4'!C17:C19)/SUM('AEO23 Table 4'!C17:C19)</f>
        <v>5.1983332560086798E-3</v>
      </c>
    </row>
    <row r="44" spans="1:32" x14ac:dyDescent="0.45">
      <c r="A44" s="13" t="s">
        <v>860</v>
      </c>
      <c r="B44" s="14"/>
      <c r="C44" s="14"/>
    </row>
    <row r="46" spans="1:32" x14ac:dyDescent="0.45">
      <c r="A46" t="s">
        <v>861</v>
      </c>
    </row>
    <row r="47" spans="1:32" x14ac:dyDescent="0.45">
      <c r="A47" t="s">
        <v>862</v>
      </c>
    </row>
    <row r="48" spans="1:32" x14ac:dyDescent="0.45">
      <c r="A48" t="s">
        <v>863</v>
      </c>
    </row>
    <row r="50" spans="1:3" x14ac:dyDescent="0.45">
      <c r="A50" s="1" t="s">
        <v>864</v>
      </c>
    </row>
    <row r="51" spans="1:3" x14ac:dyDescent="0.45">
      <c r="A51" t="s">
        <v>865</v>
      </c>
      <c r="B51" s="7">
        <f>1-B5</f>
        <v>0.97564509356462159</v>
      </c>
    </row>
    <row r="52" spans="1:3" x14ac:dyDescent="0.45">
      <c r="A52" t="s">
        <v>866</v>
      </c>
      <c r="B52" s="9">
        <f>1-B41</f>
        <v>0.99480166674399129</v>
      </c>
    </row>
    <row r="54" spans="1:3" x14ac:dyDescent="0.45">
      <c r="A54" s="1" t="s">
        <v>25</v>
      </c>
    </row>
    <row r="55" spans="1:3" x14ac:dyDescent="0.45">
      <c r="A55" t="s">
        <v>4</v>
      </c>
      <c r="B55" s="4">
        <f>1/'Component Lifetimes'!B2</f>
        <v>5.2631578947368418E-2</v>
      </c>
    </row>
    <row r="56" spans="1:3" x14ac:dyDescent="0.45">
      <c r="A56" t="s">
        <v>5</v>
      </c>
      <c r="B56" s="4">
        <f>1/'Component Lifetimes'!B3</f>
        <v>6.3157894736842121E-2</v>
      </c>
    </row>
    <row r="57" spans="1:3" x14ac:dyDescent="0.45">
      <c r="A57" t="s">
        <v>7</v>
      </c>
      <c r="B57" s="4">
        <f>1/'Component Lifetimes'!B5</f>
        <v>0.1095</v>
      </c>
    </row>
    <row r="58" spans="1:3" x14ac:dyDescent="0.45">
      <c r="A58" t="s">
        <v>8</v>
      </c>
      <c r="B58" s="4">
        <f>1/'Component Lifetimes'!B6</f>
        <v>7.3891625615763568E-2</v>
      </c>
    </row>
    <row r="59" spans="1:3" x14ac:dyDescent="0.45">
      <c r="A59" t="s">
        <v>9</v>
      </c>
      <c r="B59" s="4">
        <f>1/'Component Lifetimes'!B7</f>
        <v>6.4935064935064929E-2</v>
      </c>
    </row>
    <row r="61" spans="1:3" x14ac:dyDescent="0.45">
      <c r="A61" s="1" t="s">
        <v>867</v>
      </c>
    </row>
    <row r="62" spans="1:3" x14ac:dyDescent="0.45">
      <c r="B62" t="s">
        <v>865</v>
      </c>
      <c r="C62" t="s">
        <v>866</v>
      </c>
    </row>
    <row r="63" spans="1:3" x14ac:dyDescent="0.45">
      <c r="A63" t="s">
        <v>4</v>
      </c>
      <c r="B63" s="11">
        <f>($B55*$B$51)+B$5</f>
        <v>7.5704648201937411E-2</v>
      </c>
      <c r="C63" s="11">
        <f>($B55*$B$52)+B$41</f>
        <v>5.7556315716218741E-2</v>
      </c>
    </row>
    <row r="64" spans="1:3" x14ac:dyDescent="0.45">
      <c r="A64" t="s">
        <v>5</v>
      </c>
      <c r="B64" s="11">
        <f>($B56*$B$51)+B$5</f>
        <v>8.5974596555249236E-2</v>
      </c>
      <c r="C64" s="11">
        <f>($B56*$B$52)+B$41</f>
        <v>6.802791220826078E-2</v>
      </c>
    </row>
    <row r="65" spans="1:3" x14ac:dyDescent="0.45">
      <c r="A65" t="s">
        <v>7</v>
      </c>
      <c r="B65" s="11">
        <f>($B57*$B$51)+B$5</f>
        <v>0.13118804418070443</v>
      </c>
      <c r="C65" s="11">
        <f>($B57*$B$52)+B$41</f>
        <v>0.11412911576447574</v>
      </c>
    </row>
    <row r="66" spans="1:3" x14ac:dyDescent="0.45">
      <c r="A66" t="s">
        <v>8</v>
      </c>
      <c r="B66" s="11">
        <f>($B58*$B$51)+B$5</f>
        <v>9.6446908422912023E-2</v>
      </c>
      <c r="C66" s="11">
        <f>($B58*$B$52)+B$41</f>
        <v>7.8705845576993283E-2</v>
      </c>
    </row>
    <row r="67" spans="1:3" x14ac:dyDescent="0.45">
      <c r="A67" t="s">
        <v>9</v>
      </c>
      <c r="B67" s="11">
        <f>($B59*$B$51)+B$5</f>
        <v>8.7708483939574589E-2</v>
      </c>
      <c r="C67" s="11">
        <f>($B59*$B$52)+B$41</f>
        <v>6.9795844083540587E-2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workbookViewId="0">
      <selection activeCell="B2" sqref="B2"/>
    </sheetView>
  </sheetViews>
  <sheetFormatPr defaultRowHeight="14.25" x14ac:dyDescent="0.45"/>
  <cols>
    <col min="1" max="1" width="23.73046875" customWidth="1"/>
    <col min="2" max="2" width="17.53125" customWidth="1"/>
    <col min="3" max="3" width="18.265625" customWidth="1"/>
    <col min="4" max="4" width="14.86328125" customWidth="1"/>
  </cols>
  <sheetData>
    <row r="1" spans="1:4" x14ac:dyDescent="0.45">
      <c r="B1" s="10" t="s">
        <v>1</v>
      </c>
      <c r="C1" s="10" t="s">
        <v>2</v>
      </c>
      <c r="D1" s="10" t="s">
        <v>3</v>
      </c>
    </row>
    <row r="2" spans="1:4" x14ac:dyDescent="0.45">
      <c r="A2" t="s">
        <v>4</v>
      </c>
      <c r="B2" s="4">
        <f>Calculations!C63</f>
        <v>5.7556315716218741E-2</v>
      </c>
      <c r="C2" s="4">
        <f>B2</f>
        <v>5.7556315716218741E-2</v>
      </c>
      <c r="D2" s="4">
        <f>Calculations!B63</f>
        <v>7.5704648201937411E-2</v>
      </c>
    </row>
    <row r="3" spans="1:4" x14ac:dyDescent="0.45">
      <c r="A3" t="s">
        <v>5</v>
      </c>
      <c r="B3" s="4">
        <f>Calculations!C64</f>
        <v>6.802791220826078E-2</v>
      </c>
      <c r="C3" s="4">
        <f>B3</f>
        <v>6.802791220826078E-2</v>
      </c>
      <c r="D3" s="4">
        <f>Calculations!B64</f>
        <v>8.5974596555249236E-2</v>
      </c>
    </row>
    <row r="4" spans="1:4" x14ac:dyDescent="0.45">
      <c r="A4" t="s">
        <v>6</v>
      </c>
      <c r="B4" s="5">
        <v>0</v>
      </c>
      <c r="C4" s="5">
        <v>0</v>
      </c>
      <c r="D4" s="5">
        <v>0</v>
      </c>
    </row>
    <row r="5" spans="1:4" x14ac:dyDescent="0.45">
      <c r="A5" t="s">
        <v>7</v>
      </c>
      <c r="B5" s="4">
        <f>Calculations!C65</f>
        <v>0.11412911576447574</v>
      </c>
      <c r="C5" s="4">
        <f>B5</f>
        <v>0.11412911576447574</v>
      </c>
      <c r="D5" s="4">
        <f>Calculations!B65</f>
        <v>0.13118804418070443</v>
      </c>
    </row>
    <row r="6" spans="1:4" x14ac:dyDescent="0.45">
      <c r="A6" t="s">
        <v>8</v>
      </c>
      <c r="B6" s="4">
        <f>Calculations!C66</f>
        <v>7.8705845576993283E-2</v>
      </c>
      <c r="C6" s="4">
        <f>B6</f>
        <v>7.8705845576993283E-2</v>
      </c>
      <c r="D6" s="4">
        <f>Calculations!B66</f>
        <v>9.6446908422912023E-2</v>
      </c>
    </row>
    <row r="7" spans="1:4" x14ac:dyDescent="0.45">
      <c r="A7" t="s">
        <v>9</v>
      </c>
      <c r="B7" s="4">
        <f>Calculations!C67</f>
        <v>6.9795844083540587E-2</v>
      </c>
      <c r="C7" s="4">
        <f>B7</f>
        <v>6.9795844083540587E-2</v>
      </c>
      <c r="D7" s="4">
        <f>Calculations!B67</f>
        <v>8.7708483939574589E-2</v>
      </c>
    </row>
    <row r="8" spans="1:4" x14ac:dyDescent="0.45">
      <c r="D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D8"/>
  <sheetViews>
    <sheetView workbookViewId="0">
      <selection activeCell="D2" sqref="D2"/>
    </sheetView>
  </sheetViews>
  <sheetFormatPr defaultRowHeight="14.25" x14ac:dyDescent="0.45"/>
  <cols>
    <col min="1" max="1" width="23.73046875" customWidth="1"/>
    <col min="2" max="2" width="17.53125" customWidth="1"/>
    <col min="3" max="3" width="18.265625" customWidth="1"/>
    <col min="4" max="4" width="14.86328125" customWidth="1"/>
  </cols>
  <sheetData>
    <row r="1" spans="1:4" ht="44.25" customHeight="1" x14ac:dyDescent="0.45">
      <c r="A1" s="18" t="s">
        <v>0</v>
      </c>
      <c r="B1" s="10" t="s">
        <v>1</v>
      </c>
      <c r="C1" s="10" t="s">
        <v>2</v>
      </c>
      <c r="D1" s="10" t="s">
        <v>3</v>
      </c>
    </row>
    <row r="2" spans="1:4" x14ac:dyDescent="0.45">
      <c r="A2" t="s">
        <v>4</v>
      </c>
      <c r="B2" s="17">
        <f>1/'Component Lifetimes'!B2</f>
        <v>5.2631578947368418E-2</v>
      </c>
      <c r="C2" s="4">
        <v>5.2999999999999999E-2</v>
      </c>
      <c r="D2" s="17">
        <f>1/'Component Lifetimes'!B2</f>
        <v>5.2631578947368418E-2</v>
      </c>
    </row>
    <row r="3" spans="1:4" x14ac:dyDescent="0.45">
      <c r="A3" t="s">
        <v>5</v>
      </c>
      <c r="B3" s="17">
        <f>1/'Component Lifetimes'!B3</f>
        <v>6.3157894736842121E-2</v>
      </c>
      <c r="C3" s="4">
        <f>B3</f>
        <v>6.3157894736842121E-2</v>
      </c>
      <c r="D3" s="17">
        <f>1/'Component Lifetimes'!B3</f>
        <v>6.3157894736842121E-2</v>
      </c>
    </row>
    <row r="4" spans="1:4" x14ac:dyDescent="0.45">
      <c r="A4" t="s">
        <v>6</v>
      </c>
      <c r="B4" s="5">
        <v>0</v>
      </c>
      <c r="C4" s="5">
        <v>0</v>
      </c>
      <c r="D4" s="5">
        <v>0</v>
      </c>
    </row>
    <row r="5" spans="1:4" x14ac:dyDescent="0.45">
      <c r="A5" t="s">
        <v>7</v>
      </c>
      <c r="B5" s="17">
        <f>1/'Component Lifetimes'!B5</f>
        <v>0.1095</v>
      </c>
      <c r="C5" s="4">
        <f>B5</f>
        <v>0.1095</v>
      </c>
      <c r="D5" s="17">
        <f>1/'Component Lifetimes'!B5</f>
        <v>0.1095</v>
      </c>
    </row>
    <row r="6" spans="1:4" x14ac:dyDescent="0.45">
      <c r="A6" t="s">
        <v>8</v>
      </c>
      <c r="B6" s="17">
        <v>7.0999999999999994E-2</v>
      </c>
      <c r="C6" s="4">
        <f>B6</f>
        <v>7.0999999999999994E-2</v>
      </c>
      <c r="D6" s="17">
        <f>B6</f>
        <v>7.0999999999999994E-2</v>
      </c>
    </row>
    <row r="7" spans="1:4" x14ac:dyDescent="0.45">
      <c r="A7" t="s">
        <v>9</v>
      </c>
      <c r="B7" s="17">
        <v>6.6000000000000003E-2</v>
      </c>
      <c r="C7" s="4">
        <f>B7</f>
        <v>6.6000000000000003E-2</v>
      </c>
      <c r="D7" s="17">
        <v>6.6000000000000003E-2</v>
      </c>
    </row>
    <row r="8" spans="1:4" x14ac:dyDescent="0.45">
      <c r="D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source data&gt;</vt:lpstr>
      <vt:lpstr>Component Lifetimes</vt:lpstr>
      <vt:lpstr>AEO23 Table 4</vt:lpstr>
      <vt:lpstr>AEO23 Table 5</vt:lpstr>
      <vt:lpstr>AEO 2025 Table 4</vt:lpstr>
      <vt:lpstr>AEO 2025 Table 5</vt:lpstr>
      <vt:lpstr>AEO 2026 Table 4</vt:lpstr>
      <vt:lpstr>AEO 2026 Table 5</vt:lpstr>
      <vt:lpstr>calcs&gt;</vt:lpstr>
      <vt:lpstr>Calculations</vt:lpstr>
      <vt:lpstr>Pre-Calibration Calculated Vals</vt:lpstr>
      <vt:lpstr>SoCEUtiNTY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2018-01-10T20:44:14Z</dcterms:created>
  <dcterms:modified xsi:type="dcterms:W3CDTF">2026-04-23T19:20:58Z</dcterms:modified>
</cp:coreProperties>
</file>