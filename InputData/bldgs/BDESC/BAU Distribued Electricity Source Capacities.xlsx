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DanOBrien\Models\EPS\US\eps-us\InputData\bldgs\BDESC\"/>
    </mc:Choice>
  </mc:AlternateContent>
  <xr:revisionPtr revIDLastSave="0" documentId="8_{E568A12B-05DA-4807-A2BF-B044209A26FE}" xr6:coauthVersionLast="47" xr6:coauthVersionMax="47" xr10:uidLastSave="{00000000-0000-0000-0000-000000000000}"/>
  <bookViews>
    <workbookView xWindow="-28920" yWindow="-120" windowWidth="29040" windowHeight="1752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s>
  <definedNames>
    <definedName name="billion_kw_to_MW">About!$B$35</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About!$A$33</definedName>
    <definedName name="Percent_Urban">About!$A$32</definedName>
    <definedName name="_xlnm.Print_Titles" localSheetId="1">'EPM Table_6_02_B'!$1:$4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 i="18" l="1"/>
  <c r="L27" i="18"/>
  <c r="M27" i="18"/>
  <c r="N27" i="18"/>
  <c r="O27" i="18"/>
  <c r="P27" i="18"/>
  <c r="Q27" i="18"/>
  <c r="R27" i="18"/>
  <c r="S27" i="18"/>
  <c r="T27" i="18"/>
  <c r="U27" i="18"/>
  <c r="V27" i="18"/>
  <c r="W27" i="18"/>
  <c r="X27" i="18"/>
  <c r="Y27" i="18"/>
  <c r="Z27" i="18"/>
  <c r="AA27" i="18"/>
  <c r="AB27" i="18"/>
  <c r="AC27" i="18"/>
  <c r="J27" i="18"/>
  <c r="D27" i="18"/>
  <c r="C4" i="13" s="1"/>
  <c r="E27" i="18"/>
  <c r="D4" i="13" s="1"/>
  <c r="F27" i="18"/>
  <c r="G27" i="18"/>
  <c r="H27" i="18"/>
  <c r="I27" i="18"/>
  <c r="C25" i="18"/>
  <c r="C26" i="18"/>
  <c r="C27" i="18"/>
  <c r="F25" i="18"/>
  <c r="G25" i="18"/>
  <c r="H25" i="18"/>
  <c r="I25" i="18"/>
  <c r="J25" i="18"/>
  <c r="K25" i="18"/>
  <c r="L25" i="18"/>
  <c r="M25" i="18"/>
  <c r="N25" i="18"/>
  <c r="O25" i="18"/>
  <c r="P25" i="18"/>
  <c r="Q25" i="18"/>
  <c r="R25" i="18"/>
  <c r="S25" i="18"/>
  <c r="T25" i="18"/>
  <c r="U25" i="18"/>
  <c r="V25" i="18"/>
  <c r="W25" i="18"/>
  <c r="X25" i="18"/>
  <c r="Y25" i="18"/>
  <c r="Z25" i="18"/>
  <c r="AA25" i="18"/>
  <c r="AB25" i="18"/>
  <c r="AC25" i="18"/>
  <c r="F26" i="18"/>
  <c r="G26" i="18"/>
  <c r="H26" i="18"/>
  <c r="I26" i="18"/>
  <c r="J26" i="18"/>
  <c r="K26" i="18"/>
  <c r="L26" i="18"/>
  <c r="M26" i="18"/>
  <c r="N26" i="18"/>
  <c r="O26" i="18"/>
  <c r="P26" i="18"/>
  <c r="Q26" i="18"/>
  <c r="R26" i="18"/>
  <c r="S26" i="18"/>
  <c r="T26" i="18"/>
  <c r="U26" i="18"/>
  <c r="V26" i="18"/>
  <c r="W26" i="18"/>
  <c r="X26" i="18"/>
  <c r="Y26" i="18"/>
  <c r="Z26" i="18"/>
  <c r="AA26" i="18"/>
  <c r="AB26" i="18"/>
  <c r="AC26" i="18"/>
  <c r="E26" i="18"/>
  <c r="E25" i="18"/>
  <c r="D26" i="18"/>
  <c r="D25" i="18"/>
  <c r="A42" i="1" l="1"/>
  <c r="C42" i="1" s="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C84" i="9"/>
  <c r="AB84" i="9"/>
  <c r="AA84" i="9"/>
  <c r="Z84" i="9"/>
  <c r="Y84" i="9"/>
  <c r="X84" i="9"/>
  <c r="W84" i="9"/>
  <c r="V84" i="9"/>
  <c r="U84" i="9"/>
  <c r="T84" i="9"/>
  <c r="S84" i="9"/>
  <c r="R84" i="9"/>
  <c r="Q84" i="9"/>
  <c r="P84" i="9"/>
  <c r="O84" i="9"/>
  <c r="N84" i="9"/>
  <c r="M84" i="9"/>
  <c r="L84" i="9"/>
  <c r="K84" i="9"/>
  <c r="J84" i="9"/>
  <c r="I84" i="9"/>
  <c r="H84" i="9"/>
  <c r="G84" i="9"/>
  <c r="F84" i="9"/>
  <c r="E84" i="9"/>
  <c r="D84" i="9"/>
  <c r="B4" i="13" s="1"/>
  <c r="Z48" i="9"/>
  <c r="AC47" i="9"/>
  <c r="AA7" i="11" s="1"/>
  <c r="V47" i="9"/>
  <c r="T7" i="11" s="1"/>
  <c r="Q47" i="9"/>
  <c r="O7" i="11" s="1"/>
  <c r="P47" i="9"/>
  <c r="N7" i="11" s="1"/>
  <c r="O47" i="9"/>
  <c r="M7" i="11" s="1"/>
  <c r="T44" i="9"/>
  <c r="R4" i="11" s="1"/>
  <c r="S44" i="9"/>
  <c r="Q4" i="11" s="1"/>
  <c r="B35" i="1"/>
  <c r="E112" i="9" s="1"/>
  <c r="A33" i="1"/>
  <c r="R67" i="9" s="1"/>
  <c r="A32" i="1"/>
  <c r="M48" i="9" s="1"/>
  <c r="E4" i="13" l="1"/>
  <c r="AA8" i="13"/>
  <c r="G8" i="13"/>
  <c r="H8" i="13"/>
  <c r="V8" i="13"/>
  <c r="K8" i="11"/>
  <c r="J8" i="13"/>
  <c r="K8" i="13"/>
  <c r="U8" i="13"/>
  <c r="I8" i="13"/>
  <c r="L8" i="13"/>
  <c r="C8" i="13"/>
  <c r="P8" i="12"/>
  <c r="M8" i="13"/>
  <c r="AB8" i="13"/>
  <c r="X8" i="11"/>
  <c r="C47" i="1"/>
  <c r="C46" i="1"/>
  <c r="C43" i="1"/>
  <c r="S8" i="13" s="1"/>
  <c r="M25" i="9"/>
  <c r="AD48" i="9"/>
  <c r="AB8" i="11" s="1"/>
  <c r="O66" i="9"/>
  <c r="M7" i="12" s="1"/>
  <c r="H25" i="9"/>
  <c r="T67" i="9"/>
  <c r="R8" i="12" s="1"/>
  <c r="J25" i="9"/>
  <c r="AD25" i="9"/>
  <c r="D63" i="9"/>
  <c r="B4" i="12" s="1"/>
  <c r="E28" i="9"/>
  <c r="E63" i="9"/>
  <c r="C4" i="12" s="1"/>
  <c r="B59" i="10"/>
  <c r="B61" i="10" s="1"/>
  <c r="B60" i="10"/>
  <c r="S67" i="9"/>
  <c r="Q8" i="12" s="1"/>
  <c r="F63" i="9"/>
  <c r="D4" i="12" s="1"/>
  <c r="P67" i="9"/>
  <c r="N8" i="12" s="1"/>
  <c r="AA48" i="9"/>
  <c r="Y8" i="11" s="1"/>
  <c r="U67" i="9"/>
  <c r="AB48" i="9"/>
  <c r="L25" i="9"/>
  <c r="AC48" i="9"/>
  <c r="AA8" i="11" s="1"/>
  <c r="F28" i="9"/>
  <c r="N44" i="9"/>
  <c r="L4" i="11" s="1"/>
  <c r="D66" i="9"/>
  <c r="B7" i="12" s="1"/>
  <c r="O44" i="9"/>
  <c r="M4" i="11" s="1"/>
  <c r="E66" i="9"/>
  <c r="C7" i="12" s="1"/>
  <c r="Q10" i="9"/>
  <c r="P44" i="9"/>
  <c r="N4" i="11" s="1"/>
  <c r="L66" i="9"/>
  <c r="J7" i="12" s="1"/>
  <c r="Q44" i="9"/>
  <c r="O4" i="11" s="1"/>
  <c r="M66" i="9"/>
  <c r="K7" i="12" s="1"/>
  <c r="Q66" i="9"/>
  <c r="O7" i="12" s="1"/>
  <c r="L67" i="9"/>
  <c r="J8" i="12" s="1"/>
  <c r="M67" i="9"/>
  <c r="K8" i="12" s="1"/>
  <c r="K25" i="9"/>
  <c r="R44" i="9"/>
  <c r="P4" i="11" s="1"/>
  <c r="N66" i="9"/>
  <c r="L7" i="12" s="1"/>
  <c r="B8" i="13"/>
  <c r="P66" i="9"/>
  <c r="N7" i="12" s="1"/>
  <c r="T47" i="9"/>
  <c r="R7" i="11" s="1"/>
  <c r="N67" i="9"/>
  <c r="U47" i="9"/>
  <c r="S7" i="11" s="1"/>
  <c r="O67" i="9"/>
  <c r="M8" i="12" s="1"/>
  <c r="U44" i="9"/>
  <c r="S4" i="11" s="1"/>
  <c r="V44" i="9"/>
  <c r="T4" i="11" s="1"/>
  <c r="AB67" i="9"/>
  <c r="Z8" i="12" s="1"/>
  <c r="X28" i="9"/>
  <c r="V104" i="9"/>
  <c r="Z44" i="9"/>
  <c r="X4" i="11" s="1"/>
  <c r="AA28" i="9"/>
  <c r="AA44" i="9"/>
  <c r="Y4" i="11" s="1"/>
  <c r="G48" i="9"/>
  <c r="E8" i="11" s="1"/>
  <c r="R63" i="9"/>
  <c r="P4" i="12" s="1"/>
  <c r="U66" i="9"/>
  <c r="S7" i="12" s="1"/>
  <c r="X104" i="9"/>
  <c r="AC67" i="9"/>
  <c r="AA8" i="12" s="1"/>
  <c r="Z28" i="9"/>
  <c r="F6" i="9"/>
  <c r="H48" i="9"/>
  <c r="F8" i="11" s="1"/>
  <c r="P107" i="9"/>
  <c r="AD47" i="9"/>
  <c r="AB7" i="11" s="1"/>
  <c r="E6" i="9"/>
  <c r="K63" i="9"/>
  <c r="I4" i="12" s="1"/>
  <c r="W104" i="9"/>
  <c r="AB44" i="9"/>
  <c r="Z4" i="11" s="1"/>
  <c r="Y6" i="9"/>
  <c r="T29" i="9"/>
  <c r="I48" i="9"/>
  <c r="G8" i="11" s="1"/>
  <c r="T63" i="9"/>
  <c r="R4" i="12" s="1"/>
  <c r="Y66" i="9"/>
  <c r="W7" i="12" s="1"/>
  <c r="Q107" i="9"/>
  <c r="AD67" i="9"/>
  <c r="AB8" i="12" s="1"/>
  <c r="R29" i="9"/>
  <c r="V66" i="9"/>
  <c r="T7" i="12" s="1"/>
  <c r="AC6" i="9"/>
  <c r="G47" i="9"/>
  <c r="E7" i="11" s="1"/>
  <c r="U63" i="9"/>
  <c r="S4" i="12" s="1"/>
  <c r="R107" i="9"/>
  <c r="S66" i="9"/>
  <c r="Q7" i="12" s="1"/>
  <c r="F48" i="9"/>
  <c r="D8" i="11" s="1"/>
  <c r="G6" i="9"/>
  <c r="S63" i="9"/>
  <c r="Q4" i="12" s="1"/>
  <c r="AC44" i="9"/>
  <c r="AA4" i="11" s="1"/>
  <c r="U29" i="9"/>
  <c r="J48" i="9"/>
  <c r="H8" i="11" s="1"/>
  <c r="Z66" i="9"/>
  <c r="X7" i="12" s="1"/>
  <c r="S9" i="9"/>
  <c r="V29" i="9"/>
  <c r="H47" i="9"/>
  <c r="F7" i="11" s="1"/>
  <c r="K48" i="9"/>
  <c r="I8" i="11" s="1"/>
  <c r="V63" i="9"/>
  <c r="T4" i="12" s="1"/>
  <c r="AA66" i="9"/>
  <c r="Y7" i="12" s="1"/>
  <c r="J108" i="9"/>
  <c r="I63" i="9"/>
  <c r="G4" i="12" s="1"/>
  <c r="W44" i="9"/>
  <c r="U4" i="11" s="1"/>
  <c r="T66" i="9"/>
  <c r="R7" i="12" s="1"/>
  <c r="U9" i="9"/>
  <c r="D44" i="9"/>
  <c r="B4" i="11" s="1"/>
  <c r="I47" i="9"/>
  <c r="G7" i="11" s="1"/>
  <c r="N48" i="9"/>
  <c r="L8" i="11" s="1"/>
  <c r="W63" i="9"/>
  <c r="U4" i="12" s="1"/>
  <c r="F67" i="9"/>
  <c r="D8" i="12" s="1"/>
  <c r="K108" i="9"/>
  <c r="D48" i="9"/>
  <c r="B8" i="11" s="1"/>
  <c r="J63" i="9"/>
  <c r="H4" i="12" s="1"/>
  <c r="V9" i="9"/>
  <c r="E44" i="9"/>
  <c r="C4" i="11" s="1"/>
  <c r="J47" i="9"/>
  <c r="H7" i="11" s="1"/>
  <c r="O48" i="9"/>
  <c r="M8" i="11" s="1"/>
  <c r="X63" i="9"/>
  <c r="V4" i="12" s="1"/>
  <c r="G67" i="9"/>
  <c r="E8" i="12" s="1"/>
  <c r="L108" i="9"/>
  <c r="R66" i="9"/>
  <c r="P7" i="12" s="1"/>
  <c r="W9" i="9"/>
  <c r="P48" i="9"/>
  <c r="N8" i="11" s="1"/>
  <c r="H67" i="9"/>
  <c r="F8" i="12" s="1"/>
  <c r="G44" i="9"/>
  <c r="E4" i="11" s="1"/>
  <c r="Z63" i="9"/>
  <c r="X4" i="12" s="1"/>
  <c r="I67" i="9"/>
  <c r="G8" i="12" s="1"/>
  <c r="F112" i="9"/>
  <c r="F44" i="9"/>
  <c r="D4" i="11" s="1"/>
  <c r="K47" i="9"/>
  <c r="I7" i="11" s="1"/>
  <c r="Y63" i="9"/>
  <c r="W4" i="12" s="1"/>
  <c r="D112" i="9"/>
  <c r="L47" i="9"/>
  <c r="J7" i="11" s="1"/>
  <c r="O10" i="9"/>
  <c r="O121" i="9" s="1"/>
  <c r="M47" i="9"/>
  <c r="K7" i="11" s="1"/>
  <c r="X48" i="9"/>
  <c r="V8" i="11" s="1"/>
  <c r="AA63" i="9"/>
  <c r="Y4" i="12" s="1"/>
  <c r="J67" i="9"/>
  <c r="H8" i="12" s="1"/>
  <c r="AA112" i="9"/>
  <c r="E48" i="9"/>
  <c r="C8" i="11" s="1"/>
  <c r="M10" i="9"/>
  <c r="W48" i="9"/>
  <c r="U8" i="11" s="1"/>
  <c r="H44" i="9"/>
  <c r="F4" i="11" s="1"/>
  <c r="P10" i="9"/>
  <c r="M44" i="9"/>
  <c r="K4" i="11" s="1"/>
  <c r="N47" i="9"/>
  <c r="L7" i="11" s="1"/>
  <c r="Y48" i="9"/>
  <c r="W8" i="11" s="1"/>
  <c r="AB63" i="9"/>
  <c r="Z4" i="12" s="1"/>
  <c r="K67" i="9"/>
  <c r="I8" i="12" s="1"/>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B121" i="9" s="1"/>
  <c r="AC112" i="9"/>
  <c r="H6" i="9"/>
  <c r="V112" i="9"/>
  <c r="AB108" i="9"/>
  <c r="F108" i="9"/>
  <c r="L107" i="9"/>
  <c r="R104" i="9"/>
  <c r="M29" i="9"/>
  <c r="H10" i="9"/>
  <c r="H121" i="9" s="1"/>
  <c r="J29" i="9"/>
  <c r="P28" i="9"/>
  <c r="V25" i="9"/>
  <c r="AA10" i="9"/>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S25" i="9"/>
  <c r="M28" i="9"/>
  <c r="G29" i="9"/>
  <c r="AC29" i="9"/>
  <c r="X44" i="9"/>
  <c r="V4" i="11" s="1"/>
  <c r="R47" i="9"/>
  <c r="P7" i="11" s="1"/>
  <c r="L48" i="9"/>
  <c r="J8" i="11" s="1"/>
  <c r="G63" i="9"/>
  <c r="E4" i="12" s="1"/>
  <c r="AC63" i="9"/>
  <c r="AA4" i="12" s="1"/>
  <c r="W66" i="9"/>
  <c r="U7" i="12" s="1"/>
  <c r="Q67" i="9"/>
  <c r="O8" i="12" s="1"/>
  <c r="O6" i="9"/>
  <c r="I9" i="9"/>
  <c r="Y10" i="9"/>
  <c r="T25" i="9"/>
  <c r="N28" i="9"/>
  <c r="H29" i="9"/>
  <c r="AD29" i="9"/>
  <c r="Y44" i="9"/>
  <c r="W4" i="11" s="1"/>
  <c r="S47" i="9"/>
  <c r="Q7" i="11" s="1"/>
  <c r="H63" i="9"/>
  <c r="F4" i="12" s="1"/>
  <c r="AD63" i="9"/>
  <c r="AB4" i="12" s="1"/>
  <c r="X66" i="9"/>
  <c r="V7" i="12" s="1"/>
  <c r="F4" i="13" l="1"/>
  <c r="C8" i="12"/>
  <c r="C26" i="12" s="1"/>
  <c r="G121" i="9"/>
  <c r="X8" i="13"/>
  <c r="Y121" i="9"/>
  <c r="Q8" i="13"/>
  <c r="P8" i="13"/>
  <c r="O8" i="13"/>
  <c r="R8" i="13"/>
  <c r="T8" i="13"/>
  <c r="D8" i="13"/>
  <c r="N121" i="9"/>
  <c r="Y8" i="13"/>
  <c r="F8" i="13"/>
  <c r="F121" i="9"/>
  <c r="AA121" i="9"/>
  <c r="L8" i="12"/>
  <c r="Z8" i="11"/>
  <c r="E8" i="13"/>
  <c r="Z8" i="13"/>
  <c r="S8" i="12"/>
  <c r="N8" i="13"/>
  <c r="W8" i="13"/>
  <c r="J121" i="9"/>
  <c r="D121" i="9"/>
  <c r="X121" i="9"/>
  <c r="B62" i="10"/>
  <c r="T121" i="9"/>
  <c r="S121" i="9"/>
  <c r="L121" i="9"/>
  <c r="R121" i="9"/>
  <c r="C61" i="10"/>
  <c r="U121" i="9"/>
  <c r="Q121" i="9"/>
  <c r="V121" i="9"/>
  <c r="D60" i="10"/>
  <c r="D62" i="10" s="1"/>
  <c r="E58" i="10"/>
  <c r="D59" i="10"/>
  <c r="C62" i="10"/>
  <c r="G4" i="13" l="1"/>
  <c r="E60" i="10"/>
  <c r="E62" i="10" s="1"/>
  <c r="E59" i="10"/>
  <c r="E61" i="10" s="1"/>
  <c r="F58" i="10"/>
  <c r="D61" i="10"/>
  <c r="H4" i="13" l="1"/>
  <c r="F60" i="10"/>
  <c r="F62" i="10" s="1"/>
  <c r="F59" i="10"/>
  <c r="F61" i="10" s="1"/>
  <c r="G58" i="10"/>
  <c r="I4" i="13" l="1"/>
  <c r="G60" i="10"/>
  <c r="G62" i="10" s="1"/>
  <c r="G59" i="10"/>
  <c r="G61" i="10" s="1"/>
  <c r="H58" i="10"/>
  <c r="J4" i="13" l="1"/>
  <c r="H60" i="10"/>
  <c r="H62" i="10" s="1"/>
  <c r="H59" i="10"/>
  <c r="H61" i="10" s="1"/>
  <c r="I58" i="10"/>
  <c r="K4" i="13" l="1"/>
  <c r="I59" i="10"/>
  <c r="I61" i="10" s="1"/>
  <c r="J58" i="10"/>
  <c r="I60" i="10"/>
  <c r="I62" i="10" s="1"/>
  <c r="L4" i="13" l="1"/>
  <c r="J59" i="10"/>
  <c r="J61" i="10" s="1"/>
  <c r="K58" i="10"/>
  <c r="J60" i="10"/>
  <c r="J62" i="10" s="1"/>
  <c r="M4" i="13" l="1"/>
  <c r="K59" i="10"/>
  <c r="K61" i="10" s="1"/>
  <c r="L58" i="10"/>
  <c r="K60" i="10"/>
  <c r="K62" i="10" s="1"/>
  <c r="N4" i="13" l="1"/>
  <c r="L59" i="10"/>
  <c r="L61" i="10" s="1"/>
  <c r="M58" i="10"/>
  <c r="L60" i="10"/>
  <c r="L62" i="10" s="1"/>
  <c r="O4" i="13" l="1"/>
  <c r="M59" i="10"/>
  <c r="M61" i="10" s="1"/>
  <c r="N58" i="10"/>
  <c r="M60" i="10"/>
  <c r="M62" i="10" s="1"/>
  <c r="P4" i="13" l="1"/>
  <c r="N59" i="10"/>
  <c r="N61" i="10" s="1"/>
  <c r="O58" i="10"/>
  <c r="N60" i="10"/>
  <c r="N62" i="10" s="1"/>
  <c r="Q4" i="13" l="1"/>
  <c r="P58" i="10"/>
  <c r="O60" i="10"/>
  <c r="O62" i="10" s="1"/>
  <c r="O59" i="10"/>
  <c r="O61" i="10" s="1"/>
  <c r="R4" i="13" l="1"/>
  <c r="Q58" i="10"/>
  <c r="P60" i="10"/>
  <c r="P62" i="10" s="1"/>
  <c r="P59" i="10"/>
  <c r="P61" i="10" s="1"/>
  <c r="S4" i="13" l="1"/>
  <c r="R58" i="10"/>
  <c r="Q59" i="10"/>
  <c r="Q61" i="10" s="1"/>
  <c r="Q60" i="10"/>
  <c r="Q62" i="10" s="1"/>
  <c r="T4" i="13" l="1"/>
  <c r="S58" i="10"/>
  <c r="R59" i="10"/>
  <c r="R61" i="10" s="1"/>
  <c r="R60" i="10"/>
  <c r="R62" i="10" s="1"/>
  <c r="U4" i="13" l="1"/>
  <c r="T58" i="10"/>
  <c r="S59" i="10"/>
  <c r="S61" i="10" s="1"/>
  <c r="S60" i="10"/>
  <c r="S62" i="10" s="1"/>
  <c r="V4" i="13" l="1"/>
  <c r="T59" i="10"/>
  <c r="T61" i="10" s="1"/>
  <c r="T60" i="10"/>
  <c r="T62" i="10" s="1"/>
  <c r="U58" i="10"/>
  <c r="W4" i="13" l="1"/>
  <c r="U60" i="10"/>
  <c r="U62" i="10" s="1"/>
  <c r="U59" i="10"/>
  <c r="U61" i="10" s="1"/>
  <c r="V58" i="10"/>
  <c r="X4" i="13" l="1"/>
  <c r="V60" i="10"/>
  <c r="V62" i="10" s="1"/>
  <c r="V59" i="10"/>
  <c r="V61" i="10" s="1"/>
  <c r="W58" i="10"/>
  <c r="Y4" i="13" l="1"/>
  <c r="W60" i="10"/>
  <c r="W62" i="10" s="1"/>
  <c r="X58" i="10"/>
  <c r="W59" i="10"/>
  <c r="W61" i="10" s="1"/>
  <c r="Z4" i="13" l="1"/>
  <c r="Y58" i="10"/>
  <c r="X60" i="10"/>
  <c r="X62" i="10" s="1"/>
  <c r="X59" i="10"/>
  <c r="X61" i="10" s="1"/>
  <c r="AB4" i="13" l="1"/>
  <c r="AA4" i="13"/>
  <c r="Y60" i="10"/>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<sst xmlns="http://schemas.openxmlformats.org/spreadsheetml/2006/main" count="2050" uniqueCount="999">
  <si>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</si>
  <si>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</si>
  <si>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</si>
  <si>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</si>
  <si>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</si>
  <si>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</si>
  <si>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</si>
  <si>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</si>
  <si>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</si>
  <si>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</si>
  <si>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</si>
  <si>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</si>
  <si>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</si>
  <si>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</si>
  <si>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</si>
  <si>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</si>
  <si>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</si>
  <si>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</si>
  <si>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</si>
  <si>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</si>
  <si>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</si>
  <si>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</si>
  <si>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</si>
  <si>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</si>
  <si>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</si>
  <si>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</si>
  <si>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</si>
  <si>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</si>
  <si>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</si>
  <si>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</si>
  <si>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</si>
  <si>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</si>
  <si>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</si>
  <si>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</si>
  <si>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</si>
  <si>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</si>
  <si>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</si>
  <si>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</si>
  <si>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</si>
  <si>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</si>
  <si>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</si>
  <si>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</si>
  <si>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</si>
  <si>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</si>
  <si>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</si>
  <si>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</si>
  <si>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</si>
  <si>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</si>
  <si>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</si>
  <si>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</si>
  <si>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</si>
  <si>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</si>
  <si>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</si>
  <si>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</si>
  <si>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</si>
  <si>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</si>
  <si>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</si>
  <si>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</si>
  <si>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</si>
  <si>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</si>
  <si>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</si>
  <si>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</si>
  <si>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</si>
  <si>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</si>
  <si>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</si>
  <si>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</si>
  <si>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</si>
  <si>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</si>
  <si>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</si>
  <si>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</si>
  <si>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</si>
  <si>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</si>
  <si>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</si>
  <si>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</si>
  <si>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</si>
  <si>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</si>
  <si>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</si>
  <si>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</si>
  <si>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</si>
  <si>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</si>
  <si>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</si>
  <si>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</si>
  <si>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</si>
  <si>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</si>
  <si>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</si>
  <si>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</si>
  <si>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</si>
  <si>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</si>
  <si>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</si>
  <si>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</si>
  <si>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</si>
  <si>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</si>
  <si>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</si>
  <si>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</si>
  <si>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</si>
  <si>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</si>
  <si>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</si>
  <si>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</si>
  <si>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</si>
  <si>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</si>
  <si>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</si>
  <si>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</si>
  <si>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</si>
  <si>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</si>
  <si>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</si>
  <si>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</si>
  <si>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</si>
  <si>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</si>
  <si>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</si>
  <si>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</si>
  <si>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</si>
  <si>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</si>
  <si>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</si>
  <si>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</si>
  <si>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</si>
  <si>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</si>
  <si>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</si>
  <si>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</si>
  <si>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</si>
  <si>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</si>
  <si>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</si>
  <si>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</si>
  <si>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</si>
  <si>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</si>
  <si>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</si>
  <si>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</si>
  <si>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</si>
  <si>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</si>
  <si>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</si>
  <si>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</si>
  <si>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</si>
  <si>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</si>
  <si>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</si>
  <si>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</si>
  <si>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</si>
  <si>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</si>
  <si>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</si>
  <si>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</si>
  <si>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</si>
  <si>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</si>
  <si>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</si>
  <si>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</si>
  <si>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</si>
  <si>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</si>
  <si>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</si>
  <si>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</si>
  <si>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</si>
  <si>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</si>
  <si>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</si>
  <si>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</si>
  <si>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</si>
  <si>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</si>
  <si>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</si>
  <si>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</si>
  <si>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</si>
  <si>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</si>
  <si>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</si>
  <si>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</si>
  <si>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</si>
  <si>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</si>
  <si>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</si>
  <si>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</si>
  <si>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</si>
  <si>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</si>
  <si>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</si>
  <si>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</si>
  <si>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</si>
  <si>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</si>
  <si>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</si>
  <si>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</si>
  <si>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</si>
  <si>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</si>
  <si>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</si>
  <si>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</si>
  <si>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</si>
  <si>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</si>
  <si>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</si>
  <si>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</si>
  <si>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</si>
  <si>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</si>
  <si>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</si>
  <si>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</si>
  <si>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</si>
  <si>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</si>
  <si>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</si>
  <si>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</si>
  <si>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</si>
  <si>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</si>
  <si>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</si>
  <si>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</si>
  <si>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</si>
  <si>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</si>
  <si>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</si>
  <si>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</si>
  <si>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</si>
  <si>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</si>
  <si>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</si>
  <si>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</si>
  <si>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</si>
  <si>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</si>
  <si>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</si>
  <si>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</si>
  <si>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</si>
  <si>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</si>
  <si>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</si>
  <si>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</si>
  <si>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</si>
  <si>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</si>
  <si>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</si>
  <si>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</si>
  <si>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</si>
  <si>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</si>
  <si>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</si>
  <si>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</si>
  <si>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</si>
  <si>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</si>
  <si>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</si>
  <si>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</si>
  <si>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</si>
  <si>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</si>
  <si>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</si>
  <si>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</si>
  <si>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</si>
  <si>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</si>
  <si>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</si>
  <si>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</si>
  <si>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</si>
  <si>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</si>
  <si>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</si>
  <si>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</si>
  <si>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</si>
  <si>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</si>
  <si>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</si>
  <si>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</si>
  <si>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</si>
  <si>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</si>
  <si>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</si>
  <si>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</si>
  <si>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</si>
  <si>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</si>
  <si>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</si>
  <si>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</si>
  <si>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</si>
  <si>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</si>
  <si>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</si>
  <si>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</si>
  <si>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</si>
  <si>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</si>
  <si>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</si>
  <si>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</si>
  <si>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</si>
  <si>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</si>
  <si>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</si>
  <si>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</si>
  <si>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</si>
  <si>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</si>
  <si>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</si>
  <si>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</si>
  <si>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</si>
  <si>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</si>
  <si>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</si>
  <si>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</si>
  <si>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</si>
  <si>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</si>
  <si>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</si>
  <si>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</si>
  <si>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</si>
  <si>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</si>
  <si>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</si>
  <si>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</si>
  <si>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</si>
  <si>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</si>
  <si>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</si>
  <si>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</si>
  <si>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</si>
  <si>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</si>
  <si>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</si>
  <si>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</si>
  <si>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</si>
  <si>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</si>
  <si>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</si>
  <si>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</si>
  <si>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</si>
  <si>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</si>
  <si>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</si>
  <si>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</si>
  <si>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</si>
  <si>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</si>
  <si>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</si>
  <si>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</si>
  <si>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</si>
  <si>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</si>
  <si>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</si>
  <si>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</si>
  <si>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</si>
  <si>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</si>
  <si>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</si>
  <si>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</si>
  <si>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</si>
  <si>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</si>
  <si>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</si>
  <si>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</si>
  <si>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</si>
  <si>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</si>
  <si>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</si>
  <si>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</si>
  <si>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</si>
  <si>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</si>
  <si>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</si>
  <si>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</si>
  <si>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</si>
  <si>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</si>
  <si>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</si>
  <si>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</si>
  <si>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</si>
  <si>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</si>
  <si>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</si>
  <si>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</si>
  <si>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</si>
  <si>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</si>
  <si>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</si>
  <si>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</si>
  <si>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</si>
  <si>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</si>
  <si>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</si>
  <si>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</si>
  <si>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</si>
  <si>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</si>
  <si>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</si>
  <si>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</si>
  <si>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</si>
  <si>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</si>
  <si>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</si>
  <si>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</si>
  <si>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</si>
  <si>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</si>
  <si>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</si>
  <si>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</si>
  <si>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</si>
  <si>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</si>
  <si>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</si>
  <si>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</si>
  <si>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</si>
  <si>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</si>
  <si>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</si>
  <si>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</si>
  <si>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</si>
  <si>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</si>
  <si>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</si>
  <si>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</si>
  <si>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</si>
  <si>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</si>
  <si>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</si>
  <si>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</si>
  <si>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</si>
  <si>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</si>
  <si>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</si>
  <si>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</si>
  <si>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</si>
  <si>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</si>
  <si>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</si>
  <si>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</si>
  <si>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</si>
  <si>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</si>
  <si>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</si>
  <si>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</si>
  <si>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</si>
  <si>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</si>
  <si>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</si>
  <si>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</si>
  <si>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</si>
  <si>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</si>
  <si>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</si>
  <si>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</si>
  <si>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</si>
  <si>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</si>
  <si>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</si>
  <si>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</si>
  <si>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</si>
  <si>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</si>
  <si>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</si>
  <si>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</si>
  <si>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</si>
  <si>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</si>
  <si>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</si>
  <si>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</si>
  <si>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</si>
  <si>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</si>
  <si>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</si>
  <si>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</si>
  <si>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</si>
  <si>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</si>
  <si>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</si>
  <si>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</si>
  <si>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</si>
  <si>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</si>
  <si>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</si>
  <si>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</si>
  <si>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</si>
  <si>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</si>
  <si>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</si>
  <si>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</si>
  <si>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</si>
  <si>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</si>
  <si>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</si>
  <si>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</si>
  <si>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</si>
  <si>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</si>
  <si>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</si>
  <si>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</si>
  <si>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</si>
  <si>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</si>
  <si>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</si>
  <si>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</si>
  <si>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</si>
  <si>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</si>
  <si>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</si>
  <si>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</si>
  <si>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</si>
  <si>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</si>
  <si>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</si>
  <si>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</si>
  <si>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</si>
  <si>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</si>
  <si>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</si>
  <si>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</si>
  <si>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</si>
  <si>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</si>
  <si>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</si>
  <si>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</si>
  <si>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</si>
  <si>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</si>
  <si>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</si>
  <si>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</si>
  <si>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</si>
  <si>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</si>
  <si>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</si>
  <si>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</si>
  <si>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</si>
  <si>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</si>
  <si>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</si>
  <si>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</si>
  <si>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</si>
  <si>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</si>
  <si>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</si>
  <si>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</si>
  <si>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</si>
  <si>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</si>
  <si>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</si>
  <si>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</si>
  <si>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</si>
  <si>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</si>
  <si>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</si>
  <si>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</si>
  <si>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</si>
  <si>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</si>
  <si>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</si>
  <si>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</si>
  <si>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</si>
  <si>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</si>
  <si>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</si>
  <si>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</si>
  <si>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</si>
  <si>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</si>
  <si>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</si>
  <si>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</si>
  <si>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</si>
  <si>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</si>
  <si>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</si>
  <si>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</si>
  <si>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</si>
  <si>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</si>
  <si>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</si>
  <si>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</si>
  <si>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</si>
  <si>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</si>
  <si>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</si>
  <si>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</si>
  <si>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</si>
  <si>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</si>
  <si>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</si>
  <si>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</si>
  <si>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</si>
  <si>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</si>
  <si>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</si>
  <si>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</si>
  <si>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</si>
  <si>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</si>
  <si>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</si>
  <si>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</si>
  <si>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</si>
  <si>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</si>
  <si>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</si>
  <si>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</si>
  <si>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</si>
  <si>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</si>
  <si>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</si>
  <si>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</si>
  <si>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</si>
  <si>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</si>
  <si>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</si>
  <si>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</si>
  <si>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</si>
  <si>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</si>
  <si>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</si>
  <si>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</si>
  <si>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</si>
  <si>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</si>
  <si>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</si>
  <si>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</si>
  <si>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</si>
  <si>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</si>
  <si>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</si>
  <si>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</si>
  <si>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</si>
  <si>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</si>
  <si>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</si>
  <si>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</si>
  <si>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</si>
  <si>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</si>
  <si>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</si>
  <si>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</si>
  <si>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</si>
  <si>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</si>
  <si>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</si>
  <si>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</si>
  <si>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</si>
  <si>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</si>
  <si>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</si>
  <si>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</si>
  <si>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</si>
  <si>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</si>
  <si>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</si>
  <si>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</si>
  <si>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</si>
  <si>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</si>
  <si>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</si>
  <si>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</si>
  <si>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</si>
  <si>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</si>
  <si>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</si>
  <si>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</si>
  <si>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</si>
  <si>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</si>
  <si>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</si>
  <si>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</si>
  <si>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</si>
  <si>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</si>
  <si>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</si>
  <si>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</si>
  <si>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</si>
  <si>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</si>
  <si>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</si>
  <si>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</si>
  <si>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</si>
  <si>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</si>
  <si>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</si>
  <si>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</si>
  <si>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</si>
  <si>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</si>
  <si>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</si>
  <si>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</si>
  <si>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</si>
  <si>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</si>
  <si>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</si>
  <si>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</si>
  <si>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</si>
  <si>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</si>
  <si>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</si>
  <si>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</si>
  <si>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</si>
  <si>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</si>
  <si>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</si>
  <si>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</si>
  <si>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</si>
  <si>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</si>
  <si>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</si>
  <si>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</si>
  <si>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</si>
  <si>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</si>
  <si>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</si>
  <si>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</si>
  <si>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</si>
  <si>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</si>
  <si>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</si>
  <si>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</si>
  <si>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</si>
  <si>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</si>
  <si>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</si>
  <si>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</si>
  <si>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</si>
  <si>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</si>
  <si>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</si>
  <si>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</si>
  <si>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</si>
  <si>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</si>
  <si>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</si>
  <si>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</si>
  <si>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</si>
  <si>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</si>
  <si>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</si>
  <si>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</si>
  <si>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</si>
  <si>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</si>
  <si>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</si>
  <si>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</si>
  <si>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</si>
  <si>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</si>
  <si>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</si>
  <si>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</si>
  <si>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</si>
  <si>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</si>
  <si>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</si>
  <si>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</si>
  <si>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</si>
  <si>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</si>
  <si>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</si>
  <si>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</si>
  <si>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</si>
  <si>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</si>
  <si>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</si>
  <si>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</si>
  <si>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</si>
  <si>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</si>
  <si>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</si>
  <si>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</si>
  <si>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</si>
  <si>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</si>
  <si>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</si>
  <si>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</si>
  <si>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</si>
  <si>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</si>
  <si>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</si>
  <si>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</si>
  <si>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</si>
  <si>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</si>
  <si>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</si>
  <si>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</si>
  <si>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</si>
  <si>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</si>
  <si>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</si>
  <si>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</si>
  <si>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</si>
  <si>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</si>
  <si>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</si>
  <si>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</si>
  <si>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</si>
  <si>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</si>
  <si>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</si>
  <si>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</si>
  <si>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</si>
  <si>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</si>
  <si>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</si>
  <si>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</si>
  <si>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</si>
  <si>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</si>
  <si>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</si>
  <si>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</si>
  <si>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</si>
  <si>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</si>
  <si>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</si>
  <si>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</si>
  <si>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</si>
  <si>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</si>
  <si>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</si>
  <si>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</si>
  <si>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</si>
  <si>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</si>
  <si>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</si>
  <si>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</si>
  <si>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</si>
  <si>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</si>
  <si>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</si>
  <si>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</si>
  <si>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</si>
  <si>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</si>
  <si>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</si>
  <si>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</si>
  <si>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</si>
  <si>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</si>
  <si>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</si>
  <si>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</si>
  <si>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</si>
  <si>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</si>
  <si>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</si>
  <si>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</si>
  <si>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</si>
  <si>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</si>
  <si>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</si>
  <si>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</si>
  <si>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</si>
  <si>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</si>
  <si>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</si>
  <si>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</si>
  <si>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</si>
  <si>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</si>
  <si>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</si>
  <si>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</si>
  <si>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</si>
  <si>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</si>
  <si>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</si>
  <si>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</si>
  <si>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</si>
  <si>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</si>
  <si>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</si>
  <si>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</si>
  <si>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</si>
  <si>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</si>
  <si>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</si>
  <si>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</si>
  <si>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</si>
  <si>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</si>
  <si>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</si>
  <si>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</si>
  <si>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</si>
  <si>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</si>
  <si>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</si>
  <si>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</si>
  <si>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</si>
  <si>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</si>
  <si>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</si>
  <si>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</si>
  <si>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</si>
  <si>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</si>
  <si>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</si>
  <si>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</si>
  <si>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</si>
  <si>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</si>
  <si>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</si>
  <si>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</si>
  <si>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</si>
  <si>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</si>
  <si>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</si>
  <si>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</si>
  <si>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</si>
  <si>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</si>
  <si>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</si>
  <si>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</si>
  <si>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</si>
  <si>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</si>
  <si>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</si>
  <si>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</si>
  <si>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</si>
  <si>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</si>
  <si>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</si>
  <si>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</si>
  <si>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</si>
  <si>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</si>
  <si>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</si>
  <si>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</si>
  <si>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</si>
  <si>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</si>
  <si>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</si>
  <si>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</si>
  <si>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</si>
  <si>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</si>
  <si>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</si>
  <si>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</si>
  <si>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</si>
  <si>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</si>
  <si>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</si>
  <si>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</si>
  <si>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</si>
  <si>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</si>
  <si>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</si>
  <si>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</si>
  <si>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</si>
  <si>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</si>
  <si>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</si>
  <si>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</si>
  <si>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</si>
  <si>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</si>
  <si>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</si>
  <si>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</si>
  <si>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</si>
  <si>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</si>
  <si>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</si>
  <si>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</si>
  <si>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</si>
  <si>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</si>
  <si>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</si>
  <si>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</si>
  <si>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</si>
  <si>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</si>
  <si>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</si>
  <si>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</si>
  <si>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</si>
  <si>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</si>
  <si>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</si>
  <si>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</si>
  <si>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</si>
  <si>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</si>
  <si>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</si>
  <si>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</si>
  <si>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</si>
  <si>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</si>
  <si>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</si>
  <si>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</si>
  <si>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</si>
  <si>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</si>
  <si>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</si>
  <si>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</si>
  <si>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</si>
  <si>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</si>
  <si>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</si>
  <si>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</si>
  <si>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</si>
  <si>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</si>
  <si>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</si>
  <si>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</si>
  <si>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</si>
  <si>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</si>
  <si>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</si>
  <si>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</si>
  <si>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</si>
  <si>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</si>
  <si>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</si>
  <si>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</si>
  <si>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</si>
  <si>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</si>
  <si>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</si>
  <si>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</si>
  <si>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</si>
  <si>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</si>
  <si>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</si>
  <si>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</si>
  <si>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</si>
  <si>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</si>
  <si>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</si>
  <si>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</si>
  <si>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</si>
  <si>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</si>
  <si>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</si>
  <si>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</si>
  <si>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</si>
  <si>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</si>
  <si>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</si>
  <si>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</si>
  <si>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</si>
  <si>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</si>
  <si>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</si>
  <si>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</si>
  <si>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</si>
  <si>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</si>
  <si>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</si>
  <si>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</si>
  <si>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</si>
  <si>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</si>
  <si>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</si>
  <si>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</si>
  <si>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</si>
  <si>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</si>
  <si>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</si>
  <si>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</si>
  <si>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</si>
  <si>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</si>
  <si>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</si>
  <si>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</si>
  <si>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</si>
  <si>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</si>
  <si>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</si>
  <si>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</si>
  <si>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</si>
  <si>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</si>
  <si>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</si>
  <si>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</si>
  <si>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</si>
  <si>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</si>
  <si>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</si>
  <si>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</si>
  <si>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</si>
  <si>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</si>
  <si>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</si>
  <si>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</si>
  <si>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</si>
  <si>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</si>
  <si>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</si>
  <si>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</si>
  <si>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</si>
  <si>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</si>
  <si>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</si>
  <si>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</si>
  <si>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</si>
  <si>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</si>
  <si>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</si>
  <si>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</si>
  <si>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</si>
  <si>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</si>
  <si>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</si>
  <si>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</si>
  <si>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</si>
  <si>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</si>
  <si>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</si>
  <si>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</si>
  <si>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</si>
  <si>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</si>
  <si>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</si>
  <si>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</si>
  <si>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</si>
  <si>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</si>
  <si>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</si>
  <si>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</si>
  <si>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</si>
  <si>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</si>
  <si>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</si>
  <si>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</si>
  <si>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</si>
  <si>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</si>
  <si>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</si>
  <si>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</si>
  <si>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</si>
  <si>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</si>
  <si>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</si>
  <si>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</si>
  <si>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</si>
  <si>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</si>
  <si>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</si>
  <si>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</si>
  <si>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</si>
  <si>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</si>
  <si>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</si>
  <si>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</si>
  <si>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</si>
  <si>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</si>
  <si>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</si>
  <si>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</si>
  <si>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</si>
  <si>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</si>
  <si>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</si>
  <si>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</si>
  <si>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</si>
  <si>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</si>
  <si>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</si>
  <si>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</si>
  <si>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</si>
  <si>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</si>
  <si>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</si>
  <si>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</si>
  <si>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</si>
  <si>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</si>
  <si>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</si>
  <si>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</si>
  <si>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</si>
  <si>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</si>
  <si>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</si>
  <si>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</si>
  <si>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</si>
  <si>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</si>
  <si>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</si>
  <si>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</si>
  <si>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</si>
  <si>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</si>
  <si>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</si>
  <si>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</si>
  <si>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</si>
  <si>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</si>
  <si>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</si>
  <si>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</si>
  <si>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</si>
  <si>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</si>
  <si>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</si>
  <si>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</si>
  <si>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</si>
  <si>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</si>
  <si>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</si>
  <si>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</si>
  <si>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</si>
  <si>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</si>
  <si>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</si>
  <si>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</si>
  <si>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</si>
  <si>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</si>
  <si>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</si>
  <si>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</si>
  <si>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</si>
  <si>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</si>
  <si>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</si>
  <si>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</si>
  <si>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Behind-the-meter Data Center Gas Plants</t>
  </si>
  <si>
    <r>
      <t>Table 3.</t>
    </r>
    <r>
      <rPr>
        <sz val="13.5"/>
        <color rgb="FF161400"/>
        <rFont val="Arial"/>
        <family val="2"/>
      </rPr>
      <t> Overall Behind-the-Meter Effective Capacity Growth by Region Out to 2030 (GW)</t>
    </r>
  </si>
  <si>
    <t>Actual</t>
  </si>
  <si>
    <t>Forecast</t>
  </si>
  <si>
    <t>ISO regions</t>
  </si>
  <si>
    <t>CAISO</t>
  </si>
  <si>
    <t>ERCOT</t>
  </si>
  <si>
    <t>NE-ISO</t>
  </si>
  <si>
    <t>MISO</t>
  </si>
  <si>
    <t>NY-ISO</t>
  </si>
  <si>
    <t>PJM</t>
  </si>
  <si>
    <t>SPP</t>
  </si>
  <si>
    <t>Non-ISO regions</t>
  </si>
  <si>
    <t>Annual incremental</t>
  </si>
  <si>
    <t>—</t>
  </si>
  <si>
    <t>RAND has estimated the behind the meter capacity to support data centers through 2030.</t>
  </si>
  <si>
    <t>We assume 100% of this gas.</t>
  </si>
  <si>
    <t>We add this forecasted capacity to AEO forecasts, which isn't capturing this trend</t>
  </si>
  <si>
    <t>RAND</t>
  </si>
  <si>
    <t>https://www.rand.org/pubs/research_briefs/RBA3845-1.html</t>
  </si>
  <si>
    <t>How Much More Power Can the U.S. Grid Provide for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</si>
</sst>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30"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
      <sz val="13.5"/>
      <color rgb="FF161400"/>
      <name val="Arial"/>
      <family val="2"/>
    </font>
    <font>
      <b/>
      <sz val="13.5"/>
      <color rgb="FF2D2B19"/>
      <name val="Arial"/>
      <family val="2"/>
    </font>
    <font>
      <b/>
      <sz val="11"/>
      <color rgb="FF2D2B19"/>
      <name val="Arial"/>
      <family val="2"/>
    </font>
    <font>
      <sz val="11"/>
      <color rgb="FF2D2B19"/>
      <name val="Arial"/>
      <family val="2"/>
    </font>
  </fonts>
  <fills count="20">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s>
  <borders count="24">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ck">
        <color rgb="FF2D2B19"/>
      </bottom>
      <diagonal/>
    </border>
    <border>
      <left/>
      <right style="medium">
        <color rgb="FFD0D0CC"/>
      </right>
      <top/>
      <bottom style="thick">
        <color rgb="FF2D2B19"/>
      </bottom>
      <diagonal/>
    </border>
    <border>
      <left/>
      <right style="medium">
        <color rgb="FFD0D0CC"/>
      </right>
      <top/>
      <bottom style="medium">
        <color rgb="FFD0D0CC"/>
      </bottom>
      <diagonal/>
    </border>
    <border>
      <left/>
      <right/>
      <top/>
      <bottom style="medium">
        <color rgb="FFD0D0CC"/>
      </bottom>
      <diagonal/>
    </border>
    <border>
      <left style="medium">
        <color rgb="FFD0D0CC"/>
      </left>
      <right/>
      <top/>
      <bottom style="thick">
        <color rgb="FF2D2B19"/>
      </bottom>
      <diagonal/>
    </border>
    <border>
      <left/>
      <right/>
      <top style="thick">
        <color rgb="FF2D2B19"/>
      </top>
      <bottom style="medium">
        <color rgb="FFD0D0CC"/>
      </bottom>
      <diagonal/>
    </border>
    <border>
      <left/>
      <right style="medium">
        <color rgb="FFD0D0CC"/>
      </right>
      <top style="thick">
        <color rgb="FF2D2B19"/>
      </top>
      <bottom style="medium">
        <color rgb="FFD0D0CC"/>
      </bottom>
      <diagonal/>
    </border>
    <border>
      <left style="medium">
        <color rgb="FFD0D0CC"/>
      </left>
      <right/>
      <top style="thick">
        <color rgb="FF2D2B19"/>
      </top>
      <bottom style="medium">
        <color rgb="FFD0D0CC"/>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96">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0" fillId="19" borderId="0" xfId="0" applyFill="1"/>
    <xf numFmtId="0" fontId="27" fillId="0" borderId="0" xfId="0" applyFont="1" applyAlignment="1">
      <alignment vertical="center"/>
    </xf>
    <xf numFmtId="0" fontId="28" fillId="16" borderId="16" xfId="0" applyFont="1" applyFill="1" applyBorder="1" applyAlignment="1">
      <alignment horizontal="right" wrapText="1"/>
    </xf>
    <xf numFmtId="0" fontId="28" fillId="16" borderId="17" xfId="0" applyFont="1" applyFill="1" applyBorder="1" applyAlignment="1">
      <alignment horizontal="right" wrapText="1"/>
    </xf>
    <xf numFmtId="0" fontId="29" fillId="16" borderId="19" xfId="0" applyFont="1" applyFill="1" applyBorder="1" applyAlignment="1">
      <alignment horizontal="left" vertical="top" wrapText="1"/>
    </xf>
    <xf numFmtId="0" fontId="29" fillId="16" borderId="19" xfId="0" applyFont="1" applyFill="1" applyBorder="1" applyAlignment="1">
      <alignment horizontal="right" vertical="top" wrapText="1"/>
    </xf>
    <xf numFmtId="0" fontId="29" fillId="16" borderId="18" xfId="0" applyFont="1" applyFill="1" applyBorder="1" applyAlignment="1">
      <alignment horizontal="right" vertical="top" wrapText="1"/>
    </xf>
    <xf numFmtId="0" fontId="28" fillId="16" borderId="19" xfId="0" applyFont="1" applyFill="1" applyBorder="1" applyAlignment="1">
      <alignment horizontal="left" vertical="top" wrapText="1"/>
    </xf>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4" xfId="0" applyFont="1" applyFill="1" applyBorder="1" applyAlignment="1">
      <alignment horizontal="center" wrapText="1"/>
    </xf>
    <xf numFmtId="0" fontId="24" fillId="18" borderId="15" xfId="0" applyFont="1" applyFill="1" applyBorder="1" applyAlignment="1">
      <alignment horizontal="center" wrapText="1"/>
    </xf>
    <xf numFmtId="0" fontId="24" fillId="18" borderId="13"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28" fillId="16" borderId="0" xfId="0" applyFont="1" applyFill="1" applyAlignment="1">
      <alignment horizontal="left" wrapText="1"/>
    </xf>
    <xf numFmtId="0" fontId="28" fillId="16" borderId="16" xfId="0" applyFont="1" applyFill="1" applyBorder="1" applyAlignment="1">
      <alignment horizontal="left" wrapText="1"/>
    </xf>
    <xf numFmtId="0" fontId="28" fillId="16" borderId="16" xfId="0" applyFont="1" applyFill="1" applyBorder="1" applyAlignment="1">
      <alignment horizontal="center" wrapText="1"/>
    </xf>
    <xf numFmtId="0" fontId="28" fillId="16" borderId="17" xfId="0" applyFont="1" applyFill="1" applyBorder="1" applyAlignment="1">
      <alignment horizontal="center" wrapText="1"/>
    </xf>
    <xf numFmtId="0" fontId="28" fillId="16" borderId="20" xfId="0" applyFont="1" applyFill="1" applyBorder="1" applyAlignment="1">
      <alignment horizontal="center" wrapText="1"/>
    </xf>
    <xf numFmtId="0" fontId="29" fillId="16" borderId="21" xfId="0" applyFont="1" applyFill="1" applyBorder="1" applyAlignment="1">
      <alignment horizontal="left" vertical="top" wrapText="1"/>
    </xf>
    <xf numFmtId="0" fontId="29" fillId="16" borderId="22" xfId="0" applyFont="1" applyFill="1" applyBorder="1" applyAlignment="1">
      <alignment horizontal="left" vertical="top" wrapText="1"/>
    </xf>
    <xf numFmtId="0" fontId="29" fillId="16" borderId="23" xfId="0" applyFont="1" applyFill="1" applyBorder="1" applyAlignment="1">
      <alignment horizontal="right" vertical="top" wrapText="1"/>
    </xf>
    <xf numFmtId="0" fontId="29" fillId="16" borderId="21" xfId="0" applyFont="1" applyFill="1" applyBorder="1" applyAlignment="1">
      <alignment horizontal="right" vertical="top" wrapText="1"/>
    </xf>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E15" sqref="E15"/>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0</v>
      </c>
    </row>
    <row r="3" spans="1:4" x14ac:dyDescent="0.25">
      <c r="A3" s="1" t="s">
        <v>1</v>
      </c>
      <c r="B3" s="3" t="s">
        <v>2</v>
      </c>
      <c r="D3" s="3" t="s">
        <v>883</v>
      </c>
    </row>
    <row r="4" spans="1:4" x14ac:dyDescent="0.25">
      <c r="B4" t="s">
        <v>879</v>
      </c>
      <c r="D4" t="s">
        <v>884</v>
      </c>
    </row>
    <row r="5" spans="1:4" x14ac:dyDescent="0.25">
      <c r="B5" s="2">
        <v>2026</v>
      </c>
      <c r="D5" s="2">
        <v>2026</v>
      </c>
    </row>
    <row r="6" spans="1:4" x14ac:dyDescent="0.25">
      <c r="B6" t="s">
        <v>880</v>
      </c>
      <c r="D6" t="s">
        <v>885</v>
      </c>
    </row>
    <row r="7" spans="1:4" x14ac:dyDescent="0.25">
      <c r="B7" t="s">
        <v>881</v>
      </c>
      <c r="D7" t="s">
        <v>886</v>
      </c>
    </row>
    <row r="8" spans="1:4" x14ac:dyDescent="0.25">
      <c r="B8" t="s">
        <v>4</v>
      </c>
      <c r="D8" t="s">
        <v>882</v>
      </c>
    </row>
    <row r="9" spans="1:4" x14ac:dyDescent="0.25">
      <c r="B9" t="s">
        <v>5</v>
      </c>
    </row>
    <row r="12" spans="1:4" x14ac:dyDescent="0.25">
      <c r="B12" s="3" t="s">
        <v>6</v>
      </c>
      <c r="D12" s="3" t="s">
        <v>960</v>
      </c>
    </row>
    <row r="13" spans="1:4" x14ac:dyDescent="0.25">
      <c r="B13" t="s">
        <v>3</v>
      </c>
      <c r="D13" t="s">
        <v>961</v>
      </c>
    </row>
    <row r="14" spans="1:4" x14ac:dyDescent="0.25">
      <c r="B14" s="2">
        <v>2020</v>
      </c>
      <c r="D14" s="2">
        <v>2026</v>
      </c>
    </row>
    <row r="15" spans="1:4" x14ac:dyDescent="0.25">
      <c r="B15" t="s">
        <v>7</v>
      </c>
      <c r="D15" t="s">
        <v>962</v>
      </c>
    </row>
    <row r="16" spans="1:4" x14ac:dyDescent="0.25">
      <c r="B16" s="18" t="s">
        <v>8</v>
      </c>
      <c r="D16" t="s">
        <v>964</v>
      </c>
    </row>
    <row r="17" spans="1:4" x14ac:dyDescent="0.25">
      <c r="B17" s="18" t="s">
        <v>9</v>
      </c>
      <c r="D17" t="s">
        <v>963</v>
      </c>
    </row>
    <row r="18" spans="1:4" x14ac:dyDescent="0.25">
      <c r="B18" t="s">
        <v>10</v>
      </c>
    </row>
    <row r="20" spans="1:4" x14ac:dyDescent="0.25">
      <c r="B20" s="3" t="s">
        <v>978</v>
      </c>
    </row>
    <row r="21" spans="1:4" x14ac:dyDescent="0.25">
      <c r="B21" t="s">
        <v>996</v>
      </c>
    </row>
    <row r="22" spans="1:4" x14ac:dyDescent="0.25">
      <c r="B22" s="2">
        <v>2026</v>
      </c>
    </row>
    <row r="23" spans="1:4" x14ac:dyDescent="0.25">
      <c r="B23" t="s">
        <v>998</v>
      </c>
    </row>
    <row r="24" spans="1:4" x14ac:dyDescent="0.25">
      <c r="B24" s="18" t="s">
        <v>997</v>
      </c>
    </row>
    <row r="27" spans="1:4" x14ac:dyDescent="0.25">
      <c r="A27" s="1" t="s">
        <v>11</v>
      </c>
    </row>
    <row r="28" spans="1:4" x14ac:dyDescent="0.25">
      <c r="A28" t="s">
        <v>12</v>
      </c>
    </row>
    <row r="29" spans="1:4" x14ac:dyDescent="0.25">
      <c r="A29" t="s">
        <v>13</v>
      </c>
    </row>
    <row r="30" spans="1:4" x14ac:dyDescent="0.25">
      <c r="A30" t="s">
        <v>14</v>
      </c>
    </row>
    <row r="31" spans="1:4" x14ac:dyDescent="0.25">
      <c r="A31" s="1" t="s">
        <v>15</v>
      </c>
    </row>
    <row r="32" spans="1:4" x14ac:dyDescent="0.25">
      <c r="A32" s="8">
        <f>'RECS HC2.1'!B24/SUM('RECS HC2.1'!B24,'RECS HC2.1'!B27)</f>
        <v>0.81308184246741677</v>
      </c>
      <c r="B32" t="s">
        <v>16</v>
      </c>
    </row>
    <row r="33" spans="1:6" x14ac:dyDescent="0.25">
      <c r="A33" s="8">
        <f>'RECS HC2.1'!B27/SUM('RECS HC2.1'!B24,'RECS HC2.1'!B27)</f>
        <v>0.18691815753258317</v>
      </c>
      <c r="B33" t="s">
        <v>17</v>
      </c>
    </row>
    <row r="35" spans="1:6" ht="30" x14ac:dyDescent="0.25">
      <c r="A35" s="10" t="s">
        <v>18</v>
      </c>
      <c r="B35">
        <f>10^6</f>
        <v>1000000</v>
      </c>
      <c r="C35" s="11"/>
      <c r="D35" s="12"/>
      <c r="E35" s="13"/>
    </row>
    <row r="36" spans="1:6" x14ac:dyDescent="0.25">
      <c r="A36" t="s">
        <v>19</v>
      </c>
      <c r="B36">
        <v>1000</v>
      </c>
      <c r="F36" s="13"/>
    </row>
    <row r="39" spans="1:6" x14ac:dyDescent="0.25">
      <c r="A39" s="1" t="s">
        <v>973</v>
      </c>
    </row>
    <row r="40" spans="1:6" x14ac:dyDescent="0.25">
      <c r="A40" t="s">
        <v>972</v>
      </c>
    </row>
    <row r="41" spans="1:6" x14ac:dyDescent="0.25">
      <c r="A41" t="s">
        <v>969</v>
      </c>
      <c r="B41" t="s">
        <v>970</v>
      </c>
    </row>
    <row r="42" spans="1:6" x14ac:dyDescent="0.25">
      <c r="A42">
        <f>AEO26_Table_21._Residential!E77</f>
        <v>44.365597000000001</v>
      </c>
      <c r="B42">
        <f>'STEO Feb26'!B40</f>
        <v>40.4</v>
      </c>
      <c r="C42">
        <f>A42-B42</f>
        <v>3.9655970000000025</v>
      </c>
      <c r="D42" t="s">
        <v>975</v>
      </c>
    </row>
    <row r="43" spans="1:6" x14ac:dyDescent="0.25">
      <c r="A43">
        <f>AEO26_Table_22._Commercial!E61</f>
        <v>33.559604999999998</v>
      </c>
      <c r="B43">
        <f>SUM('STEO Feb26'!B41:B42)</f>
        <v>18.8</v>
      </c>
      <c r="C43" s="1">
        <f>11.6-C42</f>
        <v>7.6344029999999972</v>
      </c>
      <c r="D43" t="s">
        <v>974</v>
      </c>
    </row>
    <row r="45" spans="1:6" x14ac:dyDescent="0.25">
      <c r="B45" t="s">
        <v>971</v>
      </c>
    </row>
    <row r="46" spans="1:6" x14ac:dyDescent="0.25">
      <c r="A46" s="55">
        <v>36072.861350926898</v>
      </c>
      <c r="B46" t="s">
        <v>16</v>
      </c>
      <c r="C46" s="1">
        <f>$C$42*A46/SUM($A$46:$A$47)</f>
        <v>3.2243549152432633</v>
      </c>
      <c r="D46" t="s">
        <v>976</v>
      </c>
    </row>
    <row r="47" spans="1:6" x14ac:dyDescent="0.25">
      <c r="A47" s="55">
        <v>8292.7356490730999</v>
      </c>
      <c r="B47" t="s">
        <v>17</v>
      </c>
      <c r="C47" s="1">
        <f>$C$42*A47/SUM($A$46:$A$47)</f>
        <v>0.74124208475673992</v>
      </c>
      <c r="D47" t="s">
        <v>977</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73" t="s">
        <v>959</v>
      </c>
      <c r="B1" s="73"/>
      <c r="C1" s="73"/>
      <c r="D1" s="73"/>
      <c r="E1" s="73"/>
      <c r="F1" s="73"/>
      <c r="G1" s="73"/>
      <c r="H1" s="73"/>
      <c r="I1" s="73"/>
      <c r="J1" s="73"/>
      <c r="K1" s="73"/>
      <c r="L1" s="73"/>
      <c r="M1" s="73"/>
      <c r="N1" s="73"/>
      <c r="O1" s="73"/>
      <c r="P1" s="73"/>
      <c r="Q1" s="73"/>
      <c r="R1" s="73"/>
      <c r="S1" s="73"/>
      <c r="T1" s="73"/>
      <c r="U1" s="73"/>
    </row>
    <row r="2" spans="1:21" ht="39" x14ac:dyDescent="0.25">
      <c r="A2" s="63" t="s">
        <v>958</v>
      </c>
      <c r="B2" s="74" t="s">
        <v>957</v>
      </c>
      <c r="C2" s="75"/>
      <c r="D2" s="75"/>
      <c r="E2" s="75"/>
      <c r="F2" s="75"/>
      <c r="G2" s="75"/>
      <c r="H2" s="75"/>
      <c r="I2" s="75"/>
      <c r="J2" s="75"/>
      <c r="K2" s="75"/>
      <c r="L2" s="75"/>
      <c r="M2" s="75"/>
      <c r="N2" s="75"/>
      <c r="O2" s="76"/>
      <c r="P2" s="74" t="s">
        <v>956</v>
      </c>
      <c r="Q2" s="76"/>
      <c r="R2" s="74" t="s">
        <v>955</v>
      </c>
      <c r="S2" s="75"/>
      <c r="T2" s="75"/>
      <c r="U2" s="76"/>
    </row>
    <row r="3" spans="1:21" ht="39" x14ac:dyDescent="0.25">
      <c r="A3" s="63" t="s">
        <v>954</v>
      </c>
      <c r="B3" s="74" t="s">
        <v>86</v>
      </c>
      <c r="C3" s="76"/>
      <c r="D3" s="74" t="s">
        <v>953</v>
      </c>
      <c r="E3" s="76"/>
      <c r="F3" s="74" t="s">
        <v>44</v>
      </c>
      <c r="G3" s="76"/>
      <c r="H3" s="74" t="s">
        <v>952</v>
      </c>
      <c r="I3" s="76"/>
      <c r="J3" s="74" t="s">
        <v>951</v>
      </c>
      <c r="K3" s="76"/>
      <c r="L3" s="74" t="s">
        <v>950</v>
      </c>
      <c r="M3" s="76"/>
      <c r="N3" s="74" t="s">
        <v>949</v>
      </c>
      <c r="O3" s="76"/>
      <c r="P3" s="74" t="s">
        <v>948</v>
      </c>
      <c r="Q3" s="76"/>
      <c r="R3" s="74" t="s">
        <v>947</v>
      </c>
      <c r="S3" s="76"/>
      <c r="T3" s="74" t="s">
        <v>946</v>
      </c>
      <c r="U3" s="76"/>
    </row>
    <row r="4" spans="1:21" ht="26.25" x14ac:dyDescent="0.25">
      <c r="A4" s="63" t="s">
        <v>945</v>
      </c>
      <c r="B4" s="62" t="s">
        <v>944</v>
      </c>
      <c r="C4" s="62" t="s">
        <v>943</v>
      </c>
      <c r="D4" s="62" t="s">
        <v>944</v>
      </c>
      <c r="E4" s="62" t="s">
        <v>943</v>
      </c>
      <c r="F4" s="62" t="s">
        <v>944</v>
      </c>
      <c r="G4" s="62" t="s">
        <v>943</v>
      </c>
      <c r="H4" s="62" t="s">
        <v>944</v>
      </c>
      <c r="I4" s="62" t="s">
        <v>943</v>
      </c>
      <c r="J4" s="62" t="s">
        <v>944</v>
      </c>
      <c r="K4" s="62" t="s">
        <v>943</v>
      </c>
      <c r="L4" s="62" t="s">
        <v>944</v>
      </c>
      <c r="M4" s="62" t="s">
        <v>943</v>
      </c>
      <c r="N4" s="62" t="s">
        <v>944</v>
      </c>
      <c r="O4" s="62" t="s">
        <v>943</v>
      </c>
      <c r="P4" s="62" t="s">
        <v>944</v>
      </c>
      <c r="Q4" s="62" t="s">
        <v>943</v>
      </c>
      <c r="R4" s="62" t="s">
        <v>944</v>
      </c>
      <c r="S4" s="62" t="s">
        <v>943</v>
      </c>
      <c r="T4" s="62" t="s">
        <v>944</v>
      </c>
      <c r="U4" s="62" t="s">
        <v>943</v>
      </c>
    </row>
    <row r="5" spans="1:21" x14ac:dyDescent="0.25">
      <c r="A5" s="59" t="s">
        <v>382</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942</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941</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940</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939</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938</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937</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383</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936</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935</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934</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385</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933</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932</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931</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930</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929</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386</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928</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927</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926</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925</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924</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923</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922</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388</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921</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920</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919</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918</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917</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916</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915</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914</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913</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389</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912</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911</v>
      </c>
      <c r="Q41" s="60">
        <v>17</v>
      </c>
      <c r="R41" s="60" t="s">
        <v>911</v>
      </c>
      <c r="S41" s="60">
        <v>680.5</v>
      </c>
      <c r="T41" s="60" t="s">
        <v>911</v>
      </c>
      <c r="U41" s="60">
        <v>680.5</v>
      </c>
    </row>
    <row r="42" spans="1:21" x14ac:dyDescent="0.25">
      <c r="A42" s="61" t="s">
        <v>910</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909</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908</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390</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907</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906</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905</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904</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392</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903</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902</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901</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900</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899</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898</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897</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896</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895</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894</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893</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892</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891</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890</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889</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888</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72" t="s">
        <v>887</v>
      </c>
      <c r="B67" s="72"/>
      <c r="C67" s="72"/>
      <c r="D67" s="72"/>
      <c r="E67" s="72"/>
      <c r="F67" s="72"/>
      <c r="G67" s="72"/>
      <c r="H67" s="72"/>
      <c r="I67" s="72"/>
      <c r="J67" s="72"/>
      <c r="K67" s="72"/>
      <c r="L67" s="72"/>
      <c r="M67" s="72"/>
      <c r="N67" s="72"/>
      <c r="O67" s="72"/>
      <c r="P67" s="72"/>
      <c r="Q67" s="72"/>
      <c r="R67" s="72"/>
      <c r="S67" s="72"/>
      <c r="T67" s="72"/>
      <c r="U67" s="72"/>
    </row>
  </sheetData>
  <mergeCells count="15">
    <mergeCell ref="A67:U67"/>
    <mergeCell ref="A1:U1"/>
    <mergeCell ref="B2:O2"/>
    <mergeCell ref="P2:Q2"/>
    <mergeCell ref="R2:U2"/>
    <mergeCell ref="B3:C3"/>
    <mergeCell ref="D3:E3"/>
    <mergeCell ref="F3:G3"/>
    <mergeCell ref="H3:I3"/>
    <mergeCell ref="J3:K3"/>
    <mergeCell ref="L3:M3"/>
    <mergeCell ref="N3:O3"/>
    <mergeCell ref="P3:Q3"/>
    <mergeCell ref="R3:S3"/>
    <mergeCell ref="T3:U3"/>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965</v>
      </c>
    </row>
    <row r="39" spans="2:3" x14ac:dyDescent="0.25">
      <c r="B39">
        <v>59.1</v>
      </c>
      <c r="C39" t="s">
        <v>37</v>
      </c>
    </row>
    <row r="40" spans="2:3" x14ac:dyDescent="0.25">
      <c r="B40">
        <v>40.4</v>
      </c>
      <c r="C40" t="s">
        <v>966</v>
      </c>
    </row>
    <row r="41" spans="2:3" x14ac:dyDescent="0.25">
      <c r="B41">
        <v>15.8</v>
      </c>
      <c r="C41" t="s">
        <v>967</v>
      </c>
    </row>
    <row r="42" spans="2:3" x14ac:dyDescent="0.25">
      <c r="B42">
        <v>3</v>
      </c>
      <c r="C42" t="s">
        <v>968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86" t="s">
        <v>369</v>
      </c>
      <c r="B1" s="83"/>
    </row>
    <row r="2" spans="1:7" ht="24" customHeight="1" x14ac:dyDescent="0.25">
      <c r="A2" s="82" t="s">
        <v>370</v>
      </c>
      <c r="B2" s="83"/>
      <c r="C2" s="83"/>
      <c r="D2" s="83"/>
      <c r="E2" s="83"/>
      <c r="F2" s="83"/>
      <c r="G2" s="83"/>
    </row>
    <row r="3" spans="1:7" ht="24" customHeight="1" thickBot="1" x14ac:dyDescent="0.3">
      <c r="A3" s="17"/>
      <c r="B3" s="77" t="s">
        <v>371</v>
      </c>
      <c r="C3" s="78"/>
      <c r="D3" s="78"/>
      <c r="E3" s="78"/>
      <c r="F3" s="78"/>
      <c r="G3" s="78"/>
    </row>
    <row r="4" spans="1:7" ht="23.25" customHeight="1" thickTop="1" x14ac:dyDescent="0.25">
      <c r="A4" s="17"/>
      <c r="B4" s="19"/>
      <c r="C4" s="79" t="s">
        <v>372</v>
      </c>
      <c r="D4" s="80"/>
      <c r="E4" s="80"/>
      <c r="F4" s="80"/>
      <c r="G4" s="81"/>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84" t="s">
        <v>523</v>
      </c>
      <c r="B221" s="85"/>
      <c r="C221" s="85"/>
      <c r="D221" s="85"/>
      <c r="E221" s="85"/>
      <c r="F221" s="85"/>
      <c r="G221" s="85"/>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x14ac:dyDescent="0.25">
      <c r="A10" t="s">
        <v>535</v>
      </c>
      <c r="B10" t="s">
        <v>214</v>
      </c>
      <c r="C10" t="s">
        <v>536</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x14ac:dyDescent="0.25">
      <c r="A29" t="s">
        <v>535</v>
      </c>
      <c r="B29" t="s">
        <v>214</v>
      </c>
      <c r="C29" t="s">
        <v>536</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x14ac:dyDescent="0.25">
      <c r="A48" t="s">
        <v>552</v>
      </c>
      <c r="B48" t="s">
        <v>206</v>
      </c>
      <c r="C48" t="s">
        <v>536</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x14ac:dyDescent="0.25">
      <c r="A67" t="s">
        <v>552</v>
      </c>
      <c r="B67" t="s">
        <v>206</v>
      </c>
      <c r="C67" t="s">
        <v>536</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C27"/>
  <sheetViews>
    <sheetView zoomScale="85" zoomScaleNormal="85" workbookViewId="0">
      <selection activeCell="J25" sqref="J25"/>
    </sheetView>
  </sheetViews>
  <sheetFormatPr defaultRowHeight="15" x14ac:dyDescent="0.25"/>
  <cols>
    <col min="2" max="2" width="30" customWidth="1"/>
  </cols>
  <sheetData>
    <row r="2" spans="2:9" x14ac:dyDescent="0.25">
      <c r="B2" t="s">
        <v>993</v>
      </c>
    </row>
    <row r="3" spans="2:9" x14ac:dyDescent="0.25">
      <c r="B3" t="s">
        <v>994</v>
      </c>
    </row>
    <row r="5" spans="2:9" x14ac:dyDescent="0.25">
      <c r="B5" t="s">
        <v>995</v>
      </c>
    </row>
    <row r="7" spans="2:9" ht="17.25" x14ac:dyDescent="0.25">
      <c r="B7" s="65" t="s">
        <v>979</v>
      </c>
    </row>
    <row r="9" spans="2:9" ht="15.75" thickBot="1" x14ac:dyDescent="0.3">
      <c r="B9" s="87"/>
      <c r="C9" s="89" t="s">
        <v>980</v>
      </c>
      <c r="D9" s="89"/>
      <c r="E9" s="90"/>
      <c r="F9" s="91" t="s">
        <v>981</v>
      </c>
      <c r="G9" s="89"/>
      <c r="H9" s="89"/>
      <c r="I9" s="89"/>
    </row>
    <row r="10" spans="2:9" ht="16.5" thickTop="1" thickBot="1" x14ac:dyDescent="0.3">
      <c r="B10" s="88"/>
      <c r="C10" s="66">
        <v>2024</v>
      </c>
      <c r="D10" s="66">
        <v>2025</v>
      </c>
      <c r="E10" s="67">
        <v>2026</v>
      </c>
      <c r="F10" s="66">
        <v>2027</v>
      </c>
      <c r="G10" s="66">
        <v>2028</v>
      </c>
      <c r="H10" s="66">
        <v>2029</v>
      </c>
      <c r="I10" s="66">
        <v>2030</v>
      </c>
    </row>
    <row r="11" spans="2:9" ht="16.5" thickTop="1" thickBot="1" x14ac:dyDescent="0.3">
      <c r="B11" s="92" t="s">
        <v>982</v>
      </c>
      <c r="C11" s="92"/>
      <c r="D11" s="92"/>
      <c r="E11" s="93"/>
      <c r="F11" s="94"/>
      <c r="G11" s="95"/>
      <c r="H11" s="95"/>
      <c r="I11" s="95"/>
    </row>
    <row r="12" spans="2:9" ht="15.75" thickBot="1" x14ac:dyDescent="0.3">
      <c r="B12" s="68" t="s">
        <v>983</v>
      </c>
      <c r="C12" s="69">
        <v>3</v>
      </c>
      <c r="D12" s="69">
        <v>3.1</v>
      </c>
      <c r="E12" s="70">
        <v>3.2</v>
      </c>
      <c r="F12" s="69">
        <v>3.3</v>
      </c>
      <c r="G12" s="69">
        <v>3.4</v>
      </c>
      <c r="H12" s="69">
        <v>3.5</v>
      </c>
      <c r="I12" s="69">
        <v>3.6</v>
      </c>
    </row>
    <row r="13" spans="2:9" ht="15.75" thickBot="1" x14ac:dyDescent="0.3">
      <c r="B13" s="68" t="s">
        <v>984</v>
      </c>
      <c r="C13" s="69">
        <v>2</v>
      </c>
      <c r="D13" s="69">
        <v>3.3</v>
      </c>
      <c r="E13" s="70">
        <v>4.7</v>
      </c>
      <c r="F13" s="69">
        <v>4.8</v>
      </c>
      <c r="G13" s="69">
        <v>4.9000000000000004</v>
      </c>
      <c r="H13" s="69">
        <v>6.9</v>
      </c>
      <c r="I13" s="69">
        <v>9</v>
      </c>
    </row>
    <row r="14" spans="2:9" ht="15.75" thickBot="1" x14ac:dyDescent="0.3">
      <c r="B14" s="68" t="s">
        <v>985</v>
      </c>
      <c r="C14" s="69">
        <v>0.2</v>
      </c>
      <c r="D14" s="69">
        <v>0.2</v>
      </c>
      <c r="E14" s="70">
        <v>0.2</v>
      </c>
      <c r="F14" s="69">
        <v>0.4</v>
      </c>
      <c r="G14" s="69">
        <v>0.6</v>
      </c>
      <c r="H14" s="69">
        <v>0.8</v>
      </c>
      <c r="I14" s="69">
        <v>1</v>
      </c>
    </row>
    <row r="15" spans="2:9" ht="15.75" thickBot="1" x14ac:dyDescent="0.3">
      <c r="B15" s="68" t="s">
        <v>986</v>
      </c>
      <c r="C15" s="69">
        <v>2.2000000000000002</v>
      </c>
      <c r="D15" s="69">
        <v>2.5</v>
      </c>
      <c r="E15" s="70">
        <v>2.9</v>
      </c>
      <c r="F15" s="69">
        <v>3.9</v>
      </c>
      <c r="G15" s="69">
        <v>5</v>
      </c>
      <c r="H15" s="69">
        <v>8.1</v>
      </c>
      <c r="I15" s="69">
        <v>11.2</v>
      </c>
    </row>
    <row r="16" spans="2:9" ht="15.75" thickBot="1" x14ac:dyDescent="0.3">
      <c r="B16" s="68" t="s">
        <v>987</v>
      </c>
      <c r="C16" s="69">
        <v>0.8</v>
      </c>
      <c r="D16" s="69">
        <v>1.6</v>
      </c>
      <c r="E16" s="70">
        <v>2.2999999999999998</v>
      </c>
      <c r="F16" s="69">
        <v>2.6</v>
      </c>
      <c r="G16" s="69">
        <v>2.8</v>
      </c>
      <c r="H16" s="69">
        <v>3</v>
      </c>
      <c r="I16" s="69">
        <v>3.3</v>
      </c>
    </row>
    <row r="17" spans="2:29" ht="15.75" thickBot="1" x14ac:dyDescent="0.3">
      <c r="B17" s="68" t="s">
        <v>988</v>
      </c>
      <c r="C17" s="69">
        <v>0.9</v>
      </c>
      <c r="D17" s="69">
        <v>1.8</v>
      </c>
      <c r="E17" s="70">
        <v>2.6</v>
      </c>
      <c r="F17" s="69">
        <v>2.9</v>
      </c>
      <c r="G17" s="69">
        <v>3.2</v>
      </c>
      <c r="H17" s="69">
        <v>3.9</v>
      </c>
      <c r="I17" s="69">
        <v>4.7</v>
      </c>
    </row>
    <row r="18" spans="2:29" ht="15.75" thickBot="1" x14ac:dyDescent="0.3">
      <c r="B18" s="68" t="s">
        <v>989</v>
      </c>
      <c r="C18" s="69">
        <v>0.5</v>
      </c>
      <c r="D18" s="69">
        <v>0.6</v>
      </c>
      <c r="E18" s="70">
        <v>0.7</v>
      </c>
      <c r="F18" s="69">
        <v>0.9</v>
      </c>
      <c r="G18" s="69">
        <v>1.1000000000000001</v>
      </c>
      <c r="H18" s="69">
        <v>2.2999999999999998</v>
      </c>
      <c r="I18" s="69">
        <v>3.5</v>
      </c>
    </row>
    <row r="19" spans="2:29" ht="15.75" thickBot="1" x14ac:dyDescent="0.3">
      <c r="B19" s="68" t="s">
        <v>990</v>
      </c>
      <c r="C19" s="69">
        <v>2.2999999999999998</v>
      </c>
      <c r="D19" s="69">
        <v>3.5</v>
      </c>
      <c r="E19" s="70">
        <v>4.5999999999999996</v>
      </c>
      <c r="F19" s="69">
        <v>6</v>
      </c>
      <c r="G19" s="69">
        <v>7.3</v>
      </c>
      <c r="H19" s="69">
        <v>9.6999999999999993</v>
      </c>
      <c r="I19" s="69">
        <v>12</v>
      </c>
    </row>
    <row r="20" spans="2:29" ht="15.75" thickBot="1" x14ac:dyDescent="0.3">
      <c r="B20" s="68" t="s">
        <v>991</v>
      </c>
      <c r="C20" s="69" t="s">
        <v>992</v>
      </c>
      <c r="D20" s="69">
        <v>4.7</v>
      </c>
      <c r="E20" s="70">
        <v>4.7</v>
      </c>
      <c r="F20" s="69">
        <v>3.5</v>
      </c>
      <c r="G20" s="69">
        <v>3.5</v>
      </c>
      <c r="H20" s="69">
        <v>10</v>
      </c>
      <c r="I20" s="69">
        <v>10</v>
      </c>
    </row>
    <row r="21" spans="2:29" ht="15.75" thickBot="1" x14ac:dyDescent="0.3">
      <c r="B21" s="71" t="s">
        <v>37</v>
      </c>
      <c r="C21" s="69">
        <v>12</v>
      </c>
      <c r="D21" s="69">
        <v>17</v>
      </c>
      <c r="E21" s="70">
        <v>21</v>
      </c>
      <c r="F21" s="69">
        <v>25</v>
      </c>
      <c r="G21" s="69">
        <v>29</v>
      </c>
      <c r="H21" s="69">
        <v>39</v>
      </c>
      <c r="I21" s="69">
        <v>49</v>
      </c>
    </row>
    <row r="24" spans="2:29" x14ac:dyDescent="0.25">
      <c r="C24">
        <v>2024</v>
      </c>
      <c r="D24">
        <v>2025</v>
      </c>
      <c r="E24">
        <v>2026</v>
      </c>
      <c r="F24">
        <v>2027</v>
      </c>
      <c r="G24">
        <v>2028</v>
      </c>
      <c r="H24">
        <v>2029</v>
      </c>
      <c r="I24">
        <v>2030</v>
      </c>
      <c r="J24">
        <v>2031</v>
      </c>
      <c r="K24">
        <v>2032</v>
      </c>
      <c r="L24">
        <v>2033</v>
      </c>
      <c r="M24">
        <v>2034</v>
      </c>
      <c r="N24">
        <v>2035</v>
      </c>
      <c r="O24">
        <v>2036</v>
      </c>
      <c r="P24">
        <v>2037</v>
      </c>
      <c r="Q24">
        <v>2038</v>
      </c>
      <c r="R24">
        <v>2039</v>
      </c>
      <c r="S24">
        <v>2040</v>
      </c>
      <c r="T24">
        <v>2041</v>
      </c>
      <c r="U24">
        <v>2042</v>
      </c>
      <c r="V24">
        <v>2043</v>
      </c>
      <c r="W24">
        <v>2044</v>
      </c>
      <c r="X24">
        <v>2045</v>
      </c>
      <c r="Y24">
        <v>2046</v>
      </c>
      <c r="Z24">
        <v>2047</v>
      </c>
      <c r="AA24">
        <v>2048</v>
      </c>
      <c r="AB24">
        <v>2049</v>
      </c>
      <c r="AC24">
        <v>2050</v>
      </c>
    </row>
    <row r="25" spans="2:29" x14ac:dyDescent="0.25">
      <c r="B25" s="1" t="s">
        <v>548</v>
      </c>
      <c r="C25">
        <f>Calculations!D44</f>
        <v>1.4025661782562939</v>
      </c>
      <c r="D25">
        <f>Calculations!E44</f>
        <v>0.41060633044604544</v>
      </c>
      <c r="E25">
        <f>Calculations!F44</f>
        <v>0.89845543592649557</v>
      </c>
      <c r="F25">
        <f>Calculations!G44</f>
        <v>1.3732952319274669</v>
      </c>
      <c r="G25">
        <f>Calculations!H44</f>
        <v>1.3838652958795432</v>
      </c>
      <c r="H25">
        <f>Calculations!I44</f>
        <v>1.3944353598316197</v>
      </c>
      <c r="I25">
        <f>Calculations!J44</f>
        <v>2.0562839796000971</v>
      </c>
      <c r="J25">
        <f>Calculations!K44</f>
        <v>2.9401039423621791</v>
      </c>
      <c r="K25">
        <f>Calculations!L44</f>
        <v>3.8515686877681534</v>
      </c>
      <c r="L25">
        <f>Calculations!M44</f>
        <v>4.5605760543997409</v>
      </c>
      <c r="M25">
        <f>Calculations!N44</f>
        <v>5.449274508216627</v>
      </c>
      <c r="N25">
        <f>Calculations!O44</f>
        <v>5.459844572168703</v>
      </c>
      <c r="O25">
        <f>Calculations!P44</f>
        <v>5.4704146361207799</v>
      </c>
      <c r="P25">
        <f>Calculations!Q44</f>
        <v>5.480984700072856</v>
      </c>
      <c r="Q25">
        <f>Calculations!R44</f>
        <v>5.4915547640249329</v>
      </c>
      <c r="R25">
        <f>Calculations!S44</f>
        <v>5.5029379098194759</v>
      </c>
      <c r="S25">
        <f>Calculations!T44</f>
        <v>5.5143210556140208</v>
      </c>
      <c r="T25">
        <f>Calculations!U44</f>
        <v>5.5273303650934995</v>
      </c>
      <c r="U25">
        <f>Calculations!V44</f>
        <v>5.5444050837853149</v>
      </c>
      <c r="V25">
        <f>Calculations!W44</f>
        <v>5.5679844572168697</v>
      </c>
      <c r="W25">
        <f>Calculations!X44</f>
        <v>5.6053862219703712</v>
      </c>
      <c r="X25">
        <f>Calculations!Y44</f>
        <v>5.6696196875252971</v>
      </c>
      <c r="Y25">
        <f>Calculations!Z44</f>
        <v>5.7818249817858005</v>
      </c>
      <c r="Z25">
        <f>Calculations!AA44</f>
        <v>5.8940302760463048</v>
      </c>
      <c r="AA25">
        <f>Calculations!AB44</f>
        <v>6.0070486521492752</v>
      </c>
      <c r="AB25">
        <f>Calculations!AC44</f>
        <v>6.1208801100947134</v>
      </c>
      <c r="AC25">
        <f>Calculations!AD44</f>
        <v>6.2355246498826196</v>
      </c>
    </row>
    <row r="26" spans="2:29" x14ac:dyDescent="0.25">
      <c r="B26" s="1" t="s">
        <v>553</v>
      </c>
      <c r="C26">
        <f>Calculations!D63</f>
        <v>0.32243382174370594</v>
      </c>
      <c r="D26">
        <f>Calculations!E63</f>
        <v>9.4393669553954507E-2</v>
      </c>
      <c r="E26">
        <f>Calculations!F63</f>
        <v>0.20654456407350441</v>
      </c>
      <c r="F26">
        <f>Calculations!G63</f>
        <v>0.31570476807253295</v>
      </c>
      <c r="G26">
        <f>Calculations!H63</f>
        <v>0.31813470412045658</v>
      </c>
      <c r="H26">
        <f>Calculations!I63</f>
        <v>0.32056464016838015</v>
      </c>
      <c r="I26">
        <f>Calculations!J63</f>
        <v>0.47271602039990285</v>
      </c>
      <c r="J26">
        <f>Calculations!K63</f>
        <v>0.67589605763782079</v>
      </c>
      <c r="K26">
        <f>Calculations!L63</f>
        <v>0.88543131223184646</v>
      </c>
      <c r="L26">
        <f>Calculations!M63</f>
        <v>1.0484239456002591</v>
      </c>
      <c r="M26">
        <f>Calculations!N63</f>
        <v>1.2527254917833723</v>
      </c>
      <c r="N26">
        <f>Calculations!O63</f>
        <v>1.255155427831296</v>
      </c>
      <c r="O26">
        <f>Calculations!P63</f>
        <v>1.2575853638792196</v>
      </c>
      <c r="P26">
        <f>Calculations!Q63</f>
        <v>1.2600152999271432</v>
      </c>
      <c r="Q26">
        <f>Calculations!R63</f>
        <v>1.2624452359750666</v>
      </c>
      <c r="R26">
        <f>Calculations!S63</f>
        <v>1.265062090180523</v>
      </c>
      <c r="S26">
        <f>Calculations!T63</f>
        <v>1.2676789443859791</v>
      </c>
      <c r="T26">
        <f>Calculations!U63</f>
        <v>1.2706696349065005</v>
      </c>
      <c r="U26">
        <f>Calculations!V63</f>
        <v>1.2745949162146848</v>
      </c>
      <c r="V26">
        <f>Calculations!W63</f>
        <v>1.2800155427831297</v>
      </c>
      <c r="W26">
        <f>Calculations!X63</f>
        <v>1.2886137780296285</v>
      </c>
      <c r="X26">
        <f>Calculations!Y63</f>
        <v>1.3033803124747023</v>
      </c>
      <c r="Y26">
        <f>Calculations!Z63</f>
        <v>1.329175018214199</v>
      </c>
      <c r="Z26">
        <f>Calculations!AA63</f>
        <v>1.3549697239536955</v>
      </c>
      <c r="AA26">
        <f>Calculations!AB63</f>
        <v>1.3809513478507245</v>
      </c>
      <c r="AB26">
        <f>Calculations!AC63</f>
        <v>1.4071198899052861</v>
      </c>
      <c r="AC26">
        <f>Calculations!AD63</f>
        <v>1.4334753501173803</v>
      </c>
    </row>
    <row r="27" spans="2:29" x14ac:dyDescent="0.25">
      <c r="B27" s="1" t="s">
        <v>555</v>
      </c>
      <c r="C27">
        <f>Calculations!D84+C21*1000</f>
        <v>13468.725</v>
      </c>
      <c r="D27">
        <f>Calculations!E84+D21*1000</f>
        <v>18508.008000000002</v>
      </c>
      <c r="E27">
        <f>Calculations!F84+E21*1000</f>
        <v>22540.969000000001</v>
      </c>
      <c r="F27">
        <f>Calculations!G84+F21*1000</f>
        <v>26559.125</v>
      </c>
      <c r="G27">
        <f>Calculations!H84+G21*1000</f>
        <v>30576.868999999999</v>
      </c>
      <c r="H27">
        <f>Calculations!I84+H21*1000</f>
        <v>40595.394999999997</v>
      </c>
      <c r="I27">
        <f>Calculations!J84+I21*1000</f>
        <v>50615.290999999997</v>
      </c>
      <c r="J27">
        <f>Calculations!K84+$I$21*1000</f>
        <v>50634.760999999999</v>
      </c>
      <c r="K27">
        <f>Calculations!L84+$I$21*1000</f>
        <v>50655.343999999997</v>
      </c>
      <c r="L27">
        <f>Calculations!M84+$I$21*1000</f>
        <v>50676.552000000003</v>
      </c>
      <c r="M27">
        <f>Calculations!N84+$I$21*1000</f>
        <v>50700.095000000001</v>
      </c>
      <c r="N27">
        <f>Calculations!O84+$I$21*1000</f>
        <v>50722.014000000003</v>
      </c>
      <c r="O27">
        <f>Calculations!P84+$I$21*1000</f>
        <v>50744.811999999998</v>
      </c>
      <c r="P27">
        <f>Calculations!Q84+$I$21*1000</f>
        <v>50769.997000000003</v>
      </c>
      <c r="Q27">
        <f>Calculations!R84+$I$21*1000</f>
        <v>50793.459000000003</v>
      </c>
      <c r="R27">
        <f>Calculations!S84+$I$21*1000</f>
        <v>50816.315999999999</v>
      </c>
      <c r="S27">
        <f>Calculations!T84+$I$21*1000</f>
        <v>50838.228000000003</v>
      </c>
      <c r="T27">
        <f>Calculations!U84+$I$21*1000</f>
        <v>50858.498999999996</v>
      </c>
      <c r="U27">
        <f>Calculations!V84+$I$21*1000</f>
        <v>50881.084999999999</v>
      </c>
      <c r="V27">
        <f>Calculations!W84+$I$21*1000</f>
        <v>50901.161999999997</v>
      </c>
      <c r="W27">
        <f>Calculations!X84+$I$21*1000</f>
        <v>50921.178</v>
      </c>
      <c r="X27">
        <f>Calculations!Y84+$I$21*1000</f>
        <v>50940.084000000003</v>
      </c>
      <c r="Y27">
        <f>Calculations!Z84+$I$21*1000</f>
        <v>50959.432999999997</v>
      </c>
      <c r="Z27">
        <f>Calculations!AA84+$I$21*1000</f>
        <v>50979.940999999999</v>
      </c>
      <c r="AA27">
        <f>Calculations!AB84+$I$21*1000</f>
        <v>51000.097000000002</v>
      </c>
      <c r="AB27">
        <f>Calculations!AC84+$I$21*1000</f>
        <v>51019.017999999996</v>
      </c>
      <c r="AC27">
        <f>Calculations!AD84+$I$21*1000</f>
        <v>51039.06</v>
      </c>
    </row>
  </sheetData>
  <mergeCells count="5">
    <mergeCell ref="B9:B10"/>
    <mergeCell ref="C9:E9"/>
    <mergeCell ref="F9:I9"/>
    <mergeCell ref="B11:E11"/>
    <mergeCell ref="F11:I11"/>
  </mergeCells>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F4" sqref="F4"/>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D4" sqref="D4"/>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C4" sqref="C4"/>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s="64">
        <f>'Data Center Gas'!D27</f>
        <v>18508.008000000002</v>
      </c>
      <c r="D4" s="64">
        <f>'Data Center Gas'!E27</f>
        <v>22540.969000000001</v>
      </c>
      <c r="E4" s="64">
        <f>'Data Center Gas'!F27</f>
        <v>26559.125</v>
      </c>
      <c r="F4" s="64">
        <f>'Data Center Gas'!G27</f>
        <v>30576.868999999999</v>
      </c>
      <c r="G4" s="64">
        <f>'Data Center Gas'!H27</f>
        <v>40595.394999999997</v>
      </c>
      <c r="H4" s="64">
        <f>'Data Center Gas'!I27</f>
        <v>50615.290999999997</v>
      </c>
      <c r="I4" s="64">
        <f>'Data Center Gas'!J27</f>
        <v>50634.760999999999</v>
      </c>
      <c r="J4" s="64">
        <f>'Data Center Gas'!K27</f>
        <v>50655.343999999997</v>
      </c>
      <c r="K4" s="64">
        <f>'Data Center Gas'!L27</f>
        <v>50676.552000000003</v>
      </c>
      <c r="L4" s="64">
        <f>'Data Center Gas'!M27</f>
        <v>50700.095000000001</v>
      </c>
      <c r="M4" s="64">
        <f>'Data Center Gas'!N27</f>
        <v>50722.014000000003</v>
      </c>
      <c r="N4" s="64">
        <f>'Data Center Gas'!O27</f>
        <v>50744.811999999998</v>
      </c>
      <c r="O4" s="64">
        <f>'Data Center Gas'!P27</f>
        <v>50769.997000000003</v>
      </c>
      <c r="P4" s="64">
        <f>'Data Center Gas'!Q27</f>
        <v>50793.459000000003</v>
      </c>
      <c r="Q4" s="64">
        <f>'Data Center Gas'!R27</f>
        <v>50816.315999999999</v>
      </c>
      <c r="R4" s="64">
        <f>'Data Center Gas'!S27</f>
        <v>50838.228000000003</v>
      </c>
      <c r="S4" s="64">
        <f>'Data Center Gas'!T27</f>
        <v>50858.498999999996</v>
      </c>
      <c r="T4" s="64">
        <f>'Data Center Gas'!U27</f>
        <v>50881.084999999999</v>
      </c>
      <c r="U4" s="64">
        <f>'Data Center Gas'!V27</f>
        <v>50901.161999999997</v>
      </c>
      <c r="V4" s="64">
        <f>'Data Center Gas'!W27</f>
        <v>50921.178</v>
      </c>
      <c r="W4" s="64">
        <f>'Data Center Gas'!X27</f>
        <v>50940.084000000003</v>
      </c>
      <c r="X4" s="64">
        <f>'Data Center Gas'!Y27</f>
        <v>50959.432999999997</v>
      </c>
      <c r="Y4" s="64">
        <f>'Data Center Gas'!Z27</f>
        <v>50979.940999999999</v>
      </c>
      <c r="Z4" s="64">
        <f>'Data Center Gas'!AA27</f>
        <v>51000.097000000002</v>
      </c>
      <c r="AA4" s="64">
        <f>'Data Center Gas'!AB27</f>
        <v>51019.017999999996</v>
      </c>
      <c r="AB4" s="64">
        <f>'Data Center Gas'!AC27</f>
        <v>51039.06</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2026-06-12T16:42:23Z</dcterms:modified>
</cp:coreProperties>
</file>