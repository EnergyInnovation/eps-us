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defaultThemeVersion="124226"/>
  <mc:AlternateContent xmlns:mc="http://schemas.openxmlformats.org/markup-compatibility/2006">
    <mc:Choice Requires="x15">
      <x15ac:absPath xmlns:x15ac="http://schemas.microsoft.com/office/spreadsheetml/2010/11/ac" url="C:\Users\MeganMahajan\Documents\eps-us-analysis\InputData\bldgs\BDESC\"/>
    </mc:Choice>
  </mc:AlternateContent>
  <xr:revisionPtr revIDLastSave="0" documentId="8_{4797AF00-688F-4F88-8327-EF83C8F7F698}" xr6:coauthVersionLast="47" xr6:coauthVersionMax="47" xr10:uidLastSave="{00000000-0000-0000-0000-000000000000}"/>
  <bookViews>
    <workbookView xWindow="38280" yWindow="-120" windowWidth="29040" windowHeight="17520" tabRatio="905" firstSheet="3" activeTab="10" xr2:uid="{EAFC2935-000E-413A-B5D2-814429F7674A}"/>
  </bookViews>
  <sheets>
    <sheet name="About" sheetId="1" r:id="rId1"/>
    <sheet name="AEO21_Table_21._Residential_Sec" sheetId="14" r:id="rId2"/>
    <sheet name="AEO22_Table_21._Residential_Sec" sheetId="17" r:id="rId3"/>
    <sheet name="AEO23_Table_21._Residential" sheetId="19" r:id="rId4"/>
    <sheet name="AEO21_Table_22._Comm_Sector_Ene" sheetId="15" r:id="rId5"/>
    <sheet name="AEO23_table_22._Comm" sheetId="20" r:id="rId6"/>
    <sheet name="AEO22_Table_22._Comm_Sector_Ene" sheetId="16" r:id="rId7"/>
    <sheet name="Calculations" sheetId="13" r:id="rId8"/>
    <sheet name="RECS HC2.1" sheetId="8" r:id="rId9"/>
    <sheet name="Inflation Reduction Act" sheetId="18" r:id="rId10"/>
    <sheet name="BDESC-urban-residential" sheetId="6" r:id="rId11"/>
    <sheet name="BDESC-rural-residential" sheetId="10" r:id="rId12"/>
    <sheet name="BDESC-commercial" sheetId="7" r:id="rId13"/>
  </sheets>
  <definedNames>
    <definedName name="billion_kw_to_MW">About!$B$35</definedName>
    <definedName name="gigwatt_to_megawatt">About!$B$36</definedName>
    <definedName name="Percent_rural">About!$A$33</definedName>
    <definedName name="Percent_Urban">About!$A$32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59" i="18" l="1"/>
  <c r="I59" i="18"/>
  <c r="E6" i="13"/>
  <c r="F6" i="13"/>
  <c r="G6" i="13"/>
  <c r="H6" i="13"/>
  <c r="I6" i="13"/>
  <c r="J6" i="13"/>
  <c r="K6" i="13"/>
  <c r="L6" i="13"/>
  <c r="M6" i="13"/>
  <c r="N6" i="13"/>
  <c r="O6" i="13"/>
  <c r="P6" i="13"/>
  <c r="Q6" i="13"/>
  <c r="R6" i="13"/>
  <c r="S6" i="13"/>
  <c r="T6" i="13"/>
  <c r="U6" i="13"/>
  <c r="V6" i="13"/>
  <c r="W6" i="13"/>
  <c r="X6" i="13"/>
  <c r="Y6" i="13"/>
  <c r="Z6" i="13"/>
  <c r="AA6" i="13"/>
  <c r="AB6" i="13"/>
  <c r="AC6" i="13"/>
  <c r="AD6" i="13"/>
  <c r="AE6" i="13"/>
  <c r="AF6" i="13"/>
  <c r="AG6" i="13"/>
  <c r="AH6" i="13"/>
  <c r="AI6"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E25" i="13"/>
  <c r="F25" i="13"/>
  <c r="G25" i="13"/>
  <c r="H25" i="13"/>
  <c r="I25" i="13"/>
  <c r="J25" i="13"/>
  <c r="K25" i="13"/>
  <c r="L25" i="13"/>
  <c r="M25" i="13"/>
  <c r="N25" i="13"/>
  <c r="O25" i="13"/>
  <c r="P25" i="13"/>
  <c r="Q25" i="13"/>
  <c r="R25" i="13"/>
  <c r="S25" i="13"/>
  <c r="T25" i="13"/>
  <c r="U25" i="13"/>
  <c r="V25" i="13"/>
  <c r="W25" i="13"/>
  <c r="X25" i="13"/>
  <c r="Y25" i="13"/>
  <c r="Z25" i="13"/>
  <c r="AA25" i="13"/>
  <c r="AB25" i="13"/>
  <c r="AC25" i="13"/>
  <c r="AD25" i="13"/>
  <c r="AE25" i="13"/>
  <c r="AF25" i="13"/>
  <c r="AG25" i="13"/>
  <c r="AH25" i="13"/>
  <c r="AI25" i="13"/>
  <c r="E28" i="13"/>
  <c r="F28" i="13"/>
  <c r="G28" i="13"/>
  <c r="H28" i="13"/>
  <c r="I28" i="13"/>
  <c r="J28" i="13"/>
  <c r="K28" i="13"/>
  <c r="L28" i="13"/>
  <c r="M28" i="13"/>
  <c r="N28" i="13"/>
  <c r="O28" i="13"/>
  <c r="P28" i="13"/>
  <c r="Q28" i="13"/>
  <c r="R28" i="13"/>
  <c r="S28" i="13"/>
  <c r="T28" i="13"/>
  <c r="U28" i="13"/>
  <c r="V28" i="13"/>
  <c r="W28" i="13"/>
  <c r="X28" i="13"/>
  <c r="Y28" i="13"/>
  <c r="Z28" i="13"/>
  <c r="AA28" i="13"/>
  <c r="AB28" i="13"/>
  <c r="AC28" i="13"/>
  <c r="AD28" i="13"/>
  <c r="AE28" i="13"/>
  <c r="AF28" i="13"/>
  <c r="AG28" i="13"/>
  <c r="AH28" i="13"/>
  <c r="AI28"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H88" i="13" l="1"/>
  <c r="I88" i="13"/>
  <c r="J88" i="13"/>
  <c r="K88" i="13"/>
  <c r="L88" i="13"/>
  <c r="M88" i="13"/>
  <c r="N88" i="13"/>
  <c r="O88" i="13"/>
  <c r="P88" i="13"/>
  <c r="Q88" i="13"/>
  <c r="R88" i="13"/>
  <c r="S88" i="13"/>
  <c r="T88" i="13"/>
  <c r="U88" i="13"/>
  <c r="V88" i="13"/>
  <c r="W88" i="13"/>
  <c r="X88" i="13"/>
  <c r="Y88" i="13"/>
  <c r="Z88" i="13"/>
  <c r="AA88" i="13"/>
  <c r="AB88" i="13"/>
  <c r="AC88" i="13"/>
  <c r="AD88" i="13"/>
  <c r="AE88" i="13"/>
  <c r="AF88" i="13"/>
  <c r="AG88" i="13"/>
  <c r="AH88" i="13"/>
  <c r="AI88" i="13"/>
  <c r="G88" i="13"/>
  <c r="E88" i="13"/>
  <c r="H67" i="13"/>
  <c r="I67" i="13"/>
  <c r="J67" i="13"/>
  <c r="K67" i="13"/>
  <c r="L67" i="13"/>
  <c r="M67" i="13"/>
  <c r="N67" i="13"/>
  <c r="O67" i="13"/>
  <c r="P67" i="13"/>
  <c r="Q67" i="13"/>
  <c r="R67" i="13"/>
  <c r="S67" i="13"/>
  <c r="T67" i="13"/>
  <c r="U67" i="13"/>
  <c r="V67" i="13"/>
  <c r="W67" i="13"/>
  <c r="X67" i="13"/>
  <c r="Y67" i="13"/>
  <c r="Z67" i="13"/>
  <c r="AA67" i="13"/>
  <c r="AB67" i="13"/>
  <c r="AC67" i="13"/>
  <c r="AD67" i="13"/>
  <c r="AE67" i="13"/>
  <c r="AF67" i="13"/>
  <c r="AG67" i="13"/>
  <c r="AH67" i="13"/>
  <c r="AI67" i="13"/>
  <c r="G48" i="13"/>
  <c r="G67" i="13"/>
  <c r="H48" i="13"/>
  <c r="I48" i="13"/>
  <c r="J48" i="13"/>
  <c r="K48" i="13"/>
  <c r="L48" i="13"/>
  <c r="M48" i="13"/>
  <c r="N48" i="13"/>
  <c r="O48" i="13"/>
  <c r="P48" i="13"/>
  <c r="Q48" i="13"/>
  <c r="R48" i="13"/>
  <c r="S48" i="13"/>
  <c r="T48" i="13"/>
  <c r="U48" i="13"/>
  <c r="V48" i="13"/>
  <c r="W48" i="13"/>
  <c r="X48" i="13"/>
  <c r="Y48" i="13"/>
  <c r="Z48" i="13"/>
  <c r="AA48" i="13"/>
  <c r="AB48" i="13"/>
  <c r="AC48" i="13"/>
  <c r="AD48" i="13"/>
  <c r="AE48" i="13"/>
  <c r="AF48" i="13"/>
  <c r="AG48" i="13"/>
  <c r="AH48" i="13"/>
  <c r="AI48" i="13"/>
  <c r="B57" i="18"/>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B58" i="18" l="1"/>
  <c r="C58" i="18" s="1"/>
  <c r="D58" i="18" l="1"/>
  <c r="AI92" i="13"/>
  <c r="BD92" i="13" s="1"/>
  <c r="AD92" i="13"/>
  <c r="BC92" i="13" s="1"/>
  <c r="Y92" i="13"/>
  <c r="BB92" i="13" s="1"/>
  <c r="T92" i="13"/>
  <c r="BA92" i="13" s="1"/>
  <c r="O92" i="13"/>
  <c r="AZ92" i="13" s="1"/>
  <c r="J92" i="13"/>
  <c r="AY92" i="13" s="1"/>
  <c r="BD88" i="13"/>
  <c r="BC88" i="13"/>
  <c r="BB88" i="13"/>
  <c r="BA88" i="13"/>
  <c r="AZ88" i="13"/>
  <c r="AY88" i="13"/>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AX88" i="13"/>
  <c r="E87" i="13"/>
  <c r="AX87" i="13" s="1"/>
  <c r="E84" i="13"/>
  <c r="AX84" i="13" s="1"/>
  <c r="E58" i="18" l="1"/>
  <c r="AA87" i="13"/>
  <c r="Y7" i="7" s="1"/>
  <c r="S87" i="13"/>
  <c r="Q7" i="7" s="1"/>
  <c r="F8" i="7"/>
  <c r="U8" i="7"/>
  <c r="AD8" i="7"/>
  <c r="L8" i="7"/>
  <c r="I8" i="7"/>
  <c r="AC87" i="13"/>
  <c r="AA7" i="7" s="1"/>
  <c r="AB87" i="13"/>
  <c r="Z7" i="7" s="1"/>
  <c r="X92" i="13"/>
  <c r="V12" i="7" s="1"/>
  <c r="P92" i="13"/>
  <c r="N12" i="7" s="1"/>
  <c r="J8" i="7"/>
  <c r="K8" i="7"/>
  <c r="P8" i="7"/>
  <c r="G8" i="7"/>
  <c r="F88" i="13"/>
  <c r="D8" i="7" s="1"/>
  <c r="I92" i="13"/>
  <c r="G12" i="7" s="1"/>
  <c r="P87" i="13"/>
  <c r="N7" i="7" s="1"/>
  <c r="W92" i="13"/>
  <c r="U12" i="7" s="1"/>
  <c r="Q87" i="13"/>
  <c r="O7" i="7" s="1"/>
  <c r="V8" i="7"/>
  <c r="AB92" i="13"/>
  <c r="Z12" i="7" s="1"/>
  <c r="Z87" i="13"/>
  <c r="X7" i="7" s="1"/>
  <c r="AG87" i="13"/>
  <c r="AE7" i="7" s="1"/>
  <c r="AH87" i="13"/>
  <c r="AF7" i="7" s="1"/>
  <c r="AH92" i="13"/>
  <c r="AF12" i="7" s="1"/>
  <c r="R87" i="13"/>
  <c r="P7" i="7" s="1"/>
  <c r="N8" i="7"/>
  <c r="AC92" i="13"/>
  <c r="AA12" i="7" s="1"/>
  <c r="T8" i="7"/>
  <c r="E8" i="7"/>
  <c r="O8" i="7"/>
  <c r="S92" i="13"/>
  <c r="Q12" i="7" s="1"/>
  <c r="AE87" i="13"/>
  <c r="AC7" i="7" s="1"/>
  <c r="AE92" i="13"/>
  <c r="AC12" i="7" s="1"/>
  <c r="U87" i="13"/>
  <c r="S7" i="7" s="1"/>
  <c r="U92" i="13"/>
  <c r="S12" i="7" s="1"/>
  <c r="X87" i="13"/>
  <c r="V7" i="7" s="1"/>
  <c r="AF87" i="13"/>
  <c r="AD7" i="7" s="1"/>
  <c r="AF92" i="13"/>
  <c r="AD12" i="7" s="1"/>
  <c r="V87" i="13"/>
  <c r="T7" i="7" s="1"/>
  <c r="V92" i="13"/>
  <c r="T12" i="7" s="1"/>
  <c r="Q8" i="7"/>
  <c r="Z92" i="13"/>
  <c r="X12" i="7" s="1"/>
  <c r="AG92" i="13"/>
  <c r="AE12" i="7" s="1"/>
  <c r="W87" i="13"/>
  <c r="U7" i="7" s="1"/>
  <c r="AC8" i="7"/>
  <c r="S8" i="7"/>
  <c r="AA92" i="13"/>
  <c r="Y12" i="7" s="1"/>
  <c r="AF8" i="7"/>
  <c r="AE8" i="7"/>
  <c r="Q92" i="13"/>
  <c r="O12" i="7" s="1"/>
  <c r="H92" i="13"/>
  <c r="F12" i="7" s="1"/>
  <c r="R92" i="13"/>
  <c r="P12" i="7" s="1"/>
  <c r="K92" i="13"/>
  <c r="I12" i="7" s="1"/>
  <c r="F92" i="13"/>
  <c r="D12" i="7" s="1"/>
  <c r="M92" i="13"/>
  <c r="K12" i="7" s="1"/>
  <c r="G92" i="13"/>
  <c r="E12" i="7" s="1"/>
  <c r="N92" i="13"/>
  <c r="L12" i="7" s="1"/>
  <c r="L92" i="13"/>
  <c r="J12" i="7" s="1"/>
  <c r="Y8" i="7"/>
  <c r="X8" i="7"/>
  <c r="Z8" i="7"/>
  <c r="AA8" i="7"/>
  <c r="I87" i="13"/>
  <c r="G7" i="7" s="1"/>
  <c r="K87" i="13"/>
  <c r="I7" i="7" s="1"/>
  <c r="L87" i="13"/>
  <c r="J7" i="7" s="1"/>
  <c r="F87" i="13"/>
  <c r="D7" i="7" s="1"/>
  <c r="M87" i="13"/>
  <c r="K7" i="7" s="1"/>
  <c r="N87" i="13"/>
  <c r="L7" i="7" s="1"/>
  <c r="G87" i="13"/>
  <c r="E7" i="7" s="1"/>
  <c r="H87" i="13"/>
  <c r="F7" i="7" s="1"/>
  <c r="C4" i="7"/>
  <c r="H7" i="7"/>
  <c r="R12" i="7"/>
  <c r="AB8" i="7"/>
  <c r="C12" i="7"/>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AG2" i="7"/>
  <c r="H4" i="7"/>
  <c r="M4" i="7"/>
  <c r="R4" i="7"/>
  <c r="W4" i="7"/>
  <c r="AB4" i="7"/>
  <c r="AG4" i="7"/>
  <c r="C5" i="7"/>
  <c r="D5" i="7"/>
  <c r="E5" i="7"/>
  <c r="F5" i="7"/>
  <c r="G5" i="7"/>
  <c r="H5" i="7"/>
  <c r="I5" i="7"/>
  <c r="J5" i="7"/>
  <c r="K5" i="7"/>
  <c r="L5" i="7"/>
  <c r="M5" i="7"/>
  <c r="N5" i="7"/>
  <c r="O5" i="7"/>
  <c r="P5" i="7"/>
  <c r="Q5" i="7"/>
  <c r="R5" i="7"/>
  <c r="S5" i="7"/>
  <c r="T5" i="7"/>
  <c r="U5" i="7"/>
  <c r="V5" i="7"/>
  <c r="W5" i="7"/>
  <c r="X5" i="7"/>
  <c r="Y5" i="7"/>
  <c r="Z5" i="7"/>
  <c r="AA5" i="7"/>
  <c r="AB5" i="7"/>
  <c r="AC5" i="7"/>
  <c r="AD5" i="7"/>
  <c r="AE5" i="7"/>
  <c r="AF5" i="7"/>
  <c r="AG5" i="7"/>
  <c r="C6" i="7"/>
  <c r="D6" i="7"/>
  <c r="E6" i="7"/>
  <c r="F6" i="7"/>
  <c r="G6" i="7"/>
  <c r="H6" i="7"/>
  <c r="I6" i="7"/>
  <c r="J6" i="7"/>
  <c r="K6" i="7"/>
  <c r="L6" i="7"/>
  <c r="M6" i="7"/>
  <c r="N6" i="7"/>
  <c r="O6" i="7"/>
  <c r="P6" i="7"/>
  <c r="Q6" i="7"/>
  <c r="R6" i="7"/>
  <c r="S6" i="7"/>
  <c r="T6" i="7"/>
  <c r="U6" i="7"/>
  <c r="V6" i="7"/>
  <c r="W6" i="7"/>
  <c r="X6" i="7"/>
  <c r="Y6" i="7"/>
  <c r="Z6" i="7"/>
  <c r="AA6" i="7"/>
  <c r="AB6" i="7"/>
  <c r="AC6" i="7"/>
  <c r="AD6" i="7"/>
  <c r="AE6" i="7"/>
  <c r="AF6" i="7"/>
  <c r="AG6" i="7"/>
  <c r="C7" i="7"/>
  <c r="M7" i="7"/>
  <c r="R7" i="7"/>
  <c r="W7" i="7"/>
  <c r="AB7" i="7"/>
  <c r="C8" i="7"/>
  <c r="H8" i="7"/>
  <c r="M8" i="7"/>
  <c r="R8" i="7"/>
  <c r="W8" i="7"/>
  <c r="C9" i="7"/>
  <c r="D9" i="7"/>
  <c r="E9" i="7"/>
  <c r="F9" i="7"/>
  <c r="G9" i="7"/>
  <c r="H9" i="7"/>
  <c r="I9" i="7"/>
  <c r="J9" i="7"/>
  <c r="K9" i="7"/>
  <c r="L9" i="7"/>
  <c r="M9" i="7"/>
  <c r="N9" i="7"/>
  <c r="O9" i="7"/>
  <c r="P9" i="7"/>
  <c r="Q9" i="7"/>
  <c r="R9" i="7"/>
  <c r="S9" i="7"/>
  <c r="T9" i="7"/>
  <c r="U9" i="7"/>
  <c r="V9" i="7"/>
  <c r="W9" i="7"/>
  <c r="X9" i="7"/>
  <c r="Y9" i="7"/>
  <c r="Z9" i="7"/>
  <c r="AA9" i="7"/>
  <c r="AB9" i="7"/>
  <c r="AC9" i="7"/>
  <c r="AD9" i="7"/>
  <c r="AE9" i="7"/>
  <c r="AF9" i="7"/>
  <c r="AG9"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H12" i="7"/>
  <c r="M12" i="7"/>
  <c r="W12" i="7"/>
  <c r="AB12"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B5" i="7"/>
  <c r="B6" i="7"/>
  <c r="B9" i="7"/>
  <c r="B10" i="7"/>
  <c r="B11" i="7"/>
  <c r="B13" i="7"/>
  <c r="B14" i="7"/>
  <c r="B15" i="7"/>
  <c r="B16" i="7"/>
  <c r="B17" i="7"/>
  <c r="B18" i="7"/>
  <c r="B2"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AD2" i="10"/>
  <c r="AE2" i="10"/>
  <c r="AF2" i="10"/>
  <c r="AG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AD5" i="10"/>
  <c r="AE5" i="10"/>
  <c r="AF5" i="10"/>
  <c r="AG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AD6" i="10"/>
  <c r="AE6" i="10"/>
  <c r="AF6" i="10"/>
  <c r="AG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AD9" i="10"/>
  <c r="AE9" i="10"/>
  <c r="AF9" i="10"/>
  <c r="AG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AF10" i="10"/>
  <c r="AG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AF11" i="10"/>
  <c r="AG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AF12" i="10"/>
  <c r="AG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AF13" i="10"/>
  <c r="AG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AF14" i="10"/>
  <c r="AG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AF15" i="10"/>
  <c r="AG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AD16" i="10"/>
  <c r="AE16" i="10"/>
  <c r="AF16" i="10"/>
  <c r="AG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AD17" i="10"/>
  <c r="AE17" i="10"/>
  <c r="AF17" i="10"/>
  <c r="AG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D18" i="10"/>
  <c r="AE18" i="10"/>
  <c r="AF18" i="10"/>
  <c r="AG18" i="10"/>
  <c r="B5" i="10"/>
  <c r="B6" i="10"/>
  <c r="B9" i="10"/>
  <c r="B10" i="10"/>
  <c r="B11" i="10"/>
  <c r="B12" i="10"/>
  <c r="B13" i="10"/>
  <c r="B14" i="10"/>
  <c r="B15" i="10"/>
  <c r="B16" i="10"/>
  <c r="B17" i="10"/>
  <c r="B18" i="10"/>
  <c r="B2" i="10"/>
  <c r="B2" i="6"/>
  <c r="C2" i="6"/>
  <c r="D2" i="6"/>
  <c r="E2" i="6"/>
  <c r="F2" i="6"/>
  <c r="G2" i="6"/>
  <c r="H2" i="6"/>
  <c r="I2" i="6"/>
  <c r="J2" i="6"/>
  <c r="K2" i="6"/>
  <c r="L2" i="6"/>
  <c r="M2" i="6"/>
  <c r="N2" i="6"/>
  <c r="O2" i="6"/>
  <c r="P2" i="6"/>
  <c r="Q2" i="6"/>
  <c r="R2" i="6"/>
  <c r="S2" i="6"/>
  <c r="T2" i="6"/>
  <c r="U2" i="6"/>
  <c r="V2" i="6"/>
  <c r="W2" i="6"/>
  <c r="X2" i="6"/>
  <c r="Y2" i="6"/>
  <c r="Z2" i="6"/>
  <c r="AA2" i="6"/>
  <c r="AB2" i="6"/>
  <c r="AC2" i="6"/>
  <c r="AD2" i="6"/>
  <c r="AE2" i="6"/>
  <c r="B5" i="6"/>
  <c r="C5" i="6"/>
  <c r="D5" i="6"/>
  <c r="E5" i="6"/>
  <c r="F5" i="6"/>
  <c r="G5" i="6"/>
  <c r="H5" i="6"/>
  <c r="I5" i="6"/>
  <c r="J5" i="6"/>
  <c r="K5" i="6"/>
  <c r="L5" i="6"/>
  <c r="M5" i="6"/>
  <c r="N5" i="6"/>
  <c r="O5" i="6"/>
  <c r="P5" i="6"/>
  <c r="Q5" i="6"/>
  <c r="R5" i="6"/>
  <c r="S5" i="6"/>
  <c r="T5" i="6"/>
  <c r="U5" i="6"/>
  <c r="V5" i="6"/>
  <c r="W5" i="6"/>
  <c r="X5" i="6"/>
  <c r="Y5" i="6"/>
  <c r="Z5" i="6"/>
  <c r="AA5" i="6"/>
  <c r="AB5" i="6"/>
  <c r="AC5" i="6"/>
  <c r="AD5" i="6"/>
  <c r="AE5" i="6"/>
  <c r="B6" i="6"/>
  <c r="C6" i="6"/>
  <c r="D6" i="6"/>
  <c r="E6" i="6"/>
  <c r="F6" i="6"/>
  <c r="G6" i="6"/>
  <c r="H6" i="6"/>
  <c r="I6" i="6"/>
  <c r="J6" i="6"/>
  <c r="K6" i="6"/>
  <c r="L6" i="6"/>
  <c r="M6" i="6"/>
  <c r="N6" i="6"/>
  <c r="O6" i="6"/>
  <c r="P6" i="6"/>
  <c r="Q6" i="6"/>
  <c r="R6" i="6"/>
  <c r="S6" i="6"/>
  <c r="T6" i="6"/>
  <c r="U6" i="6"/>
  <c r="V6" i="6"/>
  <c r="W6" i="6"/>
  <c r="X6" i="6"/>
  <c r="Y6" i="6"/>
  <c r="Z6" i="6"/>
  <c r="AA6" i="6"/>
  <c r="AB6" i="6"/>
  <c r="AC6" i="6"/>
  <c r="AD6" i="6"/>
  <c r="AE6" i="6"/>
  <c r="B9" i="6"/>
  <c r="C9" i="6"/>
  <c r="D9" i="6"/>
  <c r="E9" i="6"/>
  <c r="F9" i="6"/>
  <c r="G9" i="6"/>
  <c r="H9" i="6"/>
  <c r="I9" i="6"/>
  <c r="J9" i="6"/>
  <c r="K9" i="6"/>
  <c r="L9" i="6"/>
  <c r="M9" i="6"/>
  <c r="N9" i="6"/>
  <c r="O9" i="6"/>
  <c r="P9" i="6"/>
  <c r="Q9" i="6"/>
  <c r="R9" i="6"/>
  <c r="S9" i="6"/>
  <c r="T9" i="6"/>
  <c r="U9" i="6"/>
  <c r="V9" i="6"/>
  <c r="W9" i="6"/>
  <c r="X9" i="6"/>
  <c r="Y9" i="6"/>
  <c r="Z9" i="6"/>
  <c r="AA9" i="6"/>
  <c r="AB9" i="6"/>
  <c r="AC9" i="6"/>
  <c r="AD9" i="6"/>
  <c r="AE9" i="6"/>
  <c r="B10"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B11"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B12"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B13"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B14"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B15"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B16"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B17"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B18" i="6"/>
  <c r="C18" i="6"/>
  <c r="D18"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G7" i="7"/>
  <c r="AG8" i="7"/>
  <c r="AG12" i="7"/>
  <c r="B12" i="7"/>
  <c r="B8" i="7"/>
  <c r="B7" i="7"/>
  <c r="B4" i="7"/>
  <c r="B8" i="10"/>
  <c r="B7" i="10"/>
  <c r="B4" i="10"/>
  <c r="F58" i="18" l="1"/>
  <c r="B35" i="1"/>
  <c r="G58"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9" i="18" s="1"/>
  <c r="B60" i="18" l="1"/>
  <c r="C60" i="18"/>
  <c r="D60" i="18"/>
  <c r="E60" i="18"/>
  <c r="I8" i="10" s="1"/>
  <c r="B59" i="18"/>
  <c r="C59" i="18"/>
  <c r="D59" i="18"/>
  <c r="E59" i="18"/>
  <c r="F60" i="18"/>
  <c r="G59" i="18"/>
  <c r="G60" i="18"/>
  <c r="H58" i="18"/>
  <c r="AF104" i="13"/>
  <c r="G47" i="13"/>
  <c r="C7" i="6" s="1"/>
  <c r="O47" i="13"/>
  <c r="K7" i="6" s="1"/>
  <c r="W47" i="13"/>
  <c r="S7" i="6" s="1"/>
  <c r="AE47" i="13"/>
  <c r="AA7" i="6" s="1"/>
  <c r="I44" i="13"/>
  <c r="E4" i="6" s="1"/>
  <c r="Q44" i="13"/>
  <c r="M4" i="6" s="1"/>
  <c r="Y44" i="13"/>
  <c r="U4" i="6" s="1"/>
  <c r="AG44" i="13"/>
  <c r="AC4" i="6" s="1"/>
  <c r="Z47" i="13"/>
  <c r="V7" i="6" s="1"/>
  <c r="T44" i="13"/>
  <c r="P4" i="6" s="1"/>
  <c r="H47" i="13"/>
  <c r="D7" i="6" s="1"/>
  <c r="P47" i="13"/>
  <c r="L7" i="6" s="1"/>
  <c r="X47" i="13"/>
  <c r="T7" i="6" s="1"/>
  <c r="AF47" i="13"/>
  <c r="AB7" i="6" s="1"/>
  <c r="J44" i="13"/>
  <c r="F4" i="6" s="1"/>
  <c r="R44" i="13"/>
  <c r="N4" i="6" s="1"/>
  <c r="Z44" i="13"/>
  <c r="V4" i="6" s="1"/>
  <c r="AH44" i="13"/>
  <c r="AD4" i="6" s="1"/>
  <c r="J47" i="13"/>
  <c r="F7" i="6" s="1"/>
  <c r="AH47" i="13"/>
  <c r="AD7" i="6" s="1"/>
  <c r="F44" i="13"/>
  <c r="B4" i="6" s="1"/>
  <c r="C8" i="6"/>
  <c r="I47" i="13"/>
  <c r="E7" i="6" s="1"/>
  <c r="Q47" i="13"/>
  <c r="M7" i="6" s="1"/>
  <c r="Y47" i="13"/>
  <c r="U7" i="6" s="1"/>
  <c r="AG47" i="13"/>
  <c r="AC7" i="6" s="1"/>
  <c r="K44" i="13"/>
  <c r="G4" i="6" s="1"/>
  <c r="S44" i="13"/>
  <c r="O4" i="6" s="1"/>
  <c r="AA44" i="13"/>
  <c r="W4" i="6" s="1"/>
  <c r="AI44" i="13"/>
  <c r="AE4" i="6" s="1"/>
  <c r="R47" i="13"/>
  <c r="N7" i="6" s="1"/>
  <c r="L44" i="13"/>
  <c r="H4" i="6" s="1"/>
  <c r="AB44" i="13"/>
  <c r="X4" i="6" s="1"/>
  <c r="K47" i="13"/>
  <c r="G7" i="6" s="1"/>
  <c r="S47" i="13"/>
  <c r="O7" i="6" s="1"/>
  <c r="AA47" i="13"/>
  <c r="W7" i="6" s="1"/>
  <c r="AI47" i="13"/>
  <c r="AE7" i="6" s="1"/>
  <c r="M44" i="13"/>
  <c r="I4" i="6" s="1"/>
  <c r="U44" i="13"/>
  <c r="Q4" i="6" s="1"/>
  <c r="AC44" i="13"/>
  <c r="Y4" i="6" s="1"/>
  <c r="N47" i="13"/>
  <c r="J7" i="6" s="1"/>
  <c r="H44" i="13"/>
  <c r="D4" i="6" s="1"/>
  <c r="AF44" i="13"/>
  <c r="AB4" i="6" s="1"/>
  <c r="L47" i="13"/>
  <c r="H7" i="6" s="1"/>
  <c r="T47" i="13"/>
  <c r="P7" i="6" s="1"/>
  <c r="AB47" i="13"/>
  <c r="X7" i="6" s="1"/>
  <c r="F47" i="13"/>
  <c r="B7" i="6" s="1"/>
  <c r="N44" i="13"/>
  <c r="J4" i="6" s="1"/>
  <c r="V44" i="13"/>
  <c r="R4" i="6" s="1"/>
  <c r="AD44" i="13"/>
  <c r="Z4" i="6" s="1"/>
  <c r="N121" i="13"/>
  <c r="AD121" i="13"/>
  <c r="H8" i="6"/>
  <c r="F48" i="13"/>
  <c r="B8" i="6" s="1"/>
  <c r="AD47" i="13"/>
  <c r="Z7" i="6" s="1"/>
  <c r="X44" i="13"/>
  <c r="T4" i="6" s="1"/>
  <c r="H121" i="13"/>
  <c r="AF121" i="13"/>
  <c r="T121" i="13"/>
  <c r="M47" i="13"/>
  <c r="I7" i="6" s="1"/>
  <c r="U47" i="13"/>
  <c r="Q7" i="6" s="1"/>
  <c r="AC47" i="13"/>
  <c r="Y7" i="6" s="1"/>
  <c r="G44" i="13"/>
  <c r="C4" i="6" s="1"/>
  <c r="O44" i="13"/>
  <c r="K4" i="6" s="1"/>
  <c r="W44" i="13"/>
  <c r="S4" i="6" s="1"/>
  <c r="AE44" i="13"/>
  <c r="AA4" i="6" s="1"/>
  <c r="AE121" i="13"/>
  <c r="V47" i="13"/>
  <c r="R7" i="6" s="1"/>
  <c r="P44" i="13"/>
  <c r="L4" i="6" s="1"/>
  <c r="E8" i="10"/>
  <c r="I66" i="13"/>
  <c r="G7" i="10" s="1"/>
  <c r="Q66" i="13"/>
  <c r="O7" i="10" s="1"/>
  <c r="Y66" i="13"/>
  <c r="W7" i="10" s="1"/>
  <c r="AG66" i="13"/>
  <c r="AE7" i="10" s="1"/>
  <c r="K63" i="13"/>
  <c r="I4" i="10" s="1"/>
  <c r="S63" i="13"/>
  <c r="Q4" i="10" s="1"/>
  <c r="AA63" i="13"/>
  <c r="Y4" i="10" s="1"/>
  <c r="AI63" i="13"/>
  <c r="AG4" i="10" s="1"/>
  <c r="T66" i="13"/>
  <c r="R7" i="10" s="1"/>
  <c r="N63" i="13"/>
  <c r="L4" i="10" s="1"/>
  <c r="J66" i="13"/>
  <c r="H7" i="10" s="1"/>
  <c r="R66" i="13"/>
  <c r="P7" i="10" s="1"/>
  <c r="Z66" i="13"/>
  <c r="X7" i="10" s="1"/>
  <c r="AH66" i="13"/>
  <c r="AF7" i="10" s="1"/>
  <c r="L63" i="13"/>
  <c r="J4" i="10" s="1"/>
  <c r="T63" i="13"/>
  <c r="R4" i="10" s="1"/>
  <c r="AB63" i="13"/>
  <c r="Z4" i="10" s="1"/>
  <c r="F63" i="13"/>
  <c r="D4" i="10" s="1"/>
  <c r="AB66" i="13"/>
  <c r="Z7" i="10" s="1"/>
  <c r="V63" i="13"/>
  <c r="T4" i="10" s="1"/>
  <c r="K66" i="13"/>
  <c r="I7" i="10" s="1"/>
  <c r="S66" i="13"/>
  <c r="Q7" i="10" s="1"/>
  <c r="AA66" i="13"/>
  <c r="Y7" i="10" s="1"/>
  <c r="AI66" i="13"/>
  <c r="AG7" i="10" s="1"/>
  <c r="M63" i="13"/>
  <c r="K4" i="10" s="1"/>
  <c r="U63" i="13"/>
  <c r="S4" i="10" s="1"/>
  <c r="AC63" i="13"/>
  <c r="AA4" i="10" s="1"/>
  <c r="L66" i="13"/>
  <c r="J7" i="10" s="1"/>
  <c r="F66" i="13"/>
  <c r="D7" i="10" s="1"/>
  <c r="AD63" i="13"/>
  <c r="AB4" i="10" s="1"/>
  <c r="M66" i="13"/>
  <c r="K7" i="10" s="1"/>
  <c r="U66" i="13"/>
  <c r="S7" i="10" s="1"/>
  <c r="AC66" i="13"/>
  <c r="AA7" i="10" s="1"/>
  <c r="G63" i="13"/>
  <c r="E4" i="10" s="1"/>
  <c r="O63" i="13"/>
  <c r="M4" i="10" s="1"/>
  <c r="W63" i="13"/>
  <c r="U4" i="10" s="1"/>
  <c r="AE63" i="13"/>
  <c r="AC4" i="10" s="1"/>
  <c r="AF66" i="13"/>
  <c r="AD7" i="10" s="1"/>
  <c r="Z63" i="13"/>
  <c r="X4" i="10" s="1"/>
  <c r="F67" i="13"/>
  <c r="D8" i="10" s="1"/>
  <c r="N66" i="13"/>
  <c r="L7" i="10" s="1"/>
  <c r="V66" i="13"/>
  <c r="T7" i="10" s="1"/>
  <c r="AD66" i="13"/>
  <c r="AB7" i="10" s="1"/>
  <c r="H63" i="13"/>
  <c r="F4" i="10" s="1"/>
  <c r="P63" i="13"/>
  <c r="N4" i="10" s="1"/>
  <c r="X63" i="13"/>
  <c r="V4" i="10" s="1"/>
  <c r="AF63" i="13"/>
  <c r="P66" i="13"/>
  <c r="N7" i="10" s="1"/>
  <c r="J63" i="13"/>
  <c r="H4" i="10" s="1"/>
  <c r="G66" i="13"/>
  <c r="E7" i="10" s="1"/>
  <c r="O66" i="13"/>
  <c r="M7" i="10" s="1"/>
  <c r="W66" i="13"/>
  <c r="U7" i="10" s="1"/>
  <c r="AE66" i="13"/>
  <c r="AC7" i="10" s="1"/>
  <c r="I63" i="13"/>
  <c r="G4" i="10" s="1"/>
  <c r="Q63" i="13"/>
  <c r="O4" i="10" s="1"/>
  <c r="Y63" i="13"/>
  <c r="W4" i="10" s="1"/>
  <c r="AG63" i="13"/>
  <c r="AE4" i="10" s="1"/>
  <c r="H66" i="13"/>
  <c r="F7" i="10" s="1"/>
  <c r="X66" i="13"/>
  <c r="V7" i="10" s="1"/>
  <c r="R63" i="13"/>
  <c r="P4" i="10" s="1"/>
  <c r="AH63" i="13"/>
  <c r="AF4" i="10" s="1"/>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48"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C7" i="10" s="1"/>
  <c r="E63" i="13"/>
  <c r="C4" i="10" s="1"/>
  <c r="E67" i="13"/>
  <c r="C8" i="10" s="1"/>
  <c r="AD4" i="10"/>
  <c r="H112" i="13"/>
  <c r="I112" i="13"/>
  <c r="G112" i="13"/>
  <c r="F112" i="13"/>
  <c r="N112" i="13"/>
  <c r="K112" i="13"/>
  <c r="M112" i="13"/>
  <c r="L112" i="13"/>
  <c r="AH107" i="13"/>
  <c r="AG107" i="13"/>
  <c r="AF107" i="13"/>
  <c r="AE107" i="13"/>
  <c r="AC121" i="13" l="1"/>
  <c r="M121" i="13"/>
  <c r="G61" i="18" s="1"/>
  <c r="V121" i="13"/>
  <c r="U121" i="13"/>
  <c r="F8" i="10"/>
  <c r="H8" i="10"/>
  <c r="G8" i="10"/>
  <c r="J8" i="10"/>
  <c r="AB121" i="13"/>
  <c r="O121" i="13"/>
  <c r="X121" i="13"/>
  <c r="P121" i="13"/>
  <c r="D8" i="6"/>
  <c r="W121" i="13"/>
  <c r="G8" i="6"/>
  <c r="F8" i="6"/>
  <c r="E8" i="6"/>
  <c r="AA121" i="13"/>
  <c r="L121" i="13"/>
  <c r="S121" i="13"/>
  <c r="AG121" i="13"/>
  <c r="K121" i="13"/>
  <c r="E61" i="18" s="1"/>
  <c r="Y121" i="13"/>
  <c r="Q121" i="13"/>
  <c r="B61" i="18"/>
  <c r="F121" i="13"/>
  <c r="AH121" i="13"/>
  <c r="I121" i="13"/>
  <c r="C61" i="18" s="1"/>
  <c r="Z121" i="13"/>
  <c r="R121" i="13"/>
  <c r="E121" i="13"/>
  <c r="G121" i="13"/>
  <c r="AI121" i="13"/>
  <c r="J121" i="13"/>
  <c r="D62" i="18" s="1"/>
  <c r="B62" i="18"/>
  <c r="I8" i="6"/>
  <c r="H59" i="18"/>
  <c r="H60" i="18"/>
  <c r="I58" i="18"/>
  <c r="G62" i="18"/>
  <c r="K8" i="10"/>
  <c r="Z84" i="13"/>
  <c r="X4" i="7" s="1"/>
  <c r="N84" i="13"/>
  <c r="L4" i="7" s="1"/>
  <c r="AG84" i="13"/>
  <c r="AE4" i="7" s="1"/>
  <c r="M84" i="13"/>
  <c r="K4" i="7" s="1"/>
  <c r="V84" i="13"/>
  <c r="T4" i="7" s="1"/>
  <c r="L84" i="13"/>
  <c r="J4" i="7" s="1"/>
  <c r="S84" i="13"/>
  <c r="Q4" i="7" s="1"/>
  <c r="W84" i="13"/>
  <c r="U4" i="7" s="1"/>
  <c r="R84" i="13"/>
  <c r="P4" i="7" s="1"/>
  <c r="AC84" i="13"/>
  <c r="AA4" i="7" s="1"/>
  <c r="Q84" i="13"/>
  <c r="O4" i="7" s="1"/>
  <c r="AB84" i="13"/>
  <c r="Z4" i="7" s="1"/>
  <c r="P84" i="13"/>
  <c r="N4" i="7" s="1"/>
  <c r="AA84" i="13"/>
  <c r="Y4" i="7" s="1"/>
  <c r="X84" i="13"/>
  <c r="V4" i="7" s="1"/>
  <c r="U84" i="13"/>
  <c r="S4" i="7" s="1"/>
  <c r="AE84" i="13"/>
  <c r="AC4" i="7" s="1"/>
  <c r="AF84" i="13"/>
  <c r="AD4" i="7" s="1"/>
  <c r="AH84" i="13"/>
  <c r="AF4" i="7" s="1"/>
  <c r="K84" i="13"/>
  <c r="I4" i="7" s="1"/>
  <c r="I84" i="13"/>
  <c r="G4" i="7" s="1"/>
  <c r="H84" i="13"/>
  <c r="F4" i="7" s="1"/>
  <c r="G84" i="13"/>
  <c r="E4" i="7" s="1"/>
  <c r="F84" i="13"/>
  <c r="D4" i="7" s="1"/>
  <c r="E62" i="18" l="1"/>
  <c r="D61" i="18"/>
  <c r="C62" i="18"/>
  <c r="F62" i="18"/>
  <c r="F61" i="18"/>
  <c r="I60" i="18"/>
  <c r="J58" i="18"/>
  <c r="L8" i="10"/>
  <c r="H62" i="18"/>
  <c r="J8" i="6"/>
  <c r="H61" i="18"/>
  <c r="J60" i="18" l="1"/>
  <c r="K58" i="18"/>
  <c r="I61" i="18"/>
  <c r="K8" i="6"/>
  <c r="M8" i="10"/>
  <c r="I62" i="18"/>
  <c r="K60" i="18" l="1"/>
  <c r="K59" i="18"/>
  <c r="L58" i="18"/>
  <c r="J61" i="18"/>
  <c r="L8" i="6"/>
  <c r="J62" i="18"/>
  <c r="N8" i="10"/>
  <c r="L59" i="18" l="1"/>
  <c r="L60" i="18"/>
  <c r="M58" i="18"/>
  <c r="K61" i="18"/>
  <c r="M8" i="6"/>
  <c r="K62" i="18"/>
  <c r="O8" i="10"/>
  <c r="L61" i="18" l="1"/>
  <c r="N8" i="6"/>
  <c r="M59" i="18"/>
  <c r="M60" i="18"/>
  <c r="N58" i="18"/>
  <c r="L62" i="18"/>
  <c r="P8" i="10"/>
  <c r="N59" i="18" l="1"/>
  <c r="N60" i="18"/>
  <c r="O58" i="18"/>
  <c r="M62" i="18"/>
  <c r="Q8" i="10"/>
  <c r="M61" i="18"/>
  <c r="O8" i="6"/>
  <c r="O59" i="18" l="1"/>
  <c r="O60" i="18"/>
  <c r="P58" i="18"/>
  <c r="R8" i="10"/>
  <c r="N62" i="18"/>
  <c r="P8" i="6"/>
  <c r="N61" i="18"/>
  <c r="Q8" i="6" l="1"/>
  <c r="O61" i="18"/>
  <c r="P60" i="18"/>
  <c r="P59" i="18"/>
  <c r="Q58" i="18"/>
  <c r="O62" i="18"/>
  <c r="S8" i="10"/>
  <c r="Q60" i="18" l="1"/>
  <c r="Q59" i="18"/>
  <c r="R58" i="18"/>
  <c r="R8" i="6"/>
  <c r="P61" i="18"/>
  <c r="P62" i="18"/>
  <c r="T8" i="10"/>
  <c r="R60" i="18" l="1"/>
  <c r="R59" i="18"/>
  <c r="S58" i="18"/>
  <c r="S8" i="6"/>
  <c r="Q61" i="18"/>
  <c r="U8" i="10"/>
  <c r="Q62" i="18"/>
  <c r="S60" i="18" l="1"/>
  <c r="S59" i="18"/>
  <c r="T58" i="18"/>
  <c r="R61" i="18"/>
  <c r="T8" i="6"/>
  <c r="V8" i="10"/>
  <c r="R62" i="18"/>
  <c r="T59" i="18" l="1"/>
  <c r="T60" i="18"/>
  <c r="U58" i="18"/>
  <c r="S61" i="18"/>
  <c r="U8" i="6"/>
  <c r="S62" i="18"/>
  <c r="W8" i="10"/>
  <c r="U59" i="18" l="1"/>
  <c r="U60" i="18"/>
  <c r="V58" i="18"/>
  <c r="T62" i="18"/>
  <c r="X8" i="10"/>
  <c r="T61" i="18"/>
  <c r="V8" i="6"/>
  <c r="V59" i="18" l="1"/>
  <c r="V60" i="18"/>
  <c r="W58" i="18"/>
  <c r="U62" i="18"/>
  <c r="Y8" i="10"/>
  <c r="U61" i="18"/>
  <c r="W8" i="6"/>
  <c r="W59" i="18" l="1"/>
  <c r="W60" i="18"/>
  <c r="X58" i="18"/>
  <c r="V62" i="18"/>
  <c r="Z8" i="10"/>
  <c r="V61" i="18"/>
  <c r="X8" i="6"/>
  <c r="X59" i="18" l="1"/>
  <c r="X60" i="18"/>
  <c r="Y58" i="18"/>
  <c r="W62" i="18"/>
  <c r="AA8" i="10"/>
  <c r="W61" i="18"/>
  <c r="Y8" i="6"/>
  <c r="Y60" i="18" l="1"/>
  <c r="Y59" i="18"/>
  <c r="Z58" i="18"/>
  <c r="AB8" i="10"/>
  <c r="X62" i="18"/>
  <c r="X61" i="18"/>
  <c r="Z8" i="6"/>
  <c r="Z60" i="18" l="1"/>
  <c r="Z59" i="18"/>
  <c r="AA58" i="18"/>
  <c r="AA8" i="6"/>
  <c r="Y61" i="18"/>
  <c r="Y62" i="18"/>
  <c r="AC8" i="10"/>
  <c r="AA60" i="18" l="1"/>
  <c r="AA59" i="18"/>
  <c r="AB58" i="18"/>
  <c r="Z61" i="18"/>
  <c r="AB8" i="6"/>
  <c r="AD8" i="10"/>
  <c r="Z62" i="18"/>
  <c r="AB59" i="18" l="1"/>
  <c r="AB60" i="18"/>
  <c r="AC58" i="18"/>
  <c r="AC8" i="6"/>
  <c r="AA61" i="18"/>
  <c r="AE8" i="10"/>
  <c r="AA62" i="18"/>
  <c r="AC59" i="18" l="1"/>
  <c r="AC60" i="18"/>
  <c r="AB62" i="18"/>
  <c r="AF8" i="10"/>
  <c r="AB61" i="18"/>
  <c r="AD8" i="6"/>
  <c r="AC62" i="18" l="1"/>
  <c r="AG8" i="10"/>
  <c r="AC61" i="18"/>
  <c r="AE8" i="6"/>
</calcChain>
</file>

<file path=xl/sharedStrings.xml><?xml version="1.0" encoding="utf-8"?>
<sst xmlns="http://schemas.openxmlformats.org/spreadsheetml/2006/main" count="2669" uniqueCount="1177">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</sst>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_(* #,##0_);_(* \(#,##0\);_(* &quot;-&quot;??_);_(@_)"/>
    <numFmt numFmtId="168" formatCode="0.0000E+00"/>
  </numFmts>
  <fonts count="3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s>
  <fills count="39">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
      <patternFill patternType="solid">
        <fgColor rgb="FFFFFF00"/>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0" fontId="33" fillId="0" borderId="0"/>
  </cellStyleXfs>
  <cellXfs count="63">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3" applyFont="1" applyFill="1"/>
    <xf numFmtId="0" fontId="35" fillId="37" borderId="0" xfId="53" applyFont="1" applyFill="1" applyAlignment="1">
      <alignment horizontal="right"/>
    </xf>
    <xf numFmtId="0" fontId="33" fillId="0" borderId="0" xfId="53"/>
    <xf numFmtId="0" fontId="12" fillId="0" borderId="0" xfId="53" applyFont="1"/>
    <xf numFmtId="0" fontId="8" fillId="0" borderId="0" xfId="53" applyFont="1"/>
    <xf numFmtId="10" fontId="12" fillId="0" borderId="0" xfId="53" applyNumberFormat="1" applyFont="1"/>
    <xf numFmtId="0" fontId="34" fillId="0" borderId="0" xfId="53" applyFont="1" applyAlignment="1">
      <alignment horizontal="right"/>
    </xf>
    <xf numFmtId="0" fontId="35" fillId="0" borderId="0" xfId="53" applyFont="1" applyAlignment="1">
      <alignment horizontal="left"/>
    </xf>
    <xf numFmtId="0" fontId="12" fillId="0" borderId="0" xfId="53" applyFont="1" applyAlignment="1">
      <alignment wrapText="1"/>
    </xf>
    <xf numFmtId="1" fontId="33" fillId="0" borderId="0" xfId="53" applyNumberFormat="1"/>
    <xf numFmtId="9" fontId="0" fillId="0" borderId="0" xfId="8" applyFont="1"/>
    <xf numFmtId="11" fontId="0" fillId="0" borderId="0" xfId="0" applyNumberFormat="1"/>
    <xf numFmtId="0" fontId="36" fillId="0" borderId="0" xfId="0" applyFont="1"/>
    <xf numFmtId="0" fontId="37" fillId="0" borderId="0" xfId="0" applyFont="1" applyAlignment="1">
      <alignment vertical="center"/>
    </xf>
    <xf numFmtId="0" fontId="1" fillId="38" borderId="0" xfId="0" applyFont="1" applyFill="1"/>
    <xf numFmtId="0" fontId="0" fillId="38" borderId="0" xfId="0" applyFill="1"/>
    <xf numFmtId="0" fontId="0" fillId="38" borderId="0" xfId="0" applyFill="1" applyAlignment="1">
      <alignment wrapText="1"/>
    </xf>
    <xf numFmtId="0" fontId="33" fillId="38" borderId="0" xfId="53" applyFill="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1.6261636849348336E-3</c:v>
                </c:pt>
                <c:pt idx="16">
                  <c:v>4.0654092123370835E-3</c:v>
                </c:pt>
                <c:pt idx="17">
                  <c:v>8.1308184246741671E-3</c:v>
                </c:pt>
                <c:pt idx="18">
                  <c:v>1.707471869181575E-2</c:v>
                </c:pt>
                <c:pt idx="19">
                  <c:v>3.3336355541164091E-2</c:v>
                </c:pt>
                <c:pt idx="20">
                  <c:v>6.3420383712458506E-2</c:v>
                </c:pt>
                <c:pt idx="21">
                  <c:v>0.11870994900024284</c:v>
                </c:pt>
                <c:pt idx="22">
                  <c:v>0.22034517930866993</c:v>
                </c:pt>
                <c:pt idx="23">
                  <c:v>0.32116732777462964</c:v>
                </c:pt>
                <c:pt idx="24">
                  <c:v>0.42280255808305667</c:v>
                </c:pt>
                <c:pt idx="25">
                  <c:v>0.52443778839148369</c:v>
                </c:pt>
                <c:pt idx="26">
                  <c:v>0.62607301869991083</c:v>
                </c:pt>
                <c:pt idx="27">
                  <c:v>0.72852133085080539</c:v>
                </c:pt>
                <c:pt idx="28">
                  <c:v>0.83096964300169973</c:v>
                </c:pt>
                <c:pt idx="29">
                  <c:v>0.93260487331012709</c:v>
                </c:pt>
                <c:pt idx="30">
                  <c:v>1.0350531854610217</c:v>
                </c:pt>
                <c:pt idx="31">
                  <c:v>1.137501497611916</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11.571780781996274</c:v>
                </c:pt>
                <c:pt idx="2">
                  <c:v>11.571780781996274</c:v>
                </c:pt>
                <c:pt idx="3">
                  <c:v>11.571780781996274</c:v>
                </c:pt>
                <c:pt idx="4">
                  <c:v>11.571780781996274</c:v>
                </c:pt>
                <c:pt idx="5">
                  <c:v>11.571780781996274</c:v>
                </c:pt>
                <c:pt idx="6">
                  <c:v>11.571780781996274</c:v>
                </c:pt>
                <c:pt idx="7">
                  <c:v>11.571780781996274</c:v>
                </c:pt>
                <c:pt idx="8">
                  <c:v>11.571780781996274</c:v>
                </c:pt>
                <c:pt idx="9">
                  <c:v>11.571780781996274</c:v>
                </c:pt>
                <c:pt idx="10">
                  <c:v>11.571780781996274</c:v>
                </c:pt>
                <c:pt idx="11">
                  <c:v>11.571780781996274</c:v>
                </c:pt>
                <c:pt idx="12">
                  <c:v>11.571780781996274</c:v>
                </c:pt>
                <c:pt idx="13">
                  <c:v>11.572593863838744</c:v>
                </c:pt>
                <c:pt idx="14">
                  <c:v>11.572593863838744</c:v>
                </c:pt>
                <c:pt idx="15">
                  <c:v>11.575033109366146</c:v>
                </c:pt>
                <c:pt idx="16">
                  <c:v>11.579911600420949</c:v>
                </c:pt>
                <c:pt idx="17">
                  <c:v>11.588855500688091</c:v>
                </c:pt>
                <c:pt idx="18">
                  <c:v>11.605930219379907</c:v>
                </c:pt>
                <c:pt idx="19">
                  <c:v>11.638453493078604</c:v>
                </c:pt>
                <c:pt idx="20">
                  <c:v>11.698621549421192</c:v>
                </c:pt>
                <c:pt idx="21">
                  <c:v>11.81001376183923</c:v>
                </c:pt>
                <c:pt idx="22">
                  <c:v>12.011658058771149</c:v>
                </c:pt>
                <c:pt idx="23">
                  <c:v>12.214115437545535</c:v>
                </c:pt>
                <c:pt idx="24">
                  <c:v>12.417385898162388</c:v>
                </c:pt>
                <c:pt idx="25">
                  <c:v>12.620656358779241</c:v>
                </c:pt>
                <c:pt idx="26">
                  <c:v>12.824739901238564</c:v>
                </c:pt>
                <c:pt idx="27">
                  <c:v>13.028823443697886</c:v>
                </c:pt>
                <c:pt idx="28">
                  <c:v>13.232906986157209</c:v>
                </c:pt>
                <c:pt idx="29">
                  <c:v>13.437803610458998</c:v>
                </c:pt>
                <c:pt idx="30">
                  <c:v>13.642700234760786</c:v>
                </c:pt>
                <c:pt idx="31">
                  <c:v>13.847596859062577</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14894.199872095845</c:v>
                </c:pt>
                <c:pt idx="2">
                  <c:v>17296.296503197602</c:v>
                </c:pt>
                <c:pt idx="3">
                  <c:v>21092.010533797456</c:v>
                </c:pt>
                <c:pt idx="4">
                  <c:v>23113.409236946489</c:v>
                </c:pt>
                <c:pt idx="5">
                  <c:v>25463.706863110172</c:v>
                </c:pt>
                <c:pt idx="6">
                  <c:v>27818.03818829434</c:v>
                </c:pt>
                <c:pt idx="7">
                  <c:v>30167.286125799401</c:v>
                </c:pt>
                <c:pt idx="8">
                  <c:v>32594.825713915645</c:v>
                </c:pt>
                <c:pt idx="9">
                  <c:v>35094.47021290374</c:v>
                </c:pt>
                <c:pt idx="10">
                  <c:v>37709.943098842385</c:v>
                </c:pt>
                <c:pt idx="11">
                  <c:v>40422.457302679504</c:v>
                </c:pt>
                <c:pt idx="12">
                  <c:v>43273.072644377884</c:v>
                </c:pt>
                <c:pt idx="13">
                  <c:v>46324.650920424188</c:v>
                </c:pt>
                <c:pt idx="14">
                  <c:v>49421.337350926893</c:v>
                </c:pt>
                <c:pt idx="15">
                  <c:v>52604.78611867562</c:v>
                </c:pt>
                <c:pt idx="16">
                  <c:v>55382.019197927628</c:v>
                </c:pt>
                <c:pt idx="17">
                  <c:v>58309.063419736085</c:v>
                </c:pt>
                <c:pt idx="18">
                  <c:v>61362.102803853304</c:v>
                </c:pt>
                <c:pt idx="19">
                  <c:v>64646.954260503517</c:v>
                </c:pt>
                <c:pt idx="20">
                  <c:v>68173.747163280175</c:v>
                </c:pt>
                <c:pt idx="21">
                  <c:v>71943.692191046706</c:v>
                </c:pt>
                <c:pt idx="22">
                  <c:v>75947.18034258885</c:v>
                </c:pt>
                <c:pt idx="23">
                  <c:v>80184.142505949974</c:v>
                </c:pt>
                <c:pt idx="24">
                  <c:v>84684.826138751727</c:v>
                </c:pt>
                <c:pt idx="25">
                  <c:v>89364.104011333271</c:v>
                </c:pt>
                <c:pt idx="26">
                  <c:v>94298.120425159883</c:v>
                </c:pt>
                <c:pt idx="27">
                  <c:v>99417.877255079729</c:v>
                </c:pt>
                <c:pt idx="28">
                  <c:v>104722.07763555412</c:v>
                </c:pt>
                <c:pt idx="29">
                  <c:v>110306.69286877681</c:v>
                </c:pt>
                <c:pt idx="30">
                  <c:v>116022.1858207723</c:v>
                </c:pt>
                <c:pt idx="31">
                  <c:v>121940.78824317978</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3.7383631506516634E-4</c:v>
                </c:pt>
                <c:pt idx="16">
                  <c:v>9.3459078766291591E-4</c:v>
                </c:pt>
                <c:pt idx="17">
                  <c:v>1.8691815753258318E-3</c:v>
                </c:pt>
                <c:pt idx="18">
                  <c:v>3.9252813081842464E-3</c:v>
                </c:pt>
                <c:pt idx="19">
                  <c:v>7.6636444588359101E-3</c:v>
                </c:pt>
                <c:pt idx="20">
                  <c:v>1.4579616287541487E-2</c:v>
                </c:pt>
                <c:pt idx="21">
                  <c:v>2.7290050999757141E-2</c:v>
                </c:pt>
                <c:pt idx="22">
                  <c:v>5.0654820691330031E-2</c:v>
                </c:pt>
                <c:pt idx="23">
                  <c:v>7.3832672225370363E-2</c:v>
                </c:pt>
                <c:pt idx="24">
                  <c:v>9.7197441916943239E-2</c:v>
                </c:pt>
                <c:pt idx="25">
                  <c:v>0.12056221160851613</c:v>
                </c:pt>
                <c:pt idx="26">
                  <c:v>0.14392698130008902</c:v>
                </c:pt>
                <c:pt idx="27">
                  <c:v>0.16747866914919451</c:v>
                </c:pt>
                <c:pt idx="28">
                  <c:v>0.19103035699829995</c:v>
                </c:pt>
                <c:pt idx="29">
                  <c:v>0.2143951266898729</c:v>
                </c:pt>
                <c:pt idx="30">
                  <c:v>0.2379468145389784</c:v>
                </c:pt>
                <c:pt idx="31">
                  <c:v>0.26149850238808386</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2.6602192180037236</c:v>
                </c:pt>
                <c:pt idx="2">
                  <c:v>2.6602192180037236</c:v>
                </c:pt>
                <c:pt idx="3">
                  <c:v>2.6602192180037236</c:v>
                </c:pt>
                <c:pt idx="4">
                  <c:v>2.6602192180037236</c:v>
                </c:pt>
                <c:pt idx="5">
                  <c:v>2.6602192180037236</c:v>
                </c:pt>
                <c:pt idx="6">
                  <c:v>2.6602192180037236</c:v>
                </c:pt>
                <c:pt idx="7">
                  <c:v>2.6602192180037236</c:v>
                </c:pt>
                <c:pt idx="8">
                  <c:v>2.6602192180037236</c:v>
                </c:pt>
                <c:pt idx="9">
                  <c:v>2.6602192180037236</c:v>
                </c:pt>
                <c:pt idx="10">
                  <c:v>2.6602192180037236</c:v>
                </c:pt>
                <c:pt idx="11">
                  <c:v>2.6602192180037236</c:v>
                </c:pt>
                <c:pt idx="12">
                  <c:v>2.6602192180037236</c:v>
                </c:pt>
                <c:pt idx="13">
                  <c:v>2.6604061361612565</c:v>
                </c:pt>
                <c:pt idx="14">
                  <c:v>2.6604061361612565</c:v>
                </c:pt>
                <c:pt idx="15">
                  <c:v>2.6609668906338544</c:v>
                </c:pt>
                <c:pt idx="16">
                  <c:v>2.6620883995790492</c:v>
                </c:pt>
                <c:pt idx="17">
                  <c:v>2.6641444993119081</c:v>
                </c:pt>
                <c:pt idx="18">
                  <c:v>2.6680697806200926</c:v>
                </c:pt>
                <c:pt idx="19">
                  <c:v>2.6755465069213957</c:v>
                </c:pt>
                <c:pt idx="20">
                  <c:v>2.6893784505788068</c:v>
                </c:pt>
                <c:pt idx="21">
                  <c:v>2.7149862381607708</c:v>
                </c:pt>
                <c:pt idx="22">
                  <c:v>2.7613419412288511</c:v>
                </c:pt>
                <c:pt idx="23">
                  <c:v>2.8078845624544644</c:v>
                </c:pt>
                <c:pt idx="24">
                  <c:v>2.8546141018376101</c:v>
                </c:pt>
                <c:pt idx="25">
                  <c:v>2.9013436412207558</c:v>
                </c:pt>
                <c:pt idx="26">
                  <c:v>2.9482600987614345</c:v>
                </c:pt>
                <c:pt idx="27">
                  <c:v>2.9951765563021131</c:v>
                </c:pt>
                <c:pt idx="28">
                  <c:v>3.0420930138427917</c:v>
                </c:pt>
                <c:pt idx="29">
                  <c:v>3.0891963895410024</c:v>
                </c:pt>
                <c:pt idx="30">
                  <c:v>3.1362997652392131</c:v>
                </c:pt>
                <c:pt idx="31">
                  <c:v>3.1834031409374246</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3424.0051279041522</c:v>
                </c:pt>
                <c:pt idx="2">
                  <c:v>3976.219496802396</c:v>
                </c:pt>
                <c:pt idx="3">
                  <c:v>4848.8104662025416</c:v>
                </c:pt>
                <c:pt idx="4">
                  <c:v>5313.5067630535086</c:v>
                </c:pt>
                <c:pt idx="5">
                  <c:v>5853.8131368898239</c:v>
                </c:pt>
                <c:pt idx="6">
                  <c:v>6395.046811705658</c:v>
                </c:pt>
                <c:pt idx="7">
                  <c:v>6935.1118742005992</c:v>
                </c:pt>
                <c:pt idx="8">
                  <c:v>7493.1752860843508</c:v>
                </c:pt>
                <c:pt idx="9">
                  <c:v>8067.8147870962512</c:v>
                </c:pt>
                <c:pt idx="10">
                  <c:v>8669.0819011576132</c:v>
                </c:pt>
                <c:pt idx="11">
                  <c:v>9292.6576973204883</c:v>
                </c:pt>
                <c:pt idx="12">
                  <c:v>9947.9813556221161</c:v>
                </c:pt>
                <c:pt idx="13">
                  <c:v>10649.504079575812</c:v>
                </c:pt>
                <c:pt idx="14">
                  <c:v>11361.396649073098</c:v>
                </c:pt>
                <c:pt idx="15">
                  <c:v>12093.234881324375</c:v>
                </c:pt>
                <c:pt idx="16">
                  <c:v>12731.688802072371</c:v>
                </c:pt>
                <c:pt idx="17">
                  <c:v>13404.582580263901</c:v>
                </c:pt>
                <c:pt idx="18">
                  <c:v>14106.441196146683</c:v>
                </c:pt>
                <c:pt idx="19">
                  <c:v>14861.590739496478</c:v>
                </c:pt>
                <c:pt idx="20">
                  <c:v>15672.359836719825</c:v>
                </c:pt>
                <c:pt idx="21">
                  <c:v>16539.026808953291</c:v>
                </c:pt>
                <c:pt idx="22">
                  <c:v>17459.382657411155</c:v>
                </c:pt>
                <c:pt idx="23">
                  <c:v>18433.411494050029</c:v>
                </c:pt>
                <c:pt idx="24">
                  <c:v>19468.06686124828</c:v>
                </c:pt>
                <c:pt idx="25">
                  <c:v>20543.77898866672</c:v>
                </c:pt>
                <c:pt idx="26">
                  <c:v>21678.05257484012</c:v>
                </c:pt>
                <c:pt idx="27">
                  <c:v>22855.025744920262</c:v>
                </c:pt>
                <c:pt idx="28">
                  <c:v>24074.400364445883</c:v>
                </c:pt>
                <c:pt idx="29">
                  <c:v>25358.239131223185</c:v>
                </c:pt>
                <c:pt idx="30">
                  <c:v>26672.165179227723</c:v>
                </c:pt>
                <c:pt idx="31">
                  <c:v>28032.783756820201</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9605634</c:v>
                </c:pt>
                <c:pt idx="2">
                  <c:v>9660717.8000000119</c:v>
                </c:pt>
                <c:pt idx="3">
                  <c:v>9715801.6000000089</c:v>
                </c:pt>
                <c:pt idx="4">
                  <c:v>9770885.400000006</c:v>
                </c:pt>
                <c:pt idx="5">
                  <c:v>9825969.200000003</c:v>
                </c:pt>
                <c:pt idx="6">
                  <c:v>9881053</c:v>
                </c:pt>
                <c:pt idx="7">
                  <c:v>9990912.8000000119</c:v>
                </c:pt>
                <c:pt idx="8">
                  <c:v>10100772.599999994</c:v>
                </c:pt>
                <c:pt idx="9">
                  <c:v>10210632.400000006</c:v>
                </c:pt>
                <c:pt idx="10">
                  <c:v>10320492.200000018</c:v>
                </c:pt>
                <c:pt idx="11">
                  <c:v>10430352</c:v>
                </c:pt>
                <c:pt idx="12">
                  <c:v>10536265.199999988</c:v>
                </c:pt>
                <c:pt idx="13">
                  <c:v>10642178.400000006</c:v>
                </c:pt>
                <c:pt idx="14">
                  <c:v>10748091.599999994</c:v>
                </c:pt>
                <c:pt idx="15">
                  <c:v>10854004.799999982</c:v>
                </c:pt>
                <c:pt idx="16">
                  <c:v>10959918</c:v>
                </c:pt>
                <c:pt idx="17">
                  <c:v>11060111.199999988</c:v>
                </c:pt>
                <c:pt idx="18">
                  <c:v>11160304.400000006</c:v>
                </c:pt>
                <c:pt idx="19">
                  <c:v>11260497.599999994</c:v>
                </c:pt>
                <c:pt idx="20">
                  <c:v>11360690.799999982</c:v>
                </c:pt>
                <c:pt idx="21">
                  <c:v>11460884</c:v>
                </c:pt>
                <c:pt idx="22">
                  <c:v>11566549.199999988</c:v>
                </c:pt>
                <c:pt idx="23">
                  <c:v>11672214.400000006</c:v>
                </c:pt>
                <c:pt idx="24">
                  <c:v>11777879.599999994</c:v>
                </c:pt>
                <c:pt idx="25">
                  <c:v>11883544.799999982</c:v>
                </c:pt>
                <c:pt idx="26">
                  <c:v>11989210</c:v>
                </c:pt>
                <c:pt idx="27">
                  <c:v>12078878.800000012</c:v>
                </c:pt>
                <c:pt idx="28">
                  <c:v>12168547.599999994</c:v>
                </c:pt>
                <c:pt idx="29">
                  <c:v>12258216.400000006</c:v>
                </c:pt>
                <c:pt idx="30">
                  <c:v>12347885.200000018</c:v>
                </c:pt>
                <c:pt idx="31">
                  <c:v>12437554</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755308</c:v>
                </c:pt>
                <c:pt idx="2">
                  <c:v>756853.20000000019</c:v>
                </c:pt>
                <c:pt idx="3">
                  <c:v>758398.39999999991</c:v>
                </c:pt>
                <c:pt idx="4">
                  <c:v>759943.60000000009</c:v>
                </c:pt>
                <c:pt idx="5">
                  <c:v>761488.80000000028</c:v>
                </c:pt>
                <c:pt idx="6">
                  <c:v>763034</c:v>
                </c:pt>
                <c:pt idx="7">
                  <c:v>764193.79999999981</c:v>
                </c:pt>
                <c:pt idx="8">
                  <c:v>765353.60000000009</c:v>
                </c:pt>
                <c:pt idx="9">
                  <c:v>766513.39999999991</c:v>
                </c:pt>
                <c:pt idx="10">
                  <c:v>767673.19999999972</c:v>
                </c:pt>
                <c:pt idx="11">
                  <c:v>768833</c:v>
                </c:pt>
                <c:pt idx="12">
                  <c:v>770258.59999999963</c:v>
                </c:pt>
                <c:pt idx="13">
                  <c:v>771684.19999999972</c:v>
                </c:pt>
                <c:pt idx="14">
                  <c:v>773109.79999999981</c:v>
                </c:pt>
                <c:pt idx="15">
                  <c:v>774535.39999999991</c:v>
                </c:pt>
                <c:pt idx="16">
                  <c:v>775961</c:v>
                </c:pt>
                <c:pt idx="17">
                  <c:v>776590.39999999991</c:v>
                </c:pt>
                <c:pt idx="18">
                  <c:v>777219.8</c:v>
                </c:pt>
                <c:pt idx="19">
                  <c:v>777849.2</c:v>
                </c:pt>
                <c:pt idx="20">
                  <c:v>778478.59999999986</c:v>
                </c:pt>
                <c:pt idx="21">
                  <c:v>779108</c:v>
                </c:pt>
                <c:pt idx="22">
                  <c:v>780136</c:v>
                </c:pt>
                <c:pt idx="23">
                  <c:v>781164</c:v>
                </c:pt>
                <c:pt idx="24">
                  <c:v>782192</c:v>
                </c:pt>
                <c:pt idx="25">
                  <c:v>783220</c:v>
                </c:pt>
                <c:pt idx="26">
                  <c:v>784248</c:v>
                </c:pt>
                <c:pt idx="27">
                  <c:v>784301.6</c:v>
                </c:pt>
                <c:pt idx="28">
                  <c:v>784355.2</c:v>
                </c:pt>
                <c:pt idx="29">
                  <c:v>784408.8</c:v>
                </c:pt>
                <c:pt idx="30">
                  <c:v>784462.4</c:v>
                </c:pt>
                <c:pt idx="31">
                  <c:v>784516</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20024660</c:v>
                </c:pt>
                <c:pt idx="2">
                  <c:v>23193289.799999237</c:v>
                </c:pt>
                <c:pt idx="3">
                  <c:v>26361919.599999428</c:v>
                </c:pt>
                <c:pt idx="4">
                  <c:v>29530549.399999619</c:v>
                </c:pt>
                <c:pt idx="5">
                  <c:v>32699179.199999809</c:v>
                </c:pt>
                <c:pt idx="6">
                  <c:v>35867809</c:v>
                </c:pt>
                <c:pt idx="7">
                  <c:v>37785974.600000381</c:v>
                </c:pt>
                <c:pt idx="8">
                  <c:v>39704140.200000286</c:v>
                </c:pt>
                <c:pt idx="9">
                  <c:v>41622305.800000191</c:v>
                </c:pt>
                <c:pt idx="10">
                  <c:v>43540471.400000095</c:v>
                </c:pt>
                <c:pt idx="11">
                  <c:v>45458637</c:v>
                </c:pt>
                <c:pt idx="12">
                  <c:v>46740126.600000381</c:v>
                </c:pt>
                <c:pt idx="13">
                  <c:v>48021616.200000286</c:v>
                </c:pt>
                <c:pt idx="14">
                  <c:v>49303105.800000191</c:v>
                </c:pt>
                <c:pt idx="15">
                  <c:v>50584595.400000095</c:v>
                </c:pt>
                <c:pt idx="16">
                  <c:v>51866085</c:v>
                </c:pt>
                <c:pt idx="17">
                  <c:v>53801245.800000191</c:v>
                </c:pt>
                <c:pt idx="18">
                  <c:v>55736406.599999905</c:v>
                </c:pt>
                <c:pt idx="19">
                  <c:v>57671567.400000095</c:v>
                </c:pt>
                <c:pt idx="20">
                  <c:v>59606728.200000286</c:v>
                </c:pt>
                <c:pt idx="21">
                  <c:v>61541889</c:v>
                </c:pt>
                <c:pt idx="22">
                  <c:v>63830111.600000381</c:v>
                </c:pt>
                <c:pt idx="23">
                  <c:v>66118334.199999809</c:v>
                </c:pt>
                <c:pt idx="24">
                  <c:v>68406556.800000191</c:v>
                </c:pt>
                <c:pt idx="25">
                  <c:v>70694779.400000572</c:v>
                </c:pt>
                <c:pt idx="26">
                  <c:v>72983002</c:v>
                </c:pt>
                <c:pt idx="27">
                  <c:v>75295129.600000381</c:v>
                </c:pt>
                <c:pt idx="28">
                  <c:v>77607257.199999809</c:v>
                </c:pt>
                <c:pt idx="29">
                  <c:v>79919384.800000191</c:v>
                </c:pt>
                <c:pt idx="30">
                  <c:v>82231512.400000572</c:v>
                </c:pt>
                <c:pt idx="31">
                  <c:v>84543640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119388</c:v>
                </c:pt>
                <c:pt idx="2">
                  <c:v>112323.80000000075</c:v>
                </c:pt>
                <c:pt idx="3">
                  <c:v>105259.59999999963</c:v>
                </c:pt>
                <c:pt idx="4">
                  <c:v>98195.400000000373</c:v>
                </c:pt>
                <c:pt idx="5">
                  <c:v>91131.200000001118</c:v>
                </c:pt>
                <c:pt idx="6">
                  <c:v>84067</c:v>
                </c:pt>
                <c:pt idx="7">
                  <c:v>84067</c:v>
                </c:pt>
                <c:pt idx="8">
                  <c:v>84067</c:v>
                </c:pt>
                <c:pt idx="9">
                  <c:v>84067</c:v>
                </c:pt>
                <c:pt idx="10">
                  <c:v>84067</c:v>
                </c:pt>
                <c:pt idx="11">
                  <c:v>84067</c:v>
                </c:pt>
                <c:pt idx="12">
                  <c:v>84067</c:v>
                </c:pt>
                <c:pt idx="13">
                  <c:v>84067</c:v>
                </c:pt>
                <c:pt idx="14">
                  <c:v>84067</c:v>
                </c:pt>
                <c:pt idx="15">
                  <c:v>84067</c:v>
                </c:pt>
                <c:pt idx="16">
                  <c:v>84067</c:v>
                </c:pt>
                <c:pt idx="17">
                  <c:v>84067</c:v>
                </c:pt>
                <c:pt idx="18">
                  <c:v>84067</c:v>
                </c:pt>
                <c:pt idx="19">
                  <c:v>84067</c:v>
                </c:pt>
                <c:pt idx="20">
                  <c:v>84067</c:v>
                </c:pt>
                <c:pt idx="21">
                  <c:v>84067</c:v>
                </c:pt>
                <c:pt idx="22">
                  <c:v>84067</c:v>
                </c:pt>
                <c:pt idx="23">
                  <c:v>84067</c:v>
                </c:pt>
                <c:pt idx="24">
                  <c:v>84067</c:v>
                </c:pt>
                <c:pt idx="25">
                  <c:v>84067</c:v>
                </c:pt>
                <c:pt idx="26">
                  <c:v>84067</c:v>
                </c:pt>
                <c:pt idx="27">
                  <c:v>84067</c:v>
                </c:pt>
                <c:pt idx="28">
                  <c:v>84067</c:v>
                </c:pt>
                <c:pt idx="29">
                  <c:v>84067</c:v>
                </c:pt>
                <c:pt idx="30">
                  <c:v>84067</c:v>
                </c:pt>
                <c:pt idx="31">
                  <c:v>84067</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1377.152</c:v>
                </c:pt>
                <c:pt idx="2">
                  <c:v>1385.0491999999995</c:v>
                </c:pt>
                <c:pt idx="3">
                  <c:v>1392.9464000000007</c:v>
                </c:pt>
                <c:pt idx="4">
                  <c:v>1400.8436000000002</c:v>
                </c:pt>
                <c:pt idx="5">
                  <c:v>1408.7407999999996</c:v>
                </c:pt>
                <c:pt idx="6">
                  <c:v>1416.6380000000001</c:v>
                </c:pt>
                <c:pt idx="7">
                  <c:v>1432.388600000002</c:v>
                </c:pt>
                <c:pt idx="8">
                  <c:v>1448.1392000000014</c:v>
                </c:pt>
                <c:pt idx="9">
                  <c:v>1463.8898000000008</c:v>
                </c:pt>
                <c:pt idx="10">
                  <c:v>1479.6404000000002</c:v>
                </c:pt>
                <c:pt idx="11">
                  <c:v>1495.3909999999998</c:v>
                </c:pt>
                <c:pt idx="12">
                  <c:v>1510.5756000000001</c:v>
                </c:pt>
                <c:pt idx="13">
                  <c:v>1525.7602000000006</c:v>
                </c:pt>
                <c:pt idx="14">
                  <c:v>1540.9448000000011</c:v>
                </c:pt>
                <c:pt idx="15">
                  <c:v>1556.1294000000016</c:v>
                </c:pt>
                <c:pt idx="16">
                  <c:v>1571.3140000000001</c:v>
                </c:pt>
                <c:pt idx="17">
                  <c:v>1585.6786000000029</c:v>
                </c:pt>
                <c:pt idx="18">
                  <c:v>1600.0432000000001</c:v>
                </c:pt>
                <c:pt idx="19">
                  <c:v>1614.4078000000009</c:v>
                </c:pt>
                <c:pt idx="20">
                  <c:v>1628.7724000000017</c:v>
                </c:pt>
                <c:pt idx="21">
                  <c:v>1643.1370000000002</c:v>
                </c:pt>
                <c:pt idx="22">
                  <c:v>1658.2861999999986</c:v>
                </c:pt>
                <c:pt idx="23">
                  <c:v>1673.4353999999985</c:v>
                </c:pt>
                <c:pt idx="24">
                  <c:v>1688.5845999999983</c:v>
                </c:pt>
                <c:pt idx="25">
                  <c:v>1703.7337999999982</c:v>
                </c:pt>
                <c:pt idx="26">
                  <c:v>1718.883</c:v>
                </c:pt>
                <c:pt idx="27">
                  <c:v>1731.7387999999992</c:v>
                </c:pt>
                <c:pt idx="28">
                  <c:v>1744.5945999999967</c:v>
                </c:pt>
                <c:pt idx="29">
                  <c:v>1757.4503999999979</c:v>
                </c:pt>
                <c:pt idx="30">
                  <c:v>1770.3061999999991</c:v>
                </c:pt>
                <c:pt idx="31">
                  <c:v>1783.1619999999998</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554.88099999999997</c:v>
                </c:pt>
                <c:pt idx="2">
                  <c:v>555.80780000000004</c:v>
                </c:pt>
                <c:pt idx="3">
                  <c:v>556.7346</c:v>
                </c:pt>
                <c:pt idx="4">
                  <c:v>557.66139999999996</c:v>
                </c:pt>
                <c:pt idx="5">
                  <c:v>558.58819999999992</c:v>
                </c:pt>
                <c:pt idx="6">
                  <c:v>559.51499999999999</c:v>
                </c:pt>
                <c:pt idx="7">
                  <c:v>560.21679999999981</c:v>
                </c:pt>
                <c:pt idx="8">
                  <c:v>560.91859999999986</c:v>
                </c:pt>
                <c:pt idx="9">
                  <c:v>561.6203999999999</c:v>
                </c:pt>
                <c:pt idx="10">
                  <c:v>562.32219999999995</c:v>
                </c:pt>
                <c:pt idx="11">
                  <c:v>563.024</c:v>
                </c:pt>
                <c:pt idx="12">
                  <c:v>563.88020000000006</c:v>
                </c:pt>
                <c:pt idx="13">
                  <c:v>564.7364</c:v>
                </c:pt>
                <c:pt idx="14">
                  <c:v>565.59259999999995</c:v>
                </c:pt>
                <c:pt idx="15">
                  <c:v>566.44879999999989</c:v>
                </c:pt>
                <c:pt idx="16">
                  <c:v>567.30499999999995</c:v>
                </c:pt>
                <c:pt idx="17">
                  <c:v>567.67619999999988</c:v>
                </c:pt>
                <c:pt idx="18">
                  <c:v>568.04739999999993</c:v>
                </c:pt>
                <c:pt idx="19">
                  <c:v>568.41859999999997</c:v>
                </c:pt>
                <c:pt idx="20">
                  <c:v>568.78980000000001</c:v>
                </c:pt>
                <c:pt idx="21">
                  <c:v>569.16100000000006</c:v>
                </c:pt>
                <c:pt idx="22">
                  <c:v>569.76780000000008</c:v>
                </c:pt>
                <c:pt idx="23">
                  <c:v>570.3746000000001</c:v>
                </c:pt>
                <c:pt idx="24">
                  <c:v>570.98140000000012</c:v>
                </c:pt>
                <c:pt idx="25">
                  <c:v>571.58819999999992</c:v>
                </c:pt>
                <c:pt idx="26">
                  <c:v>572.19500000000005</c:v>
                </c:pt>
                <c:pt idx="27">
                  <c:v>572.2274000000001</c:v>
                </c:pt>
                <c:pt idx="28">
                  <c:v>572.25980000000004</c:v>
                </c:pt>
                <c:pt idx="29">
                  <c:v>572.29220000000009</c:v>
                </c:pt>
                <c:pt idx="30">
                  <c:v>572.32460000000003</c:v>
                </c:pt>
                <c:pt idx="31">
                  <c:v>572.35699999999997</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15855.377</c:v>
                </c:pt>
                <c:pt idx="2">
                  <c:v>19319.994199999608</c:v>
                </c:pt>
                <c:pt idx="3">
                  <c:v>22491.291000000001</c:v>
                </c:pt>
                <c:pt idx="4">
                  <c:v>26815.535</c:v>
                </c:pt>
                <c:pt idx="5">
                  <c:v>30254.023000000001</c:v>
                </c:pt>
                <c:pt idx="6">
                  <c:v>33178.463000000003</c:v>
                </c:pt>
                <c:pt idx="7">
                  <c:v>34785.682999999997</c:v>
                </c:pt>
                <c:pt idx="8">
                  <c:v>36654.330999999998</c:v>
                </c:pt>
                <c:pt idx="9">
                  <c:v>38291.962</c:v>
                </c:pt>
                <c:pt idx="10">
                  <c:v>40837.508999999998</c:v>
                </c:pt>
                <c:pt idx="11">
                  <c:v>42625.346999999994</c:v>
                </c:pt>
                <c:pt idx="12">
                  <c:v>44444</c:v>
                </c:pt>
                <c:pt idx="13">
                  <c:v>46077.877</c:v>
                </c:pt>
                <c:pt idx="14">
                  <c:v>48438.850000000006</c:v>
                </c:pt>
                <c:pt idx="15">
                  <c:v>51029.842000000004</c:v>
                </c:pt>
                <c:pt idx="16">
                  <c:v>52509.289000000004</c:v>
                </c:pt>
                <c:pt idx="17">
                  <c:v>55255.535000000003</c:v>
                </c:pt>
                <c:pt idx="18">
                  <c:v>56865.172999999995</c:v>
                </c:pt>
                <c:pt idx="19">
                  <c:v>59174.522000000004</c:v>
                </c:pt>
                <c:pt idx="20">
                  <c:v>61338.108</c:v>
                </c:pt>
                <c:pt idx="21">
                  <c:v>63244.408000000003</c:v>
                </c:pt>
                <c:pt idx="22">
                  <c:v>64905.724000000009</c:v>
                </c:pt>
                <c:pt idx="23">
                  <c:v>66276.016000000003</c:v>
                </c:pt>
                <c:pt idx="24">
                  <c:v>67472.403999999995</c:v>
                </c:pt>
                <c:pt idx="25">
                  <c:v>68558.64</c:v>
                </c:pt>
                <c:pt idx="26">
                  <c:v>69653.053</c:v>
                </c:pt>
                <c:pt idx="27">
                  <c:v>71534.721000000005</c:v>
                </c:pt>
                <c:pt idx="28">
                  <c:v>72148.804000000004</c:v>
                </c:pt>
                <c:pt idx="29">
                  <c:v>73245.368999999992</c:v>
                </c:pt>
                <c:pt idx="30">
                  <c:v>73763.748000000007</c:v>
                </c:pt>
                <c:pt idx="31">
                  <c:v>74117.523000000001</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17.117000000000001</c:v>
                </c:pt>
                <c:pt idx="2">
                  <c:v>16.104200000000219</c:v>
                </c:pt>
                <c:pt idx="3">
                  <c:v>15.091400000000021</c:v>
                </c:pt>
                <c:pt idx="4">
                  <c:v>14.078600000000279</c:v>
                </c:pt>
                <c:pt idx="5">
                  <c:v>13.065800000000309</c:v>
                </c:pt>
                <c:pt idx="6">
                  <c:v>12.052999999999999</c:v>
                </c:pt>
                <c:pt idx="7">
                  <c:v>12.052999999999999</c:v>
                </c:pt>
                <c:pt idx="8">
                  <c:v>12.052999999999999</c:v>
                </c:pt>
                <c:pt idx="9">
                  <c:v>12.052999999999999</c:v>
                </c:pt>
                <c:pt idx="10">
                  <c:v>12.052999999999999</c:v>
                </c:pt>
                <c:pt idx="11">
                  <c:v>12.052999999999999</c:v>
                </c:pt>
                <c:pt idx="12">
                  <c:v>12.052999999999999</c:v>
                </c:pt>
                <c:pt idx="13">
                  <c:v>12.052999999999999</c:v>
                </c:pt>
                <c:pt idx="14">
                  <c:v>12.052999999999999</c:v>
                </c:pt>
                <c:pt idx="15">
                  <c:v>12.052999999999999</c:v>
                </c:pt>
                <c:pt idx="16">
                  <c:v>12.052999999999999</c:v>
                </c:pt>
                <c:pt idx="17">
                  <c:v>12.052999999999999</c:v>
                </c:pt>
                <c:pt idx="18">
                  <c:v>12.052999999999999</c:v>
                </c:pt>
                <c:pt idx="19">
                  <c:v>12.052999999999999</c:v>
                </c:pt>
                <c:pt idx="20">
                  <c:v>12.052999999999999</c:v>
                </c:pt>
                <c:pt idx="21">
                  <c:v>12.052999999999999</c:v>
                </c:pt>
                <c:pt idx="22">
                  <c:v>12.052999999999999</c:v>
                </c:pt>
                <c:pt idx="23">
                  <c:v>12.052999999999999</c:v>
                </c:pt>
                <c:pt idx="24">
                  <c:v>12.052999999999999</c:v>
                </c:pt>
                <c:pt idx="25">
                  <c:v>12.052999999999999</c:v>
                </c:pt>
                <c:pt idx="26">
                  <c:v>12.052999999999999</c:v>
                </c:pt>
                <c:pt idx="27">
                  <c:v>12.052999999999999</c:v>
                </c:pt>
                <c:pt idx="28">
                  <c:v>12.052999999999999</c:v>
                </c:pt>
                <c:pt idx="29">
                  <c:v>12.052999999999999</c:v>
                </c:pt>
                <c:pt idx="30">
                  <c:v>12.052999999999999</c:v>
                </c:pt>
                <c:pt idx="31">
                  <c:v>12.052999999999999</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workbookViewId="0">
      <selection activeCell="F16" sqref="F16"/>
    </sheetView>
  </sheetViews>
  <sheetFormatPr defaultRowHeight="14.5" x14ac:dyDescent="0.35"/>
  <cols>
    <col min="1" max="1" width="17.1796875" customWidth="1"/>
    <col min="2" max="2" width="51" customWidth="1"/>
    <col min="4" max="4" width="14.453125" bestFit="1" customWidth="1"/>
    <col min="5" max="5" width="10.81640625" bestFit="1" customWidth="1"/>
  </cols>
  <sheetData>
    <row r="1" spans="1:2" x14ac:dyDescent="0.35">
      <c r="A1" s="1" t="s">
        <v>931</v>
      </c>
    </row>
    <row r="3" spans="1:2" x14ac:dyDescent="0.35">
      <c r="A3" s="1" t="s">
        <v>53</v>
      </c>
      <c r="B3" s="4" t="s">
        <v>641</v>
      </c>
    </row>
    <row r="4" spans="1:2" x14ac:dyDescent="0.35">
      <c r="B4" t="s">
        <v>0</v>
      </c>
    </row>
    <row r="5" spans="1:2" x14ac:dyDescent="0.35">
      <c r="B5" s="2">
        <v>2022</v>
      </c>
    </row>
    <row r="6" spans="1:2" x14ac:dyDescent="0.35">
      <c r="B6" t="s">
        <v>640</v>
      </c>
    </row>
    <row r="7" spans="1:2" ht="29" x14ac:dyDescent="0.35">
      <c r="B7" s="23" t="s">
        <v>642</v>
      </c>
    </row>
    <row r="8" spans="1:2" ht="29" x14ac:dyDescent="0.35">
      <c r="B8" s="23" t="s">
        <v>643</v>
      </c>
    </row>
    <row r="9" spans="1:2" x14ac:dyDescent="0.35">
      <c r="B9" t="s">
        <v>163</v>
      </c>
    </row>
    <row r="11" spans="1:2" x14ac:dyDescent="0.35">
      <c r="B11" s="4" t="s">
        <v>639</v>
      </c>
    </row>
    <row r="12" spans="1:2" x14ac:dyDescent="0.35">
      <c r="B12" t="s">
        <v>0</v>
      </c>
    </row>
    <row r="13" spans="1:2" x14ac:dyDescent="0.35">
      <c r="B13" s="2">
        <v>2021</v>
      </c>
    </row>
    <row r="14" spans="1:2" x14ac:dyDescent="0.35">
      <c r="B14" t="s">
        <v>566</v>
      </c>
    </row>
    <row r="15" spans="1:2" ht="58" x14ac:dyDescent="0.35">
      <c r="B15" s="23" t="s">
        <v>475</v>
      </c>
    </row>
    <row r="16" spans="1:2" ht="58" x14ac:dyDescent="0.35">
      <c r="B16" s="23" t="s">
        <v>315</v>
      </c>
    </row>
    <row r="17" spans="1:2" x14ac:dyDescent="0.35">
      <c r="B17" t="s">
        <v>163</v>
      </c>
    </row>
    <row r="19" spans="1:2" x14ac:dyDescent="0.35">
      <c r="B19" s="4" t="s">
        <v>54</v>
      </c>
    </row>
    <row r="20" spans="1:2" x14ac:dyDescent="0.35">
      <c r="B20" t="s">
        <v>0</v>
      </c>
    </row>
    <row r="21" spans="1:2" x14ac:dyDescent="0.35">
      <c r="B21" s="2">
        <v>2020</v>
      </c>
    </row>
    <row r="22" spans="1:2" x14ac:dyDescent="0.35">
      <c r="B22" t="s">
        <v>55</v>
      </c>
    </row>
    <row r="23" spans="1:2" x14ac:dyDescent="0.35">
      <c r="B23" s="24" t="s">
        <v>611</v>
      </c>
    </row>
    <row r="24" spans="1:2" x14ac:dyDescent="0.35">
      <c r="B24" s="24" t="s">
        <v>610</v>
      </c>
    </row>
    <row r="25" spans="1:2" x14ac:dyDescent="0.35">
      <c r="B25" t="s">
        <v>56</v>
      </c>
    </row>
    <row r="27" spans="1:2" x14ac:dyDescent="0.35">
      <c r="A27" s="1" t="s">
        <v>16</v>
      </c>
    </row>
    <row r="28" spans="1:2" x14ac:dyDescent="0.35">
      <c r="A28" t="s">
        <v>920</v>
      </c>
    </row>
    <row r="29" spans="1:2" x14ac:dyDescent="0.35">
      <c r="A29" t="s">
        <v>921</v>
      </c>
    </row>
    <row r="31" spans="1:2" x14ac:dyDescent="0.35">
      <c r="A31" s="1" t="s">
        <v>157</v>
      </c>
    </row>
    <row r="32" spans="1:2" x14ac:dyDescent="0.35">
      <c r="A32" s="9">
        <f>'RECS HC2.1'!B24/SUM('RECS HC2.1'!B24,'RECS HC2.1'!B27)</f>
        <v>0.81308184246741677</v>
      </c>
      <c r="B32" t="s">
        <v>32</v>
      </c>
    </row>
    <row r="33" spans="1:6" x14ac:dyDescent="0.35">
      <c r="A33" s="9">
        <f>'RECS HC2.1'!B27/SUM('RECS HC2.1'!B24,'RECS HC2.1'!B27)</f>
        <v>0.18691815753258317</v>
      </c>
      <c r="B33" t="s">
        <v>33</v>
      </c>
    </row>
    <row r="35" spans="1:6" ht="58" x14ac:dyDescent="0.35">
      <c r="A35" s="11" t="s">
        <v>165</v>
      </c>
      <c r="B35">
        <f>10^6</f>
        <v>1000000</v>
      </c>
      <c r="C35" s="12"/>
      <c r="D35" s="13"/>
      <c r="E35" s="14"/>
    </row>
    <row r="36" spans="1:6" x14ac:dyDescent="0.35">
      <c r="A36" t="s">
        <v>173</v>
      </c>
      <c r="B36">
        <v>1000</v>
      </c>
      <c r="F36" s="14"/>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4.5" x14ac:dyDescent="0.35"/>
  <cols>
    <col min="1" max="1" width="48.453125" customWidth="1"/>
    <col min="2" max="2" width="46.54296875" customWidth="1"/>
    <col min="3" max="3" width="35.54296875" customWidth="1"/>
    <col min="4" max="4" width="27.7265625" customWidth="1"/>
  </cols>
  <sheetData>
    <row r="1" spans="1:37" x14ac:dyDescent="0.35">
      <c r="A1" t="s">
        <v>177</v>
      </c>
    </row>
    <row r="2" spans="1:37" x14ac:dyDescent="0.35">
      <c r="A2" t="s">
        <v>475</v>
      </c>
    </row>
    <row r="3" spans="1:37" x14ac:dyDescent="0.35">
      <c r="A3" t="s">
        <v>476</v>
      </c>
    </row>
    <row r="4" spans="1:37" x14ac:dyDescent="0.35">
      <c r="A4" t="s">
        <v>178</v>
      </c>
    </row>
    <row r="5" spans="1:37" x14ac:dyDescent="0.3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35">
      <c r="A6" t="s">
        <v>2</v>
      </c>
      <c r="C6" t="s">
        <v>477</v>
      </c>
    </row>
    <row r="7" spans="1:37" x14ac:dyDescent="0.35">
      <c r="A7" t="s">
        <v>182</v>
      </c>
      <c r="C7" t="s">
        <v>478</v>
      </c>
    </row>
    <row r="8" spans="1:37" x14ac:dyDescent="0.3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3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3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3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3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3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3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3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3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3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35">
      <c r="A18" t="s">
        <v>203</v>
      </c>
      <c r="C18" t="s">
        <v>489</v>
      </c>
    </row>
    <row r="19" spans="1:37" x14ac:dyDescent="0.3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3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3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3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3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3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35">
      <c r="A25" t="s">
        <v>212</v>
      </c>
      <c r="C25" t="s">
        <v>496</v>
      </c>
    </row>
    <row r="26" spans="1:37" x14ac:dyDescent="0.3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3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3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3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3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3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35">
      <c r="A32" t="s">
        <v>222</v>
      </c>
      <c r="C32" t="s">
        <v>503</v>
      </c>
    </row>
    <row r="33" spans="1:37" x14ac:dyDescent="0.3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3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3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3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35">
      <c r="A37" t="s">
        <v>227</v>
      </c>
      <c r="C37" t="s">
        <v>508</v>
      </c>
    </row>
    <row r="38" spans="1:37" x14ac:dyDescent="0.3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3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3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35">
      <c r="A41" t="s">
        <v>231</v>
      </c>
      <c r="C41" t="s">
        <v>512</v>
      </c>
    </row>
    <row r="42" spans="1:37" x14ac:dyDescent="0.3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3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35">
      <c r="A44" t="s">
        <v>3</v>
      </c>
      <c r="C44" t="s">
        <v>515</v>
      </c>
    </row>
    <row r="45" spans="1:37" x14ac:dyDescent="0.35">
      <c r="A45" t="s">
        <v>182</v>
      </c>
      <c r="C45" t="s">
        <v>516</v>
      </c>
    </row>
    <row r="46" spans="1:37" x14ac:dyDescent="0.3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3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3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3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3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35">
      <c r="A51" t="s">
        <v>250</v>
      </c>
      <c r="C51" t="s">
        <v>522</v>
      </c>
    </row>
    <row r="52" spans="1:37" x14ac:dyDescent="0.3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3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3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3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3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35">
      <c r="A57" t="s">
        <v>262</v>
      </c>
      <c r="C57" t="s">
        <v>528</v>
      </c>
    </row>
    <row r="58" spans="1:37" x14ac:dyDescent="0.3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3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3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3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35">
      <c r="A62" t="s">
        <v>272</v>
      </c>
      <c r="C62" t="s">
        <v>533</v>
      </c>
    </row>
    <row r="63" spans="1:37" x14ac:dyDescent="0.3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3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35">
      <c r="A65" t="s">
        <v>276</v>
      </c>
      <c r="C65" t="s">
        <v>536</v>
      </c>
    </row>
    <row r="66" spans="1:37" x14ac:dyDescent="0.35">
      <c r="A66" t="s">
        <v>277</v>
      </c>
      <c r="C66" t="s">
        <v>537</v>
      </c>
    </row>
    <row r="67" spans="1:37" x14ac:dyDescent="0.3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3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3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35">
      <c r="A70" t="s">
        <v>250</v>
      </c>
      <c r="C70" t="s">
        <v>541</v>
      </c>
    </row>
    <row r="71" spans="1:37" x14ac:dyDescent="0.3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3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3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35">
      <c r="A74" t="s">
        <v>288</v>
      </c>
      <c r="C74" t="s">
        <v>545</v>
      </c>
    </row>
    <row r="75" spans="1:37" x14ac:dyDescent="0.35">
      <c r="A75" t="s">
        <v>289</v>
      </c>
      <c r="C75" t="s">
        <v>546</v>
      </c>
    </row>
    <row r="76" spans="1:37" x14ac:dyDescent="0.35">
      <c r="A76" s="1" t="s">
        <v>175</v>
      </c>
      <c r="C76" t="s">
        <v>547</v>
      </c>
    </row>
    <row r="77" spans="1:37" x14ac:dyDescent="0.3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3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3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3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35">
      <c r="A81" s="1" t="s">
        <v>174</v>
      </c>
      <c r="C81" t="s">
        <v>552</v>
      </c>
    </row>
    <row r="82" spans="1:37" x14ac:dyDescent="0.3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3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3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3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35">
      <c r="A86" t="s">
        <v>303</v>
      </c>
      <c r="C86" t="s">
        <v>557</v>
      </c>
    </row>
    <row r="87" spans="1:37" x14ac:dyDescent="0.3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3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35">
      <c r="A89" t="s">
        <v>308</v>
      </c>
      <c r="C89" t="s">
        <v>560</v>
      </c>
    </row>
    <row r="90" spans="1:37" x14ac:dyDescent="0.3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3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3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3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4296875" defaultRowHeight="14.5" x14ac:dyDescent="0.35"/>
  <sheetData>
    <row r="1" spans="1:36" x14ac:dyDescent="0.35">
      <c r="A1" t="s">
        <v>177</v>
      </c>
    </row>
    <row r="2" spans="1:36" x14ac:dyDescent="0.35">
      <c r="A2" t="s">
        <v>644</v>
      </c>
    </row>
    <row r="3" spans="1:36" x14ac:dyDescent="0.35">
      <c r="A3" t="s">
        <v>645</v>
      </c>
    </row>
    <row r="4" spans="1:36" x14ac:dyDescent="0.35">
      <c r="A4" t="s">
        <v>178</v>
      </c>
    </row>
    <row r="5" spans="1:36" x14ac:dyDescent="0.3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35">
      <c r="A6" t="s">
        <v>2</v>
      </c>
      <c r="C6" t="s">
        <v>587</v>
      </c>
    </row>
    <row r="7" spans="1:36" x14ac:dyDescent="0.35">
      <c r="A7" t="s">
        <v>182</v>
      </c>
      <c r="C7" t="s">
        <v>588</v>
      </c>
    </row>
    <row r="8" spans="1:36" x14ac:dyDescent="0.3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3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3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3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3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3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3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3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3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3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35">
      <c r="A18" t="s">
        <v>203</v>
      </c>
      <c r="C18" t="s">
        <v>589</v>
      </c>
    </row>
    <row r="19" spans="1:36" x14ac:dyDescent="0.3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3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3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3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3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3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35">
      <c r="A25" t="s">
        <v>212</v>
      </c>
      <c r="C25" t="s">
        <v>590</v>
      </c>
    </row>
    <row r="26" spans="1:36" x14ac:dyDescent="0.3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3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3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3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3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3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35">
      <c r="A32" t="s">
        <v>222</v>
      </c>
      <c r="C32" t="s">
        <v>591</v>
      </c>
    </row>
    <row r="33" spans="1:36" x14ac:dyDescent="0.3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3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3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3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35">
      <c r="A37" t="s">
        <v>227</v>
      </c>
      <c r="C37" t="s">
        <v>592</v>
      </c>
    </row>
    <row r="38" spans="1:36" x14ac:dyDescent="0.3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3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3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35">
      <c r="A41" t="s">
        <v>231</v>
      </c>
      <c r="C41" t="s">
        <v>593</v>
      </c>
    </row>
    <row r="42" spans="1:36" x14ac:dyDescent="0.3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3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35">
      <c r="A44" t="s">
        <v>3</v>
      </c>
      <c r="C44" t="s">
        <v>594</v>
      </c>
    </row>
    <row r="45" spans="1:36" x14ac:dyDescent="0.35">
      <c r="A45" t="s">
        <v>182</v>
      </c>
      <c r="C45" t="s">
        <v>595</v>
      </c>
    </row>
    <row r="46" spans="1:36" x14ac:dyDescent="0.3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3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3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3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3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35">
      <c r="A51" t="s">
        <v>250</v>
      </c>
      <c r="C51" t="s">
        <v>596</v>
      </c>
    </row>
    <row r="52" spans="1:36" x14ac:dyDescent="0.3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3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3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3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3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35">
      <c r="A57" t="s">
        <v>262</v>
      </c>
      <c r="C57" t="s">
        <v>597</v>
      </c>
    </row>
    <row r="58" spans="1:36" x14ac:dyDescent="0.3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3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3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3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35">
      <c r="A62" t="s">
        <v>272</v>
      </c>
      <c r="C62" t="s">
        <v>598</v>
      </c>
    </row>
    <row r="63" spans="1:36" x14ac:dyDescent="0.3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3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35">
      <c r="A65" t="s">
        <v>276</v>
      </c>
      <c r="C65" t="s">
        <v>599</v>
      </c>
    </row>
    <row r="66" spans="1:36" x14ac:dyDescent="0.35">
      <c r="A66" t="s">
        <v>277</v>
      </c>
      <c r="C66" t="s">
        <v>600</v>
      </c>
    </row>
    <row r="67" spans="1:36" x14ac:dyDescent="0.3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3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3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35">
      <c r="A70" t="s">
        <v>250</v>
      </c>
      <c r="C70" t="s">
        <v>601</v>
      </c>
    </row>
    <row r="71" spans="1:36" x14ac:dyDescent="0.3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3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3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35">
      <c r="A74" t="s">
        <v>288</v>
      </c>
      <c r="C74" t="s">
        <v>602</v>
      </c>
    </row>
    <row r="75" spans="1:36" x14ac:dyDescent="0.35">
      <c r="A75" t="s">
        <v>289</v>
      </c>
      <c r="C75" t="s">
        <v>603</v>
      </c>
    </row>
    <row r="76" spans="1:36" x14ac:dyDescent="0.35">
      <c r="A76" t="s">
        <v>175</v>
      </c>
      <c r="C76" t="s">
        <v>604</v>
      </c>
    </row>
    <row r="77" spans="1:36" x14ac:dyDescent="0.3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3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3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3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35">
      <c r="A81" t="s">
        <v>174</v>
      </c>
      <c r="C81" t="s">
        <v>605</v>
      </c>
    </row>
    <row r="82" spans="1:36" x14ac:dyDescent="0.3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3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3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3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35">
      <c r="A86" t="s">
        <v>303</v>
      </c>
      <c r="C86" t="s">
        <v>606</v>
      </c>
    </row>
    <row r="87" spans="1:36" x14ac:dyDescent="0.3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3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35">
      <c r="A89" t="s">
        <v>308</v>
      </c>
      <c r="C89" t="s">
        <v>607</v>
      </c>
    </row>
    <row r="90" spans="1:36" x14ac:dyDescent="0.3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3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3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3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topLeftCell="A58" workbookViewId="0">
      <selection activeCell="A83" sqref="A83:XFD83"/>
    </sheetView>
  </sheetViews>
  <sheetFormatPr defaultRowHeight="14.5" x14ac:dyDescent="0.35"/>
  <cols>
    <col min="1" max="1" width="49.1796875" customWidth="1"/>
  </cols>
  <sheetData>
    <row r="1" spans="1:35" x14ac:dyDescent="0.35">
      <c r="A1" t="s">
        <v>177</v>
      </c>
    </row>
    <row r="2" spans="1:35" x14ac:dyDescent="0.35">
      <c r="A2" t="s">
        <v>941</v>
      </c>
    </row>
    <row r="3" spans="1:35" x14ac:dyDescent="0.35">
      <c r="A3" t="s">
        <v>942</v>
      </c>
    </row>
    <row r="4" spans="1:35" x14ac:dyDescent="0.35">
      <c r="A4" t="s">
        <v>178</v>
      </c>
    </row>
    <row r="5" spans="1:35" x14ac:dyDescent="0.35">
      <c r="B5" t="s">
        <v>179</v>
      </c>
      <c r="C5" t="s">
        <v>180</v>
      </c>
      <c r="D5" t="s">
        <v>181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943</v>
      </c>
    </row>
    <row r="6" spans="1:35" x14ac:dyDescent="0.35">
      <c r="A6" t="s">
        <v>2</v>
      </c>
    </row>
    <row r="7" spans="1:35" x14ac:dyDescent="0.35">
      <c r="A7" t="s">
        <v>182</v>
      </c>
    </row>
    <row r="8" spans="1:35" x14ac:dyDescent="0.35">
      <c r="A8" t="s">
        <v>183</v>
      </c>
      <c r="B8" t="s">
        <v>944</v>
      </c>
      <c r="C8" t="s">
        <v>945</v>
      </c>
      <c r="D8" t="s">
        <v>185</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21">
        <v>1.4999999999999999E-2</v>
      </c>
    </row>
    <row r="9" spans="1:35" x14ac:dyDescent="0.35">
      <c r="A9" t="s">
        <v>186</v>
      </c>
      <c r="B9" t="s">
        <v>946</v>
      </c>
      <c r="C9" t="s">
        <v>947</v>
      </c>
      <c r="D9" t="s">
        <v>185</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21">
        <v>5.0000000000000001E-3</v>
      </c>
    </row>
    <row r="10" spans="1:35" x14ac:dyDescent="0.35">
      <c r="A10" t="s">
        <v>188</v>
      </c>
      <c r="B10" t="s">
        <v>948</v>
      </c>
      <c r="C10" t="s">
        <v>949</v>
      </c>
      <c r="D10" t="s">
        <v>185</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21">
        <v>-1E-3</v>
      </c>
    </row>
    <row r="11" spans="1:35" x14ac:dyDescent="0.35">
      <c r="A11" t="s">
        <v>190</v>
      </c>
      <c r="B11" t="s">
        <v>950</v>
      </c>
      <c r="C11" t="s">
        <v>951</v>
      </c>
      <c r="D11" t="s">
        <v>185</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21">
        <v>0.01</v>
      </c>
    </row>
    <row r="12" spans="1:35" x14ac:dyDescent="0.35">
      <c r="A12" t="s">
        <v>192</v>
      </c>
      <c r="B12" t="s">
        <v>952</v>
      </c>
      <c r="C12" t="s">
        <v>953</v>
      </c>
      <c r="D12" t="s">
        <v>185</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21">
        <v>-7.0000000000000001E-3</v>
      </c>
    </row>
    <row r="13" spans="1:35" x14ac:dyDescent="0.35">
      <c r="A13" t="s">
        <v>149</v>
      </c>
      <c r="B13" t="s">
        <v>954</v>
      </c>
      <c r="C13" t="s">
        <v>955</v>
      </c>
      <c r="D13" t="s">
        <v>185</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21">
        <v>-1E-3</v>
      </c>
    </row>
    <row r="14" spans="1:35" x14ac:dyDescent="0.35">
      <c r="A14" t="s">
        <v>195</v>
      </c>
      <c r="B14" t="s">
        <v>956</v>
      </c>
      <c r="C14" t="s">
        <v>957</v>
      </c>
      <c r="D14" t="s">
        <v>185</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21">
        <v>0.104</v>
      </c>
    </row>
    <row r="15" spans="1:35" x14ac:dyDescent="0.35">
      <c r="A15" t="s">
        <v>197</v>
      </c>
      <c r="B15" t="s">
        <v>958</v>
      </c>
      <c r="C15" t="s">
        <v>959</v>
      </c>
      <c r="D15" t="s">
        <v>185</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21">
        <v>-8.0000000000000002E-3</v>
      </c>
    </row>
    <row r="16" spans="1:35" x14ac:dyDescent="0.35">
      <c r="A16" t="s">
        <v>199</v>
      </c>
      <c r="B16" t="s">
        <v>960</v>
      </c>
      <c r="C16" t="s">
        <v>961</v>
      </c>
      <c r="D16" t="s">
        <v>185</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21">
        <v>4.1000000000000002E-2</v>
      </c>
    </row>
    <row r="17" spans="1:35" x14ac:dyDescent="0.35">
      <c r="A17" t="s">
        <v>201</v>
      </c>
      <c r="B17" t="s">
        <v>962</v>
      </c>
      <c r="C17" t="s">
        <v>963</v>
      </c>
      <c r="D17" t="s">
        <v>185</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21">
        <v>8.0000000000000002E-3</v>
      </c>
    </row>
    <row r="18" spans="1:35" x14ac:dyDescent="0.35">
      <c r="A18" t="s">
        <v>203</v>
      </c>
    </row>
    <row r="19" spans="1:35" x14ac:dyDescent="0.35">
      <c r="A19" t="s">
        <v>183</v>
      </c>
      <c r="B19" t="s">
        <v>964</v>
      </c>
      <c r="C19" t="s">
        <v>965</v>
      </c>
      <c r="D19" t="s">
        <v>185</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21">
        <v>1.4999999999999999E-2</v>
      </c>
    </row>
    <row r="20" spans="1:35" x14ac:dyDescent="0.35">
      <c r="A20" t="s">
        <v>188</v>
      </c>
      <c r="B20" t="s">
        <v>966</v>
      </c>
      <c r="C20" t="s">
        <v>967</v>
      </c>
      <c r="D20" t="s">
        <v>185</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21">
        <v>-1E-3</v>
      </c>
    </row>
    <row r="21" spans="1:35" x14ac:dyDescent="0.35">
      <c r="A21" t="s">
        <v>199</v>
      </c>
      <c r="B21" t="s">
        <v>968</v>
      </c>
      <c r="C21" t="s">
        <v>969</v>
      </c>
      <c r="D21" t="s">
        <v>185</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21">
        <v>4.1000000000000002E-2</v>
      </c>
    </row>
    <row r="22" spans="1:35" x14ac:dyDescent="0.35">
      <c r="A22" t="s">
        <v>207</v>
      </c>
      <c r="B22" t="s">
        <v>970</v>
      </c>
      <c r="C22" t="s">
        <v>971</v>
      </c>
      <c r="D22" t="s">
        <v>185</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21">
        <v>1.7999999999999999E-2</v>
      </c>
    </row>
    <row r="23" spans="1:35" x14ac:dyDescent="0.35">
      <c r="A23" t="s">
        <v>209</v>
      </c>
      <c r="B23" t="s">
        <v>972</v>
      </c>
      <c r="C23" t="s">
        <v>973</v>
      </c>
      <c r="D23" t="s">
        <v>185</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21">
        <v>0</v>
      </c>
    </row>
    <row r="24" spans="1:35" x14ac:dyDescent="0.35">
      <c r="A24" t="s">
        <v>201</v>
      </c>
      <c r="B24" t="s">
        <v>974</v>
      </c>
      <c r="C24" t="s">
        <v>975</v>
      </c>
      <c r="D24" t="s">
        <v>185</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21">
        <v>1.0999999999999999E-2</v>
      </c>
    </row>
    <row r="25" spans="1:35" x14ac:dyDescent="0.35">
      <c r="A25" t="s">
        <v>212</v>
      </c>
    </row>
    <row r="26" spans="1:35" x14ac:dyDescent="0.35">
      <c r="A26" t="s">
        <v>213</v>
      </c>
      <c r="B26" t="s">
        <v>976</v>
      </c>
      <c r="C26" t="s">
        <v>977</v>
      </c>
      <c r="D26" t="s">
        <v>185</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21">
        <v>6.0000000000000001E-3</v>
      </c>
    </row>
    <row r="27" spans="1:35" x14ac:dyDescent="0.35">
      <c r="A27" t="s">
        <v>215</v>
      </c>
      <c r="B27" t="s">
        <v>978</v>
      </c>
      <c r="C27" t="s">
        <v>979</v>
      </c>
      <c r="D27" t="s">
        <v>185</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21">
        <v>8.9999999999999993E-3</v>
      </c>
    </row>
    <row r="28" spans="1:35" x14ac:dyDescent="0.35">
      <c r="A28" t="s">
        <v>192</v>
      </c>
      <c r="B28" t="s">
        <v>980</v>
      </c>
      <c r="C28" t="s">
        <v>981</v>
      </c>
      <c r="D28" t="s">
        <v>185</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21">
        <v>-1.4E-2</v>
      </c>
    </row>
    <row r="29" spans="1:35" x14ac:dyDescent="0.35">
      <c r="A29" t="s">
        <v>149</v>
      </c>
      <c r="B29" t="s">
        <v>982</v>
      </c>
      <c r="C29" t="s">
        <v>983</v>
      </c>
      <c r="D29" t="s">
        <v>185</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21">
        <v>-1.2999999999999999E-2</v>
      </c>
    </row>
    <row r="30" spans="1:35" x14ac:dyDescent="0.35">
      <c r="A30" t="s">
        <v>219</v>
      </c>
      <c r="B30" t="s">
        <v>984</v>
      </c>
      <c r="C30" t="s">
        <v>985</v>
      </c>
      <c r="D30" t="s">
        <v>185</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21">
        <v>3.4000000000000002E-2</v>
      </c>
    </row>
    <row r="31" spans="1:35" x14ac:dyDescent="0.35">
      <c r="A31" t="s">
        <v>201</v>
      </c>
      <c r="B31" t="s">
        <v>986</v>
      </c>
      <c r="C31" t="s">
        <v>987</v>
      </c>
      <c r="D31" t="s">
        <v>185</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21">
        <v>8.0000000000000002E-3</v>
      </c>
    </row>
    <row r="32" spans="1:35" x14ac:dyDescent="0.35">
      <c r="A32" t="s">
        <v>222</v>
      </c>
    </row>
    <row r="33" spans="1:35" x14ac:dyDescent="0.35">
      <c r="A33" t="s">
        <v>213</v>
      </c>
      <c r="B33" t="s">
        <v>988</v>
      </c>
      <c r="C33" t="s">
        <v>989</v>
      </c>
      <c r="D33" t="s">
        <v>185</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21">
        <v>5.0000000000000001E-3</v>
      </c>
    </row>
    <row r="34" spans="1:35" x14ac:dyDescent="0.35">
      <c r="A34" t="s">
        <v>215</v>
      </c>
      <c r="B34" t="s">
        <v>990</v>
      </c>
      <c r="C34" t="s">
        <v>991</v>
      </c>
      <c r="D34" t="s">
        <v>185</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21">
        <v>0.01</v>
      </c>
    </row>
    <row r="35" spans="1:35" x14ac:dyDescent="0.35">
      <c r="A35" t="s">
        <v>149</v>
      </c>
      <c r="B35" t="s">
        <v>992</v>
      </c>
      <c r="C35" t="s">
        <v>993</v>
      </c>
      <c r="D35" t="s">
        <v>185</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21">
        <v>-4.0000000000000001E-3</v>
      </c>
    </row>
    <row r="36" spans="1:35" x14ac:dyDescent="0.35">
      <c r="A36" t="s">
        <v>201</v>
      </c>
      <c r="B36" t="s">
        <v>994</v>
      </c>
      <c r="C36" t="s">
        <v>995</v>
      </c>
      <c r="D36" t="s">
        <v>185</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21">
        <v>6.0000000000000001E-3</v>
      </c>
    </row>
    <row r="37" spans="1:35" x14ac:dyDescent="0.35">
      <c r="A37" t="s">
        <v>227</v>
      </c>
    </row>
    <row r="38" spans="1:35" x14ac:dyDescent="0.35">
      <c r="A38" t="s">
        <v>213</v>
      </c>
      <c r="B38" t="s">
        <v>996</v>
      </c>
      <c r="C38" t="s">
        <v>997</v>
      </c>
      <c r="D38" t="s">
        <v>185</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21">
        <v>1.4999999999999999E-2</v>
      </c>
    </row>
    <row r="39" spans="1:35" x14ac:dyDescent="0.35">
      <c r="A39" t="s">
        <v>215</v>
      </c>
      <c r="B39" t="s">
        <v>998</v>
      </c>
      <c r="C39" t="s">
        <v>999</v>
      </c>
      <c r="D39" t="s">
        <v>185</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21">
        <v>1.4999999999999999E-2</v>
      </c>
    </row>
    <row r="40" spans="1:35" x14ac:dyDescent="0.35">
      <c r="A40" t="s">
        <v>201</v>
      </c>
      <c r="B40" t="s">
        <v>1000</v>
      </c>
      <c r="C40" t="s">
        <v>1001</v>
      </c>
      <c r="D40" t="s">
        <v>185</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21">
        <v>1.4999999999999999E-2</v>
      </c>
    </row>
    <row r="41" spans="1:35" x14ac:dyDescent="0.35">
      <c r="A41" t="s">
        <v>231</v>
      </c>
    </row>
    <row r="42" spans="1:35" x14ac:dyDescent="0.35">
      <c r="A42" t="s">
        <v>232</v>
      </c>
      <c r="B42" t="s">
        <v>1002</v>
      </c>
      <c r="C42" t="s">
        <v>1003</v>
      </c>
      <c r="D42" t="s">
        <v>185</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21">
        <v>8.0000000000000002E-3</v>
      </c>
    </row>
    <row r="43" spans="1:35" x14ac:dyDescent="0.35">
      <c r="A43" t="s">
        <v>234</v>
      </c>
      <c r="B43" t="s">
        <v>1004</v>
      </c>
      <c r="C43" t="s">
        <v>1005</v>
      </c>
      <c r="D43" t="s">
        <v>185</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21">
        <v>7.0000000000000001E-3</v>
      </c>
    </row>
    <row r="44" spans="1:35" x14ac:dyDescent="0.35">
      <c r="A44" t="s">
        <v>3</v>
      </c>
    </row>
    <row r="45" spans="1:35" x14ac:dyDescent="0.35">
      <c r="A45" t="s">
        <v>182</v>
      </c>
    </row>
    <row r="46" spans="1:35" x14ac:dyDescent="0.35">
      <c r="A46" t="s">
        <v>236</v>
      </c>
      <c r="B46" t="s">
        <v>1006</v>
      </c>
      <c r="C46" t="s">
        <v>1007</v>
      </c>
      <c r="D46" t="s">
        <v>238</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21">
        <v>4.0000000000000001E-3</v>
      </c>
    </row>
    <row r="47" spans="1:35" x14ac:dyDescent="0.35">
      <c r="A47" t="s">
        <v>239</v>
      </c>
      <c r="B47" t="s">
        <v>1008</v>
      </c>
      <c r="C47" t="s">
        <v>1009</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21">
        <v>0</v>
      </c>
    </row>
    <row r="48" spans="1:35" x14ac:dyDescent="0.35">
      <c r="A48" t="s">
        <v>242</v>
      </c>
      <c r="B48" t="s">
        <v>1010</v>
      </c>
      <c r="C48" t="s">
        <v>1011</v>
      </c>
      <c r="D48" t="s">
        <v>244</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21">
        <v>2E-3</v>
      </c>
    </row>
    <row r="49" spans="1:35" x14ac:dyDescent="0.35">
      <c r="A49" t="s">
        <v>245</v>
      </c>
      <c r="B49" t="s">
        <v>1012</v>
      </c>
      <c r="C49" t="s">
        <v>1013</v>
      </c>
      <c r="D49" t="s">
        <v>247</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21">
        <v>2E-3</v>
      </c>
    </row>
    <row r="50" spans="1:35" x14ac:dyDescent="0.35">
      <c r="A50" t="s">
        <v>248</v>
      </c>
      <c r="B50" t="s">
        <v>1014</v>
      </c>
      <c r="C50" t="s">
        <v>1015</v>
      </c>
      <c r="D50" t="s">
        <v>247</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21">
        <v>1E-3</v>
      </c>
    </row>
    <row r="51" spans="1:35" x14ac:dyDescent="0.35">
      <c r="A51" t="s">
        <v>250</v>
      </c>
    </row>
    <row r="52" spans="1:35" x14ac:dyDescent="0.35">
      <c r="A52" t="s">
        <v>251</v>
      </c>
      <c r="B52" t="s">
        <v>1016</v>
      </c>
      <c r="C52" t="s">
        <v>1017</v>
      </c>
      <c r="D52" t="s">
        <v>253</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21">
        <v>5.0000000000000001E-3</v>
      </c>
    </row>
    <row r="53" spans="1:35" x14ac:dyDescent="0.35">
      <c r="A53" t="s">
        <v>239</v>
      </c>
      <c r="B53" t="s">
        <v>1018</v>
      </c>
      <c r="C53" t="s">
        <v>1019</v>
      </c>
      <c r="D53" t="s">
        <v>241</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21">
        <v>4.0000000000000001E-3</v>
      </c>
    </row>
    <row r="54" spans="1:35" x14ac:dyDescent="0.35">
      <c r="A54" t="s">
        <v>255</v>
      </c>
      <c r="B54" t="s">
        <v>1020</v>
      </c>
      <c r="C54" t="s">
        <v>1021</v>
      </c>
      <c r="D54" t="s">
        <v>257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21">
        <v>2E-3</v>
      </c>
    </row>
    <row r="55" spans="1:35" x14ac:dyDescent="0.35">
      <c r="A55" t="s">
        <v>258</v>
      </c>
      <c r="B55" t="s">
        <v>1022</v>
      </c>
      <c r="C55" t="s">
        <v>1023</v>
      </c>
      <c r="D55" t="s">
        <v>253</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21">
        <v>5.0000000000000001E-3</v>
      </c>
    </row>
    <row r="56" spans="1:35" x14ac:dyDescent="0.35">
      <c r="A56" t="s">
        <v>260</v>
      </c>
      <c r="B56" t="s">
        <v>1024</v>
      </c>
      <c r="C56" t="s">
        <v>1025</v>
      </c>
      <c r="D56" t="s">
        <v>257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21">
        <v>3.0000000000000001E-3</v>
      </c>
    </row>
    <row r="57" spans="1:35" x14ac:dyDescent="0.35">
      <c r="A57" t="s">
        <v>262</v>
      </c>
    </row>
    <row r="58" spans="1:35" x14ac:dyDescent="0.35">
      <c r="A58" t="s">
        <v>263</v>
      </c>
      <c r="B58" t="s">
        <v>1026</v>
      </c>
      <c r="C58" t="s">
        <v>1027</v>
      </c>
      <c r="D58" t="s">
        <v>265</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21">
        <v>2E-3</v>
      </c>
    </row>
    <row r="59" spans="1:35" x14ac:dyDescent="0.35">
      <c r="A59" t="s">
        <v>266</v>
      </c>
      <c r="B59" t="s">
        <v>1028</v>
      </c>
      <c r="C59" t="s">
        <v>1029</v>
      </c>
      <c r="D59" t="s">
        <v>265</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21">
        <v>0</v>
      </c>
    </row>
    <row r="60" spans="1:35" x14ac:dyDescent="0.35">
      <c r="A60" t="s">
        <v>268</v>
      </c>
      <c r="B60" t="s">
        <v>1030</v>
      </c>
      <c r="C60" t="s">
        <v>1031</v>
      </c>
      <c r="D60" t="s">
        <v>265</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21">
        <v>3.0000000000000001E-3</v>
      </c>
    </row>
    <row r="61" spans="1:35" x14ac:dyDescent="0.35">
      <c r="A61" t="s">
        <v>270</v>
      </c>
      <c r="B61" t="s">
        <v>1032</v>
      </c>
      <c r="C61" t="s">
        <v>1033</v>
      </c>
      <c r="D61" t="s">
        <v>265</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21">
        <v>1E-3</v>
      </c>
    </row>
    <row r="62" spans="1:35" x14ac:dyDescent="0.35">
      <c r="A62" t="s">
        <v>272</v>
      </c>
    </row>
    <row r="63" spans="1:35" x14ac:dyDescent="0.35">
      <c r="A63" t="s">
        <v>232</v>
      </c>
      <c r="B63" t="s">
        <v>1034</v>
      </c>
      <c r="C63" t="s">
        <v>1035</v>
      </c>
      <c r="D63" t="s">
        <v>274</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21">
        <v>-6.0000000000000001E-3</v>
      </c>
    </row>
    <row r="64" spans="1:35" x14ac:dyDescent="0.35">
      <c r="A64" t="s">
        <v>234</v>
      </c>
      <c r="B64" t="s">
        <v>1036</v>
      </c>
      <c r="C64" t="s">
        <v>1037</v>
      </c>
      <c r="D64" t="s">
        <v>274</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21">
        <v>-6.0000000000000001E-3</v>
      </c>
    </row>
    <row r="65" spans="1:35" x14ac:dyDescent="0.35">
      <c r="A65" t="s">
        <v>276</v>
      </c>
    </row>
    <row r="66" spans="1:35" x14ac:dyDescent="0.35">
      <c r="A66" t="s">
        <v>277</v>
      </c>
    </row>
    <row r="67" spans="1:35" x14ac:dyDescent="0.35">
      <c r="A67" t="s">
        <v>278</v>
      </c>
      <c r="B67" t="s">
        <v>1038</v>
      </c>
      <c r="C67" t="s">
        <v>1039</v>
      </c>
      <c r="D67" t="s">
        <v>280</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21">
        <v>-8.0000000000000002E-3</v>
      </c>
    </row>
    <row r="68" spans="1:35" x14ac:dyDescent="0.35">
      <c r="A68" t="s">
        <v>281</v>
      </c>
      <c r="B68" t="s">
        <v>1040</v>
      </c>
      <c r="C68" t="s">
        <v>1041</v>
      </c>
      <c r="D68" t="s">
        <v>280</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21">
        <v>2E-3</v>
      </c>
    </row>
    <row r="69" spans="1:35" x14ac:dyDescent="0.35">
      <c r="A69" t="s">
        <v>283</v>
      </c>
      <c r="B69" t="s">
        <v>1042</v>
      </c>
      <c r="C69" t="s">
        <v>1043</v>
      </c>
      <c r="D69" t="s">
        <v>280</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21">
        <v>-6.0000000000000001E-3</v>
      </c>
    </row>
    <row r="70" spans="1:35" x14ac:dyDescent="0.35">
      <c r="A70" t="s">
        <v>250</v>
      </c>
    </row>
    <row r="71" spans="1:35" x14ac:dyDescent="0.35">
      <c r="A71" t="s">
        <v>278</v>
      </c>
      <c r="B71" t="s">
        <v>1044</v>
      </c>
      <c r="C71" t="s">
        <v>1045</v>
      </c>
      <c r="D71" t="s">
        <v>280</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21">
        <v>-3.0000000000000001E-3</v>
      </c>
    </row>
    <row r="72" spans="1:35" x14ac:dyDescent="0.35">
      <c r="A72" t="s">
        <v>281</v>
      </c>
      <c r="B72" t="s">
        <v>1046</v>
      </c>
      <c r="C72" t="s">
        <v>1047</v>
      </c>
      <c r="D72" t="s">
        <v>280</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21">
        <v>1E-3</v>
      </c>
    </row>
    <row r="73" spans="1:35" x14ac:dyDescent="0.35">
      <c r="A73" t="s">
        <v>283</v>
      </c>
      <c r="B73" t="s">
        <v>1048</v>
      </c>
      <c r="C73" t="s">
        <v>1049</v>
      </c>
      <c r="D73" t="s">
        <v>280</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21">
        <v>-2E-3</v>
      </c>
    </row>
    <row r="74" spans="1:35" x14ac:dyDescent="0.35">
      <c r="A74" t="s">
        <v>288</v>
      </c>
    </row>
    <row r="75" spans="1:35" x14ac:dyDescent="0.35">
      <c r="A75" t="s">
        <v>289</v>
      </c>
    </row>
    <row r="76" spans="1:35" x14ac:dyDescent="0.35">
      <c r="A76" t="s">
        <v>175</v>
      </c>
    </row>
    <row r="77" spans="1:35" x14ac:dyDescent="0.35">
      <c r="A77" t="s">
        <v>290</v>
      </c>
      <c r="B77" t="s">
        <v>1050</v>
      </c>
      <c r="C77" t="s">
        <v>1051</v>
      </c>
      <c r="D77" t="s">
        <v>292</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35">
      <c r="A78" t="s">
        <v>293</v>
      </c>
      <c r="B78" t="s">
        <v>1052</v>
      </c>
      <c r="C78" t="s">
        <v>1053</v>
      </c>
      <c r="D78" t="s">
        <v>292</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21">
        <v>6.5000000000000002E-2</v>
      </c>
    </row>
    <row r="79" spans="1:35" x14ac:dyDescent="0.35">
      <c r="A79" t="s">
        <v>295</v>
      </c>
      <c r="B79" t="s">
        <v>1054</v>
      </c>
      <c r="C79" t="s">
        <v>1055</v>
      </c>
      <c r="D79" t="s">
        <v>292</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21">
        <v>2.8000000000000001E-2</v>
      </c>
    </row>
    <row r="80" spans="1:35" x14ac:dyDescent="0.35">
      <c r="A80" t="s">
        <v>201</v>
      </c>
      <c r="B80" t="s">
        <v>1056</v>
      </c>
      <c r="C80" t="s">
        <v>1057</v>
      </c>
      <c r="D80" t="s">
        <v>292</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21">
        <v>6.5000000000000002E-2</v>
      </c>
    </row>
    <row r="81" spans="1:35" x14ac:dyDescent="0.35">
      <c r="A81" t="s">
        <v>174</v>
      </c>
    </row>
    <row r="82" spans="1:35" x14ac:dyDescent="0.35">
      <c r="A82" t="s">
        <v>290</v>
      </c>
      <c r="B82" t="s">
        <v>1058</v>
      </c>
      <c r="C82" t="s">
        <v>1059</v>
      </c>
      <c r="D82" t="s">
        <v>299</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35">
      <c r="A83" t="s">
        <v>293</v>
      </c>
      <c r="B83" t="s">
        <v>1060</v>
      </c>
      <c r="C83" t="s">
        <v>1061</v>
      </c>
      <c r="D83" t="s">
        <v>299</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21">
        <v>6.6000000000000003E-2</v>
      </c>
    </row>
    <row r="84" spans="1:35" x14ac:dyDescent="0.35">
      <c r="A84" t="s">
        <v>295</v>
      </c>
      <c r="B84" t="s">
        <v>1062</v>
      </c>
      <c r="C84" t="s">
        <v>1063</v>
      </c>
      <c r="D84" t="s">
        <v>299</v>
      </c>
      <c r="F84">
        <v>6.9006999999999999E-2</v>
      </c>
      <c r="G84">
        <v>7.4813000000000004E-2</v>
      </c>
      <c r="H84">
        <v>8.1044000000000005E-2</v>
      </c>
      <c r="I84">
        <v>8.7524000000000005E-2</v>
      </c>
      <c r="J84">
        <v>9.4131000000000006E-2</v>
      </c>
      <c r="K84">
        <v>0.100814</v>
      </c>
      <c r="L84">
        <v>0.10752100000000001</v>
      </c>
      <c r="M84">
        <v>0.114228</v>
      </c>
      <c r="N84">
        <v>0.120911</v>
      </c>
      <c r="O84">
        <v>0.12756999999999999</v>
      </c>
      <c r="P84">
        <v>0.134214</v>
      </c>
      <c r="Q84">
        <v>0.14060900000000001</v>
      </c>
      <c r="R84">
        <v>0.14061199999999999</v>
      </c>
      <c r="S84">
        <v>0.14061899999999999</v>
      </c>
      <c r="T84">
        <v>0.14063100000000001</v>
      </c>
      <c r="U84">
        <v>0.140654</v>
      </c>
      <c r="V84">
        <v>0.14069799999999999</v>
      </c>
      <c r="W84">
        <v>0.14077799999999999</v>
      </c>
      <c r="X84">
        <v>0.14092499999999999</v>
      </c>
      <c r="Y84">
        <v>0.14119499999999999</v>
      </c>
      <c r="Z84">
        <v>0.14146500000000001</v>
      </c>
      <c r="AA84">
        <v>0.141736</v>
      </c>
      <c r="AB84">
        <v>0.14200699999999999</v>
      </c>
      <c r="AC84">
        <v>0.14227999999999999</v>
      </c>
      <c r="AD84">
        <v>0.14255399999999999</v>
      </c>
      <c r="AE84">
        <v>0.14282900000000001</v>
      </c>
      <c r="AF84">
        <v>0.14310400000000001</v>
      </c>
      <c r="AG84">
        <v>0.14337900000000001</v>
      </c>
      <c r="AH84">
        <v>0.143655</v>
      </c>
      <c r="AI84" s="21">
        <v>2.7E-2</v>
      </c>
    </row>
    <row r="85" spans="1:35" x14ac:dyDescent="0.35">
      <c r="A85" t="s">
        <v>201</v>
      </c>
      <c r="B85" t="s">
        <v>1064</v>
      </c>
      <c r="C85" t="s">
        <v>1065</v>
      </c>
      <c r="D85" t="s">
        <v>299</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21">
        <v>6.6000000000000003E-2</v>
      </c>
    </row>
    <row r="86" spans="1:35" x14ac:dyDescent="0.35">
      <c r="A86" t="s">
        <v>303</v>
      </c>
    </row>
    <row r="87" spans="1:35" x14ac:dyDescent="0.35">
      <c r="A87" t="s">
        <v>304</v>
      </c>
      <c r="B87" t="s">
        <v>1066</v>
      </c>
      <c r="C87" t="s">
        <v>1067</v>
      </c>
      <c r="D87" t="s">
        <v>299</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21">
        <v>7.6999999999999999E-2</v>
      </c>
    </row>
    <row r="88" spans="1:35" x14ac:dyDescent="0.35">
      <c r="A88" t="s">
        <v>306</v>
      </c>
      <c r="B88" t="s">
        <v>1068</v>
      </c>
      <c r="C88" t="s">
        <v>1069</v>
      </c>
      <c r="D88" t="s">
        <v>299</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21">
        <v>6.4000000000000001E-2</v>
      </c>
    </row>
    <row r="89" spans="1:35" x14ac:dyDescent="0.35">
      <c r="A89" t="s">
        <v>308</v>
      </c>
    </row>
    <row r="90" spans="1:35" x14ac:dyDescent="0.35">
      <c r="A90" t="s">
        <v>290</v>
      </c>
      <c r="B90" t="s">
        <v>1070</v>
      </c>
      <c r="C90" t="s">
        <v>1071</v>
      </c>
      <c r="D90" t="s">
        <v>310</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35">
      <c r="A91" t="s">
        <v>293</v>
      </c>
      <c r="B91" t="s">
        <v>1072</v>
      </c>
      <c r="C91" t="s">
        <v>1073</v>
      </c>
      <c r="D91" t="s">
        <v>310</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21">
        <v>6.5000000000000002E-2</v>
      </c>
    </row>
    <row r="92" spans="1:35" x14ac:dyDescent="0.35">
      <c r="A92" t="s">
        <v>295</v>
      </c>
      <c r="B92" t="s">
        <v>1074</v>
      </c>
      <c r="C92" t="s">
        <v>1075</v>
      </c>
      <c r="D92" t="s">
        <v>310</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21">
        <v>2.7E-2</v>
      </c>
    </row>
    <row r="93" spans="1:35" x14ac:dyDescent="0.35">
      <c r="A93" t="s">
        <v>201</v>
      </c>
      <c r="B93" t="s">
        <v>1076</v>
      </c>
      <c r="C93" t="s">
        <v>1077</v>
      </c>
      <c r="D93" t="s">
        <v>310</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21">
        <v>6.5000000000000002E-2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4.5" x14ac:dyDescent="0.35"/>
  <cols>
    <col min="1" max="1" width="29.453125" customWidth="1"/>
    <col min="2" max="2" width="36.7265625" customWidth="1"/>
    <col min="3" max="3" width="35.1796875" customWidth="1"/>
  </cols>
  <sheetData>
    <row r="1" spans="1:37" x14ac:dyDescent="0.35">
      <c r="A1" t="s">
        <v>314</v>
      </c>
    </row>
    <row r="2" spans="1:37" x14ac:dyDescent="0.35">
      <c r="A2" t="s">
        <v>315</v>
      </c>
    </row>
    <row r="3" spans="1:37" x14ac:dyDescent="0.35">
      <c r="A3" t="s">
        <v>565</v>
      </c>
    </row>
    <row r="4" spans="1:37" x14ac:dyDescent="0.35">
      <c r="A4" t="s">
        <v>178</v>
      </c>
    </row>
    <row r="5" spans="1:37" x14ac:dyDescent="0.3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35">
      <c r="A6" t="s">
        <v>5</v>
      </c>
      <c r="C6" t="s">
        <v>317</v>
      </c>
    </row>
    <row r="7" spans="1:37" x14ac:dyDescent="0.35">
      <c r="A7" t="s">
        <v>318</v>
      </c>
      <c r="C7" t="s">
        <v>319</v>
      </c>
    </row>
    <row r="8" spans="1:37" x14ac:dyDescent="0.3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3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3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3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3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3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3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3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3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3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3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3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35">
      <c r="A20" t="s">
        <v>6</v>
      </c>
      <c r="C20" t="s">
        <v>356</v>
      </c>
    </row>
    <row r="21" spans="1:37" x14ac:dyDescent="0.35">
      <c r="A21" t="s">
        <v>357</v>
      </c>
      <c r="C21" t="s">
        <v>358</v>
      </c>
    </row>
    <row r="22" spans="1:37" x14ac:dyDescent="0.3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3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3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3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3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3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3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3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3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3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3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3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35">
      <c r="A34" t="s">
        <v>3</v>
      </c>
      <c r="C34" t="s">
        <v>384</v>
      </c>
    </row>
    <row r="35" spans="1:37" x14ac:dyDescent="0.35">
      <c r="A35" t="s">
        <v>277</v>
      </c>
      <c r="C35" t="s">
        <v>385</v>
      </c>
    </row>
    <row r="36" spans="1:37" x14ac:dyDescent="0.3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3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3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35">
      <c r="A39" t="s">
        <v>250</v>
      </c>
      <c r="C39" t="s">
        <v>393</v>
      </c>
    </row>
    <row r="40" spans="1:37" x14ac:dyDescent="0.3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3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35">
      <c r="A42" t="s">
        <v>398</v>
      </c>
      <c r="C42" t="s">
        <v>399</v>
      </c>
    </row>
    <row r="43" spans="1:37" x14ac:dyDescent="0.3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3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3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35">
      <c r="A46" t="s">
        <v>406</v>
      </c>
      <c r="C46" t="s">
        <v>407</v>
      </c>
    </row>
    <row r="47" spans="1:37" x14ac:dyDescent="0.3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35">
      <c r="A48" t="s">
        <v>411</v>
      </c>
      <c r="C48" t="s">
        <v>412</v>
      </c>
    </row>
    <row r="49" spans="1:37" x14ac:dyDescent="0.3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3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35">
      <c r="A51" t="s">
        <v>417</v>
      </c>
      <c r="C51" t="s">
        <v>418</v>
      </c>
    </row>
    <row r="52" spans="1:37" x14ac:dyDescent="0.35">
      <c r="A52" t="s">
        <v>419</v>
      </c>
      <c r="C52" t="s">
        <v>420</v>
      </c>
    </row>
    <row r="53" spans="1:37" x14ac:dyDescent="0.3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35">
      <c r="A54" t="s">
        <v>424</v>
      </c>
      <c r="C54" t="s">
        <v>425</v>
      </c>
    </row>
    <row r="55" spans="1:37" x14ac:dyDescent="0.3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35">
      <c r="A56" t="s">
        <v>288</v>
      </c>
      <c r="C56" t="s">
        <v>428</v>
      </c>
    </row>
    <row r="57" spans="1:37" x14ac:dyDescent="0.35">
      <c r="A57" t="s">
        <v>289</v>
      </c>
      <c r="C57" t="s">
        <v>429</v>
      </c>
    </row>
    <row r="58" spans="1:37" x14ac:dyDescent="0.35">
      <c r="A58" t="s">
        <v>175</v>
      </c>
      <c r="C58" t="s">
        <v>430</v>
      </c>
    </row>
    <row r="59" spans="1:37" x14ac:dyDescent="0.3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3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3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3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3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3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35">
      <c r="A65" t="s">
        <v>174</v>
      </c>
      <c r="C65" t="s">
        <v>444</v>
      </c>
    </row>
    <row r="66" spans="1:37" x14ac:dyDescent="0.3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3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3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3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3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3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35">
      <c r="A72" t="s">
        <v>303</v>
      </c>
      <c r="C72" t="s">
        <v>457</v>
      </c>
    </row>
    <row r="73" spans="1:37" x14ac:dyDescent="0.3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3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35">
      <c r="A75" t="s">
        <v>308</v>
      </c>
      <c r="C75" t="s">
        <v>462</v>
      </c>
    </row>
    <row r="76" spans="1:37" x14ac:dyDescent="0.3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3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3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3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3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3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6" workbookViewId="0">
      <selection activeCell="L33" sqref="L33"/>
    </sheetView>
  </sheetViews>
  <sheetFormatPr defaultRowHeight="14.5" x14ac:dyDescent="0.35"/>
  <cols>
    <col min="1" max="1" width="52.54296875" customWidth="1"/>
  </cols>
  <sheetData>
    <row r="1" spans="1:35" x14ac:dyDescent="0.35">
      <c r="A1" t="s">
        <v>314</v>
      </c>
    </row>
    <row r="2" spans="1:35" x14ac:dyDescent="0.35">
      <c r="A2" t="s">
        <v>1078</v>
      </c>
    </row>
    <row r="3" spans="1:35" x14ac:dyDescent="0.35">
      <c r="A3" t="s">
        <v>1079</v>
      </c>
    </row>
    <row r="4" spans="1:35" x14ac:dyDescent="0.35">
      <c r="A4" t="s">
        <v>178</v>
      </c>
    </row>
    <row r="5" spans="1:35" x14ac:dyDescent="0.35">
      <c r="B5" t="s">
        <v>179</v>
      </c>
      <c r="C5" t="s">
        <v>180</v>
      </c>
      <c r="D5" t="s">
        <v>181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943</v>
      </c>
    </row>
    <row r="6" spans="1:35" x14ac:dyDescent="0.35">
      <c r="A6" t="s">
        <v>5</v>
      </c>
    </row>
    <row r="7" spans="1:35" x14ac:dyDescent="0.35">
      <c r="A7" t="s">
        <v>318</v>
      </c>
    </row>
    <row r="8" spans="1:35" x14ac:dyDescent="0.35">
      <c r="A8" t="s">
        <v>320</v>
      </c>
      <c r="B8" t="s">
        <v>1080</v>
      </c>
      <c r="C8" t="s">
        <v>1081</v>
      </c>
      <c r="D8" t="s">
        <v>323</v>
      </c>
      <c r="F8">
        <v>0.645733</v>
      </c>
      <c r="G8">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21">
        <v>-4.0000000000000001E-3</v>
      </c>
    </row>
    <row r="9" spans="1:35" x14ac:dyDescent="0.35">
      <c r="A9" t="s">
        <v>324</v>
      </c>
      <c r="B9" t="s">
        <v>1082</v>
      </c>
      <c r="C9" t="s">
        <v>1081</v>
      </c>
      <c r="D9" t="s">
        <v>323</v>
      </c>
      <c r="F9">
        <v>1.0231920000000001</v>
      </c>
      <c r="G9">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21">
        <v>2E-3</v>
      </c>
    </row>
    <row r="10" spans="1:35" x14ac:dyDescent="0.35">
      <c r="A10" t="s">
        <v>327</v>
      </c>
      <c r="B10" t="s">
        <v>1083</v>
      </c>
      <c r="C10" t="s">
        <v>1081</v>
      </c>
      <c r="D10" t="s">
        <v>323</v>
      </c>
      <c r="F10">
        <v>0.376753</v>
      </c>
      <c r="G10">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21">
        <v>1E-3</v>
      </c>
    </row>
    <row r="11" spans="1:35" x14ac:dyDescent="0.35">
      <c r="A11" t="s">
        <v>330</v>
      </c>
      <c r="B11" t="s">
        <v>1084</v>
      </c>
      <c r="C11" t="s">
        <v>1081</v>
      </c>
      <c r="D11" t="s">
        <v>323</v>
      </c>
      <c r="F11">
        <v>0.55955699999999997</v>
      </c>
      <c r="G1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21">
        <v>2E-3</v>
      </c>
    </row>
    <row r="12" spans="1:35" x14ac:dyDescent="0.35">
      <c r="A12" t="s">
        <v>333</v>
      </c>
      <c r="B12" t="s">
        <v>1085</v>
      </c>
      <c r="C12" t="s">
        <v>1081</v>
      </c>
      <c r="D12" t="s">
        <v>323</v>
      </c>
      <c r="F12">
        <v>0.53744599999999998</v>
      </c>
      <c r="G12">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21">
        <v>5.0000000000000001E-3</v>
      </c>
    </row>
    <row r="13" spans="1:35" x14ac:dyDescent="0.35">
      <c r="A13" t="s">
        <v>336</v>
      </c>
      <c r="B13" t="s">
        <v>1086</v>
      </c>
      <c r="C13" t="s">
        <v>1081</v>
      </c>
      <c r="D13" t="s">
        <v>323</v>
      </c>
      <c r="F13">
        <v>0.59619900000000003</v>
      </c>
      <c r="G13">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21">
        <v>6.0000000000000001E-3</v>
      </c>
    </row>
    <row r="14" spans="1:35" x14ac:dyDescent="0.35">
      <c r="A14" t="s">
        <v>339</v>
      </c>
      <c r="B14" t="s">
        <v>1087</v>
      </c>
      <c r="C14" t="s">
        <v>1081</v>
      </c>
      <c r="D14" t="s">
        <v>323</v>
      </c>
      <c r="F14">
        <v>0.90617099999999995</v>
      </c>
      <c r="G14">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21">
        <v>5.0000000000000001E-3</v>
      </c>
    </row>
    <row r="15" spans="1:35" x14ac:dyDescent="0.35">
      <c r="A15" t="s">
        <v>342</v>
      </c>
      <c r="B15" t="s">
        <v>1088</v>
      </c>
      <c r="C15" t="s">
        <v>1081</v>
      </c>
      <c r="D15" t="s">
        <v>323</v>
      </c>
      <c r="F15">
        <v>0.62007699999999999</v>
      </c>
      <c r="G15">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21">
        <v>0</v>
      </c>
    </row>
    <row r="16" spans="1:35" x14ac:dyDescent="0.35">
      <c r="A16" t="s">
        <v>345</v>
      </c>
      <c r="B16" t="s">
        <v>1089</v>
      </c>
      <c r="C16" t="s">
        <v>1081</v>
      </c>
      <c r="D16" t="s">
        <v>323</v>
      </c>
      <c r="F16">
        <v>1.411627</v>
      </c>
      <c r="G16">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21">
        <v>-1E-3</v>
      </c>
    </row>
    <row r="17" spans="1:35" x14ac:dyDescent="0.35">
      <c r="A17" t="s">
        <v>348</v>
      </c>
      <c r="B17" t="s">
        <v>1090</v>
      </c>
      <c r="C17" t="s">
        <v>1081</v>
      </c>
      <c r="D17" t="s">
        <v>323</v>
      </c>
      <c r="F17">
        <v>0.45086399999999999</v>
      </c>
      <c r="G17">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21">
        <v>0.01</v>
      </c>
    </row>
    <row r="18" spans="1:35" x14ac:dyDescent="0.35">
      <c r="A18" t="s">
        <v>351</v>
      </c>
      <c r="B18" t="s">
        <v>1091</v>
      </c>
      <c r="C18" t="s">
        <v>1081</v>
      </c>
      <c r="D18" t="s">
        <v>323</v>
      </c>
      <c r="F18">
        <v>0.40379300000000001</v>
      </c>
      <c r="G18">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21">
        <v>4.0000000000000001E-3</v>
      </c>
    </row>
    <row r="19" spans="1:35" x14ac:dyDescent="0.35">
      <c r="A19" t="s">
        <v>201</v>
      </c>
      <c r="B19" t="s">
        <v>1092</v>
      </c>
      <c r="C19" t="s">
        <v>1081</v>
      </c>
      <c r="D19" t="s">
        <v>323</v>
      </c>
      <c r="F19">
        <v>7.5314129999999997</v>
      </c>
      <c r="G19">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21">
        <v>2E-3</v>
      </c>
    </row>
    <row r="20" spans="1:35" x14ac:dyDescent="0.35">
      <c r="A20" t="s">
        <v>6</v>
      </c>
    </row>
    <row r="21" spans="1:35" x14ac:dyDescent="0.35">
      <c r="A21" t="s">
        <v>357</v>
      </c>
    </row>
    <row r="22" spans="1:35" x14ac:dyDescent="0.35">
      <c r="A22" t="s">
        <v>320</v>
      </c>
      <c r="B22" t="s">
        <v>1093</v>
      </c>
      <c r="C22" t="s">
        <v>1094</v>
      </c>
      <c r="D22" t="s">
        <v>361</v>
      </c>
      <c r="F22">
        <v>10.400917</v>
      </c>
      <c r="G22">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21">
        <v>5.0000000000000001E-3</v>
      </c>
    </row>
    <row r="23" spans="1:35" x14ac:dyDescent="0.35">
      <c r="A23" t="s">
        <v>324</v>
      </c>
      <c r="B23" t="s">
        <v>1095</v>
      </c>
      <c r="C23" t="s">
        <v>1096</v>
      </c>
      <c r="D23" t="s">
        <v>361</v>
      </c>
      <c r="F23">
        <v>13.515454</v>
      </c>
      <c r="G23">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21">
        <v>8.9999999999999993E-3</v>
      </c>
    </row>
    <row r="24" spans="1:35" x14ac:dyDescent="0.35">
      <c r="A24" t="s">
        <v>327</v>
      </c>
      <c r="B24" t="s">
        <v>1097</v>
      </c>
      <c r="C24" t="s">
        <v>1098</v>
      </c>
      <c r="D24" t="s">
        <v>361</v>
      </c>
      <c r="F24">
        <v>1.2914620000000001</v>
      </c>
      <c r="G24">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21">
        <v>6.0000000000000001E-3</v>
      </c>
    </row>
    <row r="25" spans="1:35" x14ac:dyDescent="0.35">
      <c r="A25" t="s">
        <v>330</v>
      </c>
      <c r="B25" t="s">
        <v>1099</v>
      </c>
      <c r="C25" t="s">
        <v>1100</v>
      </c>
      <c r="D25" t="s">
        <v>361</v>
      </c>
      <c r="F25">
        <v>1.8883460000000001</v>
      </c>
      <c r="G25">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21">
        <v>6.0000000000000001E-3</v>
      </c>
    </row>
    <row r="26" spans="1:35" x14ac:dyDescent="0.35">
      <c r="A26" t="s">
        <v>333</v>
      </c>
      <c r="B26" t="s">
        <v>1101</v>
      </c>
      <c r="C26" t="s">
        <v>1102</v>
      </c>
      <c r="D26" t="s">
        <v>361</v>
      </c>
      <c r="F26">
        <v>2.7018550000000001</v>
      </c>
      <c r="G26">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21">
        <v>1.2E-2</v>
      </c>
    </row>
    <row r="27" spans="1:35" x14ac:dyDescent="0.35">
      <c r="A27" t="s">
        <v>336</v>
      </c>
      <c r="B27" t="s">
        <v>1103</v>
      </c>
      <c r="C27" t="s">
        <v>1104</v>
      </c>
      <c r="D27" t="s">
        <v>361</v>
      </c>
      <c r="F27">
        <v>6.6874169999999999</v>
      </c>
      <c r="G27">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21">
        <v>1.2E-2</v>
      </c>
    </row>
    <row r="28" spans="1:35" x14ac:dyDescent="0.35">
      <c r="A28" t="s">
        <v>339</v>
      </c>
      <c r="B28" t="s">
        <v>1105</v>
      </c>
      <c r="C28" t="s">
        <v>1106</v>
      </c>
      <c r="D28" t="s">
        <v>361</v>
      </c>
      <c r="F28">
        <v>9.6037389999999991</v>
      </c>
      <c r="G28">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21">
        <v>6.0000000000000001E-3</v>
      </c>
    </row>
    <row r="29" spans="1:35" x14ac:dyDescent="0.35">
      <c r="A29" t="s">
        <v>342</v>
      </c>
      <c r="B29" t="s">
        <v>1107</v>
      </c>
      <c r="C29" t="s">
        <v>1108</v>
      </c>
      <c r="D29" t="s">
        <v>361</v>
      </c>
      <c r="F29">
        <v>9.1346969999999992</v>
      </c>
      <c r="G29">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21">
        <v>7.0000000000000001E-3</v>
      </c>
    </row>
    <row r="30" spans="1:35" x14ac:dyDescent="0.35">
      <c r="A30" t="s">
        <v>345</v>
      </c>
      <c r="B30" t="s">
        <v>1109</v>
      </c>
      <c r="C30" t="s">
        <v>1110</v>
      </c>
      <c r="D30" t="s">
        <v>361</v>
      </c>
      <c r="F30">
        <v>17.156851</v>
      </c>
      <c r="G30">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21">
        <v>7.0000000000000001E-3</v>
      </c>
    </row>
    <row r="31" spans="1:35" x14ac:dyDescent="0.35">
      <c r="A31" t="s">
        <v>348</v>
      </c>
      <c r="B31" t="s">
        <v>1111</v>
      </c>
      <c r="C31" t="s">
        <v>1112</v>
      </c>
      <c r="D31" t="s">
        <v>361</v>
      </c>
      <c r="F31">
        <v>15.59821</v>
      </c>
      <c r="G3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21">
        <v>1.4999999999999999E-2</v>
      </c>
    </row>
    <row r="32" spans="1:35" x14ac:dyDescent="0.35">
      <c r="A32" t="s">
        <v>351</v>
      </c>
      <c r="B32" t="s">
        <v>1113</v>
      </c>
      <c r="C32" t="s">
        <v>1114</v>
      </c>
      <c r="D32" t="s">
        <v>361</v>
      </c>
      <c r="F32">
        <v>7.492591</v>
      </c>
      <c r="G32">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21">
        <v>1.0999999999999999E-2</v>
      </c>
    </row>
    <row r="33" spans="1:35" x14ac:dyDescent="0.35">
      <c r="A33" t="s">
        <v>201</v>
      </c>
      <c r="B33" t="s">
        <v>1115</v>
      </c>
      <c r="C33" t="s">
        <v>1116</v>
      </c>
      <c r="D33" t="s">
        <v>361</v>
      </c>
      <c r="F33">
        <v>95.471541999999999</v>
      </c>
      <c r="G33">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21">
        <v>8.9999999999999993E-3</v>
      </c>
    </row>
    <row r="34" spans="1:35" x14ac:dyDescent="0.35">
      <c r="A34" t="s">
        <v>3</v>
      </c>
    </row>
    <row r="35" spans="1:35" x14ac:dyDescent="0.35">
      <c r="A35" t="s">
        <v>277</v>
      </c>
    </row>
    <row r="36" spans="1:35" x14ac:dyDescent="0.35">
      <c r="A36" t="s">
        <v>147</v>
      </c>
      <c r="B36" t="s">
        <v>1117</v>
      </c>
      <c r="C36" t="s">
        <v>1118</v>
      </c>
      <c r="D36" t="s">
        <v>388</v>
      </c>
      <c r="F36">
        <v>1.600274</v>
      </c>
      <c r="G36">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21">
        <v>-4.0000000000000001E-3</v>
      </c>
    </row>
    <row r="37" spans="1:35" x14ac:dyDescent="0.35">
      <c r="A37" t="s">
        <v>215</v>
      </c>
      <c r="B37" t="s">
        <v>1119</v>
      </c>
      <c r="C37" t="s">
        <v>1120</v>
      </c>
      <c r="D37" t="s">
        <v>388</v>
      </c>
      <c r="F37">
        <v>0.79032500000000006</v>
      </c>
      <c r="G37">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21">
        <v>0</v>
      </c>
    </row>
    <row r="38" spans="1:35" x14ac:dyDescent="0.35">
      <c r="A38" t="s">
        <v>192</v>
      </c>
      <c r="B38" t="s">
        <v>1121</v>
      </c>
      <c r="C38" t="s">
        <v>1122</v>
      </c>
      <c r="D38" t="s">
        <v>388</v>
      </c>
      <c r="F38">
        <v>0.81107499999999999</v>
      </c>
      <c r="G38">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21">
        <v>1E-3</v>
      </c>
    </row>
    <row r="39" spans="1:35" x14ac:dyDescent="0.35">
      <c r="A39" t="s">
        <v>250</v>
      </c>
    </row>
    <row r="40" spans="1:35" x14ac:dyDescent="0.35">
      <c r="A40" t="s">
        <v>147</v>
      </c>
      <c r="B40" t="s">
        <v>1123</v>
      </c>
      <c r="C40" t="s">
        <v>1124</v>
      </c>
      <c r="D40" t="s">
        <v>388</v>
      </c>
      <c r="F40">
        <v>3.6319370000000002</v>
      </c>
      <c r="G40">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21">
        <v>6.0000000000000001E-3</v>
      </c>
    </row>
    <row r="41" spans="1:35" x14ac:dyDescent="0.35">
      <c r="A41" t="s">
        <v>215</v>
      </c>
      <c r="B41" t="s">
        <v>1125</v>
      </c>
      <c r="C41" t="s">
        <v>1126</v>
      </c>
      <c r="D41" t="s">
        <v>388</v>
      </c>
      <c r="F41">
        <v>0.79191</v>
      </c>
      <c r="G4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21">
        <v>8.9999999999999993E-3</v>
      </c>
    </row>
    <row r="42" spans="1:35" x14ac:dyDescent="0.35">
      <c r="A42" t="s">
        <v>398</v>
      </c>
    </row>
    <row r="43" spans="1:35" x14ac:dyDescent="0.35">
      <c r="A43" t="s">
        <v>147</v>
      </c>
      <c r="B43" t="s">
        <v>1127</v>
      </c>
      <c r="C43" t="s">
        <v>1128</v>
      </c>
      <c r="D43" t="s">
        <v>388</v>
      </c>
      <c r="F43">
        <v>1.1589700000000001</v>
      </c>
      <c r="G43">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21">
        <v>7.0000000000000001E-3</v>
      </c>
    </row>
    <row r="44" spans="1:35" x14ac:dyDescent="0.35">
      <c r="A44" t="s">
        <v>215</v>
      </c>
      <c r="B44" t="s">
        <v>1129</v>
      </c>
      <c r="C44" t="s">
        <v>1130</v>
      </c>
      <c r="D44" t="s">
        <v>388</v>
      </c>
      <c r="F44">
        <v>0.89523200000000003</v>
      </c>
      <c r="G44">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21">
        <v>2E-3</v>
      </c>
    </row>
    <row r="45" spans="1:35" x14ac:dyDescent="0.35">
      <c r="A45" t="s">
        <v>192</v>
      </c>
      <c r="B45" t="s">
        <v>1131</v>
      </c>
      <c r="C45" t="s">
        <v>1132</v>
      </c>
      <c r="D45" t="s">
        <v>388</v>
      </c>
      <c r="F45">
        <v>0.80796599999999996</v>
      </c>
      <c r="G45">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21">
        <v>0</v>
      </c>
    </row>
    <row r="46" spans="1:35" x14ac:dyDescent="0.35">
      <c r="A46" t="s">
        <v>406</v>
      </c>
    </row>
    <row r="47" spans="1:35" x14ac:dyDescent="0.35">
      <c r="A47" t="s">
        <v>147</v>
      </c>
      <c r="B47" t="s">
        <v>1133</v>
      </c>
      <c r="C47" t="s">
        <v>1134</v>
      </c>
      <c r="D47" t="s">
        <v>410</v>
      </c>
      <c r="F47">
        <v>0.33524300000000001</v>
      </c>
      <c r="G47">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21">
        <v>2E-3</v>
      </c>
    </row>
    <row r="48" spans="1:35" x14ac:dyDescent="0.35">
      <c r="A48" t="s">
        <v>411</v>
      </c>
    </row>
    <row r="49" spans="1:35" x14ac:dyDescent="0.35">
      <c r="A49" t="s">
        <v>147</v>
      </c>
      <c r="B49" t="s">
        <v>1135</v>
      </c>
      <c r="C49" t="s">
        <v>1136</v>
      </c>
      <c r="D49" t="s">
        <v>388</v>
      </c>
      <c r="F49">
        <v>0.69347899999999996</v>
      </c>
      <c r="G49">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21">
        <v>0</v>
      </c>
    </row>
    <row r="50" spans="1:35" x14ac:dyDescent="0.35">
      <c r="A50" t="s">
        <v>215</v>
      </c>
      <c r="B50" t="s">
        <v>1137</v>
      </c>
      <c r="C50" t="s">
        <v>1138</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21">
        <v>0</v>
      </c>
    </row>
    <row r="51" spans="1:35" x14ac:dyDescent="0.35">
      <c r="A51" t="s">
        <v>417</v>
      </c>
    </row>
    <row r="52" spans="1:35" x14ac:dyDescent="0.35">
      <c r="A52" t="s">
        <v>419</v>
      </c>
    </row>
    <row r="53" spans="1:35" x14ac:dyDescent="0.35">
      <c r="A53" t="s">
        <v>147</v>
      </c>
      <c r="B53" t="s">
        <v>1139</v>
      </c>
      <c r="C53" t="s">
        <v>1140</v>
      </c>
      <c r="D53" t="s">
        <v>423</v>
      </c>
      <c r="F53">
        <v>75.352576999999997</v>
      </c>
      <c r="G53">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21">
        <v>1.2E-2</v>
      </c>
    </row>
    <row r="54" spans="1:35" x14ac:dyDescent="0.35">
      <c r="A54" t="s">
        <v>424</v>
      </c>
    </row>
    <row r="55" spans="1:35" x14ac:dyDescent="0.35">
      <c r="A55" t="s">
        <v>147</v>
      </c>
      <c r="B55" t="s">
        <v>1141</v>
      </c>
      <c r="C55" t="s">
        <v>1142</v>
      </c>
      <c r="D55" t="s">
        <v>388</v>
      </c>
      <c r="F55">
        <v>3.0188060000000001</v>
      </c>
      <c r="G55">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21">
        <v>3.0000000000000001E-3</v>
      </c>
    </row>
    <row r="56" spans="1:35" x14ac:dyDescent="0.35">
      <c r="A56" t="s">
        <v>288</v>
      </c>
    </row>
    <row r="57" spans="1:35" x14ac:dyDescent="0.35">
      <c r="A57" t="s">
        <v>289</v>
      </c>
    </row>
    <row r="58" spans="1:35" x14ac:dyDescent="0.35">
      <c r="A58" t="s">
        <v>175</v>
      </c>
    </row>
    <row r="59" spans="1:35" x14ac:dyDescent="0.35">
      <c r="A59" t="s">
        <v>431</v>
      </c>
      <c r="B59" t="s">
        <v>1143</v>
      </c>
      <c r="C59" t="s">
        <v>1144</v>
      </c>
      <c r="D59" t="s">
        <v>292</v>
      </c>
      <c r="F59">
        <v>1.3979999999999999E-2</v>
      </c>
      <c r="G59">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21">
        <v>0</v>
      </c>
    </row>
    <row r="60" spans="1:35" x14ac:dyDescent="0.35">
      <c r="A60" t="s">
        <v>215</v>
      </c>
      <c r="B60" t="s">
        <v>1145</v>
      </c>
      <c r="C60" t="s">
        <v>1146</v>
      </c>
      <c r="D60" t="s">
        <v>292</v>
      </c>
      <c r="F60">
        <v>1.368147</v>
      </c>
      <c r="G60">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21">
        <v>1.0999999999999999E-2</v>
      </c>
    </row>
    <row r="61" spans="1:35" x14ac:dyDescent="0.35">
      <c r="A61" t="s">
        <v>293</v>
      </c>
      <c r="B61" t="s">
        <v>1147</v>
      </c>
      <c r="C61" t="s">
        <v>1148</v>
      </c>
      <c r="D61" t="s">
        <v>292</v>
      </c>
      <c r="F61">
        <v>22.491291</v>
      </c>
      <c r="G6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21">
        <v>4.3999999999999997E-2</v>
      </c>
    </row>
    <row r="62" spans="1:35" x14ac:dyDescent="0.35">
      <c r="A62" t="s">
        <v>295</v>
      </c>
      <c r="B62" t="s">
        <v>1149</v>
      </c>
      <c r="C62" t="s">
        <v>1150</v>
      </c>
      <c r="D62" t="s">
        <v>292</v>
      </c>
      <c r="F62">
        <v>0.55488099999999996</v>
      </c>
      <c r="G62">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21">
        <v>1E-3</v>
      </c>
    </row>
    <row r="63" spans="1:35" x14ac:dyDescent="0.35">
      <c r="A63" t="s">
        <v>351</v>
      </c>
      <c r="B63" t="s">
        <v>1151</v>
      </c>
      <c r="C63" t="s">
        <v>1152</v>
      </c>
      <c r="D63" t="s">
        <v>292</v>
      </c>
      <c r="F63">
        <v>0.11776300000000001</v>
      </c>
      <c r="G63">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21">
        <v>0</v>
      </c>
    </row>
    <row r="64" spans="1:35" x14ac:dyDescent="0.35">
      <c r="A64" t="s">
        <v>201</v>
      </c>
      <c r="B64" t="s">
        <v>1153</v>
      </c>
      <c r="C64" t="s">
        <v>1154</v>
      </c>
      <c r="D64" t="s">
        <v>292</v>
      </c>
      <c r="F64">
        <v>24.546064000000001</v>
      </c>
      <c r="G64">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21">
        <v>4.2000000000000003E-2</v>
      </c>
    </row>
    <row r="65" spans="1:35" x14ac:dyDescent="0.35">
      <c r="A65" t="s">
        <v>174</v>
      </c>
    </row>
    <row r="66" spans="1:35" x14ac:dyDescent="0.35">
      <c r="A66" t="s">
        <v>431</v>
      </c>
      <c r="B66" t="s">
        <v>1155</v>
      </c>
      <c r="C66" t="s">
        <v>1156</v>
      </c>
      <c r="D66" t="s">
        <v>299</v>
      </c>
      <c r="F66">
        <v>9.7511E-2</v>
      </c>
      <c r="G66">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21">
        <v>0</v>
      </c>
    </row>
    <row r="67" spans="1:35" x14ac:dyDescent="0.35">
      <c r="A67" t="s">
        <v>215</v>
      </c>
      <c r="B67" t="s">
        <v>1157</v>
      </c>
      <c r="C67" t="s">
        <v>1158</v>
      </c>
      <c r="D67" t="s">
        <v>299</v>
      </c>
      <c r="F67">
        <v>9.5428239999999995</v>
      </c>
      <c r="G67">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21">
        <v>1.0999999999999999E-2</v>
      </c>
    </row>
    <row r="68" spans="1:35" x14ac:dyDescent="0.35">
      <c r="A68" t="s">
        <v>293</v>
      </c>
      <c r="B68" t="s">
        <v>1159</v>
      </c>
      <c r="C68" t="s">
        <v>1061</v>
      </c>
      <c r="D68" t="s">
        <v>299</v>
      </c>
      <c r="F68">
        <v>31.884121</v>
      </c>
      <c r="G68">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21">
        <v>4.2000000000000003E-2</v>
      </c>
    </row>
    <row r="69" spans="1:35" x14ac:dyDescent="0.35">
      <c r="A69" t="s">
        <v>295</v>
      </c>
      <c r="B69" t="s">
        <v>1160</v>
      </c>
      <c r="C69" t="s">
        <v>1063</v>
      </c>
      <c r="D69" t="s">
        <v>299</v>
      </c>
      <c r="F69">
        <v>0.75530799999999998</v>
      </c>
      <c r="G69">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21">
        <v>1E-3</v>
      </c>
    </row>
    <row r="70" spans="1:35" x14ac:dyDescent="0.35">
      <c r="A70" t="s">
        <v>351</v>
      </c>
      <c r="B70" t="s">
        <v>1161</v>
      </c>
      <c r="C70" t="s">
        <v>1162</v>
      </c>
      <c r="D70" t="s">
        <v>299</v>
      </c>
      <c r="F70">
        <v>0.86204999999999998</v>
      </c>
      <c r="G70">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21">
        <v>0</v>
      </c>
    </row>
    <row r="71" spans="1:35" x14ac:dyDescent="0.35">
      <c r="A71" t="s">
        <v>201</v>
      </c>
      <c r="B71" t="s">
        <v>1163</v>
      </c>
      <c r="C71" t="s">
        <v>1065</v>
      </c>
      <c r="D71" t="s">
        <v>299</v>
      </c>
      <c r="F71">
        <v>43.141810999999997</v>
      </c>
      <c r="G7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21">
        <v>3.5999999999999997E-2</v>
      </c>
    </row>
    <row r="72" spans="1:35" x14ac:dyDescent="0.35">
      <c r="A72" t="s">
        <v>303</v>
      </c>
    </row>
    <row r="73" spans="1:35" x14ac:dyDescent="0.35">
      <c r="A73" t="s">
        <v>304</v>
      </c>
      <c r="B73" t="s">
        <v>1164</v>
      </c>
      <c r="C73" t="s">
        <v>1067</v>
      </c>
      <c r="D73" t="s">
        <v>299</v>
      </c>
      <c r="F73">
        <v>7.7965220000000004</v>
      </c>
      <c r="G73">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21">
        <v>1.0999999999999999E-2</v>
      </c>
    </row>
    <row r="74" spans="1:35" x14ac:dyDescent="0.35">
      <c r="A74" t="s">
        <v>306</v>
      </c>
      <c r="B74" t="s">
        <v>1165</v>
      </c>
      <c r="C74" t="s">
        <v>1069</v>
      </c>
      <c r="D74" t="s">
        <v>299</v>
      </c>
      <c r="F74">
        <v>35.345286999999999</v>
      </c>
      <c r="G74">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21">
        <v>0.04</v>
      </c>
    </row>
    <row r="75" spans="1:35" x14ac:dyDescent="0.35">
      <c r="A75" t="s">
        <v>308</v>
      </c>
    </row>
    <row r="76" spans="1:35" x14ac:dyDescent="0.35">
      <c r="A76" t="s">
        <v>431</v>
      </c>
      <c r="B76" t="s">
        <v>1166</v>
      </c>
      <c r="C76" t="s">
        <v>1167</v>
      </c>
      <c r="D76" t="s">
        <v>310</v>
      </c>
      <c r="F76">
        <v>1.0165280000000001</v>
      </c>
      <c r="G76">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21">
        <v>0</v>
      </c>
    </row>
    <row r="77" spans="1:35" x14ac:dyDescent="0.35">
      <c r="A77" t="s">
        <v>215</v>
      </c>
      <c r="B77" t="s">
        <v>1168</v>
      </c>
      <c r="C77" t="s">
        <v>1169</v>
      </c>
      <c r="D77" t="s">
        <v>310</v>
      </c>
      <c r="F77">
        <v>102.695099</v>
      </c>
      <c r="G77">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21">
        <v>1.0999999999999999E-2</v>
      </c>
    </row>
    <row r="78" spans="1:35" x14ac:dyDescent="0.35">
      <c r="A78" t="s">
        <v>293</v>
      </c>
      <c r="B78" t="s">
        <v>1170</v>
      </c>
      <c r="C78" t="s">
        <v>1073</v>
      </c>
      <c r="D78" t="s">
        <v>310</v>
      </c>
      <c r="F78">
        <v>261.81536899999998</v>
      </c>
      <c r="G78">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21">
        <v>4.2000000000000003E-2</v>
      </c>
    </row>
    <row r="79" spans="1:35" x14ac:dyDescent="0.35">
      <c r="A79" t="s">
        <v>295</v>
      </c>
      <c r="B79" t="s">
        <v>1171</v>
      </c>
      <c r="C79" t="s">
        <v>1075</v>
      </c>
      <c r="D79" t="s">
        <v>310</v>
      </c>
      <c r="F79">
        <v>6.7917750000000003</v>
      </c>
      <c r="G79">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21">
        <v>0</v>
      </c>
    </row>
    <row r="80" spans="1:35" x14ac:dyDescent="0.35">
      <c r="A80" t="s">
        <v>351</v>
      </c>
      <c r="B80" t="s">
        <v>1172</v>
      </c>
      <c r="C80" t="s">
        <v>1173</v>
      </c>
      <c r="D80" t="s">
        <v>310</v>
      </c>
      <c r="F80">
        <v>16.760142999999999</v>
      </c>
      <c r="G80">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21">
        <v>0</v>
      </c>
    </row>
    <row r="81" spans="1:35" x14ac:dyDescent="0.35">
      <c r="A81" t="s">
        <v>201</v>
      </c>
      <c r="B81" t="s">
        <v>1174</v>
      </c>
      <c r="C81" t="s">
        <v>1077</v>
      </c>
      <c r="D81" t="s">
        <v>310</v>
      </c>
      <c r="F81">
        <v>389.07888800000001</v>
      </c>
      <c r="G8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21">
        <v>3.4000000000000002E-2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4.5" x14ac:dyDescent="0.35"/>
  <sheetData>
    <row r="1" spans="1:36" x14ac:dyDescent="0.35">
      <c r="A1" t="s">
        <v>314</v>
      </c>
    </row>
    <row r="2" spans="1:36" x14ac:dyDescent="0.35">
      <c r="A2" t="s">
        <v>780</v>
      </c>
    </row>
    <row r="3" spans="1:36" x14ac:dyDescent="0.35">
      <c r="A3" t="s">
        <v>781</v>
      </c>
    </row>
    <row r="4" spans="1:36" x14ac:dyDescent="0.35">
      <c r="A4" t="s">
        <v>178</v>
      </c>
    </row>
    <row r="5" spans="1:36" x14ac:dyDescent="0.3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35">
      <c r="A6" t="s">
        <v>5</v>
      </c>
      <c r="C6" t="s">
        <v>568</v>
      </c>
    </row>
    <row r="7" spans="1:36" x14ac:dyDescent="0.35">
      <c r="A7" t="s">
        <v>318</v>
      </c>
      <c r="C7" t="s">
        <v>569</v>
      </c>
    </row>
    <row r="8" spans="1:36" x14ac:dyDescent="0.3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3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3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3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3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3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3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3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3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3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3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3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35">
      <c r="A20" t="s">
        <v>6</v>
      </c>
      <c r="C20" t="s">
        <v>570</v>
      </c>
    </row>
    <row r="21" spans="1:36" x14ac:dyDescent="0.35">
      <c r="A21" t="s">
        <v>357</v>
      </c>
      <c r="C21" t="s">
        <v>571</v>
      </c>
    </row>
    <row r="22" spans="1:36" x14ac:dyDescent="0.3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3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3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3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3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3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3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3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3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3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3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3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35">
      <c r="A34" t="s">
        <v>3</v>
      </c>
      <c r="C34" t="s">
        <v>572</v>
      </c>
    </row>
    <row r="35" spans="1:36" x14ac:dyDescent="0.35">
      <c r="A35" t="s">
        <v>277</v>
      </c>
      <c r="C35" t="s">
        <v>573</v>
      </c>
    </row>
    <row r="36" spans="1:36" x14ac:dyDescent="0.3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3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3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35">
      <c r="A39" t="s">
        <v>250</v>
      </c>
      <c r="C39" t="s">
        <v>574</v>
      </c>
    </row>
    <row r="40" spans="1:36" x14ac:dyDescent="0.3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3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35">
      <c r="A42" t="s">
        <v>398</v>
      </c>
      <c r="C42" t="s">
        <v>575</v>
      </c>
    </row>
    <row r="43" spans="1:36" x14ac:dyDescent="0.3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3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3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35">
      <c r="A46" t="s">
        <v>406</v>
      </c>
      <c r="C46" t="s">
        <v>576</v>
      </c>
    </row>
    <row r="47" spans="1:36" x14ac:dyDescent="0.3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35">
      <c r="A48" t="s">
        <v>411</v>
      </c>
      <c r="C48" t="s">
        <v>577</v>
      </c>
    </row>
    <row r="49" spans="1:36" x14ac:dyDescent="0.3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3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35">
      <c r="A51" t="s">
        <v>417</v>
      </c>
      <c r="C51" t="s">
        <v>578</v>
      </c>
    </row>
    <row r="52" spans="1:36" x14ac:dyDescent="0.35">
      <c r="A52" t="s">
        <v>419</v>
      </c>
      <c r="C52" t="s">
        <v>579</v>
      </c>
    </row>
    <row r="53" spans="1:36" x14ac:dyDescent="0.3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35">
      <c r="A54" t="s">
        <v>424</v>
      </c>
      <c r="C54" t="s">
        <v>580</v>
      </c>
    </row>
    <row r="55" spans="1:36" x14ac:dyDescent="0.3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35">
      <c r="A56" t="s">
        <v>288</v>
      </c>
      <c r="C56" t="s">
        <v>581</v>
      </c>
    </row>
    <row r="57" spans="1:36" x14ac:dyDescent="0.35">
      <c r="A57" t="s">
        <v>289</v>
      </c>
      <c r="C57" t="s">
        <v>582</v>
      </c>
    </row>
    <row r="58" spans="1:36" x14ac:dyDescent="0.35">
      <c r="A58" t="s">
        <v>175</v>
      </c>
      <c r="C58" t="s">
        <v>583</v>
      </c>
    </row>
    <row r="59" spans="1:36" x14ac:dyDescent="0.3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3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3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3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3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3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35">
      <c r="A65" t="s">
        <v>174</v>
      </c>
      <c r="C65" t="s">
        <v>584</v>
      </c>
    </row>
    <row r="66" spans="1:36" x14ac:dyDescent="0.3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3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3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3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3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3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35">
      <c r="A72" t="s">
        <v>303</v>
      </c>
      <c r="C72" t="s">
        <v>585</v>
      </c>
    </row>
    <row r="73" spans="1:36" x14ac:dyDescent="0.3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3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35">
      <c r="A75" t="s">
        <v>308</v>
      </c>
      <c r="C75" t="s">
        <v>586</v>
      </c>
    </row>
    <row r="76" spans="1:36" x14ac:dyDescent="0.3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3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3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3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3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3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topLeftCell="A27" zoomScaleNormal="100" workbookViewId="0">
      <selection activeCell="E25" sqref="E25"/>
    </sheetView>
  </sheetViews>
  <sheetFormatPr defaultRowHeight="14.5" x14ac:dyDescent="0.35"/>
  <cols>
    <col min="1" max="1" width="50.453125" customWidth="1"/>
    <col min="2" max="2" width="31.81640625" customWidth="1"/>
    <col min="3" max="3" width="18.7265625" customWidth="1"/>
    <col min="4" max="4" width="18.81640625" customWidth="1"/>
    <col min="5" max="5" width="22" customWidth="1"/>
    <col min="6" max="6" width="23" customWidth="1"/>
    <col min="7" max="7" width="11.26953125" customWidth="1"/>
    <col min="8" max="8" width="11.54296875" customWidth="1"/>
    <col min="9" max="9" width="10.453125" customWidth="1"/>
    <col min="10" max="10" width="12" customWidth="1"/>
    <col min="11" max="11" width="9.453125" bestFit="1" customWidth="1"/>
    <col min="12" max="13" width="9.54296875" bestFit="1" customWidth="1"/>
    <col min="14" max="15" width="9.453125" bestFit="1" customWidth="1"/>
    <col min="16" max="16" width="9.54296875" bestFit="1" customWidth="1"/>
    <col min="19" max="19" width="13" customWidth="1"/>
    <col min="20" max="20" width="14.1796875" customWidth="1"/>
    <col min="24" max="24" width="12.1796875" customWidth="1"/>
    <col min="25" max="25" width="13.54296875" customWidth="1"/>
    <col min="30" max="34" width="9.54296875" bestFit="1" customWidth="1"/>
    <col min="35" max="35" width="13" customWidth="1"/>
    <col min="49" max="49" width="11.26953125" customWidth="1"/>
    <col min="50" max="50" width="12" customWidth="1"/>
    <col min="51" max="51" width="11" customWidth="1"/>
    <col min="52" max="52" width="9.54296875" bestFit="1" customWidth="1"/>
    <col min="53" max="54" width="9.453125" bestFit="1" customWidth="1"/>
    <col min="55" max="56" width="9.54296875" bestFit="1" customWidth="1"/>
  </cols>
  <sheetData>
    <row r="1" spans="1:35" ht="18.5" x14ac:dyDescent="0.45">
      <c r="C1" s="15" t="s">
        <v>171</v>
      </c>
    </row>
    <row r="2" spans="1:35" x14ac:dyDescent="0.35">
      <c r="C2" s="18" t="s">
        <v>174</v>
      </c>
    </row>
    <row r="3" spans="1:35" x14ac:dyDescent="0.35">
      <c r="B3" t="s">
        <v>647</v>
      </c>
      <c r="C3" s="1" t="s">
        <v>164</v>
      </c>
      <c r="D3" s="16"/>
    </row>
    <row r="4" spans="1:35" x14ac:dyDescent="0.3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3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3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3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3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3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3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3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3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3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3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3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3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3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3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3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3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35">
      <c r="C22" s="1" t="s">
        <v>166</v>
      </c>
    </row>
    <row r="23" spans="1:35" x14ac:dyDescent="0.3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3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3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3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3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3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3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3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3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3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3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3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3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3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3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3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3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35">
      <c r="B40" s="18" t="s">
        <v>175</v>
      </c>
    </row>
    <row r="41" spans="1:35" x14ac:dyDescent="0.35">
      <c r="B41" s="1" t="s">
        <v>168</v>
      </c>
    </row>
    <row r="42" spans="1:35" x14ac:dyDescent="0.3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3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35">
      <c r="A44" t="s">
        <v>548</v>
      </c>
      <c r="B44" s="3" t="s">
        <v>753</v>
      </c>
      <c r="C44" t="s">
        <v>7</v>
      </c>
      <c r="D44" s="17"/>
      <c r="E44" s="17">
        <f>INDEX(AEO21_Table_21._Residential_Sec!$E$8:$AK$93,MATCH($A44,AEO21_Table_21._Residential_Sec!$C$8:$C$93,0),MATCH(E$4,AEO21_Table_21._Residential_Sec!$E$5:$AK$5,0))*gigwatt_to_megawatt*Percent_Urban</f>
        <v>0</v>
      </c>
      <c r="F44" s="17">
        <f>INDEX(AEO22_Table_21._Residential_Sec!$E$8:$AJ$93,MATCH($B44,AEO22_Table_21._Residential_Sec!$C$8:$C$93,0),MATCH(F$4,AEO22_Table_21._Residential_Sec!$E$5:$AJ$5,0))*gigwatt_to_megawatt*Percent_Urban</f>
        <v>0</v>
      </c>
      <c r="G44" s="17">
        <f>INDEX(AEO22_Table_21._Residential_Sec!$E$8:$AJ$93,MATCH($B44,AEO22_Table_21._Residential_Sec!$C$8:$C$93,0),MATCH(G$4,AEO22_Table_21._Residential_Sec!$E$5:$AJ$5,0))*gigwatt_to_megawatt*Percent_Urban</f>
        <v>0</v>
      </c>
      <c r="H44" s="17">
        <f>INDEX(AEO22_Table_21._Residential_Sec!$E$8:$AJ$93,MATCH($B44,AEO22_Table_21._Residential_Sec!$C$8:$C$93,0),MATCH(H$4,AEO22_Table_21._Residential_Sec!$E$5:$AJ$5,0))*gigwatt_to_megawatt*Percent_Urban</f>
        <v>0</v>
      </c>
      <c r="I44" s="17">
        <f>INDEX(AEO22_Table_21._Residential_Sec!$E$8:$AJ$93,MATCH($B44,AEO22_Table_21._Residential_Sec!$C$8:$C$93,0),MATCH(I$4,AEO22_Table_21._Residential_Sec!$E$5:$AJ$5,0))*gigwatt_to_megawatt*Percent_Urban</f>
        <v>0</v>
      </c>
      <c r="J44" s="17">
        <f>INDEX(AEO22_Table_21._Residential_Sec!$E$8:$AJ$93,MATCH($B44,AEO22_Table_21._Residential_Sec!$C$8:$C$93,0),MATCH(J$4,AEO22_Table_21._Residential_Sec!$E$5:$AJ$5,0))*gigwatt_to_megawatt*Percent_Urban</f>
        <v>0</v>
      </c>
      <c r="K44" s="17">
        <f>INDEX(AEO22_Table_21._Residential_Sec!$E$8:$AJ$93,MATCH($B44,AEO22_Table_21._Residential_Sec!$C$8:$C$93,0),MATCH(K$4,AEO22_Table_21._Residential_Sec!$E$5:$AJ$5,0))*gigwatt_to_megawatt*Percent_Urban</f>
        <v>0</v>
      </c>
      <c r="L44" s="17">
        <f>INDEX(AEO22_Table_21._Residential_Sec!$E$8:$AJ$93,MATCH($B44,AEO22_Table_21._Residential_Sec!$C$8:$C$93,0),MATCH(L$4,AEO22_Table_21._Residential_Sec!$E$5:$AJ$5,0))*gigwatt_to_megawatt*Percent_Urban</f>
        <v>0</v>
      </c>
      <c r="M44" s="17">
        <f>INDEX(AEO22_Table_21._Residential_Sec!$E$8:$AJ$93,MATCH($B44,AEO22_Table_21._Residential_Sec!$C$8:$C$93,0),MATCH(M$4,AEO22_Table_21._Residential_Sec!$E$5:$AJ$5,0))*gigwatt_to_megawatt*Percent_Urban</f>
        <v>0</v>
      </c>
      <c r="N44" s="17">
        <f>INDEX(AEO22_Table_21._Residential_Sec!$E$8:$AJ$93,MATCH($B44,AEO22_Table_21._Residential_Sec!$C$8:$C$93,0),MATCH(N$4,AEO22_Table_21._Residential_Sec!$E$5:$AJ$5,0))*gigwatt_to_megawatt*Percent_Urban</f>
        <v>0</v>
      </c>
      <c r="O44" s="17">
        <f>INDEX(AEO22_Table_21._Residential_Sec!$E$8:$AJ$93,MATCH($B44,AEO22_Table_21._Residential_Sec!$C$8:$C$93,0),MATCH(O$4,AEO22_Table_21._Residential_Sec!$E$5:$AJ$5,0))*gigwatt_to_megawatt*Percent_Urban</f>
        <v>0</v>
      </c>
      <c r="P44" s="17">
        <f>INDEX(AEO22_Table_21._Residential_Sec!$E$8:$AJ$93,MATCH($B44,AEO22_Table_21._Residential_Sec!$C$8:$C$93,0),MATCH(P$4,AEO22_Table_21._Residential_Sec!$E$5:$AJ$5,0))*gigwatt_to_megawatt*Percent_Urban</f>
        <v>0</v>
      </c>
      <c r="Q44" s="17">
        <f>INDEX(AEO22_Table_21._Residential_Sec!$E$8:$AJ$93,MATCH($B44,AEO22_Table_21._Residential_Sec!$C$8:$C$93,0),MATCH(Q$4,AEO22_Table_21._Residential_Sec!$E$5:$AJ$5,0))*gigwatt_to_megawatt*Percent_Urban</f>
        <v>0</v>
      </c>
      <c r="R44" s="17">
        <f>INDEX(AEO22_Table_21._Residential_Sec!$E$8:$AJ$93,MATCH($B44,AEO22_Table_21._Residential_Sec!$C$8:$C$93,0),MATCH(R$4,AEO22_Table_21._Residential_Sec!$E$5:$AJ$5,0))*gigwatt_to_megawatt*Percent_Urban</f>
        <v>0</v>
      </c>
      <c r="S44" s="17">
        <f>INDEX(AEO22_Table_21._Residential_Sec!$E$8:$AJ$93,MATCH($B44,AEO22_Table_21._Residential_Sec!$C$8:$C$93,0),MATCH(S$4,AEO22_Table_21._Residential_Sec!$E$5:$AJ$5,0))*gigwatt_to_megawatt*Percent_Urban</f>
        <v>1.6261636849348336E-3</v>
      </c>
      <c r="T44" s="17">
        <f>INDEX(AEO22_Table_21._Residential_Sec!$E$8:$AJ$93,MATCH($B44,AEO22_Table_21._Residential_Sec!$C$8:$C$93,0),MATCH(T$4,AEO22_Table_21._Residential_Sec!$E$5:$AJ$5,0))*gigwatt_to_megawatt*Percent_Urban</f>
        <v>4.0654092123370835E-3</v>
      </c>
      <c r="U44" s="17">
        <f>INDEX(AEO22_Table_21._Residential_Sec!$E$8:$AJ$93,MATCH($B44,AEO22_Table_21._Residential_Sec!$C$8:$C$93,0),MATCH(U$4,AEO22_Table_21._Residential_Sec!$E$5:$AJ$5,0))*gigwatt_to_megawatt*Percent_Urban</f>
        <v>8.1308184246741671E-3</v>
      </c>
      <c r="V44" s="17">
        <f>INDEX(AEO22_Table_21._Residential_Sec!$E$8:$AJ$93,MATCH($B44,AEO22_Table_21._Residential_Sec!$C$8:$C$93,0),MATCH(V$4,AEO22_Table_21._Residential_Sec!$E$5:$AJ$5,0))*gigwatt_to_megawatt*Percent_Urban</f>
        <v>1.707471869181575E-2</v>
      </c>
      <c r="W44" s="17">
        <f>INDEX(AEO22_Table_21._Residential_Sec!$E$8:$AJ$93,MATCH($B44,AEO22_Table_21._Residential_Sec!$C$8:$C$93,0),MATCH(W$4,AEO22_Table_21._Residential_Sec!$E$5:$AJ$5,0))*gigwatt_to_megawatt*Percent_Urban</f>
        <v>3.3336355541164091E-2</v>
      </c>
      <c r="X44" s="17">
        <f>INDEX(AEO22_Table_21._Residential_Sec!$E$8:$AJ$93,MATCH($B44,AEO22_Table_21._Residential_Sec!$C$8:$C$93,0),MATCH(X$4,AEO22_Table_21._Residential_Sec!$E$5:$AJ$5,0))*gigwatt_to_megawatt*Percent_Urban</f>
        <v>6.3420383712458506E-2</v>
      </c>
      <c r="Y44" s="17">
        <f>INDEX(AEO22_Table_21._Residential_Sec!$E$8:$AJ$93,MATCH($B44,AEO22_Table_21._Residential_Sec!$C$8:$C$93,0),MATCH(Y$4,AEO22_Table_21._Residential_Sec!$E$5:$AJ$5,0))*gigwatt_to_megawatt*Percent_Urban</f>
        <v>0.11870994900024284</v>
      </c>
      <c r="Z44" s="17">
        <f>INDEX(AEO22_Table_21._Residential_Sec!$E$8:$AJ$93,MATCH($B44,AEO22_Table_21._Residential_Sec!$C$8:$C$93,0),MATCH(Z$4,AEO22_Table_21._Residential_Sec!$E$5:$AJ$5,0))*gigwatt_to_megawatt*Percent_Urban</f>
        <v>0.22034517930866993</v>
      </c>
      <c r="AA44" s="17">
        <f>INDEX(AEO22_Table_21._Residential_Sec!$E$8:$AJ$93,MATCH($B44,AEO22_Table_21._Residential_Sec!$C$8:$C$93,0),MATCH(AA$4,AEO22_Table_21._Residential_Sec!$E$5:$AJ$5,0))*gigwatt_to_megawatt*Percent_Urban</f>
        <v>0.32116732777462964</v>
      </c>
      <c r="AB44" s="17">
        <f>INDEX(AEO22_Table_21._Residential_Sec!$E$8:$AJ$93,MATCH($B44,AEO22_Table_21._Residential_Sec!$C$8:$C$93,0),MATCH(AB$4,AEO22_Table_21._Residential_Sec!$E$5:$AJ$5,0))*gigwatt_to_megawatt*Percent_Urban</f>
        <v>0.42280255808305667</v>
      </c>
      <c r="AC44" s="17">
        <f>INDEX(AEO22_Table_21._Residential_Sec!$E$8:$AJ$93,MATCH($B44,AEO22_Table_21._Residential_Sec!$C$8:$C$93,0),MATCH(AC$4,AEO22_Table_21._Residential_Sec!$E$5:$AJ$5,0))*gigwatt_to_megawatt*Percent_Urban</f>
        <v>0.52443778839148369</v>
      </c>
      <c r="AD44" s="17">
        <f>INDEX(AEO22_Table_21._Residential_Sec!$E$8:$AJ$93,MATCH($B44,AEO22_Table_21._Residential_Sec!$C$8:$C$93,0),MATCH(AD$4,AEO22_Table_21._Residential_Sec!$E$5:$AJ$5,0))*gigwatt_to_megawatt*Percent_Urban</f>
        <v>0.62607301869991083</v>
      </c>
      <c r="AE44" s="17">
        <f>INDEX(AEO22_Table_21._Residential_Sec!$E$8:$AJ$93,MATCH($B44,AEO22_Table_21._Residential_Sec!$C$8:$C$93,0),MATCH(AE$4,AEO22_Table_21._Residential_Sec!$E$5:$AJ$5,0))*gigwatt_to_megawatt*Percent_Urban</f>
        <v>0.72852133085080539</v>
      </c>
      <c r="AF44" s="17">
        <f>INDEX(AEO22_Table_21._Residential_Sec!$E$8:$AJ$93,MATCH($B44,AEO22_Table_21._Residential_Sec!$C$8:$C$93,0),MATCH(AF$4,AEO22_Table_21._Residential_Sec!$E$5:$AJ$5,0))*gigwatt_to_megawatt*Percent_Urban</f>
        <v>0.83096964300169973</v>
      </c>
      <c r="AG44" s="17">
        <f>INDEX(AEO22_Table_21._Residential_Sec!$E$8:$AJ$93,MATCH($B44,AEO22_Table_21._Residential_Sec!$C$8:$C$93,0),MATCH(AG$4,AEO22_Table_21._Residential_Sec!$E$5:$AJ$5,0))*gigwatt_to_megawatt*Percent_Urban</f>
        <v>0.93260487331012709</v>
      </c>
      <c r="AH44" s="17">
        <f>INDEX(AEO22_Table_21._Residential_Sec!$E$8:$AJ$93,MATCH($B44,AEO22_Table_21._Residential_Sec!$C$8:$C$93,0),MATCH(AH$4,AEO22_Table_21._Residential_Sec!$E$5:$AJ$5,0))*gigwatt_to_megawatt*Percent_Urban</f>
        <v>1.0350531854610217</v>
      </c>
      <c r="AI44" s="17">
        <f>INDEX(AEO22_Table_21._Residential_Sec!$E$8:$AJ$93,MATCH($B44,AEO22_Table_21._Residential_Sec!$C$8:$C$93,0),MATCH(AI$4,AEO22_Table_21._Residential_Sec!$E$5:$AJ$5,0))*gigwatt_to_megawatt*Percent_Urban</f>
        <v>1.137501497611916</v>
      </c>
    </row>
    <row r="45" spans="1:35" x14ac:dyDescent="0.3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3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35">
      <c r="A47" t="s">
        <v>550</v>
      </c>
      <c r="B47" s="3" t="s">
        <v>757</v>
      </c>
      <c r="C47" t="s">
        <v>59</v>
      </c>
      <c r="D47" s="17"/>
      <c r="E47" s="17">
        <f>INDEX(AEO21_Table_21._Residential_Sec!$E$8:$AK$93,MATCH($A47,AEO21_Table_21._Residential_Sec!$C$8:$C$93,0),MATCH(E$4,AEO21_Table_21._Residential_Sec!$E$5:$AK$5,0))*gigwatt_to_megawatt*Percent_Urban</f>
        <v>11.571780781996274</v>
      </c>
      <c r="F47" s="17">
        <f>INDEX(AEO22_Table_21._Residential_Sec!$E$8:$AJ$93,MATCH($B47,AEO22_Table_21._Residential_Sec!$C$8:$C$93,0),MATCH(F$4,AEO22_Table_21._Residential_Sec!$E$5:$AJ$5,0))*gigwatt_to_megawatt*Percent_Urban</f>
        <v>11.571780781996274</v>
      </c>
      <c r="G47" s="17">
        <f>INDEX(AEO22_Table_21._Residential_Sec!$E$8:$AJ$93,MATCH($B47,AEO22_Table_21._Residential_Sec!$C$8:$C$93,0),MATCH(G$4,AEO22_Table_21._Residential_Sec!$E$5:$AJ$5,0))*gigwatt_to_megawatt*Percent_Urban</f>
        <v>11.571780781996274</v>
      </c>
      <c r="H47" s="17">
        <f>INDEX(AEO22_Table_21._Residential_Sec!$E$8:$AJ$93,MATCH($B47,AEO22_Table_21._Residential_Sec!$C$8:$C$93,0),MATCH(H$4,AEO22_Table_21._Residential_Sec!$E$5:$AJ$5,0))*gigwatt_to_megawatt*Percent_Urban</f>
        <v>11.571780781996274</v>
      </c>
      <c r="I47" s="17">
        <f>INDEX(AEO22_Table_21._Residential_Sec!$E$8:$AJ$93,MATCH($B47,AEO22_Table_21._Residential_Sec!$C$8:$C$93,0),MATCH(I$4,AEO22_Table_21._Residential_Sec!$E$5:$AJ$5,0))*gigwatt_to_megawatt*Percent_Urban</f>
        <v>11.571780781996274</v>
      </c>
      <c r="J47" s="17">
        <f>INDEX(AEO22_Table_21._Residential_Sec!$E$8:$AJ$93,MATCH($B47,AEO22_Table_21._Residential_Sec!$C$8:$C$93,0),MATCH(J$4,AEO22_Table_21._Residential_Sec!$E$5:$AJ$5,0))*gigwatt_to_megawatt*Percent_Urban</f>
        <v>11.571780781996274</v>
      </c>
      <c r="K47" s="17">
        <f>INDEX(AEO22_Table_21._Residential_Sec!$E$8:$AJ$93,MATCH($B47,AEO22_Table_21._Residential_Sec!$C$8:$C$93,0),MATCH(K$4,AEO22_Table_21._Residential_Sec!$E$5:$AJ$5,0))*gigwatt_to_megawatt*Percent_Urban</f>
        <v>11.571780781996274</v>
      </c>
      <c r="L47" s="17">
        <f>INDEX(AEO22_Table_21._Residential_Sec!$E$8:$AJ$93,MATCH($B47,AEO22_Table_21._Residential_Sec!$C$8:$C$93,0),MATCH(L$4,AEO22_Table_21._Residential_Sec!$E$5:$AJ$5,0))*gigwatt_to_megawatt*Percent_Urban</f>
        <v>11.571780781996274</v>
      </c>
      <c r="M47" s="17">
        <f>INDEX(AEO22_Table_21._Residential_Sec!$E$8:$AJ$93,MATCH($B47,AEO22_Table_21._Residential_Sec!$C$8:$C$93,0),MATCH(M$4,AEO22_Table_21._Residential_Sec!$E$5:$AJ$5,0))*gigwatt_to_megawatt*Percent_Urban</f>
        <v>11.571780781996274</v>
      </c>
      <c r="N47" s="17">
        <f>INDEX(AEO22_Table_21._Residential_Sec!$E$8:$AJ$93,MATCH($B47,AEO22_Table_21._Residential_Sec!$C$8:$C$93,0),MATCH(N$4,AEO22_Table_21._Residential_Sec!$E$5:$AJ$5,0))*gigwatt_to_megawatt*Percent_Urban</f>
        <v>11.571780781996274</v>
      </c>
      <c r="O47" s="17">
        <f>INDEX(AEO22_Table_21._Residential_Sec!$E$8:$AJ$93,MATCH($B47,AEO22_Table_21._Residential_Sec!$C$8:$C$93,0),MATCH(O$4,AEO22_Table_21._Residential_Sec!$E$5:$AJ$5,0))*gigwatt_to_megawatt*Percent_Urban</f>
        <v>11.571780781996274</v>
      </c>
      <c r="P47" s="17">
        <f>INDEX(AEO22_Table_21._Residential_Sec!$E$8:$AJ$93,MATCH($B47,AEO22_Table_21._Residential_Sec!$C$8:$C$93,0),MATCH(P$4,AEO22_Table_21._Residential_Sec!$E$5:$AJ$5,0))*gigwatt_to_megawatt*Percent_Urban</f>
        <v>11.571780781996274</v>
      </c>
      <c r="Q47" s="17">
        <f>INDEX(AEO22_Table_21._Residential_Sec!$E$8:$AJ$93,MATCH($B47,AEO22_Table_21._Residential_Sec!$C$8:$C$93,0),MATCH(Q$4,AEO22_Table_21._Residential_Sec!$E$5:$AJ$5,0))*gigwatt_to_megawatt*Percent_Urban</f>
        <v>11.572593863838744</v>
      </c>
      <c r="R47" s="17">
        <f>INDEX(AEO22_Table_21._Residential_Sec!$E$8:$AJ$93,MATCH($B47,AEO22_Table_21._Residential_Sec!$C$8:$C$93,0),MATCH(R$4,AEO22_Table_21._Residential_Sec!$E$5:$AJ$5,0))*gigwatt_to_megawatt*Percent_Urban</f>
        <v>11.572593863838744</v>
      </c>
      <c r="S47" s="17">
        <f>INDEX(AEO22_Table_21._Residential_Sec!$E$8:$AJ$93,MATCH($B47,AEO22_Table_21._Residential_Sec!$C$8:$C$93,0),MATCH(S$4,AEO22_Table_21._Residential_Sec!$E$5:$AJ$5,0))*gigwatt_to_megawatt*Percent_Urban</f>
        <v>11.575033109366146</v>
      </c>
      <c r="T47" s="17">
        <f>INDEX(AEO22_Table_21._Residential_Sec!$E$8:$AJ$93,MATCH($B47,AEO22_Table_21._Residential_Sec!$C$8:$C$93,0),MATCH(T$4,AEO22_Table_21._Residential_Sec!$E$5:$AJ$5,0))*gigwatt_to_megawatt*Percent_Urban</f>
        <v>11.579911600420949</v>
      </c>
      <c r="U47" s="17">
        <f>INDEX(AEO22_Table_21._Residential_Sec!$E$8:$AJ$93,MATCH($B47,AEO22_Table_21._Residential_Sec!$C$8:$C$93,0),MATCH(U$4,AEO22_Table_21._Residential_Sec!$E$5:$AJ$5,0))*gigwatt_to_megawatt*Percent_Urban</f>
        <v>11.588855500688091</v>
      </c>
      <c r="V47" s="17">
        <f>INDEX(AEO22_Table_21._Residential_Sec!$E$8:$AJ$93,MATCH($B47,AEO22_Table_21._Residential_Sec!$C$8:$C$93,0),MATCH(V$4,AEO22_Table_21._Residential_Sec!$E$5:$AJ$5,0))*gigwatt_to_megawatt*Percent_Urban</f>
        <v>11.605930219379907</v>
      </c>
      <c r="W47" s="17">
        <f>INDEX(AEO22_Table_21._Residential_Sec!$E$8:$AJ$93,MATCH($B47,AEO22_Table_21._Residential_Sec!$C$8:$C$93,0),MATCH(W$4,AEO22_Table_21._Residential_Sec!$E$5:$AJ$5,0))*gigwatt_to_megawatt*Percent_Urban</f>
        <v>11.638453493078604</v>
      </c>
      <c r="X47" s="17">
        <f>INDEX(AEO22_Table_21._Residential_Sec!$E$8:$AJ$93,MATCH($B47,AEO22_Table_21._Residential_Sec!$C$8:$C$93,0),MATCH(X$4,AEO22_Table_21._Residential_Sec!$E$5:$AJ$5,0))*gigwatt_to_megawatt*Percent_Urban</f>
        <v>11.698621549421192</v>
      </c>
      <c r="Y47" s="17">
        <f>INDEX(AEO22_Table_21._Residential_Sec!$E$8:$AJ$93,MATCH($B47,AEO22_Table_21._Residential_Sec!$C$8:$C$93,0),MATCH(Y$4,AEO22_Table_21._Residential_Sec!$E$5:$AJ$5,0))*gigwatt_to_megawatt*Percent_Urban</f>
        <v>11.81001376183923</v>
      </c>
      <c r="Z47" s="17">
        <f>INDEX(AEO22_Table_21._Residential_Sec!$E$8:$AJ$93,MATCH($B47,AEO22_Table_21._Residential_Sec!$C$8:$C$93,0),MATCH(Z$4,AEO22_Table_21._Residential_Sec!$E$5:$AJ$5,0))*gigwatt_to_megawatt*Percent_Urban</f>
        <v>12.011658058771149</v>
      </c>
      <c r="AA47" s="17">
        <f>INDEX(AEO22_Table_21._Residential_Sec!$E$8:$AJ$93,MATCH($B47,AEO22_Table_21._Residential_Sec!$C$8:$C$93,0),MATCH(AA$4,AEO22_Table_21._Residential_Sec!$E$5:$AJ$5,0))*gigwatt_to_megawatt*Percent_Urban</f>
        <v>12.214115437545535</v>
      </c>
      <c r="AB47" s="17">
        <f>INDEX(AEO22_Table_21._Residential_Sec!$E$8:$AJ$93,MATCH($B47,AEO22_Table_21._Residential_Sec!$C$8:$C$93,0),MATCH(AB$4,AEO22_Table_21._Residential_Sec!$E$5:$AJ$5,0))*gigwatt_to_megawatt*Percent_Urban</f>
        <v>12.417385898162388</v>
      </c>
      <c r="AC47" s="17">
        <f>INDEX(AEO22_Table_21._Residential_Sec!$E$8:$AJ$93,MATCH($B47,AEO22_Table_21._Residential_Sec!$C$8:$C$93,0),MATCH(AC$4,AEO22_Table_21._Residential_Sec!$E$5:$AJ$5,0))*gigwatt_to_megawatt*Percent_Urban</f>
        <v>12.620656358779241</v>
      </c>
      <c r="AD47" s="17">
        <f>INDEX(AEO22_Table_21._Residential_Sec!$E$8:$AJ$93,MATCH($B47,AEO22_Table_21._Residential_Sec!$C$8:$C$93,0),MATCH(AD$4,AEO22_Table_21._Residential_Sec!$E$5:$AJ$5,0))*gigwatt_to_megawatt*Percent_Urban</f>
        <v>12.824739901238564</v>
      </c>
      <c r="AE47" s="17">
        <f>INDEX(AEO22_Table_21._Residential_Sec!$E$8:$AJ$93,MATCH($B47,AEO22_Table_21._Residential_Sec!$C$8:$C$93,0),MATCH(AE$4,AEO22_Table_21._Residential_Sec!$E$5:$AJ$5,0))*gigwatt_to_megawatt*Percent_Urban</f>
        <v>13.028823443697886</v>
      </c>
      <c r="AF47" s="17">
        <f>INDEX(AEO22_Table_21._Residential_Sec!$E$8:$AJ$93,MATCH($B47,AEO22_Table_21._Residential_Sec!$C$8:$C$93,0),MATCH(AF$4,AEO22_Table_21._Residential_Sec!$E$5:$AJ$5,0))*gigwatt_to_megawatt*Percent_Urban</f>
        <v>13.232906986157209</v>
      </c>
      <c r="AG47" s="17">
        <f>INDEX(AEO22_Table_21._Residential_Sec!$E$8:$AJ$93,MATCH($B47,AEO22_Table_21._Residential_Sec!$C$8:$C$93,0),MATCH(AG$4,AEO22_Table_21._Residential_Sec!$E$5:$AJ$5,0))*gigwatt_to_megawatt*Percent_Urban</f>
        <v>13.437803610458998</v>
      </c>
      <c r="AH47" s="17">
        <f>INDEX(AEO22_Table_21._Residential_Sec!$E$8:$AJ$93,MATCH($B47,AEO22_Table_21._Residential_Sec!$C$8:$C$93,0),MATCH(AH$4,AEO22_Table_21._Residential_Sec!$E$5:$AJ$5,0))*gigwatt_to_megawatt*Percent_Urban</f>
        <v>13.642700234760786</v>
      </c>
      <c r="AI47" s="17">
        <f>INDEX(AEO22_Table_21._Residential_Sec!$E$8:$AJ$93,MATCH($B47,AEO22_Table_21._Residential_Sec!$C$8:$C$93,0),MATCH(AI$4,AEO22_Table_21._Residential_Sec!$E$5:$AJ$5,0))*gigwatt_to_megawatt*Percent_Urban</f>
        <v>13.847596859062577</v>
      </c>
    </row>
    <row r="48" spans="1:35" x14ac:dyDescent="0.35">
      <c r="A48" t="s">
        <v>549</v>
      </c>
      <c r="B48" s="3" t="s">
        <v>755</v>
      </c>
      <c r="C48" t="s">
        <v>10</v>
      </c>
      <c r="D48" s="17"/>
      <c r="E48" s="17">
        <f>INDEX(AEO21_Table_21._Residential_Sec!$E$8:$AK$93,MATCH($A48,AEO21_Table_21._Residential_Sec!$C$8:$C$93,0),MATCH(E$4,AEO21_Table_21._Residential_Sec!$E$5:$AK$5,0))*gigwatt_to_megawatt*Percent_Urban</f>
        <v>14894.199872095845</v>
      </c>
      <c r="F48" s="17">
        <f>INDEX(AEO22_Table_21._Residential_Sec!$E$8:$AJ$93,MATCH($B48,AEO22_Table_21._Residential_Sec!$C$8:$C$93,0),MATCH(F$4,AEO22_Table_21._Residential_Sec!$E$5:$AJ$5,0))*gigwatt_to_megawatt*Percent_Urban</f>
        <v>17296.296503197602</v>
      </c>
      <c r="G48" s="17">
        <f>AEO23_Table_21._Residential!F78*gigwatt_to_megawatt*Percent_Urban</f>
        <v>21092.010533797456</v>
      </c>
      <c r="H48" s="17">
        <f>AEO23_Table_21._Residential!G78*gigwatt_to_megawatt*Percent_Urban</f>
        <v>23113.409236946489</v>
      </c>
      <c r="I48" s="17">
        <f>AEO23_Table_21._Residential!H78*gigwatt_to_megawatt*Percent_Urban</f>
        <v>25463.706863110172</v>
      </c>
      <c r="J48" s="17">
        <f>AEO23_Table_21._Residential!I78*gigwatt_to_megawatt*Percent_Urban</f>
        <v>27818.03818829434</v>
      </c>
      <c r="K48" s="17">
        <f>AEO23_Table_21._Residential!J78*gigwatt_to_megawatt*Percent_Urban</f>
        <v>30167.286125799401</v>
      </c>
      <c r="L48" s="17">
        <f>AEO23_Table_21._Residential!K78*gigwatt_to_megawatt*Percent_Urban</f>
        <v>32594.825713915645</v>
      </c>
      <c r="M48" s="17">
        <f>AEO23_Table_21._Residential!L78*gigwatt_to_megawatt*Percent_Urban</f>
        <v>35094.47021290374</v>
      </c>
      <c r="N48" s="17">
        <f>AEO23_Table_21._Residential!M78*gigwatt_to_megawatt*Percent_Urban</f>
        <v>37709.943098842385</v>
      </c>
      <c r="O48" s="17">
        <f>AEO23_Table_21._Residential!N78*gigwatt_to_megawatt*Percent_Urban</f>
        <v>40422.457302679504</v>
      </c>
      <c r="P48" s="17">
        <f>AEO23_Table_21._Residential!O78*gigwatt_to_megawatt*Percent_Urban</f>
        <v>43273.072644377884</v>
      </c>
      <c r="Q48" s="17">
        <f>AEO23_Table_21._Residential!P78*gigwatt_to_megawatt*Percent_Urban</f>
        <v>46324.650920424188</v>
      </c>
      <c r="R48" s="17">
        <f>AEO23_Table_21._Residential!Q78*gigwatt_to_megawatt*Percent_Urban</f>
        <v>49421.337350926893</v>
      </c>
      <c r="S48" s="17">
        <f>AEO23_Table_21._Residential!R78*gigwatt_to_megawatt*Percent_Urban</f>
        <v>52604.78611867562</v>
      </c>
      <c r="T48" s="17">
        <f>AEO23_Table_21._Residential!S78*gigwatt_to_megawatt*Percent_Urban</f>
        <v>55382.019197927628</v>
      </c>
      <c r="U48" s="17">
        <f>AEO23_Table_21._Residential!T78*gigwatt_to_megawatt*Percent_Urban</f>
        <v>58309.063419736085</v>
      </c>
      <c r="V48" s="17">
        <f>AEO23_Table_21._Residential!U78*gigwatt_to_megawatt*Percent_Urban</f>
        <v>61362.102803853304</v>
      </c>
      <c r="W48" s="17">
        <f>AEO23_Table_21._Residential!V78*gigwatt_to_megawatt*Percent_Urban</f>
        <v>64646.954260503517</v>
      </c>
      <c r="X48" s="17">
        <f>AEO23_Table_21._Residential!W78*gigwatt_to_megawatt*Percent_Urban</f>
        <v>68173.747163280175</v>
      </c>
      <c r="Y48" s="17">
        <f>AEO23_Table_21._Residential!X78*gigwatt_to_megawatt*Percent_Urban</f>
        <v>71943.692191046706</v>
      </c>
      <c r="Z48" s="17">
        <f>AEO23_Table_21._Residential!Y78*gigwatt_to_megawatt*Percent_Urban</f>
        <v>75947.18034258885</v>
      </c>
      <c r="AA48" s="17">
        <f>AEO23_Table_21._Residential!Z78*gigwatt_to_megawatt*Percent_Urban</f>
        <v>80184.142505949974</v>
      </c>
      <c r="AB48" s="17">
        <f>AEO23_Table_21._Residential!AA78*gigwatt_to_megawatt*Percent_Urban</f>
        <v>84684.826138751727</v>
      </c>
      <c r="AC48" s="17">
        <f>AEO23_Table_21._Residential!AB78*gigwatt_to_megawatt*Percent_Urban</f>
        <v>89364.104011333271</v>
      </c>
      <c r="AD48" s="17">
        <f>AEO23_Table_21._Residential!AC78*gigwatt_to_megawatt*Percent_Urban</f>
        <v>94298.120425159883</v>
      </c>
      <c r="AE48" s="17">
        <f>AEO23_Table_21._Residential!AD78*gigwatt_to_megawatt*Percent_Urban</f>
        <v>99417.877255079729</v>
      </c>
      <c r="AF48" s="17">
        <f>AEO23_Table_21._Residential!AE78*gigwatt_to_megawatt*Percent_Urban</f>
        <v>104722.07763555412</v>
      </c>
      <c r="AG48" s="17">
        <f>AEO23_Table_21._Residential!AF78*gigwatt_to_megawatt*Percent_Urban</f>
        <v>110306.69286877681</v>
      </c>
      <c r="AH48" s="17">
        <f>AEO23_Table_21._Residential!AG78*gigwatt_to_megawatt*Percent_Urban</f>
        <v>116022.1858207723</v>
      </c>
      <c r="AI48" s="17">
        <f>AEO23_Table_21._Residential!AH78*gigwatt_to_megawatt*Percent_Urban</f>
        <v>121940.78824317978</v>
      </c>
    </row>
    <row r="49" spans="1:35" x14ac:dyDescent="0.3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3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3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3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3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3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3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3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3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3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35">
      <c r="B60" s="1" t="s">
        <v>169</v>
      </c>
    </row>
    <row r="61" spans="1:35" x14ac:dyDescent="0.3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3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35">
      <c r="A63" t="s">
        <v>548</v>
      </c>
      <c r="B63" s="3" t="s">
        <v>753</v>
      </c>
      <c r="C63" t="s">
        <v>7</v>
      </c>
      <c r="D63" s="17"/>
      <c r="E63" s="17">
        <f>INDEX(AEO21_Table_21._Residential_Sec!$E$8:$AK$93,MATCH($A63,AEO21_Table_21._Residential_Sec!$C$8:$C$93,0),MATCH(E$4,AEO21_Table_21._Residential_Sec!$E$5:$AK$5,0))*gigwatt_to_megawatt*Percent_rural</f>
        <v>0</v>
      </c>
      <c r="F63" s="17">
        <f>INDEX(AEO22_Table_21._Residential_Sec!$E$8:$AJ$93,MATCH($B63,AEO22_Table_21._Residential_Sec!$C$8:$C$93,0),MATCH(F$4,AEO22_Table_21._Residential_Sec!$E$5:$AJ$5,0))*gigwatt_to_megawatt*Percent_rural</f>
        <v>0</v>
      </c>
      <c r="G63" s="17">
        <f>INDEX(AEO22_Table_21._Residential_Sec!$E$8:$AJ$93,MATCH($B63,AEO22_Table_21._Residential_Sec!$C$8:$C$93,0),MATCH(G$4,AEO22_Table_21._Residential_Sec!$E$5:$AJ$5,0))*gigwatt_to_megawatt*Percent_rural</f>
        <v>0</v>
      </c>
      <c r="H63" s="17">
        <f>INDEX(AEO22_Table_21._Residential_Sec!$E$8:$AJ$93,MATCH($B63,AEO22_Table_21._Residential_Sec!$C$8:$C$93,0),MATCH(H$4,AEO22_Table_21._Residential_Sec!$E$5:$AJ$5,0))*gigwatt_to_megawatt*Percent_rural</f>
        <v>0</v>
      </c>
      <c r="I63" s="17">
        <f>INDEX(AEO22_Table_21._Residential_Sec!$E$8:$AJ$93,MATCH($B63,AEO22_Table_21._Residential_Sec!$C$8:$C$93,0),MATCH(I$4,AEO22_Table_21._Residential_Sec!$E$5:$AJ$5,0))*gigwatt_to_megawatt*Percent_rural</f>
        <v>0</v>
      </c>
      <c r="J63" s="17">
        <f>INDEX(AEO22_Table_21._Residential_Sec!$E$8:$AJ$93,MATCH($B63,AEO22_Table_21._Residential_Sec!$C$8:$C$93,0),MATCH(J$4,AEO22_Table_21._Residential_Sec!$E$5:$AJ$5,0))*gigwatt_to_megawatt*Percent_rural</f>
        <v>0</v>
      </c>
      <c r="K63" s="17">
        <f>INDEX(AEO22_Table_21._Residential_Sec!$E$8:$AJ$93,MATCH($B63,AEO22_Table_21._Residential_Sec!$C$8:$C$93,0),MATCH(K$4,AEO22_Table_21._Residential_Sec!$E$5:$AJ$5,0))*gigwatt_to_megawatt*Percent_rural</f>
        <v>0</v>
      </c>
      <c r="L63" s="17">
        <f>INDEX(AEO22_Table_21._Residential_Sec!$E$8:$AJ$93,MATCH($B63,AEO22_Table_21._Residential_Sec!$C$8:$C$93,0),MATCH(L$4,AEO22_Table_21._Residential_Sec!$E$5:$AJ$5,0))*gigwatt_to_megawatt*Percent_rural</f>
        <v>0</v>
      </c>
      <c r="M63" s="17">
        <f>INDEX(AEO22_Table_21._Residential_Sec!$E$8:$AJ$93,MATCH($B63,AEO22_Table_21._Residential_Sec!$C$8:$C$93,0),MATCH(M$4,AEO22_Table_21._Residential_Sec!$E$5:$AJ$5,0))*gigwatt_to_megawatt*Percent_rural</f>
        <v>0</v>
      </c>
      <c r="N63" s="17">
        <f>INDEX(AEO22_Table_21._Residential_Sec!$E$8:$AJ$93,MATCH($B63,AEO22_Table_21._Residential_Sec!$C$8:$C$93,0),MATCH(N$4,AEO22_Table_21._Residential_Sec!$E$5:$AJ$5,0))*gigwatt_to_megawatt*Percent_rural</f>
        <v>0</v>
      </c>
      <c r="O63" s="17">
        <f>INDEX(AEO22_Table_21._Residential_Sec!$E$8:$AJ$93,MATCH($B63,AEO22_Table_21._Residential_Sec!$C$8:$C$93,0),MATCH(O$4,AEO22_Table_21._Residential_Sec!$E$5:$AJ$5,0))*gigwatt_to_megawatt*Percent_rural</f>
        <v>0</v>
      </c>
      <c r="P63" s="17">
        <f>INDEX(AEO22_Table_21._Residential_Sec!$E$8:$AJ$93,MATCH($B63,AEO22_Table_21._Residential_Sec!$C$8:$C$93,0),MATCH(P$4,AEO22_Table_21._Residential_Sec!$E$5:$AJ$5,0))*gigwatt_to_megawatt*Percent_rural</f>
        <v>0</v>
      </c>
      <c r="Q63" s="17">
        <f>INDEX(AEO22_Table_21._Residential_Sec!$E$8:$AJ$93,MATCH($B63,AEO22_Table_21._Residential_Sec!$C$8:$C$93,0),MATCH(Q$4,AEO22_Table_21._Residential_Sec!$E$5:$AJ$5,0))*gigwatt_to_megawatt*Percent_rural</f>
        <v>0</v>
      </c>
      <c r="R63" s="17">
        <f>INDEX(AEO22_Table_21._Residential_Sec!$E$8:$AJ$93,MATCH($B63,AEO22_Table_21._Residential_Sec!$C$8:$C$93,0),MATCH(R$4,AEO22_Table_21._Residential_Sec!$E$5:$AJ$5,0))*gigwatt_to_megawatt*Percent_rural</f>
        <v>0</v>
      </c>
      <c r="S63" s="17">
        <f>INDEX(AEO22_Table_21._Residential_Sec!$E$8:$AJ$93,MATCH($B63,AEO22_Table_21._Residential_Sec!$C$8:$C$93,0),MATCH(S$4,AEO22_Table_21._Residential_Sec!$E$5:$AJ$5,0))*gigwatt_to_megawatt*Percent_rural</f>
        <v>3.7383631506516634E-4</v>
      </c>
      <c r="T63" s="17">
        <f>INDEX(AEO22_Table_21._Residential_Sec!$E$8:$AJ$93,MATCH($B63,AEO22_Table_21._Residential_Sec!$C$8:$C$93,0),MATCH(T$4,AEO22_Table_21._Residential_Sec!$E$5:$AJ$5,0))*gigwatt_to_megawatt*Percent_rural</f>
        <v>9.3459078766291591E-4</v>
      </c>
      <c r="U63" s="17">
        <f>INDEX(AEO22_Table_21._Residential_Sec!$E$8:$AJ$93,MATCH($B63,AEO22_Table_21._Residential_Sec!$C$8:$C$93,0),MATCH(U$4,AEO22_Table_21._Residential_Sec!$E$5:$AJ$5,0))*gigwatt_to_megawatt*Percent_rural</f>
        <v>1.8691815753258318E-3</v>
      </c>
      <c r="V63" s="17">
        <f>INDEX(AEO22_Table_21._Residential_Sec!$E$8:$AJ$93,MATCH($B63,AEO22_Table_21._Residential_Sec!$C$8:$C$93,0),MATCH(V$4,AEO22_Table_21._Residential_Sec!$E$5:$AJ$5,0))*gigwatt_to_megawatt*Percent_rural</f>
        <v>3.9252813081842464E-3</v>
      </c>
      <c r="W63" s="17">
        <f>INDEX(AEO22_Table_21._Residential_Sec!$E$8:$AJ$93,MATCH($B63,AEO22_Table_21._Residential_Sec!$C$8:$C$93,0),MATCH(W$4,AEO22_Table_21._Residential_Sec!$E$5:$AJ$5,0))*gigwatt_to_megawatt*Percent_rural</f>
        <v>7.6636444588359101E-3</v>
      </c>
      <c r="X63" s="17">
        <f>INDEX(AEO22_Table_21._Residential_Sec!$E$8:$AJ$93,MATCH($B63,AEO22_Table_21._Residential_Sec!$C$8:$C$93,0),MATCH(X$4,AEO22_Table_21._Residential_Sec!$E$5:$AJ$5,0))*gigwatt_to_megawatt*Percent_rural</f>
        <v>1.4579616287541487E-2</v>
      </c>
      <c r="Y63" s="17">
        <f>INDEX(AEO22_Table_21._Residential_Sec!$E$8:$AJ$93,MATCH($B63,AEO22_Table_21._Residential_Sec!$C$8:$C$93,0),MATCH(Y$4,AEO22_Table_21._Residential_Sec!$E$5:$AJ$5,0))*gigwatt_to_megawatt*Percent_rural</f>
        <v>2.7290050999757141E-2</v>
      </c>
      <c r="Z63" s="17">
        <f>INDEX(AEO22_Table_21._Residential_Sec!$E$8:$AJ$93,MATCH($B63,AEO22_Table_21._Residential_Sec!$C$8:$C$93,0),MATCH(Z$4,AEO22_Table_21._Residential_Sec!$E$5:$AJ$5,0))*gigwatt_to_megawatt*Percent_rural</f>
        <v>5.0654820691330031E-2</v>
      </c>
      <c r="AA63" s="17">
        <f>INDEX(AEO22_Table_21._Residential_Sec!$E$8:$AJ$93,MATCH($B63,AEO22_Table_21._Residential_Sec!$C$8:$C$93,0),MATCH(AA$4,AEO22_Table_21._Residential_Sec!$E$5:$AJ$5,0))*gigwatt_to_megawatt*Percent_rural</f>
        <v>7.3832672225370363E-2</v>
      </c>
      <c r="AB63" s="17">
        <f>INDEX(AEO22_Table_21._Residential_Sec!$E$8:$AJ$93,MATCH($B63,AEO22_Table_21._Residential_Sec!$C$8:$C$93,0),MATCH(AB$4,AEO22_Table_21._Residential_Sec!$E$5:$AJ$5,0))*gigwatt_to_megawatt*Percent_rural</f>
        <v>9.7197441916943239E-2</v>
      </c>
      <c r="AC63" s="17">
        <f>INDEX(AEO22_Table_21._Residential_Sec!$E$8:$AJ$93,MATCH($B63,AEO22_Table_21._Residential_Sec!$C$8:$C$93,0),MATCH(AC$4,AEO22_Table_21._Residential_Sec!$E$5:$AJ$5,0))*gigwatt_to_megawatt*Percent_rural</f>
        <v>0.12056221160851613</v>
      </c>
      <c r="AD63" s="17">
        <f>INDEX(AEO22_Table_21._Residential_Sec!$E$8:$AJ$93,MATCH($B63,AEO22_Table_21._Residential_Sec!$C$8:$C$93,0),MATCH(AD$4,AEO22_Table_21._Residential_Sec!$E$5:$AJ$5,0))*gigwatt_to_megawatt*Percent_rural</f>
        <v>0.14392698130008902</v>
      </c>
      <c r="AE63" s="17">
        <f>INDEX(AEO22_Table_21._Residential_Sec!$E$8:$AJ$93,MATCH($B63,AEO22_Table_21._Residential_Sec!$C$8:$C$93,0),MATCH(AE$4,AEO22_Table_21._Residential_Sec!$E$5:$AJ$5,0))*gigwatt_to_megawatt*Percent_rural</f>
        <v>0.16747866914919451</v>
      </c>
      <c r="AF63" s="17">
        <f>INDEX(AEO22_Table_21._Residential_Sec!$E$8:$AJ$93,MATCH($B63,AEO22_Table_21._Residential_Sec!$C$8:$C$93,0),MATCH(AF$4,AEO22_Table_21._Residential_Sec!$E$5:$AJ$5,0))*gigwatt_to_megawatt*Percent_rural</f>
        <v>0.19103035699829995</v>
      </c>
      <c r="AG63" s="17">
        <f>INDEX(AEO22_Table_21._Residential_Sec!$E$8:$AJ$93,MATCH($B63,AEO22_Table_21._Residential_Sec!$C$8:$C$93,0),MATCH(AG$4,AEO22_Table_21._Residential_Sec!$E$5:$AJ$5,0))*gigwatt_to_megawatt*Percent_rural</f>
        <v>0.2143951266898729</v>
      </c>
      <c r="AH63" s="17">
        <f>INDEX(AEO22_Table_21._Residential_Sec!$E$8:$AJ$93,MATCH($B63,AEO22_Table_21._Residential_Sec!$C$8:$C$93,0),MATCH(AH$4,AEO22_Table_21._Residential_Sec!$E$5:$AJ$5,0))*gigwatt_to_megawatt*Percent_rural</f>
        <v>0.2379468145389784</v>
      </c>
      <c r="AI63" s="17">
        <f>INDEX(AEO22_Table_21._Residential_Sec!$E$8:$AJ$93,MATCH($B63,AEO22_Table_21._Residential_Sec!$C$8:$C$93,0),MATCH(AI$4,AEO22_Table_21._Residential_Sec!$E$5:$AJ$5,0))*gigwatt_to_megawatt*Percent_rural</f>
        <v>0.26149850238808386</v>
      </c>
    </row>
    <row r="64" spans="1:35" x14ac:dyDescent="0.3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3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35">
      <c r="A66" t="s">
        <v>550</v>
      </c>
      <c r="B66" s="3" t="s">
        <v>757</v>
      </c>
      <c r="C66" t="s">
        <v>59</v>
      </c>
      <c r="D66" s="17"/>
      <c r="E66" s="17">
        <f>INDEX(AEO21_Table_21._Residential_Sec!$E$8:$AK$93,MATCH($A66,AEO21_Table_21._Residential_Sec!$C$8:$C$93,0),MATCH(E$4,AEO21_Table_21._Residential_Sec!$E$5:$AK$5,0))*gigwatt_to_megawatt*Percent_rural</f>
        <v>2.6602192180037236</v>
      </c>
      <c r="F66" s="17">
        <f>INDEX(AEO22_Table_21._Residential_Sec!$E$8:$AJ$93,MATCH($B66,AEO22_Table_21._Residential_Sec!$C$8:$C$93,0),MATCH(F$4,AEO22_Table_21._Residential_Sec!$E$5:$AJ$5,0))*gigwatt_to_megawatt*Percent_rural</f>
        <v>2.6602192180037236</v>
      </c>
      <c r="G66" s="17">
        <f>INDEX(AEO22_Table_21._Residential_Sec!$E$8:$AJ$93,MATCH($B66,AEO22_Table_21._Residential_Sec!$C$8:$C$93,0),MATCH(G$4,AEO22_Table_21._Residential_Sec!$E$5:$AJ$5,0))*gigwatt_to_megawatt*Percent_rural</f>
        <v>2.6602192180037236</v>
      </c>
      <c r="H66" s="17">
        <f>INDEX(AEO22_Table_21._Residential_Sec!$E$8:$AJ$93,MATCH($B66,AEO22_Table_21._Residential_Sec!$C$8:$C$93,0),MATCH(H$4,AEO22_Table_21._Residential_Sec!$E$5:$AJ$5,0))*gigwatt_to_megawatt*Percent_rural</f>
        <v>2.6602192180037236</v>
      </c>
      <c r="I66" s="17">
        <f>INDEX(AEO22_Table_21._Residential_Sec!$E$8:$AJ$93,MATCH($B66,AEO22_Table_21._Residential_Sec!$C$8:$C$93,0),MATCH(I$4,AEO22_Table_21._Residential_Sec!$E$5:$AJ$5,0))*gigwatt_to_megawatt*Percent_rural</f>
        <v>2.6602192180037236</v>
      </c>
      <c r="J66" s="17">
        <f>INDEX(AEO22_Table_21._Residential_Sec!$E$8:$AJ$93,MATCH($B66,AEO22_Table_21._Residential_Sec!$C$8:$C$93,0),MATCH(J$4,AEO22_Table_21._Residential_Sec!$E$5:$AJ$5,0))*gigwatt_to_megawatt*Percent_rural</f>
        <v>2.6602192180037236</v>
      </c>
      <c r="K66" s="17">
        <f>INDEX(AEO22_Table_21._Residential_Sec!$E$8:$AJ$93,MATCH($B66,AEO22_Table_21._Residential_Sec!$C$8:$C$93,0),MATCH(K$4,AEO22_Table_21._Residential_Sec!$E$5:$AJ$5,0))*gigwatt_to_megawatt*Percent_rural</f>
        <v>2.6602192180037236</v>
      </c>
      <c r="L66" s="17">
        <f>INDEX(AEO22_Table_21._Residential_Sec!$E$8:$AJ$93,MATCH($B66,AEO22_Table_21._Residential_Sec!$C$8:$C$93,0),MATCH(L$4,AEO22_Table_21._Residential_Sec!$E$5:$AJ$5,0))*gigwatt_to_megawatt*Percent_rural</f>
        <v>2.6602192180037236</v>
      </c>
      <c r="M66" s="17">
        <f>INDEX(AEO22_Table_21._Residential_Sec!$E$8:$AJ$93,MATCH($B66,AEO22_Table_21._Residential_Sec!$C$8:$C$93,0),MATCH(M$4,AEO22_Table_21._Residential_Sec!$E$5:$AJ$5,0))*gigwatt_to_megawatt*Percent_rural</f>
        <v>2.6602192180037236</v>
      </c>
      <c r="N66" s="17">
        <f>INDEX(AEO22_Table_21._Residential_Sec!$E$8:$AJ$93,MATCH($B66,AEO22_Table_21._Residential_Sec!$C$8:$C$93,0),MATCH(N$4,AEO22_Table_21._Residential_Sec!$E$5:$AJ$5,0))*gigwatt_to_megawatt*Percent_rural</f>
        <v>2.6602192180037236</v>
      </c>
      <c r="O66" s="17">
        <f>INDEX(AEO22_Table_21._Residential_Sec!$E$8:$AJ$93,MATCH($B66,AEO22_Table_21._Residential_Sec!$C$8:$C$93,0),MATCH(O$4,AEO22_Table_21._Residential_Sec!$E$5:$AJ$5,0))*gigwatt_to_megawatt*Percent_rural</f>
        <v>2.6602192180037236</v>
      </c>
      <c r="P66" s="17">
        <f>INDEX(AEO22_Table_21._Residential_Sec!$E$8:$AJ$93,MATCH($B66,AEO22_Table_21._Residential_Sec!$C$8:$C$93,0),MATCH(P$4,AEO22_Table_21._Residential_Sec!$E$5:$AJ$5,0))*gigwatt_to_megawatt*Percent_rural</f>
        <v>2.6602192180037236</v>
      </c>
      <c r="Q66" s="17">
        <f>INDEX(AEO22_Table_21._Residential_Sec!$E$8:$AJ$93,MATCH($B66,AEO22_Table_21._Residential_Sec!$C$8:$C$93,0),MATCH(Q$4,AEO22_Table_21._Residential_Sec!$E$5:$AJ$5,0))*gigwatt_to_megawatt*Percent_rural</f>
        <v>2.6604061361612565</v>
      </c>
      <c r="R66" s="17">
        <f>INDEX(AEO22_Table_21._Residential_Sec!$E$8:$AJ$93,MATCH($B66,AEO22_Table_21._Residential_Sec!$C$8:$C$93,0),MATCH(R$4,AEO22_Table_21._Residential_Sec!$E$5:$AJ$5,0))*gigwatt_to_megawatt*Percent_rural</f>
        <v>2.6604061361612565</v>
      </c>
      <c r="S66" s="17">
        <f>INDEX(AEO22_Table_21._Residential_Sec!$E$8:$AJ$93,MATCH($B66,AEO22_Table_21._Residential_Sec!$C$8:$C$93,0),MATCH(S$4,AEO22_Table_21._Residential_Sec!$E$5:$AJ$5,0))*gigwatt_to_megawatt*Percent_rural</f>
        <v>2.6609668906338544</v>
      </c>
      <c r="T66" s="17">
        <f>INDEX(AEO22_Table_21._Residential_Sec!$E$8:$AJ$93,MATCH($B66,AEO22_Table_21._Residential_Sec!$C$8:$C$93,0),MATCH(T$4,AEO22_Table_21._Residential_Sec!$E$5:$AJ$5,0))*gigwatt_to_megawatt*Percent_rural</f>
        <v>2.6620883995790492</v>
      </c>
      <c r="U66" s="17">
        <f>INDEX(AEO22_Table_21._Residential_Sec!$E$8:$AJ$93,MATCH($B66,AEO22_Table_21._Residential_Sec!$C$8:$C$93,0),MATCH(U$4,AEO22_Table_21._Residential_Sec!$E$5:$AJ$5,0))*gigwatt_to_megawatt*Percent_rural</f>
        <v>2.6641444993119081</v>
      </c>
      <c r="V66" s="17">
        <f>INDEX(AEO22_Table_21._Residential_Sec!$E$8:$AJ$93,MATCH($B66,AEO22_Table_21._Residential_Sec!$C$8:$C$93,0),MATCH(V$4,AEO22_Table_21._Residential_Sec!$E$5:$AJ$5,0))*gigwatt_to_megawatt*Percent_rural</f>
        <v>2.6680697806200926</v>
      </c>
      <c r="W66" s="17">
        <f>INDEX(AEO22_Table_21._Residential_Sec!$E$8:$AJ$93,MATCH($B66,AEO22_Table_21._Residential_Sec!$C$8:$C$93,0),MATCH(W$4,AEO22_Table_21._Residential_Sec!$E$5:$AJ$5,0))*gigwatt_to_megawatt*Percent_rural</f>
        <v>2.6755465069213957</v>
      </c>
      <c r="X66" s="17">
        <f>INDEX(AEO22_Table_21._Residential_Sec!$E$8:$AJ$93,MATCH($B66,AEO22_Table_21._Residential_Sec!$C$8:$C$93,0),MATCH(X$4,AEO22_Table_21._Residential_Sec!$E$5:$AJ$5,0))*gigwatt_to_megawatt*Percent_rural</f>
        <v>2.6893784505788068</v>
      </c>
      <c r="Y66" s="17">
        <f>INDEX(AEO22_Table_21._Residential_Sec!$E$8:$AJ$93,MATCH($B66,AEO22_Table_21._Residential_Sec!$C$8:$C$93,0),MATCH(Y$4,AEO22_Table_21._Residential_Sec!$E$5:$AJ$5,0))*gigwatt_to_megawatt*Percent_rural</f>
        <v>2.7149862381607708</v>
      </c>
      <c r="Z66" s="17">
        <f>INDEX(AEO22_Table_21._Residential_Sec!$E$8:$AJ$93,MATCH($B66,AEO22_Table_21._Residential_Sec!$C$8:$C$93,0),MATCH(Z$4,AEO22_Table_21._Residential_Sec!$E$5:$AJ$5,0))*gigwatt_to_megawatt*Percent_rural</f>
        <v>2.7613419412288511</v>
      </c>
      <c r="AA66" s="17">
        <f>INDEX(AEO22_Table_21._Residential_Sec!$E$8:$AJ$93,MATCH($B66,AEO22_Table_21._Residential_Sec!$C$8:$C$93,0),MATCH(AA$4,AEO22_Table_21._Residential_Sec!$E$5:$AJ$5,0))*gigwatt_to_megawatt*Percent_rural</f>
        <v>2.8078845624544644</v>
      </c>
      <c r="AB66" s="17">
        <f>INDEX(AEO22_Table_21._Residential_Sec!$E$8:$AJ$93,MATCH($B66,AEO22_Table_21._Residential_Sec!$C$8:$C$93,0),MATCH(AB$4,AEO22_Table_21._Residential_Sec!$E$5:$AJ$5,0))*gigwatt_to_megawatt*Percent_rural</f>
        <v>2.8546141018376101</v>
      </c>
      <c r="AC66" s="17">
        <f>INDEX(AEO22_Table_21._Residential_Sec!$E$8:$AJ$93,MATCH($B66,AEO22_Table_21._Residential_Sec!$C$8:$C$93,0),MATCH(AC$4,AEO22_Table_21._Residential_Sec!$E$5:$AJ$5,0))*gigwatt_to_megawatt*Percent_rural</f>
        <v>2.9013436412207558</v>
      </c>
      <c r="AD66" s="17">
        <f>INDEX(AEO22_Table_21._Residential_Sec!$E$8:$AJ$93,MATCH($B66,AEO22_Table_21._Residential_Sec!$C$8:$C$93,0),MATCH(AD$4,AEO22_Table_21._Residential_Sec!$E$5:$AJ$5,0))*gigwatt_to_megawatt*Percent_rural</f>
        <v>2.9482600987614345</v>
      </c>
      <c r="AE66" s="17">
        <f>INDEX(AEO22_Table_21._Residential_Sec!$E$8:$AJ$93,MATCH($B66,AEO22_Table_21._Residential_Sec!$C$8:$C$93,0),MATCH(AE$4,AEO22_Table_21._Residential_Sec!$E$5:$AJ$5,0))*gigwatt_to_megawatt*Percent_rural</f>
        <v>2.9951765563021131</v>
      </c>
      <c r="AF66" s="17">
        <f>INDEX(AEO22_Table_21._Residential_Sec!$E$8:$AJ$93,MATCH($B66,AEO22_Table_21._Residential_Sec!$C$8:$C$93,0),MATCH(AF$4,AEO22_Table_21._Residential_Sec!$E$5:$AJ$5,0))*gigwatt_to_megawatt*Percent_rural</f>
        <v>3.0420930138427917</v>
      </c>
      <c r="AG66" s="17">
        <f>INDEX(AEO22_Table_21._Residential_Sec!$E$8:$AJ$93,MATCH($B66,AEO22_Table_21._Residential_Sec!$C$8:$C$93,0),MATCH(AG$4,AEO22_Table_21._Residential_Sec!$E$5:$AJ$5,0))*gigwatt_to_megawatt*Percent_rural</f>
        <v>3.0891963895410024</v>
      </c>
      <c r="AH66" s="17">
        <f>INDEX(AEO22_Table_21._Residential_Sec!$E$8:$AJ$93,MATCH($B66,AEO22_Table_21._Residential_Sec!$C$8:$C$93,0),MATCH(AH$4,AEO22_Table_21._Residential_Sec!$E$5:$AJ$5,0))*gigwatt_to_megawatt*Percent_rural</f>
        <v>3.1362997652392131</v>
      </c>
      <c r="AI66" s="17">
        <f>INDEX(AEO22_Table_21._Residential_Sec!$E$8:$AJ$93,MATCH($B66,AEO22_Table_21._Residential_Sec!$C$8:$C$93,0),MATCH(AI$4,AEO22_Table_21._Residential_Sec!$E$5:$AJ$5,0))*gigwatt_to_megawatt*Percent_rural</f>
        <v>3.1834031409374246</v>
      </c>
    </row>
    <row r="67" spans="1:35" x14ac:dyDescent="0.35">
      <c r="A67" t="s">
        <v>549</v>
      </c>
      <c r="B67" s="3" t="s">
        <v>755</v>
      </c>
      <c r="C67" t="s">
        <v>10</v>
      </c>
      <c r="D67" s="17"/>
      <c r="E67" s="17">
        <f>INDEX(AEO21_Table_21._Residential_Sec!$E$8:$AK$93,MATCH($A67,AEO21_Table_21._Residential_Sec!$C$8:$C$93,0),MATCH(E$4,AEO21_Table_21._Residential_Sec!$E$5:$AK$5,0))*gigwatt_to_megawatt*Percent_rural</f>
        <v>3424.0051279041522</v>
      </c>
      <c r="F67" s="17">
        <f>INDEX(AEO22_Table_21._Residential_Sec!$E$8:$AJ$93,MATCH($B67,AEO22_Table_21._Residential_Sec!$C$8:$C$93,0),MATCH(F$4,AEO22_Table_21._Residential_Sec!$E$5:$AJ$5,0))*gigwatt_to_megawatt*Percent_rural</f>
        <v>3976.219496802396</v>
      </c>
      <c r="G67" s="17">
        <f>AEO23_Table_21._Residential!F78*gigwatt_to_megawatt*Percent_rural</f>
        <v>4848.8104662025416</v>
      </c>
      <c r="H67" s="17">
        <f>AEO23_Table_21._Residential!G78*gigwatt_to_megawatt*Percent_rural</f>
        <v>5313.5067630535086</v>
      </c>
      <c r="I67" s="17">
        <f>AEO23_Table_21._Residential!H78*gigwatt_to_megawatt*Percent_rural</f>
        <v>5853.8131368898239</v>
      </c>
      <c r="J67" s="17">
        <f>AEO23_Table_21._Residential!I78*gigwatt_to_megawatt*Percent_rural</f>
        <v>6395.046811705658</v>
      </c>
      <c r="K67" s="17">
        <f>AEO23_Table_21._Residential!J78*gigwatt_to_megawatt*Percent_rural</f>
        <v>6935.1118742005992</v>
      </c>
      <c r="L67" s="17">
        <f>AEO23_Table_21._Residential!K78*gigwatt_to_megawatt*Percent_rural</f>
        <v>7493.1752860843508</v>
      </c>
      <c r="M67" s="17">
        <f>AEO23_Table_21._Residential!L78*gigwatt_to_megawatt*Percent_rural</f>
        <v>8067.8147870962512</v>
      </c>
      <c r="N67" s="17">
        <f>AEO23_Table_21._Residential!M78*gigwatt_to_megawatt*Percent_rural</f>
        <v>8669.0819011576132</v>
      </c>
      <c r="O67" s="17">
        <f>AEO23_Table_21._Residential!N78*gigwatt_to_megawatt*Percent_rural</f>
        <v>9292.6576973204883</v>
      </c>
      <c r="P67" s="17">
        <f>AEO23_Table_21._Residential!O78*gigwatt_to_megawatt*Percent_rural</f>
        <v>9947.9813556221161</v>
      </c>
      <c r="Q67" s="17">
        <f>AEO23_Table_21._Residential!P78*gigwatt_to_megawatt*Percent_rural</f>
        <v>10649.504079575812</v>
      </c>
      <c r="R67" s="17">
        <f>AEO23_Table_21._Residential!Q78*gigwatt_to_megawatt*Percent_rural</f>
        <v>11361.396649073098</v>
      </c>
      <c r="S67" s="17">
        <f>AEO23_Table_21._Residential!R78*gigwatt_to_megawatt*Percent_rural</f>
        <v>12093.234881324375</v>
      </c>
      <c r="T67" s="17">
        <f>AEO23_Table_21._Residential!S78*gigwatt_to_megawatt*Percent_rural</f>
        <v>12731.688802072371</v>
      </c>
      <c r="U67" s="17">
        <f>AEO23_Table_21._Residential!T78*gigwatt_to_megawatt*Percent_rural</f>
        <v>13404.582580263901</v>
      </c>
      <c r="V67" s="17">
        <f>AEO23_Table_21._Residential!U78*gigwatt_to_megawatt*Percent_rural</f>
        <v>14106.441196146683</v>
      </c>
      <c r="W67" s="17">
        <f>AEO23_Table_21._Residential!V78*gigwatt_to_megawatt*Percent_rural</f>
        <v>14861.590739496478</v>
      </c>
      <c r="X67" s="17">
        <f>AEO23_Table_21._Residential!W78*gigwatt_to_megawatt*Percent_rural</f>
        <v>15672.359836719825</v>
      </c>
      <c r="Y67" s="17">
        <f>AEO23_Table_21._Residential!X78*gigwatt_to_megawatt*Percent_rural</f>
        <v>16539.026808953291</v>
      </c>
      <c r="Z67" s="17">
        <f>AEO23_Table_21._Residential!Y78*gigwatt_to_megawatt*Percent_rural</f>
        <v>17459.382657411155</v>
      </c>
      <c r="AA67" s="17">
        <f>AEO23_Table_21._Residential!Z78*gigwatt_to_megawatt*Percent_rural</f>
        <v>18433.411494050029</v>
      </c>
      <c r="AB67" s="17">
        <f>AEO23_Table_21._Residential!AA78*gigwatt_to_megawatt*Percent_rural</f>
        <v>19468.06686124828</v>
      </c>
      <c r="AC67" s="17">
        <f>AEO23_Table_21._Residential!AB78*gigwatt_to_megawatt*Percent_rural</f>
        <v>20543.77898866672</v>
      </c>
      <c r="AD67" s="17">
        <f>AEO23_Table_21._Residential!AC78*gigwatt_to_megawatt*Percent_rural</f>
        <v>21678.05257484012</v>
      </c>
      <c r="AE67" s="17">
        <f>AEO23_Table_21._Residential!AD78*gigwatt_to_megawatt*Percent_rural</f>
        <v>22855.025744920262</v>
      </c>
      <c r="AF67" s="17">
        <f>AEO23_Table_21._Residential!AE78*gigwatt_to_megawatt*Percent_rural</f>
        <v>24074.400364445883</v>
      </c>
      <c r="AG67" s="17">
        <f>AEO23_Table_21._Residential!AF78*gigwatt_to_megawatt*Percent_rural</f>
        <v>25358.239131223185</v>
      </c>
      <c r="AH67" s="17">
        <f>AEO23_Table_21._Residential!AG78*gigwatt_to_megawatt*Percent_rural</f>
        <v>26672.165179227723</v>
      </c>
      <c r="AI67" s="17">
        <f>AEO23_Table_21._Residential!AH78*gigwatt_to_megawatt*Percent_rural</f>
        <v>28032.783756820201</v>
      </c>
    </row>
    <row r="68" spans="1:35" x14ac:dyDescent="0.3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3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3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3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3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3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3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3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3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3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3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5" x14ac:dyDescent="0.45">
      <c r="A79" s="15" t="s">
        <v>172</v>
      </c>
    </row>
    <row r="80" spans="1:35" ht="18.5" x14ac:dyDescent="0.45">
      <c r="A80" s="15"/>
      <c r="B80" s="18" t="s">
        <v>175</v>
      </c>
    </row>
    <row r="81" spans="1:56" x14ac:dyDescent="0.35">
      <c r="B81" s="1" t="s">
        <v>170</v>
      </c>
      <c r="F81" s="20" t="s">
        <v>176</v>
      </c>
    </row>
    <row r="82" spans="1:56" x14ac:dyDescent="0.3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3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35">
      <c r="A84" t="s">
        <v>435</v>
      </c>
      <c r="B84" s="3" t="s">
        <v>859</v>
      </c>
      <c r="C84" t="s">
        <v>7</v>
      </c>
      <c r="D84" s="17"/>
      <c r="E84" s="17">
        <f>INDEX(AEO21_Table_22._Comm_Sector_Ene!$F$8:$AK$81,MATCH($A84,AEO21_Table_22._Comm_Sector_Ene!$C$8:$C$81,0),MATCH(E$82,AEO21_Table_22._Comm_Sector_Ene!$F$5:$AK$5,0))*gigwatt_to_megawatt</f>
        <v>1377.152</v>
      </c>
      <c r="F84" s="19">
        <f t="shared" ref="F84:I84" si="0">_xlfn.FORECAST.LINEAR(F$82,$AX84:$AY84,$AX$82:$AY$82)</f>
        <v>1385.0491999999995</v>
      </c>
      <c r="G84" s="19">
        <f t="shared" si="0"/>
        <v>1392.9464000000007</v>
      </c>
      <c r="H84" s="19">
        <f t="shared" si="0"/>
        <v>1400.8436000000002</v>
      </c>
      <c r="I84" s="19">
        <f t="shared" si="0"/>
        <v>1408.7407999999996</v>
      </c>
      <c r="J84" s="17">
        <f>INDEX(AEO22_Table_22._Comm_Sector_Ene!$F$8:$AJ$81,MATCH($B84,AEO22_Table_22._Comm_Sector_Ene!$C$8:$C$81,0),MATCH(J$82,AEO22_Table_22._Comm_Sector_Ene!$F$5:$AJ$5,0))*gigwatt_to_megawatt</f>
        <v>1416.6380000000001</v>
      </c>
      <c r="K84" s="19">
        <f>_xlfn.FORECAST.LINEAR(K$82,$AY84:$AZ84,$AY$82:$AZ$82)</f>
        <v>1432.388600000002</v>
      </c>
      <c r="L84" s="19">
        <f t="shared" ref="L84:N84" si="1">_xlfn.FORECAST.LINEAR(L$82,$AY84:$AZ84,$AY$82:$AZ$82)</f>
        <v>1448.1392000000014</v>
      </c>
      <c r="M84" s="19">
        <f t="shared" si="1"/>
        <v>1463.8898000000008</v>
      </c>
      <c r="N84" s="19">
        <f t="shared" si="1"/>
        <v>1479.6404000000002</v>
      </c>
      <c r="O84" s="17">
        <f>INDEX(AEO22_Table_22._Comm_Sector_Ene!$F$8:$AJ$81,MATCH($B84,AEO22_Table_22._Comm_Sector_Ene!$C$8:$C$81,0),MATCH(O$82,AEO22_Table_22._Comm_Sector_Ene!$F$5:$AJ$5,0))*gigwatt_to_megawatt</f>
        <v>1495.3909999999998</v>
      </c>
      <c r="P84" s="19">
        <f>_xlfn.FORECAST.LINEAR(P$82,$AZ84:$BA84,$AZ$82:$BA$82)</f>
        <v>1510.5756000000001</v>
      </c>
      <c r="Q84" s="19">
        <f t="shared" ref="Q84:S84" si="2">_xlfn.FORECAST.LINEAR(Q$82,$AZ84:$BA84,$AZ$82:$BA$82)</f>
        <v>1525.7602000000006</v>
      </c>
      <c r="R84" s="19">
        <f t="shared" si="2"/>
        <v>1540.9448000000011</v>
      </c>
      <c r="S84" s="19">
        <f t="shared" si="2"/>
        <v>1556.1294000000016</v>
      </c>
      <c r="T84" s="17">
        <f>INDEX(AEO22_Table_22._Comm_Sector_Ene!$F$8:$AJ$81,MATCH($B84,AEO22_Table_22._Comm_Sector_Ene!$C$8:$C$81,0),MATCH(T$82,AEO22_Table_22._Comm_Sector_Ene!$F$5:$AJ$5,0))*gigwatt_to_megawatt</f>
        <v>1571.3140000000001</v>
      </c>
      <c r="U84" s="19">
        <f>_xlfn.FORECAST.LINEAR(U$82,$BA84:$BB84,$BA$82:$BB$82)</f>
        <v>1585.6786000000029</v>
      </c>
      <c r="V84" s="19">
        <f t="shared" ref="V84:X84" si="3">_xlfn.FORECAST.LINEAR(V$82,$BA84:$BB84,$BA$82:$BB$82)</f>
        <v>1600.0432000000001</v>
      </c>
      <c r="W84" s="19">
        <f t="shared" si="3"/>
        <v>1614.4078000000009</v>
      </c>
      <c r="X84" s="19">
        <f t="shared" si="3"/>
        <v>1628.7724000000017</v>
      </c>
      <c r="Y84" s="17">
        <f>INDEX(AEO22_Table_22._Comm_Sector_Ene!$F$8:$AJ$81,MATCH($B84,AEO22_Table_22._Comm_Sector_Ene!$C$8:$C$81,0),MATCH(Y$82,AEO22_Table_22._Comm_Sector_Ene!$F$5:$AJ$5,0))*gigwatt_to_megawatt</f>
        <v>1643.1370000000002</v>
      </c>
      <c r="Z84" s="19">
        <f>_xlfn.FORECAST.LINEAR(Z$82,$BB84:$BC84,$BB$82:$BC$82)</f>
        <v>1658.2861999999986</v>
      </c>
      <c r="AA84" s="19">
        <f t="shared" ref="AA84:AC84" si="4">_xlfn.FORECAST.LINEAR(AA$82,$BB84:$BC84,$BB$82:$BC$82)</f>
        <v>1673.4353999999985</v>
      </c>
      <c r="AB84" s="19">
        <f t="shared" si="4"/>
        <v>1688.5845999999983</v>
      </c>
      <c r="AC84" s="19">
        <f t="shared" si="4"/>
        <v>1703.7337999999982</v>
      </c>
      <c r="AD84" s="17">
        <f>INDEX(AEO22_Table_22._Comm_Sector_Ene!$F$8:$AJ$81,MATCH($B84,AEO22_Table_22._Comm_Sector_Ene!$C$8:$C$81,0),MATCH(AD$82,AEO22_Table_22._Comm_Sector_Ene!$F$5:$AJ$5,0))*gigwatt_to_megawatt</f>
        <v>1718.883</v>
      </c>
      <c r="AE84" s="19">
        <f>_xlfn.FORECAST.LINEAR(AE$82,$BC84:$BD84,$BC$82:$BD$82)</f>
        <v>1731.7387999999992</v>
      </c>
      <c r="AF84" s="19">
        <f t="shared" ref="AF84:AH84" si="5">_xlfn.FORECAST.LINEAR(AF$82,$BC84:$BD84,$BC$82:$BD$82)</f>
        <v>1744.5945999999967</v>
      </c>
      <c r="AG84" s="19">
        <f t="shared" si="5"/>
        <v>1757.4503999999979</v>
      </c>
      <c r="AH84" s="19">
        <f t="shared" si="5"/>
        <v>1770.3061999999991</v>
      </c>
      <c r="AI84" s="17">
        <f>INDEX(AEO22_Table_22._Comm_Sector_Ene!$F$8:$AJ$81,MATCH($B84,AEO22_Table_22._Comm_Sector_Ene!$C$8:$C$81,0),MATCH(AI$82,AEO22_Table_22._Comm_Sector_Ene!$F$5:$AJ$5,0))*gigwatt_to_megawatt</f>
        <v>1783.1619999999998</v>
      </c>
      <c r="AW84" t="s">
        <v>7</v>
      </c>
      <c r="AX84" s="17">
        <f>E84</f>
        <v>1377.152</v>
      </c>
      <c r="AY84" s="17">
        <f>J84</f>
        <v>1416.6380000000001</v>
      </c>
      <c r="AZ84" s="17">
        <f>O84</f>
        <v>1495.3909999999998</v>
      </c>
      <c r="BA84" s="17">
        <f>T84</f>
        <v>1571.3140000000001</v>
      </c>
      <c r="BB84" s="17">
        <f>Y84</f>
        <v>1643.1370000000002</v>
      </c>
      <c r="BC84" s="17">
        <f>AD84</f>
        <v>1718.883</v>
      </c>
      <c r="BD84" s="17">
        <f>AI84</f>
        <v>1783.1619999999998</v>
      </c>
    </row>
    <row r="85" spans="1:56" x14ac:dyDescent="0.3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3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35">
      <c r="A87" t="s">
        <v>439</v>
      </c>
      <c r="B87" s="3" t="s">
        <v>863</v>
      </c>
      <c r="C87" t="s">
        <v>59</v>
      </c>
      <c r="D87" s="17"/>
      <c r="E87" s="17">
        <f>INDEX(AEO21_Table_22._Comm_Sector_Ene!$F$8:$AK$81,MATCH($A87,AEO21_Table_22._Comm_Sector_Ene!$C$8:$C$81,0),MATCH(E$82,AEO21_Table_22._Comm_Sector_Ene!$F$5:$AK$5,0))*gigwatt_to_megawatt</f>
        <v>554.88099999999997</v>
      </c>
      <c r="F87" s="19">
        <f t="shared" ref="F87:I88" si="12">_xlfn.FORECAST.LINEAR(F$82,$AX87:$AY87,$AX$82:$AY$82)</f>
        <v>555.80780000000004</v>
      </c>
      <c r="G87" s="19">
        <f t="shared" si="12"/>
        <v>556.7346</v>
      </c>
      <c r="H87" s="19">
        <f t="shared" si="12"/>
        <v>557.66139999999996</v>
      </c>
      <c r="I87" s="19">
        <f t="shared" si="12"/>
        <v>558.58819999999992</v>
      </c>
      <c r="J87" s="17">
        <f>INDEX(AEO22_Table_22._Comm_Sector_Ene!$F$8:$AJ$81,MATCH($B87,AEO22_Table_22._Comm_Sector_Ene!$C$8:$C$81,0),MATCH(J$82,AEO22_Table_22._Comm_Sector_Ene!$F$5:$AJ$5,0))*gigwatt_to_megawatt</f>
        <v>559.51499999999999</v>
      </c>
      <c r="K87" s="19">
        <f>_xlfn.FORECAST.LINEAR(K$82,$AY87:$AZ87,$AY$82:$AZ$82)</f>
        <v>560.21679999999981</v>
      </c>
      <c r="L87" s="19">
        <f t="shared" ref="L87:N87" si="13">_xlfn.FORECAST.LINEAR(L$82,$AY87:$AZ87,$AY$82:$AZ$82)</f>
        <v>560.91859999999986</v>
      </c>
      <c r="M87" s="19">
        <f t="shared" si="13"/>
        <v>561.6203999999999</v>
      </c>
      <c r="N87" s="19">
        <f t="shared" si="13"/>
        <v>562.32219999999995</v>
      </c>
      <c r="O87" s="17">
        <f>INDEX(AEO22_Table_22._Comm_Sector_Ene!$F$8:$AJ$81,MATCH($B87,AEO22_Table_22._Comm_Sector_Ene!$C$8:$C$81,0),MATCH(O$82,AEO22_Table_22._Comm_Sector_Ene!$F$5:$AJ$5,0))*gigwatt_to_megawatt</f>
        <v>563.024</v>
      </c>
      <c r="P87" s="19">
        <f>_xlfn.FORECAST.LINEAR(P$82,$AZ87:$BA87,$AZ$82:$BA$82)</f>
        <v>563.88020000000006</v>
      </c>
      <c r="Q87" s="19">
        <f t="shared" ref="Q87:S87" si="14">_xlfn.FORECAST.LINEAR(Q$82,$AZ87:$BA87,$AZ$82:$BA$82)</f>
        <v>564.7364</v>
      </c>
      <c r="R87" s="19">
        <f t="shared" si="14"/>
        <v>565.59259999999995</v>
      </c>
      <c r="S87" s="19">
        <f t="shared" si="14"/>
        <v>566.44879999999989</v>
      </c>
      <c r="T87" s="17">
        <f>INDEX(AEO22_Table_22._Comm_Sector_Ene!$F$8:$AJ$81,MATCH($B87,AEO22_Table_22._Comm_Sector_Ene!$C$8:$C$81,0),MATCH(T$82,AEO22_Table_22._Comm_Sector_Ene!$F$5:$AJ$5,0))*gigwatt_to_megawatt</f>
        <v>567.30499999999995</v>
      </c>
      <c r="U87" s="19">
        <f>_xlfn.FORECAST.LINEAR(U$82,$BA87:$BB87,$BA$82:$BB$82)</f>
        <v>567.67619999999988</v>
      </c>
      <c r="V87" s="19">
        <f t="shared" ref="V87:X87" si="15">_xlfn.FORECAST.LINEAR(V$82,$BA87:$BB87,$BA$82:$BB$82)</f>
        <v>568.04739999999993</v>
      </c>
      <c r="W87" s="19">
        <f t="shared" si="15"/>
        <v>568.41859999999997</v>
      </c>
      <c r="X87" s="19">
        <f t="shared" si="15"/>
        <v>568.78980000000001</v>
      </c>
      <c r="Y87" s="17">
        <f>INDEX(AEO22_Table_22._Comm_Sector_Ene!$F$8:$AJ$81,MATCH($B87,AEO22_Table_22._Comm_Sector_Ene!$C$8:$C$81,0),MATCH(Y$82,AEO22_Table_22._Comm_Sector_Ene!$F$5:$AJ$5,0))*gigwatt_to_megawatt</f>
        <v>569.16100000000006</v>
      </c>
      <c r="Z87" s="19">
        <f>_xlfn.FORECAST.LINEAR(Z$82,$BB87:$BC87,$BB$82:$BC$82)</f>
        <v>569.76780000000008</v>
      </c>
      <c r="AA87" s="19">
        <f t="shared" ref="AA87:AC87" si="16">_xlfn.FORECAST.LINEAR(AA$82,$BB87:$BC87,$BB$82:$BC$82)</f>
        <v>570.3746000000001</v>
      </c>
      <c r="AB87" s="19">
        <f t="shared" si="16"/>
        <v>570.98140000000012</v>
      </c>
      <c r="AC87" s="19">
        <f t="shared" si="16"/>
        <v>571.58819999999992</v>
      </c>
      <c r="AD87" s="17">
        <f>INDEX(AEO22_Table_22._Comm_Sector_Ene!$F$8:$AJ$81,MATCH($B87,AEO22_Table_22._Comm_Sector_Ene!$C$8:$C$81,0),MATCH(AD$82,AEO22_Table_22._Comm_Sector_Ene!$F$5:$AJ$5,0))*gigwatt_to_megawatt</f>
        <v>572.19500000000005</v>
      </c>
      <c r="AE87" s="19">
        <f>_xlfn.FORECAST.LINEAR(AE$82,$BC87:$BD87,$BC$82:$BD$82)</f>
        <v>572.2274000000001</v>
      </c>
      <c r="AF87" s="19">
        <f t="shared" ref="AF87:AH87" si="17">_xlfn.FORECAST.LINEAR(AF$82,$BC87:$BD87,$BC$82:$BD$82)</f>
        <v>572.25980000000004</v>
      </c>
      <c r="AG87" s="19">
        <f t="shared" si="17"/>
        <v>572.29220000000009</v>
      </c>
      <c r="AH87" s="19">
        <f t="shared" si="17"/>
        <v>572.32460000000003</v>
      </c>
      <c r="AI87" s="17">
        <f>INDEX(AEO22_Table_22._Comm_Sector_Ene!$F$8:$AJ$81,MATCH($B87,AEO22_Table_22._Comm_Sector_Ene!$C$8:$C$81,0),MATCH(AI$82,AEO22_Table_22._Comm_Sector_Ene!$F$5:$AJ$5,0))*gigwatt_to_megawatt</f>
        <v>572.35699999999997</v>
      </c>
      <c r="AW87" t="s">
        <v>59</v>
      </c>
      <c r="AX87" s="17">
        <f>E87</f>
        <v>554.88099999999997</v>
      </c>
      <c r="AY87" s="17">
        <f t="shared" si="6"/>
        <v>559.51499999999999</v>
      </c>
      <c r="AZ87" s="17">
        <f t="shared" si="7"/>
        <v>563.024</v>
      </c>
      <c r="BA87" s="17">
        <f t="shared" si="8"/>
        <v>567.30499999999995</v>
      </c>
      <c r="BB87" s="17">
        <f t="shared" si="9"/>
        <v>569.16100000000006</v>
      </c>
      <c r="BC87" s="17">
        <f t="shared" si="10"/>
        <v>572.19500000000005</v>
      </c>
      <c r="BD87" s="17">
        <f t="shared" si="11"/>
        <v>572.35699999999997</v>
      </c>
    </row>
    <row r="88" spans="1:56" x14ac:dyDescent="0.35">
      <c r="A88" t="s">
        <v>437</v>
      </c>
      <c r="B88" s="3" t="s">
        <v>861</v>
      </c>
      <c r="C88" t="s">
        <v>10</v>
      </c>
      <c r="D88" s="17"/>
      <c r="E88" s="17">
        <f>INDEX(AEO21_Table_22._Comm_Sector_Ene!$F$8:$AK$81,MATCH($A88,AEO21_Table_22._Comm_Sector_Ene!$C$8:$C$81,0),MATCH(E$82,AEO21_Table_22._Comm_Sector_Ene!$F$5:$AK$5,0))*gigwatt_to_megawatt</f>
        <v>15855.377</v>
      </c>
      <c r="F88" s="19">
        <f t="shared" si="12"/>
        <v>19319.994199999608</v>
      </c>
      <c r="G88" s="19">
        <f>AEO23_table_22._Comm!F61*gigwatt_to_megawatt</f>
        <v>22491.291000000001</v>
      </c>
      <c r="H88" s="19">
        <f>AEO23_table_22._Comm!G61*gigwatt_to_megawatt</f>
        <v>26815.535</v>
      </c>
      <c r="I88" s="19">
        <f>AEO23_table_22._Comm!H61*gigwatt_to_megawatt</f>
        <v>30254.023000000001</v>
      </c>
      <c r="J88" s="19">
        <f>AEO23_table_22._Comm!I61*gigwatt_to_megawatt</f>
        <v>33178.463000000003</v>
      </c>
      <c r="K88" s="19">
        <f>AEO23_table_22._Comm!J61*gigwatt_to_megawatt</f>
        <v>34785.682999999997</v>
      </c>
      <c r="L88" s="19">
        <f>AEO23_table_22._Comm!K61*gigwatt_to_megawatt</f>
        <v>36654.330999999998</v>
      </c>
      <c r="M88" s="19">
        <f>AEO23_table_22._Comm!L61*gigwatt_to_megawatt</f>
        <v>38291.962</v>
      </c>
      <c r="N88" s="19">
        <f>AEO23_table_22._Comm!M61*gigwatt_to_megawatt</f>
        <v>40837.508999999998</v>
      </c>
      <c r="O88" s="19">
        <f>AEO23_table_22._Comm!N61*gigwatt_to_megawatt</f>
        <v>42625.346999999994</v>
      </c>
      <c r="P88" s="19">
        <f>AEO23_table_22._Comm!O61*gigwatt_to_megawatt</f>
        <v>44444</v>
      </c>
      <c r="Q88" s="19">
        <f>AEO23_table_22._Comm!P61*gigwatt_to_megawatt</f>
        <v>46077.877</v>
      </c>
      <c r="R88" s="19">
        <f>AEO23_table_22._Comm!Q61*gigwatt_to_megawatt</f>
        <v>48438.850000000006</v>
      </c>
      <c r="S88" s="19">
        <f>AEO23_table_22._Comm!R61*gigwatt_to_megawatt</f>
        <v>51029.842000000004</v>
      </c>
      <c r="T88" s="19">
        <f>AEO23_table_22._Comm!S61*gigwatt_to_megawatt</f>
        <v>52509.289000000004</v>
      </c>
      <c r="U88" s="19">
        <f>AEO23_table_22._Comm!T61*gigwatt_to_megawatt</f>
        <v>55255.535000000003</v>
      </c>
      <c r="V88" s="19">
        <f>AEO23_table_22._Comm!U61*gigwatt_to_megawatt</f>
        <v>56865.172999999995</v>
      </c>
      <c r="W88" s="19">
        <f>AEO23_table_22._Comm!V61*gigwatt_to_megawatt</f>
        <v>59174.522000000004</v>
      </c>
      <c r="X88" s="19">
        <f>AEO23_table_22._Comm!W61*gigwatt_to_megawatt</f>
        <v>61338.108</v>
      </c>
      <c r="Y88" s="19">
        <f>AEO23_table_22._Comm!X61*gigwatt_to_megawatt</f>
        <v>63244.408000000003</v>
      </c>
      <c r="Z88" s="19">
        <f>AEO23_table_22._Comm!Y61*gigwatt_to_megawatt</f>
        <v>64905.724000000009</v>
      </c>
      <c r="AA88" s="19">
        <f>AEO23_table_22._Comm!Z61*gigwatt_to_megawatt</f>
        <v>66276.016000000003</v>
      </c>
      <c r="AB88" s="19">
        <f>AEO23_table_22._Comm!AA61*gigwatt_to_megawatt</f>
        <v>67472.403999999995</v>
      </c>
      <c r="AC88" s="19">
        <f>AEO23_table_22._Comm!AB61*gigwatt_to_megawatt</f>
        <v>68558.64</v>
      </c>
      <c r="AD88" s="19">
        <f>AEO23_table_22._Comm!AC61*gigwatt_to_megawatt</f>
        <v>69653.053</v>
      </c>
      <c r="AE88" s="19">
        <f>AEO23_table_22._Comm!AD61*gigwatt_to_megawatt</f>
        <v>71534.721000000005</v>
      </c>
      <c r="AF88" s="19">
        <f>AEO23_table_22._Comm!AE61*gigwatt_to_megawatt</f>
        <v>72148.804000000004</v>
      </c>
      <c r="AG88" s="19">
        <f>AEO23_table_22._Comm!AF61*gigwatt_to_megawatt</f>
        <v>73245.368999999992</v>
      </c>
      <c r="AH88" s="19">
        <f>AEO23_table_22._Comm!AG61*gigwatt_to_megawatt</f>
        <v>73763.748000000007</v>
      </c>
      <c r="AI88" s="19">
        <f>AEO23_table_22._Comm!AH61*gigwatt_to_megawatt</f>
        <v>74117.523000000001</v>
      </c>
      <c r="AW88" t="s">
        <v>10</v>
      </c>
      <c r="AX88" s="17">
        <f>E88</f>
        <v>15855.377</v>
      </c>
      <c r="AY88" s="17">
        <f t="shared" si="6"/>
        <v>33178.463000000003</v>
      </c>
      <c r="AZ88" s="17">
        <f t="shared" si="7"/>
        <v>42625.346999999994</v>
      </c>
      <c r="BA88" s="17">
        <f t="shared" si="8"/>
        <v>52509.289000000004</v>
      </c>
      <c r="BB88" s="17">
        <f t="shared" si="9"/>
        <v>63244.408000000003</v>
      </c>
      <c r="BC88" s="17">
        <f t="shared" si="10"/>
        <v>69653.053</v>
      </c>
      <c r="BD88" s="17">
        <f t="shared" si="11"/>
        <v>74117.523000000001</v>
      </c>
    </row>
    <row r="89" spans="1:56" x14ac:dyDescent="0.3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3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3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35">
      <c r="A92" t="s">
        <v>433</v>
      </c>
      <c r="B92" s="3" t="s">
        <v>857</v>
      </c>
      <c r="C92" t="s">
        <v>14</v>
      </c>
      <c r="D92" s="17"/>
      <c r="E92" s="17">
        <f>INDEX(AEO21_Table_22._Comm_Sector_Ene!$F$8:$AK$81,MATCH($A92,AEO21_Table_22._Comm_Sector_Ene!$C$8:$C$81,0),MATCH(E$82,AEO21_Table_22._Comm_Sector_Ene!$F$5:$AK$5,0))*gigwatt_to_megawatt</f>
        <v>17.117000000000001</v>
      </c>
      <c r="F92" s="19">
        <f t="shared" ref="F92:I92" si="18">_xlfn.FORECAST.LINEAR(F$82,$AX92:$AY92,$AX$82:$AY$82)</f>
        <v>16.104200000000219</v>
      </c>
      <c r="G92" s="19">
        <f t="shared" si="18"/>
        <v>15.091400000000021</v>
      </c>
      <c r="H92" s="19">
        <f t="shared" si="18"/>
        <v>14.078600000000279</v>
      </c>
      <c r="I92" s="19">
        <f t="shared" si="18"/>
        <v>13.065800000000309</v>
      </c>
      <c r="J92" s="17">
        <f>INDEX(AEO22_Table_22._Comm_Sector_Ene!$F$8:$AJ$81,MATCH($B92,AEO22_Table_22._Comm_Sector_Ene!$C$8:$C$81,0),MATCH(J$82,AEO22_Table_22._Comm_Sector_Ene!$F$5:$AJ$5,0))*gigwatt_to_megawatt</f>
        <v>12.052999999999999</v>
      </c>
      <c r="K92" s="19">
        <f>_xlfn.FORECAST.LINEAR(K$82,$AY92:$AZ92,$AY$82:$AZ$82)</f>
        <v>12.052999999999999</v>
      </c>
      <c r="L92" s="19">
        <f t="shared" ref="L92:N92" si="19">_xlfn.FORECAST.LINEAR(L$82,$AY92:$AZ92,$AY$82:$AZ$82)</f>
        <v>12.052999999999999</v>
      </c>
      <c r="M92" s="19">
        <f t="shared" si="19"/>
        <v>12.052999999999999</v>
      </c>
      <c r="N92" s="19">
        <f t="shared" si="19"/>
        <v>12.052999999999999</v>
      </c>
      <c r="O92" s="17">
        <f>INDEX(AEO22_Table_22._Comm_Sector_Ene!$F$8:$AJ$81,MATCH($B92,AEO22_Table_22._Comm_Sector_Ene!$C$8:$C$81,0),MATCH(O$82,AEO22_Table_22._Comm_Sector_Ene!$F$5:$AJ$5,0))*gigwatt_to_megawatt</f>
        <v>12.052999999999999</v>
      </c>
      <c r="P92" s="19">
        <f>_xlfn.FORECAST.LINEAR(P$82,$AZ92:$BA92,$AZ$82:$BA$82)</f>
        <v>12.052999999999999</v>
      </c>
      <c r="Q92" s="19">
        <f t="shared" ref="Q92:S92" si="20">_xlfn.FORECAST.LINEAR(Q$82,$AZ92:$BA92,$AZ$82:$BA$82)</f>
        <v>12.052999999999999</v>
      </c>
      <c r="R92" s="19">
        <f t="shared" si="20"/>
        <v>12.052999999999999</v>
      </c>
      <c r="S92" s="19">
        <f t="shared" si="20"/>
        <v>12.052999999999999</v>
      </c>
      <c r="T92" s="17">
        <f>INDEX(AEO22_Table_22._Comm_Sector_Ene!$F$8:$AJ$81,MATCH($B92,AEO22_Table_22._Comm_Sector_Ene!$C$8:$C$81,0),MATCH(T$82,AEO22_Table_22._Comm_Sector_Ene!$F$5:$AJ$5,0))*gigwatt_to_megawatt</f>
        <v>12.052999999999999</v>
      </c>
      <c r="U92" s="19">
        <f>_xlfn.FORECAST.LINEAR(U$82,$BA92:$BB92,$BA$82:$BB$82)</f>
        <v>12.052999999999999</v>
      </c>
      <c r="V92" s="19">
        <f t="shared" ref="V92:X92" si="21">_xlfn.FORECAST.LINEAR(V$82,$BA92:$BB92,$BA$82:$BB$82)</f>
        <v>12.052999999999999</v>
      </c>
      <c r="W92" s="19">
        <f t="shared" si="21"/>
        <v>12.052999999999999</v>
      </c>
      <c r="X92" s="19">
        <f t="shared" si="21"/>
        <v>12.052999999999999</v>
      </c>
      <c r="Y92" s="17">
        <f>INDEX(AEO22_Table_22._Comm_Sector_Ene!$F$8:$AJ$81,MATCH($B92,AEO22_Table_22._Comm_Sector_Ene!$C$8:$C$81,0),MATCH(Y$82,AEO22_Table_22._Comm_Sector_Ene!$F$5:$AJ$5,0))*gigwatt_to_megawatt</f>
        <v>12.052999999999999</v>
      </c>
      <c r="Z92" s="19">
        <f>_xlfn.FORECAST.LINEAR(Z$82,$BB92:$BC92,$BB$82:$BC$82)</f>
        <v>12.052999999999999</v>
      </c>
      <c r="AA92" s="19">
        <f t="shared" ref="AA92:AC92" si="22">_xlfn.FORECAST.LINEAR(AA$82,$BB92:$BC92,$BB$82:$BC$82)</f>
        <v>12.052999999999999</v>
      </c>
      <c r="AB92" s="19">
        <f t="shared" si="22"/>
        <v>12.052999999999999</v>
      </c>
      <c r="AC92" s="19">
        <f t="shared" si="22"/>
        <v>12.052999999999999</v>
      </c>
      <c r="AD92" s="17">
        <f>INDEX(AEO22_Table_22._Comm_Sector_Ene!$F$8:$AJ$81,MATCH($B92,AEO22_Table_22._Comm_Sector_Ene!$C$8:$C$81,0),MATCH(AD$82,AEO22_Table_22._Comm_Sector_Ene!$F$5:$AJ$5,0))*gigwatt_to_megawatt</f>
        <v>12.052999999999999</v>
      </c>
      <c r="AE92" s="19">
        <f>_xlfn.FORECAST.LINEAR(AE$82,$BC92:$BD92,$BC$82:$BD$82)</f>
        <v>12.052999999999999</v>
      </c>
      <c r="AF92" s="19">
        <f t="shared" ref="AF92:AH92" si="23">_xlfn.FORECAST.LINEAR(AF$82,$BC92:$BD92,$BC$82:$BD$82)</f>
        <v>12.052999999999999</v>
      </c>
      <c r="AG92" s="19">
        <f t="shared" si="23"/>
        <v>12.052999999999999</v>
      </c>
      <c r="AH92" s="19">
        <f t="shared" si="23"/>
        <v>12.052999999999999</v>
      </c>
      <c r="AI92" s="17">
        <f>INDEX(AEO22_Table_22._Comm_Sector_Ene!$F$8:$AJ$81,MATCH($B92,AEO22_Table_22._Comm_Sector_Ene!$C$8:$C$81,0),MATCH(AI$82,AEO22_Table_22._Comm_Sector_Ene!$F$5:$AJ$5,0))*gigwatt_to_megawatt</f>
        <v>12.052999999999999</v>
      </c>
      <c r="AW92" t="s">
        <v>14</v>
      </c>
      <c r="AX92" s="17">
        <f>E92</f>
        <v>17.117000000000001</v>
      </c>
      <c r="AY92" s="17">
        <f t="shared" si="6"/>
        <v>12.052999999999999</v>
      </c>
      <c r="AZ92" s="17">
        <f t="shared" si="7"/>
        <v>12.052999999999999</v>
      </c>
      <c r="BA92" s="17">
        <f t="shared" si="8"/>
        <v>12.052999999999999</v>
      </c>
      <c r="BB92" s="17">
        <f t="shared" si="9"/>
        <v>12.052999999999999</v>
      </c>
      <c r="BC92" s="17">
        <f t="shared" si="10"/>
        <v>12.052999999999999</v>
      </c>
      <c r="BD92" s="17">
        <f t="shared" si="11"/>
        <v>12.052999999999999</v>
      </c>
    </row>
    <row r="93" spans="1:56" x14ac:dyDescent="0.3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3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3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3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3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3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3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35">
      <c r="B100" s="18" t="s">
        <v>174</v>
      </c>
    </row>
    <row r="101" spans="1:56" x14ac:dyDescent="0.35">
      <c r="B101" s="1" t="s">
        <v>167</v>
      </c>
      <c r="F101" s="20" t="s">
        <v>176</v>
      </c>
    </row>
    <row r="102" spans="1:56" x14ac:dyDescent="0.3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3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35">
      <c r="A104" t="s">
        <v>448</v>
      </c>
      <c r="B104" s="3" t="s">
        <v>871</v>
      </c>
      <c r="C104" t="s">
        <v>7</v>
      </c>
      <c r="D104" s="17"/>
      <c r="E104" s="17">
        <f>INDEX(AEO21_Table_22._Comm_Sector_Ene!$F$8:$AK$81,MATCH($A104,AEO21_Table_22._Comm_Sector_Ene!$C$8:$C$81,0),MATCH(E$102,AEO21_Table_22._Comm_Sector_Ene!$F$5:$AK$5,0))*billion_kw_to_MW</f>
        <v>9605634</v>
      </c>
      <c r="F104" s="19">
        <f t="shared" ref="F104:I104" si="24">_xlfn.FORECAST.LINEAR(F$82,$AX104:$AY104,$AX$82:$AY$82)</f>
        <v>9660717.8000000119</v>
      </c>
      <c r="G104" s="19">
        <f t="shared" si="24"/>
        <v>9715801.6000000089</v>
      </c>
      <c r="H104" s="19">
        <f t="shared" si="24"/>
        <v>9770885.400000006</v>
      </c>
      <c r="I104" s="19">
        <f t="shared" si="24"/>
        <v>9825969.200000003</v>
      </c>
      <c r="J104" s="17">
        <f>INDEX(AEO22_Table_22._Comm_Sector_Ene!$F$8:$AJ$81,MATCH($B104,AEO22_Table_22._Comm_Sector_Ene!$C$8:$C$81,0),MATCH(J$102,AEO22_Table_22._Comm_Sector_Ene!$F$5:$AJ$5,0))*billion_kw_to_MW</f>
        <v>9881053</v>
      </c>
      <c r="K104" s="19">
        <f>_xlfn.FORECAST.LINEAR(K$82,$AY104:$AZ104,$AY$102:$AZ$102)</f>
        <v>9990912.8000000119</v>
      </c>
      <c r="L104" s="19">
        <f t="shared" ref="L104:N104" si="25">_xlfn.FORECAST.LINEAR(L$82,$AY104:$AZ104,$AY$102:$AZ$102)</f>
        <v>10100772.599999994</v>
      </c>
      <c r="M104" s="19">
        <f t="shared" si="25"/>
        <v>10210632.400000006</v>
      </c>
      <c r="N104" s="19">
        <f t="shared" si="25"/>
        <v>10320492.200000018</v>
      </c>
      <c r="O104" s="17">
        <f>INDEX(AEO22_Table_22._Comm_Sector_Ene!$F$8:$AJ$81,MATCH($B104,AEO22_Table_22._Comm_Sector_Ene!$C$8:$C$81,0),MATCH(O$102,AEO22_Table_22._Comm_Sector_Ene!$F$5:$AJ$5,0))*billion_kw_to_MW</f>
        <v>10430352</v>
      </c>
      <c r="P104" s="19">
        <f>_xlfn.FORECAST.LINEAR(P$82,$AZ104:$BA104,$AZ$102:$BA$102)</f>
        <v>10536265.199999988</v>
      </c>
      <c r="Q104" s="19">
        <f t="shared" ref="Q104:S104" si="26">_xlfn.FORECAST.LINEAR(Q$82,$AZ104:$BA104,$AZ$102:$BA$102)</f>
        <v>10642178.400000006</v>
      </c>
      <c r="R104" s="19">
        <f t="shared" si="26"/>
        <v>10748091.599999994</v>
      </c>
      <c r="S104" s="19">
        <f t="shared" si="26"/>
        <v>10854004.799999982</v>
      </c>
      <c r="T104" s="17">
        <f>INDEX(AEO22_Table_22._Comm_Sector_Ene!$F$8:$AJ$81,MATCH($B104,AEO22_Table_22._Comm_Sector_Ene!$C$8:$C$81,0),MATCH(T$102,AEO22_Table_22._Comm_Sector_Ene!$F$5:$AJ$5,0))*billion_kw_to_MW</f>
        <v>10959918</v>
      </c>
      <c r="U104" s="19">
        <f>_xlfn.FORECAST.LINEAR(U$82,$BA104:$BB104,$BA$102:$BB$102)</f>
        <v>11060111.199999988</v>
      </c>
      <c r="V104" s="19">
        <f t="shared" ref="V104:X104" si="27">_xlfn.FORECAST.LINEAR(V$82,$BA104:$BB104,$BA$102:$BB$102)</f>
        <v>11160304.400000006</v>
      </c>
      <c r="W104" s="19">
        <f t="shared" si="27"/>
        <v>11260497.599999994</v>
      </c>
      <c r="X104" s="19">
        <f t="shared" si="27"/>
        <v>11360690.799999982</v>
      </c>
      <c r="Y104" s="17">
        <f>INDEX(AEO22_Table_22._Comm_Sector_Ene!$F$8:$AJ$81,MATCH($B104,AEO22_Table_22._Comm_Sector_Ene!$C$8:$C$81,0),MATCH(Y$102,AEO22_Table_22._Comm_Sector_Ene!$F$5:$AJ$5,0))*billion_kw_to_MW</f>
        <v>11460884</v>
      </c>
      <c r="Z104" s="19">
        <f>_xlfn.FORECAST.LINEAR(Z$82,$BB104:$BC104,$BB$102:$BC$102)</f>
        <v>11566549.199999988</v>
      </c>
      <c r="AA104" s="19">
        <f t="shared" ref="AA104:AC104" si="28">_xlfn.FORECAST.LINEAR(AA$82,$BB104:$BC104,$BB$102:$BC$102)</f>
        <v>11672214.400000006</v>
      </c>
      <c r="AB104" s="19">
        <f t="shared" si="28"/>
        <v>11777879.599999994</v>
      </c>
      <c r="AC104" s="19">
        <f t="shared" si="28"/>
        <v>11883544.799999982</v>
      </c>
      <c r="AD104" s="17">
        <f>INDEX(AEO22_Table_22._Comm_Sector_Ene!$F$8:$AJ$81,MATCH($B104,AEO22_Table_22._Comm_Sector_Ene!$C$8:$C$81,0),MATCH(AD$102,AEO22_Table_22._Comm_Sector_Ene!$F$5:$AJ$5,0))*billion_kw_to_MW</f>
        <v>11989210</v>
      </c>
      <c r="AE104" s="19">
        <f>_xlfn.FORECAST.LINEAR(AE$82,$BC104:$BD104,$BC$102:$BD$102)</f>
        <v>12078878.800000012</v>
      </c>
      <c r="AF104" s="19">
        <f t="shared" ref="AF104:AH104" si="29">_xlfn.FORECAST.LINEAR(AF$82,$BC104:$BD104,$BC$102:$BD$102)</f>
        <v>12168547.599999994</v>
      </c>
      <c r="AG104" s="19">
        <f t="shared" si="29"/>
        <v>12258216.400000006</v>
      </c>
      <c r="AH104" s="19">
        <f t="shared" si="29"/>
        <v>12347885.200000018</v>
      </c>
      <c r="AI104" s="17">
        <f>INDEX(AEO22_Table_22._Comm_Sector_Ene!$F$8:$AJ$81,MATCH($B104,AEO22_Table_22._Comm_Sector_Ene!$C$8:$C$81,0),MATCH(AI$102,AEO22_Table_22._Comm_Sector_Ene!$F$5:$AJ$5,0))*billion_kw_to_MW</f>
        <v>12437554</v>
      </c>
      <c r="AW104" t="s">
        <v>7</v>
      </c>
      <c r="AX104" s="17">
        <f>E104</f>
        <v>9605634</v>
      </c>
      <c r="AY104" s="17">
        <f>J104</f>
        <v>9881053</v>
      </c>
      <c r="AZ104" s="17">
        <f>O104</f>
        <v>10430352</v>
      </c>
      <c r="BA104" s="17">
        <f>T104</f>
        <v>10959918</v>
      </c>
      <c r="BB104" s="17">
        <f>Y104</f>
        <v>11460884</v>
      </c>
      <c r="BC104" s="17">
        <f>AD104</f>
        <v>11989210</v>
      </c>
      <c r="BD104" s="17">
        <f>AI104</f>
        <v>12437554</v>
      </c>
    </row>
    <row r="105" spans="1:56" x14ac:dyDescent="0.3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3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35">
      <c r="A107" t="s">
        <v>452</v>
      </c>
      <c r="B107" s="3" t="s">
        <v>875</v>
      </c>
      <c r="C107" t="s">
        <v>59</v>
      </c>
      <c r="D107" s="17"/>
      <c r="E107" s="17">
        <f>INDEX(AEO21_Table_22._Comm_Sector_Ene!$F$8:$AK$81,MATCH($A107,AEO21_Table_22._Comm_Sector_Ene!$C$8:$C$81,0),MATCH(E$102,AEO21_Table_22._Comm_Sector_Ene!$F$5:$AK$5,0))*billion_kw_to_MW</f>
        <v>755308</v>
      </c>
      <c r="F107" s="19">
        <f t="shared" ref="F107:I108" si="30">_xlfn.FORECAST.LINEAR(F$82,$AX107:$AY107,$AX$82:$AY$82)</f>
        <v>756853.20000000019</v>
      </c>
      <c r="G107" s="19">
        <f t="shared" si="30"/>
        <v>758398.39999999991</v>
      </c>
      <c r="H107" s="19">
        <f t="shared" si="30"/>
        <v>759943.60000000009</v>
      </c>
      <c r="I107" s="19">
        <f t="shared" si="30"/>
        <v>761488.80000000028</v>
      </c>
      <c r="J107" s="17">
        <f>INDEX(AEO22_Table_22._Comm_Sector_Ene!$F$8:$AJ$81,MATCH($B107,AEO22_Table_22._Comm_Sector_Ene!$C$8:$C$81,0),MATCH(Calculations!J$102,AEO22_Table_22._Comm_Sector_Ene!$F$5:$AJ$5,0))*billion_kw_to_MW</f>
        <v>763034</v>
      </c>
      <c r="K107" s="19">
        <f>_xlfn.FORECAST.LINEAR(K$82,$AY107:$AZ107,$AY$102:$AZ$102)</f>
        <v>764193.79999999981</v>
      </c>
      <c r="L107" s="19">
        <f t="shared" ref="L107:N108" si="31">_xlfn.FORECAST.LINEAR(L$82,$AY107:$AZ107,$AY$102:$AZ$102)</f>
        <v>765353.60000000009</v>
      </c>
      <c r="M107" s="19">
        <f t="shared" si="31"/>
        <v>766513.39999999991</v>
      </c>
      <c r="N107" s="19">
        <f t="shared" si="31"/>
        <v>767673.19999999972</v>
      </c>
      <c r="O107" s="17">
        <f>INDEX(AEO22_Table_22._Comm_Sector_Ene!$F$8:$AJ$81,MATCH($B107,AEO22_Table_22._Comm_Sector_Ene!$C$8:$C$81,0),MATCH(O$102,AEO22_Table_22._Comm_Sector_Ene!$F$5:$AJ$5,0))*billion_kw_to_MW</f>
        <v>768833</v>
      </c>
      <c r="P107" s="19">
        <f>_xlfn.FORECAST.LINEAR(P$82,$AZ107:$BA107,$AZ$102:$BA$102)</f>
        <v>770258.59999999963</v>
      </c>
      <c r="Q107" s="19">
        <f t="shared" ref="Q107:S108" si="32">_xlfn.FORECAST.LINEAR(Q$82,$AZ107:$BA107,$AZ$102:$BA$102)</f>
        <v>771684.19999999972</v>
      </c>
      <c r="R107" s="19">
        <f t="shared" si="32"/>
        <v>773109.79999999981</v>
      </c>
      <c r="S107" s="19">
        <f t="shared" si="32"/>
        <v>774535.39999999991</v>
      </c>
      <c r="T107" s="17">
        <f>INDEX(AEO22_Table_22._Comm_Sector_Ene!$F$8:$AJ$81,MATCH($B107,AEO22_Table_22._Comm_Sector_Ene!$C$8:$C$81,0),MATCH(T$102,AEO22_Table_22._Comm_Sector_Ene!$F$5:$AJ$5,0))*billion_kw_to_MW</f>
        <v>775961</v>
      </c>
      <c r="U107" s="19">
        <f>_xlfn.FORECAST.LINEAR(U$82,$BA107:$BB107,$BA$102:$BB$102)</f>
        <v>776590.39999999991</v>
      </c>
      <c r="V107" s="19">
        <f t="shared" ref="V107:X107" si="33">_xlfn.FORECAST.LINEAR(V$82,$BA107:$BB107,$BA$102:$BB$102)</f>
        <v>777219.8</v>
      </c>
      <c r="W107" s="19">
        <f t="shared" si="33"/>
        <v>777849.2</v>
      </c>
      <c r="X107" s="19">
        <f t="shared" si="33"/>
        <v>778478.59999999986</v>
      </c>
      <c r="Y107" s="17">
        <f>INDEX(AEO22_Table_22._Comm_Sector_Ene!$F$8:$AJ$81,MATCH($B107,AEO22_Table_22._Comm_Sector_Ene!$C$8:$C$81,0),MATCH(Y$102,AEO22_Table_22._Comm_Sector_Ene!$F$5:$AJ$5,0))*billion_kw_to_MW</f>
        <v>779108</v>
      </c>
      <c r="Z107" s="19">
        <f>_xlfn.FORECAST.LINEAR(Z$82,$BB107:$BC107,$BB$102:$BC$102)</f>
        <v>780136</v>
      </c>
      <c r="AA107" s="19">
        <f t="shared" ref="AA107:AC108" si="34">_xlfn.FORECAST.LINEAR(AA$82,$BB107:$BC107,$BB$102:$BC$102)</f>
        <v>781164</v>
      </c>
      <c r="AB107" s="19">
        <f t="shared" si="34"/>
        <v>782192</v>
      </c>
      <c r="AC107" s="19">
        <f t="shared" si="34"/>
        <v>783220</v>
      </c>
      <c r="AD107" s="17">
        <f>INDEX(AEO22_Table_22._Comm_Sector_Ene!$F$8:$AJ$81,MATCH($B107,AEO22_Table_22._Comm_Sector_Ene!$C$8:$C$81,0),MATCH(AD$102,AEO22_Table_22._Comm_Sector_Ene!$F$5:$AJ$5,0))*billion_kw_to_MW</f>
        <v>784248</v>
      </c>
      <c r="AE107" s="19">
        <f>_xlfn.FORECAST.LINEAR(AE$82,$BC107:$BD107,$BC$102:$BD$102)</f>
        <v>784301.6</v>
      </c>
      <c r="AF107" s="19">
        <f t="shared" ref="AF107:AH108" si="35">_xlfn.FORECAST.LINEAR(AF$82,$BC107:$BD107,$BC$102:$BD$102)</f>
        <v>784355.2</v>
      </c>
      <c r="AG107" s="19">
        <f t="shared" si="35"/>
        <v>784408.8</v>
      </c>
      <c r="AH107" s="19">
        <f t="shared" si="35"/>
        <v>784462.4</v>
      </c>
      <c r="AI107" s="17">
        <f>INDEX(AEO22_Table_22._Comm_Sector_Ene!$F$8:$AJ$81,MATCH($B107,AEO22_Table_22._Comm_Sector_Ene!$C$8:$C$81,0),MATCH(AI$102,AEO22_Table_22._Comm_Sector_Ene!$F$5:$AJ$5,0))*billion_kw_to_MW</f>
        <v>784516</v>
      </c>
      <c r="AW107" t="s">
        <v>59</v>
      </c>
      <c r="AX107" s="17">
        <f>E107</f>
        <v>755308</v>
      </c>
      <c r="AY107" s="17">
        <f>J107</f>
        <v>763034</v>
      </c>
      <c r="AZ107" s="17">
        <f>O107</f>
        <v>768833</v>
      </c>
      <c r="BA107" s="17">
        <f>T107</f>
        <v>775961</v>
      </c>
      <c r="BB107" s="17">
        <f>Y107</f>
        <v>779108</v>
      </c>
      <c r="BC107" s="17">
        <f>AD107</f>
        <v>784248</v>
      </c>
      <c r="BD107" s="17">
        <f>AI107</f>
        <v>784516</v>
      </c>
    </row>
    <row r="108" spans="1:56" x14ac:dyDescent="0.35">
      <c r="A108" t="s">
        <v>450</v>
      </c>
      <c r="B108" s="3" t="s">
        <v>873</v>
      </c>
      <c r="C108" t="s">
        <v>10</v>
      </c>
      <c r="D108" s="17"/>
      <c r="E108" s="17">
        <f>INDEX(AEO21_Table_22._Comm_Sector_Ene!$F$8:$AK$81,MATCH($A108,AEO21_Table_22._Comm_Sector_Ene!$C$8:$C$81,0),MATCH(E$102,AEO21_Table_22._Comm_Sector_Ene!$F$5:$AK$5,0))*billion_kw_to_MW</f>
        <v>20024660</v>
      </c>
      <c r="F108" s="19">
        <f t="shared" si="30"/>
        <v>23193289.799999237</v>
      </c>
      <c r="G108" s="19">
        <f t="shared" si="30"/>
        <v>26361919.599999428</v>
      </c>
      <c r="H108" s="19">
        <f t="shared" si="30"/>
        <v>29530549.399999619</v>
      </c>
      <c r="I108" s="19">
        <f t="shared" si="30"/>
        <v>32699179.199999809</v>
      </c>
      <c r="J108" s="17">
        <f>INDEX(AEO22_Table_22._Comm_Sector_Ene!$F$8:$AJ$81,MATCH($B108,AEO22_Table_22._Comm_Sector_Ene!$C$8:$C$81,0),MATCH(J$102,AEO22_Table_22._Comm_Sector_Ene!$F$5:$AJ$5,0))*billion_kw_to_MW</f>
        <v>35867809</v>
      </c>
      <c r="K108" s="19">
        <f>_xlfn.FORECAST.LINEAR(K$82,$AY108:$AZ108,$AY$102:$AZ$102)</f>
        <v>37785974.600000381</v>
      </c>
      <c r="L108" s="19">
        <f t="shared" si="31"/>
        <v>39704140.200000286</v>
      </c>
      <c r="M108" s="19">
        <f t="shared" si="31"/>
        <v>41622305.800000191</v>
      </c>
      <c r="N108" s="19">
        <f t="shared" si="31"/>
        <v>43540471.400000095</v>
      </c>
      <c r="O108" s="17">
        <f>INDEX(AEO22_Table_22._Comm_Sector_Ene!$F$8:$AJ$81,MATCH($B108,AEO22_Table_22._Comm_Sector_Ene!$C$8:$C$81,0),MATCH(O$102,AEO22_Table_22._Comm_Sector_Ene!$F$5:$AJ$5,0))*billion_kw_to_MW</f>
        <v>45458637</v>
      </c>
      <c r="P108" s="19">
        <f>_xlfn.FORECAST.LINEAR(P$82,$AZ108:$BA108,$AZ$102:$BA$102)</f>
        <v>46740126.600000381</v>
      </c>
      <c r="Q108" s="19">
        <f t="shared" si="32"/>
        <v>48021616.200000286</v>
      </c>
      <c r="R108" s="19">
        <f t="shared" si="32"/>
        <v>49303105.800000191</v>
      </c>
      <c r="S108" s="19">
        <f t="shared" si="32"/>
        <v>50584595.400000095</v>
      </c>
      <c r="T108" s="17">
        <f>INDEX(AEO22_Table_22._Comm_Sector_Ene!$F$8:$AJ$81,MATCH($B108,AEO22_Table_22._Comm_Sector_Ene!$C$8:$C$81,0),MATCH(T$102,AEO22_Table_22._Comm_Sector_Ene!$F$5:$AJ$5,0))*billion_kw_to_MW</f>
        <v>51866085</v>
      </c>
      <c r="U108" s="19">
        <f>_xlfn.FORECAST.LINEAR(U$82,$BA108:$BB108,$BA$102:$BB$102)</f>
        <v>53801245.800000191</v>
      </c>
      <c r="V108" s="19">
        <f t="shared" ref="V108:X108" si="36">_xlfn.FORECAST.LINEAR(V$82,$BA108:$BB108,$BA$102:$BB$102)</f>
        <v>55736406.599999905</v>
      </c>
      <c r="W108" s="19">
        <f t="shared" si="36"/>
        <v>57671567.400000095</v>
      </c>
      <c r="X108" s="19">
        <f t="shared" si="36"/>
        <v>59606728.200000286</v>
      </c>
      <c r="Y108" s="17">
        <f>INDEX(AEO22_Table_22._Comm_Sector_Ene!$F$8:$AJ$81,MATCH($B108,AEO22_Table_22._Comm_Sector_Ene!$C$8:$C$81,0),MATCH(Y$102,AEO22_Table_22._Comm_Sector_Ene!$F$5:$AJ$5,0))*billion_kw_to_MW</f>
        <v>61541889</v>
      </c>
      <c r="Z108" s="19">
        <f>_xlfn.FORECAST.LINEAR(Z$82,$BB108:$BC108,$BB$102:$BC$102)</f>
        <v>63830111.600000381</v>
      </c>
      <c r="AA108" s="19">
        <f t="shared" si="34"/>
        <v>66118334.199999809</v>
      </c>
      <c r="AB108" s="19">
        <f t="shared" si="34"/>
        <v>68406556.800000191</v>
      </c>
      <c r="AC108" s="19">
        <f t="shared" si="34"/>
        <v>70694779.400000572</v>
      </c>
      <c r="AD108" s="17">
        <f>INDEX(AEO22_Table_22._Comm_Sector_Ene!$F$8:$AJ$81,MATCH($B108,AEO22_Table_22._Comm_Sector_Ene!$C$8:$C$81,0),MATCH(AD$102,AEO22_Table_22._Comm_Sector_Ene!$F$5:$AJ$5,0))*billion_kw_to_MW</f>
        <v>72983002</v>
      </c>
      <c r="AE108" s="19">
        <f>_xlfn.FORECAST.LINEAR(AE$82,$BC108:$BD108,$BC$102:$BD$102)</f>
        <v>75295129.600000381</v>
      </c>
      <c r="AF108" s="19">
        <f t="shared" si="35"/>
        <v>77607257.199999809</v>
      </c>
      <c r="AG108" s="19">
        <f t="shared" si="35"/>
        <v>79919384.800000191</v>
      </c>
      <c r="AH108" s="19">
        <f t="shared" si="35"/>
        <v>82231512.400000572</v>
      </c>
      <c r="AI108" s="17">
        <f>INDEX(AEO22_Table_22._Comm_Sector_Ene!$F$8:$AJ$81,MATCH($B108,AEO22_Table_22._Comm_Sector_Ene!$C$8:$C$81,0),MATCH(AI$102,AEO22_Table_22._Comm_Sector_Ene!$F$5:$AJ$5,0))*billion_kw_to_MW</f>
        <v>84543640</v>
      </c>
      <c r="AW108" t="s">
        <v>10</v>
      </c>
      <c r="AX108" s="17">
        <f>E108</f>
        <v>20024660</v>
      </c>
      <c r="AY108" s="17">
        <f>J108</f>
        <v>35867809</v>
      </c>
      <c r="AZ108" s="17">
        <f>O108</f>
        <v>45458637</v>
      </c>
      <c r="BA108" s="17">
        <f>T108</f>
        <v>51866085</v>
      </c>
      <c r="BB108" s="17">
        <f>Y108</f>
        <v>61541889</v>
      </c>
      <c r="BC108" s="17">
        <f>AD108</f>
        <v>72983002</v>
      </c>
      <c r="BD108" s="17">
        <f>AI108</f>
        <v>84543640</v>
      </c>
    </row>
    <row r="109" spans="1:56" x14ac:dyDescent="0.3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3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3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35">
      <c r="A112" t="s">
        <v>446</v>
      </c>
      <c r="B112" s="3" t="s">
        <v>869</v>
      </c>
      <c r="C112" t="s">
        <v>14</v>
      </c>
      <c r="D112" s="17"/>
      <c r="E112" s="17">
        <f>INDEX(AEO21_Table_22._Comm_Sector_Ene!$F$8:$AK$81,MATCH($A112,AEO21_Table_22._Comm_Sector_Ene!$C$8:$C$81,0),MATCH(E$102,AEO21_Table_22._Comm_Sector_Ene!$F$5:$AK$5,0))*billion_kw_to_MW</f>
        <v>119388</v>
      </c>
      <c r="F112" s="19">
        <f t="shared" ref="F112:I112" si="37">_xlfn.FORECAST.LINEAR(F$82,$AX112:$AY112,$AX$82:$AY$82)</f>
        <v>112323.80000000075</v>
      </c>
      <c r="G112" s="19">
        <f t="shared" si="37"/>
        <v>105259.59999999963</v>
      </c>
      <c r="H112" s="19">
        <f t="shared" si="37"/>
        <v>98195.400000000373</v>
      </c>
      <c r="I112" s="19">
        <f t="shared" si="37"/>
        <v>91131.200000001118</v>
      </c>
      <c r="J112" s="17">
        <f>INDEX(AEO22_Table_22._Comm_Sector_Ene!$F$8:$AJ$81,MATCH($B112,AEO22_Table_22._Comm_Sector_Ene!$C$8:$C$81,0),MATCH(J$102,AEO22_Table_22._Comm_Sector_Ene!$F$5:$AJ$5,0))*billion_kw_to_MW</f>
        <v>84067</v>
      </c>
      <c r="K112" s="19">
        <f>_xlfn.FORECAST.LINEAR(K$82,$AY112:$AZ112,$AY$102:$AZ$102)</f>
        <v>84067</v>
      </c>
      <c r="L112" s="19">
        <f t="shared" ref="L112:N112" si="38">_xlfn.FORECAST.LINEAR(L$82,$AY112:$AZ112,$AY$102:$AZ$102)</f>
        <v>84067</v>
      </c>
      <c r="M112" s="19">
        <f t="shared" si="38"/>
        <v>84067</v>
      </c>
      <c r="N112" s="19">
        <f t="shared" si="38"/>
        <v>84067</v>
      </c>
      <c r="O112" s="17">
        <f>INDEX(AEO22_Table_22._Comm_Sector_Ene!$F$8:$AJ$81,MATCH($B112,AEO22_Table_22._Comm_Sector_Ene!$C$8:$C$81,0),MATCH(O$102,AEO22_Table_22._Comm_Sector_Ene!$F$5:$AJ$5,0))*billion_kw_to_MW</f>
        <v>84067</v>
      </c>
      <c r="P112" s="19">
        <f>_xlfn.FORECAST.LINEAR(P$82,$AZ112:$BA112,$AZ$102:$BA$102)</f>
        <v>84067</v>
      </c>
      <c r="Q112" s="19">
        <f t="shared" ref="Q112:S112" si="39">_xlfn.FORECAST.LINEAR(Q$82,$AZ112:$BA112,$AZ$102:$BA$102)</f>
        <v>84067</v>
      </c>
      <c r="R112" s="19">
        <f t="shared" si="39"/>
        <v>84067</v>
      </c>
      <c r="S112" s="19">
        <f t="shared" si="39"/>
        <v>84067</v>
      </c>
      <c r="T112" s="17">
        <f>INDEX(AEO22_Table_22._Comm_Sector_Ene!$F$8:$AJ$81,MATCH($B112,AEO22_Table_22._Comm_Sector_Ene!$C$8:$C$81,0),MATCH(T$102,AEO22_Table_22._Comm_Sector_Ene!$F$5:$AJ$5,0))*billion_kw_to_MW</f>
        <v>84067</v>
      </c>
      <c r="U112" s="19">
        <f>_xlfn.FORECAST.LINEAR(U$82,$BA112:$BB112,$BA$102:$BB$102)</f>
        <v>84067</v>
      </c>
      <c r="V112" s="19">
        <f t="shared" ref="V112:X112" si="40">_xlfn.FORECAST.LINEAR(V$82,$BA112:$BB112,$BA$102:$BB$102)</f>
        <v>84067</v>
      </c>
      <c r="W112" s="19">
        <f t="shared" si="40"/>
        <v>84067</v>
      </c>
      <c r="X112" s="19">
        <f t="shared" si="40"/>
        <v>84067</v>
      </c>
      <c r="Y112" s="17">
        <f>INDEX(AEO22_Table_22._Comm_Sector_Ene!$F$8:$AJ$81,MATCH($B112,AEO22_Table_22._Comm_Sector_Ene!$C$8:$C$81,0),MATCH(Y$102,AEO22_Table_22._Comm_Sector_Ene!$F$5:$AJ$5,0))*billion_kw_to_MW</f>
        <v>84067</v>
      </c>
      <c r="Z112" s="19">
        <f>_xlfn.FORECAST.LINEAR(Z$82,$BB112:$BC112,$BB$102:$BC$102)</f>
        <v>84067</v>
      </c>
      <c r="AA112" s="19">
        <f t="shared" ref="AA112:AC112" si="41">_xlfn.FORECAST.LINEAR(AA$82,$BB112:$BC112,$BB$102:$BC$102)</f>
        <v>84067</v>
      </c>
      <c r="AB112" s="19">
        <f t="shared" si="41"/>
        <v>84067</v>
      </c>
      <c r="AC112" s="19">
        <f t="shared" si="41"/>
        <v>84067</v>
      </c>
      <c r="AD112" s="17">
        <f>INDEX(AEO22_Table_22._Comm_Sector_Ene!$F$8:$AJ$81,MATCH($B112,AEO22_Table_22._Comm_Sector_Ene!$C$8:$C$81,0),MATCH(AD$102,AEO22_Table_22._Comm_Sector_Ene!$F$5:$AJ$5,0))*billion_kw_to_MW</f>
        <v>84067</v>
      </c>
      <c r="AE112" s="19">
        <f>_xlfn.FORECAST.LINEAR(AE$82,$BC112:$BD112,$BC$102:$BD$102)</f>
        <v>84067</v>
      </c>
      <c r="AF112" s="19">
        <f t="shared" ref="AF112:AH112" si="42">_xlfn.FORECAST.LINEAR(AF$82,$BC112:$BD112,$BC$102:$BD$102)</f>
        <v>84067</v>
      </c>
      <c r="AG112" s="19">
        <f t="shared" si="42"/>
        <v>84067</v>
      </c>
      <c r="AH112" s="19">
        <f t="shared" si="42"/>
        <v>84067</v>
      </c>
      <c r="AI112" s="17">
        <f>INDEX(AEO22_Table_22._Comm_Sector_Ene!$F$8:$AJ$81,MATCH($B112,AEO22_Table_22._Comm_Sector_Ene!$C$8:$C$81,0),MATCH(AI$102,AEO22_Table_22._Comm_Sector_Ene!$F$5:$AJ$5,0))*billion_kw_to_MW</f>
        <v>84067</v>
      </c>
      <c r="AW112" t="s">
        <v>14</v>
      </c>
      <c r="AX112" s="17">
        <f>E112</f>
        <v>119388</v>
      </c>
      <c r="AY112" s="17">
        <f>J112</f>
        <v>84067</v>
      </c>
      <c r="AZ112" s="17">
        <f>O112</f>
        <v>84067</v>
      </c>
      <c r="BA112" s="17">
        <f>T112</f>
        <v>84067</v>
      </c>
      <c r="BB112" s="17">
        <f>Y112</f>
        <v>84067</v>
      </c>
      <c r="BC112" s="17">
        <f>AD112</f>
        <v>84067</v>
      </c>
      <c r="BD112" s="17">
        <f>AI112</f>
        <v>84067</v>
      </c>
    </row>
    <row r="113" spans="1:56" x14ac:dyDescent="0.3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3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3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3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3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3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35">
      <c r="A121" t="s">
        <v>913</v>
      </c>
      <c r="E121" s="48">
        <f>E10/(E48*8760)</f>
        <v>0.16894106961455674</v>
      </c>
      <c r="F121" s="48">
        <f>F10/(F48*8760)</f>
        <v>0.18013879342231093</v>
      </c>
      <c r="G121" s="48">
        <f>G10/(G48*8760)</f>
        <v>0.16424673264289522</v>
      </c>
      <c r="H121" s="48">
        <f>H10/(H48*8760)</f>
        <v>0.16496216209715314</v>
      </c>
      <c r="I121" s="48">
        <f>I10/(I48*8760)</f>
        <v>0.16012551499176311</v>
      </c>
      <c r="J121" s="48">
        <f>J10/(J48*8760)</f>
        <v>0.15561117163240706</v>
      </c>
      <c r="K121" s="48">
        <f>K10/(K48*8760)</f>
        <v>0.15177159661346962</v>
      </c>
      <c r="L121" s="48">
        <f>L10/(L48*8760)</f>
        <v>0.14817829628116694</v>
      </c>
      <c r="M121" s="48">
        <f>M10/(M48*8760)</f>
        <v>0.14508391022838069</v>
      </c>
      <c r="N121" s="48">
        <f>N10/(N48*8760)</f>
        <v>0.14221449533928746</v>
      </c>
      <c r="O121" s="48">
        <f>O10/(O48*8760)</f>
        <v>0.1394412684880672</v>
      </c>
      <c r="P121" s="48">
        <f>P10/(P48*8760)</f>
        <v>0.13687675825559098</v>
      </c>
      <c r="Q121" s="48">
        <f>Q10/(Q48*8760)</f>
        <v>0.13423756244384349</v>
      </c>
      <c r="R121" s="48">
        <f>R10/(R48*8760)</f>
        <v>0.13230800064262363</v>
      </c>
      <c r="S121" s="48">
        <f>S10/(S48*8760)</f>
        <v>0.13079920239568063</v>
      </c>
      <c r="T121" s="48">
        <f>T10/(T48*8760)</f>
        <v>0.13038760281590941</v>
      </c>
      <c r="U121" s="48">
        <f>U10/(U48*8760)</f>
        <v>0.12971260307459667</v>
      </c>
      <c r="V121" s="48">
        <f>V10/(V48*8760)</f>
        <v>0.12928959045663743</v>
      </c>
      <c r="W121" s="48">
        <f>W10/(W48*8760)</f>
        <v>0.12841338519683784</v>
      </c>
      <c r="X121" s="48">
        <f>X10/(X48*8760)</f>
        <v>0.12743091835528048</v>
      </c>
      <c r="Y121" s="48">
        <f>Y10/(Y48*8760)</f>
        <v>0.12655032554975135</v>
      </c>
      <c r="Z121" s="48">
        <f>Z10/(Z48*8760)</f>
        <v>0.12551483641343109</v>
      </c>
      <c r="AA121" s="48">
        <f>AA10/(AA48*8760)</f>
        <v>0.1246782614649761</v>
      </c>
      <c r="AB121" s="48">
        <f>AB10/(AB48*8760)</f>
        <v>0.12380470569204623</v>
      </c>
      <c r="AC121" s="48">
        <f>AC10/(AC48*8760)</f>
        <v>0.12285070750761902</v>
      </c>
      <c r="AD121" s="48">
        <f>AD10/(AD48*8760)</f>
        <v>0.12199528067076076</v>
      </c>
      <c r="AE121" s="48">
        <f>AE10/(AE48*8760)</f>
        <v>0.12117224433303567</v>
      </c>
      <c r="AF121" s="48">
        <f>AF10/(AF48*8760)</f>
        <v>0.12048392011317301</v>
      </c>
      <c r="AG121" s="48">
        <f>AG10/(AG48*8760)</f>
        <v>0.11980955251221849</v>
      </c>
      <c r="AH121" s="48">
        <f>AH10/(AH48*8760)</f>
        <v>0.1193095743720438</v>
      </c>
      <c r="AI121" s="48">
        <f>AI10/(AI48*8760)</f>
        <v>0.1187730792009507</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4.5" x14ac:dyDescent="0.35"/>
  <cols>
    <col min="1" max="1" width="28.7265625" customWidth="1"/>
    <col min="2" max="7" width="11.7265625" customWidth="1"/>
  </cols>
  <sheetData>
    <row r="1" spans="1:7" x14ac:dyDescent="0.35">
      <c r="A1" s="62" t="s">
        <v>612</v>
      </c>
      <c r="B1" s="62"/>
    </row>
    <row r="2" spans="1:7" ht="24" customHeight="1" x14ac:dyDescent="0.35">
      <c r="A2" s="56" t="s">
        <v>613</v>
      </c>
      <c r="B2" s="57"/>
      <c r="C2" s="57"/>
      <c r="D2" s="57"/>
      <c r="E2" s="57"/>
      <c r="F2" s="57"/>
      <c r="G2" s="57"/>
    </row>
    <row r="3" spans="1:7" ht="24" customHeight="1" thickBot="1" x14ac:dyDescent="0.4">
      <c r="A3" s="22"/>
      <c r="B3" s="58" t="s">
        <v>61</v>
      </c>
      <c r="C3" s="58"/>
      <c r="D3" s="58"/>
      <c r="E3" s="58"/>
      <c r="F3" s="58"/>
      <c r="G3" s="59"/>
    </row>
    <row r="4" spans="1:7" ht="23.25" customHeight="1" thickTop="1" x14ac:dyDescent="0.35">
      <c r="A4" s="22"/>
      <c r="B4" s="25"/>
      <c r="C4" s="60" t="s">
        <v>62</v>
      </c>
      <c r="D4" s="60"/>
      <c r="E4" s="60"/>
      <c r="F4" s="60"/>
      <c r="G4" s="60"/>
    </row>
    <row r="5" spans="1:7" ht="46.5" customHeight="1" thickBot="1" x14ac:dyDescent="0.4">
      <c r="A5" s="26"/>
      <c r="B5" s="5" t="s">
        <v>614</v>
      </c>
      <c r="C5" s="5" t="s">
        <v>63</v>
      </c>
      <c r="D5" s="5" t="s">
        <v>64</v>
      </c>
      <c r="E5" s="5" t="s">
        <v>615</v>
      </c>
      <c r="F5" s="5" t="s">
        <v>616</v>
      </c>
      <c r="G5" s="5" t="s">
        <v>65</v>
      </c>
    </row>
    <row r="6" spans="1:7" ht="24" customHeight="1" thickTop="1" x14ac:dyDescent="0.35">
      <c r="A6" s="27" t="s">
        <v>66</v>
      </c>
      <c r="B6" s="28">
        <v>123.53</v>
      </c>
      <c r="C6" s="28">
        <v>77.069999999999993</v>
      </c>
      <c r="D6" s="28">
        <v>7.45</v>
      </c>
      <c r="E6" s="28">
        <v>9.34</v>
      </c>
      <c r="F6" s="28">
        <v>22.84</v>
      </c>
      <c r="G6" s="28">
        <v>6.83</v>
      </c>
    </row>
    <row r="7" spans="1:7" ht="24" customHeight="1" x14ac:dyDescent="0.35">
      <c r="A7" s="29" t="s">
        <v>67</v>
      </c>
      <c r="B7" s="30" t="s">
        <v>1</v>
      </c>
      <c r="C7" s="30" t="s">
        <v>1</v>
      </c>
      <c r="D7" s="30" t="s">
        <v>1</v>
      </c>
      <c r="E7" s="30" t="s">
        <v>1</v>
      </c>
      <c r="F7" s="30" t="s">
        <v>1</v>
      </c>
      <c r="G7" s="30" t="s">
        <v>1</v>
      </c>
    </row>
    <row r="8" spans="1:7" ht="15" customHeight="1" x14ac:dyDescent="0.35">
      <c r="A8" s="8" t="s">
        <v>17</v>
      </c>
      <c r="B8" s="31">
        <v>21.92</v>
      </c>
      <c r="C8" s="31">
        <v>11.23</v>
      </c>
      <c r="D8" s="31">
        <v>1.95</v>
      </c>
      <c r="E8" s="31">
        <v>3.15</v>
      </c>
      <c r="F8" s="31">
        <v>5.0999999999999996</v>
      </c>
      <c r="G8" s="31">
        <v>0.5</v>
      </c>
    </row>
    <row r="9" spans="1:7" x14ac:dyDescent="0.35">
      <c r="A9" s="32" t="s">
        <v>18</v>
      </c>
      <c r="B9" s="31">
        <v>5.88</v>
      </c>
      <c r="C9" s="31">
        <v>3.34</v>
      </c>
      <c r="D9" s="31">
        <v>0.3</v>
      </c>
      <c r="E9" s="31">
        <v>0.99</v>
      </c>
      <c r="F9" s="31">
        <v>1.1000000000000001</v>
      </c>
      <c r="G9" s="31">
        <v>0.14000000000000001</v>
      </c>
    </row>
    <row r="10" spans="1:7" x14ac:dyDescent="0.35">
      <c r="A10" s="32" t="s">
        <v>19</v>
      </c>
      <c r="B10" s="31">
        <v>16.04</v>
      </c>
      <c r="C10" s="31">
        <v>7.89</v>
      </c>
      <c r="D10" s="31">
        <v>1.65</v>
      </c>
      <c r="E10" s="31">
        <v>2.15</v>
      </c>
      <c r="F10" s="31">
        <v>3.99</v>
      </c>
      <c r="G10" s="31">
        <v>0.36</v>
      </c>
    </row>
    <row r="11" spans="1:7" x14ac:dyDescent="0.35">
      <c r="A11" s="8" t="s">
        <v>20</v>
      </c>
      <c r="B11" s="31">
        <v>27.04</v>
      </c>
      <c r="C11" s="31">
        <v>18.579999999999998</v>
      </c>
      <c r="D11" s="31">
        <v>1.33</v>
      </c>
      <c r="E11" s="31">
        <v>1.95</v>
      </c>
      <c r="F11" s="31">
        <v>4.2</v>
      </c>
      <c r="G11" s="31">
        <v>0.97</v>
      </c>
    </row>
    <row r="12" spans="1:7" x14ac:dyDescent="0.35">
      <c r="A12" s="32" t="s">
        <v>21</v>
      </c>
      <c r="B12" s="31">
        <v>18.55</v>
      </c>
      <c r="C12" s="31">
        <v>12.59</v>
      </c>
      <c r="D12" s="31">
        <v>0.91</v>
      </c>
      <c r="E12" s="31">
        <v>1.49</v>
      </c>
      <c r="F12" s="31">
        <v>2.94</v>
      </c>
      <c r="G12" s="31">
        <v>0.63</v>
      </c>
    </row>
    <row r="13" spans="1:7" ht="15" customHeight="1" x14ac:dyDescent="0.35">
      <c r="A13" s="32" t="s">
        <v>22</v>
      </c>
      <c r="B13" s="31">
        <v>8.5</v>
      </c>
      <c r="C13" s="31">
        <v>5.99</v>
      </c>
      <c r="D13" s="31">
        <v>0.43</v>
      </c>
      <c r="E13" s="31">
        <v>0.47</v>
      </c>
      <c r="F13" s="31">
        <v>1.26</v>
      </c>
      <c r="G13" s="31">
        <v>0.35</v>
      </c>
    </row>
    <row r="14" spans="1:7" x14ac:dyDescent="0.35">
      <c r="A14" s="8" t="s">
        <v>23</v>
      </c>
      <c r="B14" s="31">
        <v>46.84</v>
      </c>
      <c r="C14" s="31">
        <v>30.29</v>
      </c>
      <c r="D14" s="31">
        <v>2.48</v>
      </c>
      <c r="E14" s="31">
        <v>2.36</v>
      </c>
      <c r="F14" s="31">
        <v>7.83</v>
      </c>
      <c r="G14" s="31">
        <v>3.89</v>
      </c>
    </row>
    <row r="15" spans="1:7" x14ac:dyDescent="0.35">
      <c r="A15" s="32" t="s">
        <v>24</v>
      </c>
      <c r="B15" s="31">
        <v>24.84</v>
      </c>
      <c r="C15" s="31">
        <v>15.25</v>
      </c>
      <c r="D15" s="31">
        <v>1.92</v>
      </c>
      <c r="E15" s="31">
        <v>1.17</v>
      </c>
      <c r="F15" s="31">
        <v>4.51</v>
      </c>
      <c r="G15" s="31">
        <v>2</v>
      </c>
    </row>
    <row r="16" spans="1:7" x14ac:dyDescent="0.35">
      <c r="A16" s="32" t="s">
        <v>25</v>
      </c>
      <c r="B16" s="31">
        <v>7.38</v>
      </c>
      <c r="C16" s="31">
        <v>5.17</v>
      </c>
      <c r="D16" s="31">
        <v>0.19</v>
      </c>
      <c r="E16" s="31">
        <v>0.41</v>
      </c>
      <c r="F16" s="31">
        <v>0.84</v>
      </c>
      <c r="G16" s="31">
        <v>0.77</v>
      </c>
    </row>
    <row r="17" spans="1:7" ht="15" customHeight="1" x14ac:dyDescent="0.35">
      <c r="A17" s="32" t="s">
        <v>26</v>
      </c>
      <c r="B17" s="31">
        <v>14.62</v>
      </c>
      <c r="C17" s="31">
        <v>9.8699999999999992</v>
      </c>
      <c r="D17" s="31">
        <v>0.36</v>
      </c>
      <c r="E17" s="31">
        <v>0.78</v>
      </c>
      <c r="F17" s="31">
        <v>2.48</v>
      </c>
      <c r="G17" s="31">
        <v>1.1200000000000001</v>
      </c>
    </row>
    <row r="18" spans="1:7" x14ac:dyDescent="0.35">
      <c r="A18" s="8" t="s">
        <v>27</v>
      </c>
      <c r="B18" s="31">
        <v>27.72</v>
      </c>
      <c r="C18" s="31">
        <v>16.97</v>
      </c>
      <c r="D18" s="31">
        <v>1.69</v>
      </c>
      <c r="E18" s="31">
        <v>1.89</v>
      </c>
      <c r="F18" s="31">
        <v>5.7</v>
      </c>
      <c r="G18" s="31">
        <v>1.47</v>
      </c>
    </row>
    <row r="19" spans="1:7" x14ac:dyDescent="0.35">
      <c r="A19" s="32" t="s">
        <v>28</v>
      </c>
      <c r="B19" s="31">
        <v>9.2200000000000006</v>
      </c>
      <c r="C19" s="31">
        <v>6.06</v>
      </c>
      <c r="D19" s="31">
        <v>0.5</v>
      </c>
      <c r="E19" s="31">
        <v>0.52</v>
      </c>
      <c r="F19" s="31">
        <v>1.47</v>
      </c>
      <c r="G19" s="31">
        <v>0.67</v>
      </c>
    </row>
    <row r="20" spans="1:7" x14ac:dyDescent="0.35">
      <c r="A20" s="33" t="s">
        <v>29</v>
      </c>
      <c r="B20" s="31">
        <v>4.62</v>
      </c>
      <c r="C20" s="31">
        <v>3.1</v>
      </c>
      <c r="D20" s="31">
        <v>0.28999999999999998</v>
      </c>
      <c r="E20" s="31">
        <v>0.26</v>
      </c>
      <c r="F20" s="31">
        <v>0.73</v>
      </c>
      <c r="G20" s="31">
        <v>0.24</v>
      </c>
    </row>
    <row r="21" spans="1:7" x14ac:dyDescent="0.35">
      <c r="A21" s="33" t="s">
        <v>30</v>
      </c>
      <c r="B21" s="31">
        <v>4.5999999999999996</v>
      </c>
      <c r="C21" s="31">
        <v>2.96</v>
      </c>
      <c r="D21" s="31">
        <v>0.21</v>
      </c>
      <c r="E21" s="31">
        <v>0.26</v>
      </c>
      <c r="F21" s="31">
        <v>0.74</v>
      </c>
      <c r="G21" s="31">
        <v>0.43</v>
      </c>
    </row>
    <row r="22" spans="1:7" x14ac:dyDescent="0.35">
      <c r="A22" s="32" t="s">
        <v>31</v>
      </c>
      <c r="B22" s="31">
        <v>18.510000000000002</v>
      </c>
      <c r="C22" s="31">
        <v>10.91</v>
      </c>
      <c r="D22" s="31">
        <v>1.19</v>
      </c>
      <c r="E22" s="31">
        <v>1.36</v>
      </c>
      <c r="F22" s="31">
        <v>4.24</v>
      </c>
      <c r="G22" s="31">
        <v>0.8</v>
      </c>
    </row>
    <row r="23" spans="1:7" ht="24" customHeight="1" x14ac:dyDescent="0.35">
      <c r="A23" s="29" t="s">
        <v>617</v>
      </c>
      <c r="B23" s="30" t="s">
        <v>1</v>
      </c>
      <c r="C23" s="30" t="s">
        <v>1</v>
      </c>
      <c r="D23" s="30" t="s">
        <v>1</v>
      </c>
      <c r="E23" s="30" t="s">
        <v>1</v>
      </c>
      <c r="F23" s="30" t="s">
        <v>1</v>
      </c>
      <c r="G23" s="30" t="s">
        <v>1</v>
      </c>
    </row>
    <row r="24" spans="1:7" x14ac:dyDescent="0.35">
      <c r="A24" s="8" t="s">
        <v>32</v>
      </c>
      <c r="B24" s="31">
        <v>100.44</v>
      </c>
      <c r="C24" s="31">
        <v>58.8</v>
      </c>
      <c r="D24" s="31">
        <v>7.04</v>
      </c>
      <c r="E24" s="31">
        <v>9.02</v>
      </c>
      <c r="F24" s="31">
        <v>22.27</v>
      </c>
      <c r="G24" s="31">
        <v>3.31</v>
      </c>
    </row>
    <row r="25" spans="1:7" s="7" customFormat="1" x14ac:dyDescent="0.35">
      <c r="A25" s="32" t="s">
        <v>68</v>
      </c>
      <c r="B25" s="31">
        <v>89.24</v>
      </c>
      <c r="C25" s="31">
        <v>50.99</v>
      </c>
      <c r="D25" s="31">
        <v>6.57</v>
      </c>
      <c r="E25" s="31">
        <v>7.95</v>
      </c>
      <c r="F25" s="31">
        <v>21.2</v>
      </c>
      <c r="G25" s="31">
        <v>2.5299999999999998</v>
      </c>
    </row>
    <row r="26" spans="1:7" s="7" customFormat="1" x14ac:dyDescent="0.35">
      <c r="A26" s="32" t="s">
        <v>69</v>
      </c>
      <c r="B26" s="31">
        <v>11.2</v>
      </c>
      <c r="C26" s="31">
        <v>7.82</v>
      </c>
      <c r="D26" s="31">
        <v>0.47</v>
      </c>
      <c r="E26" s="31">
        <v>1.07</v>
      </c>
      <c r="F26" s="31">
        <v>1.07</v>
      </c>
      <c r="G26" s="31">
        <v>0.77</v>
      </c>
    </row>
    <row r="27" spans="1:7" x14ac:dyDescent="0.35">
      <c r="A27" s="8" t="s">
        <v>33</v>
      </c>
      <c r="B27" s="31">
        <v>23.09</v>
      </c>
      <c r="C27" s="31">
        <v>18.27</v>
      </c>
      <c r="D27" s="31">
        <v>0.41</v>
      </c>
      <c r="E27" s="31">
        <v>0.32</v>
      </c>
      <c r="F27" s="31">
        <v>0.56999999999999995</v>
      </c>
      <c r="G27" s="31">
        <v>3.52</v>
      </c>
    </row>
    <row r="28" spans="1:7" ht="34" customHeight="1" x14ac:dyDescent="0.35">
      <c r="A28" s="29" t="s">
        <v>618</v>
      </c>
      <c r="B28" s="30" t="s">
        <v>1</v>
      </c>
      <c r="C28" s="30" t="s">
        <v>1</v>
      </c>
      <c r="D28" s="30" t="s">
        <v>1</v>
      </c>
      <c r="E28" s="30" t="s">
        <v>1</v>
      </c>
      <c r="F28" s="30" t="s">
        <v>1</v>
      </c>
      <c r="G28" s="30" t="s">
        <v>1</v>
      </c>
    </row>
    <row r="29" spans="1:7" x14ac:dyDescent="0.35">
      <c r="A29" s="8" t="s">
        <v>70</v>
      </c>
      <c r="B29" s="31">
        <v>42.5</v>
      </c>
      <c r="C29" s="31">
        <v>28.04</v>
      </c>
      <c r="D29" s="31">
        <v>2.4300000000000002</v>
      </c>
      <c r="E29" s="31">
        <v>3.78</v>
      </c>
      <c r="F29" s="31">
        <v>6.74</v>
      </c>
      <c r="G29" s="31">
        <v>1.52</v>
      </c>
    </row>
    <row r="30" spans="1:7" x14ac:dyDescent="0.35">
      <c r="A30" s="8" t="s">
        <v>71</v>
      </c>
      <c r="B30" s="31">
        <v>36.79</v>
      </c>
      <c r="C30" s="31">
        <v>21.89</v>
      </c>
      <c r="D30" s="31">
        <v>2.8</v>
      </c>
      <c r="E30" s="31">
        <v>2.72</v>
      </c>
      <c r="F30" s="31">
        <v>7.03</v>
      </c>
      <c r="G30" s="31">
        <v>2.35</v>
      </c>
    </row>
    <row r="31" spans="1:7" x14ac:dyDescent="0.35">
      <c r="A31" s="8" t="s">
        <v>72</v>
      </c>
      <c r="B31" s="31">
        <v>15.06</v>
      </c>
      <c r="C31" s="31">
        <v>9.07</v>
      </c>
      <c r="D31" s="31">
        <v>0.9</v>
      </c>
      <c r="E31" s="31">
        <v>1.1200000000000001</v>
      </c>
      <c r="F31" s="31">
        <v>3.12</v>
      </c>
      <c r="G31" s="31">
        <v>0.83</v>
      </c>
    </row>
    <row r="32" spans="1:7" ht="24" customHeight="1" x14ac:dyDescent="0.35">
      <c r="A32" s="8" t="s">
        <v>73</v>
      </c>
      <c r="B32" s="31">
        <v>22.31</v>
      </c>
      <c r="C32" s="31">
        <v>13.98</v>
      </c>
      <c r="D32" s="31">
        <v>0.92</v>
      </c>
      <c r="E32" s="31">
        <v>1.25</v>
      </c>
      <c r="F32" s="31">
        <v>4.37</v>
      </c>
      <c r="G32" s="31">
        <v>1.8</v>
      </c>
    </row>
    <row r="33" spans="1:7" x14ac:dyDescent="0.35">
      <c r="A33" s="8" t="s">
        <v>34</v>
      </c>
      <c r="B33" s="31">
        <v>6.87</v>
      </c>
      <c r="C33" s="31">
        <v>4.09</v>
      </c>
      <c r="D33" s="31">
        <v>0.4</v>
      </c>
      <c r="E33" s="31">
        <v>0.48</v>
      </c>
      <c r="F33" s="31">
        <v>1.57</v>
      </c>
      <c r="G33" s="31">
        <v>0.34</v>
      </c>
    </row>
    <row r="34" spans="1:7" x14ac:dyDescent="0.35">
      <c r="A34" s="29" t="s">
        <v>74</v>
      </c>
      <c r="B34" s="30" t="s">
        <v>1</v>
      </c>
      <c r="C34" s="30" t="s">
        <v>1</v>
      </c>
      <c r="D34" s="30" t="s">
        <v>1</v>
      </c>
      <c r="E34" s="30" t="s">
        <v>1</v>
      </c>
      <c r="F34" s="30" t="s">
        <v>1</v>
      </c>
      <c r="G34" s="30" t="s">
        <v>1</v>
      </c>
    </row>
    <row r="35" spans="1:7" x14ac:dyDescent="0.35">
      <c r="A35" s="8" t="s">
        <v>75</v>
      </c>
      <c r="B35" s="31">
        <v>20.260000000000002</v>
      </c>
      <c r="C35" s="31">
        <v>13.58</v>
      </c>
      <c r="D35" s="31">
        <v>1.1399999999999999</v>
      </c>
      <c r="E35" s="31">
        <v>2.36</v>
      </c>
      <c r="F35" s="31">
        <v>3.08</v>
      </c>
      <c r="G35" s="31">
        <v>0.09</v>
      </c>
    </row>
    <row r="36" spans="1:7" x14ac:dyDescent="0.35">
      <c r="A36" s="8" t="s">
        <v>36</v>
      </c>
      <c r="B36" s="31">
        <v>12.48</v>
      </c>
      <c r="C36" s="31">
        <v>9.9</v>
      </c>
      <c r="D36" s="31">
        <v>0.4</v>
      </c>
      <c r="E36" s="31">
        <v>0.77</v>
      </c>
      <c r="F36" s="31">
        <v>1.25</v>
      </c>
      <c r="G36" s="31">
        <v>0.16</v>
      </c>
    </row>
    <row r="37" spans="1:7" x14ac:dyDescent="0.35">
      <c r="A37" s="8" t="s">
        <v>37</v>
      </c>
      <c r="B37" s="31">
        <v>12.76</v>
      </c>
      <c r="C37" s="31">
        <v>8.23</v>
      </c>
      <c r="D37" s="31">
        <v>0.63</v>
      </c>
      <c r="E37" s="31">
        <v>1.1200000000000001</v>
      </c>
      <c r="F37" s="31">
        <v>2.41</v>
      </c>
      <c r="G37" s="31">
        <v>0.37</v>
      </c>
    </row>
    <row r="38" spans="1:7" ht="24" customHeight="1" x14ac:dyDescent="0.35">
      <c r="A38" s="8" t="s">
        <v>38</v>
      </c>
      <c r="B38" s="31">
        <v>18.34</v>
      </c>
      <c r="C38" s="31">
        <v>10.46</v>
      </c>
      <c r="D38" s="31">
        <v>0.97</v>
      </c>
      <c r="E38" s="31">
        <v>1.56</v>
      </c>
      <c r="F38" s="31">
        <v>4.01</v>
      </c>
      <c r="G38" s="31">
        <v>1.34</v>
      </c>
    </row>
    <row r="39" spans="1:7" x14ac:dyDescent="0.35">
      <c r="A39" s="8" t="s">
        <v>39</v>
      </c>
      <c r="B39" s="31">
        <v>16.3</v>
      </c>
      <c r="C39" s="31">
        <v>8.67</v>
      </c>
      <c r="D39" s="31">
        <v>1.26</v>
      </c>
      <c r="E39" s="31">
        <v>1.43</v>
      </c>
      <c r="F39" s="31">
        <v>3.6</v>
      </c>
      <c r="G39" s="31">
        <v>1.33</v>
      </c>
    </row>
    <row r="40" spans="1:7" x14ac:dyDescent="0.35">
      <c r="A40" s="8" t="s">
        <v>40</v>
      </c>
      <c r="B40" s="31">
        <v>17.16</v>
      </c>
      <c r="C40" s="31">
        <v>10.65</v>
      </c>
      <c r="D40" s="31">
        <v>1.08</v>
      </c>
      <c r="E40" s="31">
        <v>0.95</v>
      </c>
      <c r="F40" s="31">
        <v>2.5499999999999998</v>
      </c>
      <c r="G40" s="31">
        <v>1.92</v>
      </c>
    </row>
    <row r="41" spans="1:7" x14ac:dyDescent="0.35">
      <c r="A41" s="8" t="s">
        <v>41</v>
      </c>
      <c r="B41" s="31">
        <v>16.16</v>
      </c>
      <c r="C41" s="31">
        <v>9.98</v>
      </c>
      <c r="D41" s="31">
        <v>1.31</v>
      </c>
      <c r="E41" s="31">
        <v>0.72</v>
      </c>
      <c r="F41" s="31">
        <v>3.17</v>
      </c>
      <c r="G41" s="31">
        <v>0.98</v>
      </c>
    </row>
    <row r="42" spans="1:7" x14ac:dyDescent="0.35">
      <c r="A42" s="8" t="s">
        <v>76</v>
      </c>
      <c r="B42" s="31">
        <v>5.53</v>
      </c>
      <c r="C42" s="31">
        <v>3.05</v>
      </c>
      <c r="D42" s="31">
        <v>0.37</v>
      </c>
      <c r="E42" s="31">
        <v>0.26</v>
      </c>
      <c r="F42" s="31">
        <v>1.52</v>
      </c>
      <c r="G42" s="31">
        <v>0.32</v>
      </c>
    </row>
    <row r="43" spans="1:7" x14ac:dyDescent="0.35">
      <c r="A43" s="8" t="s">
        <v>619</v>
      </c>
      <c r="B43" s="31">
        <v>4.5599999999999996</v>
      </c>
      <c r="C43" s="31">
        <v>2.5299999999999998</v>
      </c>
      <c r="D43" s="31">
        <v>0.28999999999999998</v>
      </c>
      <c r="E43" s="31">
        <v>0.18</v>
      </c>
      <c r="F43" s="31">
        <v>1.26</v>
      </c>
      <c r="G43" s="31">
        <v>0.31</v>
      </c>
    </row>
    <row r="44" spans="1:7" x14ac:dyDescent="0.35">
      <c r="A44" s="29" t="s">
        <v>77</v>
      </c>
      <c r="B44" s="30" t="s">
        <v>1</v>
      </c>
      <c r="C44" s="30" t="s">
        <v>1</v>
      </c>
      <c r="D44" s="30" t="s">
        <v>1</v>
      </c>
      <c r="E44" s="30" t="s">
        <v>1</v>
      </c>
      <c r="F44" s="30" t="s">
        <v>1</v>
      </c>
      <c r="G44" s="30" t="s">
        <v>1</v>
      </c>
    </row>
    <row r="45" spans="1:7" x14ac:dyDescent="0.35">
      <c r="A45" s="8" t="s">
        <v>620</v>
      </c>
      <c r="B45" s="31">
        <v>47.15</v>
      </c>
      <c r="C45" s="31">
        <v>44.59</v>
      </c>
      <c r="D45" s="31">
        <v>2.57</v>
      </c>
      <c r="E45" s="31" t="s">
        <v>42</v>
      </c>
      <c r="F45" s="31" t="s">
        <v>42</v>
      </c>
      <c r="G45" s="31" t="s">
        <v>42</v>
      </c>
    </row>
    <row r="46" spans="1:7" x14ac:dyDescent="0.35">
      <c r="A46" s="8" t="s">
        <v>621</v>
      </c>
      <c r="B46" s="31">
        <v>32.47</v>
      </c>
      <c r="C46" s="31">
        <v>28.53</v>
      </c>
      <c r="D46" s="31">
        <v>3.94</v>
      </c>
      <c r="E46" s="31" t="s">
        <v>42</v>
      </c>
      <c r="F46" s="31" t="s">
        <v>42</v>
      </c>
      <c r="G46" s="31" t="s">
        <v>42</v>
      </c>
    </row>
    <row r="47" spans="1:7" ht="24" customHeight="1" x14ac:dyDescent="0.35">
      <c r="A47" s="8" t="s">
        <v>622</v>
      </c>
      <c r="B47" s="31">
        <v>2.61</v>
      </c>
      <c r="C47" s="31">
        <v>1.76</v>
      </c>
      <c r="D47" s="31">
        <v>0.85</v>
      </c>
      <c r="E47" s="31" t="s">
        <v>42</v>
      </c>
      <c r="F47" s="31" t="s">
        <v>42</v>
      </c>
      <c r="G47" s="31" t="s">
        <v>42</v>
      </c>
    </row>
    <row r="48" spans="1:7" x14ac:dyDescent="0.35">
      <c r="A48" s="8" t="s">
        <v>623</v>
      </c>
      <c r="B48" s="31">
        <v>2.2799999999999998</v>
      </c>
      <c r="C48" s="31">
        <v>2.19</v>
      </c>
      <c r="D48" s="31">
        <v>0.09</v>
      </c>
      <c r="E48" s="31" t="s">
        <v>42</v>
      </c>
      <c r="F48" s="31" t="s">
        <v>42</v>
      </c>
      <c r="G48" s="31" t="s">
        <v>42</v>
      </c>
    </row>
    <row r="49" spans="1:7" ht="26.5" x14ac:dyDescent="0.35">
      <c r="A49" s="8" t="s">
        <v>78</v>
      </c>
      <c r="B49" s="31">
        <v>39.01</v>
      </c>
      <c r="C49" s="31" t="s">
        <v>42</v>
      </c>
      <c r="D49" s="31" t="s">
        <v>42</v>
      </c>
      <c r="E49" s="31">
        <v>9.34</v>
      </c>
      <c r="F49" s="31">
        <v>22.84</v>
      </c>
      <c r="G49" s="31">
        <v>6.83</v>
      </c>
    </row>
    <row r="50" spans="1:7" x14ac:dyDescent="0.35">
      <c r="A50" s="29" t="s">
        <v>79</v>
      </c>
      <c r="B50" s="30" t="s">
        <v>1</v>
      </c>
      <c r="C50" s="30" t="s">
        <v>1</v>
      </c>
      <c r="D50" s="30" t="s">
        <v>1</v>
      </c>
      <c r="E50" s="30" t="s">
        <v>1</v>
      </c>
      <c r="F50" s="30" t="s">
        <v>1</v>
      </c>
      <c r="G50" s="30" t="s">
        <v>1</v>
      </c>
    </row>
    <row r="51" spans="1:7" ht="26.5" x14ac:dyDescent="0.35">
      <c r="A51" s="8" t="s">
        <v>624</v>
      </c>
      <c r="B51" s="31">
        <v>45.44</v>
      </c>
      <c r="C51" s="31">
        <v>31.14</v>
      </c>
      <c r="D51" s="31">
        <v>2.83</v>
      </c>
      <c r="E51" s="31">
        <v>2.23</v>
      </c>
      <c r="F51" s="31">
        <v>3.79</v>
      </c>
      <c r="G51" s="31">
        <v>5.45</v>
      </c>
    </row>
    <row r="52" spans="1:7" x14ac:dyDescent="0.35">
      <c r="A52" s="8" t="s">
        <v>43</v>
      </c>
      <c r="B52" s="31">
        <v>33.369999999999997</v>
      </c>
      <c r="C52" s="31">
        <v>17.52</v>
      </c>
      <c r="D52" s="31">
        <v>2.0099999999999998</v>
      </c>
      <c r="E52" s="31">
        <v>3.79</v>
      </c>
      <c r="F52" s="31">
        <v>9.8000000000000007</v>
      </c>
      <c r="G52" s="31">
        <v>0.24</v>
      </c>
    </row>
    <row r="53" spans="1:7" ht="24" customHeight="1" x14ac:dyDescent="0.35">
      <c r="A53" s="8" t="s">
        <v>44</v>
      </c>
      <c r="B53" s="31">
        <v>18.8</v>
      </c>
      <c r="C53" s="31">
        <v>12.63</v>
      </c>
      <c r="D53" s="31">
        <v>0.92</v>
      </c>
      <c r="E53" s="31">
        <v>1.55</v>
      </c>
      <c r="F53" s="31">
        <v>2.86</v>
      </c>
      <c r="G53" s="31">
        <v>0.84</v>
      </c>
    </row>
    <row r="54" spans="1:7" ht="15" customHeight="1" x14ac:dyDescent="0.35">
      <c r="A54" s="8" t="s">
        <v>45</v>
      </c>
      <c r="B54" s="31">
        <v>15.65</v>
      </c>
      <c r="C54" s="31">
        <v>10.54</v>
      </c>
      <c r="D54" s="31">
        <v>1.07</v>
      </c>
      <c r="E54" s="31">
        <v>0.89</v>
      </c>
      <c r="F54" s="31">
        <v>3.08</v>
      </c>
      <c r="G54" s="31">
        <v>0.08</v>
      </c>
    </row>
    <row r="55" spans="1:7" x14ac:dyDescent="0.35">
      <c r="A55" s="8" t="s">
        <v>625</v>
      </c>
      <c r="B55" s="31">
        <v>6.42</v>
      </c>
      <c r="C55" s="31">
        <v>2.89</v>
      </c>
      <c r="D55" s="31">
        <v>0.41</v>
      </c>
      <c r="E55" s="31">
        <v>0.5</v>
      </c>
      <c r="F55" s="31">
        <v>2.56</v>
      </c>
      <c r="G55" s="31" t="s">
        <v>35</v>
      </c>
    </row>
    <row r="56" spans="1:7" x14ac:dyDescent="0.35">
      <c r="A56" s="8" t="s">
        <v>626</v>
      </c>
      <c r="B56" s="31">
        <v>1.89</v>
      </c>
      <c r="C56" s="31">
        <v>1.1599999999999999</v>
      </c>
      <c r="D56" s="31">
        <v>0.11</v>
      </c>
      <c r="E56" s="31">
        <v>0.21</v>
      </c>
      <c r="F56" s="31">
        <v>0.3</v>
      </c>
      <c r="G56" s="31">
        <v>0.11</v>
      </c>
    </row>
    <row r="57" spans="1:7" x14ac:dyDescent="0.35">
      <c r="A57" s="8" t="s">
        <v>46</v>
      </c>
      <c r="B57" s="31">
        <v>1.46</v>
      </c>
      <c r="C57" s="31">
        <v>0.94</v>
      </c>
      <c r="D57" s="31">
        <v>0.08</v>
      </c>
      <c r="E57" s="31">
        <v>0.14000000000000001</v>
      </c>
      <c r="F57" s="31">
        <v>0.31</v>
      </c>
      <c r="G57" s="31" t="s">
        <v>42</v>
      </c>
    </row>
    <row r="58" spans="1:7" x14ac:dyDescent="0.35">
      <c r="A58" s="8" t="s">
        <v>80</v>
      </c>
      <c r="B58" s="31">
        <v>0.5</v>
      </c>
      <c r="C58" s="31">
        <v>0.26</v>
      </c>
      <c r="D58" s="31" t="s">
        <v>35</v>
      </c>
      <c r="E58" s="31" t="s">
        <v>35</v>
      </c>
      <c r="F58" s="31">
        <v>0.14000000000000001</v>
      </c>
      <c r="G58" s="31" t="s">
        <v>35</v>
      </c>
    </row>
    <row r="59" spans="1:7" x14ac:dyDescent="0.35">
      <c r="A59" s="29" t="s">
        <v>81</v>
      </c>
      <c r="B59" s="30" t="s">
        <v>1</v>
      </c>
      <c r="C59" s="30" t="s">
        <v>1</v>
      </c>
      <c r="D59" s="30" t="s">
        <v>1</v>
      </c>
      <c r="E59" s="30" t="s">
        <v>1</v>
      </c>
      <c r="F59" s="30" t="s">
        <v>1</v>
      </c>
      <c r="G59" s="30" t="s">
        <v>1</v>
      </c>
    </row>
    <row r="60" spans="1:7" x14ac:dyDescent="0.35">
      <c r="A60" s="8" t="s">
        <v>82</v>
      </c>
      <c r="B60" s="31">
        <v>76.03</v>
      </c>
      <c r="C60" s="31">
        <v>61.56</v>
      </c>
      <c r="D60" s="31">
        <v>5.49</v>
      </c>
      <c r="E60" s="31">
        <v>5.89</v>
      </c>
      <c r="F60" s="31" t="s">
        <v>42</v>
      </c>
      <c r="G60" s="31">
        <v>3.09</v>
      </c>
    </row>
    <row r="61" spans="1:7" x14ac:dyDescent="0.35">
      <c r="A61" s="8" t="s">
        <v>47</v>
      </c>
      <c r="B61" s="31">
        <v>9.69</v>
      </c>
      <c r="C61" s="31">
        <v>5.87</v>
      </c>
      <c r="D61" s="31">
        <v>0.28000000000000003</v>
      </c>
      <c r="E61" s="31">
        <v>0.46</v>
      </c>
      <c r="F61" s="31" t="s">
        <v>42</v>
      </c>
      <c r="G61" s="31">
        <v>3.08</v>
      </c>
    </row>
    <row r="62" spans="1:7" ht="24" customHeight="1" x14ac:dyDescent="0.35">
      <c r="A62" s="8" t="s">
        <v>83</v>
      </c>
      <c r="B62" s="31">
        <v>5.19</v>
      </c>
      <c r="C62" s="31">
        <v>3.06</v>
      </c>
      <c r="D62" s="31">
        <v>0.55000000000000004</v>
      </c>
      <c r="E62" s="31">
        <v>1.23</v>
      </c>
      <c r="F62" s="31" t="s">
        <v>42</v>
      </c>
      <c r="G62" s="31">
        <v>0.35</v>
      </c>
    </row>
    <row r="63" spans="1:7" x14ac:dyDescent="0.35">
      <c r="A63" s="8" t="s">
        <v>84</v>
      </c>
      <c r="B63" s="31">
        <v>4.8899999999999997</v>
      </c>
      <c r="C63" s="31">
        <v>3.6</v>
      </c>
      <c r="D63" s="31">
        <v>0.59</v>
      </c>
      <c r="E63" s="31">
        <v>0.66</v>
      </c>
      <c r="F63" s="31" t="s">
        <v>42</v>
      </c>
      <c r="G63" s="31" t="s">
        <v>35</v>
      </c>
    </row>
    <row r="64" spans="1:7" x14ac:dyDescent="0.35">
      <c r="A64" s="8" t="s">
        <v>85</v>
      </c>
      <c r="B64" s="31">
        <v>2.14</v>
      </c>
      <c r="C64" s="31">
        <v>1.58</v>
      </c>
      <c r="D64" s="31">
        <v>0.11</v>
      </c>
      <c r="E64" s="31">
        <v>0.43</v>
      </c>
      <c r="F64" s="31" t="s">
        <v>42</v>
      </c>
      <c r="G64" s="31" t="s">
        <v>35</v>
      </c>
    </row>
    <row r="65" spans="1:7" x14ac:dyDescent="0.35">
      <c r="A65" s="8" t="s">
        <v>86</v>
      </c>
      <c r="B65" s="31">
        <v>1.49</v>
      </c>
      <c r="C65" s="31">
        <v>0.73</v>
      </c>
      <c r="D65" s="31">
        <v>0.18</v>
      </c>
      <c r="E65" s="31">
        <v>0.51</v>
      </c>
      <c r="F65" s="31" t="s">
        <v>42</v>
      </c>
      <c r="G65" s="31">
        <v>0.08</v>
      </c>
    </row>
    <row r="66" spans="1:7" x14ac:dyDescent="0.35">
      <c r="A66" s="8" t="s">
        <v>80</v>
      </c>
      <c r="B66" s="31">
        <v>1.26</v>
      </c>
      <c r="C66" s="31">
        <v>0.67</v>
      </c>
      <c r="D66" s="31">
        <v>0.27</v>
      </c>
      <c r="E66" s="31">
        <v>0.15</v>
      </c>
      <c r="F66" s="31" t="s">
        <v>42</v>
      </c>
      <c r="G66" s="31">
        <v>0.18</v>
      </c>
    </row>
    <row r="67" spans="1:7" ht="26.5" x14ac:dyDescent="0.35">
      <c r="A67" s="8" t="s">
        <v>87</v>
      </c>
      <c r="B67" s="31">
        <v>22.84</v>
      </c>
      <c r="C67" s="31" t="s">
        <v>42</v>
      </c>
      <c r="D67" s="31" t="s">
        <v>42</v>
      </c>
      <c r="E67" s="31" t="s">
        <v>42</v>
      </c>
      <c r="F67" s="31">
        <v>22.84</v>
      </c>
      <c r="G67" s="31" t="s">
        <v>42</v>
      </c>
    </row>
    <row r="68" spans="1:7" ht="26.5" x14ac:dyDescent="0.35">
      <c r="A68" s="29" t="s">
        <v>88</v>
      </c>
      <c r="B68" s="30" t="s">
        <v>1</v>
      </c>
      <c r="C68" s="30" t="s">
        <v>1</v>
      </c>
      <c r="D68" s="30" t="s">
        <v>1</v>
      </c>
      <c r="E68" s="30" t="s">
        <v>1</v>
      </c>
      <c r="F68" s="30" t="s">
        <v>1</v>
      </c>
      <c r="G68" s="30" t="s">
        <v>1</v>
      </c>
    </row>
    <row r="69" spans="1:7" x14ac:dyDescent="0.35">
      <c r="A69" s="34" t="s">
        <v>49</v>
      </c>
      <c r="B69" s="31">
        <v>4.59</v>
      </c>
      <c r="C69" s="31">
        <v>0.09</v>
      </c>
      <c r="D69" s="31">
        <v>0.05</v>
      </c>
      <c r="E69" s="31">
        <v>0.77</v>
      </c>
      <c r="F69" s="31">
        <v>3.56</v>
      </c>
      <c r="G69" s="31">
        <v>0.11</v>
      </c>
    </row>
    <row r="70" spans="1:7" x14ac:dyDescent="0.35">
      <c r="A70" s="34">
        <v>3</v>
      </c>
      <c r="B70" s="31">
        <v>8.73</v>
      </c>
      <c r="C70" s="31">
        <v>0.65</v>
      </c>
      <c r="D70" s="31">
        <v>0.3</v>
      </c>
      <c r="E70" s="31">
        <v>1.71</v>
      </c>
      <c r="F70" s="31">
        <v>5.86</v>
      </c>
      <c r="G70" s="31">
        <v>0.21</v>
      </c>
    </row>
    <row r="71" spans="1:7" ht="34" customHeight="1" x14ac:dyDescent="0.35">
      <c r="A71" s="34">
        <v>4</v>
      </c>
      <c r="B71" s="31">
        <v>15.95</v>
      </c>
      <c r="C71" s="31">
        <v>3.3</v>
      </c>
      <c r="D71" s="31">
        <v>1.46</v>
      </c>
      <c r="E71" s="31">
        <v>3.04</v>
      </c>
      <c r="F71" s="31">
        <v>6.98</v>
      </c>
      <c r="G71" s="31">
        <v>1.17</v>
      </c>
    </row>
    <row r="72" spans="1:7" x14ac:dyDescent="0.35">
      <c r="A72" s="34">
        <v>5</v>
      </c>
      <c r="B72" s="31">
        <v>19.54</v>
      </c>
      <c r="C72" s="31">
        <v>9.77</v>
      </c>
      <c r="D72" s="31">
        <v>1.81</v>
      </c>
      <c r="E72" s="31">
        <v>2.17</v>
      </c>
      <c r="F72" s="31">
        <v>4.13</v>
      </c>
      <c r="G72" s="31">
        <v>1.65</v>
      </c>
    </row>
    <row r="73" spans="1:7" x14ac:dyDescent="0.35">
      <c r="A73" s="34">
        <v>6</v>
      </c>
      <c r="B73" s="31">
        <v>22.1</v>
      </c>
      <c r="C73" s="31">
        <v>15.86</v>
      </c>
      <c r="D73" s="31">
        <v>1.66</v>
      </c>
      <c r="E73" s="31">
        <v>0.97</v>
      </c>
      <c r="F73" s="31">
        <v>1.68</v>
      </c>
      <c r="G73" s="31">
        <v>1.94</v>
      </c>
    </row>
    <row r="74" spans="1:7" x14ac:dyDescent="0.35">
      <c r="A74" s="34">
        <v>7</v>
      </c>
      <c r="B74" s="31">
        <v>18.86</v>
      </c>
      <c r="C74" s="31">
        <v>16.23</v>
      </c>
      <c r="D74" s="31">
        <v>1.1000000000000001</v>
      </c>
      <c r="E74" s="31">
        <v>0.27</v>
      </c>
      <c r="F74" s="31">
        <v>0.38</v>
      </c>
      <c r="G74" s="31">
        <v>0.87</v>
      </c>
    </row>
    <row r="75" spans="1:7" x14ac:dyDescent="0.35">
      <c r="A75" s="34">
        <v>8</v>
      </c>
      <c r="B75" s="31">
        <v>13.87</v>
      </c>
      <c r="C75" s="31">
        <v>12.42</v>
      </c>
      <c r="D75" s="31">
        <v>0.56000000000000005</v>
      </c>
      <c r="E75" s="31">
        <v>0.16</v>
      </c>
      <c r="F75" s="31">
        <v>0.15</v>
      </c>
      <c r="G75" s="31">
        <v>0.57999999999999996</v>
      </c>
    </row>
    <row r="76" spans="1:7" x14ac:dyDescent="0.35">
      <c r="A76" s="34" t="s">
        <v>89</v>
      </c>
      <c r="B76" s="31">
        <v>19.899999999999999</v>
      </c>
      <c r="C76" s="31">
        <v>18.73</v>
      </c>
      <c r="D76" s="31">
        <v>0.51</v>
      </c>
      <c r="E76" s="31">
        <v>0.25</v>
      </c>
      <c r="F76" s="31">
        <v>0.11</v>
      </c>
      <c r="G76" s="31">
        <v>0.3</v>
      </c>
    </row>
    <row r="77" spans="1:7" x14ac:dyDescent="0.35">
      <c r="A77" s="29" t="s">
        <v>90</v>
      </c>
      <c r="B77" s="31" t="s">
        <v>1</v>
      </c>
      <c r="C77" s="31" t="s">
        <v>1</v>
      </c>
      <c r="D77" s="31" t="s">
        <v>1</v>
      </c>
      <c r="E77" s="31" t="s">
        <v>1</v>
      </c>
      <c r="F77" s="31" t="s">
        <v>1</v>
      </c>
      <c r="G77" s="31" t="s">
        <v>1</v>
      </c>
    </row>
    <row r="78" spans="1:7" x14ac:dyDescent="0.35">
      <c r="A78" s="34">
        <v>0</v>
      </c>
      <c r="B78" s="31">
        <v>1.82</v>
      </c>
      <c r="C78" s="31">
        <v>0.1</v>
      </c>
      <c r="D78" s="31" t="s">
        <v>35</v>
      </c>
      <c r="E78" s="31">
        <v>0.32</v>
      </c>
      <c r="F78" s="31">
        <v>1.36</v>
      </c>
      <c r="G78" s="31" t="s">
        <v>35</v>
      </c>
    </row>
    <row r="79" spans="1:7" x14ac:dyDescent="0.35">
      <c r="A79" s="34">
        <v>1</v>
      </c>
      <c r="B79" s="31">
        <v>14.52</v>
      </c>
      <c r="C79" s="31">
        <v>1.25</v>
      </c>
      <c r="D79" s="31">
        <v>0.49</v>
      </c>
      <c r="E79" s="31">
        <v>2.61</v>
      </c>
      <c r="F79" s="31">
        <v>9.7799999999999994</v>
      </c>
      <c r="G79" s="31">
        <v>0.4</v>
      </c>
    </row>
    <row r="80" spans="1:7" ht="24" customHeight="1" x14ac:dyDescent="0.35">
      <c r="A80" s="34">
        <v>2</v>
      </c>
      <c r="B80" s="31">
        <v>30.67</v>
      </c>
      <c r="C80" s="31">
        <v>10.56</v>
      </c>
      <c r="D80" s="31">
        <v>3.19</v>
      </c>
      <c r="E80" s="31">
        <v>4.57</v>
      </c>
      <c r="F80" s="31">
        <v>9.99</v>
      </c>
      <c r="G80" s="31">
        <v>2.36</v>
      </c>
    </row>
    <row r="81" spans="1:7" x14ac:dyDescent="0.35">
      <c r="A81" s="34">
        <v>3</v>
      </c>
      <c r="B81" s="31">
        <v>48.27</v>
      </c>
      <c r="C81" s="31">
        <v>38.869999999999997</v>
      </c>
      <c r="D81" s="31">
        <v>2.94</v>
      </c>
      <c r="E81" s="31">
        <v>1.48</v>
      </c>
      <c r="F81" s="31">
        <v>1.51</v>
      </c>
      <c r="G81" s="31">
        <v>3.49</v>
      </c>
    </row>
    <row r="82" spans="1:7" x14ac:dyDescent="0.35">
      <c r="A82" s="34">
        <v>4</v>
      </c>
      <c r="B82" s="31">
        <v>22.08</v>
      </c>
      <c r="C82" s="31">
        <v>20.61</v>
      </c>
      <c r="D82" s="31">
        <v>0.57999999999999996</v>
      </c>
      <c r="E82" s="31">
        <v>0.23</v>
      </c>
      <c r="F82" s="31">
        <v>0.15</v>
      </c>
      <c r="G82" s="31">
        <v>0.51</v>
      </c>
    </row>
    <row r="83" spans="1:7" x14ac:dyDescent="0.35">
      <c r="A83" s="34" t="s">
        <v>91</v>
      </c>
      <c r="B83" s="31">
        <v>6.16</v>
      </c>
      <c r="C83" s="31">
        <v>5.69</v>
      </c>
      <c r="D83" s="31">
        <v>0.21</v>
      </c>
      <c r="E83" s="31">
        <v>0.13</v>
      </c>
      <c r="F83" s="31" t="s">
        <v>35</v>
      </c>
      <c r="G83" s="31">
        <v>7.0000000000000007E-2</v>
      </c>
    </row>
    <row r="84" spans="1:7" ht="26.5" x14ac:dyDescent="0.35">
      <c r="A84" s="29" t="s">
        <v>92</v>
      </c>
      <c r="B84" s="30" t="s">
        <v>1</v>
      </c>
      <c r="C84" s="30" t="s">
        <v>1</v>
      </c>
      <c r="D84" s="30" t="s">
        <v>1</v>
      </c>
      <c r="E84" s="30" t="s">
        <v>1</v>
      </c>
      <c r="F84" s="30" t="s">
        <v>1</v>
      </c>
      <c r="G84" s="30" t="s">
        <v>1</v>
      </c>
    </row>
    <row r="85" spans="1:7" x14ac:dyDescent="0.35">
      <c r="A85" s="34">
        <v>1</v>
      </c>
      <c r="B85" s="31">
        <v>8.41</v>
      </c>
      <c r="C85" s="31">
        <v>1.43</v>
      </c>
      <c r="D85" s="31">
        <v>0.31</v>
      </c>
      <c r="E85" s="31">
        <v>1.55</v>
      </c>
      <c r="F85" s="31">
        <v>4.84</v>
      </c>
      <c r="G85" s="31">
        <v>0.28000000000000003</v>
      </c>
    </row>
    <row r="86" spans="1:7" x14ac:dyDescent="0.35">
      <c r="A86" s="34">
        <v>2</v>
      </c>
      <c r="B86" s="31">
        <v>27.88</v>
      </c>
      <c r="C86" s="31">
        <v>9.65</v>
      </c>
      <c r="D86" s="31">
        <v>2.13</v>
      </c>
      <c r="E86" s="31">
        <v>3.9</v>
      </c>
      <c r="F86" s="31">
        <v>10.07</v>
      </c>
      <c r="G86" s="31">
        <v>2.13</v>
      </c>
    </row>
    <row r="87" spans="1:7" ht="34" customHeight="1" x14ac:dyDescent="0.35">
      <c r="A87" s="34">
        <v>3</v>
      </c>
      <c r="B87" s="31">
        <v>32.82</v>
      </c>
      <c r="C87" s="31">
        <v>19.91</v>
      </c>
      <c r="D87" s="31">
        <v>2.39</v>
      </c>
      <c r="E87" s="31">
        <v>2.5499999999999998</v>
      </c>
      <c r="F87" s="31">
        <v>5.6</v>
      </c>
      <c r="G87" s="31">
        <v>2.36</v>
      </c>
    </row>
    <row r="88" spans="1:7" x14ac:dyDescent="0.35">
      <c r="A88" s="34">
        <v>4</v>
      </c>
      <c r="B88" s="31">
        <v>26.77</v>
      </c>
      <c r="C88" s="31">
        <v>21.33</v>
      </c>
      <c r="D88" s="31">
        <v>1.5</v>
      </c>
      <c r="E88" s="31">
        <v>0.82</v>
      </c>
      <c r="F88" s="31">
        <v>1.86</v>
      </c>
      <c r="G88" s="31">
        <v>1.26</v>
      </c>
    </row>
    <row r="89" spans="1:7" x14ac:dyDescent="0.35">
      <c r="A89" s="34" t="s">
        <v>91</v>
      </c>
      <c r="B89" s="31">
        <v>27.64</v>
      </c>
      <c r="C89" s="31">
        <v>24.75</v>
      </c>
      <c r="D89" s="31">
        <v>1.1100000000000001</v>
      </c>
      <c r="E89" s="31">
        <v>0.51</v>
      </c>
      <c r="F89" s="31">
        <v>0.47</v>
      </c>
      <c r="G89" s="31">
        <v>0.79</v>
      </c>
    </row>
    <row r="90" spans="1:7" x14ac:dyDescent="0.35">
      <c r="A90" s="29" t="s">
        <v>93</v>
      </c>
      <c r="B90" s="30" t="s">
        <v>1</v>
      </c>
      <c r="C90" s="30" t="s">
        <v>1</v>
      </c>
      <c r="D90" s="30" t="s">
        <v>1</v>
      </c>
      <c r="E90" s="30" t="s">
        <v>1</v>
      </c>
      <c r="F90" s="30" t="s">
        <v>1</v>
      </c>
      <c r="G90" s="30" t="s">
        <v>1</v>
      </c>
    </row>
    <row r="91" spans="1:7" x14ac:dyDescent="0.35">
      <c r="A91" s="34">
        <v>0</v>
      </c>
      <c r="B91" s="31">
        <v>0.15</v>
      </c>
      <c r="C91" s="31">
        <v>7.0000000000000007E-2</v>
      </c>
      <c r="D91" s="31" t="s">
        <v>35</v>
      </c>
      <c r="E91" s="31" t="s">
        <v>35</v>
      </c>
      <c r="F91" s="31" t="s">
        <v>35</v>
      </c>
      <c r="G91" s="31" t="s">
        <v>35</v>
      </c>
    </row>
    <row r="92" spans="1:7" x14ac:dyDescent="0.35">
      <c r="A92" s="34">
        <v>1</v>
      </c>
      <c r="B92" s="31">
        <v>50.32</v>
      </c>
      <c r="C92" s="31">
        <v>21.7</v>
      </c>
      <c r="D92" s="31">
        <v>3.03</v>
      </c>
      <c r="E92" s="31">
        <v>7.24</v>
      </c>
      <c r="F92" s="31">
        <v>16.260000000000002</v>
      </c>
      <c r="G92" s="31">
        <v>2.1</v>
      </c>
    </row>
    <row r="93" spans="1:7" ht="24" customHeight="1" x14ac:dyDescent="0.35">
      <c r="A93" s="34">
        <v>2</v>
      </c>
      <c r="B93" s="31">
        <v>56.85</v>
      </c>
      <c r="C93" s="31">
        <v>40.42</v>
      </c>
      <c r="D93" s="31">
        <v>3.7</v>
      </c>
      <c r="E93" s="31">
        <v>1.86</v>
      </c>
      <c r="F93" s="31">
        <v>6.36</v>
      </c>
      <c r="G93" s="31">
        <v>4.51</v>
      </c>
    </row>
    <row r="94" spans="1:7" x14ac:dyDescent="0.35">
      <c r="A94" s="34" t="s">
        <v>94</v>
      </c>
      <c r="B94" s="31">
        <v>16.21</v>
      </c>
      <c r="C94" s="31">
        <v>14.89</v>
      </c>
      <c r="D94" s="31">
        <v>0.72</v>
      </c>
      <c r="E94" s="31">
        <v>0.23</v>
      </c>
      <c r="F94" s="31">
        <v>0.15</v>
      </c>
      <c r="G94" s="31">
        <v>0.22</v>
      </c>
    </row>
    <row r="95" spans="1:7" x14ac:dyDescent="0.35">
      <c r="A95" s="29" t="s">
        <v>95</v>
      </c>
      <c r="B95" s="30" t="s">
        <v>1</v>
      </c>
      <c r="C95" s="30" t="s">
        <v>1</v>
      </c>
      <c r="D95" s="30" t="s">
        <v>1</v>
      </c>
      <c r="E95" s="30" t="s">
        <v>1</v>
      </c>
      <c r="F95" s="30" t="s">
        <v>1</v>
      </c>
      <c r="G95" s="30" t="s">
        <v>1</v>
      </c>
    </row>
    <row r="96" spans="1:7" x14ac:dyDescent="0.35">
      <c r="A96" s="34">
        <v>0</v>
      </c>
      <c r="B96" s="31">
        <v>86.83</v>
      </c>
      <c r="C96" s="31">
        <v>47.8</v>
      </c>
      <c r="D96" s="31">
        <v>4.0599999999999996</v>
      </c>
      <c r="E96" s="31">
        <v>8.2100000000000009</v>
      </c>
      <c r="F96" s="31">
        <v>20.77</v>
      </c>
      <c r="G96" s="31">
        <v>5.98</v>
      </c>
    </row>
    <row r="97" spans="1:7" x14ac:dyDescent="0.35">
      <c r="A97" s="34">
        <v>1</v>
      </c>
      <c r="B97" s="31">
        <v>33.79</v>
      </c>
      <c r="C97" s="31">
        <v>26.87</v>
      </c>
      <c r="D97" s="31">
        <v>3.21</v>
      </c>
      <c r="E97" s="31">
        <v>1.03</v>
      </c>
      <c r="F97" s="31">
        <v>1.94</v>
      </c>
      <c r="G97" s="31">
        <v>0.75</v>
      </c>
    </row>
    <row r="98" spans="1:7" ht="24" customHeight="1" x14ac:dyDescent="0.35">
      <c r="A98" s="34" t="s">
        <v>96</v>
      </c>
      <c r="B98" s="31">
        <v>2.91</v>
      </c>
      <c r="C98" s="31">
        <v>2.39</v>
      </c>
      <c r="D98" s="31">
        <v>0.18</v>
      </c>
      <c r="E98" s="31">
        <v>0.11</v>
      </c>
      <c r="F98" s="31">
        <v>0.13</v>
      </c>
      <c r="G98" s="31">
        <v>0.1</v>
      </c>
    </row>
    <row r="99" spans="1:7" x14ac:dyDescent="0.35">
      <c r="A99" s="29" t="s">
        <v>48</v>
      </c>
      <c r="B99" s="30" t="s">
        <v>1</v>
      </c>
      <c r="C99" s="30" t="s">
        <v>1</v>
      </c>
      <c r="D99" s="30" t="s">
        <v>1</v>
      </c>
      <c r="E99" s="30" t="s">
        <v>1</v>
      </c>
      <c r="F99" s="30" t="s">
        <v>1</v>
      </c>
      <c r="G99" s="30" t="s">
        <v>1</v>
      </c>
    </row>
    <row r="100" spans="1:7" x14ac:dyDescent="0.35">
      <c r="A100" s="8" t="s">
        <v>50</v>
      </c>
      <c r="B100" s="31">
        <v>36.83</v>
      </c>
      <c r="C100" s="31">
        <v>33.86</v>
      </c>
      <c r="D100" s="31">
        <v>2.98</v>
      </c>
      <c r="E100" s="31" t="s">
        <v>42</v>
      </c>
      <c r="F100" s="31" t="s">
        <v>42</v>
      </c>
      <c r="G100" s="31" t="s">
        <v>42</v>
      </c>
    </row>
    <row r="101" spans="1:7" x14ac:dyDescent="0.35">
      <c r="A101" s="32" t="s">
        <v>97</v>
      </c>
      <c r="B101" s="31">
        <v>21.71</v>
      </c>
      <c r="C101" s="31">
        <v>19.850000000000001</v>
      </c>
      <c r="D101" s="31">
        <v>1.87</v>
      </c>
      <c r="E101" s="31" t="s">
        <v>42</v>
      </c>
      <c r="F101" s="31" t="s">
        <v>42</v>
      </c>
      <c r="G101" s="31" t="s">
        <v>42</v>
      </c>
    </row>
    <row r="102" spans="1:7" ht="24" customHeight="1" x14ac:dyDescent="0.35">
      <c r="A102" s="32" t="s">
        <v>98</v>
      </c>
      <c r="B102" s="31">
        <v>15.12</v>
      </c>
      <c r="C102" s="31">
        <v>14.01</v>
      </c>
      <c r="D102" s="31">
        <v>1.1100000000000001</v>
      </c>
      <c r="E102" s="31" t="s">
        <v>42</v>
      </c>
      <c r="F102" s="31" t="s">
        <v>42</v>
      </c>
      <c r="G102" s="31" t="s">
        <v>42</v>
      </c>
    </row>
    <row r="103" spans="1:7" x14ac:dyDescent="0.35">
      <c r="A103" s="34" t="s">
        <v>51</v>
      </c>
      <c r="B103" s="31">
        <v>47.68</v>
      </c>
      <c r="C103" s="31">
        <v>43.21</v>
      </c>
      <c r="D103" s="31">
        <v>4.47</v>
      </c>
      <c r="E103" s="31" t="s">
        <v>42</v>
      </c>
      <c r="F103" s="31" t="s">
        <v>42</v>
      </c>
      <c r="G103" s="31" t="s">
        <v>42</v>
      </c>
    </row>
    <row r="104" spans="1:7" ht="26.5" x14ac:dyDescent="0.35">
      <c r="A104" s="34" t="s">
        <v>78</v>
      </c>
      <c r="B104" s="31">
        <v>39.01</v>
      </c>
      <c r="C104" s="31" t="s">
        <v>42</v>
      </c>
      <c r="D104" s="31" t="s">
        <v>42</v>
      </c>
      <c r="E104" s="31">
        <v>9.34</v>
      </c>
      <c r="F104" s="31">
        <v>22.84</v>
      </c>
      <c r="G104" s="31">
        <v>6.83</v>
      </c>
    </row>
    <row r="105" spans="1:7" x14ac:dyDescent="0.35">
      <c r="A105" s="29" t="s">
        <v>99</v>
      </c>
      <c r="B105" s="30" t="s">
        <v>1</v>
      </c>
      <c r="C105" s="30" t="s">
        <v>1</v>
      </c>
      <c r="D105" s="30" t="s">
        <v>1</v>
      </c>
      <c r="E105" s="30" t="s">
        <v>1</v>
      </c>
      <c r="F105" s="30" t="s">
        <v>1</v>
      </c>
      <c r="G105" s="30" t="s">
        <v>1</v>
      </c>
    </row>
    <row r="106" spans="1:7" x14ac:dyDescent="0.35">
      <c r="A106" s="8" t="s">
        <v>50</v>
      </c>
      <c r="B106" s="31">
        <v>56.5</v>
      </c>
      <c r="C106" s="31">
        <v>52.99</v>
      </c>
      <c r="D106" s="31">
        <v>3.52</v>
      </c>
      <c r="E106" s="31" t="s">
        <v>42</v>
      </c>
      <c r="F106" s="31" t="s">
        <v>42</v>
      </c>
      <c r="G106" s="31" t="s">
        <v>42</v>
      </c>
    </row>
    <row r="107" spans="1:7" x14ac:dyDescent="0.35">
      <c r="A107" s="32" t="s">
        <v>100</v>
      </c>
      <c r="B107" s="31">
        <v>7.68</v>
      </c>
      <c r="C107" s="31">
        <v>7.1</v>
      </c>
      <c r="D107" s="31">
        <v>0.56999999999999995</v>
      </c>
      <c r="E107" s="31" t="s">
        <v>42</v>
      </c>
      <c r="F107" s="31" t="s">
        <v>42</v>
      </c>
      <c r="G107" s="31" t="s">
        <v>42</v>
      </c>
    </row>
    <row r="108" spans="1:7" ht="24" customHeight="1" x14ac:dyDescent="0.35">
      <c r="A108" s="32" t="s">
        <v>101</v>
      </c>
      <c r="B108" s="31">
        <v>48.83</v>
      </c>
      <c r="C108" s="31">
        <v>45.88</v>
      </c>
      <c r="D108" s="31">
        <v>2.94</v>
      </c>
      <c r="E108" s="31" t="s">
        <v>42</v>
      </c>
      <c r="F108" s="31" t="s">
        <v>42</v>
      </c>
      <c r="G108" s="31" t="s">
        <v>42</v>
      </c>
    </row>
    <row r="109" spans="1:7" x14ac:dyDescent="0.35">
      <c r="A109" s="8" t="s">
        <v>51</v>
      </c>
      <c r="B109" s="31">
        <v>28.01</v>
      </c>
      <c r="C109" s="31">
        <v>24.08</v>
      </c>
      <c r="D109" s="31">
        <v>3.94</v>
      </c>
      <c r="E109" s="31" t="s">
        <v>42</v>
      </c>
      <c r="F109" s="31" t="s">
        <v>42</v>
      </c>
      <c r="G109" s="31" t="s">
        <v>42</v>
      </c>
    </row>
    <row r="110" spans="1:7" ht="26.5" x14ac:dyDescent="0.35">
      <c r="A110" s="34" t="s">
        <v>78</v>
      </c>
      <c r="B110" s="31">
        <v>39.01</v>
      </c>
      <c r="C110" s="31" t="s">
        <v>42</v>
      </c>
      <c r="D110" s="31" t="s">
        <v>42</v>
      </c>
      <c r="E110" s="31">
        <v>9.34</v>
      </c>
      <c r="F110" s="31">
        <v>22.84</v>
      </c>
      <c r="G110" s="31">
        <v>6.83</v>
      </c>
    </row>
    <row r="111" spans="1:7" x14ac:dyDescent="0.35">
      <c r="A111" s="29" t="s">
        <v>102</v>
      </c>
      <c r="B111" s="30" t="s">
        <v>1</v>
      </c>
      <c r="C111" s="30" t="s">
        <v>1</v>
      </c>
      <c r="D111" s="30" t="s">
        <v>1</v>
      </c>
      <c r="E111" s="30" t="s">
        <v>1</v>
      </c>
      <c r="F111" s="30" t="s">
        <v>1</v>
      </c>
      <c r="G111" s="30" t="s">
        <v>1</v>
      </c>
    </row>
    <row r="112" spans="1:7" x14ac:dyDescent="0.35">
      <c r="A112" s="8" t="s">
        <v>50</v>
      </c>
      <c r="B112" s="31">
        <v>51.79</v>
      </c>
      <c r="C112" s="31">
        <v>48.19</v>
      </c>
      <c r="D112" s="31">
        <v>3.6</v>
      </c>
      <c r="E112" s="31" t="s">
        <v>42</v>
      </c>
      <c r="F112" s="31" t="s">
        <v>42</v>
      </c>
      <c r="G112" s="31" t="s">
        <v>42</v>
      </c>
    </row>
    <row r="113" spans="1:7" x14ac:dyDescent="0.35">
      <c r="A113" s="32" t="s">
        <v>103</v>
      </c>
      <c r="B113" s="31">
        <v>11.27</v>
      </c>
      <c r="C113" s="31">
        <v>9.64</v>
      </c>
      <c r="D113" s="31">
        <v>1.64</v>
      </c>
      <c r="E113" s="31" t="s">
        <v>42</v>
      </c>
      <c r="F113" s="31" t="s">
        <v>42</v>
      </c>
      <c r="G113" s="31" t="s">
        <v>42</v>
      </c>
    </row>
    <row r="114" spans="1:7" ht="24" customHeight="1" x14ac:dyDescent="0.35">
      <c r="A114" s="32" t="s">
        <v>104</v>
      </c>
      <c r="B114" s="31">
        <v>34.18</v>
      </c>
      <c r="C114" s="31">
        <v>32.270000000000003</v>
      </c>
      <c r="D114" s="31">
        <v>1.91</v>
      </c>
      <c r="E114" s="31" t="s">
        <v>42</v>
      </c>
      <c r="F114" s="31" t="s">
        <v>42</v>
      </c>
      <c r="G114" s="31" t="s">
        <v>42</v>
      </c>
    </row>
    <row r="115" spans="1:7" ht="24" customHeight="1" x14ac:dyDescent="0.35">
      <c r="A115" s="32" t="s">
        <v>105</v>
      </c>
      <c r="B115" s="31">
        <v>6.34</v>
      </c>
      <c r="C115" s="31">
        <v>6.28</v>
      </c>
      <c r="D115" s="31">
        <v>0.06</v>
      </c>
      <c r="E115" s="31" t="s">
        <v>42</v>
      </c>
      <c r="F115" s="31" t="s">
        <v>42</v>
      </c>
      <c r="G115" s="31" t="s">
        <v>42</v>
      </c>
    </row>
    <row r="116" spans="1:7" x14ac:dyDescent="0.35">
      <c r="A116" s="8" t="s">
        <v>51</v>
      </c>
      <c r="B116" s="31">
        <v>32.72</v>
      </c>
      <c r="C116" s="31">
        <v>28.88</v>
      </c>
      <c r="D116" s="31">
        <v>3.85</v>
      </c>
      <c r="E116" s="31" t="s">
        <v>42</v>
      </c>
      <c r="F116" s="31" t="s">
        <v>42</v>
      </c>
      <c r="G116" s="31" t="s">
        <v>42</v>
      </c>
    </row>
    <row r="117" spans="1:7" ht="26.5" x14ac:dyDescent="0.35">
      <c r="A117" s="34" t="s">
        <v>78</v>
      </c>
      <c r="B117" s="31">
        <v>39.01</v>
      </c>
      <c r="C117" s="31" t="s">
        <v>42</v>
      </c>
      <c r="D117" s="31" t="s">
        <v>42</v>
      </c>
      <c r="E117" s="31">
        <v>9.34</v>
      </c>
      <c r="F117" s="31">
        <v>22.84</v>
      </c>
      <c r="G117" s="31">
        <v>6.83</v>
      </c>
    </row>
    <row r="118" spans="1:7" x14ac:dyDescent="0.35">
      <c r="A118" s="29" t="s">
        <v>106</v>
      </c>
      <c r="B118" s="30" t="s">
        <v>1</v>
      </c>
      <c r="C118" s="30" t="s">
        <v>1</v>
      </c>
      <c r="D118" s="30" t="s">
        <v>1</v>
      </c>
      <c r="E118" s="30" t="s">
        <v>1</v>
      </c>
      <c r="F118" s="30" t="s">
        <v>1</v>
      </c>
      <c r="G118" s="30" t="s">
        <v>1</v>
      </c>
    </row>
    <row r="119" spans="1:7" x14ac:dyDescent="0.35">
      <c r="A119" s="8" t="s">
        <v>107</v>
      </c>
      <c r="B119" s="31">
        <v>34.340000000000003</v>
      </c>
      <c r="C119" s="31">
        <v>24.33</v>
      </c>
      <c r="D119" s="31">
        <v>1.8</v>
      </c>
      <c r="E119" s="31">
        <v>1.59</v>
      </c>
      <c r="F119" s="31">
        <v>5.22</v>
      </c>
      <c r="G119" s="31">
        <v>1.39</v>
      </c>
    </row>
    <row r="120" spans="1:7" x14ac:dyDescent="0.35">
      <c r="A120" s="8" t="s">
        <v>108</v>
      </c>
      <c r="B120" s="31">
        <v>64.27</v>
      </c>
      <c r="C120" s="31">
        <v>40.369999999999997</v>
      </c>
      <c r="D120" s="31">
        <v>3.98</v>
      </c>
      <c r="E120" s="31">
        <v>4.41</v>
      </c>
      <c r="F120" s="31">
        <v>12.22</v>
      </c>
      <c r="G120" s="31">
        <v>3.28</v>
      </c>
    </row>
    <row r="121" spans="1:7" ht="24" customHeight="1" x14ac:dyDescent="0.35">
      <c r="A121" s="8" t="s">
        <v>109</v>
      </c>
      <c r="B121" s="31">
        <v>21.29</v>
      </c>
      <c r="C121" s="31">
        <v>11.11</v>
      </c>
      <c r="D121" s="31">
        <v>1.45</v>
      </c>
      <c r="E121" s="31">
        <v>2.7</v>
      </c>
      <c r="F121" s="31">
        <v>4.1500000000000004</v>
      </c>
      <c r="G121" s="31">
        <v>1.87</v>
      </c>
    </row>
    <row r="122" spans="1:7" x14ac:dyDescent="0.35">
      <c r="A122" s="8" t="s">
        <v>627</v>
      </c>
      <c r="B122" s="31">
        <v>3.63</v>
      </c>
      <c r="C122" s="31">
        <v>1.25</v>
      </c>
      <c r="D122" s="31">
        <v>0.21</v>
      </c>
      <c r="E122" s="31">
        <v>0.64</v>
      </c>
      <c r="F122" s="31">
        <v>1.24</v>
      </c>
      <c r="G122" s="31">
        <v>0.28999999999999998</v>
      </c>
    </row>
    <row r="123" spans="1:7" ht="26.5" x14ac:dyDescent="0.35">
      <c r="A123" s="29" t="s">
        <v>110</v>
      </c>
      <c r="B123" s="30" t="s">
        <v>1</v>
      </c>
      <c r="C123" s="30" t="s">
        <v>1</v>
      </c>
      <c r="D123" s="30" t="s">
        <v>1</v>
      </c>
      <c r="E123" s="30" t="s">
        <v>1</v>
      </c>
      <c r="F123" s="30" t="s">
        <v>1</v>
      </c>
      <c r="G123" s="30" t="s">
        <v>1</v>
      </c>
    </row>
    <row r="124" spans="1:7" x14ac:dyDescent="0.35">
      <c r="A124" s="8" t="s">
        <v>52</v>
      </c>
      <c r="B124" s="31">
        <v>55.37</v>
      </c>
      <c r="C124" s="31">
        <v>37.020000000000003</v>
      </c>
      <c r="D124" s="31">
        <v>2.91</v>
      </c>
      <c r="E124" s="31">
        <v>2.9</v>
      </c>
      <c r="F124" s="31">
        <v>10.130000000000001</v>
      </c>
      <c r="G124" s="31">
        <v>2.41</v>
      </c>
    </row>
    <row r="125" spans="1:7" x14ac:dyDescent="0.35">
      <c r="A125" s="8" t="s">
        <v>111</v>
      </c>
      <c r="B125" s="31">
        <v>52.63</v>
      </c>
      <c r="C125" s="31">
        <v>32.53</v>
      </c>
      <c r="D125" s="31">
        <v>3.35</v>
      </c>
      <c r="E125" s="31">
        <v>4.22</v>
      </c>
      <c r="F125" s="31">
        <v>9.35</v>
      </c>
      <c r="G125" s="31">
        <v>3.19</v>
      </c>
    </row>
    <row r="126" spans="1:7" s="7" customFormat="1" ht="24" customHeight="1" x14ac:dyDescent="0.35">
      <c r="A126" s="8" t="s">
        <v>112</v>
      </c>
      <c r="B126" s="31">
        <v>10.39</v>
      </c>
      <c r="C126" s="31">
        <v>5.3</v>
      </c>
      <c r="D126" s="31">
        <v>0.76</v>
      </c>
      <c r="E126" s="31">
        <v>1.43</v>
      </c>
      <c r="F126" s="31">
        <v>2.15</v>
      </c>
      <c r="G126" s="31">
        <v>0.75</v>
      </c>
    </row>
    <row r="127" spans="1:7" s="7" customFormat="1" x14ac:dyDescent="0.35">
      <c r="A127" s="8" t="s">
        <v>113</v>
      </c>
      <c r="B127" s="31">
        <v>5.14</v>
      </c>
      <c r="C127" s="31">
        <v>2.2200000000000002</v>
      </c>
      <c r="D127" s="31">
        <v>0.44</v>
      </c>
      <c r="E127" s="31">
        <v>0.8</v>
      </c>
      <c r="F127" s="31">
        <v>1.2</v>
      </c>
      <c r="G127" s="31">
        <v>0.48</v>
      </c>
    </row>
    <row r="128" spans="1:7" s="7" customFormat="1" x14ac:dyDescent="0.35">
      <c r="A128" s="29" t="s">
        <v>628</v>
      </c>
      <c r="B128" s="30" t="s">
        <v>1</v>
      </c>
      <c r="C128" s="30" t="s">
        <v>1</v>
      </c>
      <c r="D128" s="30" t="s">
        <v>1</v>
      </c>
      <c r="E128" s="30" t="s">
        <v>1</v>
      </c>
      <c r="F128" s="30" t="s">
        <v>1</v>
      </c>
      <c r="G128" s="30" t="s">
        <v>1</v>
      </c>
    </row>
    <row r="129" spans="1:7" x14ac:dyDescent="0.35">
      <c r="A129" s="8" t="s">
        <v>50</v>
      </c>
      <c r="B129" s="31">
        <v>55.18</v>
      </c>
      <c r="C129" s="31">
        <v>39.22</v>
      </c>
      <c r="D129" s="31">
        <v>3.72</v>
      </c>
      <c r="E129" s="31">
        <v>3.49</v>
      </c>
      <c r="F129" s="31">
        <v>8.75</v>
      </c>
      <c r="G129" s="31" t="s">
        <v>42</v>
      </c>
    </row>
    <row r="130" spans="1:7" x14ac:dyDescent="0.35">
      <c r="A130" s="8" t="s">
        <v>51</v>
      </c>
      <c r="B130" s="31">
        <v>61.52</v>
      </c>
      <c r="C130" s="31">
        <v>37.85</v>
      </c>
      <c r="D130" s="31">
        <v>3.73</v>
      </c>
      <c r="E130" s="31">
        <v>5.85</v>
      </c>
      <c r="F130" s="31">
        <v>14.08</v>
      </c>
      <c r="G130" s="31" t="s">
        <v>42</v>
      </c>
    </row>
    <row r="131" spans="1:7" ht="24" customHeight="1" x14ac:dyDescent="0.35">
      <c r="A131" s="34" t="s">
        <v>114</v>
      </c>
      <c r="B131" s="31">
        <v>6.83</v>
      </c>
      <c r="C131" s="31" t="s">
        <v>42</v>
      </c>
      <c r="D131" s="31" t="s">
        <v>42</v>
      </c>
      <c r="E131" s="31" t="s">
        <v>42</v>
      </c>
      <c r="F131" s="31" t="s">
        <v>42</v>
      </c>
      <c r="G131" s="31">
        <v>6.83</v>
      </c>
    </row>
    <row r="132" spans="1:7" x14ac:dyDescent="0.35">
      <c r="A132" s="29" t="s">
        <v>115</v>
      </c>
      <c r="B132" s="30" t="s">
        <v>1</v>
      </c>
      <c r="C132" s="30" t="s">
        <v>1</v>
      </c>
      <c r="D132" s="30" t="s">
        <v>1</v>
      </c>
      <c r="E132" s="30" t="s">
        <v>1</v>
      </c>
      <c r="F132" s="30" t="s">
        <v>1</v>
      </c>
      <c r="G132" s="30" t="s">
        <v>1</v>
      </c>
    </row>
    <row r="133" spans="1:7" x14ac:dyDescent="0.35">
      <c r="A133" s="8" t="s">
        <v>116</v>
      </c>
      <c r="B133" s="31">
        <v>6.95</v>
      </c>
      <c r="C133" s="31">
        <v>0.1</v>
      </c>
      <c r="D133" s="31">
        <v>0.22</v>
      </c>
      <c r="E133" s="31">
        <v>0.77</v>
      </c>
      <c r="F133" s="31">
        <v>5.85</v>
      </c>
      <c r="G133" s="31" t="s">
        <v>35</v>
      </c>
    </row>
    <row r="134" spans="1:7" x14ac:dyDescent="0.35">
      <c r="A134" s="8" t="s">
        <v>117</v>
      </c>
      <c r="B134" s="31">
        <v>18.149999999999999</v>
      </c>
      <c r="C134" s="31">
        <v>1.72</v>
      </c>
      <c r="D134" s="31">
        <v>1.79</v>
      </c>
      <c r="E134" s="31">
        <v>3.81</v>
      </c>
      <c r="F134" s="31">
        <v>10.54</v>
      </c>
      <c r="G134" s="31">
        <v>0.28999999999999998</v>
      </c>
    </row>
    <row r="135" spans="1:7" ht="24" customHeight="1" x14ac:dyDescent="0.35">
      <c r="A135" s="8" t="s">
        <v>118</v>
      </c>
      <c r="B135" s="31">
        <v>29.35</v>
      </c>
      <c r="C135" s="31">
        <v>16.16</v>
      </c>
      <c r="D135" s="31">
        <v>2.6</v>
      </c>
      <c r="E135" s="31">
        <v>2.86</v>
      </c>
      <c r="F135" s="31">
        <v>5.09</v>
      </c>
      <c r="G135" s="31">
        <v>2.66</v>
      </c>
    </row>
    <row r="136" spans="1:7" x14ac:dyDescent="0.35">
      <c r="A136" s="35" t="s">
        <v>119</v>
      </c>
      <c r="B136" s="31">
        <v>38.42</v>
      </c>
      <c r="C136" s="31">
        <v>30.76</v>
      </c>
      <c r="D136" s="31">
        <v>1.97</v>
      </c>
      <c r="E136" s="31">
        <v>1.42</v>
      </c>
      <c r="F136" s="31">
        <v>1.04</v>
      </c>
      <c r="G136" s="31">
        <v>3.23</v>
      </c>
    </row>
    <row r="137" spans="1:7" x14ac:dyDescent="0.35">
      <c r="A137" s="35" t="s">
        <v>120</v>
      </c>
      <c r="B137" s="31">
        <v>13.61</v>
      </c>
      <c r="C137" s="31">
        <v>12.28</v>
      </c>
      <c r="D137" s="31">
        <v>0.43</v>
      </c>
      <c r="E137" s="31">
        <v>0.25</v>
      </c>
      <c r="F137" s="31">
        <v>0.14000000000000001</v>
      </c>
      <c r="G137" s="31">
        <v>0.51</v>
      </c>
    </row>
    <row r="138" spans="1:7" x14ac:dyDescent="0.35">
      <c r="A138" s="35" t="s">
        <v>121</v>
      </c>
      <c r="B138" s="31">
        <v>12.43</v>
      </c>
      <c r="C138" s="31">
        <v>11.7</v>
      </c>
      <c r="D138" s="31">
        <v>0.35</v>
      </c>
      <c r="E138" s="31">
        <v>0.14000000000000001</v>
      </c>
      <c r="F138" s="31" t="s">
        <v>35</v>
      </c>
      <c r="G138" s="31">
        <v>0.13</v>
      </c>
    </row>
    <row r="139" spans="1:7" x14ac:dyDescent="0.35">
      <c r="A139" s="35" t="s">
        <v>122</v>
      </c>
      <c r="B139" s="31">
        <v>4.62</v>
      </c>
      <c r="C139" s="31">
        <v>4.3499999999999996</v>
      </c>
      <c r="D139" s="31">
        <v>0.1</v>
      </c>
      <c r="E139" s="31">
        <v>0.09</v>
      </c>
      <c r="F139" s="31" t="s">
        <v>35</v>
      </c>
      <c r="G139" s="31" t="s">
        <v>35</v>
      </c>
    </row>
    <row r="140" spans="1:7" x14ac:dyDescent="0.35">
      <c r="A140" s="29" t="s">
        <v>123</v>
      </c>
      <c r="B140" s="30" t="s">
        <v>1</v>
      </c>
      <c r="C140" s="30" t="s">
        <v>1</v>
      </c>
      <c r="D140" s="30" t="s">
        <v>1</v>
      </c>
      <c r="E140" s="30" t="s">
        <v>1</v>
      </c>
      <c r="F140" s="30" t="s">
        <v>1</v>
      </c>
      <c r="G140" s="30" t="s">
        <v>1</v>
      </c>
    </row>
    <row r="141" spans="1:7" x14ac:dyDescent="0.35">
      <c r="A141" s="8" t="s">
        <v>124</v>
      </c>
      <c r="B141" s="31">
        <v>43.51</v>
      </c>
      <c r="C141" s="31">
        <v>21.45</v>
      </c>
      <c r="D141" s="31">
        <v>2.81</v>
      </c>
      <c r="E141" s="31">
        <v>4.9400000000000004</v>
      </c>
      <c r="F141" s="31">
        <v>10.84</v>
      </c>
      <c r="G141" s="31">
        <v>3.46</v>
      </c>
    </row>
    <row r="142" spans="1:7" x14ac:dyDescent="0.35">
      <c r="A142" s="8" t="s">
        <v>125</v>
      </c>
      <c r="B142" s="31">
        <v>77.95</v>
      </c>
      <c r="C142" s="31">
        <v>54.09</v>
      </c>
      <c r="D142" s="31">
        <v>4.5199999999999996</v>
      </c>
      <c r="E142" s="31">
        <v>4.33</v>
      </c>
      <c r="F142" s="31">
        <v>11.72</v>
      </c>
      <c r="G142" s="31">
        <v>3.29</v>
      </c>
    </row>
    <row r="143" spans="1:7" ht="24" customHeight="1" x14ac:dyDescent="0.35">
      <c r="A143" s="8" t="s">
        <v>126</v>
      </c>
      <c r="B143" s="31">
        <v>2.0699999999999998</v>
      </c>
      <c r="C143" s="31">
        <v>1.53</v>
      </c>
      <c r="D143" s="31">
        <v>0.12</v>
      </c>
      <c r="E143" s="31">
        <v>7.0000000000000007E-2</v>
      </c>
      <c r="F143" s="31">
        <v>0.27</v>
      </c>
      <c r="G143" s="31" t="s">
        <v>35</v>
      </c>
    </row>
    <row r="144" spans="1:7" x14ac:dyDescent="0.35">
      <c r="A144" s="29" t="s">
        <v>127</v>
      </c>
      <c r="B144" s="30" t="s">
        <v>1</v>
      </c>
      <c r="C144" s="30" t="s">
        <v>1</v>
      </c>
      <c r="D144" s="30" t="s">
        <v>1</v>
      </c>
      <c r="E144" s="30" t="s">
        <v>1</v>
      </c>
      <c r="F144" s="30" t="s">
        <v>1</v>
      </c>
      <c r="G144" s="30" t="s">
        <v>1</v>
      </c>
    </row>
    <row r="145" spans="1:7" x14ac:dyDescent="0.35">
      <c r="A145" s="8" t="s">
        <v>128</v>
      </c>
      <c r="B145" s="31">
        <v>47.4</v>
      </c>
      <c r="C145" s="31">
        <v>23.3</v>
      </c>
      <c r="D145" s="31">
        <v>2.89</v>
      </c>
      <c r="E145" s="31">
        <v>4.2300000000000004</v>
      </c>
      <c r="F145" s="31">
        <v>13.02</v>
      </c>
      <c r="G145" s="31">
        <v>3.94</v>
      </c>
    </row>
    <row r="146" spans="1:7" x14ac:dyDescent="0.35">
      <c r="A146" s="8" t="s">
        <v>44</v>
      </c>
      <c r="B146" s="31">
        <v>40.31</v>
      </c>
      <c r="C146" s="31">
        <v>27.87</v>
      </c>
      <c r="D146" s="31">
        <v>2.2599999999999998</v>
      </c>
      <c r="E146" s="31">
        <v>3.23</v>
      </c>
      <c r="F146" s="31">
        <v>5.52</v>
      </c>
      <c r="G146" s="31">
        <v>1.43</v>
      </c>
    </row>
    <row r="147" spans="1:7" ht="24" customHeight="1" x14ac:dyDescent="0.35">
      <c r="A147" s="8" t="s">
        <v>129</v>
      </c>
      <c r="B147" s="31">
        <v>31.85</v>
      </c>
      <c r="C147" s="31">
        <v>23.39</v>
      </c>
      <c r="D147" s="31">
        <v>1.95</v>
      </c>
      <c r="E147" s="31">
        <v>1.54</v>
      </c>
      <c r="F147" s="31">
        <v>3.66</v>
      </c>
      <c r="G147" s="31">
        <v>1.3</v>
      </c>
    </row>
    <row r="148" spans="1:7" x14ac:dyDescent="0.35">
      <c r="A148" s="35" t="s">
        <v>130</v>
      </c>
      <c r="B148" s="31">
        <v>1.72</v>
      </c>
      <c r="C148" s="31">
        <v>0.94</v>
      </c>
      <c r="D148" s="31">
        <v>0.15</v>
      </c>
      <c r="E148" s="31">
        <v>0.19</v>
      </c>
      <c r="F148" s="31">
        <v>0.34</v>
      </c>
      <c r="G148" s="31">
        <v>0.1</v>
      </c>
    </row>
    <row r="149" spans="1:7" x14ac:dyDescent="0.35">
      <c r="A149" s="35" t="s">
        <v>131</v>
      </c>
      <c r="B149" s="31">
        <v>2.25</v>
      </c>
      <c r="C149" s="31">
        <v>1.56</v>
      </c>
      <c r="D149" s="31">
        <v>0.19</v>
      </c>
      <c r="E149" s="31">
        <v>0.15</v>
      </c>
      <c r="F149" s="31">
        <v>0.3</v>
      </c>
      <c r="G149" s="31" t="s">
        <v>35</v>
      </c>
    </row>
    <row r="150" spans="1:7" ht="26.5" x14ac:dyDescent="0.35">
      <c r="A150" s="29" t="s">
        <v>629</v>
      </c>
      <c r="B150" s="30" t="s">
        <v>1</v>
      </c>
      <c r="C150" s="30" t="s">
        <v>1</v>
      </c>
      <c r="D150" s="30" t="s">
        <v>1</v>
      </c>
      <c r="E150" s="30" t="s">
        <v>1</v>
      </c>
      <c r="F150" s="30" t="s">
        <v>1</v>
      </c>
      <c r="G150" s="30" t="s">
        <v>1</v>
      </c>
    </row>
    <row r="151" spans="1:7" x14ac:dyDescent="0.35">
      <c r="A151" s="34">
        <v>0</v>
      </c>
      <c r="B151" s="31">
        <v>60.38</v>
      </c>
      <c r="C151" s="31">
        <v>33.83</v>
      </c>
      <c r="D151" s="31">
        <v>3.24</v>
      </c>
      <c r="E151" s="31">
        <v>6.19</v>
      </c>
      <c r="F151" s="31">
        <v>12.3</v>
      </c>
      <c r="G151" s="31">
        <v>4.8</v>
      </c>
    </row>
    <row r="152" spans="1:7" x14ac:dyDescent="0.35">
      <c r="A152" s="34">
        <v>1</v>
      </c>
      <c r="B152" s="31">
        <v>39.81</v>
      </c>
      <c r="C152" s="31">
        <v>25.64</v>
      </c>
      <c r="D152" s="31">
        <v>2.57</v>
      </c>
      <c r="E152" s="31">
        <v>2.27</v>
      </c>
      <c r="F152" s="31">
        <v>8.06</v>
      </c>
      <c r="G152" s="31">
        <v>1.27</v>
      </c>
    </row>
    <row r="153" spans="1:7" ht="24" customHeight="1" x14ac:dyDescent="0.35">
      <c r="A153" s="34">
        <v>2</v>
      </c>
      <c r="B153" s="31">
        <v>15.19</v>
      </c>
      <c r="C153" s="31">
        <v>10.85</v>
      </c>
      <c r="D153" s="31">
        <v>1.26</v>
      </c>
      <c r="E153" s="31">
        <v>0.67</v>
      </c>
      <c r="F153" s="31">
        <v>1.84</v>
      </c>
      <c r="G153" s="31">
        <v>0.56000000000000005</v>
      </c>
    </row>
    <row r="154" spans="1:7" x14ac:dyDescent="0.35">
      <c r="A154" s="34" t="s">
        <v>94</v>
      </c>
      <c r="B154" s="31">
        <v>8.16</v>
      </c>
      <c r="C154" s="31">
        <v>6.75</v>
      </c>
      <c r="D154" s="31">
        <v>0.38</v>
      </c>
      <c r="E154" s="31">
        <v>0.2</v>
      </c>
      <c r="F154" s="31">
        <v>0.64</v>
      </c>
      <c r="G154" s="31">
        <v>0.19</v>
      </c>
    </row>
    <row r="155" spans="1:7" x14ac:dyDescent="0.35">
      <c r="A155" s="29" t="s">
        <v>133</v>
      </c>
      <c r="B155" s="30" t="s">
        <v>1</v>
      </c>
      <c r="C155" s="30" t="s">
        <v>1</v>
      </c>
      <c r="D155" s="30" t="s">
        <v>1</v>
      </c>
      <c r="E155" s="30" t="s">
        <v>1</v>
      </c>
      <c r="F155" s="30" t="s">
        <v>1</v>
      </c>
      <c r="G155" s="30" t="s">
        <v>1</v>
      </c>
    </row>
    <row r="156" spans="1:7" x14ac:dyDescent="0.35">
      <c r="A156" s="8" t="s">
        <v>50</v>
      </c>
      <c r="B156" s="31">
        <v>34.299999999999997</v>
      </c>
      <c r="C156" s="31">
        <v>25.3</v>
      </c>
      <c r="D156" s="31">
        <v>1.83</v>
      </c>
      <c r="E156" s="31">
        <v>1.97</v>
      </c>
      <c r="F156" s="31">
        <v>3.38</v>
      </c>
      <c r="G156" s="31">
        <v>1.82</v>
      </c>
    </row>
    <row r="157" spans="1:7" x14ac:dyDescent="0.35">
      <c r="A157" s="8" t="s">
        <v>51</v>
      </c>
      <c r="B157" s="31">
        <v>36.81</v>
      </c>
      <c r="C157" s="31">
        <v>22.8</v>
      </c>
      <c r="D157" s="31">
        <v>2.2000000000000002</v>
      </c>
      <c r="E157" s="31">
        <v>2.74</v>
      </c>
      <c r="F157" s="31">
        <v>6.71</v>
      </c>
      <c r="G157" s="31">
        <v>2.35</v>
      </c>
    </row>
    <row r="158" spans="1:7" ht="24" customHeight="1" x14ac:dyDescent="0.35">
      <c r="A158" s="8" t="s">
        <v>132</v>
      </c>
      <c r="B158" s="31">
        <v>52.42</v>
      </c>
      <c r="C158" s="31">
        <v>28.96</v>
      </c>
      <c r="D158" s="31">
        <v>3.43</v>
      </c>
      <c r="E158" s="31">
        <v>4.62</v>
      </c>
      <c r="F158" s="31">
        <v>12.74</v>
      </c>
      <c r="G158" s="31">
        <v>2.66</v>
      </c>
    </row>
    <row r="159" spans="1:7" ht="26.5" x14ac:dyDescent="0.35">
      <c r="A159" s="29" t="s">
        <v>134</v>
      </c>
      <c r="B159" s="30" t="s">
        <v>1</v>
      </c>
      <c r="C159" s="30" t="s">
        <v>1</v>
      </c>
      <c r="D159" s="30" t="s">
        <v>1</v>
      </c>
      <c r="E159" s="30" t="s">
        <v>1</v>
      </c>
      <c r="F159" s="30" t="s">
        <v>1</v>
      </c>
      <c r="G159" s="30" t="s">
        <v>1</v>
      </c>
    </row>
    <row r="160" spans="1:7" x14ac:dyDescent="0.35">
      <c r="A160" s="8" t="s">
        <v>50</v>
      </c>
      <c r="B160" s="31">
        <v>67.83</v>
      </c>
      <c r="C160" s="31">
        <v>58.09</v>
      </c>
      <c r="D160" s="31">
        <v>4.22</v>
      </c>
      <c r="E160" s="31">
        <v>2.11</v>
      </c>
      <c r="F160" s="31" t="s">
        <v>42</v>
      </c>
      <c r="G160" s="31">
        <v>3.41</v>
      </c>
    </row>
    <row r="161" spans="1:7" x14ac:dyDescent="0.35">
      <c r="A161" s="8" t="s">
        <v>51</v>
      </c>
      <c r="B161" s="31">
        <v>32.869999999999997</v>
      </c>
      <c r="C161" s="31">
        <v>18.97</v>
      </c>
      <c r="D161" s="31">
        <v>3.24</v>
      </c>
      <c r="E161" s="31">
        <v>7.23</v>
      </c>
      <c r="F161" s="31" t="s">
        <v>42</v>
      </c>
      <c r="G161" s="31">
        <v>3.42</v>
      </c>
    </row>
    <row r="162" spans="1:7" ht="24" customHeight="1" x14ac:dyDescent="0.35">
      <c r="A162" s="8" t="s">
        <v>87</v>
      </c>
      <c r="B162" s="31">
        <v>22.84</v>
      </c>
      <c r="C162" s="31" t="s">
        <v>42</v>
      </c>
      <c r="D162" s="31" t="s">
        <v>42</v>
      </c>
      <c r="E162" s="31" t="s">
        <v>42</v>
      </c>
      <c r="F162" s="31">
        <v>22.84</v>
      </c>
      <c r="G162" s="31" t="s">
        <v>42</v>
      </c>
    </row>
    <row r="163" spans="1:7" ht="26.5" x14ac:dyDescent="0.35">
      <c r="A163" s="29" t="s">
        <v>630</v>
      </c>
      <c r="B163" s="36" t="s">
        <v>1</v>
      </c>
      <c r="C163" s="36" t="s">
        <v>1</v>
      </c>
      <c r="D163" s="36" t="s">
        <v>1</v>
      </c>
      <c r="E163" s="36" t="s">
        <v>1</v>
      </c>
      <c r="F163" s="36" t="s">
        <v>1</v>
      </c>
      <c r="G163" s="36" t="s">
        <v>1</v>
      </c>
    </row>
    <row r="164" spans="1:7" x14ac:dyDescent="0.35">
      <c r="A164" s="8" t="s">
        <v>50</v>
      </c>
      <c r="B164" s="36">
        <v>1.82</v>
      </c>
      <c r="C164" s="36">
        <v>1.46</v>
      </c>
      <c r="D164" s="36">
        <v>0.11</v>
      </c>
      <c r="E164" s="36" t="s">
        <v>35</v>
      </c>
      <c r="F164" s="36">
        <v>0.17</v>
      </c>
      <c r="G164" s="36" t="s">
        <v>35</v>
      </c>
    </row>
    <row r="165" spans="1:7" x14ac:dyDescent="0.35">
      <c r="A165" s="32" t="s">
        <v>631</v>
      </c>
      <c r="B165" s="36">
        <v>1.39</v>
      </c>
      <c r="C165" s="36">
        <v>1.22</v>
      </c>
      <c r="D165" s="36">
        <v>0.09</v>
      </c>
      <c r="E165" s="36" t="s">
        <v>35</v>
      </c>
      <c r="F165" s="36" t="s">
        <v>35</v>
      </c>
      <c r="G165" s="36" t="s">
        <v>35</v>
      </c>
    </row>
    <row r="166" spans="1:7" ht="33.75" customHeight="1" x14ac:dyDescent="0.35">
      <c r="A166" s="8" t="s">
        <v>51</v>
      </c>
      <c r="B166" s="36">
        <v>121.71</v>
      </c>
      <c r="C166" s="36">
        <v>75.61</v>
      </c>
      <c r="D166" s="36">
        <v>7.34</v>
      </c>
      <c r="E166" s="36">
        <v>9.2899999999999991</v>
      </c>
      <c r="F166" s="36">
        <v>22.67</v>
      </c>
      <c r="G166" s="36">
        <v>6.79</v>
      </c>
    </row>
    <row r="167" spans="1:7" ht="26.5" x14ac:dyDescent="0.35">
      <c r="A167" s="29" t="s">
        <v>135</v>
      </c>
      <c r="B167" s="29" t="s">
        <v>1</v>
      </c>
      <c r="C167" s="29" t="s">
        <v>1</v>
      </c>
      <c r="D167" s="29" t="s">
        <v>1</v>
      </c>
      <c r="E167" s="29" t="s">
        <v>1</v>
      </c>
      <c r="F167" s="29" t="s">
        <v>1</v>
      </c>
      <c r="G167" s="29" t="s">
        <v>1</v>
      </c>
    </row>
    <row r="168" spans="1:7" x14ac:dyDescent="0.35">
      <c r="A168" s="8" t="s">
        <v>50</v>
      </c>
      <c r="B168" s="31">
        <v>84.52</v>
      </c>
      <c r="C168" s="31">
        <v>54.13</v>
      </c>
      <c r="D168" s="31">
        <v>5.63</v>
      </c>
      <c r="E168" s="31">
        <v>6.95</v>
      </c>
      <c r="F168" s="31">
        <v>14.94</v>
      </c>
      <c r="G168" s="31">
        <v>2.87</v>
      </c>
    </row>
    <row r="169" spans="1:7" x14ac:dyDescent="0.35">
      <c r="A169" s="32" t="s">
        <v>632</v>
      </c>
      <c r="B169" s="31">
        <v>69.489999999999995</v>
      </c>
      <c r="C169" s="31">
        <v>47.14</v>
      </c>
      <c r="D169" s="31">
        <v>4.9000000000000004</v>
      </c>
      <c r="E169" s="31">
        <v>5.27</v>
      </c>
      <c r="F169" s="31">
        <v>10.3</v>
      </c>
      <c r="G169" s="31">
        <v>1.89</v>
      </c>
    </row>
    <row r="170" spans="1:7" ht="33.75" customHeight="1" x14ac:dyDescent="0.35">
      <c r="A170" s="32" t="s">
        <v>633</v>
      </c>
      <c r="B170" s="31">
        <v>15.03</v>
      </c>
      <c r="C170" s="31">
        <v>6.99</v>
      </c>
      <c r="D170" s="31">
        <v>0.74</v>
      </c>
      <c r="E170" s="31">
        <v>1.68</v>
      </c>
      <c r="F170" s="31">
        <v>4.6399999999999997</v>
      </c>
      <c r="G170" s="31">
        <v>0.98</v>
      </c>
    </row>
    <row r="171" spans="1:7" x14ac:dyDescent="0.35">
      <c r="A171" s="8" t="s">
        <v>51</v>
      </c>
      <c r="B171" s="31">
        <v>39.01</v>
      </c>
      <c r="C171" s="31">
        <v>22.93</v>
      </c>
      <c r="D171" s="31">
        <v>1.82</v>
      </c>
      <c r="E171" s="31">
        <v>2.4</v>
      </c>
      <c r="F171" s="31">
        <v>7.9</v>
      </c>
      <c r="G171" s="31">
        <v>3.96</v>
      </c>
    </row>
    <row r="172" spans="1:7" x14ac:dyDescent="0.35">
      <c r="A172" s="29" t="s">
        <v>136</v>
      </c>
      <c r="B172" s="30" t="s">
        <v>1</v>
      </c>
      <c r="C172" s="30" t="s">
        <v>1</v>
      </c>
      <c r="D172" s="30" t="s">
        <v>1</v>
      </c>
      <c r="E172" s="30" t="s">
        <v>1</v>
      </c>
      <c r="F172" s="30" t="s">
        <v>1</v>
      </c>
      <c r="G172" s="30" t="s">
        <v>1</v>
      </c>
    </row>
    <row r="173" spans="1:7" x14ac:dyDescent="0.35">
      <c r="A173" s="8" t="s">
        <v>50</v>
      </c>
      <c r="B173" s="31">
        <v>3.37</v>
      </c>
      <c r="C173" s="31">
        <v>3.16</v>
      </c>
      <c r="D173" s="31">
        <v>0.11</v>
      </c>
      <c r="E173" s="31" t="s">
        <v>42</v>
      </c>
      <c r="F173" s="31" t="s">
        <v>42</v>
      </c>
      <c r="G173" s="31">
        <v>0.1</v>
      </c>
    </row>
    <row r="174" spans="1:7" x14ac:dyDescent="0.35">
      <c r="A174" s="8" t="s">
        <v>51</v>
      </c>
      <c r="B174" s="31">
        <v>87.98</v>
      </c>
      <c r="C174" s="31">
        <v>73.91</v>
      </c>
      <c r="D174" s="31">
        <v>7.34</v>
      </c>
      <c r="E174" s="31" t="s">
        <v>42</v>
      </c>
      <c r="F174" s="31" t="s">
        <v>42</v>
      </c>
      <c r="G174" s="31">
        <v>6.73</v>
      </c>
    </row>
    <row r="175" spans="1:7" ht="24" customHeight="1" x14ac:dyDescent="0.35">
      <c r="A175" s="8" t="s">
        <v>137</v>
      </c>
      <c r="B175" s="31">
        <v>32.18</v>
      </c>
      <c r="C175" s="31" t="s">
        <v>42</v>
      </c>
      <c r="D175" s="31" t="s">
        <v>42</v>
      </c>
      <c r="E175" s="31">
        <v>9.34</v>
      </c>
      <c r="F175" s="31">
        <v>22.84</v>
      </c>
      <c r="G175" s="31" t="s">
        <v>42</v>
      </c>
    </row>
    <row r="176" spans="1:7" ht="26.5" x14ac:dyDescent="0.35">
      <c r="A176" s="29" t="s">
        <v>634</v>
      </c>
      <c r="B176" s="30" t="s">
        <v>1</v>
      </c>
      <c r="C176" s="30" t="s">
        <v>1</v>
      </c>
      <c r="D176" s="30" t="s">
        <v>1</v>
      </c>
      <c r="E176" s="30" t="s">
        <v>1</v>
      </c>
      <c r="F176" s="30" t="s">
        <v>1</v>
      </c>
      <c r="G176" s="30" t="s">
        <v>1</v>
      </c>
    </row>
    <row r="177" spans="1:7" x14ac:dyDescent="0.35">
      <c r="A177" s="8" t="s">
        <v>50</v>
      </c>
      <c r="B177" s="31">
        <v>22.72</v>
      </c>
      <c r="C177" s="31">
        <v>15.11</v>
      </c>
      <c r="D177" s="31">
        <v>1.05</v>
      </c>
      <c r="E177" s="31">
        <v>1.42</v>
      </c>
      <c r="F177" s="31">
        <v>3.64</v>
      </c>
      <c r="G177" s="31">
        <v>1.5</v>
      </c>
    </row>
    <row r="178" spans="1:7" ht="26.5" x14ac:dyDescent="0.35">
      <c r="A178" s="32" t="s">
        <v>635</v>
      </c>
      <c r="B178" s="31">
        <v>19</v>
      </c>
      <c r="C178" s="31">
        <v>13.08</v>
      </c>
      <c r="D178" s="31">
        <v>0.83</v>
      </c>
      <c r="E178" s="31">
        <v>1.08</v>
      </c>
      <c r="F178" s="31">
        <v>2.68</v>
      </c>
      <c r="G178" s="31">
        <v>1.32</v>
      </c>
    </row>
    <row r="179" spans="1:7" ht="24" customHeight="1" x14ac:dyDescent="0.35">
      <c r="A179" s="32" t="s">
        <v>636</v>
      </c>
      <c r="B179" s="31">
        <v>0.25</v>
      </c>
      <c r="C179" s="31">
        <v>0.15</v>
      </c>
      <c r="D179" s="31" t="s">
        <v>35</v>
      </c>
      <c r="E179" s="31" t="s">
        <v>35</v>
      </c>
      <c r="F179" s="31" t="s">
        <v>35</v>
      </c>
      <c r="G179" s="31" t="s">
        <v>35</v>
      </c>
    </row>
    <row r="180" spans="1:7" ht="26.5" x14ac:dyDescent="0.35">
      <c r="A180" s="32" t="s">
        <v>637</v>
      </c>
      <c r="B180" s="31">
        <v>3.08</v>
      </c>
      <c r="C180" s="31">
        <v>1.71</v>
      </c>
      <c r="D180" s="31">
        <v>0.18</v>
      </c>
      <c r="E180" s="31">
        <v>0.28999999999999998</v>
      </c>
      <c r="F180" s="31">
        <v>0.76</v>
      </c>
      <c r="G180" s="31">
        <v>0.14000000000000001</v>
      </c>
    </row>
    <row r="181" spans="1:7" x14ac:dyDescent="0.35">
      <c r="A181" s="32" t="s">
        <v>351</v>
      </c>
      <c r="B181" s="31">
        <v>0.39</v>
      </c>
      <c r="C181" s="31">
        <v>0.16</v>
      </c>
      <c r="D181" s="31" t="s">
        <v>35</v>
      </c>
      <c r="E181" s="31" t="s">
        <v>35</v>
      </c>
      <c r="F181" s="31">
        <v>0.18</v>
      </c>
      <c r="G181" s="31" t="s">
        <v>35</v>
      </c>
    </row>
    <row r="182" spans="1:7" x14ac:dyDescent="0.35">
      <c r="A182" s="8" t="s">
        <v>51</v>
      </c>
      <c r="B182" s="31">
        <v>100.81</v>
      </c>
      <c r="C182" s="31">
        <v>61.96</v>
      </c>
      <c r="D182" s="31">
        <v>6.4</v>
      </c>
      <c r="E182" s="31">
        <v>7.92</v>
      </c>
      <c r="F182" s="31">
        <v>19.190000000000001</v>
      </c>
      <c r="G182" s="31">
        <v>5.33</v>
      </c>
    </row>
    <row r="183" spans="1:7" ht="24" customHeight="1" x14ac:dyDescent="0.35">
      <c r="A183" s="29" t="s">
        <v>138</v>
      </c>
      <c r="B183" s="30" t="s">
        <v>1</v>
      </c>
      <c r="C183" s="30" t="s">
        <v>1</v>
      </c>
      <c r="D183" s="30" t="s">
        <v>1</v>
      </c>
      <c r="E183" s="30" t="s">
        <v>1</v>
      </c>
      <c r="F183" s="30" t="s">
        <v>1</v>
      </c>
      <c r="G183" s="30" t="s">
        <v>1</v>
      </c>
    </row>
    <row r="184" spans="1:7" x14ac:dyDescent="0.35">
      <c r="A184" s="8" t="s">
        <v>50</v>
      </c>
      <c r="B184" s="31">
        <v>17.66</v>
      </c>
      <c r="C184" s="31">
        <v>13.93</v>
      </c>
      <c r="D184" s="31">
        <v>0.34</v>
      </c>
      <c r="E184" s="31">
        <v>0.22</v>
      </c>
      <c r="F184" s="31">
        <v>2.15</v>
      </c>
      <c r="G184" s="31">
        <v>1.02</v>
      </c>
    </row>
    <row r="185" spans="1:7" x14ac:dyDescent="0.35">
      <c r="A185" s="8" t="s">
        <v>51</v>
      </c>
      <c r="B185" s="31">
        <v>105.87</v>
      </c>
      <c r="C185" s="31">
        <v>63.14</v>
      </c>
      <c r="D185" s="31">
        <v>7.11</v>
      </c>
      <c r="E185" s="31">
        <v>9.1199999999999992</v>
      </c>
      <c r="F185" s="31">
        <v>20.69</v>
      </c>
      <c r="G185" s="31">
        <v>5.82</v>
      </c>
    </row>
    <row r="186" spans="1:7" x14ac:dyDescent="0.35">
      <c r="A186" s="29" t="s">
        <v>139</v>
      </c>
      <c r="B186" s="30" t="s">
        <v>1</v>
      </c>
      <c r="C186" s="30" t="s">
        <v>1</v>
      </c>
      <c r="D186" s="30" t="s">
        <v>1</v>
      </c>
      <c r="E186" s="30" t="s">
        <v>1</v>
      </c>
      <c r="F186" s="30" t="s">
        <v>1</v>
      </c>
      <c r="G186" s="30" t="s">
        <v>1</v>
      </c>
    </row>
    <row r="187" spans="1:7" ht="24" customHeight="1" x14ac:dyDescent="0.35">
      <c r="A187" s="34" t="s">
        <v>50</v>
      </c>
      <c r="B187" s="31">
        <v>8.52</v>
      </c>
      <c r="C187" s="31">
        <v>8.09</v>
      </c>
      <c r="D187" s="31">
        <v>0.2</v>
      </c>
      <c r="E187" s="31" t="s">
        <v>42</v>
      </c>
      <c r="F187" s="31" t="s">
        <v>42</v>
      </c>
      <c r="G187" s="31">
        <v>0.23</v>
      </c>
    </row>
    <row r="188" spans="1:7" x14ac:dyDescent="0.35">
      <c r="A188" s="8" t="s">
        <v>51</v>
      </c>
      <c r="B188" s="31">
        <v>82.83</v>
      </c>
      <c r="C188" s="31">
        <v>68.98</v>
      </c>
      <c r="D188" s="31">
        <v>7.25</v>
      </c>
      <c r="E188" s="31" t="s">
        <v>42</v>
      </c>
      <c r="F188" s="31" t="s">
        <v>42</v>
      </c>
      <c r="G188" s="31">
        <v>6.6</v>
      </c>
    </row>
    <row r="189" spans="1:7" x14ac:dyDescent="0.35">
      <c r="A189" s="8" t="s">
        <v>137</v>
      </c>
      <c r="B189" s="31">
        <v>32.18</v>
      </c>
      <c r="C189" s="31" t="s">
        <v>42</v>
      </c>
      <c r="D189" s="31" t="s">
        <v>42</v>
      </c>
      <c r="E189" s="31">
        <v>9.34</v>
      </c>
      <c r="F189" s="31">
        <v>22.84</v>
      </c>
      <c r="G189" s="31" t="s">
        <v>42</v>
      </c>
    </row>
    <row r="190" spans="1:7" x14ac:dyDescent="0.35">
      <c r="A190" s="37" t="s">
        <v>140</v>
      </c>
      <c r="B190" s="30" t="s">
        <v>1</v>
      </c>
      <c r="C190" s="30" t="s">
        <v>1</v>
      </c>
      <c r="D190" s="30" t="s">
        <v>1</v>
      </c>
      <c r="E190" s="30" t="s">
        <v>1</v>
      </c>
      <c r="F190" s="30" t="s">
        <v>1</v>
      </c>
      <c r="G190" s="30" t="s">
        <v>1</v>
      </c>
    </row>
    <row r="191" spans="1:7" x14ac:dyDescent="0.35">
      <c r="A191" s="32" t="s">
        <v>141</v>
      </c>
      <c r="B191" s="31">
        <v>1.9</v>
      </c>
      <c r="C191" s="31">
        <v>1.77</v>
      </c>
      <c r="D191" s="31">
        <v>0.06</v>
      </c>
      <c r="E191" s="31" t="s">
        <v>42</v>
      </c>
      <c r="F191" s="31" t="s">
        <v>42</v>
      </c>
      <c r="G191" s="31" t="s">
        <v>35</v>
      </c>
    </row>
    <row r="192" spans="1:7" x14ac:dyDescent="0.35">
      <c r="A192" s="32" t="s">
        <v>142</v>
      </c>
      <c r="B192" s="31">
        <v>5.08</v>
      </c>
      <c r="C192" s="31">
        <v>4.84</v>
      </c>
      <c r="D192" s="31">
        <v>0.1</v>
      </c>
      <c r="E192" s="31" t="s">
        <v>42</v>
      </c>
      <c r="F192" s="31" t="s">
        <v>42</v>
      </c>
      <c r="G192" s="31">
        <v>0.14000000000000001</v>
      </c>
    </row>
    <row r="193" spans="1:7" ht="24" customHeight="1" x14ac:dyDescent="0.35">
      <c r="A193" s="32" t="s">
        <v>143</v>
      </c>
      <c r="B193" s="31">
        <v>1.54</v>
      </c>
      <c r="C193" s="31">
        <v>1.48</v>
      </c>
      <c r="D193" s="31" t="s">
        <v>35</v>
      </c>
      <c r="E193" s="31" t="s">
        <v>42</v>
      </c>
      <c r="F193" s="31" t="s">
        <v>42</v>
      </c>
      <c r="G193" s="31" t="s">
        <v>35</v>
      </c>
    </row>
    <row r="194" spans="1:7" x14ac:dyDescent="0.35">
      <c r="A194" s="32" t="s">
        <v>144</v>
      </c>
      <c r="B194" s="31">
        <v>82.83</v>
      </c>
      <c r="C194" s="31">
        <v>68.98</v>
      </c>
      <c r="D194" s="31">
        <v>7.25</v>
      </c>
      <c r="E194" s="31" t="s">
        <v>42</v>
      </c>
      <c r="F194" s="31" t="s">
        <v>42</v>
      </c>
      <c r="G194" s="31">
        <v>6.6</v>
      </c>
    </row>
    <row r="195" spans="1:7" x14ac:dyDescent="0.35">
      <c r="A195" s="32" t="s">
        <v>137</v>
      </c>
      <c r="B195" s="31">
        <v>32.18</v>
      </c>
      <c r="C195" s="31" t="s">
        <v>42</v>
      </c>
      <c r="D195" s="31" t="s">
        <v>42</v>
      </c>
      <c r="E195" s="31">
        <v>9.34</v>
      </c>
      <c r="F195" s="31">
        <v>22.84</v>
      </c>
      <c r="G195" s="31" t="s">
        <v>42</v>
      </c>
    </row>
    <row r="196" spans="1:7" x14ac:dyDescent="0.35">
      <c r="A196" s="37" t="s">
        <v>145</v>
      </c>
      <c r="B196" s="30" t="s">
        <v>1</v>
      </c>
      <c r="C196" s="30" t="s">
        <v>1</v>
      </c>
      <c r="D196" s="30" t="s">
        <v>1</v>
      </c>
      <c r="E196" s="30" t="s">
        <v>1</v>
      </c>
      <c r="F196" s="30" t="s">
        <v>1</v>
      </c>
      <c r="G196" s="30" t="s">
        <v>1</v>
      </c>
    </row>
    <row r="197" spans="1:7" x14ac:dyDescent="0.35">
      <c r="A197" s="32" t="s">
        <v>146</v>
      </c>
      <c r="B197" s="31">
        <v>2.89</v>
      </c>
      <c r="C197" s="31">
        <v>2.82</v>
      </c>
      <c r="D197" s="31">
        <v>0.05</v>
      </c>
      <c r="E197" s="31" t="s">
        <v>42</v>
      </c>
      <c r="F197" s="31" t="s">
        <v>42</v>
      </c>
      <c r="G197" s="31" t="s">
        <v>35</v>
      </c>
    </row>
    <row r="198" spans="1:7" x14ac:dyDescent="0.35">
      <c r="A198" s="33" t="s">
        <v>147</v>
      </c>
      <c r="B198" s="31">
        <v>0.85</v>
      </c>
      <c r="C198" s="31">
        <v>0.82</v>
      </c>
      <c r="D198" s="31" t="s">
        <v>35</v>
      </c>
      <c r="E198" s="31" t="s">
        <v>42</v>
      </c>
      <c r="F198" s="31" t="s">
        <v>42</v>
      </c>
      <c r="G198" s="31" t="s">
        <v>35</v>
      </c>
    </row>
    <row r="199" spans="1:7" x14ac:dyDescent="0.35">
      <c r="A199" s="33" t="s">
        <v>148</v>
      </c>
      <c r="B199" s="31">
        <v>1.32</v>
      </c>
      <c r="C199" s="31">
        <v>1.3</v>
      </c>
      <c r="D199" s="31" t="s">
        <v>35</v>
      </c>
      <c r="E199" s="31" t="s">
        <v>42</v>
      </c>
      <c r="F199" s="31" t="s">
        <v>42</v>
      </c>
      <c r="G199" s="31" t="s">
        <v>35</v>
      </c>
    </row>
    <row r="200" spans="1:7" x14ac:dyDescent="0.35">
      <c r="A200" s="33" t="s">
        <v>149</v>
      </c>
      <c r="B200" s="31">
        <v>0.28999999999999998</v>
      </c>
      <c r="C200" s="31">
        <v>0.28000000000000003</v>
      </c>
      <c r="D200" s="31" t="s">
        <v>35</v>
      </c>
      <c r="E200" s="31" t="s">
        <v>42</v>
      </c>
      <c r="F200" s="31" t="s">
        <v>42</v>
      </c>
      <c r="G200" s="31" t="s">
        <v>42</v>
      </c>
    </row>
    <row r="201" spans="1:7" x14ac:dyDescent="0.35">
      <c r="A201" s="33" t="s">
        <v>150</v>
      </c>
      <c r="B201" s="31">
        <v>0.42</v>
      </c>
      <c r="C201" s="31">
        <v>0.42</v>
      </c>
      <c r="D201" s="31" t="s">
        <v>35</v>
      </c>
      <c r="E201" s="31" t="s">
        <v>42</v>
      </c>
      <c r="F201" s="31" t="s">
        <v>42</v>
      </c>
      <c r="G201" s="31" t="s">
        <v>42</v>
      </c>
    </row>
    <row r="202" spans="1:7" x14ac:dyDescent="0.35">
      <c r="A202" s="32" t="s">
        <v>151</v>
      </c>
      <c r="B202" s="31">
        <v>5.63</v>
      </c>
      <c r="C202" s="31">
        <v>5.27</v>
      </c>
      <c r="D202" s="31">
        <v>0.15</v>
      </c>
      <c r="E202" s="31" t="s">
        <v>42</v>
      </c>
      <c r="F202" s="31" t="s">
        <v>42</v>
      </c>
      <c r="G202" s="31">
        <v>0.22</v>
      </c>
    </row>
    <row r="203" spans="1:7" ht="24" customHeight="1" x14ac:dyDescent="0.35">
      <c r="A203" s="32" t="s">
        <v>144</v>
      </c>
      <c r="B203" s="31">
        <v>82.83</v>
      </c>
      <c r="C203" s="31">
        <v>68.98</v>
      </c>
      <c r="D203" s="31">
        <v>7.25</v>
      </c>
      <c r="E203" s="31" t="s">
        <v>42</v>
      </c>
      <c r="F203" s="31" t="s">
        <v>42</v>
      </c>
      <c r="G203" s="31">
        <v>6.6</v>
      </c>
    </row>
    <row r="204" spans="1:7" s="7" customFormat="1" x14ac:dyDescent="0.35">
      <c r="A204" s="32" t="s">
        <v>137</v>
      </c>
      <c r="B204" s="31">
        <v>32.18</v>
      </c>
      <c r="C204" s="31" t="s">
        <v>42</v>
      </c>
      <c r="D204" s="31" t="s">
        <v>42</v>
      </c>
      <c r="E204" s="31">
        <v>9.34</v>
      </c>
      <c r="F204" s="31">
        <v>22.84</v>
      </c>
      <c r="G204" s="31" t="s">
        <v>42</v>
      </c>
    </row>
    <row r="205" spans="1:7" s="7" customFormat="1" x14ac:dyDescent="0.35">
      <c r="A205" s="29" t="s">
        <v>152</v>
      </c>
      <c r="B205" s="30" t="s">
        <v>1</v>
      </c>
      <c r="C205" s="30" t="s">
        <v>1</v>
      </c>
      <c r="D205" s="30" t="s">
        <v>1</v>
      </c>
      <c r="E205" s="30" t="s">
        <v>1</v>
      </c>
      <c r="F205" s="30" t="s">
        <v>1</v>
      </c>
      <c r="G205" s="30" t="s">
        <v>1</v>
      </c>
    </row>
    <row r="206" spans="1:7" s="7" customFormat="1" ht="24" customHeight="1" x14ac:dyDescent="0.35">
      <c r="A206" s="8" t="s">
        <v>50</v>
      </c>
      <c r="B206" s="31">
        <v>8.84</v>
      </c>
      <c r="C206" s="31">
        <v>7.33</v>
      </c>
      <c r="D206" s="31">
        <v>0.28000000000000003</v>
      </c>
      <c r="E206" s="31">
        <v>0.22</v>
      </c>
      <c r="F206" s="31">
        <v>0.73</v>
      </c>
      <c r="G206" s="31">
        <v>0.28999999999999998</v>
      </c>
    </row>
    <row r="207" spans="1:7" s="7" customFormat="1" x14ac:dyDescent="0.35">
      <c r="A207" s="8" t="s">
        <v>51</v>
      </c>
      <c r="B207" s="31">
        <v>114.69</v>
      </c>
      <c r="C207" s="31">
        <v>69.739999999999995</v>
      </c>
      <c r="D207" s="31">
        <v>7.18</v>
      </c>
      <c r="E207" s="31">
        <v>9.1199999999999992</v>
      </c>
      <c r="F207" s="31">
        <v>22.11</v>
      </c>
      <c r="G207" s="31">
        <v>6.55</v>
      </c>
    </row>
    <row r="208" spans="1:7" s="7" customFormat="1" x14ac:dyDescent="0.35">
      <c r="A208" s="37" t="s">
        <v>153</v>
      </c>
      <c r="B208" s="30" t="s">
        <v>1</v>
      </c>
      <c r="C208" s="30" t="s">
        <v>1</v>
      </c>
      <c r="D208" s="30" t="s">
        <v>1</v>
      </c>
      <c r="E208" s="30" t="s">
        <v>1</v>
      </c>
      <c r="F208" s="30" t="s">
        <v>1</v>
      </c>
      <c r="G208" s="30" t="s">
        <v>1</v>
      </c>
    </row>
    <row r="209" spans="1:7" s="7" customFormat="1" x14ac:dyDescent="0.35">
      <c r="A209" s="32" t="s">
        <v>141</v>
      </c>
      <c r="B209" s="31">
        <v>4.22</v>
      </c>
      <c r="C209" s="31">
        <v>3.3</v>
      </c>
      <c r="D209" s="31">
        <v>0.17</v>
      </c>
      <c r="E209" s="31">
        <v>0.14000000000000001</v>
      </c>
      <c r="F209" s="31">
        <v>0.44</v>
      </c>
      <c r="G209" s="31">
        <v>0.16</v>
      </c>
    </row>
    <row r="210" spans="1:7" s="7" customFormat="1" x14ac:dyDescent="0.35">
      <c r="A210" s="32" t="s">
        <v>142</v>
      </c>
      <c r="B210" s="31">
        <v>1.27</v>
      </c>
      <c r="C210" s="31">
        <v>1.1299999999999999</v>
      </c>
      <c r="D210" s="31" t="s">
        <v>35</v>
      </c>
      <c r="E210" s="31" t="s">
        <v>35</v>
      </c>
      <c r="F210" s="31" t="s">
        <v>35</v>
      </c>
      <c r="G210" s="31" t="s">
        <v>35</v>
      </c>
    </row>
    <row r="211" spans="1:7" ht="24" customHeight="1" x14ac:dyDescent="0.35">
      <c r="A211" s="32" t="s">
        <v>143</v>
      </c>
      <c r="B211" s="31">
        <v>3.35</v>
      </c>
      <c r="C211" s="31">
        <v>2.9</v>
      </c>
      <c r="D211" s="31">
        <v>0.08</v>
      </c>
      <c r="E211" s="31" t="s">
        <v>35</v>
      </c>
      <c r="F211" s="31">
        <v>0.21</v>
      </c>
      <c r="G211" s="31">
        <v>0.1</v>
      </c>
    </row>
    <row r="212" spans="1:7" x14ac:dyDescent="0.35">
      <c r="A212" s="32" t="s">
        <v>154</v>
      </c>
      <c r="B212" s="31">
        <v>114.69</v>
      </c>
      <c r="C212" s="31">
        <v>69.739999999999995</v>
      </c>
      <c r="D212" s="31">
        <v>7.18</v>
      </c>
      <c r="E212" s="31">
        <v>9.1199999999999992</v>
      </c>
      <c r="F212" s="31">
        <v>22.11</v>
      </c>
      <c r="G212" s="31">
        <v>6.55</v>
      </c>
    </row>
    <row r="213" spans="1:7" x14ac:dyDescent="0.35">
      <c r="A213" s="37" t="s">
        <v>155</v>
      </c>
      <c r="B213" s="30" t="s">
        <v>1</v>
      </c>
      <c r="C213" s="30" t="s">
        <v>1</v>
      </c>
      <c r="D213" s="30" t="s">
        <v>1</v>
      </c>
      <c r="E213" s="30" t="s">
        <v>1</v>
      </c>
      <c r="F213" s="30" t="s">
        <v>1</v>
      </c>
      <c r="G213" s="30" t="s">
        <v>1</v>
      </c>
    </row>
    <row r="214" spans="1:7" x14ac:dyDescent="0.35">
      <c r="A214" s="32" t="s">
        <v>147</v>
      </c>
      <c r="B214" s="31">
        <v>4.41</v>
      </c>
      <c r="C214" s="31">
        <v>3.8</v>
      </c>
      <c r="D214" s="31">
        <v>0.1</v>
      </c>
      <c r="E214" s="31" t="s">
        <v>35</v>
      </c>
      <c r="F214" s="31">
        <v>0.24</v>
      </c>
      <c r="G214" s="31">
        <v>0.17</v>
      </c>
    </row>
    <row r="215" spans="1:7" x14ac:dyDescent="0.35">
      <c r="A215" s="32" t="s">
        <v>148</v>
      </c>
      <c r="B215" s="31">
        <v>1.47</v>
      </c>
      <c r="C215" s="31">
        <v>1.23</v>
      </c>
      <c r="D215" s="31">
        <v>0.04</v>
      </c>
      <c r="E215" s="31" t="s">
        <v>35</v>
      </c>
      <c r="F215" s="31">
        <v>0.11</v>
      </c>
      <c r="G215" s="31" t="s">
        <v>35</v>
      </c>
    </row>
    <row r="216" spans="1:7" x14ac:dyDescent="0.35">
      <c r="A216" s="32" t="s">
        <v>150</v>
      </c>
      <c r="B216" s="31">
        <v>0.36</v>
      </c>
      <c r="C216" s="31">
        <v>0.32</v>
      </c>
      <c r="D216" s="31" t="s">
        <v>35</v>
      </c>
      <c r="E216" s="31" t="s">
        <v>42</v>
      </c>
      <c r="F216" s="31" t="s">
        <v>35</v>
      </c>
      <c r="G216" s="31" t="s">
        <v>42</v>
      </c>
    </row>
    <row r="217" spans="1:7" ht="43.5" customHeight="1" x14ac:dyDescent="0.35">
      <c r="A217" s="32" t="s">
        <v>156</v>
      </c>
      <c r="B217" s="31">
        <v>2.6</v>
      </c>
      <c r="C217" s="31">
        <v>1.98</v>
      </c>
      <c r="D217" s="31">
        <v>0.12</v>
      </c>
      <c r="E217" s="31" t="s">
        <v>35</v>
      </c>
      <c r="F217" s="31">
        <v>0.34</v>
      </c>
      <c r="G217" s="31">
        <v>0.09</v>
      </c>
    </row>
    <row r="218" spans="1:7" x14ac:dyDescent="0.35">
      <c r="A218" s="32" t="s">
        <v>154</v>
      </c>
      <c r="B218" s="31">
        <v>114.69</v>
      </c>
      <c r="C218" s="31">
        <v>69.739999999999995</v>
      </c>
      <c r="D218" s="31">
        <v>7.18</v>
      </c>
      <c r="E218" s="31">
        <v>9.1199999999999992</v>
      </c>
      <c r="F218" s="31">
        <v>22.11</v>
      </c>
      <c r="G218" s="31">
        <v>6.55</v>
      </c>
    </row>
    <row r="219" spans="1:7" x14ac:dyDescent="0.35">
      <c r="A219" s="8"/>
      <c r="B219" s="6"/>
      <c r="C219" s="6"/>
      <c r="D219" s="6"/>
      <c r="E219" s="6"/>
      <c r="F219" s="6"/>
      <c r="G219" s="6"/>
    </row>
    <row r="220" spans="1:7" s="7" customFormat="1" ht="15" thickBot="1" x14ac:dyDescent="0.4">
      <c r="A220" s="32"/>
      <c r="B220" s="31"/>
      <c r="C220" s="31"/>
      <c r="D220" s="31"/>
      <c r="E220" s="31"/>
      <c r="F220" s="31"/>
      <c r="G220" s="31"/>
    </row>
    <row r="221" spans="1:7" s="7" customFormat="1" ht="206.25" customHeight="1" x14ac:dyDescent="0.35">
      <c r="A221" s="61" t="s">
        <v>638</v>
      </c>
      <c r="B221" s="61"/>
      <c r="C221" s="61"/>
      <c r="D221" s="61"/>
      <c r="E221" s="61"/>
      <c r="F221" s="61"/>
      <c r="G221" s="61"/>
    </row>
    <row r="222" spans="1:7" s="7" customFormat="1" x14ac:dyDescent="0.3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topLeftCell="A28" workbookViewId="0">
      <selection activeCell="J60" sqref="J60"/>
    </sheetView>
  </sheetViews>
  <sheetFormatPr defaultColWidth="12.54296875" defaultRowHeight="15.75" customHeight="1" x14ac:dyDescent="0.3"/>
  <cols>
    <col min="1" max="1" width="50.54296875" style="40" customWidth="1"/>
    <col min="2" max="2" width="16.453125" style="40" customWidth="1"/>
    <col min="3" max="3" width="15.26953125" style="40" customWidth="1"/>
    <col min="4" max="4" width="15.453125" style="40" customWidth="1"/>
    <col min="5" max="16384" width="12.54296875" style="40"/>
  </cols>
  <sheetData>
    <row r="1" spans="1:38" ht="14.25" customHeight="1" x14ac:dyDescent="0.3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3" x14ac:dyDescent="0.3">
      <c r="A2" s="41" t="s">
        <v>903</v>
      </c>
    </row>
    <row r="3" spans="1:38" ht="13" x14ac:dyDescent="0.3">
      <c r="A3" s="41"/>
    </row>
    <row r="4" spans="1:38" ht="13" x14ac:dyDescent="0.3">
      <c r="A4" s="41" t="s">
        <v>904</v>
      </c>
    </row>
    <row r="5" spans="1:38" ht="13" x14ac:dyDescent="0.3">
      <c r="A5" s="41" t="s">
        <v>905</v>
      </c>
    </row>
    <row r="6" spans="1:38" ht="13" x14ac:dyDescent="0.3">
      <c r="A6" s="41" t="s">
        <v>906</v>
      </c>
    </row>
    <row r="7" spans="1:38" ht="13" x14ac:dyDescent="0.3">
      <c r="A7" s="41"/>
    </row>
    <row r="8" spans="1:38" ht="13" x14ac:dyDescent="0.3">
      <c r="A8" s="41" t="s">
        <v>907</v>
      </c>
    </row>
    <row r="9" spans="1:38" ht="13" x14ac:dyDescent="0.3">
      <c r="A9" s="41" t="s">
        <v>908</v>
      </c>
    </row>
    <row r="10" spans="1:38" ht="13" x14ac:dyDescent="0.3">
      <c r="A10" s="41"/>
    </row>
    <row r="11" spans="1:38" ht="13" x14ac:dyDescent="0.3">
      <c r="A11" s="41" t="s">
        <v>909</v>
      </c>
    </row>
    <row r="12" spans="1:38" ht="13" x14ac:dyDescent="0.3">
      <c r="A12" s="41" t="s">
        <v>910</v>
      </c>
    </row>
    <row r="13" spans="1:38" ht="13" x14ac:dyDescent="0.3">
      <c r="A13" s="41"/>
    </row>
    <row r="14" spans="1:38" ht="14.25" customHeight="1" x14ac:dyDescent="0.3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3" x14ac:dyDescent="0.3">
      <c r="A15" s="42"/>
      <c r="B15" s="43"/>
    </row>
    <row r="16" spans="1:38" ht="13" x14ac:dyDescent="0.3">
      <c r="A16" s="41" t="s">
        <v>898</v>
      </c>
      <c r="B16" s="43"/>
    </row>
    <row r="17" spans="1:31" ht="13" x14ac:dyDescent="0.3">
      <c r="A17" s="41" t="s">
        <v>899</v>
      </c>
      <c r="B17" s="43"/>
    </row>
    <row r="18" spans="1:31" ht="13" x14ac:dyDescent="0.3">
      <c r="A18" s="41"/>
      <c r="B18" s="43"/>
    </row>
    <row r="19" spans="1:31" ht="13" x14ac:dyDescent="0.3">
      <c r="A19" s="41" t="s">
        <v>911</v>
      </c>
      <c r="B19" s="41">
        <v>3.3</v>
      </c>
    </row>
    <row r="20" spans="1:31" ht="13" x14ac:dyDescent="0.3">
      <c r="A20" s="41" t="s">
        <v>912</v>
      </c>
      <c r="B20" s="43">
        <v>0.3</v>
      </c>
    </row>
    <row r="21" spans="1:31" ht="13" x14ac:dyDescent="0.3">
      <c r="A21" s="41"/>
      <c r="B21" s="43"/>
    </row>
    <row r="22" spans="1:31" ht="13" x14ac:dyDescent="0.3">
      <c r="A22" s="41"/>
      <c r="B22" s="43"/>
    </row>
    <row r="23" spans="1:31" ht="26" x14ac:dyDescent="0.3">
      <c r="A23" s="46" t="s">
        <v>900</v>
      </c>
      <c r="B23" s="41">
        <v>0</v>
      </c>
    </row>
    <row r="24" spans="1:31" ht="13" x14ac:dyDescent="0.3">
      <c r="A24" s="41" t="s">
        <v>901</v>
      </c>
      <c r="B24" s="41">
        <v>0</v>
      </c>
    </row>
    <row r="25" spans="1:31" ht="14.5" x14ac:dyDescent="0.35">
      <c r="A25" s="45"/>
      <c r="C25" s="44"/>
    </row>
    <row r="26" spans="1:31" s="53" customFormat="1" ht="14.5" x14ac:dyDescent="0.35">
      <c r="A26" s="52" t="s">
        <v>932</v>
      </c>
    </row>
    <row r="27" spans="1:31" s="53" customFormat="1" ht="14.5" x14ac:dyDescent="0.35">
      <c r="A27" s="54" t="s">
        <v>932</v>
      </c>
    </row>
    <row r="28" spans="1:31" s="53" customFormat="1" ht="14.5" x14ac:dyDescent="0.35">
      <c r="A28" s="53" t="s">
        <v>1175</v>
      </c>
      <c r="B28" s="53">
        <v>4</v>
      </c>
      <c r="C28" s="53" t="s">
        <v>1176</v>
      </c>
    </row>
    <row r="29" spans="1:31" s="53" customFormat="1" ht="14.5" x14ac:dyDescent="0.35">
      <c r="A29" s="53" t="s">
        <v>933</v>
      </c>
    </row>
    <row r="30" spans="1:31" s="53" customFormat="1" ht="14.5" x14ac:dyDescent="0.35"/>
    <row r="31" spans="1:31" s="53" customFormat="1" ht="14.5" x14ac:dyDescent="0.35">
      <c r="B31" s="53">
        <v>2021</v>
      </c>
      <c r="C31" s="53">
        <v>2022</v>
      </c>
      <c r="D31" s="53">
        <v>2023</v>
      </c>
      <c r="E31" s="53">
        <v>2024</v>
      </c>
      <c r="F31" s="53">
        <v>2025</v>
      </c>
      <c r="G31" s="53">
        <v>2026</v>
      </c>
      <c r="H31" s="53">
        <v>2027</v>
      </c>
      <c r="I31" s="53">
        <v>2028</v>
      </c>
      <c r="J31" s="53">
        <v>2029</v>
      </c>
      <c r="K31" s="53">
        <v>2030</v>
      </c>
      <c r="L31" s="53">
        <v>2031</v>
      </c>
      <c r="M31" s="53">
        <v>2032</v>
      </c>
      <c r="N31" s="53">
        <v>2033</v>
      </c>
      <c r="O31" s="53">
        <v>2034</v>
      </c>
      <c r="P31" s="53">
        <v>2035</v>
      </c>
      <c r="Q31" s="53">
        <v>2036</v>
      </c>
      <c r="R31" s="53">
        <v>2037</v>
      </c>
      <c r="S31" s="53">
        <v>2038</v>
      </c>
      <c r="T31" s="53">
        <v>2039</v>
      </c>
      <c r="U31" s="53">
        <v>2040</v>
      </c>
      <c r="V31" s="53">
        <v>2041</v>
      </c>
      <c r="W31" s="53">
        <v>2042</v>
      </c>
      <c r="X31" s="53">
        <v>2043</v>
      </c>
      <c r="Y31" s="53">
        <v>2044</v>
      </c>
      <c r="Z31" s="53">
        <v>2045</v>
      </c>
      <c r="AA31" s="53">
        <v>2046</v>
      </c>
      <c r="AB31" s="53">
        <v>2047</v>
      </c>
      <c r="AC31" s="53">
        <v>2048</v>
      </c>
      <c r="AD31" s="53">
        <v>2049</v>
      </c>
      <c r="AE31" s="53">
        <v>2050</v>
      </c>
    </row>
    <row r="32" spans="1:31" s="53" customFormat="1" ht="14.5" x14ac:dyDescent="0.35">
      <c r="A32" s="53" t="s">
        <v>934</v>
      </c>
      <c r="B32" s="53">
        <v>0</v>
      </c>
      <c r="C32" s="53">
        <v>0</v>
      </c>
      <c r="D32" s="53">
        <v>0</v>
      </c>
      <c r="E32" s="53">
        <v>0</v>
      </c>
      <c r="F32" s="53">
        <v>800</v>
      </c>
      <c r="G32" s="53">
        <v>800</v>
      </c>
      <c r="H32" s="53">
        <v>800</v>
      </c>
      <c r="I32" s="53">
        <v>800</v>
      </c>
      <c r="J32" s="53">
        <v>800</v>
      </c>
      <c r="K32" s="53">
        <v>0</v>
      </c>
      <c r="L32" s="53">
        <v>0</v>
      </c>
      <c r="M32" s="53">
        <v>0</v>
      </c>
      <c r="N32" s="53">
        <v>0</v>
      </c>
      <c r="O32" s="53">
        <v>0</v>
      </c>
      <c r="P32" s="53">
        <v>0</v>
      </c>
      <c r="Q32" s="53">
        <v>0</v>
      </c>
      <c r="R32" s="53">
        <v>0</v>
      </c>
      <c r="S32" s="53">
        <v>0</v>
      </c>
      <c r="T32" s="53">
        <v>0</v>
      </c>
      <c r="U32" s="53">
        <v>0</v>
      </c>
      <c r="V32" s="53">
        <v>0</v>
      </c>
      <c r="W32" s="53">
        <v>0</v>
      </c>
      <c r="X32" s="53">
        <v>0</v>
      </c>
      <c r="Y32" s="53">
        <v>0</v>
      </c>
      <c r="Z32" s="53">
        <v>0</v>
      </c>
      <c r="AA32" s="53">
        <v>0</v>
      </c>
      <c r="AB32" s="53">
        <v>0</v>
      </c>
      <c r="AC32" s="53">
        <v>0</v>
      </c>
      <c r="AD32" s="53">
        <v>0</v>
      </c>
      <c r="AE32" s="53">
        <v>0</v>
      </c>
    </row>
    <row r="33" spans="1:31" s="53" customFormat="1" ht="14.5" x14ac:dyDescent="0.35"/>
    <row r="34" spans="1:31" s="53" customFormat="1" ht="14.5" x14ac:dyDescent="0.35"/>
    <row r="35" spans="1:31" s="53" customFormat="1" ht="14.5" x14ac:dyDescent="0.35">
      <c r="A35" s="52" t="s">
        <v>935</v>
      </c>
    </row>
    <row r="36" spans="1:31" s="53" customFormat="1" ht="14.5" x14ac:dyDescent="0.35"/>
    <row r="37" spans="1:31" s="53" customFormat="1" ht="29" x14ac:dyDescent="0.35">
      <c r="A37" s="54" t="s">
        <v>936</v>
      </c>
      <c r="B37" s="53">
        <v>2.4805304788796994</v>
      </c>
    </row>
    <row r="38" spans="1:31" s="53" customFormat="1" ht="14.5" x14ac:dyDescent="0.35">
      <c r="A38" s="54" t="s">
        <v>937</v>
      </c>
      <c r="B38" s="53">
        <v>9.9221219155187974</v>
      </c>
    </row>
    <row r="39" spans="1:31" s="53" customFormat="1" ht="14.5" x14ac:dyDescent="0.35">
      <c r="A39" s="53" t="s">
        <v>938</v>
      </c>
      <c r="B39" s="53">
        <v>7</v>
      </c>
    </row>
    <row r="40" spans="1:31" s="53" customFormat="1" ht="14.5" x14ac:dyDescent="0.35"/>
    <row r="41" spans="1:31" s="53" customFormat="1" ht="14.5" x14ac:dyDescent="0.35">
      <c r="B41" s="53">
        <v>2021</v>
      </c>
      <c r="C41" s="53">
        <v>2022</v>
      </c>
      <c r="D41" s="53">
        <v>2023</v>
      </c>
      <c r="E41" s="53">
        <v>2024</v>
      </c>
      <c r="F41" s="53">
        <v>2025</v>
      </c>
      <c r="G41" s="53">
        <v>2026</v>
      </c>
      <c r="H41" s="53">
        <v>2027</v>
      </c>
      <c r="I41" s="53">
        <v>2028</v>
      </c>
      <c r="J41" s="53">
        <v>2029</v>
      </c>
      <c r="K41" s="53">
        <v>2030</v>
      </c>
      <c r="L41" s="53">
        <v>2031</v>
      </c>
      <c r="M41" s="53">
        <v>2032</v>
      </c>
      <c r="N41" s="53">
        <v>2033</v>
      </c>
      <c r="O41" s="53">
        <v>2034</v>
      </c>
      <c r="P41" s="53">
        <v>2035</v>
      </c>
      <c r="Q41" s="53">
        <v>2036</v>
      </c>
      <c r="R41" s="53">
        <v>2037</v>
      </c>
      <c r="S41" s="53">
        <v>2038</v>
      </c>
      <c r="T41" s="53">
        <v>2039</v>
      </c>
      <c r="U41" s="53">
        <v>2040</v>
      </c>
      <c r="V41" s="53">
        <v>2041</v>
      </c>
      <c r="W41" s="53">
        <v>2042</v>
      </c>
      <c r="X41" s="53">
        <v>2043</v>
      </c>
      <c r="Y41" s="53">
        <v>2044</v>
      </c>
      <c r="Z41" s="53">
        <v>2045</v>
      </c>
      <c r="AA41" s="53">
        <v>2046</v>
      </c>
      <c r="AB41" s="53">
        <v>2047</v>
      </c>
      <c r="AC41" s="53">
        <v>2048</v>
      </c>
      <c r="AD41" s="53">
        <v>2049</v>
      </c>
      <c r="AE41" s="53">
        <v>2050</v>
      </c>
    </row>
    <row r="42" spans="1:31" s="53" customFormat="1" ht="14.5" x14ac:dyDescent="0.35">
      <c r="A42" s="53" t="s">
        <v>934</v>
      </c>
      <c r="B42" s="53">
        <v>0</v>
      </c>
      <c r="C42" s="53">
        <v>0</v>
      </c>
      <c r="D42" s="53">
        <v>0</v>
      </c>
      <c r="E42" s="53">
        <v>0</v>
      </c>
      <c r="F42" s="53">
        <v>1417.4459879312569</v>
      </c>
      <c r="G42" s="53">
        <v>1417.4459879312569</v>
      </c>
      <c r="H42" s="53">
        <v>1417.4459879312569</v>
      </c>
      <c r="I42" s="53">
        <v>1417.4459879312569</v>
      </c>
      <c r="J42" s="53">
        <v>1417.4459879312569</v>
      </c>
      <c r="K42" s="53">
        <v>1417.4459879312569</v>
      </c>
      <c r="L42" s="53">
        <v>1417.4459879312569</v>
      </c>
      <c r="M42" s="53">
        <v>0</v>
      </c>
      <c r="N42" s="53">
        <v>0</v>
      </c>
      <c r="O42" s="53">
        <v>0</v>
      </c>
      <c r="P42" s="53">
        <v>0</v>
      </c>
      <c r="Q42" s="53">
        <v>0</v>
      </c>
      <c r="R42" s="53">
        <v>0</v>
      </c>
      <c r="S42" s="53">
        <v>0</v>
      </c>
      <c r="T42" s="53">
        <v>0</v>
      </c>
      <c r="U42" s="53">
        <v>0</v>
      </c>
      <c r="V42" s="53">
        <v>0</v>
      </c>
      <c r="W42" s="53">
        <v>0</v>
      </c>
      <c r="X42" s="53">
        <v>0</v>
      </c>
      <c r="Y42" s="53">
        <v>0</v>
      </c>
      <c r="Z42" s="53">
        <v>0</v>
      </c>
      <c r="AA42" s="53">
        <v>0</v>
      </c>
      <c r="AB42" s="53">
        <v>0</v>
      </c>
      <c r="AC42" s="53">
        <v>0</v>
      </c>
      <c r="AD42" s="53">
        <v>0</v>
      </c>
      <c r="AE42" s="53">
        <v>0</v>
      </c>
    </row>
    <row r="43" spans="1:31" s="55" customFormat="1" ht="15.75" customHeight="1" x14ac:dyDescent="0.3"/>
    <row r="44" spans="1:31" s="53" customFormat="1" ht="14.5" x14ac:dyDescent="0.35">
      <c r="A44" s="52" t="s">
        <v>939</v>
      </c>
    </row>
    <row r="45" spans="1:31" s="53" customFormat="1" ht="14.5" x14ac:dyDescent="0.35"/>
    <row r="46" spans="1:31" s="53" customFormat="1" ht="14.5" x14ac:dyDescent="0.35">
      <c r="A46" s="53" t="s">
        <v>940</v>
      </c>
      <c r="B46" s="53">
        <v>281</v>
      </c>
    </row>
    <row r="47" spans="1:31" s="53" customFormat="1" ht="14.5" x14ac:dyDescent="0.35"/>
    <row r="48" spans="1:31" s="53" customFormat="1" ht="14.5" x14ac:dyDescent="0.35">
      <c r="B48" s="53">
        <v>2021</v>
      </c>
      <c r="C48" s="53">
        <v>2022</v>
      </c>
      <c r="D48" s="53">
        <v>2023</v>
      </c>
      <c r="E48" s="53">
        <v>2024</v>
      </c>
      <c r="F48" s="53">
        <v>2025</v>
      </c>
      <c r="G48" s="53">
        <v>2026</v>
      </c>
      <c r="H48" s="53">
        <v>2027</v>
      </c>
      <c r="I48" s="53">
        <v>2028</v>
      </c>
      <c r="J48" s="53">
        <v>2029</v>
      </c>
      <c r="K48" s="53">
        <v>2030</v>
      </c>
      <c r="L48" s="53">
        <v>2031</v>
      </c>
      <c r="M48" s="53">
        <v>2032</v>
      </c>
      <c r="N48" s="53">
        <v>2033</v>
      </c>
      <c r="O48" s="53">
        <v>2034</v>
      </c>
      <c r="P48" s="53">
        <v>2035</v>
      </c>
      <c r="Q48" s="53">
        <v>2036</v>
      </c>
      <c r="R48" s="53">
        <v>2037</v>
      </c>
      <c r="S48" s="53">
        <v>2038</v>
      </c>
      <c r="T48" s="53">
        <v>2039</v>
      </c>
      <c r="U48" s="53">
        <v>2040</v>
      </c>
      <c r="V48" s="53">
        <v>2041</v>
      </c>
      <c r="W48" s="53">
        <v>2042</v>
      </c>
      <c r="X48" s="53">
        <v>2043</v>
      </c>
      <c r="Y48" s="53">
        <v>2044</v>
      </c>
      <c r="Z48" s="53">
        <v>2045</v>
      </c>
      <c r="AA48" s="53">
        <v>2046</v>
      </c>
      <c r="AB48" s="53">
        <v>2047</v>
      </c>
      <c r="AC48" s="53">
        <v>2048</v>
      </c>
      <c r="AD48" s="53">
        <v>2049</v>
      </c>
      <c r="AE48" s="53">
        <v>2050</v>
      </c>
    </row>
    <row r="49" spans="1:31" s="53" customFormat="1" ht="14.5" x14ac:dyDescent="0.35">
      <c r="A49" s="53" t="s">
        <v>934</v>
      </c>
      <c r="B49" s="53">
        <v>0</v>
      </c>
      <c r="C49" s="53">
        <v>0</v>
      </c>
      <c r="D49" s="53">
        <v>0</v>
      </c>
      <c r="E49" s="53">
        <v>0</v>
      </c>
      <c r="F49" s="53">
        <v>40.142857142857146</v>
      </c>
      <c r="G49" s="53">
        <v>40.142857142857146</v>
      </c>
      <c r="H49" s="53">
        <v>40.142857142857146</v>
      </c>
      <c r="I49" s="53">
        <v>40.142857142857146</v>
      </c>
      <c r="J49" s="53">
        <v>40.142857142857146</v>
      </c>
      <c r="K49" s="53">
        <v>40.142857142857146</v>
      </c>
      <c r="L49" s="53">
        <v>40.142857142857146</v>
      </c>
      <c r="M49" s="53">
        <v>0</v>
      </c>
      <c r="N49" s="53">
        <v>0</v>
      </c>
      <c r="O49" s="53">
        <v>0</v>
      </c>
      <c r="P49" s="53">
        <v>0</v>
      </c>
      <c r="Q49" s="53">
        <v>0</v>
      </c>
      <c r="R49" s="53">
        <v>0</v>
      </c>
      <c r="S49" s="53">
        <v>0</v>
      </c>
      <c r="T49" s="53">
        <v>0</v>
      </c>
      <c r="U49" s="53">
        <v>0</v>
      </c>
      <c r="V49" s="53">
        <v>0</v>
      </c>
      <c r="W49" s="53">
        <v>0</v>
      </c>
      <c r="X49" s="53">
        <v>0</v>
      </c>
      <c r="Y49" s="53">
        <v>0</v>
      </c>
      <c r="Z49" s="53">
        <v>0</v>
      </c>
      <c r="AA49" s="53">
        <v>0</v>
      </c>
      <c r="AB49" s="53">
        <v>0</v>
      </c>
      <c r="AC49" s="53">
        <v>0</v>
      </c>
      <c r="AD49" s="53">
        <v>0</v>
      </c>
      <c r="AE49" s="53">
        <v>0</v>
      </c>
    </row>
    <row r="56" spans="1:31" ht="15.75" customHeight="1" x14ac:dyDescent="0.3">
      <c r="B56" s="40">
        <v>2023</v>
      </c>
      <c r="C56" s="40">
        <v>2024</v>
      </c>
      <c r="D56" s="40">
        <v>2025</v>
      </c>
      <c r="E56" s="40">
        <v>2026</v>
      </c>
      <c r="F56" s="40">
        <v>2027</v>
      </c>
      <c r="G56" s="40">
        <v>2028</v>
      </c>
      <c r="H56" s="40">
        <v>2029</v>
      </c>
      <c r="I56" s="40">
        <v>2030</v>
      </c>
      <c r="J56" s="40">
        <v>2031</v>
      </c>
      <c r="K56" s="40">
        <v>2032</v>
      </c>
      <c r="L56" s="40">
        <v>2033</v>
      </c>
      <c r="M56" s="40">
        <v>2034</v>
      </c>
      <c r="N56" s="40">
        <v>2035</v>
      </c>
      <c r="O56" s="40">
        <v>2036</v>
      </c>
      <c r="P56" s="40">
        <v>2037</v>
      </c>
      <c r="Q56" s="40">
        <v>2038</v>
      </c>
      <c r="R56" s="40">
        <v>2039</v>
      </c>
      <c r="S56" s="40">
        <v>2040</v>
      </c>
      <c r="T56" s="40">
        <v>2041</v>
      </c>
      <c r="U56" s="40">
        <v>2042</v>
      </c>
      <c r="V56" s="40">
        <v>2043</v>
      </c>
      <c r="W56" s="40">
        <v>2044</v>
      </c>
      <c r="X56" s="40">
        <v>2045</v>
      </c>
      <c r="Y56" s="40">
        <v>2046</v>
      </c>
      <c r="Z56" s="40">
        <v>2047</v>
      </c>
      <c r="AA56" s="40">
        <v>2048</v>
      </c>
      <c r="AB56" s="40">
        <v>2049</v>
      </c>
      <c r="AC56" s="40">
        <v>2050</v>
      </c>
    </row>
    <row r="57" spans="1:31" ht="15.75" customHeight="1" x14ac:dyDescent="0.3">
      <c r="A57" s="40" t="s">
        <v>918</v>
      </c>
      <c r="B57" s="47">
        <f t="shared" ref="B57:K57" si="0">$B$24+$B$23+D32+D42+D49</f>
        <v>0</v>
      </c>
      <c r="C57" s="47">
        <f t="shared" si="0"/>
        <v>0</v>
      </c>
      <c r="D57" s="47">
        <f t="shared" si="0"/>
        <v>2257.5888450741145</v>
      </c>
      <c r="E57" s="47">
        <f t="shared" si="0"/>
        <v>2257.5888450741145</v>
      </c>
      <c r="F57" s="47">
        <f t="shared" si="0"/>
        <v>2257.5888450741145</v>
      </c>
      <c r="G57" s="47">
        <f t="shared" si="0"/>
        <v>2257.5888450741145</v>
      </c>
      <c r="H57" s="47">
        <f t="shared" si="0"/>
        <v>2257.5888450741145</v>
      </c>
      <c r="I57" s="47">
        <f t="shared" si="0"/>
        <v>1457.588845074114</v>
      </c>
      <c r="J57" s="47">
        <f t="shared" si="0"/>
        <v>1457.588845074114</v>
      </c>
      <c r="K57" s="47">
        <f t="shared" si="0"/>
        <v>0</v>
      </c>
      <c r="L57" s="47">
        <f>$B$23+N32+N42</f>
        <v>0</v>
      </c>
      <c r="M57" s="47">
        <f>$B$23+O32+O42</f>
        <v>0</v>
      </c>
      <c r="N57" s="47">
        <f>$B$23+P32+P42</f>
        <v>0</v>
      </c>
      <c r="O57" s="47">
        <f>$B$23+Q32+Q42</f>
        <v>0</v>
      </c>
      <c r="P57" s="47">
        <f>$B$23+R32+R42</f>
        <v>0</v>
      </c>
      <c r="Q57" s="47">
        <f>$B$23*0.75+S32+S42</f>
        <v>0</v>
      </c>
      <c r="R57" s="47">
        <f>$B$23*0.5+T32+T42</f>
        <v>0</v>
      </c>
      <c r="S57" s="47">
        <f>U32+U42</f>
        <v>0</v>
      </c>
      <c r="T57" s="47">
        <f t="shared" ref="T57:AC57" si="1">V32+V42</f>
        <v>0</v>
      </c>
      <c r="U57" s="47">
        <f t="shared" si="1"/>
        <v>0</v>
      </c>
      <c r="V57" s="47">
        <f t="shared" si="1"/>
        <v>0</v>
      </c>
      <c r="W57" s="47">
        <f t="shared" si="1"/>
        <v>0</v>
      </c>
      <c r="X57" s="47">
        <f t="shared" si="1"/>
        <v>0</v>
      </c>
      <c r="Y57" s="47">
        <f t="shared" si="1"/>
        <v>0</v>
      </c>
      <c r="Z57" s="47">
        <f t="shared" si="1"/>
        <v>0</v>
      </c>
      <c r="AA57" s="47">
        <f t="shared" si="1"/>
        <v>0</v>
      </c>
      <c r="AB57" s="47">
        <f t="shared" si="1"/>
        <v>0</v>
      </c>
      <c r="AC57" s="47">
        <f t="shared" si="1"/>
        <v>0</v>
      </c>
    </row>
    <row r="58" spans="1:31" ht="15.75" customHeight="1" x14ac:dyDescent="0.3">
      <c r="A58" s="40" t="s">
        <v>919</v>
      </c>
      <c r="B58" s="47">
        <f>B57</f>
        <v>0</v>
      </c>
      <c r="C58" s="47">
        <f>B58+C57</f>
        <v>0</v>
      </c>
      <c r="D58" s="47">
        <f t="shared" ref="D58:AC58" si="2">C58+D57</f>
        <v>2257.5888450741145</v>
      </c>
      <c r="E58" s="47">
        <f t="shared" si="2"/>
        <v>4515.177690148229</v>
      </c>
      <c r="F58" s="47">
        <f t="shared" si="2"/>
        <v>6772.766535222343</v>
      </c>
      <c r="G58" s="47">
        <f t="shared" si="2"/>
        <v>9030.355380296458</v>
      </c>
      <c r="H58" s="47">
        <f t="shared" si="2"/>
        <v>11287.944225370573</v>
      </c>
      <c r="I58" s="47">
        <f t="shared" si="2"/>
        <v>12745.533070444686</v>
      </c>
      <c r="J58" s="47">
        <f t="shared" si="2"/>
        <v>14203.121915518801</v>
      </c>
      <c r="K58" s="47">
        <f t="shared" si="2"/>
        <v>14203.121915518801</v>
      </c>
      <c r="L58" s="47">
        <f t="shared" si="2"/>
        <v>14203.121915518801</v>
      </c>
      <c r="M58" s="47">
        <f t="shared" si="2"/>
        <v>14203.121915518801</v>
      </c>
      <c r="N58" s="47">
        <f t="shared" si="2"/>
        <v>14203.121915518801</v>
      </c>
      <c r="O58" s="47">
        <f t="shared" si="2"/>
        <v>14203.121915518801</v>
      </c>
      <c r="P58" s="47">
        <f t="shared" si="2"/>
        <v>14203.121915518801</v>
      </c>
      <c r="Q58" s="47">
        <f t="shared" si="2"/>
        <v>14203.121915518801</v>
      </c>
      <c r="R58" s="47">
        <f t="shared" si="2"/>
        <v>14203.121915518801</v>
      </c>
      <c r="S58" s="47">
        <f t="shared" si="2"/>
        <v>14203.121915518801</v>
      </c>
      <c r="T58" s="47">
        <f t="shared" si="2"/>
        <v>14203.121915518801</v>
      </c>
      <c r="U58" s="47">
        <f t="shared" si="2"/>
        <v>14203.121915518801</v>
      </c>
      <c r="V58" s="47">
        <f t="shared" si="2"/>
        <v>14203.121915518801</v>
      </c>
      <c r="W58" s="47">
        <f t="shared" si="2"/>
        <v>14203.121915518801</v>
      </c>
      <c r="X58" s="47">
        <f t="shared" si="2"/>
        <v>14203.121915518801</v>
      </c>
      <c r="Y58" s="47">
        <f t="shared" si="2"/>
        <v>14203.121915518801</v>
      </c>
      <c r="Z58" s="47">
        <f t="shared" si="2"/>
        <v>14203.121915518801</v>
      </c>
      <c r="AA58" s="47">
        <f t="shared" si="2"/>
        <v>14203.121915518801</v>
      </c>
      <c r="AB58" s="47">
        <f t="shared" si="2"/>
        <v>14203.121915518801</v>
      </c>
      <c r="AC58" s="47">
        <f t="shared" si="2"/>
        <v>14203.121915518801</v>
      </c>
    </row>
    <row r="59" spans="1:31" ht="15.75" customHeight="1" x14ac:dyDescent="0.3">
      <c r="A59" s="40" t="s">
        <v>914</v>
      </c>
      <c r="B59" s="47">
        <f t="shared" ref="B59:AC59" si="3">B58*Percent_Urban</f>
        <v>0</v>
      </c>
      <c r="C59" s="47">
        <f t="shared" si="3"/>
        <v>0</v>
      </c>
      <c r="D59" s="47">
        <f t="shared" si="3"/>
        <v>1835.6044976867486</v>
      </c>
      <c r="E59" s="47">
        <f t="shared" si="3"/>
        <v>3671.2089953734971</v>
      </c>
      <c r="F59" s="47">
        <f t="shared" si="3"/>
        <v>5506.8134930602455</v>
      </c>
      <c r="G59" s="47">
        <f t="shared" si="3"/>
        <v>7342.4179907469943</v>
      </c>
      <c r="H59" s="47">
        <f t="shared" si="3"/>
        <v>9178.0224884337422</v>
      </c>
      <c r="I59" s="47">
        <f>I58*Percent_Urban</f>
        <v>10363.161512146557</v>
      </c>
      <c r="J59" s="47">
        <f>J58*Percent_Urban</f>
        <v>11548.300535859373</v>
      </c>
      <c r="K59" s="47">
        <f t="shared" si="3"/>
        <v>11548.300535859373</v>
      </c>
      <c r="L59" s="47">
        <f t="shared" si="3"/>
        <v>11548.300535859373</v>
      </c>
      <c r="M59" s="47">
        <f t="shared" si="3"/>
        <v>11548.300535859373</v>
      </c>
      <c r="N59" s="47">
        <f t="shared" si="3"/>
        <v>11548.300535859373</v>
      </c>
      <c r="O59" s="47">
        <f t="shared" si="3"/>
        <v>11548.300535859373</v>
      </c>
      <c r="P59" s="47">
        <f t="shared" si="3"/>
        <v>11548.300535859373</v>
      </c>
      <c r="Q59" s="47">
        <f t="shared" si="3"/>
        <v>11548.300535859373</v>
      </c>
      <c r="R59" s="47">
        <f t="shared" si="3"/>
        <v>11548.300535859373</v>
      </c>
      <c r="S59" s="47">
        <f t="shared" si="3"/>
        <v>11548.300535859373</v>
      </c>
      <c r="T59" s="47">
        <f t="shared" si="3"/>
        <v>11548.300535859373</v>
      </c>
      <c r="U59" s="47">
        <f t="shared" si="3"/>
        <v>11548.300535859373</v>
      </c>
      <c r="V59" s="47">
        <f t="shared" si="3"/>
        <v>11548.300535859373</v>
      </c>
      <c r="W59" s="47">
        <f t="shared" si="3"/>
        <v>11548.300535859373</v>
      </c>
      <c r="X59" s="47">
        <f t="shared" si="3"/>
        <v>11548.300535859373</v>
      </c>
      <c r="Y59" s="47">
        <f t="shared" si="3"/>
        <v>11548.300535859373</v>
      </c>
      <c r="Z59" s="47">
        <f t="shared" si="3"/>
        <v>11548.300535859373</v>
      </c>
      <c r="AA59" s="47">
        <f t="shared" si="3"/>
        <v>11548.300535859373</v>
      </c>
      <c r="AB59" s="47">
        <f t="shared" si="3"/>
        <v>11548.300535859373</v>
      </c>
      <c r="AC59" s="47">
        <f t="shared" si="3"/>
        <v>11548.300535859373</v>
      </c>
    </row>
    <row r="60" spans="1:31" ht="15.75" customHeight="1" x14ac:dyDescent="0.3">
      <c r="A60" s="40" t="s">
        <v>915</v>
      </c>
      <c r="B60" s="47">
        <f t="shared" ref="B60:AC60" si="4">B58*Percent_rural</f>
        <v>0</v>
      </c>
      <c r="C60" s="47">
        <f t="shared" si="4"/>
        <v>0</v>
      </c>
      <c r="D60" s="47">
        <f t="shared" si="4"/>
        <v>421.98434738736586</v>
      </c>
      <c r="E60" s="47">
        <f t="shared" si="4"/>
        <v>843.96869477473172</v>
      </c>
      <c r="F60" s="47">
        <f t="shared" si="4"/>
        <v>1265.9530421620975</v>
      </c>
      <c r="G60" s="47">
        <f t="shared" si="4"/>
        <v>1687.9373895494634</v>
      </c>
      <c r="H60" s="47">
        <f t="shared" si="4"/>
        <v>2109.9217369368293</v>
      </c>
      <c r="I60" s="47">
        <f t="shared" si="4"/>
        <v>2382.3715582981285</v>
      </c>
      <c r="J60" s="47">
        <f t="shared" si="4"/>
        <v>2654.8213796594277</v>
      </c>
      <c r="K60" s="47">
        <f t="shared" si="4"/>
        <v>2654.8213796594277</v>
      </c>
      <c r="L60" s="47">
        <f t="shared" si="4"/>
        <v>2654.8213796594277</v>
      </c>
      <c r="M60" s="47">
        <f t="shared" si="4"/>
        <v>2654.8213796594277</v>
      </c>
      <c r="N60" s="47">
        <f t="shared" si="4"/>
        <v>2654.8213796594277</v>
      </c>
      <c r="O60" s="47">
        <f t="shared" si="4"/>
        <v>2654.8213796594277</v>
      </c>
      <c r="P60" s="47">
        <f t="shared" si="4"/>
        <v>2654.8213796594277</v>
      </c>
      <c r="Q60" s="47">
        <f t="shared" si="4"/>
        <v>2654.8213796594277</v>
      </c>
      <c r="R60" s="47">
        <f t="shared" si="4"/>
        <v>2654.8213796594277</v>
      </c>
      <c r="S60" s="47">
        <f t="shared" si="4"/>
        <v>2654.8213796594277</v>
      </c>
      <c r="T60" s="47">
        <f t="shared" si="4"/>
        <v>2654.8213796594277</v>
      </c>
      <c r="U60" s="47">
        <f t="shared" si="4"/>
        <v>2654.8213796594277</v>
      </c>
      <c r="V60" s="47">
        <f t="shared" si="4"/>
        <v>2654.8213796594277</v>
      </c>
      <c r="W60" s="47">
        <f t="shared" si="4"/>
        <v>2654.8213796594277</v>
      </c>
      <c r="X60" s="47">
        <f t="shared" si="4"/>
        <v>2654.8213796594277</v>
      </c>
      <c r="Y60" s="47">
        <f t="shared" si="4"/>
        <v>2654.8213796594277</v>
      </c>
      <c r="Z60" s="47">
        <f t="shared" si="4"/>
        <v>2654.8213796594277</v>
      </c>
      <c r="AA60" s="47">
        <f t="shared" si="4"/>
        <v>2654.8213796594277</v>
      </c>
      <c r="AB60" s="47">
        <f t="shared" si="4"/>
        <v>2654.8213796594277</v>
      </c>
      <c r="AC60" s="47">
        <f t="shared" si="4"/>
        <v>2654.8213796594277</v>
      </c>
    </row>
    <row r="61" spans="1:31" ht="15.75" customHeight="1" x14ac:dyDescent="0.3">
      <c r="A61" s="40" t="s">
        <v>916</v>
      </c>
      <c r="B61" s="47">
        <f>B59*Calculations!H121*8760</f>
        <v>0</v>
      </c>
      <c r="C61" s="47">
        <f>C59*Calculations!I121*8760</f>
        <v>0</v>
      </c>
      <c r="D61" s="47">
        <f>D59*Calculations!J121*8760</f>
        <v>2502211.3628794588</v>
      </c>
      <c r="E61" s="47">
        <f>E59*Calculations!K121*8760</f>
        <v>4880942.7963910103</v>
      </c>
      <c r="F61" s="47">
        <f>F59*Calculations!L121*8760</f>
        <v>7148074.514136726</v>
      </c>
      <c r="G61" s="47">
        <f>G59*Calculations!M121*8760</f>
        <v>9331736.4026281498</v>
      </c>
      <c r="H61" s="47">
        <f>H59*Calculations!N121*8760</f>
        <v>11433971.046909865</v>
      </c>
      <c r="I61" s="47">
        <f>I59*Calculations!O121*8760</f>
        <v>12658658.908371789</v>
      </c>
      <c r="J61" s="47">
        <f>J59*Calculations!P121*8760</f>
        <v>13846878.920617281</v>
      </c>
      <c r="K61" s="47">
        <f>K59*Calculations!Q121*8760</f>
        <v>13579889.657291599</v>
      </c>
      <c r="L61" s="47">
        <f>L59*Calculations!R121*8760</f>
        <v>13384689.179344509</v>
      </c>
      <c r="M61" s="47">
        <f>M59*Calculations!S121*8760</f>
        <v>13232054.452256311</v>
      </c>
      <c r="N61" s="47">
        <f>N59*Calculations!T121*8760</f>
        <v>13190415.757583059</v>
      </c>
      <c r="O61" s="47">
        <f>O59*Calculations!U121*8760</f>
        <v>13122130.682684131</v>
      </c>
      <c r="P61" s="47">
        <f>P59*Calculations!V121*8760</f>
        <v>13079337.409542482</v>
      </c>
      <c r="Q61" s="47">
        <f>Q59*Calculations!W121*8760</f>
        <v>12990697.75810219</v>
      </c>
      <c r="R61" s="47">
        <f>R59*Calculations!X121*8760</f>
        <v>12891308.354291478</v>
      </c>
      <c r="S61" s="47">
        <f>S59*Calculations!Y121*8760</f>
        <v>12802224.845068095</v>
      </c>
      <c r="T61" s="47">
        <f>T59*Calculations!Z121*8760</f>
        <v>12697471.540876983</v>
      </c>
      <c r="U61" s="47">
        <f>U59*Calculations!AA121*8760</f>
        <v>12612841.015089346</v>
      </c>
      <c r="V61" s="47">
        <f>V59*Calculations!AB121*8760</f>
        <v>12524469.393987836</v>
      </c>
      <c r="W61" s="47">
        <f>W59*Calculations!AC121*8760</f>
        <v>12427959.968146633</v>
      </c>
      <c r="X61" s="47">
        <f>X59*Calculations!AD121*8760</f>
        <v>12341422.32664796</v>
      </c>
      <c r="Y61" s="47">
        <f>Y59*Calculations!AE121*8760</f>
        <v>12258161.408863313</v>
      </c>
      <c r="Z61" s="47">
        <f>Z59*Calculations!AF121*8760</f>
        <v>12188528.388239248</v>
      </c>
      <c r="AA61" s="47">
        <f>AA59*Calculations!AG121*8760</f>
        <v>12120307.262626618</v>
      </c>
      <c r="AB61" s="47">
        <f>AB59*Calculations!AH121*8760</f>
        <v>12069727.917687526</v>
      </c>
      <c r="AC61" s="47">
        <f>AC59*Calculations!AI121*8760</f>
        <v>12015454.39623438</v>
      </c>
    </row>
    <row r="62" spans="1:31" ht="15.75" customHeight="1" x14ac:dyDescent="0.3">
      <c r="A62" s="40" t="s">
        <v>917</v>
      </c>
      <c r="B62" s="47">
        <f>B60*Calculations!H121*8760</f>
        <v>0</v>
      </c>
      <c r="C62" s="47">
        <f>C60*Calculations!I121*8760</f>
        <v>0</v>
      </c>
      <c r="D62" s="47">
        <f>D60*Calculations!J121*8760</f>
        <v>575229.5934775658</v>
      </c>
      <c r="E62" s="47">
        <f>E60*Calculations!K121*8760</f>
        <v>1122072.5723682642</v>
      </c>
      <c r="F62" s="47">
        <f>F60*Calculations!L121*8760</f>
        <v>1643260.0610455696</v>
      </c>
      <c r="G62" s="47">
        <f>G60*Calculations!M121*8760</f>
        <v>2145258.7966615292</v>
      </c>
      <c r="H62" s="47">
        <f>H60*Calculations!N121*8760</f>
        <v>2628538.3460090491</v>
      </c>
      <c r="I62" s="47">
        <f>I60*Calculations!O121*8760</f>
        <v>2910079.9899871033</v>
      </c>
      <c r="J62" s="47">
        <f>J60*Calculations!P121*8760</f>
        <v>3183238.0951518621</v>
      </c>
      <c r="K62" s="47">
        <f>K60*Calculations!Q121*8760</f>
        <v>3121860.3363885204</v>
      </c>
      <c r="L62" s="47">
        <f>L60*Calculations!R121*8760</f>
        <v>3076985.9931408274</v>
      </c>
      <c r="M62" s="47">
        <f>M60*Calculations!S121*8760</f>
        <v>3041897.0261110933</v>
      </c>
      <c r="N62" s="47">
        <f>N60*Calculations!T121*8760</f>
        <v>3032324.7694403906</v>
      </c>
      <c r="O62" s="47">
        <f>O60*Calculations!U121*8760</f>
        <v>3016626.8166385563</v>
      </c>
      <c r="P62" s="47">
        <f>P60*Calculations!V121*8760</f>
        <v>3006789.1356664267</v>
      </c>
      <c r="Q62" s="47">
        <f>Q60*Calculations!W121*8760</f>
        <v>2986411.8999858573</v>
      </c>
      <c r="R62" s="47">
        <f>R60*Calculations!X121*8760</f>
        <v>2963563.4199580867</v>
      </c>
      <c r="S62" s="47">
        <f>S60*Calculations!Y121*8760</f>
        <v>2943084.1464817035</v>
      </c>
      <c r="T62" s="47">
        <f>T60*Calculations!Z121*8760</f>
        <v>2919002.5674915328</v>
      </c>
      <c r="U62" s="47">
        <f>U60*Calculations!AA121*8760</f>
        <v>2899546.9836560437</v>
      </c>
      <c r="V62" s="47">
        <f>V60*Calculations!AB121*8760</f>
        <v>2879231.3650655034</v>
      </c>
      <c r="W62" s="47">
        <f>W60*Calculations!AC121*8760</f>
        <v>2857044.9588262225</v>
      </c>
      <c r="X62" s="47">
        <f>X60*Calculations!AD121*8760</f>
        <v>2837150.9510384449</v>
      </c>
      <c r="Y62" s="47">
        <f>Y60*Calculations!AE121*8760</f>
        <v>2818010.224319533</v>
      </c>
      <c r="Z62" s="47">
        <f>Z60*Calculations!AF121*8760</f>
        <v>2802002.3943094811</v>
      </c>
      <c r="AA62" s="47">
        <f>AA60*Calculations!AG121*8760</f>
        <v>2786319.1427125507</v>
      </c>
      <c r="AB62" s="47">
        <f>AB60*Calculations!AH121*8760</f>
        <v>2774691.5334468833</v>
      </c>
      <c r="AC62" s="47">
        <f>AC60*Calculations!AI121*8760</f>
        <v>2762214.6755182375</v>
      </c>
    </row>
    <row r="65" spans="1:3" ht="14.5" x14ac:dyDescent="0.35">
      <c r="C65" s="44"/>
    </row>
    <row r="66" spans="1:3" ht="13" x14ac:dyDescent="0.3"/>
    <row r="67" spans="1:3" ht="13" x14ac:dyDescent="0.3"/>
    <row r="68" spans="1:3" ht="13" x14ac:dyDescent="0.3"/>
    <row r="79" spans="1:3" ht="13" x14ac:dyDescent="0.3">
      <c r="A79" s="41" t="s">
        <v>902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25"/>
  <sheetViews>
    <sheetView tabSelected="1" workbookViewId="0">
      <selection activeCell="F33" sqref="F33"/>
    </sheetView>
  </sheetViews>
  <sheetFormatPr defaultRowHeight="14.5" x14ac:dyDescent="0.35"/>
  <cols>
    <col min="1" max="1" width="23.453125" customWidth="1"/>
    <col min="2" max="31" width="9.54296875" bestFit="1" customWidth="1"/>
  </cols>
  <sheetData>
    <row r="1" spans="1:31" x14ac:dyDescent="0.35">
      <c r="A1" t="s">
        <v>161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58</v>
      </c>
      <c r="B2" s="10">
        <f>Calculations!F43</f>
        <v>0</v>
      </c>
      <c r="C2" s="10">
        <f>Calculations!G43</f>
        <v>0</v>
      </c>
      <c r="D2" s="10">
        <f>Calculations!H43</f>
        <v>0</v>
      </c>
      <c r="E2" s="10">
        <f>Calculations!I43</f>
        <v>0</v>
      </c>
      <c r="F2" s="10">
        <f>Calculations!J43</f>
        <v>0</v>
      </c>
      <c r="G2" s="10">
        <f>Calculations!K43</f>
        <v>0</v>
      </c>
      <c r="H2" s="10">
        <f>Calculations!L43</f>
        <v>0</v>
      </c>
      <c r="I2" s="10">
        <f>Calculations!M43</f>
        <v>0</v>
      </c>
      <c r="J2" s="10">
        <f>Calculations!N43</f>
        <v>0</v>
      </c>
      <c r="K2" s="10">
        <f>Calculations!O43</f>
        <v>0</v>
      </c>
      <c r="L2" s="10">
        <f>Calculations!P43</f>
        <v>0</v>
      </c>
      <c r="M2" s="10">
        <f>Calculations!Q43</f>
        <v>0</v>
      </c>
      <c r="N2" s="10">
        <f>Calculations!R43</f>
        <v>0</v>
      </c>
      <c r="O2" s="10">
        <f>Calculations!S43</f>
        <v>0</v>
      </c>
      <c r="P2" s="10">
        <f>Calculations!T43</f>
        <v>0</v>
      </c>
      <c r="Q2" s="10">
        <f>Calculations!U43</f>
        <v>0</v>
      </c>
      <c r="R2" s="10">
        <f>Calculations!V43</f>
        <v>0</v>
      </c>
      <c r="S2" s="10">
        <f>Calculations!W43</f>
        <v>0</v>
      </c>
      <c r="T2" s="10">
        <f>Calculations!X43</f>
        <v>0</v>
      </c>
      <c r="U2" s="10">
        <f>Calculations!Y43</f>
        <v>0</v>
      </c>
      <c r="V2" s="10">
        <f>Calculations!Z43</f>
        <v>0</v>
      </c>
      <c r="W2" s="10">
        <f>Calculations!AA43</f>
        <v>0</v>
      </c>
      <c r="X2" s="10">
        <f>Calculations!AB43</f>
        <v>0</v>
      </c>
      <c r="Y2" s="10">
        <f>Calculations!AC43</f>
        <v>0</v>
      </c>
      <c r="Z2" s="10">
        <f>Calculations!AD43</f>
        <v>0</v>
      </c>
      <c r="AA2" s="10">
        <f>Calculations!AE43</f>
        <v>0</v>
      </c>
      <c r="AB2" s="10">
        <f>Calculations!AF43</f>
        <v>0</v>
      </c>
      <c r="AC2" s="10">
        <f>Calculations!AG43</f>
        <v>0</v>
      </c>
      <c r="AD2" s="10">
        <f>Calculations!AH43</f>
        <v>0</v>
      </c>
      <c r="AE2" s="10">
        <f>Calculations!AI43</f>
        <v>0</v>
      </c>
    </row>
    <row r="3" spans="1:31" x14ac:dyDescent="0.35">
      <c r="A3" t="s">
        <v>922</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row>
    <row r="4" spans="1:31" x14ac:dyDescent="0.35">
      <c r="A4" t="s">
        <v>923</v>
      </c>
      <c r="B4" s="10">
        <f>Calculations!F44</f>
        <v>0</v>
      </c>
      <c r="C4" s="10">
        <f>Calculations!G44</f>
        <v>0</v>
      </c>
      <c r="D4" s="10">
        <f>Calculations!H44</f>
        <v>0</v>
      </c>
      <c r="E4" s="10">
        <f>Calculations!I44</f>
        <v>0</v>
      </c>
      <c r="F4" s="10">
        <f>Calculations!J44</f>
        <v>0</v>
      </c>
      <c r="G4" s="10">
        <f>Calculations!K44</f>
        <v>0</v>
      </c>
      <c r="H4" s="10">
        <f>Calculations!L44</f>
        <v>0</v>
      </c>
      <c r="I4" s="10">
        <f>Calculations!M44</f>
        <v>0</v>
      </c>
      <c r="J4" s="10">
        <f>Calculations!N44</f>
        <v>0</v>
      </c>
      <c r="K4" s="10">
        <f>Calculations!O44</f>
        <v>0</v>
      </c>
      <c r="L4" s="10">
        <f>Calculations!P44</f>
        <v>0</v>
      </c>
      <c r="M4" s="10">
        <f>Calculations!Q44</f>
        <v>0</v>
      </c>
      <c r="N4" s="10">
        <f>Calculations!R44</f>
        <v>0</v>
      </c>
      <c r="O4" s="10">
        <f>Calculations!S44</f>
        <v>1.6261636849348336E-3</v>
      </c>
      <c r="P4" s="10">
        <f>Calculations!T44</f>
        <v>4.0654092123370835E-3</v>
      </c>
      <c r="Q4" s="10">
        <f>Calculations!U44</f>
        <v>8.1308184246741671E-3</v>
      </c>
      <c r="R4" s="10">
        <f>Calculations!V44</f>
        <v>1.707471869181575E-2</v>
      </c>
      <c r="S4" s="10">
        <f>Calculations!W44</f>
        <v>3.3336355541164091E-2</v>
      </c>
      <c r="T4" s="10">
        <f>Calculations!X44</f>
        <v>6.3420383712458506E-2</v>
      </c>
      <c r="U4" s="10">
        <f>Calculations!Y44</f>
        <v>0.11870994900024284</v>
      </c>
      <c r="V4" s="10">
        <f>Calculations!Z44</f>
        <v>0.22034517930866993</v>
      </c>
      <c r="W4" s="10">
        <f>Calculations!AA44</f>
        <v>0.32116732777462964</v>
      </c>
      <c r="X4" s="10">
        <f>Calculations!AB44</f>
        <v>0.42280255808305667</v>
      </c>
      <c r="Y4" s="10">
        <f>Calculations!AC44</f>
        <v>0.52443778839148369</v>
      </c>
      <c r="Z4" s="10">
        <f>Calculations!AD44</f>
        <v>0.62607301869991083</v>
      </c>
      <c r="AA4" s="10">
        <f>Calculations!AE44</f>
        <v>0.72852133085080539</v>
      </c>
      <c r="AB4" s="10">
        <f>Calculations!AF44</f>
        <v>0.83096964300169973</v>
      </c>
      <c r="AC4" s="10">
        <f>Calculations!AG44</f>
        <v>0.93260487331012709</v>
      </c>
      <c r="AD4" s="10">
        <f>Calculations!AH44</f>
        <v>1.0350531854610217</v>
      </c>
      <c r="AE4" s="10">
        <f>Calculations!AI44</f>
        <v>1.137501497611916</v>
      </c>
    </row>
    <row r="5" spans="1:31" x14ac:dyDescent="0.35">
      <c r="A5" t="s">
        <v>8</v>
      </c>
      <c r="B5" s="10">
        <f>Calculations!F45</f>
        <v>0</v>
      </c>
      <c r="C5" s="10">
        <f>Calculations!G45</f>
        <v>0</v>
      </c>
      <c r="D5" s="10">
        <f>Calculations!H45</f>
        <v>0</v>
      </c>
      <c r="E5" s="10">
        <f>Calculations!I45</f>
        <v>0</v>
      </c>
      <c r="F5" s="10">
        <f>Calculations!J45</f>
        <v>0</v>
      </c>
      <c r="G5" s="10">
        <f>Calculations!K45</f>
        <v>0</v>
      </c>
      <c r="H5" s="10">
        <f>Calculations!L45</f>
        <v>0</v>
      </c>
      <c r="I5" s="10">
        <f>Calculations!M45</f>
        <v>0</v>
      </c>
      <c r="J5" s="10">
        <f>Calculations!N45</f>
        <v>0</v>
      </c>
      <c r="K5" s="10">
        <f>Calculations!O45</f>
        <v>0</v>
      </c>
      <c r="L5" s="10">
        <f>Calculations!P45</f>
        <v>0</v>
      </c>
      <c r="M5" s="10">
        <f>Calculations!Q45</f>
        <v>0</v>
      </c>
      <c r="N5" s="10">
        <f>Calculations!R45</f>
        <v>0</v>
      </c>
      <c r="O5" s="10">
        <f>Calculations!S45</f>
        <v>0</v>
      </c>
      <c r="P5" s="10">
        <f>Calculations!T45</f>
        <v>0</v>
      </c>
      <c r="Q5" s="10">
        <f>Calculations!U45</f>
        <v>0</v>
      </c>
      <c r="R5" s="10">
        <f>Calculations!V45</f>
        <v>0</v>
      </c>
      <c r="S5" s="10">
        <f>Calculations!W45</f>
        <v>0</v>
      </c>
      <c r="T5" s="10">
        <f>Calculations!X45</f>
        <v>0</v>
      </c>
      <c r="U5" s="10">
        <f>Calculations!Y45</f>
        <v>0</v>
      </c>
      <c r="V5" s="10">
        <f>Calculations!Z45</f>
        <v>0</v>
      </c>
      <c r="W5" s="10">
        <f>Calculations!AA45</f>
        <v>0</v>
      </c>
      <c r="X5" s="10">
        <f>Calculations!AB45</f>
        <v>0</v>
      </c>
      <c r="Y5" s="10">
        <f>Calculations!AC45</f>
        <v>0</v>
      </c>
      <c r="Z5" s="10">
        <f>Calculations!AD45</f>
        <v>0</v>
      </c>
      <c r="AA5" s="10">
        <f>Calculations!AE45</f>
        <v>0</v>
      </c>
      <c r="AB5" s="10">
        <f>Calculations!AF45</f>
        <v>0</v>
      </c>
      <c r="AC5" s="10">
        <f>Calculations!AG45</f>
        <v>0</v>
      </c>
      <c r="AD5" s="10">
        <f>Calculations!AH45</f>
        <v>0</v>
      </c>
      <c r="AE5" s="10">
        <f>Calculations!AI45</f>
        <v>0</v>
      </c>
    </row>
    <row r="6" spans="1:31" x14ac:dyDescent="0.35">
      <c r="A6" t="s">
        <v>9</v>
      </c>
      <c r="B6" s="10">
        <f>Calculations!F46</f>
        <v>0</v>
      </c>
      <c r="C6" s="10">
        <f>Calculations!G46</f>
        <v>0</v>
      </c>
      <c r="D6" s="10">
        <f>Calculations!H46</f>
        <v>0</v>
      </c>
      <c r="E6" s="10">
        <f>Calculations!I46</f>
        <v>0</v>
      </c>
      <c r="F6" s="10">
        <f>Calculations!J46</f>
        <v>0</v>
      </c>
      <c r="G6" s="10">
        <f>Calculations!K46</f>
        <v>0</v>
      </c>
      <c r="H6" s="10">
        <f>Calculations!L46</f>
        <v>0</v>
      </c>
      <c r="I6" s="10">
        <f>Calculations!M46</f>
        <v>0</v>
      </c>
      <c r="J6" s="10">
        <f>Calculations!N46</f>
        <v>0</v>
      </c>
      <c r="K6" s="10">
        <f>Calculations!O46</f>
        <v>0</v>
      </c>
      <c r="L6" s="10">
        <f>Calculations!P46</f>
        <v>0</v>
      </c>
      <c r="M6" s="10">
        <f>Calculations!Q46</f>
        <v>0</v>
      </c>
      <c r="N6" s="10">
        <f>Calculations!R46</f>
        <v>0</v>
      </c>
      <c r="O6" s="10">
        <f>Calculations!S46</f>
        <v>0</v>
      </c>
      <c r="P6" s="10">
        <f>Calculations!T46</f>
        <v>0</v>
      </c>
      <c r="Q6" s="10">
        <f>Calculations!U46</f>
        <v>0</v>
      </c>
      <c r="R6" s="10">
        <f>Calculations!V46</f>
        <v>0</v>
      </c>
      <c r="S6" s="10">
        <f>Calculations!W46</f>
        <v>0</v>
      </c>
      <c r="T6" s="10">
        <f>Calculations!X46</f>
        <v>0</v>
      </c>
      <c r="U6" s="10">
        <f>Calculations!Y46</f>
        <v>0</v>
      </c>
      <c r="V6" s="10">
        <f>Calculations!Z46</f>
        <v>0</v>
      </c>
      <c r="W6" s="10">
        <f>Calculations!AA46</f>
        <v>0</v>
      </c>
      <c r="X6" s="10">
        <f>Calculations!AB46</f>
        <v>0</v>
      </c>
      <c r="Y6" s="10">
        <f>Calculations!AC46</f>
        <v>0</v>
      </c>
      <c r="Z6" s="10">
        <f>Calculations!AD46</f>
        <v>0</v>
      </c>
      <c r="AA6" s="10">
        <f>Calculations!AE46</f>
        <v>0</v>
      </c>
      <c r="AB6" s="10">
        <f>Calculations!AF46</f>
        <v>0</v>
      </c>
      <c r="AC6" s="10">
        <f>Calculations!AG46</f>
        <v>0</v>
      </c>
      <c r="AD6" s="10">
        <f>Calculations!AH46</f>
        <v>0</v>
      </c>
      <c r="AE6" s="10">
        <f>Calculations!AI46</f>
        <v>0</v>
      </c>
    </row>
    <row r="7" spans="1:31" x14ac:dyDescent="0.35">
      <c r="A7" t="s">
        <v>59</v>
      </c>
      <c r="B7" s="10">
        <f>Calculations!F47</f>
        <v>11.571780781996274</v>
      </c>
      <c r="C7" s="10">
        <f>Calculations!G47</f>
        <v>11.571780781996274</v>
      </c>
      <c r="D7" s="10">
        <f>Calculations!H47</f>
        <v>11.571780781996274</v>
      </c>
      <c r="E7" s="10">
        <f>Calculations!I47</f>
        <v>11.571780781996274</v>
      </c>
      <c r="F7" s="10">
        <f>Calculations!J47</f>
        <v>11.571780781996274</v>
      </c>
      <c r="G7" s="10">
        <f>Calculations!K47</f>
        <v>11.571780781996274</v>
      </c>
      <c r="H7" s="10">
        <f>Calculations!L47</f>
        <v>11.571780781996274</v>
      </c>
      <c r="I7" s="10">
        <f>Calculations!M47</f>
        <v>11.571780781996274</v>
      </c>
      <c r="J7" s="10">
        <f>Calculations!N47</f>
        <v>11.571780781996274</v>
      </c>
      <c r="K7" s="10">
        <f>Calculations!O47</f>
        <v>11.571780781996274</v>
      </c>
      <c r="L7" s="10">
        <f>Calculations!P47</f>
        <v>11.571780781996274</v>
      </c>
      <c r="M7" s="10">
        <f>Calculations!Q47</f>
        <v>11.572593863838744</v>
      </c>
      <c r="N7" s="10">
        <f>Calculations!R47</f>
        <v>11.572593863838744</v>
      </c>
      <c r="O7" s="10">
        <f>Calculations!S47</f>
        <v>11.575033109366146</v>
      </c>
      <c r="P7" s="10">
        <f>Calculations!T47</f>
        <v>11.579911600420949</v>
      </c>
      <c r="Q7" s="10">
        <f>Calculations!U47</f>
        <v>11.588855500688091</v>
      </c>
      <c r="R7" s="10">
        <f>Calculations!V47</f>
        <v>11.605930219379907</v>
      </c>
      <c r="S7" s="10">
        <f>Calculations!W47</f>
        <v>11.638453493078604</v>
      </c>
      <c r="T7" s="10">
        <f>Calculations!X47</f>
        <v>11.698621549421192</v>
      </c>
      <c r="U7" s="10">
        <f>Calculations!Y47</f>
        <v>11.81001376183923</v>
      </c>
      <c r="V7" s="10">
        <f>Calculations!Z47</f>
        <v>12.011658058771149</v>
      </c>
      <c r="W7" s="10">
        <f>Calculations!AA47</f>
        <v>12.214115437545535</v>
      </c>
      <c r="X7" s="10">
        <f>Calculations!AB47</f>
        <v>12.417385898162388</v>
      </c>
      <c r="Y7" s="10">
        <f>Calculations!AC47</f>
        <v>12.620656358779241</v>
      </c>
      <c r="Z7" s="10">
        <f>Calculations!AD47</f>
        <v>12.824739901238564</v>
      </c>
      <c r="AA7" s="10">
        <f>Calculations!AE47</f>
        <v>13.028823443697886</v>
      </c>
      <c r="AB7" s="10">
        <f>Calculations!AF47</f>
        <v>13.232906986157209</v>
      </c>
      <c r="AC7" s="10">
        <f>Calculations!AG47</f>
        <v>13.437803610458998</v>
      </c>
      <c r="AD7" s="10">
        <f>Calculations!AH47</f>
        <v>13.642700234760786</v>
      </c>
      <c r="AE7" s="10">
        <f>Calculations!AI47</f>
        <v>13.847596859062577</v>
      </c>
    </row>
    <row r="8" spans="1:31" s="49" customFormat="1" x14ac:dyDescent="0.35">
      <c r="A8" t="s">
        <v>10</v>
      </c>
      <c r="B8" s="49">
        <f>Calculations!F48</f>
        <v>17296.296503197602</v>
      </c>
      <c r="C8" s="49">
        <f>Calculations!G48</f>
        <v>21092.010533797456</v>
      </c>
      <c r="D8" s="49">
        <f>Calculations!H48+'Inflation Reduction Act'!B59</f>
        <v>23113.409236946489</v>
      </c>
      <c r="E8" s="49">
        <f>Calculations!I48+'Inflation Reduction Act'!C59</f>
        <v>25463.706863110172</v>
      </c>
      <c r="F8" s="49">
        <f>Calculations!J48+'Inflation Reduction Act'!D59</f>
        <v>29653.642685981089</v>
      </c>
      <c r="G8" s="49">
        <f>Calculations!K48+'Inflation Reduction Act'!E59</f>
        <v>33838.495121172899</v>
      </c>
      <c r="H8" s="49">
        <f>Calculations!L48+'Inflation Reduction Act'!F59</f>
        <v>38101.639206975888</v>
      </c>
      <c r="I8" s="49">
        <f>Calculations!M48+'Inflation Reduction Act'!G59</f>
        <v>42436.888203650735</v>
      </c>
      <c r="J8" s="49">
        <f>Calculations!N48+'Inflation Reduction Act'!H59</f>
        <v>46887.965587276129</v>
      </c>
      <c r="K8" s="49">
        <f>Calculations!O48+'Inflation Reduction Act'!I59</f>
        <v>50785.618814826063</v>
      </c>
      <c r="L8" s="49">
        <f>Calculations!P48+'Inflation Reduction Act'!J59</f>
        <v>54821.373180237257</v>
      </c>
      <c r="M8" s="49">
        <f>Calculations!Q48+'Inflation Reduction Act'!K59</f>
        <v>57872.951456283561</v>
      </c>
      <c r="N8" s="49">
        <f>Calculations!R48+'Inflation Reduction Act'!L59</f>
        <v>60969.637886786266</v>
      </c>
      <c r="O8" s="49">
        <f>Calculations!S48+'Inflation Reduction Act'!M59</f>
        <v>64153.086654534993</v>
      </c>
      <c r="P8" s="49">
        <f>Calculations!T48+'Inflation Reduction Act'!N59</f>
        <v>66930.319733787008</v>
      </c>
      <c r="Q8" s="49">
        <f>Calculations!U48+'Inflation Reduction Act'!O59</f>
        <v>69857.363955595458</v>
      </c>
      <c r="R8" s="49">
        <f>Calculations!V48+'Inflation Reduction Act'!P59</f>
        <v>72910.403339712677</v>
      </c>
      <c r="S8" s="49">
        <f>Calculations!W48+'Inflation Reduction Act'!Q59</f>
        <v>76195.254796362889</v>
      </c>
      <c r="T8" s="49">
        <f>Calculations!X48+'Inflation Reduction Act'!R59</f>
        <v>79722.047699139541</v>
      </c>
      <c r="U8" s="49">
        <f>Calculations!Y48+'Inflation Reduction Act'!S59</f>
        <v>83491.992726906086</v>
      </c>
      <c r="V8" s="49">
        <f>Calculations!Z48+'Inflation Reduction Act'!T59</f>
        <v>87495.48087844823</v>
      </c>
      <c r="W8" s="49">
        <f>Calculations!AA48+'Inflation Reduction Act'!U59</f>
        <v>91732.44304180934</v>
      </c>
      <c r="X8" s="49">
        <f>Calculations!AB48+'Inflation Reduction Act'!V59</f>
        <v>96233.126674611092</v>
      </c>
      <c r="Y8" s="49">
        <f>Calculations!AC48+'Inflation Reduction Act'!W59</f>
        <v>100912.40454719265</v>
      </c>
      <c r="Z8" s="49">
        <f>Calculations!AD48+'Inflation Reduction Act'!X59</f>
        <v>105846.42096101926</v>
      </c>
      <c r="AA8" s="49">
        <f>Calculations!AE48+'Inflation Reduction Act'!Y59</f>
        <v>110966.17779093911</v>
      </c>
      <c r="AB8" s="49">
        <f>Calculations!AF48+'Inflation Reduction Act'!Z59</f>
        <v>116270.3781714135</v>
      </c>
      <c r="AC8" s="49">
        <f>Calculations!AG48+'Inflation Reduction Act'!AA59</f>
        <v>121854.99340463619</v>
      </c>
      <c r="AD8" s="49">
        <f>Calculations!AH48+'Inflation Reduction Act'!AB59</f>
        <v>127570.48635663168</v>
      </c>
      <c r="AE8" s="49">
        <f>Calculations!AI48+'Inflation Reduction Act'!AC59</f>
        <v>133489.08877903916</v>
      </c>
    </row>
    <row r="9" spans="1:31" x14ac:dyDescent="0.35">
      <c r="A9" t="s">
        <v>11</v>
      </c>
      <c r="B9" s="10">
        <f>Calculations!F49</f>
        <v>0</v>
      </c>
      <c r="C9" s="10">
        <f>Calculations!G49</f>
        <v>0</v>
      </c>
      <c r="D9" s="10">
        <f>Calculations!H49</f>
        <v>0</v>
      </c>
      <c r="E9" s="10">
        <f>Calculations!I49</f>
        <v>0</v>
      </c>
      <c r="F9" s="10">
        <f>Calculations!J49</f>
        <v>0</v>
      </c>
      <c r="G9" s="10">
        <f>Calculations!K49</f>
        <v>0</v>
      </c>
      <c r="H9" s="10">
        <f>Calculations!L49</f>
        <v>0</v>
      </c>
      <c r="I9" s="10">
        <f>Calculations!M49</f>
        <v>0</v>
      </c>
      <c r="J9" s="10">
        <f>Calculations!N49</f>
        <v>0</v>
      </c>
      <c r="K9" s="10">
        <f>Calculations!O49</f>
        <v>0</v>
      </c>
      <c r="L9" s="10">
        <f>Calculations!P49</f>
        <v>0</v>
      </c>
      <c r="M9" s="10">
        <f>Calculations!Q49</f>
        <v>0</v>
      </c>
      <c r="N9" s="10">
        <f>Calculations!R49</f>
        <v>0</v>
      </c>
      <c r="O9" s="10">
        <f>Calculations!S49</f>
        <v>0</v>
      </c>
      <c r="P9" s="10">
        <f>Calculations!T49</f>
        <v>0</v>
      </c>
      <c r="Q9" s="10">
        <f>Calculations!U49</f>
        <v>0</v>
      </c>
      <c r="R9" s="10">
        <f>Calculations!V49</f>
        <v>0</v>
      </c>
      <c r="S9" s="10">
        <f>Calculations!W49</f>
        <v>0</v>
      </c>
      <c r="T9" s="10">
        <f>Calculations!X49</f>
        <v>0</v>
      </c>
      <c r="U9" s="10">
        <f>Calculations!Y49</f>
        <v>0</v>
      </c>
      <c r="V9" s="10">
        <f>Calculations!Z49</f>
        <v>0</v>
      </c>
      <c r="W9" s="10">
        <f>Calculations!AA49</f>
        <v>0</v>
      </c>
      <c r="X9" s="10">
        <f>Calculations!AB49</f>
        <v>0</v>
      </c>
      <c r="Y9" s="10">
        <f>Calculations!AC49</f>
        <v>0</v>
      </c>
      <c r="Z9" s="10">
        <f>Calculations!AD49</f>
        <v>0</v>
      </c>
      <c r="AA9" s="10">
        <f>Calculations!AE49</f>
        <v>0</v>
      </c>
      <c r="AB9" s="10">
        <f>Calculations!AF49</f>
        <v>0</v>
      </c>
      <c r="AC9" s="10">
        <f>Calculations!AG49</f>
        <v>0</v>
      </c>
      <c r="AD9" s="10">
        <f>Calculations!AH49</f>
        <v>0</v>
      </c>
      <c r="AE9" s="10">
        <f>Calculations!AI49</f>
        <v>0</v>
      </c>
    </row>
    <row r="10" spans="1:31" x14ac:dyDescent="0.35">
      <c r="A10" t="s">
        <v>12</v>
      </c>
      <c r="B10" s="10">
        <f>Calculations!F50</f>
        <v>0</v>
      </c>
      <c r="C10" s="10">
        <f>Calculations!G50</f>
        <v>0</v>
      </c>
      <c r="D10" s="10">
        <f>Calculations!H50</f>
        <v>0</v>
      </c>
      <c r="E10" s="10">
        <f>Calculations!I50</f>
        <v>0</v>
      </c>
      <c r="F10" s="10">
        <f>Calculations!J50</f>
        <v>0</v>
      </c>
      <c r="G10" s="10">
        <f>Calculations!K50</f>
        <v>0</v>
      </c>
      <c r="H10" s="10">
        <f>Calculations!L50</f>
        <v>0</v>
      </c>
      <c r="I10" s="10">
        <f>Calculations!M50</f>
        <v>0</v>
      </c>
      <c r="J10" s="10">
        <f>Calculations!N50</f>
        <v>0</v>
      </c>
      <c r="K10" s="10">
        <f>Calculations!O50</f>
        <v>0</v>
      </c>
      <c r="L10" s="10">
        <f>Calculations!P50</f>
        <v>0</v>
      </c>
      <c r="M10" s="10">
        <f>Calculations!Q50</f>
        <v>0</v>
      </c>
      <c r="N10" s="10">
        <f>Calculations!R50</f>
        <v>0</v>
      </c>
      <c r="O10" s="10">
        <f>Calculations!S50</f>
        <v>0</v>
      </c>
      <c r="P10" s="10">
        <f>Calculations!T50</f>
        <v>0</v>
      </c>
      <c r="Q10" s="10">
        <f>Calculations!U50</f>
        <v>0</v>
      </c>
      <c r="R10" s="10">
        <f>Calculations!V50</f>
        <v>0</v>
      </c>
      <c r="S10" s="10">
        <f>Calculations!W50</f>
        <v>0</v>
      </c>
      <c r="T10" s="10">
        <f>Calculations!X50</f>
        <v>0</v>
      </c>
      <c r="U10" s="10">
        <f>Calculations!Y50</f>
        <v>0</v>
      </c>
      <c r="V10" s="10">
        <f>Calculations!Z50</f>
        <v>0</v>
      </c>
      <c r="W10" s="10">
        <f>Calculations!AA50</f>
        <v>0</v>
      </c>
      <c r="X10" s="10">
        <f>Calculations!AB50</f>
        <v>0</v>
      </c>
      <c r="Y10" s="10">
        <f>Calculations!AC50</f>
        <v>0</v>
      </c>
      <c r="Z10" s="10">
        <f>Calculations!AD50</f>
        <v>0</v>
      </c>
      <c r="AA10" s="10">
        <f>Calculations!AE50</f>
        <v>0</v>
      </c>
      <c r="AB10" s="10">
        <f>Calculations!AF50</f>
        <v>0</v>
      </c>
      <c r="AC10" s="10">
        <f>Calculations!AG50</f>
        <v>0</v>
      </c>
      <c r="AD10" s="10">
        <f>Calculations!AH50</f>
        <v>0</v>
      </c>
      <c r="AE10" s="10">
        <f>Calculations!AI50</f>
        <v>0</v>
      </c>
    </row>
    <row r="11" spans="1:31" x14ac:dyDescent="0.35">
      <c r="A11" t="s">
        <v>13</v>
      </c>
      <c r="B11" s="10">
        <f>Calculations!F51</f>
        <v>0</v>
      </c>
      <c r="C11" s="10">
        <f>Calculations!G51</f>
        <v>0</v>
      </c>
      <c r="D11" s="10">
        <f>Calculations!H51</f>
        <v>0</v>
      </c>
      <c r="E11" s="10">
        <f>Calculations!I51</f>
        <v>0</v>
      </c>
      <c r="F11" s="10">
        <f>Calculations!J51</f>
        <v>0</v>
      </c>
      <c r="G11" s="10">
        <f>Calculations!K51</f>
        <v>0</v>
      </c>
      <c r="H11" s="10">
        <f>Calculations!L51</f>
        <v>0</v>
      </c>
      <c r="I11" s="10">
        <f>Calculations!M51</f>
        <v>0</v>
      </c>
      <c r="J11" s="10">
        <f>Calculations!N51</f>
        <v>0</v>
      </c>
      <c r="K11" s="10">
        <f>Calculations!O51</f>
        <v>0</v>
      </c>
      <c r="L11" s="10">
        <f>Calculations!P51</f>
        <v>0</v>
      </c>
      <c r="M11" s="10">
        <f>Calculations!Q51</f>
        <v>0</v>
      </c>
      <c r="N11" s="10">
        <f>Calculations!R51</f>
        <v>0</v>
      </c>
      <c r="O11" s="10">
        <f>Calculations!S51</f>
        <v>0</v>
      </c>
      <c r="P11" s="10">
        <f>Calculations!T51</f>
        <v>0</v>
      </c>
      <c r="Q11" s="10">
        <f>Calculations!U51</f>
        <v>0</v>
      </c>
      <c r="R11" s="10">
        <f>Calculations!V51</f>
        <v>0</v>
      </c>
      <c r="S11" s="10">
        <f>Calculations!W51</f>
        <v>0</v>
      </c>
      <c r="T11" s="10">
        <f>Calculations!X51</f>
        <v>0</v>
      </c>
      <c r="U11" s="10">
        <f>Calculations!Y51</f>
        <v>0</v>
      </c>
      <c r="V11" s="10">
        <f>Calculations!Z51</f>
        <v>0</v>
      </c>
      <c r="W11" s="10">
        <f>Calculations!AA51</f>
        <v>0</v>
      </c>
      <c r="X11" s="10">
        <f>Calculations!AB51</f>
        <v>0</v>
      </c>
      <c r="Y11" s="10">
        <f>Calculations!AC51</f>
        <v>0</v>
      </c>
      <c r="Z11" s="10">
        <f>Calculations!AD51</f>
        <v>0</v>
      </c>
      <c r="AA11" s="10">
        <f>Calculations!AE51</f>
        <v>0</v>
      </c>
      <c r="AB11" s="10">
        <f>Calculations!AF51</f>
        <v>0</v>
      </c>
      <c r="AC11" s="10">
        <f>Calculations!AG51</f>
        <v>0</v>
      </c>
      <c r="AD11" s="10">
        <f>Calculations!AH51</f>
        <v>0</v>
      </c>
      <c r="AE11" s="10">
        <f>Calculations!AI51</f>
        <v>0</v>
      </c>
    </row>
    <row r="12" spans="1:31" x14ac:dyDescent="0.35">
      <c r="A12" t="s">
        <v>14</v>
      </c>
      <c r="B12" s="10">
        <f>Calculations!F52</f>
        <v>0</v>
      </c>
      <c r="C12" s="10">
        <f>Calculations!G52</f>
        <v>0</v>
      </c>
      <c r="D12" s="10">
        <f>Calculations!H52</f>
        <v>0</v>
      </c>
      <c r="E12" s="10">
        <f>Calculations!I52</f>
        <v>0</v>
      </c>
      <c r="F12" s="10">
        <f>Calculations!J52</f>
        <v>0</v>
      </c>
      <c r="G12" s="10">
        <f>Calculations!K52</f>
        <v>0</v>
      </c>
      <c r="H12" s="10">
        <f>Calculations!L52</f>
        <v>0</v>
      </c>
      <c r="I12" s="10">
        <f>Calculations!M52</f>
        <v>0</v>
      </c>
      <c r="J12" s="10">
        <f>Calculations!N52</f>
        <v>0</v>
      </c>
      <c r="K12" s="10">
        <f>Calculations!O52</f>
        <v>0</v>
      </c>
      <c r="L12" s="10">
        <f>Calculations!P52</f>
        <v>0</v>
      </c>
      <c r="M12" s="10">
        <f>Calculations!Q52</f>
        <v>0</v>
      </c>
      <c r="N12" s="10">
        <f>Calculations!R52</f>
        <v>0</v>
      </c>
      <c r="O12" s="10">
        <f>Calculations!S52</f>
        <v>0</v>
      </c>
      <c r="P12" s="10">
        <f>Calculations!T52</f>
        <v>0</v>
      </c>
      <c r="Q12" s="10">
        <f>Calculations!U52</f>
        <v>0</v>
      </c>
      <c r="R12" s="10">
        <f>Calculations!V52</f>
        <v>0</v>
      </c>
      <c r="S12" s="10">
        <f>Calculations!W52</f>
        <v>0</v>
      </c>
      <c r="T12" s="10">
        <f>Calculations!X52</f>
        <v>0</v>
      </c>
      <c r="U12" s="10">
        <f>Calculations!Y52</f>
        <v>0</v>
      </c>
      <c r="V12" s="10">
        <f>Calculations!Z52</f>
        <v>0</v>
      </c>
      <c r="W12" s="10">
        <f>Calculations!AA52</f>
        <v>0</v>
      </c>
      <c r="X12" s="10">
        <f>Calculations!AB52</f>
        <v>0</v>
      </c>
      <c r="Y12" s="10">
        <f>Calculations!AC52</f>
        <v>0</v>
      </c>
      <c r="Z12" s="10">
        <f>Calculations!AD52</f>
        <v>0</v>
      </c>
      <c r="AA12" s="10">
        <f>Calculations!AE52</f>
        <v>0</v>
      </c>
      <c r="AB12" s="10">
        <f>Calculations!AF52</f>
        <v>0</v>
      </c>
      <c r="AC12" s="10">
        <f>Calculations!AG52</f>
        <v>0</v>
      </c>
      <c r="AD12" s="10">
        <f>Calculations!AH52</f>
        <v>0</v>
      </c>
      <c r="AE12" s="10">
        <f>Calculations!AI52</f>
        <v>0</v>
      </c>
    </row>
    <row r="13" spans="1:31" x14ac:dyDescent="0.35">
      <c r="A13" t="s">
        <v>15</v>
      </c>
      <c r="B13" s="10">
        <f>Calculations!F53</f>
        <v>0</v>
      </c>
      <c r="C13" s="10">
        <f>Calculations!G53</f>
        <v>0</v>
      </c>
      <c r="D13" s="10">
        <f>Calculations!H53</f>
        <v>0</v>
      </c>
      <c r="E13" s="10">
        <f>Calculations!I53</f>
        <v>0</v>
      </c>
      <c r="F13" s="10">
        <f>Calculations!J53</f>
        <v>0</v>
      </c>
      <c r="G13" s="10">
        <f>Calculations!K53</f>
        <v>0</v>
      </c>
      <c r="H13" s="10">
        <f>Calculations!L53</f>
        <v>0</v>
      </c>
      <c r="I13" s="10">
        <f>Calculations!M53</f>
        <v>0</v>
      </c>
      <c r="J13" s="10">
        <f>Calculations!N53</f>
        <v>0</v>
      </c>
      <c r="K13" s="10">
        <f>Calculations!O53</f>
        <v>0</v>
      </c>
      <c r="L13" s="10">
        <f>Calculations!P53</f>
        <v>0</v>
      </c>
      <c r="M13" s="10">
        <f>Calculations!Q53</f>
        <v>0</v>
      </c>
      <c r="N13" s="10">
        <f>Calculations!R53</f>
        <v>0</v>
      </c>
      <c r="O13" s="10">
        <f>Calculations!S53</f>
        <v>0</v>
      </c>
      <c r="P13" s="10">
        <f>Calculations!T53</f>
        <v>0</v>
      </c>
      <c r="Q13" s="10">
        <f>Calculations!U53</f>
        <v>0</v>
      </c>
      <c r="R13" s="10">
        <f>Calculations!V53</f>
        <v>0</v>
      </c>
      <c r="S13" s="10">
        <f>Calculations!W53</f>
        <v>0</v>
      </c>
      <c r="T13" s="10">
        <f>Calculations!X53</f>
        <v>0</v>
      </c>
      <c r="U13" s="10">
        <f>Calculations!Y53</f>
        <v>0</v>
      </c>
      <c r="V13" s="10">
        <f>Calculations!Z53</f>
        <v>0</v>
      </c>
      <c r="W13" s="10">
        <f>Calculations!AA53</f>
        <v>0</v>
      </c>
      <c r="X13" s="10">
        <f>Calculations!AB53</f>
        <v>0</v>
      </c>
      <c r="Y13" s="10">
        <f>Calculations!AC53</f>
        <v>0</v>
      </c>
      <c r="Z13" s="10">
        <f>Calculations!AD53</f>
        <v>0</v>
      </c>
      <c r="AA13" s="10">
        <f>Calculations!AE53</f>
        <v>0</v>
      </c>
      <c r="AB13" s="10">
        <f>Calculations!AF53</f>
        <v>0</v>
      </c>
      <c r="AC13" s="10">
        <f>Calculations!AG53</f>
        <v>0</v>
      </c>
      <c r="AD13" s="10">
        <f>Calculations!AH53</f>
        <v>0</v>
      </c>
      <c r="AE13" s="10">
        <f>Calculations!AI53</f>
        <v>0</v>
      </c>
    </row>
    <row r="14" spans="1:31" x14ac:dyDescent="0.35">
      <c r="A14" t="s">
        <v>57</v>
      </c>
      <c r="B14" s="10">
        <f>Calculations!F54</f>
        <v>0</v>
      </c>
      <c r="C14" s="10">
        <f>Calculations!G54</f>
        <v>0</v>
      </c>
      <c r="D14" s="10">
        <f>Calculations!H54</f>
        <v>0</v>
      </c>
      <c r="E14" s="10">
        <f>Calculations!I54</f>
        <v>0</v>
      </c>
      <c r="F14" s="10">
        <f>Calculations!J54</f>
        <v>0</v>
      </c>
      <c r="G14" s="10">
        <f>Calculations!K54</f>
        <v>0</v>
      </c>
      <c r="H14" s="10">
        <f>Calculations!L54</f>
        <v>0</v>
      </c>
      <c r="I14" s="10">
        <f>Calculations!M54</f>
        <v>0</v>
      </c>
      <c r="J14" s="10">
        <f>Calculations!N54</f>
        <v>0</v>
      </c>
      <c r="K14" s="10">
        <f>Calculations!O54</f>
        <v>0</v>
      </c>
      <c r="L14" s="10">
        <f>Calculations!P54</f>
        <v>0</v>
      </c>
      <c r="M14" s="10">
        <f>Calculations!Q54</f>
        <v>0</v>
      </c>
      <c r="N14" s="10">
        <f>Calculations!R54</f>
        <v>0</v>
      </c>
      <c r="O14" s="10">
        <f>Calculations!S54</f>
        <v>0</v>
      </c>
      <c r="P14" s="10">
        <f>Calculations!T54</f>
        <v>0</v>
      </c>
      <c r="Q14" s="10">
        <f>Calculations!U54</f>
        <v>0</v>
      </c>
      <c r="R14" s="10">
        <f>Calculations!V54</f>
        <v>0</v>
      </c>
      <c r="S14" s="10">
        <f>Calculations!W54</f>
        <v>0</v>
      </c>
      <c r="T14" s="10">
        <f>Calculations!X54</f>
        <v>0</v>
      </c>
      <c r="U14" s="10">
        <f>Calculations!Y54</f>
        <v>0</v>
      </c>
      <c r="V14" s="10">
        <f>Calculations!Z54</f>
        <v>0</v>
      </c>
      <c r="W14" s="10">
        <f>Calculations!AA54</f>
        <v>0</v>
      </c>
      <c r="X14" s="10">
        <f>Calculations!AB54</f>
        <v>0</v>
      </c>
      <c r="Y14" s="10">
        <f>Calculations!AC54</f>
        <v>0</v>
      </c>
      <c r="Z14" s="10">
        <f>Calculations!AD54</f>
        <v>0</v>
      </c>
      <c r="AA14" s="10">
        <f>Calculations!AE54</f>
        <v>0</v>
      </c>
      <c r="AB14" s="10">
        <f>Calculations!AF54</f>
        <v>0</v>
      </c>
      <c r="AC14" s="10">
        <f>Calculations!AG54</f>
        <v>0</v>
      </c>
      <c r="AD14" s="10">
        <f>Calculations!AH54</f>
        <v>0</v>
      </c>
      <c r="AE14" s="10">
        <f>Calculations!AI54</f>
        <v>0</v>
      </c>
    </row>
    <row r="15" spans="1:31" x14ac:dyDescent="0.35">
      <c r="A15" t="s">
        <v>60</v>
      </c>
      <c r="B15" s="10">
        <f>Calculations!F55</f>
        <v>0</v>
      </c>
      <c r="C15" s="10">
        <f>Calculations!G55</f>
        <v>0</v>
      </c>
      <c r="D15" s="10">
        <f>Calculations!H55</f>
        <v>0</v>
      </c>
      <c r="E15" s="10">
        <f>Calculations!I55</f>
        <v>0</v>
      </c>
      <c r="F15" s="10">
        <f>Calculations!J55</f>
        <v>0</v>
      </c>
      <c r="G15" s="10">
        <f>Calculations!K55</f>
        <v>0</v>
      </c>
      <c r="H15" s="10">
        <f>Calculations!L55</f>
        <v>0</v>
      </c>
      <c r="I15" s="10">
        <f>Calculations!M55</f>
        <v>0</v>
      </c>
      <c r="J15" s="10">
        <f>Calculations!N55</f>
        <v>0</v>
      </c>
      <c r="K15" s="10">
        <f>Calculations!O55</f>
        <v>0</v>
      </c>
      <c r="L15" s="10">
        <f>Calculations!P55</f>
        <v>0</v>
      </c>
      <c r="M15" s="10">
        <f>Calculations!Q55</f>
        <v>0</v>
      </c>
      <c r="N15" s="10">
        <f>Calculations!R55</f>
        <v>0</v>
      </c>
      <c r="O15" s="10">
        <f>Calculations!S55</f>
        <v>0</v>
      </c>
      <c r="P15" s="10">
        <f>Calculations!T55</f>
        <v>0</v>
      </c>
      <c r="Q15" s="10">
        <f>Calculations!U55</f>
        <v>0</v>
      </c>
      <c r="R15" s="10">
        <f>Calculations!V55</f>
        <v>0</v>
      </c>
      <c r="S15" s="10">
        <f>Calculations!W55</f>
        <v>0</v>
      </c>
      <c r="T15" s="10">
        <f>Calculations!X55</f>
        <v>0</v>
      </c>
      <c r="U15" s="10">
        <f>Calculations!Y55</f>
        <v>0</v>
      </c>
      <c r="V15" s="10">
        <f>Calculations!Z55</f>
        <v>0</v>
      </c>
      <c r="W15" s="10">
        <f>Calculations!AA55</f>
        <v>0</v>
      </c>
      <c r="X15" s="10">
        <f>Calculations!AB55</f>
        <v>0</v>
      </c>
      <c r="Y15" s="10">
        <f>Calculations!AC55</f>
        <v>0</v>
      </c>
      <c r="Z15" s="10">
        <f>Calculations!AD55</f>
        <v>0</v>
      </c>
      <c r="AA15" s="10">
        <f>Calculations!AE55</f>
        <v>0</v>
      </c>
      <c r="AB15" s="10">
        <f>Calculations!AF55</f>
        <v>0</v>
      </c>
      <c r="AC15" s="10">
        <f>Calculations!AG55</f>
        <v>0</v>
      </c>
      <c r="AD15" s="10">
        <f>Calculations!AH55</f>
        <v>0</v>
      </c>
      <c r="AE15" s="10">
        <f>Calculations!AI55</f>
        <v>0</v>
      </c>
    </row>
    <row r="16" spans="1:31" x14ac:dyDescent="0.35">
      <c r="A16" t="s">
        <v>158</v>
      </c>
      <c r="B16" s="10">
        <f>Calculations!F56</f>
        <v>0</v>
      </c>
      <c r="C16" s="10">
        <f>Calculations!G56</f>
        <v>0</v>
      </c>
      <c r="D16" s="10">
        <f>Calculations!H56</f>
        <v>0</v>
      </c>
      <c r="E16" s="10">
        <f>Calculations!I56</f>
        <v>0</v>
      </c>
      <c r="F16" s="10">
        <f>Calculations!J56</f>
        <v>0</v>
      </c>
      <c r="G16" s="10">
        <f>Calculations!K56</f>
        <v>0</v>
      </c>
      <c r="H16" s="10">
        <f>Calculations!L56</f>
        <v>0</v>
      </c>
      <c r="I16" s="10">
        <f>Calculations!M56</f>
        <v>0</v>
      </c>
      <c r="J16" s="10">
        <f>Calculations!N56</f>
        <v>0</v>
      </c>
      <c r="K16" s="10">
        <f>Calculations!O56</f>
        <v>0</v>
      </c>
      <c r="L16" s="10">
        <f>Calculations!P56</f>
        <v>0</v>
      </c>
      <c r="M16" s="10">
        <f>Calculations!Q56</f>
        <v>0</v>
      </c>
      <c r="N16" s="10">
        <f>Calculations!R56</f>
        <v>0</v>
      </c>
      <c r="O16" s="10">
        <f>Calculations!S56</f>
        <v>0</v>
      </c>
      <c r="P16" s="10">
        <f>Calculations!T56</f>
        <v>0</v>
      </c>
      <c r="Q16" s="10">
        <f>Calculations!U56</f>
        <v>0</v>
      </c>
      <c r="R16" s="10">
        <f>Calculations!V56</f>
        <v>0</v>
      </c>
      <c r="S16" s="10">
        <f>Calculations!W56</f>
        <v>0</v>
      </c>
      <c r="T16" s="10">
        <f>Calculations!X56</f>
        <v>0</v>
      </c>
      <c r="U16" s="10">
        <f>Calculations!Y56</f>
        <v>0</v>
      </c>
      <c r="V16" s="10">
        <f>Calculations!Z56</f>
        <v>0</v>
      </c>
      <c r="W16" s="10">
        <f>Calculations!AA56</f>
        <v>0</v>
      </c>
      <c r="X16" s="10">
        <f>Calculations!AB56</f>
        <v>0</v>
      </c>
      <c r="Y16" s="10">
        <f>Calculations!AC56</f>
        <v>0</v>
      </c>
      <c r="Z16" s="10">
        <f>Calculations!AD56</f>
        <v>0</v>
      </c>
      <c r="AA16" s="10">
        <f>Calculations!AE56</f>
        <v>0</v>
      </c>
      <c r="AB16" s="10">
        <f>Calculations!AF56</f>
        <v>0</v>
      </c>
      <c r="AC16" s="10">
        <f>Calculations!AG56</f>
        <v>0</v>
      </c>
      <c r="AD16" s="10">
        <f>Calculations!AH56</f>
        <v>0</v>
      </c>
      <c r="AE16" s="10">
        <f>Calculations!AI56</f>
        <v>0</v>
      </c>
    </row>
    <row r="17" spans="1:31" x14ac:dyDescent="0.35">
      <c r="A17" t="s">
        <v>159</v>
      </c>
      <c r="B17" s="10">
        <f>Calculations!F57</f>
        <v>0</v>
      </c>
      <c r="C17" s="10">
        <f>Calculations!G57</f>
        <v>0</v>
      </c>
      <c r="D17" s="10">
        <f>Calculations!H57</f>
        <v>0</v>
      </c>
      <c r="E17" s="10">
        <f>Calculations!I57</f>
        <v>0</v>
      </c>
      <c r="F17" s="10">
        <f>Calculations!J57</f>
        <v>0</v>
      </c>
      <c r="G17" s="10">
        <f>Calculations!K57</f>
        <v>0</v>
      </c>
      <c r="H17" s="10">
        <f>Calculations!L57</f>
        <v>0</v>
      </c>
      <c r="I17" s="10">
        <f>Calculations!M57</f>
        <v>0</v>
      </c>
      <c r="J17" s="10">
        <f>Calculations!N57</f>
        <v>0</v>
      </c>
      <c r="K17" s="10">
        <f>Calculations!O57</f>
        <v>0</v>
      </c>
      <c r="L17" s="10">
        <f>Calculations!P57</f>
        <v>0</v>
      </c>
      <c r="M17" s="10">
        <f>Calculations!Q57</f>
        <v>0</v>
      </c>
      <c r="N17" s="10">
        <f>Calculations!R57</f>
        <v>0</v>
      </c>
      <c r="O17" s="10">
        <f>Calculations!S57</f>
        <v>0</v>
      </c>
      <c r="P17" s="10">
        <f>Calculations!T57</f>
        <v>0</v>
      </c>
      <c r="Q17" s="10">
        <f>Calculations!U57</f>
        <v>0</v>
      </c>
      <c r="R17" s="10">
        <f>Calculations!V57</f>
        <v>0</v>
      </c>
      <c r="S17" s="10">
        <f>Calculations!W57</f>
        <v>0</v>
      </c>
      <c r="T17" s="10">
        <f>Calculations!X57</f>
        <v>0</v>
      </c>
      <c r="U17" s="10">
        <f>Calculations!Y57</f>
        <v>0</v>
      </c>
      <c r="V17" s="10">
        <f>Calculations!Z57</f>
        <v>0</v>
      </c>
      <c r="W17" s="10">
        <f>Calculations!AA57</f>
        <v>0</v>
      </c>
      <c r="X17" s="10">
        <f>Calculations!AB57</f>
        <v>0</v>
      </c>
      <c r="Y17" s="10">
        <f>Calculations!AC57</f>
        <v>0</v>
      </c>
      <c r="Z17" s="10">
        <f>Calculations!AD57</f>
        <v>0</v>
      </c>
      <c r="AA17" s="10">
        <f>Calculations!AE57</f>
        <v>0</v>
      </c>
      <c r="AB17" s="10">
        <f>Calculations!AF57</f>
        <v>0</v>
      </c>
      <c r="AC17" s="10">
        <f>Calculations!AG57</f>
        <v>0</v>
      </c>
      <c r="AD17" s="10">
        <f>Calculations!AH57</f>
        <v>0</v>
      </c>
      <c r="AE17" s="10">
        <f>Calculations!AI57</f>
        <v>0</v>
      </c>
    </row>
    <row r="18" spans="1:31" x14ac:dyDescent="0.35">
      <c r="A18" t="s">
        <v>160</v>
      </c>
      <c r="B18" s="10">
        <f>Calculations!F58</f>
        <v>0</v>
      </c>
      <c r="C18" s="10">
        <f>Calculations!G58</f>
        <v>0</v>
      </c>
      <c r="D18" s="10">
        <f>Calculations!H58</f>
        <v>0</v>
      </c>
      <c r="E18" s="10">
        <f>Calculations!I58</f>
        <v>0</v>
      </c>
      <c r="F18" s="10">
        <f>Calculations!J58</f>
        <v>0</v>
      </c>
      <c r="G18" s="10">
        <f>Calculations!K58</f>
        <v>0</v>
      </c>
      <c r="H18" s="10">
        <f>Calculations!L58</f>
        <v>0</v>
      </c>
      <c r="I18" s="10">
        <f>Calculations!M58</f>
        <v>0</v>
      </c>
      <c r="J18" s="10">
        <f>Calculations!N58</f>
        <v>0</v>
      </c>
      <c r="K18" s="10">
        <f>Calculations!O58</f>
        <v>0</v>
      </c>
      <c r="L18" s="10">
        <f>Calculations!P58</f>
        <v>0</v>
      </c>
      <c r="M18" s="10">
        <f>Calculations!Q58</f>
        <v>0</v>
      </c>
      <c r="N18" s="10">
        <f>Calculations!R58</f>
        <v>0</v>
      </c>
      <c r="O18" s="10">
        <f>Calculations!S58</f>
        <v>0</v>
      </c>
      <c r="P18" s="10">
        <f>Calculations!T58</f>
        <v>0</v>
      </c>
      <c r="Q18" s="10">
        <f>Calculations!U58</f>
        <v>0</v>
      </c>
      <c r="R18" s="10">
        <f>Calculations!V58</f>
        <v>0</v>
      </c>
      <c r="S18" s="10">
        <f>Calculations!W58</f>
        <v>0</v>
      </c>
      <c r="T18" s="10">
        <f>Calculations!X58</f>
        <v>0</v>
      </c>
      <c r="U18" s="10">
        <f>Calculations!Y58</f>
        <v>0</v>
      </c>
      <c r="V18" s="10">
        <f>Calculations!Z58</f>
        <v>0</v>
      </c>
      <c r="W18" s="10">
        <f>Calculations!AA58</f>
        <v>0</v>
      </c>
      <c r="X18" s="10">
        <f>Calculations!AB58</f>
        <v>0</v>
      </c>
      <c r="Y18" s="10">
        <f>Calculations!AC58</f>
        <v>0</v>
      </c>
      <c r="Z18" s="10">
        <f>Calculations!AD58</f>
        <v>0</v>
      </c>
      <c r="AA18" s="10">
        <f>Calculations!AE58</f>
        <v>0</v>
      </c>
      <c r="AB18" s="10">
        <f>Calculations!AF58</f>
        <v>0</v>
      </c>
      <c r="AC18" s="10">
        <f>Calculations!AG58</f>
        <v>0</v>
      </c>
      <c r="AD18" s="10">
        <f>Calculations!AH58</f>
        <v>0</v>
      </c>
      <c r="AE18" s="10">
        <f>Calculations!AI58</f>
        <v>0</v>
      </c>
    </row>
    <row r="19" spans="1:31" x14ac:dyDescent="0.35">
      <c r="A19" s="50" t="s">
        <v>924</v>
      </c>
      <c r="B19" s="49">
        <v>0</v>
      </c>
      <c r="C19" s="49">
        <v>0</v>
      </c>
      <c r="D19" s="49">
        <v>0</v>
      </c>
      <c r="E19" s="49">
        <v>0</v>
      </c>
      <c r="F19" s="49">
        <v>0</v>
      </c>
      <c r="G19" s="49">
        <v>0</v>
      </c>
      <c r="H19" s="49">
        <v>0</v>
      </c>
      <c r="I19" s="49">
        <v>0</v>
      </c>
      <c r="J19" s="49">
        <v>0</v>
      </c>
      <c r="K19" s="49">
        <v>0</v>
      </c>
      <c r="L19" s="49">
        <v>0</v>
      </c>
      <c r="M19" s="49">
        <v>0</v>
      </c>
      <c r="N19" s="49">
        <v>0</v>
      </c>
      <c r="O19" s="49">
        <v>0</v>
      </c>
      <c r="P19" s="49">
        <v>0</v>
      </c>
      <c r="Q19" s="49">
        <v>0</v>
      </c>
      <c r="R19" s="49">
        <v>0</v>
      </c>
      <c r="S19" s="49">
        <v>0</v>
      </c>
      <c r="T19" s="49">
        <v>0</v>
      </c>
      <c r="U19" s="49">
        <v>0</v>
      </c>
      <c r="V19" s="49">
        <v>0</v>
      </c>
      <c r="W19" s="49">
        <v>0</v>
      </c>
      <c r="X19" s="49">
        <v>0</v>
      </c>
      <c r="Y19" s="49">
        <v>0</v>
      </c>
      <c r="Z19" s="49">
        <v>0</v>
      </c>
      <c r="AA19" s="49">
        <v>0</v>
      </c>
      <c r="AB19" s="49">
        <v>0</v>
      </c>
      <c r="AC19" s="49">
        <v>0</v>
      </c>
      <c r="AD19" s="49">
        <v>0</v>
      </c>
      <c r="AE19" s="49">
        <v>0</v>
      </c>
    </row>
    <row r="20" spans="1:31" x14ac:dyDescent="0.35">
      <c r="A20" s="50" t="s">
        <v>925</v>
      </c>
      <c r="B20" s="49">
        <v>0</v>
      </c>
      <c r="C20" s="49">
        <v>0</v>
      </c>
      <c r="D20" s="49">
        <v>0</v>
      </c>
      <c r="E20" s="49">
        <v>0</v>
      </c>
      <c r="F20" s="49">
        <v>0</v>
      </c>
      <c r="G20" s="49">
        <v>0</v>
      </c>
      <c r="H20" s="49">
        <v>0</v>
      </c>
      <c r="I20" s="49">
        <v>0</v>
      </c>
      <c r="J20" s="49">
        <v>0</v>
      </c>
      <c r="K20" s="49">
        <v>0</v>
      </c>
      <c r="L20" s="49">
        <v>0</v>
      </c>
      <c r="M20" s="49">
        <v>0</v>
      </c>
      <c r="N20" s="49">
        <v>0</v>
      </c>
      <c r="O20" s="49">
        <v>0</v>
      </c>
      <c r="P20" s="49">
        <v>0</v>
      </c>
      <c r="Q20" s="49">
        <v>0</v>
      </c>
      <c r="R20" s="49">
        <v>0</v>
      </c>
      <c r="S20" s="49">
        <v>0</v>
      </c>
      <c r="T20" s="49">
        <v>0</v>
      </c>
      <c r="U20" s="49">
        <v>0</v>
      </c>
      <c r="V20" s="49">
        <v>0</v>
      </c>
      <c r="W20" s="49">
        <v>0</v>
      </c>
      <c r="X20" s="49">
        <v>0</v>
      </c>
      <c r="Y20" s="49">
        <v>0</v>
      </c>
      <c r="Z20" s="49">
        <v>0</v>
      </c>
      <c r="AA20" s="49">
        <v>0</v>
      </c>
      <c r="AB20" s="49">
        <v>0</v>
      </c>
      <c r="AC20" s="49">
        <v>0</v>
      </c>
      <c r="AD20" s="49">
        <v>0</v>
      </c>
      <c r="AE20" s="49">
        <v>0</v>
      </c>
    </row>
    <row r="21" spans="1:31" x14ac:dyDescent="0.35">
      <c r="A21" s="50" t="s">
        <v>926</v>
      </c>
      <c r="B21" s="49">
        <v>0</v>
      </c>
      <c r="C21" s="49">
        <v>0</v>
      </c>
      <c r="D21" s="49">
        <v>0</v>
      </c>
      <c r="E21" s="49">
        <v>0</v>
      </c>
      <c r="F21" s="49">
        <v>0</v>
      </c>
      <c r="G21" s="49">
        <v>0</v>
      </c>
      <c r="H21" s="49">
        <v>0</v>
      </c>
      <c r="I21" s="49">
        <v>0</v>
      </c>
      <c r="J21" s="49">
        <v>0</v>
      </c>
      <c r="K21" s="49">
        <v>0</v>
      </c>
      <c r="L21" s="49">
        <v>0</v>
      </c>
      <c r="M21" s="49">
        <v>0</v>
      </c>
      <c r="N21" s="49">
        <v>0</v>
      </c>
      <c r="O21" s="49">
        <v>0</v>
      </c>
      <c r="P21" s="49">
        <v>0</v>
      </c>
      <c r="Q21" s="49">
        <v>0</v>
      </c>
      <c r="R21" s="49">
        <v>0</v>
      </c>
      <c r="S21" s="49">
        <v>0</v>
      </c>
      <c r="T21" s="49">
        <v>0</v>
      </c>
      <c r="U21" s="49">
        <v>0</v>
      </c>
      <c r="V21" s="49">
        <v>0</v>
      </c>
      <c r="W21" s="49">
        <v>0</v>
      </c>
      <c r="X21" s="49">
        <v>0</v>
      </c>
      <c r="Y21" s="49">
        <v>0</v>
      </c>
      <c r="Z21" s="49">
        <v>0</v>
      </c>
      <c r="AA21" s="49">
        <v>0</v>
      </c>
      <c r="AB21" s="49">
        <v>0</v>
      </c>
      <c r="AC21" s="49">
        <v>0</v>
      </c>
      <c r="AD21" s="49">
        <v>0</v>
      </c>
      <c r="AE21" s="49">
        <v>0</v>
      </c>
    </row>
    <row r="22" spans="1:31" x14ac:dyDescent="0.35">
      <c r="A22" s="50" t="s">
        <v>927</v>
      </c>
      <c r="B22" s="49">
        <v>0</v>
      </c>
      <c r="C22" s="49">
        <v>0</v>
      </c>
      <c r="D22" s="49">
        <v>0</v>
      </c>
      <c r="E22" s="49">
        <v>0</v>
      </c>
      <c r="F22" s="49">
        <v>0</v>
      </c>
      <c r="G22" s="49">
        <v>0</v>
      </c>
      <c r="H22" s="49">
        <v>0</v>
      </c>
      <c r="I22" s="49">
        <v>0</v>
      </c>
      <c r="J22" s="49">
        <v>0</v>
      </c>
      <c r="K22" s="49">
        <v>0</v>
      </c>
      <c r="L22" s="49">
        <v>0</v>
      </c>
      <c r="M22" s="49">
        <v>0</v>
      </c>
      <c r="N22" s="49">
        <v>0</v>
      </c>
      <c r="O22" s="49">
        <v>0</v>
      </c>
      <c r="P22" s="49">
        <v>0</v>
      </c>
      <c r="Q22" s="49">
        <v>0</v>
      </c>
      <c r="R22" s="49">
        <v>0</v>
      </c>
      <c r="S22" s="49">
        <v>0</v>
      </c>
      <c r="T22" s="49">
        <v>0</v>
      </c>
      <c r="U22" s="49">
        <v>0</v>
      </c>
      <c r="V22" s="49">
        <v>0</v>
      </c>
      <c r="W22" s="49">
        <v>0</v>
      </c>
      <c r="X22" s="49">
        <v>0</v>
      </c>
      <c r="Y22" s="49">
        <v>0</v>
      </c>
      <c r="Z22" s="49">
        <v>0</v>
      </c>
      <c r="AA22" s="49">
        <v>0</v>
      </c>
      <c r="AB22" s="49">
        <v>0</v>
      </c>
      <c r="AC22" s="49">
        <v>0</v>
      </c>
      <c r="AD22" s="49">
        <v>0</v>
      </c>
      <c r="AE22" s="49">
        <v>0</v>
      </c>
    </row>
    <row r="23" spans="1:31" x14ac:dyDescent="0.35">
      <c r="A23" s="50" t="s">
        <v>928</v>
      </c>
      <c r="B23" s="49">
        <v>0</v>
      </c>
      <c r="C23" s="49">
        <v>0</v>
      </c>
      <c r="D23" s="49">
        <v>0</v>
      </c>
      <c r="E23" s="49">
        <v>0</v>
      </c>
      <c r="F23" s="49">
        <v>0</v>
      </c>
      <c r="G23" s="49">
        <v>0</v>
      </c>
      <c r="H23" s="49">
        <v>0</v>
      </c>
      <c r="I23" s="49">
        <v>0</v>
      </c>
      <c r="J23" s="49">
        <v>0</v>
      </c>
      <c r="K23" s="49">
        <v>0</v>
      </c>
      <c r="L23" s="49">
        <v>0</v>
      </c>
      <c r="M23" s="49">
        <v>0</v>
      </c>
      <c r="N23" s="49">
        <v>0</v>
      </c>
      <c r="O23" s="49">
        <v>0</v>
      </c>
      <c r="P23" s="49">
        <v>0</v>
      </c>
      <c r="Q23" s="49">
        <v>0</v>
      </c>
      <c r="R23" s="49">
        <v>0</v>
      </c>
      <c r="S23" s="49">
        <v>0</v>
      </c>
      <c r="T23" s="49">
        <v>0</v>
      </c>
      <c r="U23" s="49">
        <v>0</v>
      </c>
      <c r="V23" s="49">
        <v>0</v>
      </c>
      <c r="W23" s="49">
        <v>0</v>
      </c>
      <c r="X23" s="49">
        <v>0</v>
      </c>
      <c r="Y23" s="49">
        <v>0</v>
      </c>
      <c r="Z23" s="49">
        <v>0</v>
      </c>
      <c r="AA23" s="49">
        <v>0</v>
      </c>
      <c r="AB23" s="49">
        <v>0</v>
      </c>
      <c r="AC23" s="49">
        <v>0</v>
      </c>
      <c r="AD23" s="49">
        <v>0</v>
      </c>
      <c r="AE23" s="49">
        <v>0</v>
      </c>
    </row>
    <row r="24" spans="1:31" x14ac:dyDescent="0.35">
      <c r="A24" s="51" t="s">
        <v>929</v>
      </c>
      <c r="B24" s="49">
        <v>0</v>
      </c>
      <c r="C24" s="49">
        <v>0</v>
      </c>
      <c r="D24" s="49">
        <v>0</v>
      </c>
      <c r="E24" s="49">
        <v>0</v>
      </c>
      <c r="F24" s="49">
        <v>0</v>
      </c>
      <c r="G24" s="49">
        <v>0</v>
      </c>
      <c r="H24" s="49">
        <v>0</v>
      </c>
      <c r="I24" s="49">
        <v>0</v>
      </c>
      <c r="J24" s="49">
        <v>0</v>
      </c>
      <c r="K24" s="49">
        <v>0</v>
      </c>
      <c r="L24" s="49">
        <v>0</v>
      </c>
      <c r="M24" s="49">
        <v>0</v>
      </c>
      <c r="N24" s="49">
        <v>0</v>
      </c>
      <c r="O24" s="49">
        <v>0</v>
      </c>
      <c r="P24" s="49">
        <v>0</v>
      </c>
      <c r="Q24" s="49">
        <v>0</v>
      </c>
      <c r="R24" s="49">
        <v>0</v>
      </c>
      <c r="S24" s="49">
        <v>0</v>
      </c>
      <c r="T24" s="49">
        <v>0</v>
      </c>
      <c r="U24" s="49">
        <v>0</v>
      </c>
      <c r="V24" s="49">
        <v>0</v>
      </c>
      <c r="W24" s="49">
        <v>0</v>
      </c>
      <c r="X24" s="49">
        <v>0</v>
      </c>
      <c r="Y24" s="49">
        <v>0</v>
      </c>
      <c r="Z24" s="49">
        <v>0</v>
      </c>
      <c r="AA24" s="49">
        <v>0</v>
      </c>
      <c r="AB24" s="49">
        <v>0</v>
      </c>
      <c r="AC24" s="49">
        <v>0</v>
      </c>
      <c r="AD24" s="49">
        <v>0</v>
      </c>
      <c r="AE24" s="49">
        <v>0</v>
      </c>
    </row>
    <row r="25" spans="1:31" x14ac:dyDescent="0.35">
      <c r="A25" s="51" t="s">
        <v>930</v>
      </c>
      <c r="B25" s="49">
        <v>0</v>
      </c>
      <c r="C25" s="49">
        <v>0</v>
      </c>
      <c r="D25" s="49">
        <v>0</v>
      </c>
      <c r="E25" s="49">
        <v>0</v>
      </c>
      <c r="F25" s="49">
        <v>0</v>
      </c>
      <c r="G25" s="49">
        <v>0</v>
      </c>
      <c r="H25" s="49">
        <v>0</v>
      </c>
      <c r="I25" s="49">
        <v>0</v>
      </c>
      <c r="J25" s="49">
        <v>0</v>
      </c>
      <c r="K25" s="49">
        <v>0</v>
      </c>
      <c r="L25" s="49">
        <v>0</v>
      </c>
      <c r="M25" s="49">
        <v>0</v>
      </c>
      <c r="N25" s="49">
        <v>0</v>
      </c>
      <c r="O25" s="49">
        <v>0</v>
      </c>
      <c r="P25" s="49">
        <v>0</v>
      </c>
      <c r="Q25" s="49">
        <v>0</v>
      </c>
      <c r="R25" s="49">
        <v>0</v>
      </c>
      <c r="S25" s="49">
        <v>0</v>
      </c>
      <c r="T25" s="49">
        <v>0</v>
      </c>
      <c r="U25" s="49">
        <v>0</v>
      </c>
      <c r="V25" s="49">
        <v>0</v>
      </c>
      <c r="W25" s="49">
        <v>0</v>
      </c>
      <c r="X25" s="49">
        <v>0</v>
      </c>
      <c r="Y25" s="49">
        <v>0</v>
      </c>
      <c r="Z25" s="49">
        <v>0</v>
      </c>
      <c r="AA25" s="49">
        <v>0</v>
      </c>
      <c r="AB25" s="49">
        <v>0</v>
      </c>
      <c r="AC25" s="49">
        <v>0</v>
      </c>
      <c r="AD25" s="49">
        <v>0</v>
      </c>
      <c r="AE25" s="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G25"/>
  <sheetViews>
    <sheetView workbookViewId="0">
      <selection activeCell="B24" sqref="B24:AG25"/>
    </sheetView>
  </sheetViews>
  <sheetFormatPr defaultRowHeight="14.5" x14ac:dyDescent="0.35"/>
  <cols>
    <col min="1" max="1" width="23.453125" customWidth="1"/>
    <col min="2" max="33" width="9.54296875" bestFit="1" customWidth="1"/>
  </cols>
  <sheetData>
    <row r="1" spans="1:33" x14ac:dyDescent="0.3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35">
      <c r="A2" t="s">
        <v>58</v>
      </c>
      <c r="B2" s="10">
        <f>Calculations!D62</f>
        <v>0</v>
      </c>
      <c r="C2" s="10">
        <f>Calculations!E62</f>
        <v>0</v>
      </c>
      <c r="D2" s="10">
        <f>Calculations!F62</f>
        <v>0</v>
      </c>
      <c r="E2" s="10">
        <f>Calculations!G62</f>
        <v>0</v>
      </c>
      <c r="F2" s="10">
        <f>Calculations!H62</f>
        <v>0</v>
      </c>
      <c r="G2" s="10">
        <f>Calculations!I62</f>
        <v>0</v>
      </c>
      <c r="H2" s="10">
        <f>Calculations!J62</f>
        <v>0</v>
      </c>
      <c r="I2" s="10">
        <f>Calculations!K62</f>
        <v>0</v>
      </c>
      <c r="J2" s="10">
        <f>Calculations!L62</f>
        <v>0</v>
      </c>
      <c r="K2" s="10">
        <f>Calculations!M62</f>
        <v>0</v>
      </c>
      <c r="L2" s="10">
        <f>Calculations!N62</f>
        <v>0</v>
      </c>
      <c r="M2" s="10">
        <f>Calculations!O62</f>
        <v>0</v>
      </c>
      <c r="N2" s="10">
        <f>Calculations!P62</f>
        <v>0</v>
      </c>
      <c r="O2" s="10">
        <f>Calculations!Q62</f>
        <v>0</v>
      </c>
      <c r="P2" s="10">
        <f>Calculations!R62</f>
        <v>0</v>
      </c>
      <c r="Q2" s="10">
        <f>Calculations!S62</f>
        <v>0</v>
      </c>
      <c r="R2" s="10">
        <f>Calculations!T62</f>
        <v>0</v>
      </c>
      <c r="S2" s="10">
        <f>Calculations!U62</f>
        <v>0</v>
      </c>
      <c r="T2" s="10">
        <f>Calculations!V62</f>
        <v>0</v>
      </c>
      <c r="U2" s="10">
        <f>Calculations!W62</f>
        <v>0</v>
      </c>
      <c r="V2" s="10">
        <f>Calculations!X62</f>
        <v>0</v>
      </c>
      <c r="W2" s="10">
        <f>Calculations!Y62</f>
        <v>0</v>
      </c>
      <c r="X2" s="10">
        <f>Calculations!Z62</f>
        <v>0</v>
      </c>
      <c r="Y2" s="10">
        <f>Calculations!AA62</f>
        <v>0</v>
      </c>
      <c r="Z2" s="10">
        <f>Calculations!AB62</f>
        <v>0</v>
      </c>
      <c r="AA2" s="10">
        <f>Calculations!AC62</f>
        <v>0</v>
      </c>
      <c r="AB2" s="10">
        <f>Calculations!AD62</f>
        <v>0</v>
      </c>
      <c r="AC2" s="10">
        <f>Calculations!AE62</f>
        <v>0</v>
      </c>
      <c r="AD2" s="10">
        <f>Calculations!AF62</f>
        <v>0</v>
      </c>
      <c r="AE2" s="10">
        <f>Calculations!AG62</f>
        <v>0</v>
      </c>
      <c r="AF2" s="10">
        <f>Calculations!AH62</f>
        <v>0</v>
      </c>
      <c r="AG2" s="10">
        <f>Calculations!AI62</f>
        <v>0</v>
      </c>
    </row>
    <row r="3" spans="1:33" x14ac:dyDescent="0.35">
      <c r="A3" t="s">
        <v>922</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35">
      <c r="A4" t="s">
        <v>923</v>
      </c>
      <c r="B4" s="10">
        <f>Calculations!D63</f>
        <v>0</v>
      </c>
      <c r="C4" s="10">
        <f>Calculations!E63</f>
        <v>0</v>
      </c>
      <c r="D4" s="10">
        <f>Calculations!F63</f>
        <v>0</v>
      </c>
      <c r="E4" s="10">
        <f>Calculations!G63</f>
        <v>0</v>
      </c>
      <c r="F4" s="10">
        <f>Calculations!H63</f>
        <v>0</v>
      </c>
      <c r="G4" s="10">
        <f>Calculations!I63</f>
        <v>0</v>
      </c>
      <c r="H4" s="10">
        <f>Calculations!J63</f>
        <v>0</v>
      </c>
      <c r="I4" s="10">
        <f>Calculations!K63</f>
        <v>0</v>
      </c>
      <c r="J4" s="10">
        <f>Calculations!L63</f>
        <v>0</v>
      </c>
      <c r="K4" s="10">
        <f>Calculations!M63</f>
        <v>0</v>
      </c>
      <c r="L4" s="10">
        <f>Calculations!N63</f>
        <v>0</v>
      </c>
      <c r="M4" s="10">
        <f>Calculations!O63</f>
        <v>0</v>
      </c>
      <c r="N4" s="10">
        <f>Calculations!P63</f>
        <v>0</v>
      </c>
      <c r="O4" s="10">
        <f>Calculations!Q63</f>
        <v>0</v>
      </c>
      <c r="P4" s="10">
        <f>Calculations!R63</f>
        <v>0</v>
      </c>
      <c r="Q4" s="10">
        <f>Calculations!S63</f>
        <v>3.7383631506516634E-4</v>
      </c>
      <c r="R4" s="10">
        <f>Calculations!T63</f>
        <v>9.3459078766291591E-4</v>
      </c>
      <c r="S4" s="10">
        <f>Calculations!U63</f>
        <v>1.8691815753258318E-3</v>
      </c>
      <c r="T4" s="10">
        <f>Calculations!V63</f>
        <v>3.9252813081842464E-3</v>
      </c>
      <c r="U4" s="10">
        <f>Calculations!W63</f>
        <v>7.6636444588359101E-3</v>
      </c>
      <c r="V4" s="10">
        <f>Calculations!X63</f>
        <v>1.4579616287541487E-2</v>
      </c>
      <c r="W4" s="10">
        <f>Calculations!Y63</f>
        <v>2.7290050999757141E-2</v>
      </c>
      <c r="X4" s="10">
        <f>Calculations!Z63</f>
        <v>5.0654820691330031E-2</v>
      </c>
      <c r="Y4" s="10">
        <f>Calculations!AA63</f>
        <v>7.3832672225370363E-2</v>
      </c>
      <c r="Z4" s="10">
        <f>Calculations!AB63</f>
        <v>9.7197441916943239E-2</v>
      </c>
      <c r="AA4" s="10">
        <f>Calculations!AC63</f>
        <v>0.12056221160851613</v>
      </c>
      <c r="AB4" s="10">
        <f>Calculations!AD63</f>
        <v>0.14392698130008902</v>
      </c>
      <c r="AC4" s="10">
        <f>Calculations!AE63</f>
        <v>0.16747866914919451</v>
      </c>
      <c r="AD4" s="10">
        <f>Calculations!AF63</f>
        <v>0.19103035699829995</v>
      </c>
      <c r="AE4" s="10">
        <f>Calculations!AG63</f>
        <v>0.2143951266898729</v>
      </c>
      <c r="AF4" s="10">
        <f>Calculations!AH63</f>
        <v>0.2379468145389784</v>
      </c>
      <c r="AG4" s="10">
        <f>Calculations!AI63</f>
        <v>0.26149850238808386</v>
      </c>
    </row>
    <row r="5" spans="1:33" x14ac:dyDescent="0.35">
      <c r="A5" t="s">
        <v>8</v>
      </c>
      <c r="B5" s="10">
        <f>Calculations!D64</f>
        <v>0</v>
      </c>
      <c r="C5" s="10">
        <f>Calculations!E64</f>
        <v>0</v>
      </c>
      <c r="D5" s="10">
        <f>Calculations!F64</f>
        <v>0</v>
      </c>
      <c r="E5" s="10">
        <f>Calculations!G64</f>
        <v>0</v>
      </c>
      <c r="F5" s="10">
        <f>Calculations!H64</f>
        <v>0</v>
      </c>
      <c r="G5" s="10">
        <f>Calculations!I64</f>
        <v>0</v>
      </c>
      <c r="H5" s="10">
        <f>Calculations!J64</f>
        <v>0</v>
      </c>
      <c r="I5" s="10">
        <f>Calculations!K64</f>
        <v>0</v>
      </c>
      <c r="J5" s="10">
        <f>Calculations!L64</f>
        <v>0</v>
      </c>
      <c r="K5" s="10">
        <f>Calculations!M64</f>
        <v>0</v>
      </c>
      <c r="L5" s="10">
        <f>Calculations!N64</f>
        <v>0</v>
      </c>
      <c r="M5" s="10">
        <f>Calculations!O64</f>
        <v>0</v>
      </c>
      <c r="N5" s="10">
        <f>Calculations!P64</f>
        <v>0</v>
      </c>
      <c r="O5" s="10">
        <f>Calculations!Q64</f>
        <v>0</v>
      </c>
      <c r="P5" s="10">
        <f>Calculations!R64</f>
        <v>0</v>
      </c>
      <c r="Q5" s="10">
        <f>Calculations!S64</f>
        <v>0</v>
      </c>
      <c r="R5" s="10">
        <f>Calculations!T64</f>
        <v>0</v>
      </c>
      <c r="S5" s="10">
        <f>Calculations!U64</f>
        <v>0</v>
      </c>
      <c r="T5" s="10">
        <f>Calculations!V64</f>
        <v>0</v>
      </c>
      <c r="U5" s="10">
        <f>Calculations!W64</f>
        <v>0</v>
      </c>
      <c r="V5" s="10">
        <f>Calculations!X64</f>
        <v>0</v>
      </c>
      <c r="W5" s="10">
        <f>Calculations!Y64</f>
        <v>0</v>
      </c>
      <c r="X5" s="10">
        <f>Calculations!Z64</f>
        <v>0</v>
      </c>
      <c r="Y5" s="10">
        <f>Calculations!AA64</f>
        <v>0</v>
      </c>
      <c r="Z5" s="10">
        <f>Calculations!AB64</f>
        <v>0</v>
      </c>
      <c r="AA5" s="10">
        <f>Calculations!AC64</f>
        <v>0</v>
      </c>
      <c r="AB5" s="10">
        <f>Calculations!AD64</f>
        <v>0</v>
      </c>
      <c r="AC5" s="10">
        <f>Calculations!AE64</f>
        <v>0</v>
      </c>
      <c r="AD5" s="10">
        <f>Calculations!AF64</f>
        <v>0</v>
      </c>
      <c r="AE5" s="10">
        <f>Calculations!AG64</f>
        <v>0</v>
      </c>
      <c r="AF5" s="10">
        <f>Calculations!AH64</f>
        <v>0</v>
      </c>
      <c r="AG5" s="10">
        <f>Calculations!AI64</f>
        <v>0</v>
      </c>
    </row>
    <row r="6" spans="1:33" x14ac:dyDescent="0.35">
      <c r="A6" t="s">
        <v>9</v>
      </c>
      <c r="B6" s="10">
        <f>Calculations!D65</f>
        <v>0</v>
      </c>
      <c r="C6" s="10">
        <f>Calculations!E65</f>
        <v>0</v>
      </c>
      <c r="D6" s="10">
        <f>Calculations!F65</f>
        <v>0</v>
      </c>
      <c r="E6" s="10">
        <f>Calculations!G65</f>
        <v>0</v>
      </c>
      <c r="F6" s="10">
        <f>Calculations!H65</f>
        <v>0</v>
      </c>
      <c r="G6" s="10">
        <f>Calculations!I65</f>
        <v>0</v>
      </c>
      <c r="H6" s="10">
        <f>Calculations!J65</f>
        <v>0</v>
      </c>
      <c r="I6" s="10">
        <f>Calculations!K65</f>
        <v>0</v>
      </c>
      <c r="J6" s="10">
        <f>Calculations!L65</f>
        <v>0</v>
      </c>
      <c r="K6" s="10">
        <f>Calculations!M65</f>
        <v>0</v>
      </c>
      <c r="L6" s="10">
        <f>Calculations!N65</f>
        <v>0</v>
      </c>
      <c r="M6" s="10">
        <f>Calculations!O65</f>
        <v>0</v>
      </c>
      <c r="N6" s="10">
        <f>Calculations!P65</f>
        <v>0</v>
      </c>
      <c r="O6" s="10">
        <f>Calculations!Q65</f>
        <v>0</v>
      </c>
      <c r="P6" s="10">
        <f>Calculations!R65</f>
        <v>0</v>
      </c>
      <c r="Q6" s="10">
        <f>Calculations!S65</f>
        <v>0</v>
      </c>
      <c r="R6" s="10">
        <f>Calculations!T65</f>
        <v>0</v>
      </c>
      <c r="S6" s="10">
        <f>Calculations!U65</f>
        <v>0</v>
      </c>
      <c r="T6" s="10">
        <f>Calculations!V65</f>
        <v>0</v>
      </c>
      <c r="U6" s="10">
        <f>Calculations!W65</f>
        <v>0</v>
      </c>
      <c r="V6" s="10">
        <f>Calculations!X65</f>
        <v>0</v>
      </c>
      <c r="W6" s="10">
        <f>Calculations!Y65</f>
        <v>0</v>
      </c>
      <c r="X6" s="10">
        <f>Calculations!Z65</f>
        <v>0</v>
      </c>
      <c r="Y6" s="10">
        <f>Calculations!AA65</f>
        <v>0</v>
      </c>
      <c r="Z6" s="10">
        <f>Calculations!AB65</f>
        <v>0</v>
      </c>
      <c r="AA6" s="10">
        <f>Calculations!AC65</f>
        <v>0</v>
      </c>
      <c r="AB6" s="10">
        <f>Calculations!AD65</f>
        <v>0</v>
      </c>
      <c r="AC6" s="10">
        <f>Calculations!AE65</f>
        <v>0</v>
      </c>
      <c r="AD6" s="10">
        <f>Calculations!AF65</f>
        <v>0</v>
      </c>
      <c r="AE6" s="10">
        <f>Calculations!AG65</f>
        <v>0</v>
      </c>
      <c r="AF6" s="10">
        <f>Calculations!AH65</f>
        <v>0</v>
      </c>
      <c r="AG6" s="10">
        <f>Calculations!AI65</f>
        <v>0</v>
      </c>
    </row>
    <row r="7" spans="1:33" x14ac:dyDescent="0.35">
      <c r="A7" t="s">
        <v>59</v>
      </c>
      <c r="B7" s="10">
        <f>Calculations!D66</f>
        <v>0</v>
      </c>
      <c r="C7" s="10">
        <f>Calculations!E66</f>
        <v>2.6602192180037236</v>
      </c>
      <c r="D7" s="10">
        <f>Calculations!F66</f>
        <v>2.6602192180037236</v>
      </c>
      <c r="E7" s="10">
        <f>Calculations!G66</f>
        <v>2.6602192180037236</v>
      </c>
      <c r="F7" s="10">
        <f>Calculations!H66</f>
        <v>2.6602192180037236</v>
      </c>
      <c r="G7" s="10">
        <f>Calculations!I66</f>
        <v>2.6602192180037236</v>
      </c>
      <c r="H7" s="10">
        <f>Calculations!J66</f>
        <v>2.6602192180037236</v>
      </c>
      <c r="I7" s="10">
        <f>Calculations!K66</f>
        <v>2.6602192180037236</v>
      </c>
      <c r="J7" s="10">
        <f>Calculations!L66</f>
        <v>2.6602192180037236</v>
      </c>
      <c r="K7" s="10">
        <f>Calculations!M66</f>
        <v>2.6602192180037236</v>
      </c>
      <c r="L7" s="10">
        <f>Calculations!N66</f>
        <v>2.6602192180037236</v>
      </c>
      <c r="M7" s="10">
        <f>Calculations!O66</f>
        <v>2.6602192180037236</v>
      </c>
      <c r="N7" s="10">
        <f>Calculations!P66</f>
        <v>2.6602192180037236</v>
      </c>
      <c r="O7" s="10">
        <f>Calculations!Q66</f>
        <v>2.6604061361612565</v>
      </c>
      <c r="P7" s="10">
        <f>Calculations!R66</f>
        <v>2.6604061361612565</v>
      </c>
      <c r="Q7" s="10">
        <f>Calculations!S66</f>
        <v>2.6609668906338544</v>
      </c>
      <c r="R7" s="10">
        <f>Calculations!T66</f>
        <v>2.6620883995790492</v>
      </c>
      <c r="S7" s="10">
        <f>Calculations!U66</f>
        <v>2.6641444993119081</v>
      </c>
      <c r="T7" s="10">
        <f>Calculations!V66</f>
        <v>2.6680697806200926</v>
      </c>
      <c r="U7" s="10">
        <f>Calculations!W66</f>
        <v>2.6755465069213957</v>
      </c>
      <c r="V7" s="10">
        <f>Calculations!X66</f>
        <v>2.6893784505788068</v>
      </c>
      <c r="W7" s="10">
        <f>Calculations!Y66</f>
        <v>2.7149862381607708</v>
      </c>
      <c r="X7" s="10">
        <f>Calculations!Z66</f>
        <v>2.7613419412288511</v>
      </c>
      <c r="Y7" s="10">
        <f>Calculations!AA66</f>
        <v>2.8078845624544644</v>
      </c>
      <c r="Z7" s="10">
        <f>Calculations!AB66</f>
        <v>2.8546141018376101</v>
      </c>
      <c r="AA7" s="10">
        <f>Calculations!AC66</f>
        <v>2.9013436412207558</v>
      </c>
      <c r="AB7" s="10">
        <f>Calculations!AD66</f>
        <v>2.9482600987614345</v>
      </c>
      <c r="AC7" s="10">
        <f>Calculations!AE66</f>
        <v>2.9951765563021131</v>
      </c>
      <c r="AD7" s="10">
        <f>Calculations!AF66</f>
        <v>3.0420930138427917</v>
      </c>
      <c r="AE7" s="10">
        <f>Calculations!AG66</f>
        <v>3.0891963895410024</v>
      </c>
      <c r="AF7" s="10">
        <f>Calculations!AH66</f>
        <v>3.1362997652392131</v>
      </c>
      <c r="AG7" s="10">
        <f>Calculations!AI66</f>
        <v>3.1834031409374246</v>
      </c>
    </row>
    <row r="8" spans="1:33" x14ac:dyDescent="0.35">
      <c r="A8" t="s">
        <v>10</v>
      </c>
      <c r="B8" s="10">
        <f>Calculations!D67</f>
        <v>0</v>
      </c>
      <c r="C8" s="10">
        <f>Calculations!E67</f>
        <v>3424.0051279041522</v>
      </c>
      <c r="D8" s="10">
        <f>Calculations!F67</f>
        <v>3976.219496802396</v>
      </c>
      <c r="E8" s="10">
        <f>Calculations!G67</f>
        <v>4848.8104662025416</v>
      </c>
      <c r="F8" s="10">
        <f>Calculations!H67+'Inflation Reduction Act'!B60</f>
        <v>5313.5067630535086</v>
      </c>
      <c r="G8" s="10">
        <f>Calculations!I67+'Inflation Reduction Act'!C60</f>
        <v>5853.8131368898239</v>
      </c>
      <c r="H8" s="10">
        <f>Calculations!J67+'Inflation Reduction Act'!D60</f>
        <v>6817.0311590930241</v>
      </c>
      <c r="I8" s="10">
        <f>Calculations!K67+'Inflation Reduction Act'!E60</f>
        <v>7779.0805689753306</v>
      </c>
      <c r="J8" s="10">
        <f>Calculations!L67+'Inflation Reduction Act'!F60</f>
        <v>8759.1283282464483</v>
      </c>
      <c r="K8" s="10">
        <f>Calculations!M67+'Inflation Reduction Act'!G60</f>
        <v>9755.7521766457139</v>
      </c>
      <c r="L8" s="10">
        <f>Calculations!N67+'Inflation Reduction Act'!H60</f>
        <v>10779.003638094442</v>
      </c>
      <c r="M8" s="10">
        <f>Calculations!O67+'Inflation Reduction Act'!I60</f>
        <v>11675.029255618618</v>
      </c>
      <c r="N8" s="10">
        <f>Calculations!P67+'Inflation Reduction Act'!J60</f>
        <v>12602.802735281544</v>
      </c>
      <c r="O8" s="10">
        <f>Calculations!Q67+'Inflation Reduction Act'!K60</f>
        <v>13304.32545923524</v>
      </c>
      <c r="P8" s="10">
        <f>Calculations!R67+'Inflation Reduction Act'!L60</f>
        <v>14016.218028732526</v>
      </c>
      <c r="Q8" s="10">
        <f>Calculations!S67+'Inflation Reduction Act'!M60</f>
        <v>14748.056260983803</v>
      </c>
      <c r="R8" s="10">
        <f>Calculations!T67+'Inflation Reduction Act'!N60</f>
        <v>15386.510181731799</v>
      </c>
      <c r="S8" s="10">
        <f>Calculations!U67+'Inflation Reduction Act'!O60</f>
        <v>16059.403959923329</v>
      </c>
      <c r="T8" s="10">
        <f>Calculations!V67+'Inflation Reduction Act'!P60</f>
        <v>16761.262575806111</v>
      </c>
      <c r="U8" s="10">
        <f>Calculations!W67+'Inflation Reduction Act'!Q60</f>
        <v>17516.412119155906</v>
      </c>
      <c r="V8" s="10">
        <f>Calculations!X67+'Inflation Reduction Act'!R60</f>
        <v>18327.181216379253</v>
      </c>
      <c r="W8" s="10">
        <f>Calculations!Y67+'Inflation Reduction Act'!S60</f>
        <v>19193.848188612719</v>
      </c>
      <c r="X8" s="10">
        <f>Calculations!Z67+'Inflation Reduction Act'!T60</f>
        <v>20114.204037070584</v>
      </c>
      <c r="Y8" s="10">
        <f>Calculations!AA67+'Inflation Reduction Act'!U60</f>
        <v>21088.232873709458</v>
      </c>
      <c r="Z8" s="10">
        <f>Calculations!AB67+'Inflation Reduction Act'!V60</f>
        <v>22122.888240907709</v>
      </c>
      <c r="AA8" s="10">
        <f>Calculations!AC67+'Inflation Reduction Act'!W60</f>
        <v>23198.600368326148</v>
      </c>
      <c r="AB8" s="10">
        <f>Calculations!AD67+'Inflation Reduction Act'!X60</f>
        <v>24332.873954499548</v>
      </c>
      <c r="AC8" s="10">
        <f>Calculations!AE67+'Inflation Reduction Act'!Y60</f>
        <v>25509.84712457969</v>
      </c>
      <c r="AD8" s="10">
        <f>Calculations!AF67+'Inflation Reduction Act'!Z60</f>
        <v>26729.221744105311</v>
      </c>
      <c r="AE8" s="10">
        <f>Calculations!AG67+'Inflation Reduction Act'!AA60</f>
        <v>28013.060510882613</v>
      </c>
      <c r="AF8" s="10">
        <f>Calculations!AH67+'Inflation Reduction Act'!AB60</f>
        <v>29326.986558887151</v>
      </c>
      <c r="AG8" s="10">
        <f>Calculations!AI67+'Inflation Reduction Act'!AC60</f>
        <v>30687.605136479629</v>
      </c>
    </row>
    <row r="9" spans="1:33" x14ac:dyDescent="0.35">
      <c r="A9" t="s">
        <v>11</v>
      </c>
      <c r="B9" s="10">
        <f>Calculations!D68</f>
        <v>0</v>
      </c>
      <c r="C9" s="10">
        <f>Calculations!E68</f>
        <v>0</v>
      </c>
      <c r="D9" s="10">
        <f>Calculations!F68</f>
        <v>0</v>
      </c>
      <c r="E9" s="10">
        <f>Calculations!G68</f>
        <v>0</v>
      </c>
      <c r="F9" s="10">
        <f>Calculations!H68</f>
        <v>0</v>
      </c>
      <c r="G9" s="10">
        <f>Calculations!I68</f>
        <v>0</v>
      </c>
      <c r="H9" s="10">
        <f>Calculations!J68</f>
        <v>0</v>
      </c>
      <c r="I9" s="10">
        <f>Calculations!K68</f>
        <v>0</v>
      </c>
      <c r="J9" s="10">
        <f>Calculations!L68</f>
        <v>0</v>
      </c>
      <c r="K9" s="10">
        <f>Calculations!M68</f>
        <v>0</v>
      </c>
      <c r="L9" s="10">
        <f>Calculations!N68</f>
        <v>0</v>
      </c>
      <c r="M9" s="10">
        <f>Calculations!O68</f>
        <v>0</v>
      </c>
      <c r="N9" s="10">
        <f>Calculations!P68</f>
        <v>0</v>
      </c>
      <c r="O9" s="10">
        <f>Calculations!Q68</f>
        <v>0</v>
      </c>
      <c r="P9" s="10">
        <f>Calculations!R68</f>
        <v>0</v>
      </c>
      <c r="Q9" s="10">
        <f>Calculations!S68</f>
        <v>0</v>
      </c>
      <c r="R9" s="10">
        <f>Calculations!T68</f>
        <v>0</v>
      </c>
      <c r="S9" s="10">
        <f>Calculations!U68</f>
        <v>0</v>
      </c>
      <c r="T9" s="10">
        <f>Calculations!V68</f>
        <v>0</v>
      </c>
      <c r="U9" s="10">
        <f>Calculations!W68</f>
        <v>0</v>
      </c>
      <c r="V9" s="10">
        <f>Calculations!X68</f>
        <v>0</v>
      </c>
      <c r="W9" s="10">
        <f>Calculations!Y68</f>
        <v>0</v>
      </c>
      <c r="X9" s="10">
        <f>Calculations!Z68</f>
        <v>0</v>
      </c>
      <c r="Y9" s="10">
        <f>Calculations!AA68</f>
        <v>0</v>
      </c>
      <c r="Z9" s="10">
        <f>Calculations!AB68</f>
        <v>0</v>
      </c>
      <c r="AA9" s="10">
        <f>Calculations!AC68</f>
        <v>0</v>
      </c>
      <c r="AB9" s="10">
        <f>Calculations!AD68</f>
        <v>0</v>
      </c>
      <c r="AC9" s="10">
        <f>Calculations!AE68</f>
        <v>0</v>
      </c>
      <c r="AD9" s="10">
        <f>Calculations!AF68</f>
        <v>0</v>
      </c>
      <c r="AE9" s="10">
        <f>Calculations!AG68</f>
        <v>0</v>
      </c>
      <c r="AF9" s="10">
        <f>Calculations!AH68</f>
        <v>0</v>
      </c>
      <c r="AG9" s="10">
        <f>Calculations!AI68</f>
        <v>0</v>
      </c>
    </row>
    <row r="10" spans="1:33" x14ac:dyDescent="0.35">
      <c r="A10" t="s">
        <v>12</v>
      </c>
      <c r="B10" s="10">
        <f>Calculations!D69</f>
        <v>0</v>
      </c>
      <c r="C10" s="10">
        <f>Calculations!E69</f>
        <v>0</v>
      </c>
      <c r="D10" s="10">
        <f>Calculations!F69</f>
        <v>0</v>
      </c>
      <c r="E10" s="10">
        <f>Calculations!G69</f>
        <v>0</v>
      </c>
      <c r="F10" s="10">
        <f>Calculations!H69</f>
        <v>0</v>
      </c>
      <c r="G10" s="10">
        <f>Calculations!I69</f>
        <v>0</v>
      </c>
      <c r="H10" s="10">
        <f>Calculations!J69</f>
        <v>0</v>
      </c>
      <c r="I10" s="10">
        <f>Calculations!K69</f>
        <v>0</v>
      </c>
      <c r="J10" s="10">
        <f>Calculations!L69</f>
        <v>0</v>
      </c>
      <c r="K10" s="10">
        <f>Calculations!M69</f>
        <v>0</v>
      </c>
      <c r="L10" s="10">
        <f>Calculations!N69</f>
        <v>0</v>
      </c>
      <c r="M10" s="10">
        <f>Calculations!O69</f>
        <v>0</v>
      </c>
      <c r="N10" s="10">
        <f>Calculations!P69</f>
        <v>0</v>
      </c>
      <c r="O10" s="10">
        <f>Calculations!Q69</f>
        <v>0</v>
      </c>
      <c r="P10" s="10">
        <f>Calculations!R69</f>
        <v>0</v>
      </c>
      <c r="Q10" s="10">
        <f>Calculations!S69</f>
        <v>0</v>
      </c>
      <c r="R10" s="10">
        <f>Calculations!T69</f>
        <v>0</v>
      </c>
      <c r="S10" s="10">
        <f>Calculations!U69</f>
        <v>0</v>
      </c>
      <c r="T10" s="10">
        <f>Calculations!V69</f>
        <v>0</v>
      </c>
      <c r="U10" s="10">
        <f>Calculations!W69</f>
        <v>0</v>
      </c>
      <c r="V10" s="10">
        <f>Calculations!X69</f>
        <v>0</v>
      </c>
      <c r="W10" s="10">
        <f>Calculations!Y69</f>
        <v>0</v>
      </c>
      <c r="X10" s="10">
        <f>Calculations!Z69</f>
        <v>0</v>
      </c>
      <c r="Y10" s="10">
        <f>Calculations!AA69</f>
        <v>0</v>
      </c>
      <c r="Z10" s="10">
        <f>Calculations!AB69</f>
        <v>0</v>
      </c>
      <c r="AA10" s="10">
        <f>Calculations!AC69</f>
        <v>0</v>
      </c>
      <c r="AB10" s="10">
        <f>Calculations!AD69</f>
        <v>0</v>
      </c>
      <c r="AC10" s="10">
        <f>Calculations!AE69</f>
        <v>0</v>
      </c>
      <c r="AD10" s="10">
        <f>Calculations!AF69</f>
        <v>0</v>
      </c>
      <c r="AE10" s="10">
        <f>Calculations!AG69</f>
        <v>0</v>
      </c>
      <c r="AF10" s="10">
        <f>Calculations!AH69</f>
        <v>0</v>
      </c>
      <c r="AG10" s="10">
        <f>Calculations!AI69</f>
        <v>0</v>
      </c>
    </row>
    <row r="11" spans="1:33" x14ac:dyDescent="0.35">
      <c r="A11" t="s">
        <v>13</v>
      </c>
      <c r="B11" s="10">
        <f>Calculations!D70</f>
        <v>0</v>
      </c>
      <c r="C11" s="10">
        <f>Calculations!E70</f>
        <v>0</v>
      </c>
      <c r="D11" s="10">
        <f>Calculations!F70</f>
        <v>0</v>
      </c>
      <c r="E11" s="10">
        <f>Calculations!G70</f>
        <v>0</v>
      </c>
      <c r="F11" s="10">
        <f>Calculations!H70</f>
        <v>0</v>
      </c>
      <c r="G11" s="10">
        <f>Calculations!I70</f>
        <v>0</v>
      </c>
      <c r="H11" s="10">
        <f>Calculations!J70</f>
        <v>0</v>
      </c>
      <c r="I11" s="10">
        <f>Calculations!K70</f>
        <v>0</v>
      </c>
      <c r="J11" s="10">
        <f>Calculations!L70</f>
        <v>0</v>
      </c>
      <c r="K11" s="10">
        <f>Calculations!M70</f>
        <v>0</v>
      </c>
      <c r="L11" s="10">
        <f>Calculations!N70</f>
        <v>0</v>
      </c>
      <c r="M11" s="10">
        <f>Calculations!O70</f>
        <v>0</v>
      </c>
      <c r="N11" s="10">
        <f>Calculations!P70</f>
        <v>0</v>
      </c>
      <c r="O11" s="10">
        <f>Calculations!Q70</f>
        <v>0</v>
      </c>
      <c r="P11" s="10">
        <f>Calculations!R70</f>
        <v>0</v>
      </c>
      <c r="Q11" s="10">
        <f>Calculations!S70</f>
        <v>0</v>
      </c>
      <c r="R11" s="10">
        <f>Calculations!T70</f>
        <v>0</v>
      </c>
      <c r="S11" s="10">
        <f>Calculations!U70</f>
        <v>0</v>
      </c>
      <c r="T11" s="10">
        <f>Calculations!V70</f>
        <v>0</v>
      </c>
      <c r="U11" s="10">
        <f>Calculations!W70</f>
        <v>0</v>
      </c>
      <c r="V11" s="10">
        <f>Calculations!X70</f>
        <v>0</v>
      </c>
      <c r="W11" s="10">
        <f>Calculations!Y70</f>
        <v>0</v>
      </c>
      <c r="X11" s="10">
        <f>Calculations!Z70</f>
        <v>0</v>
      </c>
      <c r="Y11" s="10">
        <f>Calculations!AA70</f>
        <v>0</v>
      </c>
      <c r="Z11" s="10">
        <f>Calculations!AB70</f>
        <v>0</v>
      </c>
      <c r="AA11" s="10">
        <f>Calculations!AC70</f>
        <v>0</v>
      </c>
      <c r="AB11" s="10">
        <f>Calculations!AD70</f>
        <v>0</v>
      </c>
      <c r="AC11" s="10">
        <f>Calculations!AE70</f>
        <v>0</v>
      </c>
      <c r="AD11" s="10">
        <f>Calculations!AF70</f>
        <v>0</v>
      </c>
      <c r="AE11" s="10">
        <f>Calculations!AG70</f>
        <v>0</v>
      </c>
      <c r="AF11" s="10">
        <f>Calculations!AH70</f>
        <v>0</v>
      </c>
      <c r="AG11" s="10">
        <f>Calculations!AI70</f>
        <v>0</v>
      </c>
    </row>
    <row r="12" spans="1:33" x14ac:dyDescent="0.35">
      <c r="A12" t="s">
        <v>14</v>
      </c>
      <c r="B12" s="10">
        <f>Calculations!D71</f>
        <v>0</v>
      </c>
      <c r="C12" s="10">
        <f>Calculations!E71</f>
        <v>0</v>
      </c>
      <c r="D12" s="10">
        <f>Calculations!F71</f>
        <v>0</v>
      </c>
      <c r="E12" s="10">
        <f>Calculations!G71</f>
        <v>0</v>
      </c>
      <c r="F12" s="10">
        <f>Calculations!H71</f>
        <v>0</v>
      </c>
      <c r="G12" s="10">
        <f>Calculations!I71</f>
        <v>0</v>
      </c>
      <c r="H12" s="10">
        <f>Calculations!J71</f>
        <v>0</v>
      </c>
      <c r="I12" s="10">
        <f>Calculations!K71</f>
        <v>0</v>
      </c>
      <c r="J12" s="10">
        <f>Calculations!L71</f>
        <v>0</v>
      </c>
      <c r="K12" s="10">
        <f>Calculations!M71</f>
        <v>0</v>
      </c>
      <c r="L12" s="10">
        <f>Calculations!N71</f>
        <v>0</v>
      </c>
      <c r="M12" s="10">
        <f>Calculations!O71</f>
        <v>0</v>
      </c>
      <c r="N12" s="10">
        <f>Calculations!P71</f>
        <v>0</v>
      </c>
      <c r="O12" s="10">
        <f>Calculations!Q71</f>
        <v>0</v>
      </c>
      <c r="P12" s="10">
        <f>Calculations!R71</f>
        <v>0</v>
      </c>
      <c r="Q12" s="10">
        <f>Calculations!S71</f>
        <v>0</v>
      </c>
      <c r="R12" s="10">
        <f>Calculations!T71</f>
        <v>0</v>
      </c>
      <c r="S12" s="10">
        <f>Calculations!U71</f>
        <v>0</v>
      </c>
      <c r="T12" s="10">
        <f>Calculations!V71</f>
        <v>0</v>
      </c>
      <c r="U12" s="10">
        <f>Calculations!W71</f>
        <v>0</v>
      </c>
      <c r="V12" s="10">
        <f>Calculations!X71</f>
        <v>0</v>
      </c>
      <c r="W12" s="10">
        <f>Calculations!Y71</f>
        <v>0</v>
      </c>
      <c r="X12" s="10">
        <f>Calculations!Z71</f>
        <v>0</v>
      </c>
      <c r="Y12" s="10">
        <f>Calculations!AA71</f>
        <v>0</v>
      </c>
      <c r="Z12" s="10">
        <f>Calculations!AB71</f>
        <v>0</v>
      </c>
      <c r="AA12" s="10">
        <f>Calculations!AC71</f>
        <v>0</v>
      </c>
      <c r="AB12" s="10">
        <f>Calculations!AD71</f>
        <v>0</v>
      </c>
      <c r="AC12" s="10">
        <f>Calculations!AE71</f>
        <v>0</v>
      </c>
      <c r="AD12" s="10">
        <f>Calculations!AF71</f>
        <v>0</v>
      </c>
      <c r="AE12" s="10">
        <f>Calculations!AG71</f>
        <v>0</v>
      </c>
      <c r="AF12" s="10">
        <f>Calculations!AH71</f>
        <v>0</v>
      </c>
      <c r="AG12" s="10">
        <f>Calculations!AI71</f>
        <v>0</v>
      </c>
    </row>
    <row r="13" spans="1:33" x14ac:dyDescent="0.35">
      <c r="A13" t="s">
        <v>15</v>
      </c>
      <c r="B13" s="10">
        <f>Calculations!D72</f>
        <v>0</v>
      </c>
      <c r="C13" s="10">
        <f>Calculations!E72</f>
        <v>0</v>
      </c>
      <c r="D13" s="10">
        <f>Calculations!F72</f>
        <v>0</v>
      </c>
      <c r="E13" s="10">
        <f>Calculations!G72</f>
        <v>0</v>
      </c>
      <c r="F13" s="10">
        <f>Calculations!H72</f>
        <v>0</v>
      </c>
      <c r="G13" s="10">
        <f>Calculations!I72</f>
        <v>0</v>
      </c>
      <c r="H13" s="10">
        <f>Calculations!J72</f>
        <v>0</v>
      </c>
      <c r="I13" s="10">
        <f>Calculations!K72</f>
        <v>0</v>
      </c>
      <c r="J13" s="10">
        <f>Calculations!L72</f>
        <v>0</v>
      </c>
      <c r="K13" s="10">
        <f>Calculations!M72</f>
        <v>0</v>
      </c>
      <c r="L13" s="10">
        <f>Calculations!N72</f>
        <v>0</v>
      </c>
      <c r="M13" s="10">
        <f>Calculations!O72</f>
        <v>0</v>
      </c>
      <c r="N13" s="10">
        <f>Calculations!P72</f>
        <v>0</v>
      </c>
      <c r="O13" s="10">
        <f>Calculations!Q72</f>
        <v>0</v>
      </c>
      <c r="P13" s="10">
        <f>Calculations!R72</f>
        <v>0</v>
      </c>
      <c r="Q13" s="10">
        <f>Calculations!S72</f>
        <v>0</v>
      </c>
      <c r="R13" s="10">
        <f>Calculations!T72</f>
        <v>0</v>
      </c>
      <c r="S13" s="10">
        <f>Calculations!U72</f>
        <v>0</v>
      </c>
      <c r="T13" s="10">
        <f>Calculations!V72</f>
        <v>0</v>
      </c>
      <c r="U13" s="10">
        <f>Calculations!W72</f>
        <v>0</v>
      </c>
      <c r="V13" s="10">
        <f>Calculations!X72</f>
        <v>0</v>
      </c>
      <c r="W13" s="10">
        <f>Calculations!Y72</f>
        <v>0</v>
      </c>
      <c r="X13" s="10">
        <f>Calculations!Z72</f>
        <v>0</v>
      </c>
      <c r="Y13" s="10">
        <f>Calculations!AA72</f>
        <v>0</v>
      </c>
      <c r="Z13" s="10">
        <f>Calculations!AB72</f>
        <v>0</v>
      </c>
      <c r="AA13" s="10">
        <f>Calculations!AC72</f>
        <v>0</v>
      </c>
      <c r="AB13" s="10">
        <f>Calculations!AD72</f>
        <v>0</v>
      </c>
      <c r="AC13" s="10">
        <f>Calculations!AE72</f>
        <v>0</v>
      </c>
      <c r="AD13" s="10">
        <f>Calculations!AF72</f>
        <v>0</v>
      </c>
      <c r="AE13" s="10">
        <f>Calculations!AG72</f>
        <v>0</v>
      </c>
      <c r="AF13" s="10">
        <f>Calculations!AH72</f>
        <v>0</v>
      </c>
      <c r="AG13" s="10">
        <f>Calculations!AI72</f>
        <v>0</v>
      </c>
    </row>
    <row r="14" spans="1:33" x14ac:dyDescent="0.35">
      <c r="A14" t="s">
        <v>57</v>
      </c>
      <c r="B14" s="10">
        <f>Calculations!D73</f>
        <v>0</v>
      </c>
      <c r="C14" s="10">
        <f>Calculations!E73</f>
        <v>0</v>
      </c>
      <c r="D14" s="10">
        <f>Calculations!F73</f>
        <v>0</v>
      </c>
      <c r="E14" s="10">
        <f>Calculations!G73</f>
        <v>0</v>
      </c>
      <c r="F14" s="10">
        <f>Calculations!H73</f>
        <v>0</v>
      </c>
      <c r="G14" s="10">
        <f>Calculations!I73</f>
        <v>0</v>
      </c>
      <c r="H14" s="10">
        <f>Calculations!J73</f>
        <v>0</v>
      </c>
      <c r="I14" s="10">
        <f>Calculations!K73</f>
        <v>0</v>
      </c>
      <c r="J14" s="10">
        <f>Calculations!L73</f>
        <v>0</v>
      </c>
      <c r="K14" s="10">
        <f>Calculations!M73</f>
        <v>0</v>
      </c>
      <c r="L14" s="10">
        <f>Calculations!N73</f>
        <v>0</v>
      </c>
      <c r="M14" s="10">
        <f>Calculations!O73</f>
        <v>0</v>
      </c>
      <c r="N14" s="10">
        <f>Calculations!P73</f>
        <v>0</v>
      </c>
      <c r="O14" s="10">
        <f>Calculations!Q73</f>
        <v>0</v>
      </c>
      <c r="P14" s="10">
        <f>Calculations!R73</f>
        <v>0</v>
      </c>
      <c r="Q14" s="10">
        <f>Calculations!S73</f>
        <v>0</v>
      </c>
      <c r="R14" s="10">
        <f>Calculations!T73</f>
        <v>0</v>
      </c>
      <c r="S14" s="10">
        <f>Calculations!U73</f>
        <v>0</v>
      </c>
      <c r="T14" s="10">
        <f>Calculations!V73</f>
        <v>0</v>
      </c>
      <c r="U14" s="10">
        <f>Calculations!W73</f>
        <v>0</v>
      </c>
      <c r="V14" s="10">
        <f>Calculations!X73</f>
        <v>0</v>
      </c>
      <c r="W14" s="10">
        <f>Calculations!Y73</f>
        <v>0</v>
      </c>
      <c r="X14" s="10">
        <f>Calculations!Z73</f>
        <v>0</v>
      </c>
      <c r="Y14" s="10">
        <f>Calculations!AA73</f>
        <v>0</v>
      </c>
      <c r="Z14" s="10">
        <f>Calculations!AB73</f>
        <v>0</v>
      </c>
      <c r="AA14" s="10">
        <f>Calculations!AC73</f>
        <v>0</v>
      </c>
      <c r="AB14" s="10">
        <f>Calculations!AD73</f>
        <v>0</v>
      </c>
      <c r="AC14" s="10">
        <f>Calculations!AE73</f>
        <v>0</v>
      </c>
      <c r="AD14" s="10">
        <f>Calculations!AF73</f>
        <v>0</v>
      </c>
      <c r="AE14" s="10">
        <f>Calculations!AG73</f>
        <v>0</v>
      </c>
      <c r="AF14" s="10">
        <f>Calculations!AH73</f>
        <v>0</v>
      </c>
      <c r="AG14" s="10">
        <f>Calculations!AI73</f>
        <v>0</v>
      </c>
    </row>
    <row r="15" spans="1:33" x14ac:dyDescent="0.35">
      <c r="A15" t="s">
        <v>60</v>
      </c>
      <c r="B15" s="10">
        <f>Calculations!D74</f>
        <v>0</v>
      </c>
      <c r="C15" s="10">
        <f>Calculations!E74</f>
        <v>0</v>
      </c>
      <c r="D15" s="10">
        <f>Calculations!F74</f>
        <v>0</v>
      </c>
      <c r="E15" s="10">
        <f>Calculations!G74</f>
        <v>0</v>
      </c>
      <c r="F15" s="10">
        <f>Calculations!H74</f>
        <v>0</v>
      </c>
      <c r="G15" s="10">
        <f>Calculations!I74</f>
        <v>0</v>
      </c>
      <c r="H15" s="10">
        <f>Calculations!J74</f>
        <v>0</v>
      </c>
      <c r="I15" s="10">
        <f>Calculations!K74</f>
        <v>0</v>
      </c>
      <c r="J15" s="10">
        <f>Calculations!L74</f>
        <v>0</v>
      </c>
      <c r="K15" s="10">
        <f>Calculations!M74</f>
        <v>0</v>
      </c>
      <c r="L15" s="10">
        <f>Calculations!N74</f>
        <v>0</v>
      </c>
      <c r="M15" s="10">
        <f>Calculations!O74</f>
        <v>0</v>
      </c>
      <c r="N15" s="10">
        <f>Calculations!P74</f>
        <v>0</v>
      </c>
      <c r="O15" s="10">
        <f>Calculations!Q74</f>
        <v>0</v>
      </c>
      <c r="P15" s="10">
        <f>Calculations!R74</f>
        <v>0</v>
      </c>
      <c r="Q15" s="10">
        <f>Calculations!S74</f>
        <v>0</v>
      </c>
      <c r="R15" s="10">
        <f>Calculations!T74</f>
        <v>0</v>
      </c>
      <c r="S15" s="10">
        <f>Calculations!U74</f>
        <v>0</v>
      </c>
      <c r="T15" s="10">
        <f>Calculations!V74</f>
        <v>0</v>
      </c>
      <c r="U15" s="10">
        <f>Calculations!W74</f>
        <v>0</v>
      </c>
      <c r="V15" s="10">
        <f>Calculations!X74</f>
        <v>0</v>
      </c>
      <c r="W15" s="10">
        <f>Calculations!Y74</f>
        <v>0</v>
      </c>
      <c r="X15" s="10">
        <f>Calculations!Z74</f>
        <v>0</v>
      </c>
      <c r="Y15" s="10">
        <f>Calculations!AA74</f>
        <v>0</v>
      </c>
      <c r="Z15" s="10">
        <f>Calculations!AB74</f>
        <v>0</v>
      </c>
      <c r="AA15" s="10">
        <f>Calculations!AC74</f>
        <v>0</v>
      </c>
      <c r="AB15" s="10">
        <f>Calculations!AD74</f>
        <v>0</v>
      </c>
      <c r="AC15" s="10">
        <f>Calculations!AE74</f>
        <v>0</v>
      </c>
      <c r="AD15" s="10">
        <f>Calculations!AF74</f>
        <v>0</v>
      </c>
      <c r="AE15" s="10">
        <f>Calculations!AG74</f>
        <v>0</v>
      </c>
      <c r="AF15" s="10">
        <f>Calculations!AH74</f>
        <v>0</v>
      </c>
      <c r="AG15" s="10">
        <f>Calculations!AI74</f>
        <v>0</v>
      </c>
    </row>
    <row r="16" spans="1:33" x14ac:dyDescent="0.35">
      <c r="A16" t="s">
        <v>158</v>
      </c>
      <c r="B16" s="10">
        <f>Calculations!D75</f>
        <v>0</v>
      </c>
      <c r="C16" s="10">
        <f>Calculations!E75</f>
        <v>0</v>
      </c>
      <c r="D16" s="10">
        <f>Calculations!F75</f>
        <v>0</v>
      </c>
      <c r="E16" s="10">
        <f>Calculations!G75</f>
        <v>0</v>
      </c>
      <c r="F16" s="10">
        <f>Calculations!H75</f>
        <v>0</v>
      </c>
      <c r="G16" s="10">
        <f>Calculations!I75</f>
        <v>0</v>
      </c>
      <c r="H16" s="10">
        <f>Calculations!J75</f>
        <v>0</v>
      </c>
      <c r="I16" s="10">
        <f>Calculations!K75</f>
        <v>0</v>
      </c>
      <c r="J16" s="10">
        <f>Calculations!L75</f>
        <v>0</v>
      </c>
      <c r="K16" s="10">
        <f>Calculations!M75</f>
        <v>0</v>
      </c>
      <c r="L16" s="10">
        <f>Calculations!N75</f>
        <v>0</v>
      </c>
      <c r="M16" s="10">
        <f>Calculations!O75</f>
        <v>0</v>
      </c>
      <c r="N16" s="10">
        <f>Calculations!P75</f>
        <v>0</v>
      </c>
      <c r="O16" s="10">
        <f>Calculations!Q75</f>
        <v>0</v>
      </c>
      <c r="P16" s="10">
        <f>Calculations!R75</f>
        <v>0</v>
      </c>
      <c r="Q16" s="10">
        <f>Calculations!S75</f>
        <v>0</v>
      </c>
      <c r="R16" s="10">
        <f>Calculations!T75</f>
        <v>0</v>
      </c>
      <c r="S16" s="10">
        <f>Calculations!U75</f>
        <v>0</v>
      </c>
      <c r="T16" s="10">
        <f>Calculations!V75</f>
        <v>0</v>
      </c>
      <c r="U16" s="10">
        <f>Calculations!W75</f>
        <v>0</v>
      </c>
      <c r="V16" s="10">
        <f>Calculations!X75</f>
        <v>0</v>
      </c>
      <c r="W16" s="10">
        <f>Calculations!Y75</f>
        <v>0</v>
      </c>
      <c r="X16" s="10">
        <f>Calculations!Z75</f>
        <v>0</v>
      </c>
      <c r="Y16" s="10">
        <f>Calculations!AA75</f>
        <v>0</v>
      </c>
      <c r="Z16" s="10">
        <f>Calculations!AB75</f>
        <v>0</v>
      </c>
      <c r="AA16" s="10">
        <f>Calculations!AC75</f>
        <v>0</v>
      </c>
      <c r="AB16" s="10">
        <f>Calculations!AD75</f>
        <v>0</v>
      </c>
      <c r="AC16" s="10">
        <f>Calculations!AE75</f>
        <v>0</v>
      </c>
      <c r="AD16" s="10">
        <f>Calculations!AF75</f>
        <v>0</v>
      </c>
      <c r="AE16" s="10">
        <f>Calculations!AG75</f>
        <v>0</v>
      </c>
      <c r="AF16" s="10">
        <f>Calculations!AH75</f>
        <v>0</v>
      </c>
      <c r="AG16" s="10">
        <f>Calculations!AI75</f>
        <v>0</v>
      </c>
    </row>
    <row r="17" spans="1:33" x14ac:dyDescent="0.35">
      <c r="A17" t="s">
        <v>159</v>
      </c>
      <c r="B17" s="10">
        <f>Calculations!D76</f>
        <v>0</v>
      </c>
      <c r="C17" s="10">
        <f>Calculations!E76</f>
        <v>0</v>
      </c>
      <c r="D17" s="10">
        <f>Calculations!F76</f>
        <v>0</v>
      </c>
      <c r="E17" s="10">
        <f>Calculations!G76</f>
        <v>0</v>
      </c>
      <c r="F17" s="10">
        <f>Calculations!H76</f>
        <v>0</v>
      </c>
      <c r="G17" s="10">
        <f>Calculations!I76</f>
        <v>0</v>
      </c>
      <c r="H17" s="10">
        <f>Calculations!J76</f>
        <v>0</v>
      </c>
      <c r="I17" s="10">
        <f>Calculations!K76</f>
        <v>0</v>
      </c>
      <c r="J17" s="10">
        <f>Calculations!L76</f>
        <v>0</v>
      </c>
      <c r="K17" s="10">
        <f>Calculations!M76</f>
        <v>0</v>
      </c>
      <c r="L17" s="10">
        <f>Calculations!N76</f>
        <v>0</v>
      </c>
      <c r="M17" s="10">
        <f>Calculations!O76</f>
        <v>0</v>
      </c>
      <c r="N17" s="10">
        <f>Calculations!P76</f>
        <v>0</v>
      </c>
      <c r="O17" s="10">
        <f>Calculations!Q76</f>
        <v>0</v>
      </c>
      <c r="P17" s="10">
        <f>Calculations!R76</f>
        <v>0</v>
      </c>
      <c r="Q17" s="10">
        <f>Calculations!S76</f>
        <v>0</v>
      </c>
      <c r="R17" s="10">
        <f>Calculations!T76</f>
        <v>0</v>
      </c>
      <c r="S17" s="10">
        <f>Calculations!U76</f>
        <v>0</v>
      </c>
      <c r="T17" s="10">
        <f>Calculations!V76</f>
        <v>0</v>
      </c>
      <c r="U17" s="10">
        <f>Calculations!W76</f>
        <v>0</v>
      </c>
      <c r="V17" s="10">
        <f>Calculations!X76</f>
        <v>0</v>
      </c>
      <c r="W17" s="10">
        <f>Calculations!Y76</f>
        <v>0</v>
      </c>
      <c r="X17" s="10">
        <f>Calculations!Z76</f>
        <v>0</v>
      </c>
      <c r="Y17" s="10">
        <f>Calculations!AA76</f>
        <v>0</v>
      </c>
      <c r="Z17" s="10">
        <f>Calculations!AB76</f>
        <v>0</v>
      </c>
      <c r="AA17" s="10">
        <f>Calculations!AC76</f>
        <v>0</v>
      </c>
      <c r="AB17" s="10">
        <f>Calculations!AD76</f>
        <v>0</v>
      </c>
      <c r="AC17" s="10">
        <f>Calculations!AE76</f>
        <v>0</v>
      </c>
      <c r="AD17" s="10">
        <f>Calculations!AF76</f>
        <v>0</v>
      </c>
      <c r="AE17" s="10">
        <f>Calculations!AG76</f>
        <v>0</v>
      </c>
      <c r="AF17" s="10">
        <f>Calculations!AH76</f>
        <v>0</v>
      </c>
      <c r="AG17" s="10">
        <f>Calculations!AI76</f>
        <v>0</v>
      </c>
    </row>
    <row r="18" spans="1:33" x14ac:dyDescent="0.35">
      <c r="A18" t="s">
        <v>160</v>
      </c>
      <c r="B18" s="10">
        <f>Calculations!D77</f>
        <v>0</v>
      </c>
      <c r="C18" s="10">
        <f>Calculations!E77</f>
        <v>0</v>
      </c>
      <c r="D18" s="10">
        <f>Calculations!F77</f>
        <v>0</v>
      </c>
      <c r="E18" s="10">
        <f>Calculations!G77</f>
        <v>0</v>
      </c>
      <c r="F18" s="10">
        <f>Calculations!H77</f>
        <v>0</v>
      </c>
      <c r="G18" s="10">
        <f>Calculations!I77</f>
        <v>0</v>
      </c>
      <c r="H18" s="10">
        <f>Calculations!J77</f>
        <v>0</v>
      </c>
      <c r="I18" s="10">
        <f>Calculations!K77</f>
        <v>0</v>
      </c>
      <c r="J18" s="10">
        <f>Calculations!L77</f>
        <v>0</v>
      </c>
      <c r="K18" s="10">
        <f>Calculations!M77</f>
        <v>0</v>
      </c>
      <c r="L18" s="10">
        <f>Calculations!N77</f>
        <v>0</v>
      </c>
      <c r="M18" s="10">
        <f>Calculations!O77</f>
        <v>0</v>
      </c>
      <c r="N18" s="10">
        <f>Calculations!P77</f>
        <v>0</v>
      </c>
      <c r="O18" s="10">
        <f>Calculations!Q77</f>
        <v>0</v>
      </c>
      <c r="P18" s="10">
        <f>Calculations!R77</f>
        <v>0</v>
      </c>
      <c r="Q18" s="10">
        <f>Calculations!S77</f>
        <v>0</v>
      </c>
      <c r="R18" s="10">
        <f>Calculations!T77</f>
        <v>0</v>
      </c>
      <c r="S18" s="10">
        <f>Calculations!U77</f>
        <v>0</v>
      </c>
      <c r="T18" s="10">
        <f>Calculations!V77</f>
        <v>0</v>
      </c>
      <c r="U18" s="10">
        <f>Calculations!W77</f>
        <v>0</v>
      </c>
      <c r="V18" s="10">
        <f>Calculations!X77</f>
        <v>0</v>
      </c>
      <c r="W18" s="10">
        <f>Calculations!Y77</f>
        <v>0</v>
      </c>
      <c r="X18" s="10">
        <f>Calculations!Z77</f>
        <v>0</v>
      </c>
      <c r="Y18" s="10">
        <f>Calculations!AA77</f>
        <v>0</v>
      </c>
      <c r="Z18" s="10">
        <f>Calculations!AB77</f>
        <v>0</v>
      </c>
      <c r="AA18" s="10">
        <f>Calculations!AC77</f>
        <v>0</v>
      </c>
      <c r="AB18" s="10">
        <f>Calculations!AD77</f>
        <v>0</v>
      </c>
      <c r="AC18" s="10">
        <f>Calculations!AE77</f>
        <v>0</v>
      </c>
      <c r="AD18" s="10">
        <f>Calculations!AF77</f>
        <v>0</v>
      </c>
      <c r="AE18" s="10">
        <f>Calculations!AG77</f>
        <v>0</v>
      </c>
      <c r="AF18" s="10">
        <f>Calculations!AH77</f>
        <v>0</v>
      </c>
      <c r="AG18" s="10">
        <f>Calculations!AI77</f>
        <v>0</v>
      </c>
    </row>
    <row r="19" spans="1:33" x14ac:dyDescent="0.35">
      <c r="A19" s="50" t="s">
        <v>924</v>
      </c>
      <c r="B19" s="49">
        <v>0</v>
      </c>
      <c r="C19" s="49">
        <v>0</v>
      </c>
      <c r="D19" s="49">
        <v>0</v>
      </c>
      <c r="E19" s="49">
        <v>0</v>
      </c>
      <c r="F19" s="49">
        <v>0</v>
      </c>
      <c r="G19" s="49">
        <v>0</v>
      </c>
      <c r="H19" s="49">
        <v>0</v>
      </c>
      <c r="I19" s="49">
        <v>0</v>
      </c>
      <c r="J19" s="49">
        <v>0</v>
      </c>
      <c r="K19" s="49">
        <v>0</v>
      </c>
      <c r="L19" s="49">
        <v>0</v>
      </c>
      <c r="M19" s="49">
        <v>0</v>
      </c>
      <c r="N19" s="49">
        <v>0</v>
      </c>
      <c r="O19" s="49">
        <v>0</v>
      </c>
      <c r="P19" s="49">
        <v>0</v>
      </c>
      <c r="Q19" s="49">
        <v>0</v>
      </c>
      <c r="R19" s="49">
        <v>0</v>
      </c>
      <c r="S19" s="49">
        <v>0</v>
      </c>
      <c r="T19" s="49">
        <v>0</v>
      </c>
      <c r="U19" s="49">
        <v>0</v>
      </c>
      <c r="V19" s="49">
        <v>0</v>
      </c>
      <c r="W19" s="49">
        <v>0</v>
      </c>
      <c r="X19" s="49">
        <v>0</v>
      </c>
      <c r="Y19" s="49">
        <v>0</v>
      </c>
      <c r="Z19" s="49">
        <v>0</v>
      </c>
      <c r="AA19" s="49">
        <v>0</v>
      </c>
      <c r="AB19" s="49">
        <v>0</v>
      </c>
      <c r="AC19" s="49">
        <v>0</v>
      </c>
      <c r="AD19" s="49">
        <v>0</v>
      </c>
      <c r="AE19" s="49">
        <v>0</v>
      </c>
      <c r="AF19" s="49">
        <v>0</v>
      </c>
      <c r="AG19" s="49">
        <v>0</v>
      </c>
    </row>
    <row r="20" spans="1:33" x14ac:dyDescent="0.35">
      <c r="A20" s="50" t="s">
        <v>925</v>
      </c>
      <c r="B20" s="49">
        <v>0</v>
      </c>
      <c r="C20" s="49">
        <v>0</v>
      </c>
      <c r="D20" s="49">
        <v>0</v>
      </c>
      <c r="E20" s="49">
        <v>0</v>
      </c>
      <c r="F20" s="49">
        <v>0</v>
      </c>
      <c r="G20" s="49">
        <v>0</v>
      </c>
      <c r="H20" s="49">
        <v>0</v>
      </c>
      <c r="I20" s="49">
        <v>0</v>
      </c>
      <c r="J20" s="49">
        <v>0</v>
      </c>
      <c r="K20" s="49">
        <v>0</v>
      </c>
      <c r="L20" s="49">
        <v>0</v>
      </c>
      <c r="M20" s="49">
        <v>0</v>
      </c>
      <c r="N20" s="49">
        <v>0</v>
      </c>
      <c r="O20" s="49">
        <v>0</v>
      </c>
      <c r="P20" s="49">
        <v>0</v>
      </c>
      <c r="Q20" s="49">
        <v>0</v>
      </c>
      <c r="R20" s="49">
        <v>0</v>
      </c>
      <c r="S20" s="49">
        <v>0</v>
      </c>
      <c r="T20" s="49">
        <v>0</v>
      </c>
      <c r="U20" s="49">
        <v>0</v>
      </c>
      <c r="V20" s="49">
        <v>0</v>
      </c>
      <c r="W20" s="49">
        <v>0</v>
      </c>
      <c r="X20" s="49">
        <v>0</v>
      </c>
      <c r="Y20" s="49">
        <v>0</v>
      </c>
      <c r="Z20" s="49">
        <v>0</v>
      </c>
      <c r="AA20" s="49">
        <v>0</v>
      </c>
      <c r="AB20" s="49">
        <v>0</v>
      </c>
      <c r="AC20" s="49">
        <v>0</v>
      </c>
      <c r="AD20" s="49">
        <v>0</v>
      </c>
      <c r="AE20" s="49">
        <v>0</v>
      </c>
      <c r="AF20" s="49">
        <v>0</v>
      </c>
      <c r="AG20" s="49">
        <v>0</v>
      </c>
    </row>
    <row r="21" spans="1:33" x14ac:dyDescent="0.35">
      <c r="A21" s="50" t="s">
        <v>926</v>
      </c>
      <c r="B21" s="49">
        <v>0</v>
      </c>
      <c r="C21" s="49">
        <v>0</v>
      </c>
      <c r="D21" s="49">
        <v>0</v>
      </c>
      <c r="E21" s="49">
        <v>0</v>
      </c>
      <c r="F21" s="49">
        <v>0</v>
      </c>
      <c r="G21" s="49">
        <v>0</v>
      </c>
      <c r="H21" s="49">
        <v>0</v>
      </c>
      <c r="I21" s="49">
        <v>0</v>
      </c>
      <c r="J21" s="49">
        <v>0</v>
      </c>
      <c r="K21" s="49">
        <v>0</v>
      </c>
      <c r="L21" s="49">
        <v>0</v>
      </c>
      <c r="M21" s="49">
        <v>0</v>
      </c>
      <c r="N21" s="49">
        <v>0</v>
      </c>
      <c r="O21" s="49">
        <v>0</v>
      </c>
      <c r="P21" s="49">
        <v>0</v>
      </c>
      <c r="Q21" s="49">
        <v>0</v>
      </c>
      <c r="R21" s="49">
        <v>0</v>
      </c>
      <c r="S21" s="49">
        <v>0</v>
      </c>
      <c r="T21" s="49">
        <v>0</v>
      </c>
      <c r="U21" s="49">
        <v>0</v>
      </c>
      <c r="V21" s="49">
        <v>0</v>
      </c>
      <c r="W21" s="49">
        <v>0</v>
      </c>
      <c r="X21" s="49">
        <v>0</v>
      </c>
      <c r="Y21" s="49">
        <v>0</v>
      </c>
      <c r="Z21" s="49">
        <v>0</v>
      </c>
      <c r="AA21" s="49">
        <v>0</v>
      </c>
      <c r="AB21" s="49">
        <v>0</v>
      </c>
      <c r="AC21" s="49">
        <v>0</v>
      </c>
      <c r="AD21" s="49">
        <v>0</v>
      </c>
      <c r="AE21" s="49">
        <v>0</v>
      </c>
      <c r="AF21" s="49">
        <v>0</v>
      </c>
      <c r="AG21" s="49">
        <v>0</v>
      </c>
    </row>
    <row r="22" spans="1:33" x14ac:dyDescent="0.35">
      <c r="A22" s="50" t="s">
        <v>927</v>
      </c>
      <c r="B22" s="49">
        <v>0</v>
      </c>
      <c r="C22" s="49">
        <v>0</v>
      </c>
      <c r="D22" s="49">
        <v>0</v>
      </c>
      <c r="E22" s="49">
        <v>0</v>
      </c>
      <c r="F22" s="49">
        <v>0</v>
      </c>
      <c r="G22" s="49">
        <v>0</v>
      </c>
      <c r="H22" s="49">
        <v>0</v>
      </c>
      <c r="I22" s="49">
        <v>0</v>
      </c>
      <c r="J22" s="49">
        <v>0</v>
      </c>
      <c r="K22" s="49">
        <v>0</v>
      </c>
      <c r="L22" s="49">
        <v>0</v>
      </c>
      <c r="M22" s="49">
        <v>0</v>
      </c>
      <c r="N22" s="49">
        <v>0</v>
      </c>
      <c r="O22" s="49">
        <v>0</v>
      </c>
      <c r="P22" s="49">
        <v>0</v>
      </c>
      <c r="Q22" s="49">
        <v>0</v>
      </c>
      <c r="R22" s="49">
        <v>0</v>
      </c>
      <c r="S22" s="49">
        <v>0</v>
      </c>
      <c r="T22" s="49">
        <v>0</v>
      </c>
      <c r="U22" s="49">
        <v>0</v>
      </c>
      <c r="V22" s="49">
        <v>0</v>
      </c>
      <c r="W22" s="49">
        <v>0</v>
      </c>
      <c r="X22" s="49">
        <v>0</v>
      </c>
      <c r="Y22" s="49">
        <v>0</v>
      </c>
      <c r="Z22" s="49">
        <v>0</v>
      </c>
      <c r="AA22" s="49">
        <v>0</v>
      </c>
      <c r="AB22" s="49">
        <v>0</v>
      </c>
      <c r="AC22" s="49">
        <v>0</v>
      </c>
      <c r="AD22" s="49">
        <v>0</v>
      </c>
      <c r="AE22" s="49">
        <v>0</v>
      </c>
      <c r="AF22" s="49">
        <v>0</v>
      </c>
      <c r="AG22" s="49">
        <v>0</v>
      </c>
    </row>
    <row r="23" spans="1:33" x14ac:dyDescent="0.35">
      <c r="A23" s="50" t="s">
        <v>928</v>
      </c>
      <c r="B23" s="49">
        <v>0</v>
      </c>
      <c r="C23" s="49">
        <v>0</v>
      </c>
      <c r="D23" s="49">
        <v>0</v>
      </c>
      <c r="E23" s="49">
        <v>0</v>
      </c>
      <c r="F23" s="49">
        <v>0</v>
      </c>
      <c r="G23" s="49">
        <v>0</v>
      </c>
      <c r="H23" s="49">
        <v>0</v>
      </c>
      <c r="I23" s="49">
        <v>0</v>
      </c>
      <c r="J23" s="49">
        <v>0</v>
      </c>
      <c r="K23" s="49">
        <v>0</v>
      </c>
      <c r="L23" s="49">
        <v>0</v>
      </c>
      <c r="M23" s="49">
        <v>0</v>
      </c>
      <c r="N23" s="49">
        <v>0</v>
      </c>
      <c r="O23" s="49">
        <v>0</v>
      </c>
      <c r="P23" s="49">
        <v>0</v>
      </c>
      <c r="Q23" s="49">
        <v>0</v>
      </c>
      <c r="R23" s="49">
        <v>0</v>
      </c>
      <c r="S23" s="49">
        <v>0</v>
      </c>
      <c r="T23" s="49">
        <v>0</v>
      </c>
      <c r="U23" s="49">
        <v>0</v>
      </c>
      <c r="V23" s="49">
        <v>0</v>
      </c>
      <c r="W23" s="49">
        <v>0</v>
      </c>
      <c r="X23" s="49">
        <v>0</v>
      </c>
      <c r="Y23" s="49">
        <v>0</v>
      </c>
      <c r="Z23" s="49">
        <v>0</v>
      </c>
      <c r="AA23" s="49">
        <v>0</v>
      </c>
      <c r="AB23" s="49">
        <v>0</v>
      </c>
      <c r="AC23" s="49">
        <v>0</v>
      </c>
      <c r="AD23" s="49">
        <v>0</v>
      </c>
      <c r="AE23" s="49">
        <v>0</v>
      </c>
      <c r="AF23" s="49">
        <v>0</v>
      </c>
      <c r="AG23" s="49">
        <v>0</v>
      </c>
    </row>
    <row r="24" spans="1:33" x14ac:dyDescent="0.35">
      <c r="A24" s="51" t="s">
        <v>929</v>
      </c>
      <c r="B24" s="49">
        <v>0</v>
      </c>
      <c r="C24" s="49">
        <v>0</v>
      </c>
      <c r="D24" s="49">
        <v>0</v>
      </c>
      <c r="E24" s="49">
        <v>0</v>
      </c>
      <c r="F24" s="49">
        <v>0</v>
      </c>
      <c r="G24" s="49">
        <v>0</v>
      </c>
      <c r="H24" s="49">
        <v>0</v>
      </c>
      <c r="I24" s="49">
        <v>0</v>
      </c>
      <c r="J24" s="49">
        <v>0</v>
      </c>
      <c r="K24" s="49">
        <v>0</v>
      </c>
      <c r="L24" s="49">
        <v>0</v>
      </c>
      <c r="M24" s="49">
        <v>0</v>
      </c>
      <c r="N24" s="49">
        <v>0</v>
      </c>
      <c r="O24" s="49">
        <v>0</v>
      </c>
      <c r="P24" s="49">
        <v>0</v>
      </c>
      <c r="Q24" s="49">
        <v>0</v>
      </c>
      <c r="R24" s="49">
        <v>0</v>
      </c>
      <c r="S24" s="49">
        <v>0</v>
      </c>
      <c r="T24" s="49">
        <v>0</v>
      </c>
      <c r="U24" s="49">
        <v>0</v>
      </c>
      <c r="V24" s="49">
        <v>0</v>
      </c>
      <c r="W24" s="49">
        <v>0</v>
      </c>
      <c r="X24" s="49">
        <v>0</v>
      </c>
      <c r="Y24" s="49">
        <v>0</v>
      </c>
      <c r="Z24" s="49">
        <v>0</v>
      </c>
      <c r="AA24" s="49">
        <v>0</v>
      </c>
      <c r="AB24" s="49">
        <v>0</v>
      </c>
      <c r="AC24" s="49">
        <v>0</v>
      </c>
      <c r="AD24" s="49">
        <v>0</v>
      </c>
      <c r="AE24" s="49">
        <v>0</v>
      </c>
      <c r="AF24" s="49">
        <v>0</v>
      </c>
      <c r="AG24" s="49">
        <v>0</v>
      </c>
    </row>
    <row r="25" spans="1:33" x14ac:dyDescent="0.35">
      <c r="A25" s="51" t="s">
        <v>930</v>
      </c>
      <c r="B25" s="49">
        <v>0</v>
      </c>
      <c r="C25" s="49">
        <v>0</v>
      </c>
      <c r="D25" s="49">
        <v>0</v>
      </c>
      <c r="E25" s="49">
        <v>0</v>
      </c>
      <c r="F25" s="49">
        <v>0</v>
      </c>
      <c r="G25" s="49">
        <v>0</v>
      </c>
      <c r="H25" s="49">
        <v>0</v>
      </c>
      <c r="I25" s="49">
        <v>0</v>
      </c>
      <c r="J25" s="49">
        <v>0</v>
      </c>
      <c r="K25" s="49">
        <v>0</v>
      </c>
      <c r="L25" s="49">
        <v>0</v>
      </c>
      <c r="M25" s="49">
        <v>0</v>
      </c>
      <c r="N25" s="49">
        <v>0</v>
      </c>
      <c r="O25" s="49">
        <v>0</v>
      </c>
      <c r="P25" s="49">
        <v>0</v>
      </c>
      <c r="Q25" s="49">
        <v>0</v>
      </c>
      <c r="R25" s="49">
        <v>0</v>
      </c>
      <c r="S25" s="49">
        <v>0</v>
      </c>
      <c r="T25" s="49">
        <v>0</v>
      </c>
      <c r="U25" s="49">
        <v>0</v>
      </c>
      <c r="V25" s="49">
        <v>0</v>
      </c>
      <c r="W25" s="49">
        <v>0</v>
      </c>
      <c r="X25" s="49">
        <v>0</v>
      </c>
      <c r="Y25" s="49">
        <v>0</v>
      </c>
      <c r="Z25" s="49">
        <v>0</v>
      </c>
      <c r="AA25" s="49">
        <v>0</v>
      </c>
      <c r="AB25" s="49">
        <v>0</v>
      </c>
      <c r="AC25" s="49">
        <v>0</v>
      </c>
      <c r="AD25" s="49">
        <v>0</v>
      </c>
      <c r="AE25" s="49">
        <v>0</v>
      </c>
      <c r="AF25" s="49">
        <v>0</v>
      </c>
      <c r="AG25" s="49">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S34" sqref="S34"/>
    </sheetView>
  </sheetViews>
  <sheetFormatPr defaultRowHeight="14.5" x14ac:dyDescent="0.35"/>
  <cols>
    <col min="1" max="1" width="23.453125" customWidth="1"/>
    <col min="2" max="33" width="9.54296875" bestFit="1" customWidth="1"/>
  </cols>
  <sheetData>
    <row r="1" spans="1:33" x14ac:dyDescent="0.35">
      <c r="A1" t="s">
        <v>161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x14ac:dyDescent="0.35">
      <c r="A2" t="s">
        <v>58</v>
      </c>
      <c r="B2" s="10">
        <f>Calculations!D83</f>
        <v>0</v>
      </c>
      <c r="C2" s="10">
        <f>Calculations!E83</f>
        <v>0</v>
      </c>
      <c r="D2" s="10">
        <f>Calculations!F83</f>
        <v>0</v>
      </c>
      <c r="E2" s="10">
        <f>Calculations!G83</f>
        <v>0</v>
      </c>
      <c r="F2" s="10">
        <f>Calculations!H83</f>
        <v>0</v>
      </c>
      <c r="G2" s="10">
        <f>Calculations!I83</f>
        <v>0</v>
      </c>
      <c r="H2" s="10">
        <f>Calculations!J83</f>
        <v>0</v>
      </c>
      <c r="I2" s="10">
        <f>Calculations!K83</f>
        <v>0</v>
      </c>
      <c r="J2" s="10">
        <f>Calculations!L83</f>
        <v>0</v>
      </c>
      <c r="K2" s="10">
        <f>Calculations!M83</f>
        <v>0</v>
      </c>
      <c r="L2" s="10">
        <f>Calculations!N83</f>
        <v>0</v>
      </c>
      <c r="M2" s="10">
        <f>Calculations!O83</f>
        <v>0</v>
      </c>
      <c r="N2" s="10">
        <f>Calculations!P83</f>
        <v>0</v>
      </c>
      <c r="O2" s="10">
        <f>Calculations!Q83</f>
        <v>0</v>
      </c>
      <c r="P2" s="10">
        <f>Calculations!R83</f>
        <v>0</v>
      </c>
      <c r="Q2" s="10">
        <f>Calculations!S83</f>
        <v>0</v>
      </c>
      <c r="R2" s="10">
        <f>Calculations!T83</f>
        <v>0</v>
      </c>
      <c r="S2" s="10">
        <f>Calculations!U83</f>
        <v>0</v>
      </c>
      <c r="T2" s="10">
        <f>Calculations!V83</f>
        <v>0</v>
      </c>
      <c r="U2" s="10">
        <f>Calculations!W83</f>
        <v>0</v>
      </c>
      <c r="V2" s="10">
        <f>Calculations!X83</f>
        <v>0</v>
      </c>
      <c r="W2" s="10">
        <f>Calculations!Y83</f>
        <v>0</v>
      </c>
      <c r="X2" s="10">
        <f>Calculations!Z83</f>
        <v>0</v>
      </c>
      <c r="Y2" s="10">
        <f>Calculations!AA83</f>
        <v>0</v>
      </c>
      <c r="Z2" s="10">
        <f>Calculations!AB83</f>
        <v>0</v>
      </c>
      <c r="AA2" s="10">
        <f>Calculations!AC83</f>
        <v>0</v>
      </c>
      <c r="AB2" s="10">
        <f>Calculations!AD83</f>
        <v>0</v>
      </c>
      <c r="AC2" s="10">
        <f>Calculations!AE83</f>
        <v>0</v>
      </c>
      <c r="AD2" s="10">
        <f>Calculations!AF83</f>
        <v>0</v>
      </c>
      <c r="AE2" s="10">
        <f>Calculations!AG83</f>
        <v>0</v>
      </c>
      <c r="AF2" s="10">
        <f>Calculations!AH83</f>
        <v>0</v>
      </c>
      <c r="AG2" s="10">
        <f>Calculations!AI83</f>
        <v>0</v>
      </c>
    </row>
    <row r="3" spans="1:33" x14ac:dyDescent="0.35">
      <c r="A3" t="s">
        <v>922</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row>
    <row r="4" spans="1:33" x14ac:dyDescent="0.35">
      <c r="A4" t="s">
        <v>923</v>
      </c>
      <c r="B4" s="10">
        <f>Calculations!D84</f>
        <v>0</v>
      </c>
      <c r="C4" s="10">
        <f>Calculations!E84</f>
        <v>1377.152</v>
      </c>
      <c r="D4" s="10">
        <f>Calculations!F84</f>
        <v>1385.0491999999995</v>
      </c>
      <c r="E4" s="10">
        <f>Calculations!G84</f>
        <v>1392.9464000000007</v>
      </c>
      <c r="F4" s="10">
        <f>Calculations!H84</f>
        <v>1400.8436000000002</v>
      </c>
      <c r="G4" s="10">
        <f>Calculations!I84</f>
        <v>1408.7407999999996</v>
      </c>
      <c r="H4" s="10">
        <f>Calculations!J84</f>
        <v>1416.6380000000001</v>
      </c>
      <c r="I4" s="10">
        <f>Calculations!K84</f>
        <v>1432.388600000002</v>
      </c>
      <c r="J4" s="10">
        <f>Calculations!L84</f>
        <v>1448.1392000000014</v>
      </c>
      <c r="K4" s="10">
        <f>Calculations!M84</f>
        <v>1463.8898000000008</v>
      </c>
      <c r="L4" s="10">
        <f>Calculations!N84</f>
        <v>1479.6404000000002</v>
      </c>
      <c r="M4" s="10">
        <f>Calculations!O84</f>
        <v>1495.3909999999998</v>
      </c>
      <c r="N4" s="10">
        <f>Calculations!P84</f>
        <v>1510.5756000000001</v>
      </c>
      <c r="O4" s="10">
        <f>Calculations!Q84</f>
        <v>1525.7602000000006</v>
      </c>
      <c r="P4" s="10">
        <f>Calculations!R84</f>
        <v>1540.9448000000011</v>
      </c>
      <c r="Q4" s="10">
        <f>Calculations!S84</f>
        <v>1556.1294000000016</v>
      </c>
      <c r="R4" s="10">
        <f>Calculations!T84</f>
        <v>1571.3140000000001</v>
      </c>
      <c r="S4" s="10">
        <f>Calculations!U84</f>
        <v>1585.6786000000029</v>
      </c>
      <c r="T4" s="10">
        <f>Calculations!V84</f>
        <v>1600.0432000000001</v>
      </c>
      <c r="U4" s="10">
        <f>Calculations!W84</f>
        <v>1614.4078000000009</v>
      </c>
      <c r="V4" s="10">
        <f>Calculations!X84</f>
        <v>1628.7724000000017</v>
      </c>
      <c r="W4" s="10">
        <f>Calculations!Y84</f>
        <v>1643.1370000000002</v>
      </c>
      <c r="X4" s="10">
        <f>Calculations!Z84</f>
        <v>1658.2861999999986</v>
      </c>
      <c r="Y4" s="10">
        <f>Calculations!AA84</f>
        <v>1673.4353999999985</v>
      </c>
      <c r="Z4" s="10">
        <f>Calculations!AB84</f>
        <v>1688.5845999999983</v>
      </c>
      <c r="AA4" s="10">
        <f>Calculations!AC84</f>
        <v>1703.7337999999982</v>
      </c>
      <c r="AB4" s="10">
        <f>Calculations!AD84</f>
        <v>1718.883</v>
      </c>
      <c r="AC4" s="10">
        <f>Calculations!AE84</f>
        <v>1731.7387999999992</v>
      </c>
      <c r="AD4" s="10">
        <f>Calculations!AF84</f>
        <v>1744.5945999999967</v>
      </c>
      <c r="AE4" s="10">
        <f>Calculations!AG84</f>
        <v>1757.4503999999979</v>
      </c>
      <c r="AF4" s="10">
        <f>Calculations!AH84</f>
        <v>1770.3061999999991</v>
      </c>
      <c r="AG4" s="10">
        <f>Calculations!AI84</f>
        <v>1783.1619999999998</v>
      </c>
    </row>
    <row r="5" spans="1:33" x14ac:dyDescent="0.35">
      <c r="A5" t="s">
        <v>8</v>
      </c>
      <c r="B5" s="10">
        <f>Calculations!D85</f>
        <v>0</v>
      </c>
      <c r="C5" s="10">
        <f>Calculations!E85</f>
        <v>0</v>
      </c>
      <c r="D5" s="10">
        <f>Calculations!F85</f>
        <v>0</v>
      </c>
      <c r="E5" s="10">
        <f>Calculations!G85</f>
        <v>0</v>
      </c>
      <c r="F5" s="10">
        <f>Calculations!H85</f>
        <v>0</v>
      </c>
      <c r="G5" s="10">
        <f>Calculations!I85</f>
        <v>0</v>
      </c>
      <c r="H5" s="10">
        <f>Calculations!J85</f>
        <v>0</v>
      </c>
      <c r="I5" s="10">
        <f>Calculations!K85</f>
        <v>0</v>
      </c>
      <c r="J5" s="10">
        <f>Calculations!L85</f>
        <v>0</v>
      </c>
      <c r="K5" s="10">
        <f>Calculations!M85</f>
        <v>0</v>
      </c>
      <c r="L5" s="10">
        <f>Calculations!N85</f>
        <v>0</v>
      </c>
      <c r="M5" s="10">
        <f>Calculations!O85</f>
        <v>0</v>
      </c>
      <c r="N5" s="10">
        <f>Calculations!P85</f>
        <v>0</v>
      </c>
      <c r="O5" s="10">
        <f>Calculations!Q85</f>
        <v>0</v>
      </c>
      <c r="P5" s="10">
        <f>Calculations!R85</f>
        <v>0</v>
      </c>
      <c r="Q5" s="10">
        <f>Calculations!S85</f>
        <v>0</v>
      </c>
      <c r="R5" s="10">
        <f>Calculations!T85</f>
        <v>0</v>
      </c>
      <c r="S5" s="10">
        <f>Calculations!U85</f>
        <v>0</v>
      </c>
      <c r="T5" s="10">
        <f>Calculations!V85</f>
        <v>0</v>
      </c>
      <c r="U5" s="10">
        <f>Calculations!W85</f>
        <v>0</v>
      </c>
      <c r="V5" s="10">
        <f>Calculations!X85</f>
        <v>0</v>
      </c>
      <c r="W5" s="10">
        <f>Calculations!Y85</f>
        <v>0</v>
      </c>
      <c r="X5" s="10">
        <f>Calculations!Z85</f>
        <v>0</v>
      </c>
      <c r="Y5" s="10">
        <f>Calculations!AA85</f>
        <v>0</v>
      </c>
      <c r="Z5" s="10">
        <f>Calculations!AB85</f>
        <v>0</v>
      </c>
      <c r="AA5" s="10">
        <f>Calculations!AC85</f>
        <v>0</v>
      </c>
      <c r="AB5" s="10">
        <f>Calculations!AD85</f>
        <v>0</v>
      </c>
      <c r="AC5" s="10">
        <f>Calculations!AE85</f>
        <v>0</v>
      </c>
      <c r="AD5" s="10">
        <f>Calculations!AF85</f>
        <v>0</v>
      </c>
      <c r="AE5" s="10">
        <f>Calculations!AG85</f>
        <v>0</v>
      </c>
      <c r="AF5" s="10">
        <f>Calculations!AH85</f>
        <v>0</v>
      </c>
      <c r="AG5" s="10">
        <f>Calculations!AI85</f>
        <v>0</v>
      </c>
    </row>
    <row r="6" spans="1:33" x14ac:dyDescent="0.35">
      <c r="A6" t="s">
        <v>9</v>
      </c>
      <c r="B6" s="10">
        <f>Calculations!D86</f>
        <v>0</v>
      </c>
      <c r="C6" s="10">
        <f>Calculations!E86</f>
        <v>0</v>
      </c>
      <c r="D6" s="10">
        <f>Calculations!F86</f>
        <v>0</v>
      </c>
      <c r="E6" s="10">
        <f>Calculations!G86</f>
        <v>0</v>
      </c>
      <c r="F6" s="10">
        <f>Calculations!H86</f>
        <v>0</v>
      </c>
      <c r="G6" s="10">
        <f>Calculations!I86</f>
        <v>0</v>
      </c>
      <c r="H6" s="10">
        <f>Calculations!J86</f>
        <v>0</v>
      </c>
      <c r="I6" s="10">
        <f>Calculations!K86</f>
        <v>0</v>
      </c>
      <c r="J6" s="10">
        <f>Calculations!L86</f>
        <v>0</v>
      </c>
      <c r="K6" s="10">
        <f>Calculations!M86</f>
        <v>0</v>
      </c>
      <c r="L6" s="10">
        <f>Calculations!N86</f>
        <v>0</v>
      </c>
      <c r="M6" s="10">
        <f>Calculations!O86</f>
        <v>0</v>
      </c>
      <c r="N6" s="10">
        <f>Calculations!P86</f>
        <v>0</v>
      </c>
      <c r="O6" s="10">
        <f>Calculations!Q86</f>
        <v>0</v>
      </c>
      <c r="P6" s="10">
        <f>Calculations!R86</f>
        <v>0</v>
      </c>
      <c r="Q6" s="10">
        <f>Calculations!S86</f>
        <v>0</v>
      </c>
      <c r="R6" s="10">
        <f>Calculations!T86</f>
        <v>0</v>
      </c>
      <c r="S6" s="10">
        <f>Calculations!U86</f>
        <v>0</v>
      </c>
      <c r="T6" s="10">
        <f>Calculations!V86</f>
        <v>0</v>
      </c>
      <c r="U6" s="10">
        <f>Calculations!W86</f>
        <v>0</v>
      </c>
      <c r="V6" s="10">
        <f>Calculations!X86</f>
        <v>0</v>
      </c>
      <c r="W6" s="10">
        <f>Calculations!Y86</f>
        <v>0</v>
      </c>
      <c r="X6" s="10">
        <f>Calculations!Z86</f>
        <v>0</v>
      </c>
      <c r="Y6" s="10">
        <f>Calculations!AA86</f>
        <v>0</v>
      </c>
      <c r="Z6" s="10">
        <f>Calculations!AB86</f>
        <v>0</v>
      </c>
      <c r="AA6" s="10">
        <f>Calculations!AC86</f>
        <v>0</v>
      </c>
      <c r="AB6" s="10">
        <f>Calculations!AD86</f>
        <v>0</v>
      </c>
      <c r="AC6" s="10">
        <f>Calculations!AE86</f>
        <v>0</v>
      </c>
      <c r="AD6" s="10">
        <f>Calculations!AF86</f>
        <v>0</v>
      </c>
      <c r="AE6" s="10">
        <f>Calculations!AG86</f>
        <v>0</v>
      </c>
      <c r="AF6" s="10">
        <f>Calculations!AH86</f>
        <v>0</v>
      </c>
      <c r="AG6" s="10">
        <f>Calculations!AI86</f>
        <v>0</v>
      </c>
    </row>
    <row r="7" spans="1:33" x14ac:dyDescent="0.35">
      <c r="A7" t="s">
        <v>59</v>
      </c>
      <c r="B7" s="10">
        <f>Calculations!D87</f>
        <v>0</v>
      </c>
      <c r="C7" s="10">
        <f>Calculations!E87</f>
        <v>554.88099999999997</v>
      </c>
      <c r="D7" s="10">
        <f>Calculations!F87</f>
        <v>555.80780000000004</v>
      </c>
      <c r="E7" s="10">
        <f>Calculations!G87</f>
        <v>556.7346</v>
      </c>
      <c r="F7" s="10">
        <f>Calculations!H87</f>
        <v>557.66139999999996</v>
      </c>
      <c r="G7" s="10">
        <f>Calculations!I87</f>
        <v>558.58819999999992</v>
      </c>
      <c r="H7" s="10">
        <f>Calculations!J87</f>
        <v>559.51499999999999</v>
      </c>
      <c r="I7" s="10">
        <f>Calculations!K87</f>
        <v>560.21679999999981</v>
      </c>
      <c r="J7" s="10">
        <f>Calculations!L87</f>
        <v>560.91859999999986</v>
      </c>
      <c r="K7" s="10">
        <f>Calculations!M87</f>
        <v>561.6203999999999</v>
      </c>
      <c r="L7" s="10">
        <f>Calculations!N87</f>
        <v>562.32219999999995</v>
      </c>
      <c r="M7" s="10">
        <f>Calculations!O87</f>
        <v>563.024</v>
      </c>
      <c r="N7" s="10">
        <f>Calculations!P87</f>
        <v>563.88020000000006</v>
      </c>
      <c r="O7" s="10">
        <f>Calculations!Q87</f>
        <v>564.7364</v>
      </c>
      <c r="P7" s="10">
        <f>Calculations!R87</f>
        <v>565.59259999999995</v>
      </c>
      <c r="Q7" s="10">
        <f>Calculations!S87</f>
        <v>566.44879999999989</v>
      </c>
      <c r="R7" s="10">
        <f>Calculations!T87</f>
        <v>567.30499999999995</v>
      </c>
      <c r="S7" s="10">
        <f>Calculations!U87</f>
        <v>567.67619999999988</v>
      </c>
      <c r="T7" s="10">
        <f>Calculations!V87</f>
        <v>568.04739999999993</v>
      </c>
      <c r="U7" s="10">
        <f>Calculations!W87</f>
        <v>568.41859999999997</v>
      </c>
      <c r="V7" s="10">
        <f>Calculations!X87</f>
        <v>568.78980000000001</v>
      </c>
      <c r="W7" s="10">
        <f>Calculations!Y87</f>
        <v>569.16100000000006</v>
      </c>
      <c r="X7" s="10">
        <f>Calculations!Z87</f>
        <v>569.76780000000008</v>
      </c>
      <c r="Y7" s="10">
        <f>Calculations!AA87</f>
        <v>570.3746000000001</v>
      </c>
      <c r="Z7" s="10">
        <f>Calculations!AB87</f>
        <v>570.98140000000012</v>
      </c>
      <c r="AA7" s="10">
        <f>Calculations!AC87</f>
        <v>571.58819999999992</v>
      </c>
      <c r="AB7" s="10">
        <f>Calculations!AD87</f>
        <v>572.19500000000005</v>
      </c>
      <c r="AC7" s="10">
        <f>Calculations!AE87</f>
        <v>572.2274000000001</v>
      </c>
      <c r="AD7" s="10">
        <f>Calculations!AF87</f>
        <v>572.25980000000004</v>
      </c>
      <c r="AE7" s="10">
        <f>Calculations!AG87</f>
        <v>572.29220000000009</v>
      </c>
      <c r="AF7" s="10">
        <f>Calculations!AH87</f>
        <v>572.32460000000003</v>
      </c>
      <c r="AG7" s="10">
        <f>Calculations!AI87</f>
        <v>572.35699999999997</v>
      </c>
    </row>
    <row r="8" spans="1:33" x14ac:dyDescent="0.35">
      <c r="A8" t="s">
        <v>10</v>
      </c>
      <c r="B8" s="10">
        <f>Calculations!D88</f>
        <v>0</v>
      </c>
      <c r="C8" s="10">
        <f>Calculations!E88</f>
        <v>15855.377</v>
      </c>
      <c r="D8" s="10">
        <f>Calculations!F88</f>
        <v>19319.994199999608</v>
      </c>
      <c r="E8" s="10">
        <f>Calculations!G88</f>
        <v>22491.291000000001</v>
      </c>
      <c r="F8" s="10">
        <f>Calculations!H88</f>
        <v>26815.535</v>
      </c>
      <c r="G8" s="10">
        <f>Calculations!I88</f>
        <v>30254.023000000001</v>
      </c>
      <c r="H8" s="10">
        <f>Calculations!J88</f>
        <v>33178.463000000003</v>
      </c>
      <c r="I8" s="10">
        <f>Calculations!K88</f>
        <v>34785.682999999997</v>
      </c>
      <c r="J8" s="10">
        <f>Calculations!L88</f>
        <v>36654.330999999998</v>
      </c>
      <c r="K8" s="10">
        <f>Calculations!M88</f>
        <v>38291.962</v>
      </c>
      <c r="L8" s="10">
        <f>Calculations!N88</f>
        <v>40837.508999999998</v>
      </c>
      <c r="M8" s="10">
        <f>Calculations!O88</f>
        <v>42625.346999999994</v>
      </c>
      <c r="N8" s="10">
        <f>Calculations!P88</f>
        <v>44444</v>
      </c>
      <c r="O8" s="10">
        <f>Calculations!Q88</f>
        <v>46077.877</v>
      </c>
      <c r="P8" s="10">
        <f>Calculations!R88</f>
        <v>48438.850000000006</v>
      </c>
      <c r="Q8" s="10">
        <f>Calculations!S88</f>
        <v>51029.842000000004</v>
      </c>
      <c r="R8" s="10">
        <f>Calculations!T88</f>
        <v>52509.289000000004</v>
      </c>
      <c r="S8" s="10">
        <f>Calculations!U88</f>
        <v>55255.535000000003</v>
      </c>
      <c r="T8" s="10">
        <f>Calculations!V88</f>
        <v>56865.172999999995</v>
      </c>
      <c r="U8" s="10">
        <f>Calculations!W88</f>
        <v>59174.522000000004</v>
      </c>
      <c r="V8" s="10">
        <f>Calculations!X88</f>
        <v>61338.108</v>
      </c>
      <c r="W8" s="10">
        <f>Calculations!Y88</f>
        <v>63244.408000000003</v>
      </c>
      <c r="X8" s="10">
        <f>Calculations!Z88</f>
        <v>64905.724000000009</v>
      </c>
      <c r="Y8" s="10">
        <f>Calculations!AA88</f>
        <v>66276.016000000003</v>
      </c>
      <c r="Z8" s="10">
        <f>Calculations!AB88</f>
        <v>67472.403999999995</v>
      </c>
      <c r="AA8" s="10">
        <f>Calculations!AC88</f>
        <v>68558.64</v>
      </c>
      <c r="AB8" s="10">
        <f>Calculations!AD88</f>
        <v>69653.053</v>
      </c>
      <c r="AC8" s="10">
        <f>Calculations!AE88</f>
        <v>71534.721000000005</v>
      </c>
      <c r="AD8" s="10">
        <f>Calculations!AF88</f>
        <v>72148.804000000004</v>
      </c>
      <c r="AE8" s="10">
        <f>Calculations!AG88</f>
        <v>73245.368999999992</v>
      </c>
      <c r="AF8" s="10">
        <f>Calculations!AH88</f>
        <v>73763.748000000007</v>
      </c>
      <c r="AG8" s="10">
        <f>Calculations!AI88</f>
        <v>74117.523000000001</v>
      </c>
    </row>
    <row r="9" spans="1:33" x14ac:dyDescent="0.35">
      <c r="A9" t="s">
        <v>11</v>
      </c>
      <c r="B9" s="10">
        <f>Calculations!D89</f>
        <v>0</v>
      </c>
      <c r="C9" s="10">
        <f>Calculations!E89</f>
        <v>0</v>
      </c>
      <c r="D9" s="10">
        <f>Calculations!F89</f>
        <v>0</v>
      </c>
      <c r="E9" s="10">
        <f>Calculations!G89</f>
        <v>0</v>
      </c>
      <c r="F9" s="10">
        <f>Calculations!H89</f>
        <v>0</v>
      </c>
      <c r="G9" s="10">
        <f>Calculations!I89</f>
        <v>0</v>
      </c>
      <c r="H9" s="10">
        <f>Calculations!J89</f>
        <v>0</v>
      </c>
      <c r="I9" s="10">
        <f>Calculations!K89</f>
        <v>0</v>
      </c>
      <c r="J9" s="10">
        <f>Calculations!L89</f>
        <v>0</v>
      </c>
      <c r="K9" s="10">
        <f>Calculations!M89</f>
        <v>0</v>
      </c>
      <c r="L9" s="10">
        <f>Calculations!N89</f>
        <v>0</v>
      </c>
      <c r="M9" s="10">
        <f>Calculations!O89</f>
        <v>0</v>
      </c>
      <c r="N9" s="10">
        <f>Calculations!P89</f>
        <v>0</v>
      </c>
      <c r="O9" s="10">
        <f>Calculations!Q89</f>
        <v>0</v>
      </c>
      <c r="P9" s="10">
        <f>Calculations!R89</f>
        <v>0</v>
      </c>
      <c r="Q9" s="10">
        <f>Calculations!S89</f>
        <v>0</v>
      </c>
      <c r="R9" s="10">
        <f>Calculations!T89</f>
        <v>0</v>
      </c>
      <c r="S9" s="10">
        <f>Calculations!U89</f>
        <v>0</v>
      </c>
      <c r="T9" s="10">
        <f>Calculations!V89</f>
        <v>0</v>
      </c>
      <c r="U9" s="10">
        <f>Calculations!W89</f>
        <v>0</v>
      </c>
      <c r="V9" s="10">
        <f>Calculations!X89</f>
        <v>0</v>
      </c>
      <c r="W9" s="10">
        <f>Calculations!Y89</f>
        <v>0</v>
      </c>
      <c r="X9" s="10">
        <f>Calculations!Z89</f>
        <v>0</v>
      </c>
      <c r="Y9" s="10">
        <f>Calculations!AA89</f>
        <v>0</v>
      </c>
      <c r="Z9" s="10">
        <f>Calculations!AB89</f>
        <v>0</v>
      </c>
      <c r="AA9" s="10">
        <f>Calculations!AC89</f>
        <v>0</v>
      </c>
      <c r="AB9" s="10">
        <f>Calculations!AD89</f>
        <v>0</v>
      </c>
      <c r="AC9" s="10">
        <f>Calculations!AE89</f>
        <v>0</v>
      </c>
      <c r="AD9" s="10">
        <f>Calculations!AF89</f>
        <v>0</v>
      </c>
      <c r="AE9" s="10">
        <f>Calculations!AG89</f>
        <v>0</v>
      </c>
      <c r="AF9" s="10">
        <f>Calculations!AH89</f>
        <v>0</v>
      </c>
      <c r="AG9" s="10">
        <f>Calculations!AI89</f>
        <v>0</v>
      </c>
    </row>
    <row r="10" spans="1:33" x14ac:dyDescent="0.35">
      <c r="A10" t="s">
        <v>12</v>
      </c>
      <c r="B10" s="10">
        <f>Calculations!D90</f>
        <v>0</v>
      </c>
      <c r="C10" s="10">
        <f>Calculations!E90</f>
        <v>0</v>
      </c>
      <c r="D10" s="10">
        <f>Calculations!F90</f>
        <v>0</v>
      </c>
      <c r="E10" s="10">
        <f>Calculations!G90</f>
        <v>0</v>
      </c>
      <c r="F10" s="10">
        <f>Calculations!H90</f>
        <v>0</v>
      </c>
      <c r="G10" s="10">
        <f>Calculations!I90</f>
        <v>0</v>
      </c>
      <c r="H10" s="10">
        <f>Calculations!J90</f>
        <v>0</v>
      </c>
      <c r="I10" s="10">
        <f>Calculations!K90</f>
        <v>0</v>
      </c>
      <c r="J10" s="10">
        <f>Calculations!L90</f>
        <v>0</v>
      </c>
      <c r="K10" s="10">
        <f>Calculations!M90</f>
        <v>0</v>
      </c>
      <c r="L10" s="10">
        <f>Calculations!N90</f>
        <v>0</v>
      </c>
      <c r="M10" s="10">
        <f>Calculations!O90</f>
        <v>0</v>
      </c>
      <c r="N10" s="10">
        <f>Calculations!P90</f>
        <v>0</v>
      </c>
      <c r="O10" s="10">
        <f>Calculations!Q90</f>
        <v>0</v>
      </c>
      <c r="P10" s="10">
        <f>Calculations!R90</f>
        <v>0</v>
      </c>
      <c r="Q10" s="10">
        <f>Calculations!S90</f>
        <v>0</v>
      </c>
      <c r="R10" s="10">
        <f>Calculations!T90</f>
        <v>0</v>
      </c>
      <c r="S10" s="10">
        <f>Calculations!U90</f>
        <v>0</v>
      </c>
      <c r="T10" s="10">
        <f>Calculations!V90</f>
        <v>0</v>
      </c>
      <c r="U10" s="10">
        <f>Calculations!W90</f>
        <v>0</v>
      </c>
      <c r="V10" s="10">
        <f>Calculations!X90</f>
        <v>0</v>
      </c>
      <c r="W10" s="10">
        <f>Calculations!Y90</f>
        <v>0</v>
      </c>
      <c r="X10" s="10">
        <f>Calculations!Z90</f>
        <v>0</v>
      </c>
      <c r="Y10" s="10">
        <f>Calculations!AA90</f>
        <v>0</v>
      </c>
      <c r="Z10" s="10">
        <f>Calculations!AB90</f>
        <v>0</v>
      </c>
      <c r="AA10" s="10">
        <f>Calculations!AC90</f>
        <v>0</v>
      </c>
      <c r="AB10" s="10">
        <f>Calculations!AD90</f>
        <v>0</v>
      </c>
      <c r="AC10" s="10">
        <f>Calculations!AE90</f>
        <v>0</v>
      </c>
      <c r="AD10" s="10">
        <f>Calculations!AF90</f>
        <v>0</v>
      </c>
      <c r="AE10" s="10">
        <f>Calculations!AG90</f>
        <v>0</v>
      </c>
      <c r="AF10" s="10">
        <f>Calculations!AH90</f>
        <v>0</v>
      </c>
      <c r="AG10" s="10">
        <f>Calculations!AI90</f>
        <v>0</v>
      </c>
    </row>
    <row r="11" spans="1:33" x14ac:dyDescent="0.35">
      <c r="A11" t="s">
        <v>13</v>
      </c>
      <c r="B11" s="10">
        <f>Calculations!D91</f>
        <v>0</v>
      </c>
      <c r="C11" s="10">
        <f>Calculations!E91</f>
        <v>0</v>
      </c>
      <c r="D11" s="10">
        <f>Calculations!F91</f>
        <v>0</v>
      </c>
      <c r="E11" s="10">
        <f>Calculations!G91</f>
        <v>0</v>
      </c>
      <c r="F11" s="10">
        <f>Calculations!H91</f>
        <v>0</v>
      </c>
      <c r="G11" s="10">
        <f>Calculations!I91</f>
        <v>0</v>
      </c>
      <c r="H11" s="10">
        <f>Calculations!J91</f>
        <v>0</v>
      </c>
      <c r="I11" s="10">
        <f>Calculations!K91</f>
        <v>0</v>
      </c>
      <c r="J11" s="10">
        <f>Calculations!L91</f>
        <v>0</v>
      </c>
      <c r="K11" s="10">
        <f>Calculations!M91</f>
        <v>0</v>
      </c>
      <c r="L11" s="10">
        <f>Calculations!N91</f>
        <v>0</v>
      </c>
      <c r="M11" s="10">
        <f>Calculations!O91</f>
        <v>0</v>
      </c>
      <c r="N11" s="10">
        <f>Calculations!P91</f>
        <v>0</v>
      </c>
      <c r="O11" s="10">
        <f>Calculations!Q91</f>
        <v>0</v>
      </c>
      <c r="P11" s="10">
        <f>Calculations!R91</f>
        <v>0</v>
      </c>
      <c r="Q11" s="10">
        <f>Calculations!S91</f>
        <v>0</v>
      </c>
      <c r="R11" s="10">
        <f>Calculations!T91</f>
        <v>0</v>
      </c>
      <c r="S11" s="10">
        <f>Calculations!U91</f>
        <v>0</v>
      </c>
      <c r="T11" s="10">
        <f>Calculations!V91</f>
        <v>0</v>
      </c>
      <c r="U11" s="10">
        <f>Calculations!W91</f>
        <v>0</v>
      </c>
      <c r="V11" s="10">
        <f>Calculations!X91</f>
        <v>0</v>
      </c>
      <c r="W11" s="10">
        <f>Calculations!Y91</f>
        <v>0</v>
      </c>
      <c r="X11" s="10">
        <f>Calculations!Z91</f>
        <v>0</v>
      </c>
      <c r="Y11" s="10">
        <f>Calculations!AA91</f>
        <v>0</v>
      </c>
      <c r="Z11" s="10">
        <f>Calculations!AB91</f>
        <v>0</v>
      </c>
      <c r="AA11" s="10">
        <f>Calculations!AC91</f>
        <v>0</v>
      </c>
      <c r="AB11" s="10">
        <f>Calculations!AD91</f>
        <v>0</v>
      </c>
      <c r="AC11" s="10">
        <f>Calculations!AE91</f>
        <v>0</v>
      </c>
      <c r="AD11" s="10">
        <f>Calculations!AF91</f>
        <v>0</v>
      </c>
      <c r="AE11" s="10">
        <f>Calculations!AG91</f>
        <v>0</v>
      </c>
      <c r="AF11" s="10">
        <f>Calculations!AH91</f>
        <v>0</v>
      </c>
      <c r="AG11" s="10">
        <f>Calculations!AI91</f>
        <v>0</v>
      </c>
    </row>
    <row r="12" spans="1:33" x14ac:dyDescent="0.35">
      <c r="A12" t="s">
        <v>14</v>
      </c>
      <c r="B12" s="10">
        <f>Calculations!D92</f>
        <v>0</v>
      </c>
      <c r="C12" s="10">
        <f>Calculations!E92</f>
        <v>17.117000000000001</v>
      </c>
      <c r="D12" s="10">
        <f>Calculations!F92</f>
        <v>16.104200000000219</v>
      </c>
      <c r="E12" s="10">
        <f>Calculations!G92</f>
        <v>15.091400000000021</v>
      </c>
      <c r="F12" s="10">
        <f>Calculations!H92</f>
        <v>14.078600000000279</v>
      </c>
      <c r="G12" s="10">
        <f>Calculations!I92</f>
        <v>13.065800000000309</v>
      </c>
      <c r="H12" s="10">
        <f>Calculations!J92</f>
        <v>12.052999999999999</v>
      </c>
      <c r="I12" s="10">
        <f>Calculations!K92</f>
        <v>12.052999999999999</v>
      </c>
      <c r="J12" s="10">
        <f>Calculations!L92</f>
        <v>12.052999999999999</v>
      </c>
      <c r="K12" s="10">
        <f>Calculations!M92</f>
        <v>12.052999999999999</v>
      </c>
      <c r="L12" s="10">
        <f>Calculations!N92</f>
        <v>12.052999999999999</v>
      </c>
      <c r="M12" s="10">
        <f>Calculations!O92</f>
        <v>12.052999999999999</v>
      </c>
      <c r="N12" s="10">
        <f>Calculations!P92</f>
        <v>12.052999999999999</v>
      </c>
      <c r="O12" s="10">
        <f>Calculations!Q92</f>
        <v>12.052999999999999</v>
      </c>
      <c r="P12" s="10">
        <f>Calculations!R92</f>
        <v>12.052999999999999</v>
      </c>
      <c r="Q12" s="10">
        <f>Calculations!S92</f>
        <v>12.052999999999999</v>
      </c>
      <c r="R12" s="10">
        <f>Calculations!T92</f>
        <v>12.052999999999999</v>
      </c>
      <c r="S12" s="10">
        <f>Calculations!U92</f>
        <v>12.052999999999999</v>
      </c>
      <c r="T12" s="10">
        <f>Calculations!V92</f>
        <v>12.052999999999999</v>
      </c>
      <c r="U12" s="10">
        <f>Calculations!W92</f>
        <v>12.052999999999999</v>
      </c>
      <c r="V12" s="10">
        <f>Calculations!X92</f>
        <v>12.052999999999999</v>
      </c>
      <c r="W12" s="10">
        <f>Calculations!Y92</f>
        <v>12.052999999999999</v>
      </c>
      <c r="X12" s="10">
        <f>Calculations!Z92</f>
        <v>12.052999999999999</v>
      </c>
      <c r="Y12" s="10">
        <f>Calculations!AA92</f>
        <v>12.052999999999999</v>
      </c>
      <c r="Z12" s="10">
        <f>Calculations!AB92</f>
        <v>12.052999999999999</v>
      </c>
      <c r="AA12" s="10">
        <f>Calculations!AC92</f>
        <v>12.052999999999999</v>
      </c>
      <c r="AB12" s="10">
        <f>Calculations!AD92</f>
        <v>12.052999999999999</v>
      </c>
      <c r="AC12" s="10">
        <f>Calculations!AE92</f>
        <v>12.052999999999999</v>
      </c>
      <c r="AD12" s="10">
        <f>Calculations!AF92</f>
        <v>12.052999999999999</v>
      </c>
      <c r="AE12" s="10">
        <f>Calculations!AG92</f>
        <v>12.052999999999999</v>
      </c>
      <c r="AF12" s="10">
        <f>Calculations!AH92</f>
        <v>12.052999999999999</v>
      </c>
      <c r="AG12" s="10">
        <f>Calculations!AI92</f>
        <v>12.052999999999999</v>
      </c>
    </row>
    <row r="13" spans="1:33" x14ac:dyDescent="0.35">
      <c r="A13" t="s">
        <v>15</v>
      </c>
      <c r="B13" s="10">
        <f>Calculations!D93</f>
        <v>0</v>
      </c>
      <c r="C13" s="10">
        <f>Calculations!E93</f>
        <v>0</v>
      </c>
      <c r="D13" s="10">
        <f>Calculations!F93</f>
        <v>0</v>
      </c>
      <c r="E13" s="10">
        <f>Calculations!G93</f>
        <v>0</v>
      </c>
      <c r="F13" s="10">
        <f>Calculations!H93</f>
        <v>0</v>
      </c>
      <c r="G13" s="10">
        <f>Calculations!I93</f>
        <v>0</v>
      </c>
      <c r="H13" s="10">
        <f>Calculations!J93</f>
        <v>0</v>
      </c>
      <c r="I13" s="10">
        <f>Calculations!K93</f>
        <v>0</v>
      </c>
      <c r="J13" s="10">
        <f>Calculations!L93</f>
        <v>0</v>
      </c>
      <c r="K13" s="10">
        <f>Calculations!M93</f>
        <v>0</v>
      </c>
      <c r="L13" s="10">
        <f>Calculations!N93</f>
        <v>0</v>
      </c>
      <c r="M13" s="10">
        <f>Calculations!O93</f>
        <v>0</v>
      </c>
      <c r="N13" s="10">
        <f>Calculations!P93</f>
        <v>0</v>
      </c>
      <c r="O13" s="10">
        <f>Calculations!Q93</f>
        <v>0</v>
      </c>
      <c r="P13" s="10">
        <f>Calculations!R93</f>
        <v>0</v>
      </c>
      <c r="Q13" s="10">
        <f>Calculations!S93</f>
        <v>0</v>
      </c>
      <c r="R13" s="10">
        <f>Calculations!T93</f>
        <v>0</v>
      </c>
      <c r="S13" s="10">
        <f>Calculations!U93</f>
        <v>0</v>
      </c>
      <c r="T13" s="10">
        <f>Calculations!V93</f>
        <v>0</v>
      </c>
      <c r="U13" s="10">
        <f>Calculations!W93</f>
        <v>0</v>
      </c>
      <c r="V13" s="10">
        <f>Calculations!X93</f>
        <v>0</v>
      </c>
      <c r="W13" s="10">
        <f>Calculations!Y93</f>
        <v>0</v>
      </c>
      <c r="X13" s="10">
        <f>Calculations!Z93</f>
        <v>0</v>
      </c>
      <c r="Y13" s="10">
        <f>Calculations!AA93</f>
        <v>0</v>
      </c>
      <c r="Z13" s="10">
        <f>Calculations!AB93</f>
        <v>0</v>
      </c>
      <c r="AA13" s="10">
        <f>Calculations!AC93</f>
        <v>0</v>
      </c>
      <c r="AB13" s="10">
        <f>Calculations!AD93</f>
        <v>0</v>
      </c>
      <c r="AC13" s="10">
        <f>Calculations!AE93</f>
        <v>0</v>
      </c>
      <c r="AD13" s="10">
        <f>Calculations!AF93</f>
        <v>0</v>
      </c>
      <c r="AE13" s="10">
        <f>Calculations!AG93</f>
        <v>0</v>
      </c>
      <c r="AF13" s="10">
        <f>Calculations!AH93</f>
        <v>0</v>
      </c>
      <c r="AG13" s="10">
        <f>Calculations!AI93</f>
        <v>0</v>
      </c>
    </row>
    <row r="14" spans="1:33" x14ac:dyDescent="0.35">
      <c r="A14" t="s">
        <v>57</v>
      </c>
      <c r="B14" s="10">
        <f>Calculations!D94</f>
        <v>0</v>
      </c>
      <c r="C14" s="10">
        <f>Calculations!E94</f>
        <v>0</v>
      </c>
      <c r="D14" s="10">
        <f>Calculations!F94</f>
        <v>0</v>
      </c>
      <c r="E14" s="10">
        <f>Calculations!G94</f>
        <v>0</v>
      </c>
      <c r="F14" s="10">
        <f>Calculations!H94</f>
        <v>0</v>
      </c>
      <c r="G14" s="10">
        <f>Calculations!I94</f>
        <v>0</v>
      </c>
      <c r="H14" s="10">
        <f>Calculations!J94</f>
        <v>0</v>
      </c>
      <c r="I14" s="10">
        <f>Calculations!K94</f>
        <v>0</v>
      </c>
      <c r="J14" s="10">
        <f>Calculations!L94</f>
        <v>0</v>
      </c>
      <c r="K14" s="10">
        <f>Calculations!M94</f>
        <v>0</v>
      </c>
      <c r="L14" s="10">
        <f>Calculations!N94</f>
        <v>0</v>
      </c>
      <c r="M14" s="10">
        <f>Calculations!O94</f>
        <v>0</v>
      </c>
      <c r="N14" s="10">
        <f>Calculations!P94</f>
        <v>0</v>
      </c>
      <c r="O14" s="10">
        <f>Calculations!Q94</f>
        <v>0</v>
      </c>
      <c r="P14" s="10">
        <f>Calculations!R94</f>
        <v>0</v>
      </c>
      <c r="Q14" s="10">
        <f>Calculations!S94</f>
        <v>0</v>
      </c>
      <c r="R14" s="10">
        <f>Calculations!T94</f>
        <v>0</v>
      </c>
      <c r="S14" s="10">
        <f>Calculations!U94</f>
        <v>0</v>
      </c>
      <c r="T14" s="10">
        <f>Calculations!V94</f>
        <v>0</v>
      </c>
      <c r="U14" s="10">
        <f>Calculations!W94</f>
        <v>0</v>
      </c>
      <c r="V14" s="10">
        <f>Calculations!X94</f>
        <v>0</v>
      </c>
      <c r="W14" s="10">
        <f>Calculations!Y94</f>
        <v>0</v>
      </c>
      <c r="X14" s="10">
        <f>Calculations!Z94</f>
        <v>0</v>
      </c>
      <c r="Y14" s="10">
        <f>Calculations!AA94</f>
        <v>0</v>
      </c>
      <c r="Z14" s="10">
        <f>Calculations!AB94</f>
        <v>0</v>
      </c>
      <c r="AA14" s="10">
        <f>Calculations!AC94</f>
        <v>0</v>
      </c>
      <c r="AB14" s="10">
        <f>Calculations!AD94</f>
        <v>0</v>
      </c>
      <c r="AC14" s="10">
        <f>Calculations!AE94</f>
        <v>0</v>
      </c>
      <c r="AD14" s="10">
        <f>Calculations!AF94</f>
        <v>0</v>
      </c>
      <c r="AE14" s="10">
        <f>Calculations!AG94</f>
        <v>0</v>
      </c>
      <c r="AF14" s="10">
        <f>Calculations!AH94</f>
        <v>0</v>
      </c>
      <c r="AG14" s="10">
        <f>Calculations!AI94</f>
        <v>0</v>
      </c>
    </row>
    <row r="15" spans="1:33" x14ac:dyDescent="0.35">
      <c r="A15" t="s">
        <v>60</v>
      </c>
      <c r="B15" s="10">
        <f>Calculations!D95</f>
        <v>0</v>
      </c>
      <c r="C15" s="10">
        <f>Calculations!E95</f>
        <v>0</v>
      </c>
      <c r="D15" s="10">
        <f>Calculations!F95</f>
        <v>0</v>
      </c>
      <c r="E15" s="10">
        <f>Calculations!G95</f>
        <v>0</v>
      </c>
      <c r="F15" s="10">
        <f>Calculations!H95</f>
        <v>0</v>
      </c>
      <c r="G15" s="10">
        <f>Calculations!I95</f>
        <v>0</v>
      </c>
      <c r="H15" s="10">
        <f>Calculations!J95</f>
        <v>0</v>
      </c>
      <c r="I15" s="10">
        <f>Calculations!K95</f>
        <v>0</v>
      </c>
      <c r="J15" s="10">
        <f>Calculations!L95</f>
        <v>0</v>
      </c>
      <c r="K15" s="10">
        <f>Calculations!M95</f>
        <v>0</v>
      </c>
      <c r="L15" s="10">
        <f>Calculations!N95</f>
        <v>0</v>
      </c>
      <c r="M15" s="10">
        <f>Calculations!O95</f>
        <v>0</v>
      </c>
      <c r="N15" s="10">
        <f>Calculations!P95</f>
        <v>0</v>
      </c>
      <c r="O15" s="10">
        <f>Calculations!Q95</f>
        <v>0</v>
      </c>
      <c r="P15" s="10">
        <f>Calculations!R95</f>
        <v>0</v>
      </c>
      <c r="Q15" s="10">
        <f>Calculations!S95</f>
        <v>0</v>
      </c>
      <c r="R15" s="10">
        <f>Calculations!T95</f>
        <v>0</v>
      </c>
      <c r="S15" s="10">
        <f>Calculations!U95</f>
        <v>0</v>
      </c>
      <c r="T15" s="10">
        <f>Calculations!V95</f>
        <v>0</v>
      </c>
      <c r="U15" s="10">
        <f>Calculations!W95</f>
        <v>0</v>
      </c>
      <c r="V15" s="10">
        <f>Calculations!X95</f>
        <v>0</v>
      </c>
      <c r="W15" s="10">
        <f>Calculations!Y95</f>
        <v>0</v>
      </c>
      <c r="X15" s="10">
        <f>Calculations!Z95</f>
        <v>0</v>
      </c>
      <c r="Y15" s="10">
        <f>Calculations!AA95</f>
        <v>0</v>
      </c>
      <c r="Z15" s="10">
        <f>Calculations!AB95</f>
        <v>0</v>
      </c>
      <c r="AA15" s="10">
        <f>Calculations!AC95</f>
        <v>0</v>
      </c>
      <c r="AB15" s="10">
        <f>Calculations!AD95</f>
        <v>0</v>
      </c>
      <c r="AC15" s="10">
        <f>Calculations!AE95</f>
        <v>0</v>
      </c>
      <c r="AD15" s="10">
        <f>Calculations!AF95</f>
        <v>0</v>
      </c>
      <c r="AE15" s="10">
        <f>Calculations!AG95</f>
        <v>0</v>
      </c>
      <c r="AF15" s="10">
        <f>Calculations!AH95</f>
        <v>0</v>
      </c>
      <c r="AG15" s="10">
        <f>Calculations!AI95</f>
        <v>0</v>
      </c>
    </row>
    <row r="16" spans="1:33" x14ac:dyDescent="0.35">
      <c r="A16" t="s">
        <v>158</v>
      </c>
      <c r="B16" s="10">
        <f>Calculations!D96</f>
        <v>0</v>
      </c>
      <c r="C16" s="10">
        <f>Calculations!E96</f>
        <v>0</v>
      </c>
      <c r="D16" s="10">
        <f>Calculations!F96</f>
        <v>0</v>
      </c>
      <c r="E16" s="10">
        <f>Calculations!G96</f>
        <v>0</v>
      </c>
      <c r="F16" s="10">
        <f>Calculations!H96</f>
        <v>0</v>
      </c>
      <c r="G16" s="10">
        <f>Calculations!I96</f>
        <v>0</v>
      </c>
      <c r="H16" s="10">
        <f>Calculations!J96</f>
        <v>0</v>
      </c>
      <c r="I16" s="10">
        <f>Calculations!K96</f>
        <v>0</v>
      </c>
      <c r="J16" s="10">
        <f>Calculations!L96</f>
        <v>0</v>
      </c>
      <c r="K16" s="10">
        <f>Calculations!M96</f>
        <v>0</v>
      </c>
      <c r="L16" s="10">
        <f>Calculations!N96</f>
        <v>0</v>
      </c>
      <c r="M16" s="10">
        <f>Calculations!O96</f>
        <v>0</v>
      </c>
      <c r="N16" s="10">
        <f>Calculations!P96</f>
        <v>0</v>
      </c>
      <c r="O16" s="10">
        <f>Calculations!Q96</f>
        <v>0</v>
      </c>
      <c r="P16" s="10">
        <f>Calculations!R96</f>
        <v>0</v>
      </c>
      <c r="Q16" s="10">
        <f>Calculations!S96</f>
        <v>0</v>
      </c>
      <c r="R16" s="10">
        <f>Calculations!T96</f>
        <v>0</v>
      </c>
      <c r="S16" s="10">
        <f>Calculations!U96</f>
        <v>0</v>
      </c>
      <c r="T16" s="10">
        <f>Calculations!V96</f>
        <v>0</v>
      </c>
      <c r="U16" s="10">
        <f>Calculations!W96</f>
        <v>0</v>
      </c>
      <c r="V16" s="10">
        <f>Calculations!X96</f>
        <v>0</v>
      </c>
      <c r="W16" s="10">
        <f>Calculations!Y96</f>
        <v>0</v>
      </c>
      <c r="X16" s="10">
        <f>Calculations!Z96</f>
        <v>0</v>
      </c>
      <c r="Y16" s="10">
        <f>Calculations!AA96</f>
        <v>0</v>
      </c>
      <c r="Z16" s="10">
        <f>Calculations!AB96</f>
        <v>0</v>
      </c>
      <c r="AA16" s="10">
        <f>Calculations!AC96</f>
        <v>0</v>
      </c>
      <c r="AB16" s="10">
        <f>Calculations!AD96</f>
        <v>0</v>
      </c>
      <c r="AC16" s="10">
        <f>Calculations!AE96</f>
        <v>0</v>
      </c>
      <c r="AD16" s="10">
        <f>Calculations!AF96</f>
        <v>0</v>
      </c>
      <c r="AE16" s="10">
        <f>Calculations!AG96</f>
        <v>0</v>
      </c>
      <c r="AF16" s="10">
        <f>Calculations!AH96</f>
        <v>0</v>
      </c>
      <c r="AG16" s="10">
        <f>Calculations!AI96</f>
        <v>0</v>
      </c>
    </row>
    <row r="17" spans="1:33" x14ac:dyDescent="0.35">
      <c r="A17" t="s">
        <v>159</v>
      </c>
      <c r="B17" s="10">
        <f>Calculations!D97</f>
        <v>0</v>
      </c>
      <c r="C17" s="10">
        <f>Calculations!E97</f>
        <v>0</v>
      </c>
      <c r="D17" s="10">
        <f>Calculations!F97</f>
        <v>0</v>
      </c>
      <c r="E17" s="10">
        <f>Calculations!G97</f>
        <v>0</v>
      </c>
      <c r="F17" s="10">
        <f>Calculations!H97</f>
        <v>0</v>
      </c>
      <c r="G17" s="10">
        <f>Calculations!I97</f>
        <v>0</v>
      </c>
      <c r="H17" s="10">
        <f>Calculations!J97</f>
        <v>0</v>
      </c>
      <c r="I17" s="10">
        <f>Calculations!K97</f>
        <v>0</v>
      </c>
      <c r="J17" s="10">
        <f>Calculations!L97</f>
        <v>0</v>
      </c>
      <c r="K17" s="10">
        <f>Calculations!M97</f>
        <v>0</v>
      </c>
      <c r="L17" s="10">
        <f>Calculations!N97</f>
        <v>0</v>
      </c>
      <c r="M17" s="10">
        <f>Calculations!O97</f>
        <v>0</v>
      </c>
      <c r="N17" s="10">
        <f>Calculations!P97</f>
        <v>0</v>
      </c>
      <c r="O17" s="10">
        <f>Calculations!Q97</f>
        <v>0</v>
      </c>
      <c r="P17" s="10">
        <f>Calculations!R97</f>
        <v>0</v>
      </c>
      <c r="Q17" s="10">
        <f>Calculations!S97</f>
        <v>0</v>
      </c>
      <c r="R17" s="10">
        <f>Calculations!T97</f>
        <v>0</v>
      </c>
      <c r="S17" s="10">
        <f>Calculations!U97</f>
        <v>0</v>
      </c>
      <c r="T17" s="10">
        <f>Calculations!V97</f>
        <v>0</v>
      </c>
      <c r="U17" s="10">
        <f>Calculations!W97</f>
        <v>0</v>
      </c>
      <c r="V17" s="10">
        <f>Calculations!X97</f>
        <v>0</v>
      </c>
      <c r="W17" s="10">
        <f>Calculations!Y97</f>
        <v>0</v>
      </c>
      <c r="X17" s="10">
        <f>Calculations!Z97</f>
        <v>0</v>
      </c>
      <c r="Y17" s="10">
        <f>Calculations!AA97</f>
        <v>0</v>
      </c>
      <c r="Z17" s="10">
        <f>Calculations!AB97</f>
        <v>0</v>
      </c>
      <c r="AA17" s="10">
        <f>Calculations!AC97</f>
        <v>0</v>
      </c>
      <c r="AB17" s="10">
        <f>Calculations!AD97</f>
        <v>0</v>
      </c>
      <c r="AC17" s="10">
        <f>Calculations!AE97</f>
        <v>0</v>
      </c>
      <c r="AD17" s="10">
        <f>Calculations!AF97</f>
        <v>0</v>
      </c>
      <c r="AE17" s="10">
        <f>Calculations!AG97</f>
        <v>0</v>
      </c>
      <c r="AF17" s="10">
        <f>Calculations!AH97</f>
        <v>0</v>
      </c>
      <c r="AG17" s="10">
        <f>Calculations!AI97</f>
        <v>0</v>
      </c>
    </row>
    <row r="18" spans="1:33" x14ac:dyDescent="0.35">
      <c r="A18" t="s">
        <v>160</v>
      </c>
      <c r="B18" s="10">
        <f>Calculations!D98</f>
        <v>0</v>
      </c>
      <c r="C18" s="10">
        <f>Calculations!E98</f>
        <v>0</v>
      </c>
      <c r="D18" s="10">
        <f>Calculations!F98</f>
        <v>0</v>
      </c>
      <c r="E18" s="10">
        <f>Calculations!G98</f>
        <v>0</v>
      </c>
      <c r="F18" s="10">
        <f>Calculations!H98</f>
        <v>0</v>
      </c>
      <c r="G18" s="10">
        <f>Calculations!I98</f>
        <v>0</v>
      </c>
      <c r="H18" s="10">
        <f>Calculations!J98</f>
        <v>0</v>
      </c>
      <c r="I18" s="10">
        <f>Calculations!K98</f>
        <v>0</v>
      </c>
      <c r="J18" s="10">
        <f>Calculations!L98</f>
        <v>0</v>
      </c>
      <c r="K18" s="10">
        <f>Calculations!M98</f>
        <v>0</v>
      </c>
      <c r="L18" s="10">
        <f>Calculations!N98</f>
        <v>0</v>
      </c>
      <c r="M18" s="10">
        <f>Calculations!O98</f>
        <v>0</v>
      </c>
      <c r="N18" s="10">
        <f>Calculations!P98</f>
        <v>0</v>
      </c>
      <c r="O18" s="10">
        <f>Calculations!Q98</f>
        <v>0</v>
      </c>
      <c r="P18" s="10">
        <f>Calculations!R98</f>
        <v>0</v>
      </c>
      <c r="Q18" s="10">
        <f>Calculations!S98</f>
        <v>0</v>
      </c>
      <c r="R18" s="10">
        <f>Calculations!T98</f>
        <v>0</v>
      </c>
      <c r="S18" s="10">
        <f>Calculations!U98</f>
        <v>0</v>
      </c>
      <c r="T18" s="10">
        <f>Calculations!V98</f>
        <v>0</v>
      </c>
      <c r="U18" s="10">
        <f>Calculations!W98</f>
        <v>0</v>
      </c>
      <c r="V18" s="10">
        <f>Calculations!X98</f>
        <v>0</v>
      </c>
      <c r="W18" s="10">
        <f>Calculations!Y98</f>
        <v>0</v>
      </c>
      <c r="X18" s="10">
        <f>Calculations!Z98</f>
        <v>0</v>
      </c>
      <c r="Y18" s="10">
        <f>Calculations!AA98</f>
        <v>0</v>
      </c>
      <c r="Z18" s="10">
        <f>Calculations!AB98</f>
        <v>0</v>
      </c>
      <c r="AA18" s="10">
        <f>Calculations!AC98</f>
        <v>0</v>
      </c>
      <c r="AB18" s="10">
        <f>Calculations!AD98</f>
        <v>0</v>
      </c>
      <c r="AC18" s="10">
        <f>Calculations!AE98</f>
        <v>0</v>
      </c>
      <c r="AD18" s="10">
        <f>Calculations!AF98</f>
        <v>0</v>
      </c>
      <c r="AE18" s="10">
        <f>Calculations!AG98</f>
        <v>0</v>
      </c>
      <c r="AF18" s="10">
        <f>Calculations!AH98</f>
        <v>0</v>
      </c>
      <c r="AG18" s="10">
        <f>Calculations!AI98</f>
        <v>0</v>
      </c>
    </row>
    <row r="19" spans="1:33" x14ac:dyDescent="0.35">
      <c r="A19" s="50" t="s">
        <v>924</v>
      </c>
      <c r="B19" s="49">
        <v>0</v>
      </c>
      <c r="C19" s="49">
        <v>0</v>
      </c>
      <c r="D19" s="49">
        <v>0</v>
      </c>
      <c r="E19" s="49">
        <v>0</v>
      </c>
      <c r="F19" s="49">
        <v>0</v>
      </c>
      <c r="G19" s="49">
        <v>0</v>
      </c>
      <c r="H19" s="49">
        <v>0</v>
      </c>
      <c r="I19" s="49">
        <v>0</v>
      </c>
      <c r="J19" s="49">
        <v>0</v>
      </c>
      <c r="K19" s="49">
        <v>0</v>
      </c>
      <c r="L19" s="49">
        <v>0</v>
      </c>
      <c r="M19" s="49">
        <v>0</v>
      </c>
      <c r="N19" s="49">
        <v>0</v>
      </c>
      <c r="O19" s="49">
        <v>0</v>
      </c>
      <c r="P19" s="49">
        <v>0</v>
      </c>
      <c r="Q19" s="49">
        <v>0</v>
      </c>
      <c r="R19" s="49">
        <v>0</v>
      </c>
      <c r="S19" s="49">
        <v>0</v>
      </c>
      <c r="T19" s="49">
        <v>0</v>
      </c>
      <c r="U19" s="49">
        <v>0</v>
      </c>
      <c r="V19" s="49">
        <v>0</v>
      </c>
      <c r="W19" s="49">
        <v>0</v>
      </c>
      <c r="X19" s="49">
        <v>0</v>
      </c>
      <c r="Y19" s="49">
        <v>0</v>
      </c>
      <c r="Z19" s="49">
        <v>0</v>
      </c>
      <c r="AA19" s="49">
        <v>0</v>
      </c>
      <c r="AB19" s="49">
        <v>0</v>
      </c>
      <c r="AC19" s="49">
        <v>0</v>
      </c>
      <c r="AD19" s="49">
        <v>0</v>
      </c>
      <c r="AE19" s="49">
        <v>0</v>
      </c>
      <c r="AF19" s="49">
        <v>0</v>
      </c>
      <c r="AG19" s="49">
        <v>0</v>
      </c>
    </row>
    <row r="20" spans="1:33" x14ac:dyDescent="0.35">
      <c r="A20" s="50" t="s">
        <v>925</v>
      </c>
      <c r="B20" s="49">
        <v>0</v>
      </c>
      <c r="C20" s="49">
        <v>0</v>
      </c>
      <c r="D20" s="49">
        <v>0</v>
      </c>
      <c r="E20" s="49">
        <v>0</v>
      </c>
      <c r="F20" s="49">
        <v>0</v>
      </c>
      <c r="G20" s="49">
        <v>0</v>
      </c>
      <c r="H20" s="49">
        <v>0</v>
      </c>
      <c r="I20" s="49">
        <v>0</v>
      </c>
      <c r="J20" s="49">
        <v>0</v>
      </c>
      <c r="K20" s="49">
        <v>0</v>
      </c>
      <c r="L20" s="49">
        <v>0</v>
      </c>
      <c r="M20" s="49">
        <v>0</v>
      </c>
      <c r="N20" s="49">
        <v>0</v>
      </c>
      <c r="O20" s="49">
        <v>0</v>
      </c>
      <c r="P20" s="49">
        <v>0</v>
      </c>
      <c r="Q20" s="49">
        <v>0</v>
      </c>
      <c r="R20" s="49">
        <v>0</v>
      </c>
      <c r="S20" s="49">
        <v>0</v>
      </c>
      <c r="T20" s="49">
        <v>0</v>
      </c>
      <c r="U20" s="49">
        <v>0</v>
      </c>
      <c r="V20" s="49">
        <v>0</v>
      </c>
      <c r="W20" s="49">
        <v>0</v>
      </c>
      <c r="X20" s="49">
        <v>0</v>
      </c>
      <c r="Y20" s="49">
        <v>0</v>
      </c>
      <c r="Z20" s="49">
        <v>0</v>
      </c>
      <c r="AA20" s="49">
        <v>0</v>
      </c>
      <c r="AB20" s="49">
        <v>0</v>
      </c>
      <c r="AC20" s="49">
        <v>0</v>
      </c>
      <c r="AD20" s="49">
        <v>0</v>
      </c>
      <c r="AE20" s="49">
        <v>0</v>
      </c>
      <c r="AF20" s="49">
        <v>0</v>
      </c>
      <c r="AG20" s="49">
        <v>0</v>
      </c>
    </row>
    <row r="21" spans="1:33" x14ac:dyDescent="0.35">
      <c r="A21" s="50" t="s">
        <v>926</v>
      </c>
      <c r="B21" s="49">
        <v>0</v>
      </c>
      <c r="C21" s="49">
        <v>0</v>
      </c>
      <c r="D21" s="49">
        <v>0</v>
      </c>
      <c r="E21" s="49">
        <v>0</v>
      </c>
      <c r="F21" s="49">
        <v>0</v>
      </c>
      <c r="G21" s="49">
        <v>0</v>
      </c>
      <c r="H21" s="49">
        <v>0</v>
      </c>
      <c r="I21" s="49">
        <v>0</v>
      </c>
      <c r="J21" s="49">
        <v>0</v>
      </c>
      <c r="K21" s="49">
        <v>0</v>
      </c>
      <c r="L21" s="49">
        <v>0</v>
      </c>
      <c r="M21" s="49">
        <v>0</v>
      </c>
      <c r="N21" s="49">
        <v>0</v>
      </c>
      <c r="O21" s="49">
        <v>0</v>
      </c>
      <c r="P21" s="49">
        <v>0</v>
      </c>
      <c r="Q21" s="49">
        <v>0</v>
      </c>
      <c r="R21" s="49">
        <v>0</v>
      </c>
      <c r="S21" s="49">
        <v>0</v>
      </c>
      <c r="T21" s="49">
        <v>0</v>
      </c>
      <c r="U21" s="49">
        <v>0</v>
      </c>
      <c r="V21" s="49">
        <v>0</v>
      </c>
      <c r="W21" s="49">
        <v>0</v>
      </c>
      <c r="X21" s="49">
        <v>0</v>
      </c>
      <c r="Y21" s="49">
        <v>0</v>
      </c>
      <c r="Z21" s="49">
        <v>0</v>
      </c>
      <c r="AA21" s="49">
        <v>0</v>
      </c>
      <c r="AB21" s="49">
        <v>0</v>
      </c>
      <c r="AC21" s="49">
        <v>0</v>
      </c>
      <c r="AD21" s="49">
        <v>0</v>
      </c>
      <c r="AE21" s="49">
        <v>0</v>
      </c>
      <c r="AF21" s="49">
        <v>0</v>
      </c>
      <c r="AG21" s="49">
        <v>0</v>
      </c>
    </row>
    <row r="22" spans="1:33" x14ac:dyDescent="0.35">
      <c r="A22" s="50" t="s">
        <v>927</v>
      </c>
      <c r="B22" s="49">
        <v>0</v>
      </c>
      <c r="C22" s="49">
        <v>0</v>
      </c>
      <c r="D22" s="49">
        <v>0</v>
      </c>
      <c r="E22" s="49">
        <v>0</v>
      </c>
      <c r="F22" s="49">
        <v>0</v>
      </c>
      <c r="G22" s="49">
        <v>0</v>
      </c>
      <c r="H22" s="49">
        <v>0</v>
      </c>
      <c r="I22" s="49">
        <v>0</v>
      </c>
      <c r="J22" s="49">
        <v>0</v>
      </c>
      <c r="K22" s="49">
        <v>0</v>
      </c>
      <c r="L22" s="49">
        <v>0</v>
      </c>
      <c r="M22" s="49">
        <v>0</v>
      </c>
      <c r="N22" s="49">
        <v>0</v>
      </c>
      <c r="O22" s="49">
        <v>0</v>
      </c>
      <c r="P22" s="49">
        <v>0</v>
      </c>
      <c r="Q22" s="49">
        <v>0</v>
      </c>
      <c r="R22" s="49">
        <v>0</v>
      </c>
      <c r="S22" s="49">
        <v>0</v>
      </c>
      <c r="T22" s="49">
        <v>0</v>
      </c>
      <c r="U22" s="49">
        <v>0</v>
      </c>
      <c r="V22" s="49">
        <v>0</v>
      </c>
      <c r="W22" s="49">
        <v>0</v>
      </c>
      <c r="X22" s="49">
        <v>0</v>
      </c>
      <c r="Y22" s="49">
        <v>0</v>
      </c>
      <c r="Z22" s="49">
        <v>0</v>
      </c>
      <c r="AA22" s="49">
        <v>0</v>
      </c>
      <c r="AB22" s="49">
        <v>0</v>
      </c>
      <c r="AC22" s="49">
        <v>0</v>
      </c>
      <c r="AD22" s="49">
        <v>0</v>
      </c>
      <c r="AE22" s="49">
        <v>0</v>
      </c>
      <c r="AF22" s="49">
        <v>0</v>
      </c>
      <c r="AG22" s="49">
        <v>0</v>
      </c>
    </row>
    <row r="23" spans="1:33" x14ac:dyDescent="0.35">
      <c r="A23" s="50" t="s">
        <v>928</v>
      </c>
      <c r="B23" s="49">
        <v>0</v>
      </c>
      <c r="C23" s="49">
        <v>0</v>
      </c>
      <c r="D23" s="49">
        <v>0</v>
      </c>
      <c r="E23" s="49">
        <v>0</v>
      </c>
      <c r="F23" s="49">
        <v>0</v>
      </c>
      <c r="G23" s="49">
        <v>0</v>
      </c>
      <c r="H23" s="49">
        <v>0</v>
      </c>
      <c r="I23" s="49">
        <v>0</v>
      </c>
      <c r="J23" s="49">
        <v>0</v>
      </c>
      <c r="K23" s="49">
        <v>0</v>
      </c>
      <c r="L23" s="49">
        <v>0</v>
      </c>
      <c r="M23" s="49">
        <v>0</v>
      </c>
      <c r="N23" s="49">
        <v>0</v>
      </c>
      <c r="O23" s="49">
        <v>0</v>
      </c>
      <c r="P23" s="49">
        <v>0</v>
      </c>
      <c r="Q23" s="49">
        <v>0</v>
      </c>
      <c r="R23" s="49">
        <v>0</v>
      </c>
      <c r="S23" s="49">
        <v>0</v>
      </c>
      <c r="T23" s="49">
        <v>0</v>
      </c>
      <c r="U23" s="49">
        <v>0</v>
      </c>
      <c r="V23" s="49">
        <v>0</v>
      </c>
      <c r="W23" s="49">
        <v>0</v>
      </c>
      <c r="X23" s="49">
        <v>0</v>
      </c>
      <c r="Y23" s="49">
        <v>0</v>
      </c>
      <c r="Z23" s="49">
        <v>0</v>
      </c>
      <c r="AA23" s="49">
        <v>0</v>
      </c>
      <c r="AB23" s="49">
        <v>0</v>
      </c>
      <c r="AC23" s="49">
        <v>0</v>
      </c>
      <c r="AD23" s="49">
        <v>0</v>
      </c>
      <c r="AE23" s="49">
        <v>0</v>
      </c>
      <c r="AF23" s="49">
        <v>0</v>
      </c>
      <c r="AG23" s="49">
        <v>0</v>
      </c>
    </row>
    <row r="24" spans="1:33" x14ac:dyDescent="0.35">
      <c r="A24" s="51" t="s">
        <v>929</v>
      </c>
      <c r="B24" s="49">
        <v>0</v>
      </c>
      <c r="C24" s="49">
        <v>0</v>
      </c>
      <c r="D24" s="49">
        <v>0</v>
      </c>
      <c r="E24" s="49">
        <v>0</v>
      </c>
      <c r="F24" s="49">
        <v>0</v>
      </c>
      <c r="G24" s="49">
        <v>0</v>
      </c>
      <c r="H24" s="49">
        <v>0</v>
      </c>
      <c r="I24" s="49">
        <v>0</v>
      </c>
      <c r="J24" s="49">
        <v>0</v>
      </c>
      <c r="K24" s="49">
        <v>0</v>
      </c>
      <c r="L24" s="49">
        <v>0</v>
      </c>
      <c r="M24" s="49">
        <v>0</v>
      </c>
      <c r="N24" s="49">
        <v>0</v>
      </c>
      <c r="O24" s="49">
        <v>0</v>
      </c>
      <c r="P24" s="49">
        <v>0</v>
      </c>
      <c r="Q24" s="49">
        <v>0</v>
      </c>
      <c r="R24" s="49">
        <v>0</v>
      </c>
      <c r="S24" s="49">
        <v>0</v>
      </c>
      <c r="T24" s="49">
        <v>0</v>
      </c>
      <c r="U24" s="49">
        <v>0</v>
      </c>
      <c r="V24" s="49">
        <v>0</v>
      </c>
      <c r="W24" s="49">
        <v>0</v>
      </c>
      <c r="X24" s="49">
        <v>0</v>
      </c>
      <c r="Y24" s="49">
        <v>0</v>
      </c>
      <c r="Z24" s="49">
        <v>0</v>
      </c>
      <c r="AA24" s="49">
        <v>0</v>
      </c>
      <c r="AB24" s="49">
        <v>0</v>
      </c>
      <c r="AC24" s="49">
        <v>0</v>
      </c>
      <c r="AD24" s="49">
        <v>0</v>
      </c>
      <c r="AE24" s="49">
        <v>0</v>
      </c>
      <c r="AF24" s="49">
        <v>0</v>
      </c>
      <c r="AG24" s="49">
        <v>0</v>
      </c>
    </row>
    <row r="25" spans="1:33" x14ac:dyDescent="0.35">
      <c r="A25" s="51" t="s">
        <v>930</v>
      </c>
      <c r="B25" s="49">
        <v>0</v>
      </c>
      <c r="C25" s="49">
        <v>0</v>
      </c>
      <c r="D25" s="49">
        <v>0</v>
      </c>
      <c r="E25" s="49">
        <v>0</v>
      </c>
      <c r="F25" s="49">
        <v>0</v>
      </c>
      <c r="G25" s="49">
        <v>0</v>
      </c>
      <c r="H25" s="49">
        <v>0</v>
      </c>
      <c r="I25" s="49">
        <v>0</v>
      </c>
      <c r="J25" s="49">
        <v>0</v>
      </c>
      <c r="K25" s="49">
        <v>0</v>
      </c>
      <c r="L25" s="49">
        <v>0</v>
      </c>
      <c r="M25" s="49">
        <v>0</v>
      </c>
      <c r="N25" s="49">
        <v>0</v>
      </c>
      <c r="O25" s="49">
        <v>0</v>
      </c>
      <c r="P25" s="49">
        <v>0</v>
      </c>
      <c r="Q25" s="49">
        <v>0</v>
      </c>
      <c r="R25" s="49">
        <v>0</v>
      </c>
      <c r="S25" s="49">
        <v>0</v>
      </c>
      <c r="T25" s="49">
        <v>0</v>
      </c>
      <c r="U25" s="49">
        <v>0</v>
      </c>
      <c r="V25" s="49">
        <v>0</v>
      </c>
      <c r="W25" s="49">
        <v>0</v>
      </c>
      <c r="X25" s="49">
        <v>0</v>
      </c>
      <c r="Y25" s="49">
        <v>0</v>
      </c>
      <c r="Z25" s="49">
        <v>0</v>
      </c>
      <c r="AA25" s="49">
        <v>0</v>
      </c>
      <c r="AB25" s="49">
        <v>0</v>
      </c>
      <c r="AC25" s="49">
        <v>0</v>
      </c>
      <c r="AD25" s="49">
        <v>0</v>
      </c>
      <c r="AE25" s="49">
        <v>0</v>
      </c>
      <c r="AF25" s="49">
        <v>0</v>
      </c>
      <c r="AG25" s="49">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About</vt:lpstr>
      <vt:lpstr>AEO21_Table_21._Residential_Sec</vt:lpstr>
      <vt:lpstr>AEO22_Table_21._Residential_Sec</vt:lpstr>
      <vt:lpstr>AEO23_Table_21._Residential</vt:lpstr>
      <vt:lpstr>AEO21_Table_22._Comm_Sector_Ene</vt:lpstr>
      <vt:lpstr>AEO23_table_22._Comm</vt:lpstr>
      <vt:lpstr>AEO22_Table_22._Comm_Sector_Ene</vt:lpstr>
      <vt:lpstr>Calculations</vt:lpstr>
      <vt:lpstr>RECS HC2.1</vt:lpstr>
      <vt:lpstr>Inflation Reduction Act</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2016-01-26T19:10:58Z</dcterms:created>
  <dcterms:modified xsi:type="dcterms:W3CDTF">2025-05-13T23:18:47Z</dcterms:modified>
</cp:coreProperties>
</file>